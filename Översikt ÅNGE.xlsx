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45588</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45588</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45588</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45588</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45588</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45588</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45588</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45588</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45588</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45588</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45588</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45588</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45588</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45588</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45588</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45588</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45588</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45588</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45588</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45588</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45588</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45588</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45588</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45588</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45588</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45588</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45588</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45588</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45588</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45588</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45588</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45588</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45588</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45588</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45588</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45588</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45588</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45588</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45588</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45588</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45588</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45588</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45588</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45588</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45588</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45588</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45588</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45588</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45588</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45588</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45588</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45588</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45588</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45588</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45588</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45588</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45588</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45588</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45588</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45588</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45588</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45588</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45588</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45588</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45588</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45588</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45588</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45588</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45588</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45588</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45588</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45588</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45588</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45588</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45588</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45588</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45588</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45588</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45588</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45588</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45588</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45588</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45588</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45588</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45588</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45588</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45588</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45588</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45588</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45588</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45588</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62640-2020</t>
        </is>
      </c>
      <c r="B99" s="1" t="n">
        <v>44161</v>
      </c>
      <c r="C99" s="1" t="n">
        <v>45588</v>
      </c>
      <c r="D99" t="inlineStr">
        <is>
          <t>VÄSTERNORRLANDS LÄN</t>
        </is>
      </c>
      <c r="E99" t="inlineStr">
        <is>
          <t>ÅNGE</t>
        </is>
      </c>
      <c r="F99" t="inlineStr">
        <is>
          <t>Sveaskog</t>
        </is>
      </c>
      <c r="G99" t="n">
        <v>2</v>
      </c>
      <c r="H99" t="n">
        <v>1</v>
      </c>
      <c r="I99" t="n">
        <v>2</v>
      </c>
      <c r="J99" t="n">
        <v>0</v>
      </c>
      <c r="K99" t="n">
        <v>2</v>
      </c>
      <c r="L99" t="n">
        <v>0</v>
      </c>
      <c r="M99" t="n">
        <v>0</v>
      </c>
      <c r="N99" t="n">
        <v>0</v>
      </c>
      <c r="O99" t="n">
        <v>2</v>
      </c>
      <c r="P99" t="n">
        <v>2</v>
      </c>
      <c r="Q99" t="n">
        <v>5</v>
      </c>
      <c r="R99" s="2" t="inlineStr">
        <is>
          <t>Bitter taggsvamp
Rynkskinn
Kransrams
Svart trolldruva
Blåsippa</t>
        </is>
      </c>
      <c r="S99">
        <f>HYPERLINK("https://klasma.github.io/Logging_2260/artfynd/A 62640-2020 artfynd.xlsx", "A 62640-2020")</f>
        <v/>
      </c>
      <c r="T99">
        <f>HYPERLINK("https://klasma.github.io/Logging_2260/kartor/A 62640-2020 karta.png", "A 62640-2020")</f>
        <v/>
      </c>
      <c r="V99">
        <f>HYPERLINK("https://klasma.github.io/Logging_2260/klagomål/A 62640-2020 FSC-klagomål.docx", "A 62640-2020")</f>
        <v/>
      </c>
      <c r="W99">
        <f>HYPERLINK("https://klasma.github.io/Logging_2260/klagomålsmail/A 62640-2020 FSC-klagomål mail.docx", "A 62640-2020")</f>
        <v/>
      </c>
      <c r="X99">
        <f>HYPERLINK("https://klasma.github.io/Logging_2260/tillsyn/A 62640-2020 tillsynsbegäran.docx", "A 62640-2020")</f>
        <v/>
      </c>
      <c r="Y99">
        <f>HYPERLINK("https://klasma.github.io/Logging_2260/tillsynsmail/A 62640-2020 tillsynsbegäran mail.docx", "A 62640-2020")</f>
        <v/>
      </c>
    </row>
    <row r="100" ht="15" customHeight="1">
      <c r="A100" t="inlineStr">
        <is>
          <t>A 61910-2021</t>
        </is>
      </c>
      <c r="B100" s="1" t="n">
        <v>44502</v>
      </c>
      <c r="C100" s="1" t="n">
        <v>45588</v>
      </c>
      <c r="D100" t="inlineStr">
        <is>
          <t>VÄSTERNORRLANDS LÄN</t>
        </is>
      </c>
      <c r="E100" t="inlineStr">
        <is>
          <t>ÅNGE</t>
        </is>
      </c>
      <c r="G100" t="n">
        <v>3.6</v>
      </c>
      <c r="H100" t="n">
        <v>1</v>
      </c>
      <c r="I100" t="n">
        <v>2</v>
      </c>
      <c r="J100" t="n">
        <v>3</v>
      </c>
      <c r="K100" t="n">
        <v>0</v>
      </c>
      <c r="L100" t="n">
        <v>0</v>
      </c>
      <c r="M100" t="n">
        <v>0</v>
      </c>
      <c r="N100" t="n">
        <v>0</v>
      </c>
      <c r="O100" t="n">
        <v>3</v>
      </c>
      <c r="P100" t="n">
        <v>0</v>
      </c>
      <c r="Q100" t="n">
        <v>5</v>
      </c>
      <c r="R100" s="2" t="inlineStr">
        <is>
          <t>Garnlav
Lunglav
Talltita
Bårdlav
Stuplav</t>
        </is>
      </c>
      <c r="S100">
        <f>HYPERLINK("https://klasma.github.io/Logging_2260/artfynd/A 61910-2021 artfynd.xlsx", "A 61910-2021")</f>
        <v/>
      </c>
      <c r="T100">
        <f>HYPERLINK("https://klasma.github.io/Logging_2260/kartor/A 61910-2021 karta.png", "A 61910-2021")</f>
        <v/>
      </c>
      <c r="V100">
        <f>HYPERLINK("https://klasma.github.io/Logging_2260/klagomål/A 61910-2021 FSC-klagomål.docx", "A 61910-2021")</f>
        <v/>
      </c>
      <c r="W100">
        <f>HYPERLINK("https://klasma.github.io/Logging_2260/klagomålsmail/A 61910-2021 FSC-klagomål mail.docx", "A 61910-2021")</f>
        <v/>
      </c>
      <c r="X100">
        <f>HYPERLINK("https://klasma.github.io/Logging_2260/tillsyn/A 61910-2021 tillsynsbegäran.docx", "A 61910-2021")</f>
        <v/>
      </c>
      <c r="Y100">
        <f>HYPERLINK("https://klasma.github.io/Logging_2260/tillsynsmail/A 61910-2021 tillsynsbegäran mail.docx", "A 61910-2021")</f>
        <v/>
      </c>
      <c r="Z100">
        <f>HYPERLINK("https://klasma.github.io/Logging_2260/fåglar/A 61910-2021 prioriterade fågelarter.docx", "A 61910-2021")</f>
        <v/>
      </c>
    </row>
    <row r="101" ht="15" customHeight="1">
      <c r="A101" t="inlineStr">
        <is>
          <t>A 31364-2022</t>
        </is>
      </c>
      <c r="B101" s="1" t="n">
        <v>44774</v>
      </c>
      <c r="C101" s="1" t="n">
        <v>45588</v>
      </c>
      <c r="D101" t="inlineStr">
        <is>
          <t>VÄSTERNORRLANDS LÄN</t>
        </is>
      </c>
      <c r="E101" t="inlineStr">
        <is>
          <t>ÅNGE</t>
        </is>
      </c>
      <c r="F101" t="inlineStr">
        <is>
          <t>Sveaskog</t>
        </is>
      </c>
      <c r="G101" t="n">
        <v>5.4</v>
      </c>
      <c r="H101" t="n">
        <v>3</v>
      </c>
      <c r="I101" t="n">
        <v>1</v>
      </c>
      <c r="J101" t="n">
        <v>1</v>
      </c>
      <c r="K101" t="n">
        <v>0</v>
      </c>
      <c r="L101" t="n">
        <v>0</v>
      </c>
      <c r="M101" t="n">
        <v>0</v>
      </c>
      <c r="N101" t="n">
        <v>0</v>
      </c>
      <c r="O101" t="n">
        <v>1</v>
      </c>
      <c r="P101" t="n">
        <v>0</v>
      </c>
      <c r="Q101" t="n">
        <v>5</v>
      </c>
      <c r="R101" s="2" t="inlineStr">
        <is>
          <t>Violettgrå tagellav
Kransrams
Fläcknycklar
Nattviol
Blåsippa</t>
        </is>
      </c>
      <c r="S101">
        <f>HYPERLINK("https://klasma.github.io/Logging_2260/artfynd/A 31364-2022 artfynd.xlsx", "A 31364-2022")</f>
        <v/>
      </c>
      <c r="T101">
        <f>HYPERLINK("https://klasma.github.io/Logging_2260/kartor/A 31364-2022 karta.png", "A 31364-2022")</f>
        <v/>
      </c>
      <c r="V101">
        <f>HYPERLINK("https://klasma.github.io/Logging_2260/klagomål/A 31364-2022 FSC-klagomål.docx", "A 31364-2022")</f>
        <v/>
      </c>
      <c r="W101">
        <f>HYPERLINK("https://klasma.github.io/Logging_2260/klagomålsmail/A 31364-2022 FSC-klagomål mail.docx", "A 31364-2022")</f>
        <v/>
      </c>
      <c r="X101">
        <f>HYPERLINK("https://klasma.github.io/Logging_2260/tillsyn/A 31364-2022 tillsynsbegäran.docx", "A 31364-2022")</f>
        <v/>
      </c>
      <c r="Y101">
        <f>HYPERLINK("https://klasma.github.io/Logging_2260/tillsynsmail/A 31364-2022 tillsynsbegäran mail.docx", "A 31364-2022")</f>
        <v/>
      </c>
    </row>
    <row r="102" ht="15" customHeight="1">
      <c r="A102" t="inlineStr">
        <is>
          <t>A 42887-2022</t>
        </is>
      </c>
      <c r="B102" s="1" t="n">
        <v>44832</v>
      </c>
      <c r="C102" s="1" t="n">
        <v>45588</v>
      </c>
      <c r="D102" t="inlineStr">
        <is>
          <t>VÄSTERNORRLANDS LÄN</t>
        </is>
      </c>
      <c r="E102" t="inlineStr">
        <is>
          <t>ÅNGE</t>
        </is>
      </c>
      <c r="F102" t="inlineStr">
        <is>
          <t>SCA</t>
        </is>
      </c>
      <c r="G102" t="n">
        <v>3.9</v>
      </c>
      <c r="H102" t="n">
        <v>1</v>
      </c>
      <c r="I102" t="n">
        <v>1</v>
      </c>
      <c r="J102" t="n">
        <v>3</v>
      </c>
      <c r="K102" t="n">
        <v>1</v>
      </c>
      <c r="L102" t="n">
        <v>0</v>
      </c>
      <c r="M102" t="n">
        <v>0</v>
      </c>
      <c r="N102" t="n">
        <v>0</v>
      </c>
      <c r="O102" t="n">
        <v>4</v>
      </c>
      <c r="P102" t="n">
        <v>1</v>
      </c>
      <c r="Q102" t="n">
        <v>5</v>
      </c>
      <c r="R102" s="2" t="inlineStr">
        <is>
          <t>Knärot
Dvärgbägarlav
Kortskaftad ärgspik
Mörk kolflarnlav
Dropptaggsvamp</t>
        </is>
      </c>
      <c r="S102">
        <f>HYPERLINK("https://klasma.github.io/Logging_2260/artfynd/A 42887-2022 artfynd.xlsx", "A 42887-2022")</f>
        <v/>
      </c>
      <c r="T102">
        <f>HYPERLINK("https://klasma.github.io/Logging_2260/kartor/A 42887-2022 karta.png", "A 42887-2022")</f>
        <v/>
      </c>
      <c r="U102">
        <f>HYPERLINK("https://klasma.github.io/Logging_2260/knärot/A 42887-2022 karta knärot.png", "A 42887-2022")</f>
        <v/>
      </c>
      <c r="V102">
        <f>HYPERLINK("https://klasma.github.io/Logging_2260/klagomål/A 42887-2022 FSC-klagomål.docx", "A 42887-2022")</f>
        <v/>
      </c>
      <c r="W102">
        <f>HYPERLINK("https://klasma.github.io/Logging_2260/klagomålsmail/A 42887-2022 FSC-klagomål mail.docx", "A 42887-2022")</f>
        <v/>
      </c>
      <c r="X102">
        <f>HYPERLINK("https://klasma.github.io/Logging_2260/tillsyn/A 42887-2022 tillsynsbegäran.docx", "A 42887-2022")</f>
        <v/>
      </c>
      <c r="Y102">
        <f>HYPERLINK("https://klasma.github.io/Logging_2260/tillsynsmail/A 42887-2022 tillsynsbegäran mail.docx", "A 42887-2022")</f>
        <v/>
      </c>
    </row>
    <row r="103" ht="15" customHeight="1">
      <c r="A103" t="inlineStr">
        <is>
          <t>A 13696-2023</t>
        </is>
      </c>
      <c r="B103" s="1" t="n">
        <v>45006</v>
      </c>
      <c r="C103" s="1" t="n">
        <v>45588</v>
      </c>
      <c r="D103" t="inlineStr">
        <is>
          <t>VÄSTERNORRLANDS LÄN</t>
        </is>
      </c>
      <c r="E103" t="inlineStr">
        <is>
          <t>ÅNGE</t>
        </is>
      </c>
      <c r="F103" t="inlineStr">
        <is>
          <t>SCA</t>
        </is>
      </c>
      <c r="G103" t="n">
        <v>47.6</v>
      </c>
      <c r="H103" t="n">
        <v>1</v>
      </c>
      <c r="I103" t="n">
        <v>0</v>
      </c>
      <c r="J103" t="n">
        <v>4</v>
      </c>
      <c r="K103" t="n">
        <v>1</v>
      </c>
      <c r="L103" t="n">
        <v>0</v>
      </c>
      <c r="M103" t="n">
        <v>0</v>
      </c>
      <c r="N103" t="n">
        <v>0</v>
      </c>
      <c r="O103" t="n">
        <v>5</v>
      </c>
      <c r="P103" t="n">
        <v>1</v>
      </c>
      <c r="Q103" t="n">
        <v>5</v>
      </c>
      <c r="R103" s="2" t="inlineStr">
        <is>
          <t>Knärot
Dvärgbägarlav
Knottrig blåslav
Mörk kolflarnlav
Nordtagging</t>
        </is>
      </c>
      <c r="S103">
        <f>HYPERLINK("https://klasma.github.io/Logging_2260/artfynd/A 13696-2023 artfynd.xlsx", "A 13696-2023")</f>
        <v/>
      </c>
      <c r="T103">
        <f>HYPERLINK("https://klasma.github.io/Logging_2260/kartor/A 13696-2023 karta.png", "A 13696-2023")</f>
        <v/>
      </c>
      <c r="U103">
        <f>HYPERLINK("https://klasma.github.io/Logging_2260/knärot/A 13696-2023 karta knärot.png", "A 13696-2023")</f>
        <v/>
      </c>
      <c r="V103">
        <f>HYPERLINK("https://klasma.github.io/Logging_2260/klagomål/A 13696-2023 FSC-klagomål.docx", "A 13696-2023")</f>
        <v/>
      </c>
      <c r="W103">
        <f>HYPERLINK("https://klasma.github.io/Logging_2260/klagomålsmail/A 13696-2023 FSC-klagomål mail.docx", "A 13696-2023")</f>
        <v/>
      </c>
      <c r="X103">
        <f>HYPERLINK("https://klasma.github.io/Logging_2260/tillsyn/A 13696-2023 tillsynsbegäran.docx", "A 13696-2023")</f>
        <v/>
      </c>
      <c r="Y103">
        <f>HYPERLINK("https://klasma.github.io/Logging_2260/tillsynsmail/A 13696-2023 tillsynsbegäran mail.docx", "A 13696-2023")</f>
        <v/>
      </c>
    </row>
    <row r="104" ht="15" customHeight="1">
      <c r="A104" t="inlineStr">
        <is>
          <t>A 30845-2023</t>
        </is>
      </c>
      <c r="B104" s="1" t="n">
        <v>45112</v>
      </c>
      <c r="C104" s="1" t="n">
        <v>45588</v>
      </c>
      <c r="D104" t="inlineStr">
        <is>
          <t>VÄSTERNORRLANDS LÄN</t>
        </is>
      </c>
      <c r="E104" t="inlineStr">
        <is>
          <t>ÅNGE</t>
        </is>
      </c>
      <c r="F104" t="inlineStr">
        <is>
          <t>SCA</t>
        </is>
      </c>
      <c r="G104" t="n">
        <v>10.8</v>
      </c>
      <c r="H104" t="n">
        <v>1</v>
      </c>
      <c r="I104" t="n">
        <v>3</v>
      </c>
      <c r="J104" t="n">
        <v>1</v>
      </c>
      <c r="K104" t="n">
        <v>1</v>
      </c>
      <c r="L104" t="n">
        <v>0</v>
      </c>
      <c r="M104" t="n">
        <v>0</v>
      </c>
      <c r="N104" t="n">
        <v>0</v>
      </c>
      <c r="O104" t="n">
        <v>2</v>
      </c>
      <c r="P104" t="n">
        <v>1</v>
      </c>
      <c r="Q104" t="n">
        <v>5</v>
      </c>
      <c r="R104" s="2" t="inlineStr">
        <is>
          <t>Knärot
Lunglav
Bollvitmossa
Mörk husmossa
Vedticka</t>
        </is>
      </c>
      <c r="S104">
        <f>HYPERLINK("https://klasma.github.io/Logging_2260/artfynd/A 30845-2023 artfynd.xlsx", "A 30845-2023")</f>
        <v/>
      </c>
      <c r="T104">
        <f>HYPERLINK("https://klasma.github.io/Logging_2260/kartor/A 30845-2023 karta.png", "A 30845-2023")</f>
        <v/>
      </c>
      <c r="U104">
        <f>HYPERLINK("https://klasma.github.io/Logging_2260/knärot/A 30845-2023 karta knärot.png", "A 30845-2023")</f>
        <v/>
      </c>
      <c r="V104">
        <f>HYPERLINK("https://klasma.github.io/Logging_2260/klagomål/A 30845-2023 FSC-klagomål.docx", "A 30845-2023")</f>
        <v/>
      </c>
      <c r="W104">
        <f>HYPERLINK("https://klasma.github.io/Logging_2260/klagomålsmail/A 30845-2023 FSC-klagomål mail.docx", "A 30845-2023")</f>
        <v/>
      </c>
      <c r="X104">
        <f>HYPERLINK("https://klasma.github.io/Logging_2260/tillsyn/A 30845-2023 tillsynsbegäran.docx", "A 30845-2023")</f>
        <v/>
      </c>
      <c r="Y104">
        <f>HYPERLINK("https://klasma.github.io/Logging_2260/tillsynsmail/A 30845-2023 tillsynsbegäran mail.docx", "A 30845-2023")</f>
        <v/>
      </c>
    </row>
    <row r="105" ht="15" customHeight="1">
      <c r="A105" t="inlineStr">
        <is>
          <t>A 55004-2023</t>
        </is>
      </c>
      <c r="B105" s="1" t="n">
        <v>45236</v>
      </c>
      <c r="C105" s="1" t="n">
        <v>45588</v>
      </c>
      <c r="D105" t="inlineStr">
        <is>
          <t>VÄSTERNORRLANDS LÄN</t>
        </is>
      </c>
      <c r="E105" t="inlineStr">
        <is>
          <t>ÅNGE</t>
        </is>
      </c>
      <c r="F105" t="inlineStr">
        <is>
          <t>SCA</t>
        </is>
      </c>
      <c r="G105" t="n">
        <v>3.7</v>
      </c>
      <c r="H105" t="n">
        <v>2</v>
      </c>
      <c r="I105" t="n">
        <v>3</v>
      </c>
      <c r="J105" t="n">
        <v>1</v>
      </c>
      <c r="K105" t="n">
        <v>0</v>
      </c>
      <c r="L105" t="n">
        <v>0</v>
      </c>
      <c r="M105" t="n">
        <v>0</v>
      </c>
      <c r="N105" t="n">
        <v>0</v>
      </c>
      <c r="O105" t="n">
        <v>1</v>
      </c>
      <c r="P105" t="n">
        <v>0</v>
      </c>
      <c r="Q105" t="n">
        <v>5</v>
      </c>
      <c r="R105" s="2" t="inlineStr">
        <is>
          <t>Storgröe
Kransrams
Spädstarr
Tvåblad
Fläcknycklar</t>
        </is>
      </c>
      <c r="S105">
        <f>HYPERLINK("https://klasma.github.io/Logging_2260/artfynd/A 55004-2023 artfynd.xlsx", "A 55004-2023")</f>
        <v/>
      </c>
      <c r="T105">
        <f>HYPERLINK("https://klasma.github.io/Logging_2260/kartor/A 55004-2023 karta.png", "A 55004-2023")</f>
        <v/>
      </c>
      <c r="V105">
        <f>HYPERLINK("https://klasma.github.io/Logging_2260/klagomål/A 55004-2023 FSC-klagomål.docx", "A 55004-2023")</f>
        <v/>
      </c>
      <c r="W105">
        <f>HYPERLINK("https://klasma.github.io/Logging_2260/klagomålsmail/A 55004-2023 FSC-klagomål mail.docx", "A 55004-2023")</f>
        <v/>
      </c>
      <c r="X105">
        <f>HYPERLINK("https://klasma.github.io/Logging_2260/tillsyn/A 55004-2023 tillsynsbegäran.docx", "A 55004-2023")</f>
        <v/>
      </c>
      <c r="Y105">
        <f>HYPERLINK("https://klasma.github.io/Logging_2260/tillsynsmail/A 55004-2023 tillsynsbegäran mail.docx", "A 55004-2023")</f>
        <v/>
      </c>
    </row>
    <row r="106" ht="15" customHeight="1">
      <c r="A106" t="inlineStr">
        <is>
          <t>A 18346-2024</t>
        </is>
      </c>
      <c r="B106" s="1" t="n">
        <v>45422</v>
      </c>
      <c r="C106" s="1" t="n">
        <v>45588</v>
      </c>
      <c r="D106" t="inlineStr">
        <is>
          <t>VÄSTERNORRLANDS LÄN</t>
        </is>
      </c>
      <c r="E106" t="inlineStr">
        <is>
          <t>ÅNGE</t>
        </is>
      </c>
      <c r="G106" t="n">
        <v>5.1</v>
      </c>
      <c r="H106" t="n">
        <v>1</v>
      </c>
      <c r="I106" t="n">
        <v>2</v>
      </c>
      <c r="J106" t="n">
        <v>2</v>
      </c>
      <c r="K106" t="n">
        <v>1</v>
      </c>
      <c r="L106" t="n">
        <v>0</v>
      </c>
      <c r="M106" t="n">
        <v>0</v>
      </c>
      <c r="N106" t="n">
        <v>0</v>
      </c>
      <c r="O106" t="n">
        <v>3</v>
      </c>
      <c r="P106" t="n">
        <v>1</v>
      </c>
      <c r="Q106" t="n">
        <v>5</v>
      </c>
      <c r="R106" s="2" t="inlineStr">
        <is>
          <t>Knärot
Gammelgransskål
Kortskaftad ärgspik
Korallblylav
Vedticka</t>
        </is>
      </c>
      <c r="S106">
        <f>HYPERLINK("https://klasma.github.io/Logging_2260/artfynd/A 18346-2024 artfynd.xlsx", "A 18346-2024")</f>
        <v/>
      </c>
      <c r="T106">
        <f>HYPERLINK("https://klasma.github.io/Logging_2260/kartor/A 18346-2024 karta.png", "A 18346-2024")</f>
        <v/>
      </c>
      <c r="U106">
        <f>HYPERLINK("https://klasma.github.io/Logging_2260/knärot/A 18346-2024 karta knärot.png", "A 18346-2024")</f>
        <v/>
      </c>
      <c r="V106">
        <f>HYPERLINK("https://klasma.github.io/Logging_2260/klagomål/A 18346-2024 FSC-klagomål.docx", "A 18346-2024")</f>
        <v/>
      </c>
      <c r="W106">
        <f>HYPERLINK("https://klasma.github.io/Logging_2260/klagomålsmail/A 18346-2024 FSC-klagomål mail.docx", "A 18346-2024")</f>
        <v/>
      </c>
      <c r="X106">
        <f>HYPERLINK("https://klasma.github.io/Logging_2260/tillsyn/A 18346-2024 tillsynsbegäran.docx", "A 18346-2024")</f>
        <v/>
      </c>
      <c r="Y106">
        <f>HYPERLINK("https://klasma.github.io/Logging_2260/tillsynsmail/A 18346-2024 tillsynsbegäran mail.docx", "A 18346-2024")</f>
        <v/>
      </c>
    </row>
    <row r="107" ht="15" customHeight="1">
      <c r="A107" t="inlineStr">
        <is>
          <t>A 26958-2024</t>
        </is>
      </c>
      <c r="B107" s="1" t="n">
        <v>45470</v>
      </c>
      <c r="C107" s="1" t="n">
        <v>45588</v>
      </c>
      <c r="D107" t="inlineStr">
        <is>
          <t>VÄSTERNORRLANDS LÄN</t>
        </is>
      </c>
      <c r="E107" t="inlineStr">
        <is>
          <t>ÅNGE</t>
        </is>
      </c>
      <c r="F107" t="inlineStr">
        <is>
          <t>SCA</t>
        </is>
      </c>
      <c r="G107" t="n">
        <v>3.8</v>
      </c>
      <c r="H107" t="n">
        <v>2</v>
      </c>
      <c r="I107" t="n">
        <v>1</v>
      </c>
      <c r="J107" t="n">
        <v>3</v>
      </c>
      <c r="K107" t="n">
        <v>0</v>
      </c>
      <c r="L107" t="n">
        <v>0</v>
      </c>
      <c r="M107" t="n">
        <v>0</v>
      </c>
      <c r="N107" t="n">
        <v>0</v>
      </c>
      <c r="O107" t="n">
        <v>3</v>
      </c>
      <c r="P107" t="n">
        <v>0</v>
      </c>
      <c r="Q107" t="n">
        <v>5</v>
      </c>
      <c r="R107" s="2" t="inlineStr">
        <is>
          <t>Garnlav
Tretåig hackspett
Vitgrynig nållav
Gulnål
Tjäder</t>
        </is>
      </c>
      <c r="S107">
        <f>HYPERLINK("https://klasma.github.io/Logging_2260/artfynd/A 26958-2024 artfynd.xlsx", "A 26958-2024")</f>
        <v/>
      </c>
      <c r="T107">
        <f>HYPERLINK("https://klasma.github.io/Logging_2260/kartor/A 26958-2024 karta.png", "A 26958-2024")</f>
        <v/>
      </c>
      <c r="V107">
        <f>HYPERLINK("https://klasma.github.io/Logging_2260/klagomål/A 26958-2024 FSC-klagomål.docx", "A 26958-2024")</f>
        <v/>
      </c>
      <c r="W107">
        <f>HYPERLINK("https://klasma.github.io/Logging_2260/klagomålsmail/A 26958-2024 FSC-klagomål mail.docx", "A 26958-2024")</f>
        <v/>
      </c>
      <c r="X107">
        <f>HYPERLINK("https://klasma.github.io/Logging_2260/tillsyn/A 26958-2024 tillsynsbegäran.docx", "A 26958-2024")</f>
        <v/>
      </c>
      <c r="Y107">
        <f>HYPERLINK("https://klasma.github.io/Logging_2260/tillsynsmail/A 26958-2024 tillsynsbegäran mail.docx", "A 26958-2024")</f>
        <v/>
      </c>
      <c r="Z107">
        <f>HYPERLINK("https://klasma.github.io/Logging_2260/fåglar/A 26958-2024 prioriterade fågelarter.docx", "A 26958-2024")</f>
        <v/>
      </c>
    </row>
    <row r="108" ht="15" customHeight="1">
      <c r="A108" t="inlineStr">
        <is>
          <t>A 27914-2024</t>
        </is>
      </c>
      <c r="B108" s="1" t="n">
        <v>45475</v>
      </c>
      <c r="C108" s="1" t="n">
        <v>45588</v>
      </c>
      <c r="D108" t="inlineStr">
        <is>
          <t>VÄSTERNORRLANDS LÄN</t>
        </is>
      </c>
      <c r="E108" t="inlineStr">
        <is>
          <t>ÅNGE</t>
        </is>
      </c>
      <c r="F108" t="inlineStr">
        <is>
          <t>SCA</t>
        </is>
      </c>
      <c r="G108" t="n">
        <v>1.4</v>
      </c>
      <c r="H108" t="n">
        <v>0</v>
      </c>
      <c r="I108" t="n">
        <v>2</v>
      </c>
      <c r="J108" t="n">
        <v>3</v>
      </c>
      <c r="K108" t="n">
        <v>0</v>
      </c>
      <c r="L108" t="n">
        <v>0</v>
      </c>
      <c r="M108" t="n">
        <v>0</v>
      </c>
      <c r="N108" t="n">
        <v>0</v>
      </c>
      <c r="O108" t="n">
        <v>3</v>
      </c>
      <c r="P108" t="n">
        <v>0</v>
      </c>
      <c r="Q108" t="n">
        <v>5</v>
      </c>
      <c r="R108" s="2" t="inlineStr">
        <is>
          <t>Granticka
Lunglav
Vedtrappmossa
Korallblylav
Stuplav</t>
        </is>
      </c>
      <c r="S108">
        <f>HYPERLINK("https://klasma.github.io/Logging_2260/artfynd/A 27914-2024 artfynd.xlsx", "A 27914-2024")</f>
        <v/>
      </c>
      <c r="T108">
        <f>HYPERLINK("https://klasma.github.io/Logging_2260/kartor/A 27914-2024 karta.png", "A 27914-2024")</f>
        <v/>
      </c>
      <c r="V108">
        <f>HYPERLINK("https://klasma.github.io/Logging_2260/klagomål/A 27914-2024 FSC-klagomål.docx", "A 27914-2024")</f>
        <v/>
      </c>
      <c r="W108">
        <f>HYPERLINK("https://klasma.github.io/Logging_2260/klagomålsmail/A 27914-2024 FSC-klagomål mail.docx", "A 27914-2024")</f>
        <v/>
      </c>
      <c r="X108">
        <f>HYPERLINK("https://klasma.github.io/Logging_2260/tillsyn/A 27914-2024 tillsynsbegäran.docx", "A 27914-2024")</f>
        <v/>
      </c>
      <c r="Y108">
        <f>HYPERLINK("https://klasma.github.io/Logging_2260/tillsynsmail/A 27914-2024 tillsynsbegäran mail.docx", "A 27914-2024")</f>
        <v/>
      </c>
    </row>
    <row r="109" ht="15" customHeight="1">
      <c r="A109" t="inlineStr">
        <is>
          <t>A 32911-2024</t>
        </is>
      </c>
      <c r="B109" s="1" t="n">
        <v>45516</v>
      </c>
      <c r="C109" s="1" t="n">
        <v>45588</v>
      </c>
      <c r="D109" t="inlineStr">
        <is>
          <t>VÄSTERNORRLANDS LÄN</t>
        </is>
      </c>
      <c r="E109" t="inlineStr">
        <is>
          <t>ÅNGE</t>
        </is>
      </c>
      <c r="F109" t="inlineStr">
        <is>
          <t>SCA</t>
        </is>
      </c>
      <c r="G109" t="n">
        <v>1</v>
      </c>
      <c r="H109" t="n">
        <v>3</v>
      </c>
      <c r="I109" t="n">
        <v>0</v>
      </c>
      <c r="J109" t="n">
        <v>2</v>
      </c>
      <c r="K109" t="n">
        <v>2</v>
      </c>
      <c r="L109" t="n">
        <v>0</v>
      </c>
      <c r="M109" t="n">
        <v>0</v>
      </c>
      <c r="N109" t="n">
        <v>0</v>
      </c>
      <c r="O109" t="n">
        <v>4</v>
      </c>
      <c r="P109" t="n">
        <v>2</v>
      </c>
      <c r="Q109" t="n">
        <v>5</v>
      </c>
      <c r="R109" s="2" t="inlineStr">
        <is>
          <t>Doftticka
Knärot
Garnlav
Lunglav
Revlummer</t>
        </is>
      </c>
      <c r="S109">
        <f>HYPERLINK("https://klasma.github.io/Logging_2260/artfynd/A 32911-2024 artfynd.xlsx", "A 32911-2024")</f>
        <v/>
      </c>
      <c r="T109">
        <f>HYPERLINK("https://klasma.github.io/Logging_2260/kartor/A 32911-2024 karta.png", "A 32911-2024")</f>
        <v/>
      </c>
      <c r="U109">
        <f>HYPERLINK("https://klasma.github.io/Logging_2260/knärot/A 32911-2024 karta knärot.png", "A 32911-2024")</f>
        <v/>
      </c>
      <c r="V109">
        <f>HYPERLINK("https://klasma.github.io/Logging_2260/klagomål/A 32911-2024 FSC-klagomål.docx", "A 32911-2024")</f>
        <v/>
      </c>
      <c r="W109">
        <f>HYPERLINK("https://klasma.github.io/Logging_2260/klagomålsmail/A 32911-2024 FSC-klagomål mail.docx", "A 32911-2024")</f>
        <v/>
      </c>
      <c r="X109">
        <f>HYPERLINK("https://klasma.github.io/Logging_2260/tillsyn/A 32911-2024 tillsynsbegäran.docx", "A 32911-2024")</f>
        <v/>
      </c>
      <c r="Y109">
        <f>HYPERLINK("https://klasma.github.io/Logging_2260/tillsynsmail/A 32911-2024 tillsynsbegäran mail.docx", "A 32911-2024")</f>
        <v/>
      </c>
    </row>
    <row r="110" ht="15" customHeight="1">
      <c r="A110" t="inlineStr">
        <is>
          <t>A 44555-2024</t>
        </is>
      </c>
      <c r="B110" s="1" t="n">
        <v>45574</v>
      </c>
      <c r="C110" s="1" t="n">
        <v>45588</v>
      </c>
      <c r="D110" t="inlineStr">
        <is>
          <t>VÄSTERNORRLANDS LÄN</t>
        </is>
      </c>
      <c r="E110" t="inlineStr">
        <is>
          <t>ÅNGE</t>
        </is>
      </c>
      <c r="F110" t="inlineStr">
        <is>
          <t>SCA</t>
        </is>
      </c>
      <c r="G110" t="n">
        <v>7.4</v>
      </c>
      <c r="H110" t="n">
        <v>2</v>
      </c>
      <c r="I110" t="n">
        <v>3</v>
      </c>
      <c r="J110" t="n">
        <v>0</v>
      </c>
      <c r="K110" t="n">
        <v>0</v>
      </c>
      <c r="L110" t="n">
        <v>0</v>
      </c>
      <c r="M110" t="n">
        <v>0</v>
      </c>
      <c r="N110" t="n">
        <v>0</v>
      </c>
      <c r="O110" t="n">
        <v>0</v>
      </c>
      <c r="P110" t="n">
        <v>0</v>
      </c>
      <c r="Q110" t="n">
        <v>5</v>
      </c>
      <c r="R110" s="2" t="inlineStr">
        <is>
          <t>Svart trolldruva
Underviol
Vårärt
Fläcknycklar
Blåsippa</t>
        </is>
      </c>
      <c r="S110">
        <f>HYPERLINK("https://klasma.github.io/Logging_2260/artfynd/A 44555-2024 artfynd.xlsx", "A 44555-2024")</f>
        <v/>
      </c>
      <c r="T110">
        <f>HYPERLINK("https://klasma.github.io/Logging_2260/kartor/A 44555-2024 karta.png", "A 44555-2024")</f>
        <v/>
      </c>
      <c r="V110">
        <f>HYPERLINK("https://klasma.github.io/Logging_2260/klagomål/A 44555-2024 FSC-klagomål.docx", "A 44555-2024")</f>
        <v/>
      </c>
      <c r="W110">
        <f>HYPERLINK("https://klasma.github.io/Logging_2260/klagomålsmail/A 44555-2024 FSC-klagomål mail.docx", "A 44555-2024")</f>
        <v/>
      </c>
      <c r="X110">
        <f>HYPERLINK("https://klasma.github.io/Logging_2260/tillsyn/A 44555-2024 tillsynsbegäran.docx", "A 44555-2024")</f>
        <v/>
      </c>
      <c r="Y110">
        <f>HYPERLINK("https://klasma.github.io/Logging_2260/tillsynsmail/A 44555-2024 tillsynsbegäran mail.docx", "A 44555-2024")</f>
        <v/>
      </c>
    </row>
    <row r="111" ht="15" customHeight="1">
      <c r="A111" t="inlineStr">
        <is>
          <t>A 26240-2019</t>
        </is>
      </c>
      <c r="B111" s="1" t="n">
        <v>43609</v>
      </c>
      <c r="C111" s="1" t="n">
        <v>45588</v>
      </c>
      <c r="D111" t="inlineStr">
        <is>
          <t>VÄSTERNORRLANDS LÄN</t>
        </is>
      </c>
      <c r="E111" t="inlineStr">
        <is>
          <t>ÅNGE</t>
        </is>
      </c>
      <c r="F111" t="inlineStr">
        <is>
          <t>SCA</t>
        </is>
      </c>
      <c r="G111" t="n">
        <v>15.8</v>
      </c>
      <c r="H111" t="n">
        <v>1</v>
      </c>
      <c r="I111" t="n">
        <v>0</v>
      </c>
      <c r="J111" t="n">
        <v>4</v>
      </c>
      <c r="K111" t="n">
        <v>0</v>
      </c>
      <c r="L111" t="n">
        <v>0</v>
      </c>
      <c r="M111" t="n">
        <v>0</v>
      </c>
      <c r="N111" t="n">
        <v>0</v>
      </c>
      <c r="O111" t="n">
        <v>4</v>
      </c>
      <c r="P111" t="n">
        <v>0</v>
      </c>
      <c r="Q111" t="n">
        <v>4</v>
      </c>
      <c r="R111" s="2" t="inlineStr">
        <is>
          <t>Garnlav
Kolflarnlav
Reliktbock
Tretåig hackspett</t>
        </is>
      </c>
      <c r="S111">
        <f>HYPERLINK("https://klasma.github.io/Logging_2260/artfynd/A 26240-2019 artfynd.xlsx", "A 26240-2019")</f>
        <v/>
      </c>
      <c r="T111">
        <f>HYPERLINK("https://klasma.github.io/Logging_2260/kartor/A 26240-2019 karta.png", "A 26240-2019")</f>
        <v/>
      </c>
      <c r="V111">
        <f>HYPERLINK("https://klasma.github.io/Logging_2260/klagomål/A 26240-2019 FSC-klagomål.docx", "A 26240-2019")</f>
        <v/>
      </c>
      <c r="W111">
        <f>HYPERLINK("https://klasma.github.io/Logging_2260/klagomålsmail/A 26240-2019 FSC-klagomål mail.docx", "A 26240-2019")</f>
        <v/>
      </c>
      <c r="X111">
        <f>HYPERLINK("https://klasma.github.io/Logging_2260/tillsyn/A 26240-2019 tillsynsbegäran.docx", "A 26240-2019")</f>
        <v/>
      </c>
      <c r="Y111">
        <f>HYPERLINK("https://klasma.github.io/Logging_2260/tillsynsmail/A 26240-2019 tillsynsbegäran mail.docx", "A 26240-2019")</f>
        <v/>
      </c>
      <c r="Z111">
        <f>HYPERLINK("https://klasma.github.io/Logging_2260/fåglar/A 26240-2019 prioriterade fågelarter.docx", "A 26240-2019")</f>
        <v/>
      </c>
    </row>
    <row r="112" ht="15" customHeight="1">
      <c r="A112" t="inlineStr">
        <is>
          <t>A 53169-2020</t>
        </is>
      </c>
      <c r="B112" s="1" t="n">
        <v>44120</v>
      </c>
      <c r="C112" s="1" t="n">
        <v>45588</v>
      </c>
      <c r="D112" t="inlineStr">
        <is>
          <t>VÄSTERNORRLANDS LÄN</t>
        </is>
      </c>
      <c r="E112" t="inlineStr">
        <is>
          <t>ÅNGE</t>
        </is>
      </c>
      <c r="F112" t="inlineStr">
        <is>
          <t>SCA</t>
        </is>
      </c>
      <c r="G112" t="n">
        <v>6.4</v>
      </c>
      <c r="H112" t="n">
        <v>2</v>
      </c>
      <c r="I112" t="n">
        <v>1</v>
      </c>
      <c r="J112" t="n">
        <v>2</v>
      </c>
      <c r="K112" t="n">
        <v>1</v>
      </c>
      <c r="L112" t="n">
        <v>0</v>
      </c>
      <c r="M112" t="n">
        <v>0</v>
      </c>
      <c r="N112" t="n">
        <v>0</v>
      </c>
      <c r="O112" t="n">
        <v>3</v>
      </c>
      <c r="P112" t="n">
        <v>1</v>
      </c>
      <c r="Q112" t="n">
        <v>4</v>
      </c>
      <c r="R112" s="2" t="inlineStr">
        <is>
          <t>Långskägg
Garnlav
Lunglav
Korallrot</t>
        </is>
      </c>
      <c r="S112">
        <f>HYPERLINK("https://klasma.github.io/Logging_2260/artfynd/A 53169-2020 artfynd.xlsx", "A 53169-2020")</f>
        <v/>
      </c>
      <c r="T112">
        <f>HYPERLINK("https://klasma.github.io/Logging_2260/kartor/A 53169-2020 karta.png", "A 53169-2020")</f>
        <v/>
      </c>
      <c r="V112">
        <f>HYPERLINK("https://klasma.github.io/Logging_2260/klagomål/A 53169-2020 FSC-klagomål.docx", "A 53169-2020")</f>
        <v/>
      </c>
      <c r="W112">
        <f>HYPERLINK("https://klasma.github.io/Logging_2260/klagomålsmail/A 53169-2020 FSC-klagomål mail.docx", "A 53169-2020")</f>
        <v/>
      </c>
      <c r="X112">
        <f>HYPERLINK("https://klasma.github.io/Logging_2260/tillsyn/A 53169-2020 tillsynsbegäran.docx", "A 53169-2020")</f>
        <v/>
      </c>
      <c r="Y112">
        <f>HYPERLINK("https://klasma.github.io/Logging_2260/tillsynsmail/A 53169-2020 tillsynsbegäran mail.docx", "A 53169-2020")</f>
        <v/>
      </c>
    </row>
    <row r="113" ht="15" customHeight="1">
      <c r="A113" t="inlineStr">
        <is>
          <t>A 29095-2021</t>
        </is>
      </c>
      <c r="B113" s="1" t="n">
        <v>44358</v>
      </c>
      <c r="C113" s="1" t="n">
        <v>45588</v>
      </c>
      <c r="D113" t="inlineStr">
        <is>
          <t>VÄSTERNORRLANDS LÄN</t>
        </is>
      </c>
      <c r="E113" t="inlineStr">
        <is>
          <t>ÅNGE</t>
        </is>
      </c>
      <c r="F113" t="inlineStr">
        <is>
          <t>Sveaskog</t>
        </is>
      </c>
      <c r="G113" t="n">
        <v>5</v>
      </c>
      <c r="H113" t="n">
        <v>3</v>
      </c>
      <c r="I113" t="n">
        <v>1</v>
      </c>
      <c r="J113" t="n">
        <v>1</v>
      </c>
      <c r="K113" t="n">
        <v>0</v>
      </c>
      <c r="L113" t="n">
        <v>0</v>
      </c>
      <c r="M113" t="n">
        <v>0</v>
      </c>
      <c r="N113" t="n">
        <v>0</v>
      </c>
      <c r="O113" t="n">
        <v>1</v>
      </c>
      <c r="P113" t="n">
        <v>0</v>
      </c>
      <c r="Q113" t="n">
        <v>4</v>
      </c>
      <c r="R113" s="2" t="inlineStr">
        <is>
          <t>Garnlav
Plattlummer
Nattviol
Revlummer</t>
        </is>
      </c>
      <c r="S113">
        <f>HYPERLINK("https://klasma.github.io/Logging_2260/artfynd/A 29095-2021 artfynd.xlsx", "A 29095-2021")</f>
        <v/>
      </c>
      <c r="T113">
        <f>HYPERLINK("https://klasma.github.io/Logging_2260/kartor/A 29095-2021 karta.png", "A 29095-2021")</f>
        <v/>
      </c>
      <c r="V113">
        <f>HYPERLINK("https://klasma.github.io/Logging_2260/klagomål/A 29095-2021 FSC-klagomål.docx", "A 29095-2021")</f>
        <v/>
      </c>
      <c r="W113">
        <f>HYPERLINK("https://klasma.github.io/Logging_2260/klagomålsmail/A 29095-2021 FSC-klagomål mail.docx", "A 29095-2021")</f>
        <v/>
      </c>
      <c r="X113">
        <f>HYPERLINK("https://klasma.github.io/Logging_2260/tillsyn/A 29095-2021 tillsynsbegäran.docx", "A 29095-2021")</f>
        <v/>
      </c>
      <c r="Y113">
        <f>HYPERLINK("https://klasma.github.io/Logging_2260/tillsynsmail/A 29095-2021 tillsynsbegäran mail.docx", "A 29095-2021")</f>
        <v/>
      </c>
    </row>
    <row r="114" ht="15" customHeight="1">
      <c r="A114" t="inlineStr">
        <is>
          <t>A 21878-2022</t>
        </is>
      </c>
      <c r="B114" s="1" t="n">
        <v>44711</v>
      </c>
      <c r="C114" s="1" t="n">
        <v>45588</v>
      </c>
      <c r="D114" t="inlineStr">
        <is>
          <t>VÄSTERNORRLANDS LÄN</t>
        </is>
      </c>
      <c r="E114" t="inlineStr">
        <is>
          <t>ÅNGE</t>
        </is>
      </c>
      <c r="F114" t="inlineStr">
        <is>
          <t>Holmen skog AB</t>
        </is>
      </c>
      <c r="G114" t="n">
        <v>10.4</v>
      </c>
      <c r="H114" t="n">
        <v>0</v>
      </c>
      <c r="I114" t="n">
        <v>2</v>
      </c>
      <c r="J114" t="n">
        <v>2</v>
      </c>
      <c r="K114" t="n">
        <v>0</v>
      </c>
      <c r="L114" t="n">
        <v>0</v>
      </c>
      <c r="M114" t="n">
        <v>0</v>
      </c>
      <c r="N114" t="n">
        <v>0</v>
      </c>
      <c r="O114" t="n">
        <v>2</v>
      </c>
      <c r="P114" t="n">
        <v>0</v>
      </c>
      <c r="Q114" t="n">
        <v>4</v>
      </c>
      <c r="R114" s="2" t="inlineStr">
        <is>
          <t>Lunglav
Småflikig brosklav
Korallblylav
Robust tickgnagare</t>
        </is>
      </c>
      <c r="S114">
        <f>HYPERLINK("https://klasma.github.io/Logging_2260/artfynd/A 21878-2022 artfynd.xlsx", "A 21878-2022")</f>
        <v/>
      </c>
      <c r="T114">
        <f>HYPERLINK("https://klasma.github.io/Logging_2260/kartor/A 21878-2022 karta.png", "A 21878-2022")</f>
        <v/>
      </c>
      <c r="V114">
        <f>HYPERLINK("https://klasma.github.io/Logging_2260/klagomål/A 21878-2022 FSC-klagomål.docx", "A 21878-2022")</f>
        <v/>
      </c>
      <c r="W114">
        <f>HYPERLINK("https://klasma.github.io/Logging_2260/klagomålsmail/A 21878-2022 FSC-klagomål mail.docx", "A 21878-2022")</f>
        <v/>
      </c>
      <c r="X114">
        <f>HYPERLINK("https://klasma.github.io/Logging_2260/tillsyn/A 21878-2022 tillsynsbegäran.docx", "A 21878-2022")</f>
        <v/>
      </c>
      <c r="Y114">
        <f>HYPERLINK("https://klasma.github.io/Logging_2260/tillsynsmail/A 21878-2022 tillsynsbegäran mail.docx", "A 21878-2022")</f>
        <v/>
      </c>
    </row>
    <row r="115" ht="15" customHeight="1">
      <c r="A115" t="inlineStr">
        <is>
          <t>A 26112-2022</t>
        </is>
      </c>
      <c r="B115" s="1" t="n">
        <v>44734</v>
      </c>
      <c r="C115" s="1" t="n">
        <v>45588</v>
      </c>
      <c r="D115" t="inlineStr">
        <is>
          <t>VÄSTERNORRLANDS LÄN</t>
        </is>
      </c>
      <c r="E115" t="inlineStr">
        <is>
          <t>ÅNGE</t>
        </is>
      </c>
      <c r="G115" t="n">
        <v>29.4</v>
      </c>
      <c r="H115" t="n">
        <v>0</v>
      </c>
      <c r="I115" t="n">
        <v>1</v>
      </c>
      <c r="J115" t="n">
        <v>2</v>
      </c>
      <c r="K115" t="n">
        <v>1</v>
      </c>
      <c r="L115" t="n">
        <v>0</v>
      </c>
      <c r="M115" t="n">
        <v>0</v>
      </c>
      <c r="N115" t="n">
        <v>0</v>
      </c>
      <c r="O115" t="n">
        <v>3</v>
      </c>
      <c r="P115" t="n">
        <v>1</v>
      </c>
      <c r="Q115" t="n">
        <v>4</v>
      </c>
      <c r="R115" s="2" t="inlineStr">
        <is>
          <t>Liten hornflikmossa
Mörk kolflarnlav
Vedtrappmossa
Dropptaggsvamp</t>
        </is>
      </c>
      <c r="S115">
        <f>HYPERLINK("https://klasma.github.io/Logging_2260/artfynd/A 26112-2022 artfynd.xlsx", "A 26112-2022")</f>
        <v/>
      </c>
      <c r="T115">
        <f>HYPERLINK("https://klasma.github.io/Logging_2260/kartor/A 26112-2022 karta.png", "A 26112-2022")</f>
        <v/>
      </c>
      <c r="V115">
        <f>HYPERLINK("https://klasma.github.io/Logging_2260/klagomål/A 26112-2022 FSC-klagomål.docx", "A 26112-2022")</f>
        <v/>
      </c>
      <c r="W115">
        <f>HYPERLINK("https://klasma.github.io/Logging_2260/klagomålsmail/A 26112-2022 FSC-klagomål mail.docx", "A 26112-2022")</f>
        <v/>
      </c>
      <c r="X115">
        <f>HYPERLINK("https://klasma.github.io/Logging_2260/tillsyn/A 26112-2022 tillsynsbegäran.docx", "A 26112-2022")</f>
        <v/>
      </c>
      <c r="Y115">
        <f>HYPERLINK("https://klasma.github.io/Logging_2260/tillsynsmail/A 26112-2022 tillsynsbegäran mail.docx", "A 26112-2022")</f>
        <v/>
      </c>
    </row>
    <row r="116" ht="15" customHeight="1">
      <c r="A116" t="inlineStr">
        <is>
          <t>A 57299-2022</t>
        </is>
      </c>
      <c r="B116" s="1" t="n">
        <v>44895</v>
      </c>
      <c r="C116" s="1" t="n">
        <v>45588</v>
      </c>
      <c r="D116" t="inlineStr">
        <is>
          <t>VÄSTERNORRLANDS LÄN</t>
        </is>
      </c>
      <c r="E116" t="inlineStr">
        <is>
          <t>ÅNGE</t>
        </is>
      </c>
      <c r="F116" t="inlineStr">
        <is>
          <t>SCA</t>
        </is>
      </c>
      <c r="G116" t="n">
        <v>3.4</v>
      </c>
      <c r="H116" t="n">
        <v>0</v>
      </c>
      <c r="I116" t="n">
        <v>0</v>
      </c>
      <c r="J116" t="n">
        <v>4</v>
      </c>
      <c r="K116" t="n">
        <v>0</v>
      </c>
      <c r="L116" t="n">
        <v>0</v>
      </c>
      <c r="M116" t="n">
        <v>0</v>
      </c>
      <c r="N116" t="n">
        <v>0</v>
      </c>
      <c r="O116" t="n">
        <v>4</v>
      </c>
      <c r="P116" t="n">
        <v>0</v>
      </c>
      <c r="Q116" t="n">
        <v>4</v>
      </c>
      <c r="R116" s="2" t="inlineStr">
        <is>
          <t>Garnlav
Lunglav
Ullticka
Violmussling</t>
        </is>
      </c>
      <c r="S116">
        <f>HYPERLINK("https://klasma.github.io/Logging_2260/artfynd/A 57299-2022 artfynd.xlsx", "A 57299-2022")</f>
        <v/>
      </c>
      <c r="T116">
        <f>HYPERLINK("https://klasma.github.io/Logging_2260/kartor/A 57299-2022 karta.png", "A 57299-2022")</f>
        <v/>
      </c>
      <c r="V116">
        <f>HYPERLINK("https://klasma.github.io/Logging_2260/klagomål/A 57299-2022 FSC-klagomål.docx", "A 57299-2022")</f>
        <v/>
      </c>
      <c r="W116">
        <f>HYPERLINK("https://klasma.github.io/Logging_2260/klagomålsmail/A 57299-2022 FSC-klagomål mail.docx", "A 57299-2022")</f>
        <v/>
      </c>
      <c r="X116">
        <f>HYPERLINK("https://klasma.github.io/Logging_2260/tillsyn/A 57299-2022 tillsynsbegäran.docx", "A 57299-2022")</f>
        <v/>
      </c>
      <c r="Y116">
        <f>HYPERLINK("https://klasma.github.io/Logging_2260/tillsynsmail/A 57299-2022 tillsynsbegäran mail.docx", "A 57299-2022")</f>
        <v/>
      </c>
    </row>
    <row r="117" ht="15" customHeight="1">
      <c r="A117" t="inlineStr">
        <is>
          <t>A 46548-2023</t>
        </is>
      </c>
      <c r="B117" s="1" t="n">
        <v>45197</v>
      </c>
      <c r="C117" s="1" t="n">
        <v>45588</v>
      </c>
      <c r="D117" t="inlineStr">
        <is>
          <t>VÄSTERNORRLANDS LÄN</t>
        </is>
      </c>
      <c r="E117" t="inlineStr">
        <is>
          <t>ÅNGE</t>
        </is>
      </c>
      <c r="F117" t="inlineStr">
        <is>
          <t>SCA</t>
        </is>
      </c>
      <c r="G117" t="n">
        <v>4.1</v>
      </c>
      <c r="H117" t="n">
        <v>3</v>
      </c>
      <c r="I117" t="n">
        <v>2</v>
      </c>
      <c r="J117" t="n">
        <v>0</v>
      </c>
      <c r="K117" t="n">
        <v>1</v>
      </c>
      <c r="L117" t="n">
        <v>0</v>
      </c>
      <c r="M117" t="n">
        <v>0</v>
      </c>
      <c r="N117" t="n">
        <v>0</v>
      </c>
      <c r="O117" t="n">
        <v>1</v>
      </c>
      <c r="P117" t="n">
        <v>1</v>
      </c>
      <c r="Q117" t="n">
        <v>4</v>
      </c>
      <c r="R117" s="2" t="inlineStr">
        <is>
          <t>Knärot
Spindelblomster
Svavelriska
Fläcknycklar</t>
        </is>
      </c>
      <c r="S117">
        <f>HYPERLINK("https://klasma.github.io/Logging_2260/artfynd/A 46548-2023 artfynd.xlsx", "A 46548-2023")</f>
        <v/>
      </c>
      <c r="T117">
        <f>HYPERLINK("https://klasma.github.io/Logging_2260/kartor/A 46548-2023 karta.png", "A 46548-2023")</f>
        <v/>
      </c>
      <c r="U117">
        <f>HYPERLINK("https://klasma.github.io/Logging_2260/knärot/A 46548-2023 karta knärot.png", "A 46548-2023")</f>
        <v/>
      </c>
      <c r="V117">
        <f>HYPERLINK("https://klasma.github.io/Logging_2260/klagomål/A 46548-2023 FSC-klagomål.docx", "A 46548-2023")</f>
        <v/>
      </c>
      <c r="W117">
        <f>HYPERLINK("https://klasma.github.io/Logging_2260/klagomålsmail/A 46548-2023 FSC-klagomål mail.docx", "A 46548-2023")</f>
        <v/>
      </c>
      <c r="X117">
        <f>HYPERLINK("https://klasma.github.io/Logging_2260/tillsyn/A 46548-2023 tillsynsbegäran.docx", "A 46548-2023")</f>
        <v/>
      </c>
      <c r="Y117">
        <f>HYPERLINK("https://klasma.github.io/Logging_2260/tillsynsmail/A 46548-2023 tillsynsbegäran mail.docx", "A 46548-2023")</f>
        <v/>
      </c>
    </row>
    <row r="118" ht="15" customHeight="1">
      <c r="A118" t="inlineStr">
        <is>
          <t>A 54810-2023</t>
        </is>
      </c>
      <c r="B118" s="1" t="n">
        <v>45236</v>
      </c>
      <c r="C118" s="1" t="n">
        <v>45588</v>
      </c>
      <c r="D118" t="inlineStr">
        <is>
          <t>VÄSTERNORRLANDS LÄN</t>
        </is>
      </c>
      <c r="E118" t="inlineStr">
        <is>
          <t>ÅNGE</t>
        </is>
      </c>
      <c r="G118" t="n">
        <v>1.2</v>
      </c>
      <c r="H118" t="n">
        <v>1</v>
      </c>
      <c r="I118" t="n">
        <v>0</v>
      </c>
      <c r="J118" t="n">
        <v>1</v>
      </c>
      <c r="K118" t="n">
        <v>1</v>
      </c>
      <c r="L118" t="n">
        <v>2</v>
      </c>
      <c r="M118" t="n">
        <v>0</v>
      </c>
      <c r="N118" t="n">
        <v>0</v>
      </c>
      <c r="O118" t="n">
        <v>4</v>
      </c>
      <c r="P118" t="n">
        <v>3</v>
      </c>
      <c r="Q118" t="n">
        <v>4</v>
      </c>
      <c r="R118" s="2" t="inlineStr">
        <is>
          <t>Mikroskapania
Timmerskapania
Liten hornflikmossa
Vedtrappmossa</t>
        </is>
      </c>
      <c r="S118">
        <f>HYPERLINK("https://klasma.github.io/Logging_2260/artfynd/A 54810-2023 artfynd.xlsx", "A 54810-2023")</f>
        <v/>
      </c>
      <c r="T118">
        <f>HYPERLINK("https://klasma.github.io/Logging_2260/kartor/A 54810-2023 karta.png", "A 54810-2023")</f>
        <v/>
      </c>
      <c r="V118">
        <f>HYPERLINK("https://klasma.github.io/Logging_2260/klagomål/A 54810-2023 FSC-klagomål.docx", "A 54810-2023")</f>
        <v/>
      </c>
      <c r="W118">
        <f>HYPERLINK("https://klasma.github.io/Logging_2260/klagomålsmail/A 54810-2023 FSC-klagomål mail.docx", "A 54810-2023")</f>
        <v/>
      </c>
      <c r="X118">
        <f>HYPERLINK("https://klasma.github.io/Logging_2260/tillsyn/A 54810-2023 tillsynsbegäran.docx", "A 54810-2023")</f>
        <v/>
      </c>
      <c r="Y118">
        <f>HYPERLINK("https://klasma.github.io/Logging_2260/tillsynsmail/A 54810-2023 tillsynsbegäran mail.docx", "A 54810-2023")</f>
        <v/>
      </c>
    </row>
    <row r="119" ht="15" customHeight="1">
      <c r="A119" t="inlineStr">
        <is>
          <t>A 59659-2023</t>
        </is>
      </c>
      <c r="B119" s="1" t="n">
        <v>45254</v>
      </c>
      <c r="C119" s="1" t="n">
        <v>45588</v>
      </c>
      <c r="D119" t="inlineStr">
        <is>
          <t>VÄSTERNORRLANDS LÄN</t>
        </is>
      </c>
      <c r="E119" t="inlineStr">
        <is>
          <t>ÅNGE</t>
        </is>
      </c>
      <c r="F119" t="inlineStr">
        <is>
          <t>SCA</t>
        </is>
      </c>
      <c r="G119" t="n">
        <v>4.5</v>
      </c>
      <c r="H119" t="n">
        <v>2</v>
      </c>
      <c r="I119" t="n">
        <v>0</v>
      </c>
      <c r="J119" t="n">
        <v>2</v>
      </c>
      <c r="K119" t="n">
        <v>0</v>
      </c>
      <c r="L119" t="n">
        <v>0</v>
      </c>
      <c r="M119" t="n">
        <v>0</v>
      </c>
      <c r="N119" t="n">
        <v>0</v>
      </c>
      <c r="O119" t="n">
        <v>2</v>
      </c>
      <c r="P119" t="n">
        <v>0</v>
      </c>
      <c r="Q119" t="n">
        <v>4</v>
      </c>
      <c r="R119" s="2" t="inlineStr">
        <is>
          <t>Garnlav
Lunglav
Fläcknycklar
Revlummer</t>
        </is>
      </c>
      <c r="S119">
        <f>HYPERLINK("https://klasma.github.io/Logging_2260/artfynd/A 59659-2023 artfynd.xlsx", "A 59659-2023")</f>
        <v/>
      </c>
      <c r="T119">
        <f>HYPERLINK("https://klasma.github.io/Logging_2260/kartor/A 59659-2023 karta.png", "A 59659-2023")</f>
        <v/>
      </c>
      <c r="V119">
        <f>HYPERLINK("https://klasma.github.io/Logging_2260/klagomål/A 59659-2023 FSC-klagomål.docx", "A 59659-2023")</f>
        <v/>
      </c>
      <c r="W119">
        <f>HYPERLINK("https://klasma.github.io/Logging_2260/klagomålsmail/A 59659-2023 FSC-klagomål mail.docx", "A 59659-2023")</f>
        <v/>
      </c>
      <c r="X119">
        <f>HYPERLINK("https://klasma.github.io/Logging_2260/tillsyn/A 59659-2023 tillsynsbegäran.docx", "A 59659-2023")</f>
        <v/>
      </c>
      <c r="Y119">
        <f>HYPERLINK("https://klasma.github.io/Logging_2260/tillsynsmail/A 59659-2023 tillsynsbegäran mail.docx", "A 59659-2023")</f>
        <v/>
      </c>
    </row>
    <row r="120" ht="15" customHeight="1">
      <c r="A120" t="inlineStr">
        <is>
          <t>A 60002-2023</t>
        </is>
      </c>
      <c r="B120" s="1" t="n">
        <v>45257</v>
      </c>
      <c r="C120" s="1" t="n">
        <v>45588</v>
      </c>
      <c r="D120" t="inlineStr">
        <is>
          <t>VÄSTERNORRLANDS LÄN</t>
        </is>
      </c>
      <c r="E120" t="inlineStr">
        <is>
          <t>ÅNGE</t>
        </is>
      </c>
      <c r="F120" t="inlineStr">
        <is>
          <t>SCA</t>
        </is>
      </c>
      <c r="G120" t="n">
        <v>5.3</v>
      </c>
      <c r="H120" t="n">
        <v>1</v>
      </c>
      <c r="I120" t="n">
        <v>2</v>
      </c>
      <c r="J120" t="n">
        <v>1</v>
      </c>
      <c r="K120" t="n">
        <v>1</v>
      </c>
      <c r="L120" t="n">
        <v>0</v>
      </c>
      <c r="M120" t="n">
        <v>0</v>
      </c>
      <c r="N120" t="n">
        <v>0</v>
      </c>
      <c r="O120" t="n">
        <v>2</v>
      </c>
      <c r="P120" t="n">
        <v>1</v>
      </c>
      <c r="Q120" t="n">
        <v>4</v>
      </c>
      <c r="R120" s="2" t="inlineStr">
        <is>
          <t>Knärot
Violettgrå tagellav
Korallblylav
Skuggblåslav</t>
        </is>
      </c>
      <c r="S120">
        <f>HYPERLINK("https://klasma.github.io/Logging_2260/artfynd/A 60002-2023 artfynd.xlsx", "A 60002-2023")</f>
        <v/>
      </c>
      <c r="T120">
        <f>HYPERLINK("https://klasma.github.io/Logging_2260/kartor/A 60002-2023 karta.png", "A 60002-2023")</f>
        <v/>
      </c>
      <c r="U120">
        <f>HYPERLINK("https://klasma.github.io/Logging_2260/knärot/A 60002-2023 karta knärot.png", "A 60002-2023")</f>
        <v/>
      </c>
      <c r="V120">
        <f>HYPERLINK("https://klasma.github.io/Logging_2260/klagomål/A 60002-2023 FSC-klagomål.docx", "A 60002-2023")</f>
        <v/>
      </c>
      <c r="W120">
        <f>HYPERLINK("https://klasma.github.io/Logging_2260/klagomålsmail/A 60002-2023 FSC-klagomål mail.docx", "A 60002-2023")</f>
        <v/>
      </c>
      <c r="X120">
        <f>HYPERLINK("https://klasma.github.io/Logging_2260/tillsyn/A 60002-2023 tillsynsbegäran.docx", "A 60002-2023")</f>
        <v/>
      </c>
      <c r="Y120">
        <f>HYPERLINK("https://klasma.github.io/Logging_2260/tillsynsmail/A 60002-2023 tillsynsbegäran mail.docx", "A 60002-2023")</f>
        <v/>
      </c>
    </row>
    <row r="121" ht="15" customHeight="1">
      <c r="A121" t="inlineStr">
        <is>
          <t>A 60336-2023</t>
        </is>
      </c>
      <c r="B121" s="1" t="n">
        <v>45258</v>
      </c>
      <c r="C121" s="1" t="n">
        <v>45588</v>
      </c>
      <c r="D121" t="inlineStr">
        <is>
          <t>VÄSTERNORRLANDS LÄN</t>
        </is>
      </c>
      <c r="E121" t="inlineStr">
        <is>
          <t>ÅNGE</t>
        </is>
      </c>
      <c r="F121" t="inlineStr">
        <is>
          <t>SCA</t>
        </is>
      </c>
      <c r="G121" t="n">
        <v>5.1</v>
      </c>
      <c r="H121" t="n">
        <v>0</v>
      </c>
      <c r="I121" t="n">
        <v>2</v>
      </c>
      <c r="J121" t="n">
        <v>2</v>
      </c>
      <c r="K121" t="n">
        <v>0</v>
      </c>
      <c r="L121" t="n">
        <v>0</v>
      </c>
      <c r="M121" t="n">
        <v>0</v>
      </c>
      <c r="N121" t="n">
        <v>0</v>
      </c>
      <c r="O121" t="n">
        <v>2</v>
      </c>
      <c r="P121" t="n">
        <v>0</v>
      </c>
      <c r="Q121" t="n">
        <v>4</v>
      </c>
      <c r="R121" s="2" t="inlineStr">
        <is>
          <t>Lunglav
Skrovellav
Bårdlav
Stuplav</t>
        </is>
      </c>
      <c r="S121">
        <f>HYPERLINK("https://klasma.github.io/Logging_2260/artfynd/A 60336-2023 artfynd.xlsx", "A 60336-2023")</f>
        <v/>
      </c>
      <c r="T121">
        <f>HYPERLINK("https://klasma.github.io/Logging_2260/kartor/A 60336-2023 karta.png", "A 60336-2023")</f>
        <v/>
      </c>
      <c r="V121">
        <f>HYPERLINK("https://klasma.github.io/Logging_2260/klagomål/A 60336-2023 FSC-klagomål.docx", "A 60336-2023")</f>
        <v/>
      </c>
      <c r="W121">
        <f>HYPERLINK("https://klasma.github.io/Logging_2260/klagomålsmail/A 60336-2023 FSC-klagomål mail.docx", "A 60336-2023")</f>
        <v/>
      </c>
      <c r="X121">
        <f>HYPERLINK("https://klasma.github.io/Logging_2260/tillsyn/A 60336-2023 tillsynsbegäran.docx", "A 60336-2023")</f>
        <v/>
      </c>
      <c r="Y121">
        <f>HYPERLINK("https://klasma.github.io/Logging_2260/tillsynsmail/A 60336-2023 tillsynsbegäran mail.docx", "A 60336-2023")</f>
        <v/>
      </c>
    </row>
    <row r="122" ht="15" customHeight="1">
      <c r="A122" t="inlineStr">
        <is>
          <t>A 64514-2023</t>
        </is>
      </c>
      <c r="B122" s="1" t="n">
        <v>45281</v>
      </c>
      <c r="C122" s="1" t="n">
        <v>45588</v>
      </c>
      <c r="D122" t="inlineStr">
        <is>
          <t>VÄSTERNORRLANDS LÄN</t>
        </is>
      </c>
      <c r="E122" t="inlineStr">
        <is>
          <t>ÅNGE</t>
        </is>
      </c>
      <c r="G122" t="n">
        <v>82.09999999999999</v>
      </c>
      <c r="H122" t="n">
        <v>0</v>
      </c>
      <c r="I122" t="n">
        <v>1</v>
      </c>
      <c r="J122" t="n">
        <v>2</v>
      </c>
      <c r="K122" t="n">
        <v>1</v>
      </c>
      <c r="L122" t="n">
        <v>0</v>
      </c>
      <c r="M122" t="n">
        <v>0</v>
      </c>
      <c r="N122" t="n">
        <v>0</v>
      </c>
      <c r="O122" t="n">
        <v>3</v>
      </c>
      <c r="P122" t="n">
        <v>1</v>
      </c>
      <c r="Q122" t="n">
        <v>4</v>
      </c>
      <c r="R122" s="2" t="inlineStr">
        <is>
          <t>Grangråticka
Lunglav
Reliktbock
Dropptaggsvamp</t>
        </is>
      </c>
      <c r="S122">
        <f>HYPERLINK("https://klasma.github.io/Logging_2260/artfynd/A 64514-2023 artfynd.xlsx", "A 64514-2023")</f>
        <v/>
      </c>
      <c r="T122">
        <f>HYPERLINK("https://klasma.github.io/Logging_2260/kartor/A 64514-2023 karta.png", "A 64514-2023")</f>
        <v/>
      </c>
      <c r="U122">
        <f>HYPERLINK("https://klasma.github.io/Logging_2260/knärot/A 64514-2023 karta knärot.png", "A 64514-2023")</f>
        <v/>
      </c>
      <c r="V122">
        <f>HYPERLINK("https://klasma.github.io/Logging_2260/klagomål/A 64514-2023 FSC-klagomål.docx", "A 64514-2023")</f>
        <v/>
      </c>
      <c r="W122">
        <f>HYPERLINK("https://klasma.github.io/Logging_2260/klagomålsmail/A 64514-2023 FSC-klagomål mail.docx", "A 64514-2023")</f>
        <v/>
      </c>
      <c r="X122">
        <f>HYPERLINK("https://klasma.github.io/Logging_2260/tillsyn/A 64514-2023 tillsynsbegäran.docx", "A 64514-2023")</f>
        <v/>
      </c>
      <c r="Y122">
        <f>HYPERLINK("https://klasma.github.io/Logging_2260/tillsynsmail/A 64514-2023 tillsynsbegäran mail.docx", "A 64514-2023")</f>
        <v/>
      </c>
    </row>
    <row r="123" ht="15" customHeight="1">
      <c r="A123" t="inlineStr">
        <is>
          <t>A 4172-2024</t>
        </is>
      </c>
      <c r="B123" s="1" t="n">
        <v>45323</v>
      </c>
      <c r="C123" s="1" t="n">
        <v>45588</v>
      </c>
      <c r="D123" t="inlineStr">
        <is>
          <t>VÄSTERNORRLANDS LÄN</t>
        </is>
      </c>
      <c r="E123" t="inlineStr">
        <is>
          <t>ÅNGE</t>
        </is>
      </c>
      <c r="F123" t="inlineStr">
        <is>
          <t>SCA</t>
        </is>
      </c>
      <c r="G123" t="n">
        <v>29.8</v>
      </c>
      <c r="H123" t="n">
        <v>0</v>
      </c>
      <c r="I123" t="n">
        <v>0</v>
      </c>
      <c r="J123" t="n">
        <v>4</v>
      </c>
      <c r="K123" t="n">
        <v>0</v>
      </c>
      <c r="L123" t="n">
        <v>0</v>
      </c>
      <c r="M123" t="n">
        <v>0</v>
      </c>
      <c r="N123" t="n">
        <v>0</v>
      </c>
      <c r="O123" t="n">
        <v>4</v>
      </c>
      <c r="P123" t="n">
        <v>0</v>
      </c>
      <c r="Q123" t="n">
        <v>4</v>
      </c>
      <c r="R123" s="2" t="inlineStr">
        <is>
          <t>Garnlav
Kolflarnlav
Mörk kolflarnlav
Skogshare</t>
        </is>
      </c>
      <c r="S123">
        <f>HYPERLINK("https://klasma.github.io/Logging_2260/artfynd/A 4172-2024 artfynd.xlsx", "A 4172-2024")</f>
        <v/>
      </c>
      <c r="T123">
        <f>HYPERLINK("https://klasma.github.io/Logging_2260/kartor/A 4172-2024 karta.png", "A 4172-2024")</f>
        <v/>
      </c>
      <c r="V123">
        <f>HYPERLINK("https://klasma.github.io/Logging_2260/klagomål/A 4172-2024 FSC-klagomål.docx", "A 4172-2024")</f>
        <v/>
      </c>
      <c r="W123">
        <f>HYPERLINK("https://klasma.github.io/Logging_2260/klagomålsmail/A 4172-2024 FSC-klagomål mail.docx", "A 4172-2024")</f>
        <v/>
      </c>
      <c r="X123">
        <f>HYPERLINK("https://klasma.github.io/Logging_2260/tillsyn/A 4172-2024 tillsynsbegäran.docx", "A 4172-2024")</f>
        <v/>
      </c>
      <c r="Y123">
        <f>HYPERLINK("https://klasma.github.io/Logging_2260/tillsynsmail/A 4172-2024 tillsynsbegäran mail.docx", "A 4172-2024")</f>
        <v/>
      </c>
    </row>
    <row r="124" ht="15" customHeight="1">
      <c r="A124" t="inlineStr">
        <is>
          <t>A 13766-2024</t>
        </is>
      </c>
      <c r="B124" s="1" t="n">
        <v>45390</v>
      </c>
      <c r="C124" s="1" t="n">
        <v>45588</v>
      </c>
      <c r="D124" t="inlineStr">
        <is>
          <t>VÄSTERNORRLANDS LÄN</t>
        </is>
      </c>
      <c r="E124" t="inlineStr">
        <is>
          <t>ÅNGE</t>
        </is>
      </c>
      <c r="F124" t="inlineStr">
        <is>
          <t>SCA</t>
        </is>
      </c>
      <c r="G124" t="n">
        <v>1.1</v>
      </c>
      <c r="H124" t="n">
        <v>2</v>
      </c>
      <c r="I124" t="n">
        <v>2</v>
      </c>
      <c r="J124" t="n">
        <v>0</v>
      </c>
      <c r="K124" t="n">
        <v>1</v>
      </c>
      <c r="L124" t="n">
        <v>0</v>
      </c>
      <c r="M124" t="n">
        <v>0</v>
      </c>
      <c r="N124" t="n">
        <v>0</v>
      </c>
      <c r="O124" t="n">
        <v>1</v>
      </c>
      <c r="P124" t="n">
        <v>1</v>
      </c>
      <c r="Q124" t="n">
        <v>4</v>
      </c>
      <c r="R124" s="2" t="inlineStr">
        <is>
          <t>Knärot
Tibast
Underviol
Skogsrör</t>
        </is>
      </c>
      <c r="S124">
        <f>HYPERLINK("https://klasma.github.io/Logging_2260/artfynd/A 13766-2024 artfynd.xlsx", "A 13766-2024")</f>
        <v/>
      </c>
      <c r="T124">
        <f>HYPERLINK("https://klasma.github.io/Logging_2260/kartor/A 13766-2024 karta.png", "A 13766-2024")</f>
        <v/>
      </c>
      <c r="U124">
        <f>HYPERLINK("https://klasma.github.io/Logging_2260/knärot/A 13766-2024 karta knärot.png", "A 13766-2024")</f>
        <v/>
      </c>
      <c r="V124">
        <f>HYPERLINK("https://klasma.github.io/Logging_2260/klagomål/A 13766-2024 FSC-klagomål.docx", "A 13766-2024")</f>
        <v/>
      </c>
      <c r="W124">
        <f>HYPERLINK("https://klasma.github.io/Logging_2260/klagomålsmail/A 13766-2024 FSC-klagomål mail.docx", "A 13766-2024")</f>
        <v/>
      </c>
      <c r="X124">
        <f>HYPERLINK("https://klasma.github.io/Logging_2260/tillsyn/A 13766-2024 tillsynsbegäran.docx", "A 13766-2024")</f>
        <v/>
      </c>
      <c r="Y124">
        <f>HYPERLINK("https://klasma.github.io/Logging_2260/tillsynsmail/A 13766-2024 tillsynsbegäran mail.docx", "A 13766-2024")</f>
        <v/>
      </c>
    </row>
    <row r="125" ht="15" customHeight="1">
      <c r="A125" t="inlineStr">
        <is>
          <t>A 26953-2024</t>
        </is>
      </c>
      <c r="B125" s="1" t="n">
        <v>45470</v>
      </c>
      <c r="C125" s="1" t="n">
        <v>45588</v>
      </c>
      <c r="D125" t="inlineStr">
        <is>
          <t>VÄSTERNORRLANDS LÄN</t>
        </is>
      </c>
      <c r="E125" t="inlineStr">
        <is>
          <t>ÅNGE</t>
        </is>
      </c>
      <c r="F125" t="inlineStr">
        <is>
          <t>SCA</t>
        </is>
      </c>
      <c r="G125" t="n">
        <v>3.1</v>
      </c>
      <c r="H125" t="n">
        <v>0</v>
      </c>
      <c r="I125" t="n">
        <v>0</v>
      </c>
      <c r="J125" t="n">
        <v>4</v>
      </c>
      <c r="K125" t="n">
        <v>0</v>
      </c>
      <c r="L125" t="n">
        <v>0</v>
      </c>
      <c r="M125" t="n">
        <v>0</v>
      </c>
      <c r="N125" t="n">
        <v>0</v>
      </c>
      <c r="O125" t="n">
        <v>4</v>
      </c>
      <c r="P125" t="n">
        <v>0</v>
      </c>
      <c r="Q125" t="n">
        <v>4</v>
      </c>
      <c r="R125" s="2" t="inlineStr">
        <is>
          <t>Blågrå svartspik
Garnlav
Kolflarnlav
Mörk kolflarnlav</t>
        </is>
      </c>
      <c r="S125">
        <f>HYPERLINK("https://klasma.github.io/Logging_2260/artfynd/A 26953-2024 artfynd.xlsx", "A 26953-2024")</f>
        <v/>
      </c>
      <c r="T125">
        <f>HYPERLINK("https://klasma.github.io/Logging_2260/kartor/A 26953-2024 karta.png", "A 26953-2024")</f>
        <v/>
      </c>
      <c r="V125">
        <f>HYPERLINK("https://klasma.github.io/Logging_2260/klagomål/A 26953-2024 FSC-klagomål.docx", "A 26953-2024")</f>
        <v/>
      </c>
      <c r="W125">
        <f>HYPERLINK("https://klasma.github.io/Logging_2260/klagomålsmail/A 26953-2024 FSC-klagomål mail.docx", "A 26953-2024")</f>
        <v/>
      </c>
      <c r="X125">
        <f>HYPERLINK("https://klasma.github.io/Logging_2260/tillsyn/A 26953-2024 tillsynsbegäran.docx", "A 26953-2024")</f>
        <v/>
      </c>
      <c r="Y125">
        <f>HYPERLINK("https://klasma.github.io/Logging_2260/tillsynsmail/A 26953-2024 tillsynsbegäran mail.docx", "A 26953-2024")</f>
        <v/>
      </c>
    </row>
    <row r="126" ht="15" customHeight="1">
      <c r="A126" t="inlineStr">
        <is>
          <t>A 27646-2024</t>
        </is>
      </c>
      <c r="B126" s="1" t="n">
        <v>45474</v>
      </c>
      <c r="C126" s="1" t="n">
        <v>45588</v>
      </c>
      <c r="D126" t="inlineStr">
        <is>
          <t>VÄSTERNORRLANDS LÄN</t>
        </is>
      </c>
      <c r="E126" t="inlineStr">
        <is>
          <t>ÅNGE</t>
        </is>
      </c>
      <c r="F126" t="inlineStr">
        <is>
          <t>SCA</t>
        </is>
      </c>
      <c r="G126" t="n">
        <v>31.5</v>
      </c>
      <c r="H126" t="n">
        <v>4</v>
      </c>
      <c r="I126" t="n">
        <v>0</v>
      </c>
      <c r="J126" t="n">
        <v>2</v>
      </c>
      <c r="K126" t="n">
        <v>0</v>
      </c>
      <c r="L126" t="n">
        <v>0</v>
      </c>
      <c r="M126" t="n">
        <v>0</v>
      </c>
      <c r="N126" t="n">
        <v>0</v>
      </c>
      <c r="O126" t="n">
        <v>2</v>
      </c>
      <c r="P126" t="n">
        <v>0</v>
      </c>
      <c r="Q126" t="n">
        <v>4</v>
      </c>
      <c r="R126" s="2" t="inlineStr">
        <is>
          <t>Järpe
Kungsörn
Grönsiska
Kungsfågel</t>
        </is>
      </c>
      <c r="S126">
        <f>HYPERLINK("https://klasma.github.io/Logging_2260/artfynd/A 27646-2024 artfynd.xlsx", "A 27646-2024")</f>
        <v/>
      </c>
      <c r="T126">
        <f>HYPERLINK("https://klasma.github.io/Logging_2260/kartor/A 27646-2024 karta.png", "A 27646-2024")</f>
        <v/>
      </c>
      <c r="V126">
        <f>HYPERLINK("https://klasma.github.io/Logging_2260/klagomål/A 27646-2024 FSC-klagomål.docx", "A 27646-2024")</f>
        <v/>
      </c>
      <c r="W126">
        <f>HYPERLINK("https://klasma.github.io/Logging_2260/klagomålsmail/A 27646-2024 FSC-klagomål mail.docx", "A 27646-2024")</f>
        <v/>
      </c>
      <c r="X126">
        <f>HYPERLINK("https://klasma.github.io/Logging_2260/tillsyn/A 27646-2024 tillsynsbegäran.docx", "A 27646-2024")</f>
        <v/>
      </c>
      <c r="Y126">
        <f>HYPERLINK("https://klasma.github.io/Logging_2260/tillsynsmail/A 27646-2024 tillsynsbegäran mail.docx", "A 27646-2024")</f>
        <v/>
      </c>
      <c r="Z126">
        <f>HYPERLINK("https://klasma.github.io/Logging_2260/fåglar/A 27646-2024 prioriterade fågelarter.docx", "A 27646-2024")</f>
        <v/>
      </c>
    </row>
    <row r="127" ht="15" customHeight="1">
      <c r="A127" t="inlineStr">
        <is>
          <t>A 38326-2024</t>
        </is>
      </c>
      <c r="B127" s="1" t="n">
        <v>45545</v>
      </c>
      <c r="C127" s="1" t="n">
        <v>45588</v>
      </c>
      <c r="D127" t="inlineStr">
        <is>
          <t>VÄSTERNORRLANDS LÄN</t>
        </is>
      </c>
      <c r="E127" t="inlineStr">
        <is>
          <t>ÅNGE</t>
        </is>
      </c>
      <c r="F127" t="inlineStr">
        <is>
          <t>SCA</t>
        </is>
      </c>
      <c r="G127" t="n">
        <v>15</v>
      </c>
      <c r="H127" t="n">
        <v>0</v>
      </c>
      <c r="I127" t="n">
        <v>1</v>
      </c>
      <c r="J127" t="n">
        <v>3</v>
      </c>
      <c r="K127" t="n">
        <v>0</v>
      </c>
      <c r="L127" t="n">
        <v>0</v>
      </c>
      <c r="M127" t="n">
        <v>0</v>
      </c>
      <c r="N127" t="n">
        <v>0</v>
      </c>
      <c r="O127" t="n">
        <v>3</v>
      </c>
      <c r="P127" t="n">
        <v>0</v>
      </c>
      <c r="Q127" t="n">
        <v>4</v>
      </c>
      <c r="R127" s="2" t="inlineStr">
        <is>
          <t>Gammelgransskål
Garnlav
Lunglav
Stuplav</t>
        </is>
      </c>
      <c r="S127">
        <f>HYPERLINK("https://klasma.github.io/Logging_2260/artfynd/A 38326-2024 artfynd.xlsx", "A 38326-2024")</f>
        <v/>
      </c>
      <c r="T127">
        <f>HYPERLINK("https://klasma.github.io/Logging_2260/kartor/A 38326-2024 karta.png", "A 38326-2024")</f>
        <v/>
      </c>
      <c r="V127">
        <f>HYPERLINK("https://klasma.github.io/Logging_2260/klagomål/A 38326-2024 FSC-klagomål.docx", "A 38326-2024")</f>
        <v/>
      </c>
      <c r="W127">
        <f>HYPERLINK("https://klasma.github.io/Logging_2260/klagomålsmail/A 38326-2024 FSC-klagomål mail.docx", "A 38326-2024")</f>
        <v/>
      </c>
      <c r="X127">
        <f>HYPERLINK("https://klasma.github.io/Logging_2260/tillsyn/A 38326-2024 tillsynsbegäran.docx", "A 38326-2024")</f>
        <v/>
      </c>
      <c r="Y127">
        <f>HYPERLINK("https://klasma.github.io/Logging_2260/tillsynsmail/A 38326-2024 tillsynsbegäran mail.docx", "A 38326-2024")</f>
        <v/>
      </c>
    </row>
    <row r="128" ht="15" customHeight="1">
      <c r="A128" t="inlineStr">
        <is>
          <t>A 39176-2024</t>
        </is>
      </c>
      <c r="B128" s="1" t="n">
        <v>45548</v>
      </c>
      <c r="C128" s="1" t="n">
        <v>45588</v>
      </c>
      <c r="D128" t="inlineStr">
        <is>
          <t>VÄSTERNORRLANDS LÄN</t>
        </is>
      </c>
      <c r="E128" t="inlineStr">
        <is>
          <t>ÅNGE</t>
        </is>
      </c>
      <c r="F128" t="inlineStr">
        <is>
          <t>SCA</t>
        </is>
      </c>
      <c r="G128" t="n">
        <v>6.9</v>
      </c>
      <c r="H128" t="n">
        <v>1</v>
      </c>
      <c r="I128" t="n">
        <v>0</v>
      </c>
      <c r="J128" t="n">
        <v>3</v>
      </c>
      <c r="K128" t="n">
        <v>1</v>
      </c>
      <c r="L128" t="n">
        <v>0</v>
      </c>
      <c r="M128" t="n">
        <v>0</v>
      </c>
      <c r="N128" t="n">
        <v>0</v>
      </c>
      <c r="O128" t="n">
        <v>4</v>
      </c>
      <c r="P128" t="n">
        <v>1</v>
      </c>
      <c r="Q128" t="n">
        <v>4</v>
      </c>
      <c r="R128" s="2" t="inlineStr">
        <is>
          <t>Knärot
Doftskinn
Skrovellav
Violettgrå tagellav</t>
        </is>
      </c>
      <c r="S128">
        <f>HYPERLINK("https://klasma.github.io/Logging_2260/artfynd/A 39176-2024 artfynd.xlsx", "A 39176-2024")</f>
        <v/>
      </c>
      <c r="T128">
        <f>HYPERLINK("https://klasma.github.io/Logging_2260/kartor/A 39176-2024 karta.png", "A 39176-2024")</f>
        <v/>
      </c>
      <c r="U128">
        <f>HYPERLINK("https://klasma.github.io/Logging_2260/knärot/A 39176-2024 karta knärot.png", "A 39176-2024")</f>
        <v/>
      </c>
      <c r="V128">
        <f>HYPERLINK("https://klasma.github.io/Logging_2260/klagomål/A 39176-2024 FSC-klagomål.docx", "A 39176-2024")</f>
        <v/>
      </c>
      <c r="W128">
        <f>HYPERLINK("https://klasma.github.io/Logging_2260/klagomålsmail/A 39176-2024 FSC-klagomål mail.docx", "A 39176-2024")</f>
        <v/>
      </c>
      <c r="X128">
        <f>HYPERLINK("https://klasma.github.io/Logging_2260/tillsyn/A 39176-2024 tillsynsbegäran.docx", "A 39176-2024")</f>
        <v/>
      </c>
      <c r="Y128">
        <f>HYPERLINK("https://klasma.github.io/Logging_2260/tillsynsmail/A 39176-2024 tillsynsbegäran mail.docx", "A 39176-2024")</f>
        <v/>
      </c>
    </row>
    <row r="129" ht="15" customHeight="1">
      <c r="A129" t="inlineStr">
        <is>
          <t>A 39493-2024</t>
        </is>
      </c>
      <c r="B129" s="1" t="n">
        <v>45551</v>
      </c>
      <c r="C129" s="1" t="n">
        <v>45588</v>
      </c>
      <c r="D129" t="inlineStr">
        <is>
          <t>VÄSTERNORRLANDS LÄN</t>
        </is>
      </c>
      <c r="E129" t="inlineStr">
        <is>
          <t>ÅNGE</t>
        </is>
      </c>
      <c r="F129" t="inlineStr">
        <is>
          <t>SCA</t>
        </is>
      </c>
      <c r="G129" t="n">
        <v>3.8</v>
      </c>
      <c r="H129" t="n">
        <v>1</v>
      </c>
      <c r="I129" t="n">
        <v>1</v>
      </c>
      <c r="J129" t="n">
        <v>2</v>
      </c>
      <c r="K129" t="n">
        <v>1</v>
      </c>
      <c r="L129" t="n">
        <v>0</v>
      </c>
      <c r="M129" t="n">
        <v>0</v>
      </c>
      <c r="N129" t="n">
        <v>0</v>
      </c>
      <c r="O129" t="n">
        <v>3</v>
      </c>
      <c r="P129" t="n">
        <v>1</v>
      </c>
      <c r="Q129" t="n">
        <v>4</v>
      </c>
      <c r="R129" s="2" t="inlineStr">
        <is>
          <t>Knärot
Dvärgbägarlav
Lunglav
Dropptaggsvamp</t>
        </is>
      </c>
      <c r="S129">
        <f>HYPERLINK("https://klasma.github.io/Logging_2260/artfynd/A 39493-2024 artfynd.xlsx", "A 39493-2024")</f>
        <v/>
      </c>
      <c r="T129">
        <f>HYPERLINK("https://klasma.github.io/Logging_2260/kartor/A 39493-2024 karta.png", "A 39493-2024")</f>
        <v/>
      </c>
      <c r="U129">
        <f>HYPERLINK("https://klasma.github.io/Logging_2260/knärot/A 39493-2024 karta knärot.png", "A 39493-2024")</f>
        <v/>
      </c>
      <c r="V129">
        <f>HYPERLINK("https://klasma.github.io/Logging_2260/klagomål/A 39493-2024 FSC-klagomål.docx", "A 39493-2024")</f>
        <v/>
      </c>
      <c r="W129">
        <f>HYPERLINK("https://klasma.github.io/Logging_2260/klagomålsmail/A 39493-2024 FSC-klagomål mail.docx", "A 39493-2024")</f>
        <v/>
      </c>
      <c r="X129">
        <f>HYPERLINK("https://klasma.github.io/Logging_2260/tillsyn/A 39493-2024 tillsynsbegäran.docx", "A 39493-2024")</f>
        <v/>
      </c>
      <c r="Y129">
        <f>HYPERLINK("https://klasma.github.io/Logging_2260/tillsynsmail/A 39493-2024 tillsynsbegäran mail.docx", "A 39493-2024")</f>
        <v/>
      </c>
    </row>
    <row r="130" ht="15" customHeight="1">
      <c r="A130" t="inlineStr">
        <is>
          <t>A 41757-2024</t>
        </is>
      </c>
      <c r="B130" s="1" t="n">
        <v>45561</v>
      </c>
      <c r="C130" s="1" t="n">
        <v>45588</v>
      </c>
      <c r="D130" t="inlineStr">
        <is>
          <t>VÄSTERNORRLANDS LÄN</t>
        </is>
      </c>
      <c r="E130" t="inlineStr">
        <is>
          <t>ÅNGE</t>
        </is>
      </c>
      <c r="F130" t="inlineStr">
        <is>
          <t>SCA</t>
        </is>
      </c>
      <c r="G130" t="n">
        <v>6.2</v>
      </c>
      <c r="H130" t="n">
        <v>0</v>
      </c>
      <c r="I130" t="n">
        <v>0</v>
      </c>
      <c r="J130" t="n">
        <v>3</v>
      </c>
      <c r="K130" t="n">
        <v>1</v>
      </c>
      <c r="L130" t="n">
        <v>0</v>
      </c>
      <c r="M130" t="n">
        <v>0</v>
      </c>
      <c r="N130" t="n">
        <v>0</v>
      </c>
      <c r="O130" t="n">
        <v>4</v>
      </c>
      <c r="P130" t="n">
        <v>1</v>
      </c>
      <c r="Q130" t="n">
        <v>4</v>
      </c>
      <c r="R130" s="2" t="inlineStr">
        <is>
          <t>Gräddporing
Lunglav
Mörk kolflarnlav
Vedtrappmossa</t>
        </is>
      </c>
      <c r="S130">
        <f>HYPERLINK("https://klasma.github.io/Logging_2260/artfynd/A 41757-2024 artfynd.xlsx", "A 41757-2024")</f>
        <v/>
      </c>
      <c r="T130">
        <f>HYPERLINK("https://klasma.github.io/Logging_2260/kartor/A 41757-2024 karta.png", "A 41757-2024")</f>
        <v/>
      </c>
      <c r="U130">
        <f>HYPERLINK("https://klasma.github.io/Logging_2260/knärot/A 41757-2024 karta knärot.png", "A 41757-2024")</f>
        <v/>
      </c>
      <c r="V130">
        <f>HYPERLINK("https://klasma.github.io/Logging_2260/klagomål/A 41757-2024 FSC-klagomål.docx", "A 41757-2024")</f>
        <v/>
      </c>
      <c r="W130">
        <f>HYPERLINK("https://klasma.github.io/Logging_2260/klagomålsmail/A 41757-2024 FSC-klagomål mail.docx", "A 41757-2024")</f>
        <v/>
      </c>
      <c r="X130">
        <f>HYPERLINK("https://klasma.github.io/Logging_2260/tillsyn/A 41757-2024 tillsynsbegäran.docx", "A 41757-2024")</f>
        <v/>
      </c>
      <c r="Y130">
        <f>HYPERLINK("https://klasma.github.io/Logging_2260/tillsynsmail/A 41757-2024 tillsynsbegäran mail.docx", "A 41757-2024")</f>
        <v/>
      </c>
    </row>
    <row r="131" ht="15" customHeight="1">
      <c r="A131" t="inlineStr">
        <is>
          <t>A 44558-2024</t>
        </is>
      </c>
      <c r="B131" s="1" t="n">
        <v>45574</v>
      </c>
      <c r="C131" s="1" t="n">
        <v>45588</v>
      </c>
      <c r="D131" t="inlineStr">
        <is>
          <t>VÄSTERNORRLANDS LÄN</t>
        </is>
      </c>
      <c r="E131" t="inlineStr">
        <is>
          <t>ÅNGE</t>
        </is>
      </c>
      <c r="F131" t="inlineStr">
        <is>
          <t>SCA</t>
        </is>
      </c>
      <c r="G131" t="n">
        <v>6.1</v>
      </c>
      <c r="H131" t="n">
        <v>0</v>
      </c>
      <c r="I131" t="n">
        <v>0</v>
      </c>
      <c r="J131" t="n">
        <v>3</v>
      </c>
      <c r="K131" t="n">
        <v>1</v>
      </c>
      <c r="L131" t="n">
        <v>0</v>
      </c>
      <c r="M131" t="n">
        <v>0</v>
      </c>
      <c r="N131" t="n">
        <v>0</v>
      </c>
      <c r="O131" t="n">
        <v>4</v>
      </c>
      <c r="P131" t="n">
        <v>1</v>
      </c>
      <c r="Q131" t="n">
        <v>4</v>
      </c>
      <c r="R131" s="2" t="inlineStr">
        <is>
          <t>Gräddporing
Kortskaftad ärgspik
Reliktbock
Ullticka</t>
        </is>
      </c>
      <c r="S131">
        <f>HYPERLINK("https://klasma.github.io/Logging_2260/artfynd/A 44558-2024 artfynd.xlsx", "A 44558-2024")</f>
        <v/>
      </c>
      <c r="T131">
        <f>HYPERLINK("https://klasma.github.io/Logging_2260/kartor/A 44558-2024 karta.png", "A 44558-2024")</f>
        <v/>
      </c>
      <c r="V131">
        <f>HYPERLINK("https://klasma.github.io/Logging_2260/klagomål/A 44558-2024 FSC-klagomål.docx", "A 44558-2024")</f>
        <v/>
      </c>
      <c r="W131">
        <f>HYPERLINK("https://klasma.github.io/Logging_2260/klagomålsmail/A 44558-2024 FSC-klagomål mail.docx", "A 44558-2024")</f>
        <v/>
      </c>
      <c r="X131">
        <f>HYPERLINK("https://klasma.github.io/Logging_2260/tillsyn/A 44558-2024 tillsynsbegäran.docx", "A 44558-2024")</f>
        <v/>
      </c>
      <c r="Y131">
        <f>HYPERLINK("https://klasma.github.io/Logging_2260/tillsynsmail/A 44558-2024 tillsynsbegäran mail.docx", "A 44558-2024")</f>
        <v/>
      </c>
    </row>
    <row r="132" ht="15" customHeight="1">
      <c r="A132" t="inlineStr">
        <is>
          <t>A 15666-2021</t>
        </is>
      </c>
      <c r="B132" s="1" t="n">
        <v>44285</v>
      </c>
      <c r="C132" s="1" t="n">
        <v>45588</v>
      </c>
      <c r="D132" t="inlineStr">
        <is>
          <t>VÄSTERNORRLANDS LÄN</t>
        </is>
      </c>
      <c r="E132" t="inlineStr">
        <is>
          <t>ÅNGE</t>
        </is>
      </c>
      <c r="G132" t="n">
        <v>4.3</v>
      </c>
      <c r="H132" t="n">
        <v>0</v>
      </c>
      <c r="I132" t="n">
        <v>1</v>
      </c>
      <c r="J132" t="n">
        <v>2</v>
      </c>
      <c r="K132" t="n">
        <v>0</v>
      </c>
      <c r="L132" t="n">
        <v>0</v>
      </c>
      <c r="M132" t="n">
        <v>0</v>
      </c>
      <c r="N132" t="n">
        <v>0</v>
      </c>
      <c r="O132" t="n">
        <v>2</v>
      </c>
      <c r="P132" t="n">
        <v>0</v>
      </c>
      <c r="Q132" t="n">
        <v>3</v>
      </c>
      <c r="R132" s="2" t="inlineStr">
        <is>
          <t>Lunglav
Skrovellav
Stuplav</t>
        </is>
      </c>
      <c r="S132">
        <f>HYPERLINK("https://klasma.github.io/Logging_2260/artfynd/A 15666-2021 artfynd.xlsx", "A 15666-2021")</f>
        <v/>
      </c>
      <c r="T132">
        <f>HYPERLINK("https://klasma.github.io/Logging_2260/kartor/A 15666-2021 karta.png", "A 15666-2021")</f>
        <v/>
      </c>
      <c r="V132">
        <f>HYPERLINK("https://klasma.github.io/Logging_2260/klagomål/A 15666-2021 FSC-klagomål.docx", "A 15666-2021")</f>
        <v/>
      </c>
      <c r="W132">
        <f>HYPERLINK("https://klasma.github.io/Logging_2260/klagomålsmail/A 15666-2021 FSC-klagomål mail.docx", "A 15666-2021")</f>
        <v/>
      </c>
      <c r="X132">
        <f>HYPERLINK("https://klasma.github.io/Logging_2260/tillsyn/A 15666-2021 tillsynsbegäran.docx", "A 15666-2021")</f>
        <v/>
      </c>
      <c r="Y132">
        <f>HYPERLINK("https://klasma.github.io/Logging_2260/tillsynsmail/A 15666-2021 tillsynsbegäran mail.docx", "A 15666-2021")</f>
        <v/>
      </c>
    </row>
    <row r="133" ht="15" customHeight="1">
      <c r="A133" t="inlineStr">
        <is>
          <t>A 27956-2021</t>
        </is>
      </c>
      <c r="B133" s="1" t="n">
        <v>44354</v>
      </c>
      <c r="C133" s="1" t="n">
        <v>45588</v>
      </c>
      <c r="D133" t="inlineStr">
        <is>
          <t>VÄSTERNORRLANDS LÄN</t>
        </is>
      </c>
      <c r="E133" t="inlineStr">
        <is>
          <t>ÅNGE</t>
        </is>
      </c>
      <c r="G133" t="n">
        <v>1.4</v>
      </c>
      <c r="H133" t="n">
        <v>0</v>
      </c>
      <c r="I133" t="n">
        <v>0</v>
      </c>
      <c r="J133" t="n">
        <v>3</v>
      </c>
      <c r="K133" t="n">
        <v>0</v>
      </c>
      <c r="L133" t="n">
        <v>0</v>
      </c>
      <c r="M133" t="n">
        <v>0</v>
      </c>
      <c r="N133" t="n">
        <v>0</v>
      </c>
      <c r="O133" t="n">
        <v>3</v>
      </c>
      <c r="P133" t="n">
        <v>0</v>
      </c>
      <c r="Q133" t="n">
        <v>3</v>
      </c>
      <c r="R133" s="2" t="inlineStr">
        <is>
          <t>Garnlav
Lunglav
Ullticka</t>
        </is>
      </c>
      <c r="S133">
        <f>HYPERLINK("https://klasma.github.io/Logging_2260/artfynd/A 27956-2021 artfynd.xlsx", "A 27956-2021")</f>
        <v/>
      </c>
      <c r="T133">
        <f>HYPERLINK("https://klasma.github.io/Logging_2260/kartor/A 27956-2021 karta.png", "A 27956-2021")</f>
        <v/>
      </c>
      <c r="V133">
        <f>HYPERLINK("https://klasma.github.io/Logging_2260/klagomål/A 27956-2021 FSC-klagomål.docx", "A 27956-2021")</f>
        <v/>
      </c>
      <c r="W133">
        <f>HYPERLINK("https://klasma.github.io/Logging_2260/klagomålsmail/A 27956-2021 FSC-klagomål mail.docx", "A 27956-2021")</f>
        <v/>
      </c>
      <c r="X133">
        <f>HYPERLINK("https://klasma.github.io/Logging_2260/tillsyn/A 27956-2021 tillsynsbegäran.docx", "A 27956-2021")</f>
        <v/>
      </c>
      <c r="Y133">
        <f>HYPERLINK("https://klasma.github.io/Logging_2260/tillsynsmail/A 27956-2021 tillsynsbegäran mail.docx", "A 27956-2021")</f>
        <v/>
      </c>
    </row>
    <row r="134" ht="15" customHeight="1">
      <c r="A134" t="inlineStr">
        <is>
          <t>A 29083-2021</t>
        </is>
      </c>
      <c r="B134" s="1" t="n">
        <v>44358</v>
      </c>
      <c r="C134" s="1" t="n">
        <v>45588</v>
      </c>
      <c r="D134" t="inlineStr">
        <is>
          <t>VÄSTERNORRLANDS LÄN</t>
        </is>
      </c>
      <c r="E134" t="inlineStr">
        <is>
          <t>ÅNGE</t>
        </is>
      </c>
      <c r="F134" t="inlineStr">
        <is>
          <t>Sveaskog</t>
        </is>
      </c>
      <c r="G134" t="n">
        <v>6.1</v>
      </c>
      <c r="H134" t="n">
        <v>1</v>
      </c>
      <c r="I134" t="n">
        <v>2</v>
      </c>
      <c r="J134" t="n">
        <v>1</v>
      </c>
      <c r="K134" t="n">
        <v>0</v>
      </c>
      <c r="L134" t="n">
        <v>0</v>
      </c>
      <c r="M134" t="n">
        <v>0</v>
      </c>
      <c r="N134" t="n">
        <v>0</v>
      </c>
      <c r="O134" t="n">
        <v>1</v>
      </c>
      <c r="P134" t="n">
        <v>0</v>
      </c>
      <c r="Q134" t="n">
        <v>3</v>
      </c>
      <c r="R134" s="2" t="inlineStr">
        <is>
          <t>Lunglav
Plattlummer
Stor aspticka</t>
        </is>
      </c>
      <c r="S134">
        <f>HYPERLINK("https://klasma.github.io/Logging_2260/artfynd/A 29083-2021 artfynd.xlsx", "A 29083-2021")</f>
        <v/>
      </c>
      <c r="T134">
        <f>HYPERLINK("https://klasma.github.io/Logging_2260/kartor/A 29083-2021 karta.png", "A 29083-2021")</f>
        <v/>
      </c>
      <c r="V134">
        <f>HYPERLINK("https://klasma.github.io/Logging_2260/klagomål/A 29083-2021 FSC-klagomål.docx", "A 29083-2021")</f>
        <v/>
      </c>
      <c r="W134">
        <f>HYPERLINK("https://klasma.github.io/Logging_2260/klagomålsmail/A 29083-2021 FSC-klagomål mail.docx", "A 29083-2021")</f>
        <v/>
      </c>
      <c r="X134">
        <f>HYPERLINK("https://klasma.github.io/Logging_2260/tillsyn/A 29083-2021 tillsynsbegäran.docx", "A 29083-2021")</f>
        <v/>
      </c>
      <c r="Y134">
        <f>HYPERLINK("https://klasma.github.io/Logging_2260/tillsynsmail/A 29083-2021 tillsynsbegäran mail.docx", "A 29083-2021")</f>
        <v/>
      </c>
    </row>
    <row r="135" ht="15" customHeight="1">
      <c r="A135" t="inlineStr">
        <is>
          <t>A 45122-2021</t>
        </is>
      </c>
      <c r="B135" s="1" t="n">
        <v>44439</v>
      </c>
      <c r="C135" s="1" t="n">
        <v>45588</v>
      </c>
      <c r="D135" t="inlineStr">
        <is>
          <t>VÄSTERNORRLANDS LÄN</t>
        </is>
      </c>
      <c r="E135" t="inlineStr">
        <is>
          <t>ÅNGE</t>
        </is>
      </c>
      <c r="G135" t="n">
        <v>20.3</v>
      </c>
      <c r="H135" t="n">
        <v>0</v>
      </c>
      <c r="I135" t="n">
        <v>2</v>
      </c>
      <c r="J135" t="n">
        <v>1</v>
      </c>
      <c r="K135" t="n">
        <v>0</v>
      </c>
      <c r="L135" t="n">
        <v>0</v>
      </c>
      <c r="M135" t="n">
        <v>0</v>
      </c>
      <c r="N135" t="n">
        <v>0</v>
      </c>
      <c r="O135" t="n">
        <v>1</v>
      </c>
      <c r="P135" t="n">
        <v>0</v>
      </c>
      <c r="Q135" t="n">
        <v>3</v>
      </c>
      <c r="R135" s="2" t="inlineStr">
        <is>
          <t>Reliktbock
Cixidia
Skinnlav</t>
        </is>
      </c>
      <c r="S135">
        <f>HYPERLINK("https://klasma.github.io/Logging_2260/artfynd/A 45122-2021 artfynd.xlsx", "A 45122-2021")</f>
        <v/>
      </c>
      <c r="T135">
        <f>HYPERLINK("https://klasma.github.io/Logging_2260/kartor/A 45122-2021 karta.png", "A 45122-2021")</f>
        <v/>
      </c>
      <c r="V135">
        <f>HYPERLINK("https://klasma.github.io/Logging_2260/klagomål/A 45122-2021 FSC-klagomål.docx", "A 45122-2021")</f>
        <v/>
      </c>
      <c r="W135">
        <f>HYPERLINK("https://klasma.github.io/Logging_2260/klagomålsmail/A 45122-2021 FSC-klagomål mail.docx", "A 45122-2021")</f>
        <v/>
      </c>
      <c r="X135">
        <f>HYPERLINK("https://klasma.github.io/Logging_2260/tillsyn/A 45122-2021 tillsynsbegäran.docx", "A 45122-2021")</f>
        <v/>
      </c>
      <c r="Y135">
        <f>HYPERLINK("https://klasma.github.io/Logging_2260/tillsynsmail/A 45122-2021 tillsynsbegäran mail.docx", "A 45122-2021")</f>
        <v/>
      </c>
    </row>
    <row r="136" ht="15" customHeight="1">
      <c r="A136" t="inlineStr">
        <is>
          <t>A 10317-2022</t>
        </is>
      </c>
      <c r="B136" s="1" t="n">
        <v>44622</v>
      </c>
      <c r="C136" s="1" t="n">
        <v>45588</v>
      </c>
      <c r="D136" t="inlineStr">
        <is>
          <t>VÄSTERNORRLANDS LÄN</t>
        </is>
      </c>
      <c r="E136" t="inlineStr">
        <is>
          <t>ÅNGE</t>
        </is>
      </c>
      <c r="F136" t="inlineStr">
        <is>
          <t>SCA</t>
        </is>
      </c>
      <c r="G136" t="n">
        <v>3</v>
      </c>
      <c r="H136" t="n">
        <v>2</v>
      </c>
      <c r="I136" t="n">
        <v>1</v>
      </c>
      <c r="J136" t="n">
        <v>1</v>
      </c>
      <c r="K136" t="n">
        <v>1</v>
      </c>
      <c r="L136" t="n">
        <v>0</v>
      </c>
      <c r="M136" t="n">
        <v>0</v>
      </c>
      <c r="N136" t="n">
        <v>0</v>
      </c>
      <c r="O136" t="n">
        <v>2</v>
      </c>
      <c r="P136" t="n">
        <v>1</v>
      </c>
      <c r="Q136" t="n">
        <v>3</v>
      </c>
      <c r="R136" s="2" t="inlineStr">
        <is>
          <t>Knärot
Granticka
Tvåblad</t>
        </is>
      </c>
      <c r="S136">
        <f>HYPERLINK("https://klasma.github.io/Logging_2260/artfynd/A 10317-2022 artfynd.xlsx", "A 10317-2022")</f>
        <v/>
      </c>
      <c r="T136">
        <f>HYPERLINK("https://klasma.github.io/Logging_2260/kartor/A 10317-2022 karta.png", "A 10317-2022")</f>
        <v/>
      </c>
      <c r="U136">
        <f>HYPERLINK("https://klasma.github.io/Logging_2260/knärot/A 10317-2022 karta knärot.png", "A 10317-2022")</f>
        <v/>
      </c>
      <c r="V136">
        <f>HYPERLINK("https://klasma.github.io/Logging_2260/klagomål/A 10317-2022 FSC-klagomål.docx", "A 10317-2022")</f>
        <v/>
      </c>
      <c r="W136">
        <f>HYPERLINK("https://klasma.github.io/Logging_2260/klagomålsmail/A 10317-2022 FSC-klagomål mail.docx", "A 10317-2022")</f>
        <v/>
      </c>
      <c r="X136">
        <f>HYPERLINK("https://klasma.github.io/Logging_2260/tillsyn/A 10317-2022 tillsynsbegäran.docx", "A 10317-2022")</f>
        <v/>
      </c>
      <c r="Y136">
        <f>HYPERLINK("https://klasma.github.io/Logging_2260/tillsynsmail/A 10317-2022 tillsynsbegäran mail.docx", "A 10317-2022")</f>
        <v/>
      </c>
    </row>
    <row r="137" ht="15" customHeight="1">
      <c r="A137" t="inlineStr">
        <is>
          <t>A 7533-2023</t>
        </is>
      </c>
      <c r="B137" s="1" t="n">
        <v>44971</v>
      </c>
      <c r="C137" s="1" t="n">
        <v>45588</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22996-2023</t>
        </is>
      </c>
      <c r="B138" s="1" t="n">
        <v>45072</v>
      </c>
      <c r="C138" s="1" t="n">
        <v>45588</v>
      </c>
      <c r="D138" t="inlineStr">
        <is>
          <t>VÄSTERNORRLANDS LÄN</t>
        </is>
      </c>
      <c r="E138" t="inlineStr">
        <is>
          <t>ÅNGE</t>
        </is>
      </c>
      <c r="F138" t="inlineStr">
        <is>
          <t>SCA</t>
        </is>
      </c>
      <c r="G138" t="n">
        <v>2.2</v>
      </c>
      <c r="H138" t="n">
        <v>1</v>
      </c>
      <c r="I138" t="n">
        <v>0</v>
      </c>
      <c r="J138" t="n">
        <v>2</v>
      </c>
      <c r="K138" t="n">
        <v>1</v>
      </c>
      <c r="L138" t="n">
        <v>0</v>
      </c>
      <c r="M138" t="n">
        <v>0</v>
      </c>
      <c r="N138" t="n">
        <v>0</v>
      </c>
      <c r="O138" t="n">
        <v>3</v>
      </c>
      <c r="P138" t="n">
        <v>1</v>
      </c>
      <c r="Q138" t="n">
        <v>3</v>
      </c>
      <c r="R138" s="2" t="inlineStr">
        <is>
          <t>Knärot
Garnlav
Vedtrappmossa</t>
        </is>
      </c>
      <c r="S138">
        <f>HYPERLINK("https://klasma.github.io/Logging_2260/artfynd/A 22996-2023 artfynd.xlsx", "A 22996-2023")</f>
        <v/>
      </c>
      <c r="T138">
        <f>HYPERLINK("https://klasma.github.io/Logging_2260/kartor/A 22996-2023 karta.png", "A 22996-2023")</f>
        <v/>
      </c>
      <c r="U138">
        <f>HYPERLINK("https://klasma.github.io/Logging_2260/knärot/A 22996-2023 karta knärot.png", "A 22996-2023")</f>
        <v/>
      </c>
      <c r="V138">
        <f>HYPERLINK("https://klasma.github.io/Logging_2260/klagomål/A 22996-2023 FSC-klagomål.docx", "A 22996-2023")</f>
        <v/>
      </c>
      <c r="W138">
        <f>HYPERLINK("https://klasma.github.io/Logging_2260/klagomålsmail/A 22996-2023 FSC-klagomål mail.docx", "A 22996-2023")</f>
        <v/>
      </c>
      <c r="X138">
        <f>HYPERLINK("https://klasma.github.io/Logging_2260/tillsyn/A 22996-2023 tillsynsbegäran.docx", "A 22996-2023")</f>
        <v/>
      </c>
      <c r="Y138">
        <f>HYPERLINK("https://klasma.github.io/Logging_2260/tillsynsmail/A 22996-2023 tillsynsbegäran mail.docx", "A 22996-2023")</f>
        <v/>
      </c>
    </row>
    <row r="139" ht="15" customHeight="1">
      <c r="A139" t="inlineStr">
        <is>
          <t>A 28274-2023</t>
        </is>
      </c>
      <c r="B139" s="1" t="n">
        <v>45099</v>
      </c>
      <c r="C139" s="1" t="n">
        <v>45588</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30839-2023</t>
        </is>
      </c>
      <c r="B140" s="1" t="n">
        <v>45112</v>
      </c>
      <c r="C140" s="1" t="n">
        <v>45588</v>
      </c>
      <c r="D140" t="inlineStr">
        <is>
          <t>VÄSTERNORRLANDS LÄN</t>
        </is>
      </c>
      <c r="E140" t="inlineStr">
        <is>
          <t>ÅNGE</t>
        </is>
      </c>
      <c r="F140" t="inlineStr">
        <is>
          <t>SCA</t>
        </is>
      </c>
      <c r="G140" t="n">
        <v>15.1</v>
      </c>
      <c r="H140" t="n">
        <v>0</v>
      </c>
      <c r="I140" t="n">
        <v>0</v>
      </c>
      <c r="J140" t="n">
        <v>3</v>
      </c>
      <c r="K140" t="n">
        <v>0</v>
      </c>
      <c r="L140" t="n">
        <v>0</v>
      </c>
      <c r="M140" t="n">
        <v>0</v>
      </c>
      <c r="N140" t="n">
        <v>0</v>
      </c>
      <c r="O140" t="n">
        <v>3</v>
      </c>
      <c r="P140" t="n">
        <v>0</v>
      </c>
      <c r="Q140" t="n">
        <v>3</v>
      </c>
      <c r="R140" s="2" t="inlineStr">
        <is>
          <t>Kolflarnlav
Mörk kolflarnlav
Vedskivlav</t>
        </is>
      </c>
      <c r="S140">
        <f>HYPERLINK("https://klasma.github.io/Logging_2260/artfynd/A 30839-2023 artfynd.xlsx", "A 30839-2023")</f>
        <v/>
      </c>
      <c r="T140">
        <f>HYPERLINK("https://klasma.github.io/Logging_2260/kartor/A 30839-2023 karta.png", "A 30839-2023")</f>
        <v/>
      </c>
      <c r="U140">
        <f>HYPERLINK("https://klasma.github.io/Logging_2260/knärot/A 30839-2023 karta knärot.png", "A 30839-2023")</f>
        <v/>
      </c>
      <c r="V140">
        <f>HYPERLINK("https://klasma.github.io/Logging_2260/klagomål/A 30839-2023 FSC-klagomål.docx", "A 30839-2023")</f>
        <v/>
      </c>
      <c r="W140">
        <f>HYPERLINK("https://klasma.github.io/Logging_2260/klagomålsmail/A 30839-2023 FSC-klagomål mail.docx", "A 30839-2023")</f>
        <v/>
      </c>
      <c r="X140">
        <f>HYPERLINK("https://klasma.github.io/Logging_2260/tillsyn/A 30839-2023 tillsynsbegäran.docx", "A 30839-2023")</f>
        <v/>
      </c>
      <c r="Y140">
        <f>HYPERLINK("https://klasma.github.io/Logging_2260/tillsynsmail/A 30839-2023 tillsynsbegäran mail.docx", "A 30839-2023")</f>
        <v/>
      </c>
    </row>
    <row r="141" ht="15" customHeight="1">
      <c r="A141" t="inlineStr">
        <is>
          <t>A 37470-2023</t>
        </is>
      </c>
      <c r="B141" s="1" t="n">
        <v>45156</v>
      </c>
      <c r="C141" s="1" t="n">
        <v>45588</v>
      </c>
      <c r="D141" t="inlineStr">
        <is>
          <t>VÄSTERNORRLANDS LÄN</t>
        </is>
      </c>
      <c r="E141" t="inlineStr">
        <is>
          <t>ÅNGE</t>
        </is>
      </c>
      <c r="G141" t="n">
        <v>3.3</v>
      </c>
      <c r="H141" t="n">
        <v>0</v>
      </c>
      <c r="I141" t="n">
        <v>0</v>
      </c>
      <c r="J141" t="n">
        <v>3</v>
      </c>
      <c r="K141" t="n">
        <v>0</v>
      </c>
      <c r="L141" t="n">
        <v>0</v>
      </c>
      <c r="M141" t="n">
        <v>0</v>
      </c>
      <c r="N141" t="n">
        <v>0</v>
      </c>
      <c r="O141" t="n">
        <v>3</v>
      </c>
      <c r="P141" t="n">
        <v>0</v>
      </c>
      <c r="Q141" t="n">
        <v>3</v>
      </c>
      <c r="R141" s="2" t="inlineStr">
        <is>
          <t>Blanksvart spiklav
Garnlav
Vedflamlav</t>
        </is>
      </c>
      <c r="S141">
        <f>HYPERLINK("https://klasma.github.io/Logging_2260/artfynd/A 37470-2023 artfynd.xlsx", "A 37470-2023")</f>
        <v/>
      </c>
      <c r="T141">
        <f>HYPERLINK("https://klasma.github.io/Logging_2260/kartor/A 37470-2023 karta.png", "A 37470-2023")</f>
        <v/>
      </c>
      <c r="V141">
        <f>HYPERLINK("https://klasma.github.io/Logging_2260/klagomål/A 37470-2023 FSC-klagomål.docx", "A 37470-2023")</f>
        <v/>
      </c>
      <c r="W141">
        <f>HYPERLINK("https://klasma.github.io/Logging_2260/klagomålsmail/A 37470-2023 FSC-klagomål mail.docx", "A 37470-2023")</f>
        <v/>
      </c>
      <c r="X141">
        <f>HYPERLINK("https://klasma.github.io/Logging_2260/tillsyn/A 37470-2023 tillsynsbegäran.docx", "A 37470-2023")</f>
        <v/>
      </c>
      <c r="Y141">
        <f>HYPERLINK("https://klasma.github.io/Logging_2260/tillsynsmail/A 37470-2023 tillsynsbegäran mail.docx", "A 37470-2023")</f>
        <v/>
      </c>
    </row>
    <row r="142" ht="15" customHeight="1">
      <c r="A142" t="inlineStr">
        <is>
          <t>A 39065-2023</t>
        </is>
      </c>
      <c r="B142" s="1" t="n">
        <v>45163</v>
      </c>
      <c r="C142" s="1" t="n">
        <v>45588</v>
      </c>
      <c r="D142" t="inlineStr">
        <is>
          <t>VÄSTERNORRLANDS LÄN</t>
        </is>
      </c>
      <c r="E142" t="inlineStr">
        <is>
          <t>ÅNGE</t>
        </is>
      </c>
      <c r="F142" t="inlineStr">
        <is>
          <t>SCA</t>
        </is>
      </c>
      <c r="G142" t="n">
        <v>3.1</v>
      </c>
      <c r="H142" t="n">
        <v>1</v>
      </c>
      <c r="I142" t="n">
        <v>1</v>
      </c>
      <c r="J142" t="n">
        <v>1</v>
      </c>
      <c r="K142" t="n">
        <v>1</v>
      </c>
      <c r="L142" t="n">
        <v>0</v>
      </c>
      <c r="M142" t="n">
        <v>0</v>
      </c>
      <c r="N142" t="n">
        <v>0</v>
      </c>
      <c r="O142" t="n">
        <v>2</v>
      </c>
      <c r="P142" t="n">
        <v>1</v>
      </c>
      <c r="Q142" t="n">
        <v>3</v>
      </c>
      <c r="R142" s="2" t="inlineStr">
        <is>
          <t>Knärot
Koralltaggsvamp
Stor aspticka</t>
        </is>
      </c>
      <c r="S142">
        <f>HYPERLINK("https://klasma.github.io/Logging_2260/artfynd/A 39065-2023 artfynd.xlsx", "A 39065-2023")</f>
        <v/>
      </c>
      <c r="T142">
        <f>HYPERLINK("https://klasma.github.io/Logging_2260/kartor/A 39065-2023 karta.png", "A 39065-2023")</f>
        <v/>
      </c>
      <c r="U142">
        <f>HYPERLINK("https://klasma.github.io/Logging_2260/knärot/A 39065-2023 karta knärot.png", "A 39065-2023")</f>
        <v/>
      </c>
      <c r="V142">
        <f>HYPERLINK("https://klasma.github.io/Logging_2260/klagomål/A 39065-2023 FSC-klagomål.docx", "A 39065-2023")</f>
        <v/>
      </c>
      <c r="W142">
        <f>HYPERLINK("https://klasma.github.io/Logging_2260/klagomålsmail/A 39065-2023 FSC-klagomål mail.docx", "A 39065-2023")</f>
        <v/>
      </c>
      <c r="X142">
        <f>HYPERLINK("https://klasma.github.io/Logging_2260/tillsyn/A 39065-2023 tillsynsbegäran.docx", "A 39065-2023")</f>
        <v/>
      </c>
      <c r="Y142">
        <f>HYPERLINK("https://klasma.github.io/Logging_2260/tillsynsmail/A 39065-2023 tillsynsbegäran mail.docx", "A 39065-2023")</f>
        <v/>
      </c>
    </row>
    <row r="143" ht="15" customHeight="1">
      <c r="A143" t="inlineStr">
        <is>
          <t>A 40413-2023</t>
        </is>
      </c>
      <c r="B143" s="1" t="n">
        <v>45169</v>
      </c>
      <c r="C143" s="1" t="n">
        <v>45588</v>
      </c>
      <c r="D143" t="inlineStr">
        <is>
          <t>VÄSTERNORRLANDS LÄN</t>
        </is>
      </c>
      <c r="E143" t="inlineStr">
        <is>
          <t>ÅNGE</t>
        </is>
      </c>
      <c r="F143" t="inlineStr">
        <is>
          <t>SCA</t>
        </is>
      </c>
      <c r="G143" t="n">
        <v>2.2</v>
      </c>
      <c r="H143" t="n">
        <v>1</v>
      </c>
      <c r="I143" t="n">
        <v>0</v>
      </c>
      <c r="J143" t="n">
        <v>2</v>
      </c>
      <c r="K143" t="n">
        <v>1</v>
      </c>
      <c r="L143" t="n">
        <v>0</v>
      </c>
      <c r="M143" t="n">
        <v>0</v>
      </c>
      <c r="N143" t="n">
        <v>0</v>
      </c>
      <c r="O143" t="n">
        <v>3</v>
      </c>
      <c r="P143" t="n">
        <v>1</v>
      </c>
      <c r="Q143" t="n">
        <v>3</v>
      </c>
      <c r="R143" s="2" t="inlineStr">
        <is>
          <t>Knärot
Garnlav
Vedtrappmossa</t>
        </is>
      </c>
      <c r="S143">
        <f>HYPERLINK("https://klasma.github.io/Logging_2260/artfynd/A 40413-2023 artfynd.xlsx", "A 40413-2023")</f>
        <v/>
      </c>
      <c r="T143">
        <f>HYPERLINK("https://klasma.github.io/Logging_2260/kartor/A 40413-2023 karta.png", "A 40413-2023")</f>
        <v/>
      </c>
      <c r="U143">
        <f>HYPERLINK("https://klasma.github.io/Logging_2260/knärot/A 40413-2023 karta knärot.png", "A 40413-2023")</f>
        <v/>
      </c>
      <c r="V143">
        <f>HYPERLINK("https://klasma.github.io/Logging_2260/klagomål/A 40413-2023 FSC-klagomål.docx", "A 40413-2023")</f>
        <v/>
      </c>
      <c r="W143">
        <f>HYPERLINK("https://klasma.github.io/Logging_2260/klagomålsmail/A 40413-2023 FSC-klagomål mail.docx", "A 40413-2023")</f>
        <v/>
      </c>
      <c r="X143">
        <f>HYPERLINK("https://klasma.github.io/Logging_2260/tillsyn/A 40413-2023 tillsynsbegäran.docx", "A 40413-2023")</f>
        <v/>
      </c>
      <c r="Y143">
        <f>HYPERLINK("https://klasma.github.io/Logging_2260/tillsynsmail/A 40413-2023 tillsynsbegäran mail.docx", "A 40413-2023")</f>
        <v/>
      </c>
    </row>
    <row r="144" ht="15" customHeight="1">
      <c r="A144" t="inlineStr">
        <is>
          <t>A 54748-2023</t>
        </is>
      </c>
      <c r="B144" s="1" t="n">
        <v>45229</v>
      </c>
      <c r="C144" s="1" t="n">
        <v>45588</v>
      </c>
      <c r="D144" t="inlineStr">
        <is>
          <t>VÄSTERNORRLANDS LÄN</t>
        </is>
      </c>
      <c r="E144" t="inlineStr">
        <is>
          <t>ÅNGE</t>
        </is>
      </c>
      <c r="G144" t="n">
        <v>5.8</v>
      </c>
      <c r="H144" t="n">
        <v>1</v>
      </c>
      <c r="I144" t="n">
        <v>2</v>
      </c>
      <c r="J144" t="n">
        <v>0</v>
      </c>
      <c r="K144" t="n">
        <v>1</v>
      </c>
      <c r="L144" t="n">
        <v>0</v>
      </c>
      <c r="M144" t="n">
        <v>0</v>
      </c>
      <c r="N144" t="n">
        <v>0</v>
      </c>
      <c r="O144" t="n">
        <v>1</v>
      </c>
      <c r="P144" t="n">
        <v>1</v>
      </c>
      <c r="Q144" t="n">
        <v>3</v>
      </c>
      <c r="R144" s="2" t="inlineStr">
        <is>
          <t>Knärot
Gulnål
Korallblylav</t>
        </is>
      </c>
      <c r="S144">
        <f>HYPERLINK("https://klasma.github.io/Logging_2260/artfynd/A 54748-2023 artfynd.xlsx", "A 54748-2023")</f>
        <v/>
      </c>
      <c r="T144">
        <f>HYPERLINK("https://klasma.github.io/Logging_2260/kartor/A 54748-2023 karta.png", "A 54748-2023")</f>
        <v/>
      </c>
      <c r="U144">
        <f>HYPERLINK("https://klasma.github.io/Logging_2260/knärot/A 54748-2023 karta knärot.png", "A 54748-2023")</f>
        <v/>
      </c>
      <c r="V144">
        <f>HYPERLINK("https://klasma.github.io/Logging_2260/klagomål/A 54748-2023 FSC-klagomål.docx", "A 54748-2023")</f>
        <v/>
      </c>
      <c r="W144">
        <f>HYPERLINK("https://klasma.github.io/Logging_2260/klagomålsmail/A 54748-2023 FSC-klagomål mail.docx", "A 54748-2023")</f>
        <v/>
      </c>
      <c r="X144">
        <f>HYPERLINK("https://klasma.github.io/Logging_2260/tillsyn/A 54748-2023 tillsynsbegäran.docx", "A 54748-2023")</f>
        <v/>
      </c>
      <c r="Y144">
        <f>HYPERLINK("https://klasma.github.io/Logging_2260/tillsynsmail/A 54748-2023 tillsynsbegäran mail.docx", "A 54748-2023")</f>
        <v/>
      </c>
    </row>
    <row r="145" ht="15" customHeight="1">
      <c r="A145" t="inlineStr">
        <is>
          <t>A 55953-2023</t>
        </is>
      </c>
      <c r="B145" s="1" t="n">
        <v>45240</v>
      </c>
      <c r="C145" s="1" t="n">
        <v>45588</v>
      </c>
      <c r="D145" t="inlineStr">
        <is>
          <t>VÄSTERNORRLANDS LÄN</t>
        </is>
      </c>
      <c r="E145" t="inlineStr">
        <is>
          <t>ÅNGE</t>
        </is>
      </c>
      <c r="F145" t="inlineStr">
        <is>
          <t>Holmen skog AB</t>
        </is>
      </c>
      <c r="G145" t="n">
        <v>5.8</v>
      </c>
      <c r="H145" t="n">
        <v>1</v>
      </c>
      <c r="I145" t="n">
        <v>2</v>
      </c>
      <c r="J145" t="n">
        <v>0</v>
      </c>
      <c r="K145" t="n">
        <v>0</v>
      </c>
      <c r="L145" t="n">
        <v>0</v>
      </c>
      <c r="M145" t="n">
        <v>0</v>
      </c>
      <c r="N145" t="n">
        <v>0</v>
      </c>
      <c r="O145" t="n">
        <v>0</v>
      </c>
      <c r="P145" t="n">
        <v>0</v>
      </c>
      <c r="Q145" t="n">
        <v>3</v>
      </c>
      <c r="R145" s="2" t="inlineStr">
        <is>
          <t>Skinnlav
Stuplav
Blåsippa</t>
        </is>
      </c>
      <c r="S145">
        <f>HYPERLINK("https://klasma.github.io/Logging_2260/artfynd/A 55953-2023 artfynd.xlsx", "A 55953-2023")</f>
        <v/>
      </c>
      <c r="T145">
        <f>HYPERLINK("https://klasma.github.io/Logging_2260/kartor/A 55953-2023 karta.png", "A 55953-2023")</f>
        <v/>
      </c>
      <c r="V145">
        <f>HYPERLINK("https://klasma.github.io/Logging_2260/klagomål/A 55953-2023 FSC-klagomål.docx", "A 55953-2023")</f>
        <v/>
      </c>
      <c r="W145">
        <f>HYPERLINK("https://klasma.github.io/Logging_2260/klagomålsmail/A 55953-2023 FSC-klagomål mail.docx", "A 55953-2023")</f>
        <v/>
      </c>
      <c r="X145">
        <f>HYPERLINK("https://klasma.github.io/Logging_2260/tillsyn/A 55953-2023 tillsynsbegäran.docx", "A 55953-2023")</f>
        <v/>
      </c>
      <c r="Y145">
        <f>HYPERLINK("https://klasma.github.io/Logging_2260/tillsynsmail/A 55953-2023 tillsynsbegäran mail.docx", "A 55953-2023")</f>
        <v/>
      </c>
    </row>
    <row r="146" ht="15" customHeight="1">
      <c r="A146" t="inlineStr">
        <is>
          <t>A 60276-2023</t>
        </is>
      </c>
      <c r="B146" s="1" t="n">
        <v>45257</v>
      </c>
      <c r="C146" s="1" t="n">
        <v>45588</v>
      </c>
      <c r="D146" t="inlineStr">
        <is>
          <t>VÄSTERNORRLANDS LÄN</t>
        </is>
      </c>
      <c r="E146" t="inlineStr">
        <is>
          <t>ÅNGE</t>
        </is>
      </c>
      <c r="G146" t="n">
        <v>1.7</v>
      </c>
      <c r="H146" t="n">
        <v>0</v>
      </c>
      <c r="I146" t="n">
        <v>1</v>
      </c>
      <c r="J146" t="n">
        <v>1</v>
      </c>
      <c r="K146" t="n">
        <v>1</v>
      </c>
      <c r="L146" t="n">
        <v>0</v>
      </c>
      <c r="M146" t="n">
        <v>0</v>
      </c>
      <c r="N146" t="n">
        <v>0</v>
      </c>
      <c r="O146" t="n">
        <v>2</v>
      </c>
      <c r="P146" t="n">
        <v>1</v>
      </c>
      <c r="Q146" t="n">
        <v>3</v>
      </c>
      <c r="R146" s="2" t="inlineStr">
        <is>
          <t>Rynkskinn
Rosenticka
Sotlav</t>
        </is>
      </c>
      <c r="S146">
        <f>HYPERLINK("https://klasma.github.io/Logging_2260/artfynd/A 60276-2023 artfynd.xlsx", "A 60276-2023")</f>
        <v/>
      </c>
      <c r="T146">
        <f>HYPERLINK("https://klasma.github.io/Logging_2260/kartor/A 60276-2023 karta.png", "A 60276-2023")</f>
        <v/>
      </c>
      <c r="V146">
        <f>HYPERLINK("https://klasma.github.io/Logging_2260/klagomål/A 60276-2023 FSC-klagomål.docx", "A 60276-2023")</f>
        <v/>
      </c>
      <c r="W146">
        <f>HYPERLINK("https://klasma.github.io/Logging_2260/klagomålsmail/A 60276-2023 FSC-klagomål mail.docx", "A 60276-2023")</f>
        <v/>
      </c>
      <c r="X146">
        <f>HYPERLINK("https://klasma.github.io/Logging_2260/tillsyn/A 60276-2023 tillsynsbegäran.docx", "A 60276-2023")</f>
        <v/>
      </c>
      <c r="Y146">
        <f>HYPERLINK("https://klasma.github.io/Logging_2260/tillsynsmail/A 60276-2023 tillsynsbegäran mail.docx", "A 60276-2023")</f>
        <v/>
      </c>
    </row>
    <row r="147" ht="15" customHeight="1">
      <c r="A147" t="inlineStr">
        <is>
          <t>A 1056-2024</t>
        </is>
      </c>
      <c r="B147" s="1" t="n">
        <v>45301</v>
      </c>
      <c r="C147" s="1" t="n">
        <v>45588</v>
      </c>
      <c r="D147" t="inlineStr">
        <is>
          <t>VÄSTERNORRLANDS LÄN</t>
        </is>
      </c>
      <c r="E147" t="inlineStr">
        <is>
          <t>ÅNGE</t>
        </is>
      </c>
      <c r="F147" t="inlineStr">
        <is>
          <t>SCA</t>
        </is>
      </c>
      <c r="G147" t="n">
        <v>9.4</v>
      </c>
      <c r="H147" t="n">
        <v>0</v>
      </c>
      <c r="I147" t="n">
        <v>0</v>
      </c>
      <c r="J147" t="n">
        <v>3</v>
      </c>
      <c r="K147" t="n">
        <v>0</v>
      </c>
      <c r="L147" t="n">
        <v>0</v>
      </c>
      <c r="M147" t="n">
        <v>0</v>
      </c>
      <c r="N147" t="n">
        <v>0</v>
      </c>
      <c r="O147" t="n">
        <v>3</v>
      </c>
      <c r="P147" t="n">
        <v>0</v>
      </c>
      <c r="Q147" t="n">
        <v>3</v>
      </c>
      <c r="R147" s="2" t="inlineStr">
        <is>
          <t>Garnlav
Lunglav
Mörk kolflarnlav</t>
        </is>
      </c>
      <c r="S147">
        <f>HYPERLINK("https://klasma.github.io/Logging_2260/artfynd/A 1056-2024 artfynd.xlsx", "A 1056-2024")</f>
        <v/>
      </c>
      <c r="T147">
        <f>HYPERLINK("https://klasma.github.io/Logging_2260/kartor/A 1056-2024 karta.png", "A 1056-2024")</f>
        <v/>
      </c>
      <c r="V147">
        <f>HYPERLINK("https://klasma.github.io/Logging_2260/klagomål/A 1056-2024 FSC-klagomål.docx", "A 1056-2024")</f>
        <v/>
      </c>
      <c r="W147">
        <f>HYPERLINK("https://klasma.github.io/Logging_2260/klagomålsmail/A 1056-2024 FSC-klagomål mail.docx", "A 1056-2024")</f>
        <v/>
      </c>
      <c r="X147">
        <f>HYPERLINK("https://klasma.github.io/Logging_2260/tillsyn/A 1056-2024 tillsynsbegäran.docx", "A 1056-2024")</f>
        <v/>
      </c>
      <c r="Y147">
        <f>HYPERLINK("https://klasma.github.io/Logging_2260/tillsynsmail/A 1056-2024 tillsynsbegäran mail.docx", "A 1056-2024")</f>
        <v/>
      </c>
    </row>
    <row r="148" ht="15" customHeight="1">
      <c r="A148" t="inlineStr">
        <is>
          <t>A 2428-2024</t>
        </is>
      </c>
      <c r="B148" s="1" t="n">
        <v>45310</v>
      </c>
      <c r="C148" s="1" t="n">
        <v>45588</v>
      </c>
      <c r="D148" t="inlineStr">
        <is>
          <t>VÄSTERNORRLANDS LÄN</t>
        </is>
      </c>
      <c r="E148" t="inlineStr">
        <is>
          <t>ÅNGE</t>
        </is>
      </c>
      <c r="F148" t="inlineStr">
        <is>
          <t>SCA</t>
        </is>
      </c>
      <c r="G148" t="n">
        <v>15.6</v>
      </c>
      <c r="H148" t="n">
        <v>1</v>
      </c>
      <c r="I148" t="n">
        <v>0</v>
      </c>
      <c r="J148" t="n">
        <v>3</v>
      </c>
      <c r="K148" t="n">
        <v>0</v>
      </c>
      <c r="L148" t="n">
        <v>0</v>
      </c>
      <c r="M148" t="n">
        <v>0</v>
      </c>
      <c r="N148" t="n">
        <v>0</v>
      </c>
      <c r="O148" t="n">
        <v>3</v>
      </c>
      <c r="P148" t="n">
        <v>0</v>
      </c>
      <c r="Q148" t="n">
        <v>3</v>
      </c>
      <c r="R148" s="2" t="inlineStr">
        <is>
          <t>Garnlav
Kolflarnlav
Tretåig hackspett</t>
        </is>
      </c>
      <c r="S148">
        <f>HYPERLINK("https://klasma.github.io/Logging_2260/artfynd/A 2428-2024 artfynd.xlsx", "A 2428-2024")</f>
        <v/>
      </c>
      <c r="T148">
        <f>HYPERLINK("https://klasma.github.io/Logging_2260/kartor/A 2428-2024 karta.png", "A 2428-2024")</f>
        <v/>
      </c>
      <c r="V148">
        <f>HYPERLINK("https://klasma.github.io/Logging_2260/klagomål/A 2428-2024 FSC-klagomål.docx", "A 2428-2024")</f>
        <v/>
      </c>
      <c r="W148">
        <f>HYPERLINK("https://klasma.github.io/Logging_2260/klagomålsmail/A 2428-2024 FSC-klagomål mail.docx", "A 2428-2024")</f>
        <v/>
      </c>
      <c r="X148">
        <f>HYPERLINK("https://klasma.github.io/Logging_2260/tillsyn/A 2428-2024 tillsynsbegäran.docx", "A 2428-2024")</f>
        <v/>
      </c>
      <c r="Y148">
        <f>HYPERLINK("https://klasma.github.io/Logging_2260/tillsynsmail/A 2428-2024 tillsynsbegäran mail.docx", "A 2428-2024")</f>
        <v/>
      </c>
      <c r="Z148">
        <f>HYPERLINK("https://klasma.github.io/Logging_2260/fåglar/A 2428-2024 prioriterade fågelarter.docx", "A 2428-2024")</f>
        <v/>
      </c>
    </row>
    <row r="149" ht="15" customHeight="1">
      <c r="A149" t="inlineStr">
        <is>
          <t>A 24796-2024</t>
        </is>
      </c>
      <c r="B149" s="1" t="n">
        <v>45460</v>
      </c>
      <c r="C149" s="1" t="n">
        <v>45588</v>
      </c>
      <c r="D149" t="inlineStr">
        <is>
          <t>VÄSTERNORRLANDS LÄN</t>
        </is>
      </c>
      <c r="E149" t="inlineStr">
        <is>
          <t>ÅNGE</t>
        </is>
      </c>
      <c r="F149" t="inlineStr">
        <is>
          <t>SCA</t>
        </is>
      </c>
      <c r="G149" t="n">
        <v>6.7</v>
      </c>
      <c r="H149" t="n">
        <v>1</v>
      </c>
      <c r="I149" t="n">
        <v>2</v>
      </c>
      <c r="J149" t="n">
        <v>1</v>
      </c>
      <c r="K149" t="n">
        <v>0</v>
      </c>
      <c r="L149" t="n">
        <v>0</v>
      </c>
      <c r="M149" t="n">
        <v>0</v>
      </c>
      <c r="N149" t="n">
        <v>0</v>
      </c>
      <c r="O149" t="n">
        <v>1</v>
      </c>
      <c r="P149" t="n">
        <v>0</v>
      </c>
      <c r="Q149" t="n">
        <v>3</v>
      </c>
      <c r="R149" s="2" t="inlineStr">
        <is>
          <t>Doftskinn
Korallrot
Skinnlav</t>
        </is>
      </c>
      <c r="S149">
        <f>HYPERLINK("https://klasma.github.io/Logging_2260/artfynd/A 24796-2024 artfynd.xlsx", "A 24796-2024")</f>
        <v/>
      </c>
      <c r="T149">
        <f>HYPERLINK("https://klasma.github.io/Logging_2260/kartor/A 24796-2024 karta.png", "A 24796-2024")</f>
        <v/>
      </c>
      <c r="V149">
        <f>HYPERLINK("https://klasma.github.io/Logging_2260/klagomål/A 24796-2024 FSC-klagomål.docx", "A 24796-2024")</f>
        <v/>
      </c>
      <c r="W149">
        <f>HYPERLINK("https://klasma.github.io/Logging_2260/klagomålsmail/A 24796-2024 FSC-klagomål mail.docx", "A 24796-2024")</f>
        <v/>
      </c>
      <c r="X149">
        <f>HYPERLINK("https://klasma.github.io/Logging_2260/tillsyn/A 24796-2024 tillsynsbegäran.docx", "A 24796-2024")</f>
        <v/>
      </c>
      <c r="Y149">
        <f>HYPERLINK("https://klasma.github.io/Logging_2260/tillsynsmail/A 24796-2024 tillsynsbegäran mail.docx", "A 24796-2024")</f>
        <v/>
      </c>
    </row>
    <row r="150" ht="15" customHeight="1">
      <c r="A150" t="inlineStr">
        <is>
          <t>A 27660-2024</t>
        </is>
      </c>
      <c r="B150" s="1" t="n">
        <v>45474</v>
      </c>
      <c r="C150" s="1" t="n">
        <v>45588</v>
      </c>
      <c r="D150" t="inlineStr">
        <is>
          <t>VÄSTERNORRLANDS LÄN</t>
        </is>
      </c>
      <c r="E150" t="inlineStr">
        <is>
          <t>ÅNGE</t>
        </is>
      </c>
      <c r="F150" t="inlineStr">
        <is>
          <t>SCA</t>
        </is>
      </c>
      <c r="G150" t="n">
        <v>4.2</v>
      </c>
      <c r="H150" t="n">
        <v>1</v>
      </c>
      <c r="I150" t="n">
        <v>0</v>
      </c>
      <c r="J150" t="n">
        <v>2</v>
      </c>
      <c r="K150" t="n">
        <v>1</v>
      </c>
      <c r="L150" t="n">
        <v>0</v>
      </c>
      <c r="M150" t="n">
        <v>0</v>
      </c>
      <c r="N150" t="n">
        <v>0</v>
      </c>
      <c r="O150" t="n">
        <v>3</v>
      </c>
      <c r="P150" t="n">
        <v>1</v>
      </c>
      <c r="Q150" t="n">
        <v>3</v>
      </c>
      <c r="R150" s="2" t="inlineStr">
        <is>
          <t>Knärot
Garnlav
Lunglav</t>
        </is>
      </c>
      <c r="S150">
        <f>HYPERLINK("https://klasma.github.io/Logging_2260/artfynd/A 27660-2024 artfynd.xlsx", "A 27660-2024")</f>
        <v/>
      </c>
      <c r="T150">
        <f>HYPERLINK("https://klasma.github.io/Logging_2260/kartor/A 27660-2024 karta.png", "A 27660-2024")</f>
        <v/>
      </c>
      <c r="U150">
        <f>HYPERLINK("https://klasma.github.io/Logging_2260/knärot/A 27660-2024 karta knärot.png", "A 27660-2024")</f>
        <v/>
      </c>
      <c r="V150">
        <f>HYPERLINK("https://klasma.github.io/Logging_2260/klagomål/A 27660-2024 FSC-klagomål.docx", "A 27660-2024")</f>
        <v/>
      </c>
      <c r="W150">
        <f>HYPERLINK("https://klasma.github.io/Logging_2260/klagomålsmail/A 27660-2024 FSC-klagomål mail.docx", "A 27660-2024")</f>
        <v/>
      </c>
      <c r="X150">
        <f>HYPERLINK("https://klasma.github.io/Logging_2260/tillsyn/A 27660-2024 tillsynsbegäran.docx", "A 27660-2024")</f>
        <v/>
      </c>
      <c r="Y150">
        <f>HYPERLINK("https://klasma.github.io/Logging_2260/tillsynsmail/A 27660-2024 tillsynsbegäran mail.docx", "A 27660-2024")</f>
        <v/>
      </c>
    </row>
    <row r="151" ht="15" customHeight="1">
      <c r="A151" t="inlineStr">
        <is>
          <t>A 29461-2024</t>
        </is>
      </c>
      <c r="B151" s="1" t="n">
        <v>45484</v>
      </c>
      <c r="C151" s="1" t="n">
        <v>45588</v>
      </c>
      <c r="D151" t="inlineStr">
        <is>
          <t>VÄSTERNORRLANDS LÄN</t>
        </is>
      </c>
      <c r="E151" t="inlineStr">
        <is>
          <t>ÅNGE</t>
        </is>
      </c>
      <c r="F151" t="inlineStr">
        <is>
          <t>SCA</t>
        </is>
      </c>
      <c r="G151" t="n">
        <v>3.9</v>
      </c>
      <c r="H151" t="n">
        <v>0</v>
      </c>
      <c r="I151" t="n">
        <v>0</v>
      </c>
      <c r="J151" t="n">
        <v>3</v>
      </c>
      <c r="K151" t="n">
        <v>0</v>
      </c>
      <c r="L151" t="n">
        <v>0</v>
      </c>
      <c r="M151" t="n">
        <v>0</v>
      </c>
      <c r="N151" t="n">
        <v>0</v>
      </c>
      <c r="O151" t="n">
        <v>3</v>
      </c>
      <c r="P151" t="n">
        <v>0</v>
      </c>
      <c r="Q151" t="n">
        <v>3</v>
      </c>
      <c r="R151" s="2" t="inlineStr">
        <is>
          <t>Dvärgbägarlav
Kolflarnlav
Mörk kolflarnlav</t>
        </is>
      </c>
      <c r="S151">
        <f>HYPERLINK("https://klasma.github.io/Logging_2260/artfynd/A 29461-2024 artfynd.xlsx", "A 29461-2024")</f>
        <v/>
      </c>
      <c r="T151">
        <f>HYPERLINK("https://klasma.github.io/Logging_2260/kartor/A 29461-2024 karta.png", "A 29461-2024")</f>
        <v/>
      </c>
      <c r="V151">
        <f>HYPERLINK("https://klasma.github.io/Logging_2260/klagomål/A 29461-2024 FSC-klagomål.docx", "A 29461-2024")</f>
        <v/>
      </c>
      <c r="W151">
        <f>HYPERLINK("https://klasma.github.io/Logging_2260/klagomålsmail/A 29461-2024 FSC-klagomål mail.docx", "A 29461-2024")</f>
        <v/>
      </c>
      <c r="X151">
        <f>HYPERLINK("https://klasma.github.io/Logging_2260/tillsyn/A 29461-2024 tillsynsbegäran.docx", "A 29461-2024")</f>
        <v/>
      </c>
      <c r="Y151">
        <f>HYPERLINK("https://klasma.github.io/Logging_2260/tillsynsmail/A 29461-2024 tillsynsbegäran mail.docx", "A 29461-2024")</f>
        <v/>
      </c>
    </row>
    <row r="152" ht="15" customHeight="1">
      <c r="A152" t="inlineStr">
        <is>
          <t>A 29665-2024</t>
        </is>
      </c>
      <c r="B152" s="1" t="n">
        <v>45484</v>
      </c>
      <c r="C152" s="1" t="n">
        <v>45588</v>
      </c>
      <c r="D152" t="inlineStr">
        <is>
          <t>VÄSTERNORRLANDS LÄN</t>
        </is>
      </c>
      <c r="E152" t="inlineStr">
        <is>
          <t>ÅNGE</t>
        </is>
      </c>
      <c r="F152" t="inlineStr">
        <is>
          <t>SCA</t>
        </is>
      </c>
      <c r="G152" t="n">
        <v>3.3</v>
      </c>
      <c r="H152" t="n">
        <v>1</v>
      </c>
      <c r="I152" t="n">
        <v>0</v>
      </c>
      <c r="J152" t="n">
        <v>3</v>
      </c>
      <c r="K152" t="n">
        <v>0</v>
      </c>
      <c r="L152" t="n">
        <v>0</v>
      </c>
      <c r="M152" t="n">
        <v>0</v>
      </c>
      <c r="N152" t="n">
        <v>0</v>
      </c>
      <c r="O152" t="n">
        <v>3</v>
      </c>
      <c r="P152" t="n">
        <v>0</v>
      </c>
      <c r="Q152" t="n">
        <v>3</v>
      </c>
      <c r="R152" s="2" t="inlineStr">
        <is>
          <t>Garnlav
Granticka
Utter</t>
        </is>
      </c>
      <c r="S152">
        <f>HYPERLINK("https://klasma.github.io/Logging_2260/artfynd/A 29665-2024 artfynd.xlsx", "A 29665-2024")</f>
        <v/>
      </c>
      <c r="T152">
        <f>HYPERLINK("https://klasma.github.io/Logging_2260/kartor/A 29665-2024 karta.png", "A 29665-2024")</f>
        <v/>
      </c>
      <c r="V152">
        <f>HYPERLINK("https://klasma.github.io/Logging_2260/klagomål/A 29665-2024 FSC-klagomål.docx", "A 29665-2024")</f>
        <v/>
      </c>
      <c r="W152">
        <f>HYPERLINK("https://klasma.github.io/Logging_2260/klagomålsmail/A 29665-2024 FSC-klagomål mail.docx", "A 29665-2024")</f>
        <v/>
      </c>
      <c r="X152">
        <f>HYPERLINK("https://klasma.github.io/Logging_2260/tillsyn/A 29665-2024 tillsynsbegäran.docx", "A 29665-2024")</f>
        <v/>
      </c>
      <c r="Y152">
        <f>HYPERLINK("https://klasma.github.io/Logging_2260/tillsynsmail/A 29665-2024 tillsynsbegäran mail.docx", "A 29665-2024")</f>
        <v/>
      </c>
    </row>
    <row r="153" ht="15" customHeight="1">
      <c r="A153" t="inlineStr">
        <is>
          <t>A 29691-2024</t>
        </is>
      </c>
      <c r="B153" s="1" t="n">
        <v>45485</v>
      </c>
      <c r="C153" s="1" t="n">
        <v>45588</v>
      </c>
      <c r="D153" t="inlineStr">
        <is>
          <t>VÄSTERNORRLANDS LÄN</t>
        </is>
      </c>
      <c r="E153" t="inlineStr">
        <is>
          <t>ÅNGE</t>
        </is>
      </c>
      <c r="F153" t="inlineStr">
        <is>
          <t>SCA</t>
        </is>
      </c>
      <c r="G153" t="n">
        <v>6.8</v>
      </c>
      <c r="H153" t="n">
        <v>0</v>
      </c>
      <c r="I153" t="n">
        <v>1</v>
      </c>
      <c r="J153" t="n">
        <v>2</v>
      </c>
      <c r="K153" t="n">
        <v>0</v>
      </c>
      <c r="L153" t="n">
        <v>0</v>
      </c>
      <c r="M153" t="n">
        <v>0</v>
      </c>
      <c r="N153" t="n">
        <v>0</v>
      </c>
      <c r="O153" t="n">
        <v>2</v>
      </c>
      <c r="P153" t="n">
        <v>0</v>
      </c>
      <c r="Q153" t="n">
        <v>3</v>
      </c>
      <c r="R153" s="2" t="inlineStr">
        <is>
          <t>Lunglav
Rosenticka
Vedticka</t>
        </is>
      </c>
      <c r="S153">
        <f>HYPERLINK("https://klasma.github.io/Logging_2260/artfynd/A 29691-2024 artfynd.xlsx", "A 29691-2024")</f>
        <v/>
      </c>
      <c r="T153">
        <f>HYPERLINK("https://klasma.github.io/Logging_2260/kartor/A 29691-2024 karta.png", "A 29691-2024")</f>
        <v/>
      </c>
      <c r="V153">
        <f>HYPERLINK("https://klasma.github.io/Logging_2260/klagomål/A 29691-2024 FSC-klagomål.docx", "A 29691-2024")</f>
        <v/>
      </c>
      <c r="W153">
        <f>HYPERLINK("https://klasma.github.io/Logging_2260/klagomålsmail/A 29691-2024 FSC-klagomål mail.docx", "A 29691-2024")</f>
        <v/>
      </c>
      <c r="X153">
        <f>HYPERLINK("https://klasma.github.io/Logging_2260/tillsyn/A 29691-2024 tillsynsbegäran.docx", "A 29691-2024")</f>
        <v/>
      </c>
      <c r="Y153">
        <f>HYPERLINK("https://klasma.github.io/Logging_2260/tillsynsmail/A 29691-2024 tillsynsbegäran mail.docx", "A 29691-2024")</f>
        <v/>
      </c>
    </row>
    <row r="154" ht="15" customHeight="1">
      <c r="A154" t="inlineStr">
        <is>
          <t>A 39182-2024</t>
        </is>
      </c>
      <c r="B154" s="1" t="n">
        <v>45548</v>
      </c>
      <c r="C154" s="1" t="n">
        <v>45588</v>
      </c>
      <c r="D154" t="inlineStr">
        <is>
          <t>VÄSTERNORRLANDS LÄN</t>
        </is>
      </c>
      <c r="E154" t="inlineStr">
        <is>
          <t>ÅNGE</t>
        </is>
      </c>
      <c r="F154" t="inlineStr">
        <is>
          <t>SCA</t>
        </is>
      </c>
      <c r="G154" t="n">
        <v>9.4</v>
      </c>
      <c r="H154" t="n">
        <v>0</v>
      </c>
      <c r="I154" t="n">
        <v>0</v>
      </c>
      <c r="J154" t="n">
        <v>3</v>
      </c>
      <c r="K154" t="n">
        <v>0</v>
      </c>
      <c r="L154" t="n">
        <v>0</v>
      </c>
      <c r="M154" t="n">
        <v>0</v>
      </c>
      <c r="N154" t="n">
        <v>0</v>
      </c>
      <c r="O154" t="n">
        <v>3</v>
      </c>
      <c r="P154" t="n">
        <v>0</v>
      </c>
      <c r="Q154" t="n">
        <v>3</v>
      </c>
      <c r="R154" s="2" t="inlineStr">
        <is>
          <t>Garnlav
Gul taggsvamp
Vedtrappmossa</t>
        </is>
      </c>
      <c r="S154">
        <f>HYPERLINK("https://klasma.github.io/Logging_2260/artfynd/A 39182-2024 artfynd.xlsx", "A 39182-2024")</f>
        <v/>
      </c>
      <c r="T154">
        <f>HYPERLINK("https://klasma.github.io/Logging_2260/kartor/A 39182-2024 karta.png", "A 39182-2024")</f>
        <v/>
      </c>
      <c r="V154">
        <f>HYPERLINK("https://klasma.github.io/Logging_2260/klagomål/A 39182-2024 FSC-klagomål.docx", "A 39182-2024")</f>
        <v/>
      </c>
      <c r="W154">
        <f>HYPERLINK("https://klasma.github.io/Logging_2260/klagomålsmail/A 39182-2024 FSC-klagomål mail.docx", "A 39182-2024")</f>
        <v/>
      </c>
      <c r="X154">
        <f>HYPERLINK("https://klasma.github.io/Logging_2260/tillsyn/A 39182-2024 tillsynsbegäran.docx", "A 39182-2024")</f>
        <v/>
      </c>
      <c r="Y154">
        <f>HYPERLINK("https://klasma.github.io/Logging_2260/tillsynsmail/A 39182-2024 tillsynsbegäran mail.docx", "A 39182-2024")</f>
        <v/>
      </c>
    </row>
    <row r="155" ht="15" customHeight="1">
      <c r="A155" t="inlineStr">
        <is>
          <t>A 39181-2024</t>
        </is>
      </c>
      <c r="B155" s="1" t="n">
        <v>45548</v>
      </c>
      <c r="C155" s="1" t="n">
        <v>45588</v>
      </c>
      <c r="D155" t="inlineStr">
        <is>
          <t>VÄSTERNORRLANDS LÄN</t>
        </is>
      </c>
      <c r="E155" t="inlineStr">
        <is>
          <t>ÅNGE</t>
        </is>
      </c>
      <c r="F155" t="inlineStr">
        <is>
          <t>SCA</t>
        </is>
      </c>
      <c r="G155" t="n">
        <v>21.1</v>
      </c>
      <c r="H155" t="n">
        <v>1</v>
      </c>
      <c r="I155" t="n">
        <v>1</v>
      </c>
      <c r="J155" t="n">
        <v>1</v>
      </c>
      <c r="K155" t="n">
        <v>1</v>
      </c>
      <c r="L155" t="n">
        <v>0</v>
      </c>
      <c r="M155" t="n">
        <v>0</v>
      </c>
      <c r="N155" t="n">
        <v>0</v>
      </c>
      <c r="O155" t="n">
        <v>2</v>
      </c>
      <c r="P155" t="n">
        <v>1</v>
      </c>
      <c r="Q155" t="n">
        <v>3</v>
      </c>
      <c r="R155" s="2" t="inlineStr">
        <is>
          <t>Knärot
Granticka
Kransrams</t>
        </is>
      </c>
      <c r="S155">
        <f>HYPERLINK("https://klasma.github.io/Logging_2260/artfynd/A 39181-2024 artfynd.xlsx", "A 39181-2024")</f>
        <v/>
      </c>
      <c r="T155">
        <f>HYPERLINK("https://klasma.github.io/Logging_2260/kartor/A 39181-2024 karta.png", "A 39181-2024")</f>
        <v/>
      </c>
      <c r="U155">
        <f>HYPERLINK("https://klasma.github.io/Logging_2260/knärot/A 39181-2024 karta knärot.png", "A 39181-2024")</f>
        <v/>
      </c>
      <c r="V155">
        <f>HYPERLINK("https://klasma.github.io/Logging_2260/klagomål/A 39181-2024 FSC-klagomål.docx", "A 39181-2024")</f>
        <v/>
      </c>
      <c r="W155">
        <f>HYPERLINK("https://klasma.github.io/Logging_2260/klagomålsmail/A 39181-2024 FSC-klagomål mail.docx", "A 39181-2024")</f>
        <v/>
      </c>
      <c r="X155">
        <f>HYPERLINK("https://klasma.github.io/Logging_2260/tillsyn/A 39181-2024 tillsynsbegäran.docx", "A 39181-2024")</f>
        <v/>
      </c>
      <c r="Y155">
        <f>HYPERLINK("https://klasma.github.io/Logging_2260/tillsynsmail/A 39181-2024 tillsynsbegäran mail.docx", "A 39181-2024")</f>
        <v/>
      </c>
    </row>
    <row r="156" ht="15" customHeight="1">
      <c r="A156" t="inlineStr">
        <is>
          <t>A 39179-2024</t>
        </is>
      </c>
      <c r="B156" s="1" t="n">
        <v>45548</v>
      </c>
      <c r="C156" s="1" t="n">
        <v>45588</v>
      </c>
      <c r="D156" t="inlineStr">
        <is>
          <t>VÄSTERNORRLANDS LÄN</t>
        </is>
      </c>
      <c r="E156" t="inlineStr">
        <is>
          <t>ÅNGE</t>
        </is>
      </c>
      <c r="F156" t="inlineStr">
        <is>
          <t>SCA</t>
        </is>
      </c>
      <c r="G156" t="n">
        <v>4.2</v>
      </c>
      <c r="H156" t="n">
        <v>1</v>
      </c>
      <c r="I156" t="n">
        <v>2</v>
      </c>
      <c r="J156" t="n">
        <v>1</v>
      </c>
      <c r="K156" t="n">
        <v>0</v>
      </c>
      <c r="L156" t="n">
        <v>0</v>
      </c>
      <c r="M156" t="n">
        <v>0</v>
      </c>
      <c r="N156" t="n">
        <v>0</v>
      </c>
      <c r="O156" t="n">
        <v>1</v>
      </c>
      <c r="P156" t="n">
        <v>0</v>
      </c>
      <c r="Q156" t="n">
        <v>3</v>
      </c>
      <c r="R156" s="2" t="inlineStr">
        <is>
          <t>Rosenticka
Fjällig taggsvamp s.str.
Spindelblomster</t>
        </is>
      </c>
      <c r="S156">
        <f>HYPERLINK("https://klasma.github.io/Logging_2260/artfynd/A 39179-2024 artfynd.xlsx", "A 39179-2024")</f>
        <v/>
      </c>
      <c r="T156">
        <f>HYPERLINK("https://klasma.github.io/Logging_2260/kartor/A 39179-2024 karta.png", "A 39179-2024")</f>
        <v/>
      </c>
      <c r="V156">
        <f>HYPERLINK("https://klasma.github.io/Logging_2260/klagomål/A 39179-2024 FSC-klagomål.docx", "A 39179-2024")</f>
        <v/>
      </c>
      <c r="W156">
        <f>HYPERLINK("https://klasma.github.io/Logging_2260/klagomålsmail/A 39179-2024 FSC-klagomål mail.docx", "A 39179-2024")</f>
        <v/>
      </c>
      <c r="X156">
        <f>HYPERLINK("https://klasma.github.io/Logging_2260/tillsyn/A 39179-2024 tillsynsbegäran.docx", "A 39179-2024")</f>
        <v/>
      </c>
      <c r="Y156">
        <f>HYPERLINK("https://klasma.github.io/Logging_2260/tillsynsmail/A 39179-2024 tillsynsbegäran mail.docx", "A 39179-2024")</f>
        <v/>
      </c>
    </row>
    <row r="157" ht="15" customHeight="1">
      <c r="A157" t="inlineStr">
        <is>
          <t>A 39708-2024</t>
        </is>
      </c>
      <c r="B157" s="1" t="n">
        <v>45552</v>
      </c>
      <c r="C157" s="1" t="n">
        <v>45588</v>
      </c>
      <c r="D157" t="inlineStr">
        <is>
          <t>VÄSTERNORRLANDS LÄN</t>
        </is>
      </c>
      <c r="E157" t="inlineStr">
        <is>
          <t>ÅNGE</t>
        </is>
      </c>
      <c r="F157" t="inlineStr">
        <is>
          <t>SCA</t>
        </is>
      </c>
      <c r="G157" t="n">
        <v>6.2</v>
      </c>
      <c r="H157" t="n">
        <v>0</v>
      </c>
      <c r="I157" t="n">
        <v>0</v>
      </c>
      <c r="J157" t="n">
        <v>3</v>
      </c>
      <c r="K157" t="n">
        <v>0</v>
      </c>
      <c r="L157" t="n">
        <v>0</v>
      </c>
      <c r="M157" t="n">
        <v>0</v>
      </c>
      <c r="N157" t="n">
        <v>0</v>
      </c>
      <c r="O157" t="n">
        <v>3</v>
      </c>
      <c r="P157" t="n">
        <v>0</v>
      </c>
      <c r="Q157" t="n">
        <v>3</v>
      </c>
      <c r="R157" s="2" t="inlineStr">
        <is>
          <t>Granticka
Ullticka
Vitgrynig nållav</t>
        </is>
      </c>
      <c r="S157">
        <f>HYPERLINK("https://klasma.github.io/Logging_2260/artfynd/A 39708-2024 artfynd.xlsx", "A 39708-2024")</f>
        <v/>
      </c>
      <c r="T157">
        <f>HYPERLINK("https://klasma.github.io/Logging_2260/kartor/A 39708-2024 karta.png", "A 39708-2024")</f>
        <v/>
      </c>
      <c r="V157">
        <f>HYPERLINK("https://klasma.github.io/Logging_2260/klagomål/A 39708-2024 FSC-klagomål.docx", "A 39708-2024")</f>
        <v/>
      </c>
      <c r="W157">
        <f>HYPERLINK("https://klasma.github.io/Logging_2260/klagomålsmail/A 39708-2024 FSC-klagomål mail.docx", "A 39708-2024")</f>
        <v/>
      </c>
      <c r="X157">
        <f>HYPERLINK("https://klasma.github.io/Logging_2260/tillsyn/A 39708-2024 tillsynsbegäran.docx", "A 39708-2024")</f>
        <v/>
      </c>
      <c r="Y157">
        <f>HYPERLINK("https://klasma.github.io/Logging_2260/tillsynsmail/A 39708-2024 tillsynsbegäran mail.docx", "A 39708-2024")</f>
        <v/>
      </c>
    </row>
    <row r="158" ht="15" customHeight="1">
      <c r="A158" t="inlineStr">
        <is>
          <t>A 34494-2019</t>
        </is>
      </c>
      <c r="B158" s="1" t="n">
        <v>43656</v>
      </c>
      <c r="C158" s="1" t="n">
        <v>45588</v>
      </c>
      <c r="D158" t="inlineStr">
        <is>
          <t>VÄSTERNORRLANDS LÄN</t>
        </is>
      </c>
      <c r="E158" t="inlineStr">
        <is>
          <t>ÅNGE</t>
        </is>
      </c>
      <c r="F158" t="inlineStr">
        <is>
          <t>SCA</t>
        </is>
      </c>
      <c r="G158" t="n">
        <v>3.3</v>
      </c>
      <c r="H158" t="n">
        <v>0</v>
      </c>
      <c r="I158" t="n">
        <v>1</v>
      </c>
      <c r="J158" t="n">
        <v>1</v>
      </c>
      <c r="K158" t="n">
        <v>0</v>
      </c>
      <c r="L158" t="n">
        <v>0</v>
      </c>
      <c r="M158" t="n">
        <v>0</v>
      </c>
      <c r="N158" t="n">
        <v>0</v>
      </c>
      <c r="O158" t="n">
        <v>1</v>
      </c>
      <c r="P158" t="n">
        <v>0</v>
      </c>
      <c r="Q158" t="n">
        <v>2</v>
      </c>
      <c r="R158" s="2" t="inlineStr">
        <is>
          <t>Garnlav
Korallblylav</t>
        </is>
      </c>
      <c r="S158">
        <f>HYPERLINK("https://klasma.github.io/Logging_2260/artfynd/A 34494-2019 artfynd.xlsx", "A 34494-2019")</f>
        <v/>
      </c>
      <c r="T158">
        <f>HYPERLINK("https://klasma.github.io/Logging_2260/kartor/A 34494-2019 karta.png", "A 34494-2019")</f>
        <v/>
      </c>
      <c r="V158">
        <f>HYPERLINK("https://klasma.github.io/Logging_2260/klagomål/A 34494-2019 FSC-klagomål.docx", "A 34494-2019")</f>
        <v/>
      </c>
      <c r="W158">
        <f>HYPERLINK("https://klasma.github.io/Logging_2260/klagomålsmail/A 34494-2019 FSC-klagomål mail.docx", "A 34494-2019")</f>
        <v/>
      </c>
      <c r="X158">
        <f>HYPERLINK("https://klasma.github.io/Logging_2260/tillsyn/A 34494-2019 tillsynsbegäran.docx", "A 34494-2019")</f>
        <v/>
      </c>
      <c r="Y158">
        <f>HYPERLINK("https://klasma.github.io/Logging_2260/tillsynsmail/A 34494-2019 tillsynsbegäran mail.docx", "A 34494-2019")</f>
        <v/>
      </c>
    </row>
    <row r="159" ht="15" customHeight="1">
      <c r="A159" t="inlineStr">
        <is>
          <t>A 38332-2019</t>
        </is>
      </c>
      <c r="B159" s="1" t="n">
        <v>43684</v>
      </c>
      <c r="C159" s="1" t="n">
        <v>45588</v>
      </c>
      <c r="D159" t="inlineStr">
        <is>
          <t>VÄSTERNORRLANDS LÄN</t>
        </is>
      </c>
      <c r="E159" t="inlineStr">
        <is>
          <t>ÅNGE</t>
        </is>
      </c>
      <c r="F159" t="inlineStr">
        <is>
          <t>SCA</t>
        </is>
      </c>
      <c r="G159" t="n">
        <v>5</v>
      </c>
      <c r="H159" t="n">
        <v>0</v>
      </c>
      <c r="I159" t="n">
        <v>1</v>
      </c>
      <c r="J159" t="n">
        <v>1</v>
      </c>
      <c r="K159" t="n">
        <v>0</v>
      </c>
      <c r="L159" t="n">
        <v>0</v>
      </c>
      <c r="M159" t="n">
        <v>0</v>
      </c>
      <c r="N159" t="n">
        <v>0</v>
      </c>
      <c r="O159" t="n">
        <v>1</v>
      </c>
      <c r="P159" t="n">
        <v>0</v>
      </c>
      <c r="Q159" t="n">
        <v>2</v>
      </c>
      <c r="R159" s="2" t="inlineStr">
        <is>
          <t>Lunglav
Stuplav</t>
        </is>
      </c>
      <c r="S159">
        <f>HYPERLINK("https://klasma.github.io/Logging_2260/artfynd/A 38332-2019 artfynd.xlsx", "A 38332-2019")</f>
        <v/>
      </c>
      <c r="T159">
        <f>HYPERLINK("https://klasma.github.io/Logging_2260/kartor/A 38332-2019 karta.png", "A 38332-2019")</f>
        <v/>
      </c>
      <c r="V159">
        <f>HYPERLINK("https://klasma.github.io/Logging_2260/klagomål/A 38332-2019 FSC-klagomål.docx", "A 38332-2019")</f>
        <v/>
      </c>
      <c r="W159">
        <f>HYPERLINK("https://klasma.github.io/Logging_2260/klagomålsmail/A 38332-2019 FSC-klagomål mail.docx", "A 38332-2019")</f>
        <v/>
      </c>
      <c r="X159">
        <f>HYPERLINK("https://klasma.github.io/Logging_2260/tillsyn/A 38332-2019 tillsynsbegäran.docx", "A 38332-2019")</f>
        <v/>
      </c>
      <c r="Y159">
        <f>HYPERLINK("https://klasma.github.io/Logging_2260/tillsynsmail/A 38332-2019 tillsynsbegäran mail.docx", "A 38332-2019")</f>
        <v/>
      </c>
    </row>
    <row r="160" ht="15" customHeight="1">
      <c r="A160" t="inlineStr">
        <is>
          <t>A 3991-2020</t>
        </is>
      </c>
      <c r="B160" s="1" t="n">
        <v>43856</v>
      </c>
      <c r="C160" s="1" t="n">
        <v>45588</v>
      </c>
      <c r="D160" t="inlineStr">
        <is>
          <t>VÄSTERNORRLANDS LÄN</t>
        </is>
      </c>
      <c r="E160" t="inlineStr">
        <is>
          <t>ÅNGE</t>
        </is>
      </c>
      <c r="G160" t="n">
        <v>5</v>
      </c>
      <c r="H160" t="n">
        <v>1</v>
      </c>
      <c r="I160" t="n">
        <v>0</v>
      </c>
      <c r="J160" t="n">
        <v>0</v>
      </c>
      <c r="K160" t="n">
        <v>0</v>
      </c>
      <c r="L160" t="n">
        <v>2</v>
      </c>
      <c r="M160" t="n">
        <v>0</v>
      </c>
      <c r="N160" t="n">
        <v>0</v>
      </c>
      <c r="O160" t="n">
        <v>2</v>
      </c>
      <c r="P160" t="n">
        <v>2</v>
      </c>
      <c r="Q160" t="n">
        <v>2</v>
      </c>
      <c r="R160" s="2" t="inlineStr">
        <is>
          <t>Mikroskapania
Timmerskapania</t>
        </is>
      </c>
      <c r="S160">
        <f>HYPERLINK("https://klasma.github.io/Logging_2260/artfynd/A 3991-2020 artfynd.xlsx", "A 3991-2020")</f>
        <v/>
      </c>
      <c r="T160">
        <f>HYPERLINK("https://klasma.github.io/Logging_2260/kartor/A 3991-2020 karta.png", "A 3991-2020")</f>
        <v/>
      </c>
      <c r="V160">
        <f>HYPERLINK("https://klasma.github.io/Logging_2260/klagomål/A 3991-2020 FSC-klagomål.docx", "A 3991-2020")</f>
        <v/>
      </c>
      <c r="W160">
        <f>HYPERLINK("https://klasma.github.io/Logging_2260/klagomålsmail/A 3991-2020 FSC-klagomål mail.docx", "A 3991-2020")</f>
        <v/>
      </c>
      <c r="X160">
        <f>HYPERLINK("https://klasma.github.io/Logging_2260/tillsyn/A 3991-2020 tillsynsbegäran.docx", "A 3991-2020")</f>
        <v/>
      </c>
      <c r="Y160">
        <f>HYPERLINK("https://klasma.github.io/Logging_2260/tillsynsmail/A 3991-2020 tillsynsbegäran mail.docx", "A 3991-2020")</f>
        <v/>
      </c>
    </row>
    <row r="161" ht="15" customHeight="1">
      <c r="A161" t="inlineStr">
        <is>
          <t>A 46130-2020</t>
        </is>
      </c>
      <c r="B161" s="1" t="n">
        <v>44091</v>
      </c>
      <c r="C161" s="1" t="n">
        <v>45588</v>
      </c>
      <c r="D161" t="inlineStr">
        <is>
          <t>VÄSTERNORRLANDS LÄN</t>
        </is>
      </c>
      <c r="E161" t="inlineStr">
        <is>
          <t>ÅNGE</t>
        </is>
      </c>
      <c r="F161" t="inlineStr">
        <is>
          <t>SCA</t>
        </is>
      </c>
      <c r="G161" t="n">
        <v>8.4</v>
      </c>
      <c r="H161" t="n">
        <v>0</v>
      </c>
      <c r="I161" t="n">
        <v>1</v>
      </c>
      <c r="J161" t="n">
        <v>1</v>
      </c>
      <c r="K161" t="n">
        <v>0</v>
      </c>
      <c r="L161" t="n">
        <v>0</v>
      </c>
      <c r="M161" t="n">
        <v>0</v>
      </c>
      <c r="N161" t="n">
        <v>0</v>
      </c>
      <c r="O161" t="n">
        <v>1</v>
      </c>
      <c r="P161" t="n">
        <v>0</v>
      </c>
      <c r="Q161" t="n">
        <v>2</v>
      </c>
      <c r="R161" s="2" t="inlineStr">
        <is>
          <t>Ullticka
Kambräken</t>
        </is>
      </c>
      <c r="S161">
        <f>HYPERLINK("https://klasma.github.io/Logging_2260/artfynd/A 46130-2020 artfynd.xlsx", "A 46130-2020")</f>
        <v/>
      </c>
      <c r="T161">
        <f>HYPERLINK("https://klasma.github.io/Logging_2260/kartor/A 46130-2020 karta.png", "A 46130-2020")</f>
        <v/>
      </c>
      <c r="V161">
        <f>HYPERLINK("https://klasma.github.io/Logging_2260/klagomål/A 46130-2020 FSC-klagomål.docx", "A 46130-2020")</f>
        <v/>
      </c>
      <c r="W161">
        <f>HYPERLINK("https://klasma.github.io/Logging_2260/klagomålsmail/A 46130-2020 FSC-klagomål mail.docx", "A 46130-2020")</f>
        <v/>
      </c>
      <c r="X161">
        <f>HYPERLINK("https://klasma.github.io/Logging_2260/tillsyn/A 46130-2020 tillsynsbegäran.docx", "A 46130-2020")</f>
        <v/>
      </c>
      <c r="Y161">
        <f>HYPERLINK("https://klasma.github.io/Logging_2260/tillsynsmail/A 46130-2020 tillsynsbegäran mail.docx", "A 46130-2020")</f>
        <v/>
      </c>
    </row>
    <row r="162" ht="15" customHeight="1">
      <c r="A162" t="inlineStr">
        <is>
          <t>A 51694-2020</t>
        </is>
      </c>
      <c r="B162" s="1" t="n">
        <v>44113</v>
      </c>
      <c r="C162" s="1" t="n">
        <v>45588</v>
      </c>
      <c r="D162" t="inlineStr">
        <is>
          <t>VÄSTERNORRLANDS LÄN</t>
        </is>
      </c>
      <c r="E162" t="inlineStr">
        <is>
          <t>ÅNGE</t>
        </is>
      </c>
      <c r="F162" t="inlineStr">
        <is>
          <t>SCA</t>
        </is>
      </c>
      <c r="G162" t="n">
        <v>8.300000000000001</v>
      </c>
      <c r="H162" t="n">
        <v>0</v>
      </c>
      <c r="I162" t="n">
        <v>0</v>
      </c>
      <c r="J162" t="n">
        <v>2</v>
      </c>
      <c r="K162" t="n">
        <v>0</v>
      </c>
      <c r="L162" t="n">
        <v>0</v>
      </c>
      <c r="M162" t="n">
        <v>0</v>
      </c>
      <c r="N162" t="n">
        <v>0</v>
      </c>
      <c r="O162" t="n">
        <v>2</v>
      </c>
      <c r="P162" t="n">
        <v>0</v>
      </c>
      <c r="Q162" t="n">
        <v>2</v>
      </c>
      <c r="R162" s="2" t="inlineStr">
        <is>
          <t>Harticka
Ullticka</t>
        </is>
      </c>
      <c r="S162">
        <f>HYPERLINK("https://klasma.github.io/Logging_2260/artfynd/A 51694-2020 artfynd.xlsx", "A 51694-2020")</f>
        <v/>
      </c>
      <c r="T162">
        <f>HYPERLINK("https://klasma.github.io/Logging_2260/kartor/A 51694-2020 karta.png", "A 51694-2020")</f>
        <v/>
      </c>
      <c r="V162">
        <f>HYPERLINK("https://klasma.github.io/Logging_2260/klagomål/A 51694-2020 FSC-klagomål.docx", "A 51694-2020")</f>
        <v/>
      </c>
      <c r="W162">
        <f>HYPERLINK("https://klasma.github.io/Logging_2260/klagomålsmail/A 51694-2020 FSC-klagomål mail.docx", "A 51694-2020")</f>
        <v/>
      </c>
      <c r="X162">
        <f>HYPERLINK("https://klasma.github.io/Logging_2260/tillsyn/A 51694-2020 tillsynsbegäran.docx", "A 51694-2020")</f>
        <v/>
      </c>
      <c r="Y162">
        <f>HYPERLINK("https://klasma.github.io/Logging_2260/tillsynsmail/A 51694-2020 tillsynsbegäran mail.docx", "A 51694-2020")</f>
        <v/>
      </c>
    </row>
    <row r="163" ht="15" customHeight="1">
      <c r="A163" t="inlineStr">
        <is>
          <t>A 51756-2020</t>
        </is>
      </c>
      <c r="B163" s="1" t="n">
        <v>44114</v>
      </c>
      <c r="C163" s="1" t="n">
        <v>45588</v>
      </c>
      <c r="D163" t="inlineStr">
        <is>
          <t>VÄSTERNORRLANDS LÄN</t>
        </is>
      </c>
      <c r="E163" t="inlineStr">
        <is>
          <t>ÅNGE</t>
        </is>
      </c>
      <c r="G163" t="n">
        <v>0.8</v>
      </c>
      <c r="H163" t="n">
        <v>1</v>
      </c>
      <c r="I163" t="n">
        <v>0</v>
      </c>
      <c r="J163" t="n">
        <v>0</v>
      </c>
      <c r="K163" t="n">
        <v>0</v>
      </c>
      <c r="L163" t="n">
        <v>2</v>
      </c>
      <c r="M163" t="n">
        <v>0</v>
      </c>
      <c r="N163" t="n">
        <v>0</v>
      </c>
      <c r="O163" t="n">
        <v>2</v>
      </c>
      <c r="P163" t="n">
        <v>2</v>
      </c>
      <c r="Q163" t="n">
        <v>2</v>
      </c>
      <c r="R163" s="2" t="inlineStr">
        <is>
          <t>Mikroskapania
Timmerskapania</t>
        </is>
      </c>
      <c r="S163">
        <f>HYPERLINK("https://klasma.github.io/Logging_2260/artfynd/A 51756-2020 artfynd.xlsx", "A 51756-2020")</f>
        <v/>
      </c>
      <c r="T163">
        <f>HYPERLINK("https://klasma.github.io/Logging_2260/kartor/A 51756-2020 karta.png", "A 51756-2020")</f>
        <v/>
      </c>
      <c r="V163">
        <f>HYPERLINK("https://klasma.github.io/Logging_2260/klagomål/A 51756-2020 FSC-klagomål.docx", "A 51756-2020")</f>
        <v/>
      </c>
      <c r="W163">
        <f>HYPERLINK("https://klasma.github.io/Logging_2260/klagomålsmail/A 51756-2020 FSC-klagomål mail.docx", "A 51756-2020")</f>
        <v/>
      </c>
      <c r="X163">
        <f>HYPERLINK("https://klasma.github.io/Logging_2260/tillsyn/A 51756-2020 tillsynsbegäran.docx", "A 51756-2020")</f>
        <v/>
      </c>
      <c r="Y163">
        <f>HYPERLINK("https://klasma.github.io/Logging_2260/tillsynsmail/A 51756-2020 tillsynsbegäran mail.docx", "A 51756-2020")</f>
        <v/>
      </c>
    </row>
    <row r="164" ht="15" customHeight="1">
      <c r="A164" t="inlineStr">
        <is>
          <t>A 58902-2020</t>
        </is>
      </c>
      <c r="B164" s="1" t="n">
        <v>44146</v>
      </c>
      <c r="C164" s="1" t="n">
        <v>45588</v>
      </c>
      <c r="D164" t="inlineStr">
        <is>
          <t>VÄSTERNORRLANDS LÄN</t>
        </is>
      </c>
      <c r="E164" t="inlineStr">
        <is>
          <t>ÅNGE</t>
        </is>
      </c>
      <c r="G164" t="n">
        <v>8.199999999999999</v>
      </c>
      <c r="H164" t="n">
        <v>0</v>
      </c>
      <c r="I164" t="n">
        <v>1</v>
      </c>
      <c r="J164" t="n">
        <v>1</v>
      </c>
      <c r="K164" t="n">
        <v>0</v>
      </c>
      <c r="L164" t="n">
        <v>0</v>
      </c>
      <c r="M164" t="n">
        <v>0</v>
      </c>
      <c r="N164" t="n">
        <v>0</v>
      </c>
      <c r="O164" t="n">
        <v>1</v>
      </c>
      <c r="P164" t="n">
        <v>0</v>
      </c>
      <c r="Q164" t="n">
        <v>2</v>
      </c>
      <c r="R164" s="2" t="inlineStr">
        <is>
          <t>Ullticka
Vedticka</t>
        </is>
      </c>
      <c r="S164">
        <f>HYPERLINK("https://klasma.github.io/Logging_2260/artfynd/A 58902-2020 artfynd.xlsx", "A 58902-2020")</f>
        <v/>
      </c>
      <c r="T164">
        <f>HYPERLINK("https://klasma.github.io/Logging_2260/kartor/A 58902-2020 karta.png", "A 58902-2020")</f>
        <v/>
      </c>
      <c r="V164">
        <f>HYPERLINK("https://klasma.github.io/Logging_2260/klagomål/A 58902-2020 FSC-klagomål.docx", "A 58902-2020")</f>
        <v/>
      </c>
      <c r="W164">
        <f>HYPERLINK("https://klasma.github.io/Logging_2260/klagomålsmail/A 58902-2020 FSC-klagomål mail.docx", "A 58902-2020")</f>
        <v/>
      </c>
      <c r="X164">
        <f>HYPERLINK("https://klasma.github.io/Logging_2260/tillsyn/A 58902-2020 tillsynsbegäran.docx", "A 58902-2020")</f>
        <v/>
      </c>
      <c r="Y164">
        <f>HYPERLINK("https://klasma.github.io/Logging_2260/tillsynsmail/A 58902-2020 tillsynsbegäran mail.docx", "A 58902-2020")</f>
        <v/>
      </c>
    </row>
    <row r="165" ht="15" customHeight="1">
      <c r="A165" t="inlineStr">
        <is>
          <t>A 36635-2021</t>
        </is>
      </c>
      <c r="B165" s="1" t="n">
        <v>44391</v>
      </c>
      <c r="C165" s="1" t="n">
        <v>45588</v>
      </c>
      <c r="D165" t="inlineStr">
        <is>
          <t>VÄSTERNORRLANDS LÄN</t>
        </is>
      </c>
      <c r="E165" t="inlineStr">
        <is>
          <t>ÅNGE</t>
        </is>
      </c>
      <c r="F165" t="inlineStr">
        <is>
          <t>SCA</t>
        </is>
      </c>
      <c r="G165" t="n">
        <v>3.7</v>
      </c>
      <c r="H165" t="n">
        <v>1</v>
      </c>
      <c r="I165" t="n">
        <v>0</v>
      </c>
      <c r="J165" t="n">
        <v>1</v>
      </c>
      <c r="K165" t="n">
        <v>1</v>
      </c>
      <c r="L165" t="n">
        <v>0</v>
      </c>
      <c r="M165" t="n">
        <v>0</v>
      </c>
      <c r="N165" t="n">
        <v>0</v>
      </c>
      <c r="O165" t="n">
        <v>2</v>
      </c>
      <c r="P165" t="n">
        <v>1</v>
      </c>
      <c r="Q165" t="n">
        <v>2</v>
      </c>
      <c r="R165" s="2" t="inlineStr">
        <is>
          <t>Knärot
Tallticka</t>
        </is>
      </c>
      <c r="S165">
        <f>HYPERLINK("https://klasma.github.io/Logging_2260/artfynd/A 36635-2021 artfynd.xlsx", "A 36635-2021")</f>
        <v/>
      </c>
      <c r="T165">
        <f>HYPERLINK("https://klasma.github.io/Logging_2260/kartor/A 36635-2021 karta.png", "A 36635-2021")</f>
        <v/>
      </c>
      <c r="U165">
        <f>HYPERLINK("https://klasma.github.io/Logging_2260/knärot/A 36635-2021 karta knärot.png", "A 36635-2021")</f>
        <v/>
      </c>
      <c r="V165">
        <f>HYPERLINK("https://klasma.github.io/Logging_2260/klagomål/A 36635-2021 FSC-klagomål.docx", "A 36635-2021")</f>
        <v/>
      </c>
      <c r="W165">
        <f>HYPERLINK("https://klasma.github.io/Logging_2260/klagomålsmail/A 36635-2021 FSC-klagomål mail.docx", "A 36635-2021")</f>
        <v/>
      </c>
      <c r="X165">
        <f>HYPERLINK("https://klasma.github.io/Logging_2260/tillsyn/A 36635-2021 tillsynsbegäran.docx", "A 36635-2021")</f>
        <v/>
      </c>
      <c r="Y165">
        <f>HYPERLINK("https://klasma.github.io/Logging_2260/tillsynsmail/A 36635-2021 tillsynsbegäran mail.docx", "A 36635-2021")</f>
        <v/>
      </c>
    </row>
    <row r="166" ht="15" customHeight="1">
      <c r="A166" t="inlineStr">
        <is>
          <t>A 40965-2021</t>
        </is>
      </c>
      <c r="B166" s="1" t="n">
        <v>44421</v>
      </c>
      <c r="C166" s="1" t="n">
        <v>45588</v>
      </c>
      <c r="D166" t="inlineStr">
        <is>
          <t>VÄSTERNORRLANDS LÄN</t>
        </is>
      </c>
      <c r="E166" t="inlineStr">
        <is>
          <t>ÅNGE</t>
        </is>
      </c>
      <c r="F166" t="inlineStr">
        <is>
          <t>Sveaskog</t>
        </is>
      </c>
      <c r="G166" t="n">
        <v>5.4</v>
      </c>
      <c r="H166" t="n">
        <v>1</v>
      </c>
      <c r="I166" t="n">
        <v>1</v>
      </c>
      <c r="J166" t="n">
        <v>1</v>
      </c>
      <c r="K166" t="n">
        <v>0</v>
      </c>
      <c r="L166" t="n">
        <v>0</v>
      </c>
      <c r="M166" t="n">
        <v>0</v>
      </c>
      <c r="N166" t="n">
        <v>0</v>
      </c>
      <c r="O166" t="n">
        <v>1</v>
      </c>
      <c r="P166" t="n">
        <v>0</v>
      </c>
      <c r="Q166" t="n">
        <v>2</v>
      </c>
      <c r="R166" s="2" t="inlineStr">
        <is>
          <t>Skogsfru
Skogsbräsma</t>
        </is>
      </c>
      <c r="S166">
        <f>HYPERLINK("https://klasma.github.io/Logging_2260/artfynd/A 40965-2021 artfynd.xlsx", "A 40965-2021")</f>
        <v/>
      </c>
      <c r="T166">
        <f>HYPERLINK("https://klasma.github.io/Logging_2260/kartor/A 40965-2021 karta.png", "A 40965-2021")</f>
        <v/>
      </c>
      <c r="V166">
        <f>HYPERLINK("https://klasma.github.io/Logging_2260/klagomål/A 40965-2021 FSC-klagomål.docx", "A 40965-2021")</f>
        <v/>
      </c>
      <c r="W166">
        <f>HYPERLINK("https://klasma.github.io/Logging_2260/klagomålsmail/A 40965-2021 FSC-klagomål mail.docx", "A 40965-2021")</f>
        <v/>
      </c>
      <c r="X166">
        <f>HYPERLINK("https://klasma.github.io/Logging_2260/tillsyn/A 40965-2021 tillsynsbegäran.docx", "A 40965-2021")</f>
        <v/>
      </c>
      <c r="Y166">
        <f>HYPERLINK("https://klasma.github.io/Logging_2260/tillsynsmail/A 40965-2021 tillsynsbegäran mail.docx", "A 40965-2021")</f>
        <v/>
      </c>
    </row>
    <row r="167" ht="15" customHeight="1">
      <c r="A167" t="inlineStr">
        <is>
          <t>A 55591-2021</t>
        </is>
      </c>
      <c r="B167" s="1" t="n">
        <v>44475</v>
      </c>
      <c r="C167" s="1" t="n">
        <v>45588</v>
      </c>
      <c r="D167" t="inlineStr">
        <is>
          <t>VÄSTERNORRLANDS LÄN</t>
        </is>
      </c>
      <c r="E167" t="inlineStr">
        <is>
          <t>ÅNGE</t>
        </is>
      </c>
      <c r="G167" t="n">
        <v>3.6</v>
      </c>
      <c r="H167" t="n">
        <v>0</v>
      </c>
      <c r="I167" t="n">
        <v>0</v>
      </c>
      <c r="J167" t="n">
        <v>2</v>
      </c>
      <c r="K167" t="n">
        <v>0</v>
      </c>
      <c r="L167" t="n">
        <v>0</v>
      </c>
      <c r="M167" t="n">
        <v>0</v>
      </c>
      <c r="N167" t="n">
        <v>0</v>
      </c>
      <c r="O167" t="n">
        <v>2</v>
      </c>
      <c r="P167" t="n">
        <v>0</v>
      </c>
      <c r="Q167" t="n">
        <v>2</v>
      </c>
      <c r="R167" s="2" t="inlineStr">
        <is>
          <t>Kolflarnlav
Skrovlig taggsvamp</t>
        </is>
      </c>
      <c r="S167">
        <f>HYPERLINK("https://klasma.github.io/Logging_2260/artfynd/A 55591-2021 artfynd.xlsx", "A 55591-2021")</f>
        <v/>
      </c>
      <c r="T167">
        <f>HYPERLINK("https://klasma.github.io/Logging_2260/kartor/A 55591-2021 karta.png", "A 55591-2021")</f>
        <v/>
      </c>
      <c r="V167">
        <f>HYPERLINK("https://klasma.github.io/Logging_2260/klagomål/A 55591-2021 FSC-klagomål.docx", "A 55591-2021")</f>
        <v/>
      </c>
      <c r="W167">
        <f>HYPERLINK("https://klasma.github.io/Logging_2260/klagomålsmail/A 55591-2021 FSC-klagomål mail.docx", "A 55591-2021")</f>
        <v/>
      </c>
      <c r="X167">
        <f>HYPERLINK("https://klasma.github.io/Logging_2260/tillsyn/A 55591-2021 tillsynsbegäran.docx", "A 55591-2021")</f>
        <v/>
      </c>
      <c r="Y167">
        <f>HYPERLINK("https://klasma.github.io/Logging_2260/tillsynsmail/A 55591-2021 tillsynsbegäran mail.docx", "A 55591-2021")</f>
        <v/>
      </c>
    </row>
    <row r="168" ht="15" customHeight="1">
      <c r="A168" t="inlineStr">
        <is>
          <t>A 61472-2021</t>
        </is>
      </c>
      <c r="B168" s="1" t="n">
        <v>44500</v>
      </c>
      <c r="C168" s="1" t="n">
        <v>45588</v>
      </c>
      <c r="D168" t="inlineStr">
        <is>
          <t>VÄSTERNORRLANDS LÄN</t>
        </is>
      </c>
      <c r="E168" t="inlineStr">
        <is>
          <t>ÅNGE</t>
        </is>
      </c>
      <c r="F168" t="inlineStr">
        <is>
          <t>SCA</t>
        </is>
      </c>
      <c r="G168" t="n">
        <v>2.1</v>
      </c>
      <c r="H168" t="n">
        <v>2</v>
      </c>
      <c r="I168" t="n">
        <v>0</v>
      </c>
      <c r="J168" t="n">
        <v>0</v>
      </c>
      <c r="K168" t="n">
        <v>0</v>
      </c>
      <c r="L168" t="n">
        <v>0</v>
      </c>
      <c r="M168" t="n">
        <v>0</v>
      </c>
      <c r="N168" t="n">
        <v>0</v>
      </c>
      <c r="O168" t="n">
        <v>0</v>
      </c>
      <c r="P168" t="n">
        <v>0</v>
      </c>
      <c r="Q168" t="n">
        <v>2</v>
      </c>
      <c r="R168" s="2" t="inlineStr">
        <is>
          <t>Fläcknycklar
Revlummer</t>
        </is>
      </c>
      <c r="S168">
        <f>HYPERLINK("https://klasma.github.io/Logging_2260/artfynd/A 61472-2021 artfynd.xlsx", "A 61472-2021")</f>
        <v/>
      </c>
      <c r="T168">
        <f>HYPERLINK("https://klasma.github.io/Logging_2260/kartor/A 61472-2021 karta.png", "A 61472-2021")</f>
        <v/>
      </c>
      <c r="V168">
        <f>HYPERLINK("https://klasma.github.io/Logging_2260/klagomål/A 61472-2021 FSC-klagomål.docx", "A 61472-2021")</f>
        <v/>
      </c>
      <c r="W168">
        <f>HYPERLINK("https://klasma.github.io/Logging_2260/klagomålsmail/A 61472-2021 FSC-klagomål mail.docx", "A 61472-2021")</f>
        <v/>
      </c>
      <c r="X168">
        <f>HYPERLINK("https://klasma.github.io/Logging_2260/tillsyn/A 61472-2021 tillsynsbegäran.docx", "A 61472-2021")</f>
        <v/>
      </c>
      <c r="Y168">
        <f>HYPERLINK("https://klasma.github.io/Logging_2260/tillsynsmail/A 61472-2021 tillsynsbegäran mail.docx", "A 61472-2021")</f>
        <v/>
      </c>
    </row>
    <row r="169" ht="15" customHeight="1">
      <c r="A169" t="inlineStr">
        <is>
          <t>A 62861-2021</t>
        </is>
      </c>
      <c r="B169" s="1" t="n">
        <v>44503</v>
      </c>
      <c r="C169" s="1" t="n">
        <v>45588</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1082-2022</t>
        </is>
      </c>
      <c r="B170" s="1" t="n">
        <v>44571</v>
      </c>
      <c r="C170" s="1" t="n">
        <v>45588</v>
      </c>
      <c r="D170" t="inlineStr">
        <is>
          <t>VÄSTERNORRLANDS LÄN</t>
        </is>
      </c>
      <c r="E170" t="inlineStr">
        <is>
          <t>ÅNGE</t>
        </is>
      </c>
      <c r="G170" t="n">
        <v>0.9</v>
      </c>
      <c r="H170" t="n">
        <v>1</v>
      </c>
      <c r="I170" t="n">
        <v>0</v>
      </c>
      <c r="J170" t="n">
        <v>2</v>
      </c>
      <c r="K170" t="n">
        <v>0</v>
      </c>
      <c r="L170" t="n">
        <v>0</v>
      </c>
      <c r="M170" t="n">
        <v>0</v>
      </c>
      <c r="N170" t="n">
        <v>0</v>
      </c>
      <c r="O170" t="n">
        <v>2</v>
      </c>
      <c r="P170" t="n">
        <v>0</v>
      </c>
      <c r="Q170" t="n">
        <v>2</v>
      </c>
      <c r="R170" s="2" t="inlineStr">
        <is>
          <t>Garnlav
Talltita</t>
        </is>
      </c>
      <c r="S170">
        <f>HYPERLINK("https://klasma.github.io/Logging_2260/artfynd/A 1082-2022 artfynd.xlsx", "A 1082-2022")</f>
        <v/>
      </c>
      <c r="T170">
        <f>HYPERLINK("https://klasma.github.io/Logging_2260/kartor/A 1082-2022 karta.png", "A 1082-2022")</f>
        <v/>
      </c>
      <c r="V170">
        <f>HYPERLINK("https://klasma.github.io/Logging_2260/klagomål/A 1082-2022 FSC-klagomål.docx", "A 1082-2022")</f>
        <v/>
      </c>
      <c r="W170">
        <f>HYPERLINK("https://klasma.github.io/Logging_2260/klagomålsmail/A 1082-2022 FSC-klagomål mail.docx", "A 1082-2022")</f>
        <v/>
      </c>
      <c r="X170">
        <f>HYPERLINK("https://klasma.github.io/Logging_2260/tillsyn/A 1082-2022 tillsynsbegäran.docx", "A 1082-2022")</f>
        <v/>
      </c>
      <c r="Y170">
        <f>HYPERLINK("https://klasma.github.io/Logging_2260/tillsynsmail/A 1082-2022 tillsynsbegäran mail.docx", "A 1082-2022")</f>
        <v/>
      </c>
      <c r="Z170">
        <f>HYPERLINK("https://klasma.github.io/Logging_2260/fåglar/A 1082-2022 prioriterade fågelarter.docx", "A 1082-2022")</f>
        <v/>
      </c>
    </row>
    <row r="171" ht="15" customHeight="1">
      <c r="A171" t="inlineStr">
        <is>
          <t>A 8234-2022</t>
        </is>
      </c>
      <c r="B171" s="1" t="n">
        <v>44609</v>
      </c>
      <c r="C171" s="1" t="n">
        <v>45588</v>
      </c>
      <c r="D171" t="inlineStr">
        <is>
          <t>VÄSTERNORRLANDS LÄN</t>
        </is>
      </c>
      <c r="E171" t="inlineStr">
        <is>
          <t>ÅNGE</t>
        </is>
      </c>
      <c r="F171" t="inlineStr">
        <is>
          <t>SCA</t>
        </is>
      </c>
      <c r="G171" t="n">
        <v>2.3</v>
      </c>
      <c r="H171" t="n">
        <v>1</v>
      </c>
      <c r="I171" t="n">
        <v>0</v>
      </c>
      <c r="J171" t="n">
        <v>1</v>
      </c>
      <c r="K171" t="n">
        <v>0</v>
      </c>
      <c r="L171" t="n">
        <v>0</v>
      </c>
      <c r="M171" t="n">
        <v>0</v>
      </c>
      <c r="N171" t="n">
        <v>0</v>
      </c>
      <c r="O171" t="n">
        <v>1</v>
      </c>
      <c r="P171" t="n">
        <v>0</v>
      </c>
      <c r="Q171" t="n">
        <v>2</v>
      </c>
      <c r="R171" s="2" t="inlineStr">
        <is>
          <t>Garnlav
Revlummer</t>
        </is>
      </c>
      <c r="S171">
        <f>HYPERLINK("https://klasma.github.io/Logging_2260/artfynd/A 8234-2022 artfynd.xlsx", "A 8234-2022")</f>
        <v/>
      </c>
      <c r="T171">
        <f>HYPERLINK("https://klasma.github.io/Logging_2260/kartor/A 8234-2022 karta.png", "A 8234-2022")</f>
        <v/>
      </c>
      <c r="V171">
        <f>HYPERLINK("https://klasma.github.io/Logging_2260/klagomål/A 8234-2022 FSC-klagomål.docx", "A 8234-2022")</f>
        <v/>
      </c>
      <c r="W171">
        <f>HYPERLINK("https://klasma.github.io/Logging_2260/klagomålsmail/A 8234-2022 FSC-klagomål mail.docx", "A 8234-2022")</f>
        <v/>
      </c>
      <c r="X171">
        <f>HYPERLINK("https://klasma.github.io/Logging_2260/tillsyn/A 8234-2022 tillsynsbegäran.docx", "A 8234-2022")</f>
        <v/>
      </c>
      <c r="Y171">
        <f>HYPERLINK("https://klasma.github.io/Logging_2260/tillsynsmail/A 8234-2022 tillsynsbegäran mail.docx", "A 8234-2022")</f>
        <v/>
      </c>
    </row>
    <row r="172" ht="15" customHeight="1">
      <c r="A172" t="inlineStr">
        <is>
          <t>A 38429-2022</t>
        </is>
      </c>
      <c r="B172" s="1" t="n">
        <v>44812</v>
      </c>
      <c r="C172" s="1" t="n">
        <v>45588</v>
      </c>
      <c r="D172" t="inlineStr">
        <is>
          <t>VÄSTERNORRLANDS LÄN</t>
        </is>
      </c>
      <c r="E172" t="inlineStr">
        <is>
          <t>ÅNGE</t>
        </is>
      </c>
      <c r="F172" t="inlineStr">
        <is>
          <t>SCA</t>
        </is>
      </c>
      <c r="G172" t="n">
        <v>4.2</v>
      </c>
      <c r="H172" t="n">
        <v>1</v>
      </c>
      <c r="I172" t="n">
        <v>0</v>
      </c>
      <c r="J172" t="n">
        <v>1</v>
      </c>
      <c r="K172" t="n">
        <v>1</v>
      </c>
      <c r="L172" t="n">
        <v>0</v>
      </c>
      <c r="M172" t="n">
        <v>0</v>
      </c>
      <c r="N172" t="n">
        <v>0</v>
      </c>
      <c r="O172" t="n">
        <v>2</v>
      </c>
      <c r="P172" t="n">
        <v>1</v>
      </c>
      <c r="Q172" t="n">
        <v>2</v>
      </c>
      <c r="R172" s="2" t="inlineStr">
        <is>
          <t>Doftticka
Lunglav</t>
        </is>
      </c>
      <c r="S172">
        <f>HYPERLINK("https://klasma.github.io/Logging_2260/artfynd/A 38429-2022 artfynd.xlsx", "A 38429-2022")</f>
        <v/>
      </c>
      <c r="T172">
        <f>HYPERLINK("https://klasma.github.io/Logging_2260/kartor/A 38429-2022 karta.png", "A 38429-2022")</f>
        <v/>
      </c>
      <c r="V172">
        <f>HYPERLINK("https://klasma.github.io/Logging_2260/klagomål/A 38429-2022 FSC-klagomål.docx", "A 38429-2022")</f>
        <v/>
      </c>
      <c r="W172">
        <f>HYPERLINK("https://klasma.github.io/Logging_2260/klagomålsmail/A 38429-2022 FSC-klagomål mail.docx", "A 38429-2022")</f>
        <v/>
      </c>
      <c r="X172">
        <f>HYPERLINK("https://klasma.github.io/Logging_2260/tillsyn/A 38429-2022 tillsynsbegäran.docx", "A 38429-2022")</f>
        <v/>
      </c>
      <c r="Y172">
        <f>HYPERLINK("https://klasma.github.io/Logging_2260/tillsynsmail/A 38429-2022 tillsynsbegäran mail.docx", "A 38429-2022")</f>
        <v/>
      </c>
    </row>
    <row r="173" ht="15" customHeight="1">
      <c r="A173" t="inlineStr">
        <is>
          <t>A 47438-2022</t>
        </is>
      </c>
      <c r="B173" s="1" t="n">
        <v>44853</v>
      </c>
      <c r="C173" s="1" t="n">
        <v>45588</v>
      </c>
      <c r="D173" t="inlineStr">
        <is>
          <t>VÄSTERNORRLANDS LÄN</t>
        </is>
      </c>
      <c r="E173" t="inlineStr">
        <is>
          <t>ÅNGE</t>
        </is>
      </c>
      <c r="F173" t="inlineStr">
        <is>
          <t>Sveaskog</t>
        </is>
      </c>
      <c r="G173" t="n">
        <v>2.1</v>
      </c>
      <c r="H173" t="n">
        <v>0</v>
      </c>
      <c r="I173" t="n">
        <v>0</v>
      </c>
      <c r="J173" t="n">
        <v>2</v>
      </c>
      <c r="K173" t="n">
        <v>0</v>
      </c>
      <c r="L173" t="n">
        <v>0</v>
      </c>
      <c r="M173" t="n">
        <v>0</v>
      </c>
      <c r="N173" t="n">
        <v>0</v>
      </c>
      <c r="O173" t="n">
        <v>2</v>
      </c>
      <c r="P173" t="n">
        <v>0</v>
      </c>
      <c r="Q173" t="n">
        <v>2</v>
      </c>
      <c r="R173" s="2" t="inlineStr">
        <is>
          <t>Lunglav
Violettgrå tagellav</t>
        </is>
      </c>
      <c r="S173">
        <f>HYPERLINK("https://klasma.github.io/Logging_2260/artfynd/A 47438-2022 artfynd.xlsx", "A 47438-2022")</f>
        <v/>
      </c>
      <c r="T173">
        <f>HYPERLINK("https://klasma.github.io/Logging_2260/kartor/A 47438-2022 karta.png", "A 47438-2022")</f>
        <v/>
      </c>
      <c r="V173">
        <f>HYPERLINK("https://klasma.github.io/Logging_2260/klagomål/A 47438-2022 FSC-klagomål.docx", "A 47438-2022")</f>
        <v/>
      </c>
      <c r="W173">
        <f>HYPERLINK("https://klasma.github.io/Logging_2260/klagomålsmail/A 47438-2022 FSC-klagomål mail.docx", "A 47438-2022")</f>
        <v/>
      </c>
      <c r="X173">
        <f>HYPERLINK("https://klasma.github.io/Logging_2260/tillsyn/A 47438-2022 tillsynsbegäran.docx", "A 47438-2022")</f>
        <v/>
      </c>
      <c r="Y173">
        <f>HYPERLINK("https://klasma.github.io/Logging_2260/tillsynsmail/A 47438-2022 tillsynsbegäran mail.docx", "A 47438-2022")</f>
        <v/>
      </c>
    </row>
    <row r="174" ht="15" customHeight="1">
      <c r="A174" t="inlineStr">
        <is>
          <t>A 48152-2022</t>
        </is>
      </c>
      <c r="B174" s="1" t="n">
        <v>44853</v>
      </c>
      <c r="C174" s="1" t="n">
        <v>45588</v>
      </c>
      <c r="D174" t="inlineStr">
        <is>
          <t>VÄSTERNORRLANDS LÄN</t>
        </is>
      </c>
      <c r="E174" t="inlineStr">
        <is>
          <t>ÅNGE</t>
        </is>
      </c>
      <c r="G174" t="n">
        <v>2.9</v>
      </c>
      <c r="H174" t="n">
        <v>0</v>
      </c>
      <c r="I174" t="n">
        <v>0</v>
      </c>
      <c r="J174" t="n">
        <v>2</v>
      </c>
      <c r="K174" t="n">
        <v>0</v>
      </c>
      <c r="L174" t="n">
        <v>0</v>
      </c>
      <c r="M174" t="n">
        <v>0</v>
      </c>
      <c r="N174" t="n">
        <v>0</v>
      </c>
      <c r="O174" t="n">
        <v>2</v>
      </c>
      <c r="P174" t="n">
        <v>0</v>
      </c>
      <c r="Q174" t="n">
        <v>2</v>
      </c>
      <c r="R174" s="2" t="inlineStr">
        <is>
          <t>Lunglav
Skrovellav</t>
        </is>
      </c>
      <c r="S174">
        <f>HYPERLINK("https://klasma.github.io/Logging_2260/artfynd/A 48152-2022 artfynd.xlsx", "A 48152-2022")</f>
        <v/>
      </c>
      <c r="T174">
        <f>HYPERLINK("https://klasma.github.io/Logging_2260/kartor/A 48152-2022 karta.png", "A 48152-2022")</f>
        <v/>
      </c>
      <c r="V174">
        <f>HYPERLINK("https://klasma.github.io/Logging_2260/klagomål/A 48152-2022 FSC-klagomål.docx", "A 48152-2022")</f>
        <v/>
      </c>
      <c r="W174">
        <f>HYPERLINK("https://klasma.github.io/Logging_2260/klagomålsmail/A 48152-2022 FSC-klagomål mail.docx", "A 48152-2022")</f>
        <v/>
      </c>
      <c r="X174">
        <f>HYPERLINK("https://klasma.github.io/Logging_2260/tillsyn/A 48152-2022 tillsynsbegäran.docx", "A 48152-2022")</f>
        <v/>
      </c>
      <c r="Y174">
        <f>HYPERLINK("https://klasma.github.io/Logging_2260/tillsynsmail/A 48152-2022 tillsynsbegäran mail.docx", "A 48152-2022")</f>
        <v/>
      </c>
    </row>
    <row r="175" ht="15" customHeight="1">
      <c r="A175" t="inlineStr">
        <is>
          <t>A 47799-2022</t>
        </is>
      </c>
      <c r="B175" s="1" t="n">
        <v>44855</v>
      </c>
      <c r="C175" s="1" t="n">
        <v>45588</v>
      </c>
      <c r="D175" t="inlineStr">
        <is>
          <t>VÄSTERNORRLANDS LÄN</t>
        </is>
      </c>
      <c r="E175" t="inlineStr">
        <is>
          <t>ÅNGE</t>
        </is>
      </c>
      <c r="F175" t="inlineStr">
        <is>
          <t>SCA</t>
        </is>
      </c>
      <c r="G175" t="n">
        <v>5</v>
      </c>
      <c r="H175" t="n">
        <v>1</v>
      </c>
      <c r="I175" t="n">
        <v>0</v>
      </c>
      <c r="J175" t="n">
        <v>1</v>
      </c>
      <c r="K175" t="n">
        <v>0</v>
      </c>
      <c r="L175" t="n">
        <v>0</v>
      </c>
      <c r="M175" t="n">
        <v>0</v>
      </c>
      <c r="N175" t="n">
        <v>0</v>
      </c>
      <c r="O175" t="n">
        <v>1</v>
      </c>
      <c r="P175" t="n">
        <v>0</v>
      </c>
      <c r="Q175" t="n">
        <v>2</v>
      </c>
      <c r="R175" s="2" t="inlineStr">
        <is>
          <t>Lunglav
Fläcknycklar</t>
        </is>
      </c>
      <c r="S175">
        <f>HYPERLINK("https://klasma.github.io/Logging_2260/artfynd/A 47799-2022 artfynd.xlsx", "A 47799-2022")</f>
        <v/>
      </c>
      <c r="T175">
        <f>HYPERLINK("https://klasma.github.io/Logging_2260/kartor/A 47799-2022 karta.png", "A 47799-2022")</f>
        <v/>
      </c>
      <c r="V175">
        <f>HYPERLINK("https://klasma.github.io/Logging_2260/klagomål/A 47799-2022 FSC-klagomål.docx", "A 47799-2022")</f>
        <v/>
      </c>
      <c r="W175">
        <f>HYPERLINK("https://klasma.github.io/Logging_2260/klagomålsmail/A 47799-2022 FSC-klagomål mail.docx", "A 47799-2022")</f>
        <v/>
      </c>
      <c r="X175">
        <f>HYPERLINK("https://klasma.github.io/Logging_2260/tillsyn/A 47799-2022 tillsynsbegäran.docx", "A 47799-2022")</f>
        <v/>
      </c>
      <c r="Y175">
        <f>HYPERLINK("https://klasma.github.io/Logging_2260/tillsynsmail/A 47799-2022 tillsynsbegäran mail.docx", "A 47799-2022")</f>
        <v/>
      </c>
    </row>
    <row r="176" ht="15" customHeight="1">
      <c r="A176" t="inlineStr">
        <is>
          <t>A 47798-2022</t>
        </is>
      </c>
      <c r="B176" s="1" t="n">
        <v>44855</v>
      </c>
      <c r="C176" s="1" t="n">
        <v>45588</v>
      </c>
      <c r="D176" t="inlineStr">
        <is>
          <t>VÄSTERNORRLANDS LÄN</t>
        </is>
      </c>
      <c r="E176" t="inlineStr">
        <is>
          <t>ÅNGE</t>
        </is>
      </c>
      <c r="F176" t="inlineStr">
        <is>
          <t>SCA</t>
        </is>
      </c>
      <c r="G176" t="n">
        <v>8.300000000000001</v>
      </c>
      <c r="H176" t="n">
        <v>0</v>
      </c>
      <c r="I176" t="n">
        <v>1</v>
      </c>
      <c r="J176" t="n">
        <v>1</v>
      </c>
      <c r="K176" t="n">
        <v>0</v>
      </c>
      <c r="L176" t="n">
        <v>0</v>
      </c>
      <c r="M176" t="n">
        <v>0</v>
      </c>
      <c r="N176" t="n">
        <v>0</v>
      </c>
      <c r="O176" t="n">
        <v>1</v>
      </c>
      <c r="P176" t="n">
        <v>0</v>
      </c>
      <c r="Q176" t="n">
        <v>2</v>
      </c>
      <c r="R176" s="2" t="inlineStr">
        <is>
          <t>Lunglav
Kransrams</t>
        </is>
      </c>
      <c r="S176">
        <f>HYPERLINK("https://klasma.github.io/Logging_2260/artfynd/A 47798-2022 artfynd.xlsx", "A 47798-2022")</f>
        <v/>
      </c>
      <c r="T176">
        <f>HYPERLINK("https://klasma.github.io/Logging_2260/kartor/A 47798-2022 karta.png", "A 47798-2022")</f>
        <v/>
      </c>
      <c r="V176">
        <f>HYPERLINK("https://klasma.github.io/Logging_2260/klagomål/A 47798-2022 FSC-klagomål.docx", "A 47798-2022")</f>
        <v/>
      </c>
      <c r="W176">
        <f>HYPERLINK("https://klasma.github.io/Logging_2260/klagomålsmail/A 47798-2022 FSC-klagomål mail.docx", "A 47798-2022")</f>
        <v/>
      </c>
      <c r="X176">
        <f>HYPERLINK("https://klasma.github.io/Logging_2260/tillsyn/A 47798-2022 tillsynsbegäran.docx", "A 47798-2022")</f>
        <v/>
      </c>
      <c r="Y176">
        <f>HYPERLINK("https://klasma.github.io/Logging_2260/tillsynsmail/A 47798-2022 tillsynsbegäran mail.docx", "A 47798-2022")</f>
        <v/>
      </c>
    </row>
    <row r="177" ht="15" customHeight="1">
      <c r="A177" t="inlineStr">
        <is>
          <t>A 54822-2022</t>
        </is>
      </c>
      <c r="B177" s="1" t="n">
        <v>44883</v>
      </c>
      <c r="C177" s="1" t="n">
        <v>45588</v>
      </c>
      <c r="D177" t="inlineStr">
        <is>
          <t>VÄSTERNORRLANDS LÄN</t>
        </is>
      </c>
      <c r="E177" t="inlineStr">
        <is>
          <t>ÅNGE</t>
        </is>
      </c>
      <c r="G177" t="n">
        <v>3.8</v>
      </c>
      <c r="H177" t="n">
        <v>2</v>
      </c>
      <c r="I177" t="n">
        <v>0</v>
      </c>
      <c r="J177" t="n">
        <v>1</v>
      </c>
      <c r="K177" t="n">
        <v>0</v>
      </c>
      <c r="L177" t="n">
        <v>0</v>
      </c>
      <c r="M177" t="n">
        <v>0</v>
      </c>
      <c r="N177" t="n">
        <v>0</v>
      </c>
      <c r="O177" t="n">
        <v>1</v>
      </c>
      <c r="P177" t="n">
        <v>0</v>
      </c>
      <c r="Q177" t="n">
        <v>2</v>
      </c>
      <c r="R177" s="2" t="inlineStr">
        <is>
          <t>Tretåig hackspett
Mindre vattensalamander</t>
        </is>
      </c>
      <c r="S177">
        <f>HYPERLINK("https://klasma.github.io/Logging_2260/artfynd/A 54822-2022 artfynd.xlsx", "A 54822-2022")</f>
        <v/>
      </c>
      <c r="T177">
        <f>HYPERLINK("https://klasma.github.io/Logging_2260/kartor/A 54822-2022 karta.png", "A 54822-2022")</f>
        <v/>
      </c>
      <c r="V177">
        <f>HYPERLINK("https://klasma.github.io/Logging_2260/klagomål/A 54822-2022 FSC-klagomål.docx", "A 54822-2022")</f>
        <v/>
      </c>
      <c r="W177">
        <f>HYPERLINK("https://klasma.github.io/Logging_2260/klagomålsmail/A 54822-2022 FSC-klagomål mail.docx", "A 54822-2022")</f>
        <v/>
      </c>
      <c r="X177">
        <f>HYPERLINK("https://klasma.github.io/Logging_2260/tillsyn/A 54822-2022 tillsynsbegäran.docx", "A 54822-2022")</f>
        <v/>
      </c>
      <c r="Y177">
        <f>HYPERLINK("https://klasma.github.io/Logging_2260/tillsynsmail/A 54822-2022 tillsynsbegäran mail.docx", "A 54822-2022")</f>
        <v/>
      </c>
      <c r="Z177">
        <f>HYPERLINK("https://klasma.github.io/Logging_2260/fåglar/A 54822-2022 prioriterade fågelarter.docx", "A 54822-2022")</f>
        <v/>
      </c>
    </row>
    <row r="178" ht="15" customHeight="1">
      <c r="A178" t="inlineStr">
        <is>
          <t>A 57594-2022</t>
        </is>
      </c>
      <c r="B178" s="1" t="n">
        <v>44897</v>
      </c>
      <c r="C178" s="1" t="n">
        <v>45588</v>
      </c>
      <c r="D178" t="inlineStr">
        <is>
          <t>VÄSTERNORRLANDS LÄN</t>
        </is>
      </c>
      <c r="E178" t="inlineStr">
        <is>
          <t>ÅNGE</t>
        </is>
      </c>
      <c r="F178" t="inlineStr">
        <is>
          <t>SCA</t>
        </is>
      </c>
      <c r="G178" t="n">
        <v>5.3</v>
      </c>
      <c r="H178" t="n">
        <v>0</v>
      </c>
      <c r="I178" t="n">
        <v>0</v>
      </c>
      <c r="J178" t="n">
        <v>2</v>
      </c>
      <c r="K178" t="n">
        <v>0</v>
      </c>
      <c r="L178" t="n">
        <v>0</v>
      </c>
      <c r="M178" t="n">
        <v>0</v>
      </c>
      <c r="N178" t="n">
        <v>0</v>
      </c>
      <c r="O178" t="n">
        <v>2</v>
      </c>
      <c r="P178" t="n">
        <v>0</v>
      </c>
      <c r="Q178" t="n">
        <v>2</v>
      </c>
      <c r="R178" s="2" t="inlineStr">
        <is>
          <t>Granticka
Lunglav</t>
        </is>
      </c>
      <c r="S178">
        <f>HYPERLINK("https://klasma.github.io/Logging_2260/artfynd/A 57594-2022 artfynd.xlsx", "A 57594-2022")</f>
        <v/>
      </c>
      <c r="T178">
        <f>HYPERLINK("https://klasma.github.io/Logging_2260/kartor/A 57594-2022 karta.png", "A 57594-2022")</f>
        <v/>
      </c>
      <c r="V178">
        <f>HYPERLINK("https://klasma.github.io/Logging_2260/klagomål/A 57594-2022 FSC-klagomål.docx", "A 57594-2022")</f>
        <v/>
      </c>
      <c r="W178">
        <f>HYPERLINK("https://klasma.github.io/Logging_2260/klagomålsmail/A 57594-2022 FSC-klagomål mail.docx", "A 57594-2022")</f>
        <v/>
      </c>
      <c r="X178">
        <f>HYPERLINK("https://klasma.github.io/Logging_2260/tillsyn/A 57594-2022 tillsynsbegäran.docx", "A 57594-2022")</f>
        <v/>
      </c>
      <c r="Y178">
        <f>HYPERLINK("https://klasma.github.io/Logging_2260/tillsynsmail/A 57594-2022 tillsynsbegäran mail.docx", "A 57594-2022")</f>
        <v/>
      </c>
    </row>
    <row r="179" ht="15" customHeight="1">
      <c r="A179" t="inlineStr">
        <is>
          <t>A 57597-2022</t>
        </is>
      </c>
      <c r="B179" s="1" t="n">
        <v>44897</v>
      </c>
      <c r="C179" s="1" t="n">
        <v>45588</v>
      </c>
      <c r="D179" t="inlineStr">
        <is>
          <t>VÄSTERNORRLANDS LÄN</t>
        </is>
      </c>
      <c r="E179" t="inlineStr">
        <is>
          <t>ÅNGE</t>
        </is>
      </c>
      <c r="F179" t="inlineStr">
        <is>
          <t>SCA</t>
        </is>
      </c>
      <c r="G179" t="n">
        <v>6.2</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57597-2022 artfynd.xlsx", "A 57597-2022")</f>
        <v/>
      </c>
      <c r="T179">
        <f>HYPERLINK("https://klasma.github.io/Logging_2260/kartor/A 57597-2022 karta.png", "A 57597-2022")</f>
        <v/>
      </c>
      <c r="V179">
        <f>HYPERLINK("https://klasma.github.io/Logging_2260/klagomål/A 57597-2022 FSC-klagomål.docx", "A 57597-2022")</f>
        <v/>
      </c>
      <c r="W179">
        <f>HYPERLINK("https://klasma.github.io/Logging_2260/klagomålsmail/A 57597-2022 FSC-klagomål mail.docx", "A 57597-2022")</f>
        <v/>
      </c>
      <c r="X179">
        <f>HYPERLINK("https://klasma.github.io/Logging_2260/tillsyn/A 57597-2022 tillsynsbegäran.docx", "A 57597-2022")</f>
        <v/>
      </c>
      <c r="Y179">
        <f>HYPERLINK("https://klasma.github.io/Logging_2260/tillsynsmail/A 57597-2022 tillsynsbegäran mail.docx", "A 57597-2022")</f>
        <v/>
      </c>
    </row>
    <row r="180" ht="15" customHeight="1">
      <c r="A180" t="inlineStr">
        <is>
          <t>A 17861-2023</t>
        </is>
      </c>
      <c r="B180" s="1" t="n">
        <v>45038</v>
      </c>
      <c r="C180" s="1" t="n">
        <v>45588</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23521-2023</t>
        </is>
      </c>
      <c r="B181" s="1" t="n">
        <v>45076</v>
      </c>
      <c r="C181" s="1" t="n">
        <v>45588</v>
      </c>
      <c r="D181" t="inlineStr">
        <is>
          <t>VÄSTERNORRLANDS LÄN</t>
        </is>
      </c>
      <c r="E181" t="inlineStr">
        <is>
          <t>ÅNGE</t>
        </is>
      </c>
      <c r="F181" t="inlineStr">
        <is>
          <t>SCA</t>
        </is>
      </c>
      <c r="G181" t="n">
        <v>5</v>
      </c>
      <c r="H181" t="n">
        <v>0</v>
      </c>
      <c r="I181" t="n">
        <v>0</v>
      </c>
      <c r="J181" t="n">
        <v>2</v>
      </c>
      <c r="K181" t="n">
        <v>0</v>
      </c>
      <c r="L181" t="n">
        <v>0</v>
      </c>
      <c r="M181" t="n">
        <v>0</v>
      </c>
      <c r="N181" t="n">
        <v>0</v>
      </c>
      <c r="O181" t="n">
        <v>2</v>
      </c>
      <c r="P181" t="n">
        <v>0</v>
      </c>
      <c r="Q181" t="n">
        <v>2</v>
      </c>
      <c r="R181" s="2" t="inlineStr">
        <is>
          <t>Garnlav
Rosenticka</t>
        </is>
      </c>
      <c r="S181">
        <f>HYPERLINK("https://klasma.github.io/Logging_2260/artfynd/A 23521-2023 artfynd.xlsx", "A 23521-2023")</f>
        <v/>
      </c>
      <c r="T181">
        <f>HYPERLINK("https://klasma.github.io/Logging_2260/kartor/A 23521-2023 karta.png", "A 23521-2023")</f>
        <v/>
      </c>
      <c r="V181">
        <f>HYPERLINK("https://klasma.github.io/Logging_2260/klagomål/A 23521-2023 FSC-klagomål.docx", "A 23521-2023")</f>
        <v/>
      </c>
      <c r="W181">
        <f>HYPERLINK("https://klasma.github.io/Logging_2260/klagomålsmail/A 23521-2023 FSC-klagomål mail.docx", "A 23521-2023")</f>
        <v/>
      </c>
      <c r="X181">
        <f>HYPERLINK("https://klasma.github.io/Logging_2260/tillsyn/A 23521-2023 tillsynsbegäran.docx", "A 23521-2023")</f>
        <v/>
      </c>
      <c r="Y181">
        <f>HYPERLINK("https://klasma.github.io/Logging_2260/tillsynsmail/A 23521-2023 tillsynsbegäran mail.docx", "A 23521-2023")</f>
        <v/>
      </c>
    </row>
    <row r="182" ht="15" customHeight="1">
      <c r="A182" t="inlineStr">
        <is>
          <t>A 29325-2023</t>
        </is>
      </c>
      <c r="B182" s="1" t="n">
        <v>45105</v>
      </c>
      <c r="C182" s="1" t="n">
        <v>45588</v>
      </c>
      <c r="D182" t="inlineStr">
        <is>
          <t>VÄSTERNORRLANDS LÄN</t>
        </is>
      </c>
      <c r="E182" t="inlineStr">
        <is>
          <t>ÅNGE</t>
        </is>
      </c>
      <c r="G182" t="n">
        <v>12.4</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HYPERLINK("https://klasma.github.io/Logging_2260/artfynd/A 29325-2023 artfynd.xlsx", "A 29325-2023")</f>
        <v/>
      </c>
      <c r="T182">
        <f>HYPERLINK("https://klasma.github.io/Logging_2260/kartor/A 29325-2023 karta.png", "A 29325-2023")</f>
        <v/>
      </c>
      <c r="V182">
        <f>HYPERLINK("https://klasma.github.io/Logging_2260/klagomål/A 29325-2023 FSC-klagomål.docx", "A 29325-2023")</f>
        <v/>
      </c>
      <c r="W182">
        <f>HYPERLINK("https://klasma.github.io/Logging_2260/klagomålsmail/A 29325-2023 FSC-klagomål mail.docx", "A 29325-2023")</f>
        <v/>
      </c>
      <c r="X182">
        <f>HYPERLINK("https://klasma.github.io/Logging_2260/tillsyn/A 29325-2023 tillsynsbegäran.docx", "A 29325-2023")</f>
        <v/>
      </c>
      <c r="Y182">
        <f>HYPERLINK("https://klasma.github.io/Logging_2260/tillsynsmail/A 29325-2023 tillsynsbegäran mail.docx", "A 29325-2023")</f>
        <v/>
      </c>
    </row>
    <row r="183" ht="15" customHeight="1">
      <c r="A183" t="inlineStr">
        <is>
          <t>A 32494-2023</t>
        </is>
      </c>
      <c r="B183" s="1" t="n">
        <v>45121</v>
      </c>
      <c r="C183" s="1" t="n">
        <v>45588</v>
      </c>
      <c r="D183" t="inlineStr">
        <is>
          <t>VÄSTERNORRLANDS LÄN</t>
        </is>
      </c>
      <c r="E183" t="inlineStr">
        <is>
          <t>ÅNGE</t>
        </is>
      </c>
      <c r="F183" t="inlineStr">
        <is>
          <t>Sveaskog</t>
        </is>
      </c>
      <c r="G183" t="n">
        <v>4.4</v>
      </c>
      <c r="H183" t="n">
        <v>0</v>
      </c>
      <c r="I183" t="n">
        <v>0</v>
      </c>
      <c r="J183" t="n">
        <v>2</v>
      </c>
      <c r="K183" t="n">
        <v>0</v>
      </c>
      <c r="L183" t="n">
        <v>0</v>
      </c>
      <c r="M183" t="n">
        <v>0</v>
      </c>
      <c r="N183" t="n">
        <v>0</v>
      </c>
      <c r="O183" t="n">
        <v>2</v>
      </c>
      <c r="P183" t="n">
        <v>0</v>
      </c>
      <c r="Q183" t="n">
        <v>2</v>
      </c>
      <c r="R183" s="2" t="inlineStr">
        <is>
          <t>Garnlav
Lunglav</t>
        </is>
      </c>
      <c r="S183">
        <f>HYPERLINK("https://klasma.github.io/Logging_2260/artfynd/A 32494-2023 artfynd.xlsx", "A 32494-2023")</f>
        <v/>
      </c>
      <c r="T183">
        <f>HYPERLINK("https://klasma.github.io/Logging_2260/kartor/A 32494-2023 karta.png", "A 32494-2023")</f>
        <v/>
      </c>
      <c r="V183">
        <f>HYPERLINK("https://klasma.github.io/Logging_2260/klagomål/A 32494-2023 FSC-klagomål.docx", "A 32494-2023")</f>
        <v/>
      </c>
      <c r="W183">
        <f>HYPERLINK("https://klasma.github.io/Logging_2260/klagomålsmail/A 32494-2023 FSC-klagomål mail.docx", "A 32494-2023")</f>
        <v/>
      </c>
      <c r="X183">
        <f>HYPERLINK("https://klasma.github.io/Logging_2260/tillsyn/A 32494-2023 tillsynsbegäran.docx", "A 32494-2023")</f>
        <v/>
      </c>
      <c r="Y183">
        <f>HYPERLINK("https://klasma.github.io/Logging_2260/tillsynsmail/A 32494-2023 tillsynsbegäran mail.docx", "A 32494-2023")</f>
        <v/>
      </c>
    </row>
    <row r="184" ht="15" customHeight="1">
      <c r="A184" t="inlineStr">
        <is>
          <t>A 32559-2023</t>
        </is>
      </c>
      <c r="B184" s="1" t="n">
        <v>45121</v>
      </c>
      <c r="C184" s="1" t="n">
        <v>45588</v>
      </c>
      <c r="D184" t="inlineStr">
        <is>
          <t>VÄSTERNORRLANDS LÄN</t>
        </is>
      </c>
      <c r="E184" t="inlineStr">
        <is>
          <t>ÅNGE</t>
        </is>
      </c>
      <c r="F184" t="inlineStr">
        <is>
          <t>Kyrkan</t>
        </is>
      </c>
      <c r="G184" t="n">
        <v>88.90000000000001</v>
      </c>
      <c r="H184" t="n">
        <v>2</v>
      </c>
      <c r="I184" t="n">
        <v>1</v>
      </c>
      <c r="J184" t="n">
        <v>0</v>
      </c>
      <c r="K184" t="n">
        <v>0</v>
      </c>
      <c r="L184" t="n">
        <v>0</v>
      </c>
      <c r="M184" t="n">
        <v>0</v>
      </c>
      <c r="N184" t="n">
        <v>0</v>
      </c>
      <c r="O184" t="n">
        <v>0</v>
      </c>
      <c r="P184" t="n">
        <v>0</v>
      </c>
      <c r="Q184" t="n">
        <v>2</v>
      </c>
      <c r="R184" s="2" t="inlineStr">
        <is>
          <t>Korallrot
Fläcknycklar</t>
        </is>
      </c>
      <c r="S184">
        <f>HYPERLINK("https://klasma.github.io/Logging_2260/artfynd/A 32559-2023 artfynd.xlsx", "A 32559-2023")</f>
        <v/>
      </c>
      <c r="T184">
        <f>HYPERLINK("https://klasma.github.io/Logging_2260/kartor/A 32559-2023 karta.png", "A 32559-2023")</f>
        <v/>
      </c>
      <c r="V184">
        <f>HYPERLINK("https://klasma.github.io/Logging_2260/klagomål/A 32559-2023 FSC-klagomål.docx", "A 32559-2023")</f>
        <v/>
      </c>
      <c r="W184">
        <f>HYPERLINK("https://klasma.github.io/Logging_2260/klagomålsmail/A 32559-2023 FSC-klagomål mail.docx", "A 32559-2023")</f>
        <v/>
      </c>
      <c r="X184">
        <f>HYPERLINK("https://klasma.github.io/Logging_2260/tillsyn/A 32559-2023 tillsynsbegäran.docx", "A 32559-2023")</f>
        <v/>
      </c>
      <c r="Y184">
        <f>HYPERLINK("https://klasma.github.io/Logging_2260/tillsynsmail/A 32559-2023 tillsynsbegäran mail.docx", "A 32559-2023")</f>
        <v/>
      </c>
    </row>
    <row r="185" ht="15" customHeight="1">
      <c r="A185" t="inlineStr">
        <is>
          <t>A 46734-2023</t>
        </is>
      </c>
      <c r="B185" s="1" t="n">
        <v>45198</v>
      </c>
      <c r="C185" s="1" t="n">
        <v>45588</v>
      </c>
      <c r="D185" t="inlineStr">
        <is>
          <t>VÄSTERNORRLANDS LÄN</t>
        </is>
      </c>
      <c r="E185" t="inlineStr">
        <is>
          <t>ÅNGE</t>
        </is>
      </c>
      <c r="F185" t="inlineStr">
        <is>
          <t>Holmen skog AB</t>
        </is>
      </c>
      <c r="G185" t="n">
        <v>9.300000000000001</v>
      </c>
      <c r="H185" t="n">
        <v>0</v>
      </c>
      <c r="I185" t="n">
        <v>1</v>
      </c>
      <c r="J185" t="n">
        <v>1</v>
      </c>
      <c r="K185" t="n">
        <v>0</v>
      </c>
      <c r="L185" t="n">
        <v>0</v>
      </c>
      <c r="M185" t="n">
        <v>0</v>
      </c>
      <c r="N185" t="n">
        <v>0</v>
      </c>
      <c r="O185" t="n">
        <v>1</v>
      </c>
      <c r="P185" t="n">
        <v>0</v>
      </c>
      <c r="Q185" t="n">
        <v>2</v>
      </c>
      <c r="R185" s="2" t="inlineStr">
        <is>
          <t>Lunglav
Stor aspticka</t>
        </is>
      </c>
      <c r="S185">
        <f>HYPERLINK("https://klasma.github.io/Logging_2260/artfynd/A 46734-2023 artfynd.xlsx", "A 46734-2023")</f>
        <v/>
      </c>
      <c r="T185">
        <f>HYPERLINK("https://klasma.github.io/Logging_2260/kartor/A 46734-2023 karta.png", "A 46734-2023")</f>
        <v/>
      </c>
      <c r="V185">
        <f>HYPERLINK("https://klasma.github.io/Logging_2260/klagomål/A 46734-2023 FSC-klagomål.docx", "A 46734-2023")</f>
        <v/>
      </c>
      <c r="W185">
        <f>HYPERLINK("https://klasma.github.io/Logging_2260/klagomålsmail/A 46734-2023 FSC-klagomål mail.docx", "A 46734-2023")</f>
        <v/>
      </c>
      <c r="X185">
        <f>HYPERLINK("https://klasma.github.io/Logging_2260/tillsyn/A 46734-2023 tillsynsbegäran.docx", "A 46734-2023")</f>
        <v/>
      </c>
      <c r="Y185">
        <f>HYPERLINK("https://klasma.github.io/Logging_2260/tillsynsmail/A 46734-2023 tillsynsbegäran mail.docx", "A 46734-2023")</f>
        <v/>
      </c>
    </row>
    <row r="186" ht="15" customHeight="1">
      <c r="A186" t="inlineStr">
        <is>
          <t>A 54688-2023</t>
        </is>
      </c>
      <c r="B186" s="1" t="n">
        <v>45235</v>
      </c>
      <c r="C186" s="1" t="n">
        <v>45588</v>
      </c>
      <c r="D186" t="inlineStr">
        <is>
          <t>VÄSTERNORRLANDS LÄN</t>
        </is>
      </c>
      <c r="E186" t="inlineStr">
        <is>
          <t>ÅNGE</t>
        </is>
      </c>
      <c r="F186" t="inlineStr">
        <is>
          <t>SCA</t>
        </is>
      </c>
      <c r="G186" t="n">
        <v>1.3</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54688-2023 artfynd.xlsx", "A 54688-2023")</f>
        <v/>
      </c>
      <c r="T186">
        <f>HYPERLINK("https://klasma.github.io/Logging_2260/kartor/A 54688-2023 karta.png", "A 54688-2023")</f>
        <v/>
      </c>
      <c r="V186">
        <f>HYPERLINK("https://klasma.github.io/Logging_2260/klagomål/A 54688-2023 FSC-klagomål.docx", "A 54688-2023")</f>
        <v/>
      </c>
      <c r="W186">
        <f>HYPERLINK("https://klasma.github.io/Logging_2260/klagomålsmail/A 54688-2023 FSC-klagomål mail.docx", "A 54688-2023")</f>
        <v/>
      </c>
      <c r="X186">
        <f>HYPERLINK("https://klasma.github.io/Logging_2260/tillsyn/A 54688-2023 tillsynsbegäran.docx", "A 54688-2023")</f>
        <v/>
      </c>
      <c r="Y186">
        <f>HYPERLINK("https://klasma.github.io/Logging_2260/tillsynsmail/A 54688-2023 tillsynsbegäran mail.docx", "A 54688-2023")</f>
        <v/>
      </c>
    </row>
    <row r="187" ht="15" customHeight="1">
      <c r="A187" t="inlineStr">
        <is>
          <t>A 2430-2024</t>
        </is>
      </c>
      <c r="B187" s="1" t="n">
        <v>45310</v>
      </c>
      <c r="C187" s="1" t="n">
        <v>45588</v>
      </c>
      <c r="D187" t="inlineStr">
        <is>
          <t>VÄSTERNORRLANDS LÄN</t>
        </is>
      </c>
      <c r="E187" t="inlineStr">
        <is>
          <t>ÅNGE</t>
        </is>
      </c>
      <c r="F187" t="inlineStr">
        <is>
          <t>SCA</t>
        </is>
      </c>
      <c r="G187" t="n">
        <v>11.9</v>
      </c>
      <c r="H187" t="n">
        <v>1</v>
      </c>
      <c r="I187" t="n">
        <v>0</v>
      </c>
      <c r="J187" t="n">
        <v>2</v>
      </c>
      <c r="K187" t="n">
        <v>0</v>
      </c>
      <c r="L187" t="n">
        <v>0</v>
      </c>
      <c r="M187" t="n">
        <v>0</v>
      </c>
      <c r="N187" t="n">
        <v>0</v>
      </c>
      <c r="O187" t="n">
        <v>2</v>
      </c>
      <c r="P187" t="n">
        <v>0</v>
      </c>
      <c r="Q187" t="n">
        <v>2</v>
      </c>
      <c r="R187" s="2" t="inlineStr">
        <is>
          <t>Dvärgbägarlav
Talltita</t>
        </is>
      </c>
      <c r="S187">
        <f>HYPERLINK("https://klasma.github.io/Logging_2260/artfynd/A 2430-2024 artfynd.xlsx", "A 2430-2024")</f>
        <v/>
      </c>
      <c r="T187">
        <f>HYPERLINK("https://klasma.github.io/Logging_2260/kartor/A 2430-2024 karta.png", "A 2430-2024")</f>
        <v/>
      </c>
      <c r="V187">
        <f>HYPERLINK("https://klasma.github.io/Logging_2260/klagomål/A 2430-2024 FSC-klagomål.docx", "A 2430-2024")</f>
        <v/>
      </c>
      <c r="W187">
        <f>HYPERLINK("https://klasma.github.io/Logging_2260/klagomålsmail/A 2430-2024 FSC-klagomål mail.docx", "A 2430-2024")</f>
        <v/>
      </c>
      <c r="X187">
        <f>HYPERLINK("https://klasma.github.io/Logging_2260/tillsyn/A 2430-2024 tillsynsbegäran.docx", "A 2430-2024")</f>
        <v/>
      </c>
      <c r="Y187">
        <f>HYPERLINK("https://klasma.github.io/Logging_2260/tillsynsmail/A 2430-2024 tillsynsbegäran mail.docx", "A 2430-2024")</f>
        <v/>
      </c>
      <c r="Z187">
        <f>HYPERLINK("https://klasma.github.io/Logging_2260/fåglar/A 2430-2024 prioriterade fågelarter.docx", "A 2430-2024")</f>
        <v/>
      </c>
    </row>
    <row r="188" ht="15" customHeight="1">
      <c r="A188" t="inlineStr">
        <is>
          <t>A 4173-2024</t>
        </is>
      </c>
      <c r="B188" s="1" t="n">
        <v>45323</v>
      </c>
      <c r="C188" s="1" t="n">
        <v>45588</v>
      </c>
      <c r="D188" t="inlineStr">
        <is>
          <t>VÄSTERNORRLANDS LÄN</t>
        </is>
      </c>
      <c r="E188" t="inlineStr">
        <is>
          <t>ÅNGE</t>
        </is>
      </c>
      <c r="F188" t="inlineStr">
        <is>
          <t>SCA</t>
        </is>
      </c>
      <c r="G188" t="n">
        <v>3.4</v>
      </c>
      <c r="H188" t="n">
        <v>0</v>
      </c>
      <c r="I188" t="n">
        <v>0</v>
      </c>
      <c r="J188" t="n">
        <v>2</v>
      </c>
      <c r="K188" t="n">
        <v>0</v>
      </c>
      <c r="L188" t="n">
        <v>0</v>
      </c>
      <c r="M188" t="n">
        <v>0</v>
      </c>
      <c r="N188" t="n">
        <v>0</v>
      </c>
      <c r="O188" t="n">
        <v>2</v>
      </c>
      <c r="P188" t="n">
        <v>0</v>
      </c>
      <c r="Q188" t="n">
        <v>2</v>
      </c>
      <c r="R188" s="2" t="inlineStr">
        <is>
          <t>Garnlav
Tallticka</t>
        </is>
      </c>
      <c r="S188">
        <f>HYPERLINK("https://klasma.github.io/Logging_2260/artfynd/A 4173-2024 artfynd.xlsx", "A 4173-2024")</f>
        <v/>
      </c>
      <c r="T188">
        <f>HYPERLINK("https://klasma.github.io/Logging_2260/kartor/A 4173-2024 karta.png", "A 4173-2024")</f>
        <v/>
      </c>
      <c r="V188">
        <f>HYPERLINK("https://klasma.github.io/Logging_2260/klagomål/A 4173-2024 FSC-klagomål.docx", "A 4173-2024")</f>
        <v/>
      </c>
      <c r="W188">
        <f>HYPERLINK("https://klasma.github.io/Logging_2260/klagomålsmail/A 4173-2024 FSC-klagomål mail.docx", "A 4173-2024")</f>
        <v/>
      </c>
      <c r="X188">
        <f>HYPERLINK("https://klasma.github.io/Logging_2260/tillsyn/A 4173-2024 tillsynsbegäran.docx", "A 4173-2024")</f>
        <v/>
      </c>
      <c r="Y188">
        <f>HYPERLINK("https://klasma.github.io/Logging_2260/tillsynsmail/A 4173-2024 tillsynsbegäran mail.docx", "A 4173-2024")</f>
        <v/>
      </c>
    </row>
    <row r="189" ht="15" customHeight="1">
      <c r="A189" t="inlineStr">
        <is>
          <t>A 5442-2024</t>
        </is>
      </c>
      <c r="B189" s="1" t="n">
        <v>45331</v>
      </c>
      <c r="C189" s="1" t="n">
        <v>45588</v>
      </c>
      <c r="D189" t="inlineStr">
        <is>
          <t>VÄSTERNORRLANDS LÄN</t>
        </is>
      </c>
      <c r="E189" t="inlineStr">
        <is>
          <t>ÅNGE</t>
        </is>
      </c>
      <c r="F189" t="inlineStr">
        <is>
          <t>SCA</t>
        </is>
      </c>
      <c r="G189" t="n">
        <v>14.6</v>
      </c>
      <c r="H189" t="n">
        <v>2</v>
      </c>
      <c r="I189" t="n">
        <v>0</v>
      </c>
      <c r="J189" t="n">
        <v>0</v>
      </c>
      <c r="K189" t="n">
        <v>0</v>
      </c>
      <c r="L189" t="n">
        <v>0</v>
      </c>
      <c r="M189" t="n">
        <v>0</v>
      </c>
      <c r="N189" t="n">
        <v>0</v>
      </c>
      <c r="O189" t="n">
        <v>0</v>
      </c>
      <c r="P189" t="n">
        <v>0</v>
      </c>
      <c r="Q189" t="n">
        <v>2</v>
      </c>
      <c r="R189" s="2" t="inlineStr">
        <is>
          <t>Tjäder
Revlummer</t>
        </is>
      </c>
      <c r="S189">
        <f>HYPERLINK("https://klasma.github.io/Logging_2260/artfynd/A 5442-2024 artfynd.xlsx", "A 5442-2024")</f>
        <v/>
      </c>
      <c r="T189">
        <f>HYPERLINK("https://klasma.github.io/Logging_2260/kartor/A 5442-2024 karta.png", "A 5442-2024")</f>
        <v/>
      </c>
      <c r="V189">
        <f>HYPERLINK("https://klasma.github.io/Logging_2260/klagomål/A 5442-2024 FSC-klagomål.docx", "A 5442-2024")</f>
        <v/>
      </c>
      <c r="W189">
        <f>HYPERLINK("https://klasma.github.io/Logging_2260/klagomålsmail/A 5442-2024 FSC-klagomål mail.docx", "A 5442-2024")</f>
        <v/>
      </c>
      <c r="X189">
        <f>HYPERLINK("https://klasma.github.io/Logging_2260/tillsyn/A 5442-2024 tillsynsbegäran.docx", "A 5442-2024")</f>
        <v/>
      </c>
      <c r="Y189">
        <f>HYPERLINK("https://klasma.github.io/Logging_2260/tillsynsmail/A 5442-2024 tillsynsbegäran mail.docx", "A 5442-2024")</f>
        <v/>
      </c>
      <c r="Z189">
        <f>HYPERLINK("https://klasma.github.io/Logging_2260/fåglar/A 5442-2024 prioriterade fågelarter.docx", "A 5442-2024")</f>
        <v/>
      </c>
    </row>
    <row r="190" ht="15" customHeight="1">
      <c r="A190" t="inlineStr">
        <is>
          <t>A 16704-2024</t>
        </is>
      </c>
      <c r="B190" s="1" t="n">
        <v>45409</v>
      </c>
      <c r="C190" s="1" t="n">
        <v>45588</v>
      </c>
      <c r="D190" t="inlineStr">
        <is>
          <t>VÄSTERNORRLANDS LÄN</t>
        </is>
      </c>
      <c r="E190" t="inlineStr">
        <is>
          <t>ÅNGE</t>
        </is>
      </c>
      <c r="F190" t="inlineStr">
        <is>
          <t>SCA</t>
        </is>
      </c>
      <c r="G190" t="n">
        <v>12.5</v>
      </c>
      <c r="H190" t="n">
        <v>2</v>
      </c>
      <c r="I190" t="n">
        <v>0</v>
      </c>
      <c r="J190" t="n">
        <v>1</v>
      </c>
      <c r="K190" t="n">
        <v>0</v>
      </c>
      <c r="L190" t="n">
        <v>0</v>
      </c>
      <c r="M190" t="n">
        <v>0</v>
      </c>
      <c r="N190" t="n">
        <v>0</v>
      </c>
      <c r="O190" t="n">
        <v>1</v>
      </c>
      <c r="P190" t="n">
        <v>0</v>
      </c>
      <c r="Q190" t="n">
        <v>2</v>
      </c>
      <c r="R190" s="2" t="inlineStr">
        <is>
          <t>Spillkråka
Revlummer</t>
        </is>
      </c>
      <c r="S190">
        <f>HYPERLINK("https://klasma.github.io/Logging_2260/artfynd/A 16704-2024 artfynd.xlsx", "A 16704-2024")</f>
        <v/>
      </c>
      <c r="T190">
        <f>HYPERLINK("https://klasma.github.io/Logging_2260/kartor/A 16704-2024 karta.png", "A 16704-2024")</f>
        <v/>
      </c>
      <c r="V190">
        <f>HYPERLINK("https://klasma.github.io/Logging_2260/klagomål/A 16704-2024 FSC-klagomål.docx", "A 16704-2024")</f>
        <v/>
      </c>
      <c r="W190">
        <f>HYPERLINK("https://klasma.github.io/Logging_2260/klagomålsmail/A 16704-2024 FSC-klagomål mail.docx", "A 16704-2024")</f>
        <v/>
      </c>
      <c r="X190">
        <f>HYPERLINK("https://klasma.github.io/Logging_2260/tillsyn/A 16704-2024 tillsynsbegäran.docx", "A 16704-2024")</f>
        <v/>
      </c>
      <c r="Y190">
        <f>HYPERLINK("https://klasma.github.io/Logging_2260/tillsynsmail/A 16704-2024 tillsynsbegäran mail.docx", "A 16704-2024")</f>
        <v/>
      </c>
      <c r="Z190">
        <f>HYPERLINK("https://klasma.github.io/Logging_2260/fåglar/A 16704-2024 prioriterade fågelarter.docx", "A 16704-2024")</f>
        <v/>
      </c>
    </row>
    <row r="191" ht="15" customHeight="1">
      <c r="A191" t="inlineStr">
        <is>
          <t>A 18654-2024</t>
        </is>
      </c>
      <c r="B191" s="1" t="n">
        <v>45425</v>
      </c>
      <c r="C191" s="1" t="n">
        <v>45588</v>
      </c>
      <c r="D191" t="inlineStr">
        <is>
          <t>VÄSTERNORRLANDS LÄN</t>
        </is>
      </c>
      <c r="E191" t="inlineStr">
        <is>
          <t>ÅNGE</t>
        </is>
      </c>
      <c r="F191" t="inlineStr">
        <is>
          <t>SCA</t>
        </is>
      </c>
      <c r="G191" t="n">
        <v>26.3</v>
      </c>
      <c r="H191" t="n">
        <v>1</v>
      </c>
      <c r="I191" t="n">
        <v>0</v>
      </c>
      <c r="J191" t="n">
        <v>0</v>
      </c>
      <c r="K191" t="n">
        <v>2</v>
      </c>
      <c r="L191" t="n">
        <v>0</v>
      </c>
      <c r="M191" t="n">
        <v>0</v>
      </c>
      <c r="N191" t="n">
        <v>0</v>
      </c>
      <c r="O191" t="n">
        <v>2</v>
      </c>
      <c r="P191" t="n">
        <v>2</v>
      </c>
      <c r="Q191" t="n">
        <v>2</v>
      </c>
      <c r="R191" s="2" t="inlineStr">
        <is>
          <t>Fläckporing
Knärot</t>
        </is>
      </c>
      <c r="S191">
        <f>HYPERLINK("https://klasma.github.io/Logging_2260/artfynd/A 18654-2024 artfynd.xlsx", "A 18654-2024")</f>
        <v/>
      </c>
      <c r="T191">
        <f>HYPERLINK("https://klasma.github.io/Logging_2260/kartor/A 18654-2024 karta.png", "A 18654-2024")</f>
        <v/>
      </c>
      <c r="U191">
        <f>HYPERLINK("https://klasma.github.io/Logging_2260/knärot/A 18654-2024 karta knärot.png", "A 18654-2024")</f>
        <v/>
      </c>
      <c r="V191">
        <f>HYPERLINK("https://klasma.github.io/Logging_2260/klagomål/A 18654-2024 FSC-klagomål.docx", "A 18654-2024")</f>
        <v/>
      </c>
      <c r="W191">
        <f>HYPERLINK("https://klasma.github.io/Logging_2260/klagomålsmail/A 18654-2024 FSC-klagomål mail.docx", "A 18654-2024")</f>
        <v/>
      </c>
      <c r="X191">
        <f>HYPERLINK("https://klasma.github.io/Logging_2260/tillsyn/A 18654-2024 tillsynsbegäran.docx", "A 18654-2024")</f>
        <v/>
      </c>
      <c r="Y191">
        <f>HYPERLINK("https://klasma.github.io/Logging_2260/tillsynsmail/A 18654-2024 tillsynsbegäran mail.docx", "A 18654-2024")</f>
        <v/>
      </c>
    </row>
    <row r="192" ht="15" customHeight="1">
      <c r="A192" t="inlineStr">
        <is>
          <t>A 19341-2024</t>
        </is>
      </c>
      <c r="B192" s="1" t="n">
        <v>45428</v>
      </c>
      <c r="C192" s="1" t="n">
        <v>45588</v>
      </c>
      <c r="D192" t="inlineStr">
        <is>
          <t>VÄSTERNORRLANDS LÄN</t>
        </is>
      </c>
      <c r="E192" t="inlineStr">
        <is>
          <t>ÅNGE</t>
        </is>
      </c>
      <c r="F192" t="inlineStr">
        <is>
          <t>SCA</t>
        </is>
      </c>
      <c r="G192" t="n">
        <v>2.5</v>
      </c>
      <c r="H192" t="n">
        <v>0</v>
      </c>
      <c r="I192" t="n">
        <v>0</v>
      </c>
      <c r="J192" t="n">
        <v>2</v>
      </c>
      <c r="K192" t="n">
        <v>0</v>
      </c>
      <c r="L192" t="n">
        <v>0</v>
      </c>
      <c r="M192" t="n">
        <v>0</v>
      </c>
      <c r="N192" t="n">
        <v>0</v>
      </c>
      <c r="O192" t="n">
        <v>2</v>
      </c>
      <c r="P192" t="n">
        <v>0</v>
      </c>
      <c r="Q192" t="n">
        <v>2</v>
      </c>
      <c r="R192" s="2" t="inlineStr">
        <is>
          <t>Granticka
Skrovellav</t>
        </is>
      </c>
      <c r="S192">
        <f>HYPERLINK("https://klasma.github.io/Logging_2260/artfynd/A 19341-2024 artfynd.xlsx", "A 19341-2024")</f>
        <v/>
      </c>
      <c r="T192">
        <f>HYPERLINK("https://klasma.github.io/Logging_2260/kartor/A 19341-2024 karta.png", "A 19341-2024")</f>
        <v/>
      </c>
      <c r="V192">
        <f>HYPERLINK("https://klasma.github.io/Logging_2260/klagomål/A 19341-2024 FSC-klagomål.docx", "A 19341-2024")</f>
        <v/>
      </c>
      <c r="W192">
        <f>HYPERLINK("https://klasma.github.io/Logging_2260/klagomålsmail/A 19341-2024 FSC-klagomål mail.docx", "A 19341-2024")</f>
        <v/>
      </c>
      <c r="X192">
        <f>HYPERLINK("https://klasma.github.io/Logging_2260/tillsyn/A 19341-2024 tillsynsbegäran.docx", "A 19341-2024")</f>
        <v/>
      </c>
      <c r="Y192">
        <f>HYPERLINK("https://klasma.github.io/Logging_2260/tillsynsmail/A 19341-2024 tillsynsbegäran mail.docx", "A 19341-2024")</f>
        <v/>
      </c>
    </row>
    <row r="193" ht="15" customHeight="1">
      <c r="A193" t="inlineStr">
        <is>
          <t>A 21091-2024</t>
        </is>
      </c>
      <c r="B193" s="1" t="n">
        <v>45439</v>
      </c>
      <c r="C193" s="1" t="n">
        <v>45588</v>
      </c>
      <c r="D193" t="inlineStr">
        <is>
          <t>VÄSTERNORRLANDS LÄN</t>
        </is>
      </c>
      <c r="E193" t="inlineStr">
        <is>
          <t>ÅNGE</t>
        </is>
      </c>
      <c r="F193" t="inlineStr">
        <is>
          <t>SCA</t>
        </is>
      </c>
      <c r="G193" t="n">
        <v>1.4</v>
      </c>
      <c r="H193" t="n">
        <v>2</v>
      </c>
      <c r="I193" t="n">
        <v>0</v>
      </c>
      <c r="J193" t="n">
        <v>0</v>
      </c>
      <c r="K193" t="n">
        <v>0</v>
      </c>
      <c r="L193" t="n">
        <v>0</v>
      </c>
      <c r="M193" t="n">
        <v>0</v>
      </c>
      <c r="N193" t="n">
        <v>0</v>
      </c>
      <c r="O193" t="n">
        <v>0</v>
      </c>
      <c r="P193" t="n">
        <v>0</v>
      </c>
      <c r="Q193" t="n">
        <v>2</v>
      </c>
      <c r="R193" s="2" t="inlineStr">
        <is>
          <t>Fläcknycklar
Revlummer</t>
        </is>
      </c>
      <c r="S193">
        <f>HYPERLINK("https://klasma.github.io/Logging_2260/artfynd/A 21091-2024 artfynd.xlsx", "A 21091-2024")</f>
        <v/>
      </c>
      <c r="T193">
        <f>HYPERLINK("https://klasma.github.io/Logging_2260/kartor/A 21091-2024 karta.png", "A 21091-2024")</f>
        <v/>
      </c>
      <c r="V193">
        <f>HYPERLINK("https://klasma.github.io/Logging_2260/klagomål/A 21091-2024 FSC-klagomål.docx", "A 21091-2024")</f>
        <v/>
      </c>
      <c r="W193">
        <f>HYPERLINK("https://klasma.github.io/Logging_2260/klagomålsmail/A 21091-2024 FSC-klagomål mail.docx", "A 21091-2024")</f>
        <v/>
      </c>
      <c r="X193">
        <f>HYPERLINK("https://klasma.github.io/Logging_2260/tillsyn/A 21091-2024 tillsynsbegäran.docx", "A 21091-2024")</f>
        <v/>
      </c>
      <c r="Y193">
        <f>HYPERLINK("https://klasma.github.io/Logging_2260/tillsynsmail/A 21091-2024 tillsynsbegäran mail.docx", "A 21091-2024")</f>
        <v/>
      </c>
    </row>
    <row r="194" ht="15" customHeight="1">
      <c r="A194" t="inlineStr">
        <is>
          <t>A 22992-2024</t>
        </is>
      </c>
      <c r="B194" s="1" t="n">
        <v>45450</v>
      </c>
      <c r="C194" s="1" t="n">
        <v>45588</v>
      </c>
      <c r="D194" t="inlineStr">
        <is>
          <t>VÄSTERNORRLANDS LÄN</t>
        </is>
      </c>
      <c r="E194" t="inlineStr">
        <is>
          <t>ÅNGE</t>
        </is>
      </c>
      <c r="F194" t="inlineStr">
        <is>
          <t>SCA</t>
        </is>
      </c>
      <c r="G194" t="n">
        <v>2.4</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HYPERLINK("https://klasma.github.io/Logging_2260/artfynd/A 22992-2024 artfynd.xlsx", "A 22992-2024")</f>
        <v/>
      </c>
      <c r="T194">
        <f>HYPERLINK("https://klasma.github.io/Logging_2260/kartor/A 22992-2024 karta.png", "A 22992-2024")</f>
        <v/>
      </c>
      <c r="V194">
        <f>HYPERLINK("https://klasma.github.io/Logging_2260/klagomål/A 22992-2024 FSC-klagomål.docx", "A 22992-2024")</f>
        <v/>
      </c>
      <c r="W194">
        <f>HYPERLINK("https://klasma.github.io/Logging_2260/klagomålsmail/A 22992-2024 FSC-klagomål mail.docx", "A 22992-2024")</f>
        <v/>
      </c>
      <c r="X194">
        <f>HYPERLINK("https://klasma.github.io/Logging_2260/tillsyn/A 22992-2024 tillsynsbegäran.docx", "A 22992-2024")</f>
        <v/>
      </c>
      <c r="Y194">
        <f>HYPERLINK("https://klasma.github.io/Logging_2260/tillsynsmail/A 22992-2024 tillsynsbegäran mail.docx", "A 22992-2024")</f>
        <v/>
      </c>
    </row>
    <row r="195" ht="15" customHeight="1">
      <c r="A195" t="inlineStr">
        <is>
          <t>A 24795-2024</t>
        </is>
      </c>
      <c r="B195" s="1" t="n">
        <v>45461</v>
      </c>
      <c r="C195" s="1" t="n">
        <v>45588</v>
      </c>
      <c r="D195" t="inlineStr">
        <is>
          <t>VÄSTERNORRLANDS LÄN</t>
        </is>
      </c>
      <c r="E195" t="inlineStr">
        <is>
          <t>ÅNGE</t>
        </is>
      </c>
      <c r="F195" t="inlineStr">
        <is>
          <t>SCA</t>
        </is>
      </c>
      <c r="G195" t="n">
        <v>2.2</v>
      </c>
      <c r="H195" t="n">
        <v>0</v>
      </c>
      <c r="I195" t="n">
        <v>1</v>
      </c>
      <c r="J195" t="n">
        <v>1</v>
      </c>
      <c r="K195" t="n">
        <v>0</v>
      </c>
      <c r="L195" t="n">
        <v>0</v>
      </c>
      <c r="M195" t="n">
        <v>0</v>
      </c>
      <c r="N195" t="n">
        <v>0</v>
      </c>
      <c r="O195" t="n">
        <v>1</v>
      </c>
      <c r="P195" t="n">
        <v>0</v>
      </c>
      <c r="Q195" t="n">
        <v>2</v>
      </c>
      <c r="R195" s="2" t="inlineStr">
        <is>
          <t>Lunglav
Skinnlav</t>
        </is>
      </c>
      <c r="S195">
        <f>HYPERLINK("https://klasma.github.io/Logging_2260/artfynd/A 24795-2024 artfynd.xlsx", "A 24795-2024")</f>
        <v/>
      </c>
      <c r="T195">
        <f>HYPERLINK("https://klasma.github.io/Logging_2260/kartor/A 24795-2024 karta.png", "A 24795-2024")</f>
        <v/>
      </c>
      <c r="V195">
        <f>HYPERLINK("https://klasma.github.io/Logging_2260/klagomål/A 24795-2024 FSC-klagomål.docx", "A 24795-2024")</f>
        <v/>
      </c>
      <c r="W195">
        <f>HYPERLINK("https://klasma.github.io/Logging_2260/klagomålsmail/A 24795-2024 FSC-klagomål mail.docx", "A 24795-2024")</f>
        <v/>
      </c>
      <c r="X195">
        <f>HYPERLINK("https://klasma.github.io/Logging_2260/tillsyn/A 24795-2024 tillsynsbegäran.docx", "A 24795-2024")</f>
        <v/>
      </c>
      <c r="Y195">
        <f>HYPERLINK("https://klasma.github.io/Logging_2260/tillsynsmail/A 24795-2024 tillsynsbegäran mail.docx", "A 24795-2024")</f>
        <v/>
      </c>
    </row>
    <row r="196" ht="15" customHeight="1">
      <c r="A196" t="inlineStr">
        <is>
          <t>A 25034-2024</t>
        </is>
      </c>
      <c r="B196" s="1" t="n">
        <v>45462</v>
      </c>
      <c r="C196" s="1" t="n">
        <v>45588</v>
      </c>
      <c r="D196" t="inlineStr">
        <is>
          <t>VÄSTERNORRLANDS LÄN</t>
        </is>
      </c>
      <c r="E196" t="inlineStr">
        <is>
          <t>ÅNGE</t>
        </is>
      </c>
      <c r="F196" t="inlineStr">
        <is>
          <t>SCA</t>
        </is>
      </c>
      <c r="G196" t="n">
        <v>3.3</v>
      </c>
      <c r="H196" t="n">
        <v>0</v>
      </c>
      <c r="I196" t="n">
        <v>0</v>
      </c>
      <c r="J196" t="n">
        <v>2</v>
      </c>
      <c r="K196" t="n">
        <v>0</v>
      </c>
      <c r="L196" t="n">
        <v>0</v>
      </c>
      <c r="M196" t="n">
        <v>0</v>
      </c>
      <c r="N196" t="n">
        <v>0</v>
      </c>
      <c r="O196" t="n">
        <v>2</v>
      </c>
      <c r="P196" t="n">
        <v>0</v>
      </c>
      <c r="Q196" t="n">
        <v>2</v>
      </c>
      <c r="R196" s="2" t="inlineStr">
        <is>
          <t>Rosenticka
Ullticka</t>
        </is>
      </c>
      <c r="S196">
        <f>HYPERLINK("https://klasma.github.io/Logging_2260/artfynd/A 25034-2024 artfynd.xlsx", "A 25034-2024")</f>
        <v/>
      </c>
      <c r="T196">
        <f>HYPERLINK("https://klasma.github.io/Logging_2260/kartor/A 25034-2024 karta.png", "A 25034-2024")</f>
        <v/>
      </c>
      <c r="V196">
        <f>HYPERLINK("https://klasma.github.io/Logging_2260/klagomål/A 25034-2024 FSC-klagomål.docx", "A 25034-2024")</f>
        <v/>
      </c>
      <c r="W196">
        <f>HYPERLINK("https://klasma.github.io/Logging_2260/klagomålsmail/A 25034-2024 FSC-klagomål mail.docx", "A 25034-2024")</f>
        <v/>
      </c>
      <c r="X196">
        <f>HYPERLINK("https://klasma.github.io/Logging_2260/tillsyn/A 25034-2024 tillsynsbegäran.docx", "A 25034-2024")</f>
        <v/>
      </c>
      <c r="Y196">
        <f>HYPERLINK("https://klasma.github.io/Logging_2260/tillsynsmail/A 25034-2024 tillsynsbegäran mail.docx", "A 25034-2024")</f>
        <v/>
      </c>
    </row>
    <row r="197" ht="15" customHeight="1">
      <c r="A197" t="inlineStr">
        <is>
          <t>A 26020-2024</t>
        </is>
      </c>
      <c r="B197" s="1" t="n">
        <v>45468</v>
      </c>
      <c r="C197" s="1" t="n">
        <v>45588</v>
      </c>
      <c r="D197" t="inlineStr">
        <is>
          <t>VÄSTERNORRLANDS LÄN</t>
        </is>
      </c>
      <c r="E197" t="inlineStr">
        <is>
          <t>ÅNGE</t>
        </is>
      </c>
      <c r="F197" t="inlineStr">
        <is>
          <t>SCA</t>
        </is>
      </c>
      <c r="G197" t="n">
        <v>4.8</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26020-2024 artfynd.xlsx", "A 26020-2024")</f>
        <v/>
      </c>
      <c r="T197">
        <f>HYPERLINK("https://klasma.github.io/Logging_2260/kartor/A 26020-2024 karta.png", "A 26020-2024")</f>
        <v/>
      </c>
      <c r="V197">
        <f>HYPERLINK("https://klasma.github.io/Logging_2260/klagomål/A 26020-2024 FSC-klagomål.docx", "A 26020-2024")</f>
        <v/>
      </c>
      <c r="W197">
        <f>HYPERLINK("https://klasma.github.io/Logging_2260/klagomålsmail/A 26020-2024 FSC-klagomål mail.docx", "A 26020-2024")</f>
        <v/>
      </c>
      <c r="X197">
        <f>HYPERLINK("https://klasma.github.io/Logging_2260/tillsyn/A 26020-2024 tillsynsbegäran.docx", "A 26020-2024")</f>
        <v/>
      </c>
      <c r="Y197">
        <f>HYPERLINK("https://klasma.github.io/Logging_2260/tillsynsmail/A 26020-2024 tillsynsbegäran mail.docx", "A 26020-2024")</f>
        <v/>
      </c>
    </row>
    <row r="198" ht="15" customHeight="1">
      <c r="A198" t="inlineStr">
        <is>
          <t>A 31493-2024</t>
        </is>
      </c>
      <c r="B198" s="1" t="n">
        <v>45505</v>
      </c>
      <c r="C198" s="1" t="n">
        <v>45588</v>
      </c>
      <c r="D198" t="inlineStr">
        <is>
          <t>VÄSTERNORRLANDS LÄN</t>
        </is>
      </c>
      <c r="E198" t="inlineStr">
        <is>
          <t>ÅNGE</t>
        </is>
      </c>
      <c r="F198" t="inlineStr">
        <is>
          <t>SCA</t>
        </is>
      </c>
      <c r="G198" t="n">
        <v>4.4</v>
      </c>
      <c r="H198" t="n">
        <v>1</v>
      </c>
      <c r="I198" t="n">
        <v>1</v>
      </c>
      <c r="J198" t="n">
        <v>0</v>
      </c>
      <c r="K198" t="n">
        <v>1</v>
      </c>
      <c r="L198" t="n">
        <v>0</v>
      </c>
      <c r="M198" t="n">
        <v>0</v>
      </c>
      <c r="N198" t="n">
        <v>0</v>
      </c>
      <c r="O198" t="n">
        <v>1</v>
      </c>
      <c r="P198" t="n">
        <v>1</v>
      </c>
      <c r="Q198" t="n">
        <v>2</v>
      </c>
      <c r="R198" s="2" t="inlineStr">
        <is>
          <t>Knärot
Korallblylav</t>
        </is>
      </c>
      <c r="S198">
        <f>HYPERLINK("https://klasma.github.io/Logging_2260/artfynd/A 31493-2024 artfynd.xlsx", "A 31493-2024")</f>
        <v/>
      </c>
      <c r="T198">
        <f>HYPERLINK("https://klasma.github.io/Logging_2260/kartor/A 31493-2024 karta.png", "A 31493-2024")</f>
        <v/>
      </c>
      <c r="U198">
        <f>HYPERLINK("https://klasma.github.io/Logging_2260/knärot/A 31493-2024 karta knärot.png", "A 31493-2024")</f>
        <v/>
      </c>
      <c r="V198">
        <f>HYPERLINK("https://klasma.github.io/Logging_2260/klagomål/A 31493-2024 FSC-klagomål.docx", "A 31493-2024")</f>
        <v/>
      </c>
      <c r="W198">
        <f>HYPERLINK("https://klasma.github.io/Logging_2260/klagomålsmail/A 31493-2024 FSC-klagomål mail.docx", "A 31493-2024")</f>
        <v/>
      </c>
      <c r="X198">
        <f>HYPERLINK("https://klasma.github.io/Logging_2260/tillsyn/A 31493-2024 tillsynsbegäran.docx", "A 31493-2024")</f>
        <v/>
      </c>
      <c r="Y198">
        <f>HYPERLINK("https://klasma.github.io/Logging_2260/tillsynsmail/A 31493-2024 tillsynsbegäran mail.docx", "A 31493-2024")</f>
        <v/>
      </c>
    </row>
    <row r="199" ht="15" customHeight="1">
      <c r="A199" t="inlineStr">
        <is>
          <t>A 32648-2024</t>
        </is>
      </c>
      <c r="B199" s="1" t="n">
        <v>45513</v>
      </c>
      <c r="C199" s="1" t="n">
        <v>45588</v>
      </c>
      <c r="D199" t="inlineStr">
        <is>
          <t>VÄSTERNORRLANDS LÄN</t>
        </is>
      </c>
      <c r="E199" t="inlineStr">
        <is>
          <t>ÅNGE</t>
        </is>
      </c>
      <c r="F199" t="inlineStr">
        <is>
          <t>SCA</t>
        </is>
      </c>
      <c r="G199" t="n">
        <v>4.1</v>
      </c>
      <c r="H199" t="n">
        <v>0</v>
      </c>
      <c r="I199" t="n">
        <v>0</v>
      </c>
      <c r="J199" t="n">
        <v>2</v>
      </c>
      <c r="K199" t="n">
        <v>0</v>
      </c>
      <c r="L199" t="n">
        <v>0</v>
      </c>
      <c r="M199" t="n">
        <v>0</v>
      </c>
      <c r="N199" t="n">
        <v>0</v>
      </c>
      <c r="O199" t="n">
        <v>2</v>
      </c>
      <c r="P199" t="n">
        <v>0</v>
      </c>
      <c r="Q199" t="n">
        <v>2</v>
      </c>
      <c r="R199" s="2" t="inlineStr">
        <is>
          <t>Lunglav
Rosenticka</t>
        </is>
      </c>
      <c r="S199">
        <f>HYPERLINK("https://klasma.github.io/Logging_2260/artfynd/A 32648-2024 artfynd.xlsx", "A 32648-2024")</f>
        <v/>
      </c>
      <c r="T199">
        <f>HYPERLINK("https://klasma.github.io/Logging_2260/kartor/A 32648-2024 karta.png", "A 32648-2024")</f>
        <v/>
      </c>
      <c r="V199">
        <f>HYPERLINK("https://klasma.github.io/Logging_2260/klagomål/A 32648-2024 FSC-klagomål.docx", "A 32648-2024")</f>
        <v/>
      </c>
      <c r="W199">
        <f>HYPERLINK("https://klasma.github.io/Logging_2260/klagomålsmail/A 32648-2024 FSC-klagomål mail.docx", "A 32648-2024")</f>
        <v/>
      </c>
      <c r="X199">
        <f>HYPERLINK("https://klasma.github.io/Logging_2260/tillsyn/A 32648-2024 tillsynsbegäran.docx", "A 32648-2024")</f>
        <v/>
      </c>
      <c r="Y199">
        <f>HYPERLINK("https://klasma.github.io/Logging_2260/tillsynsmail/A 32648-2024 tillsynsbegäran mail.docx", "A 32648-2024")</f>
        <v/>
      </c>
    </row>
    <row r="200" ht="15" customHeight="1">
      <c r="A200" t="inlineStr">
        <is>
          <t>A 32659-2024</t>
        </is>
      </c>
      <c r="B200" s="1" t="n">
        <v>45513</v>
      </c>
      <c r="C200" s="1" t="n">
        <v>45588</v>
      </c>
      <c r="D200" t="inlineStr">
        <is>
          <t>VÄSTERNORRLANDS LÄN</t>
        </is>
      </c>
      <c r="E200" t="inlineStr">
        <is>
          <t>ÅNGE</t>
        </is>
      </c>
      <c r="F200" t="inlineStr">
        <is>
          <t>SCA</t>
        </is>
      </c>
      <c r="G200" t="n">
        <v>6.9</v>
      </c>
      <c r="H200" t="n">
        <v>0</v>
      </c>
      <c r="I200" t="n">
        <v>0</v>
      </c>
      <c r="J200" t="n">
        <v>2</v>
      </c>
      <c r="K200" t="n">
        <v>0</v>
      </c>
      <c r="L200" t="n">
        <v>0</v>
      </c>
      <c r="M200" t="n">
        <v>0</v>
      </c>
      <c r="N200" t="n">
        <v>0</v>
      </c>
      <c r="O200" t="n">
        <v>2</v>
      </c>
      <c r="P200" t="n">
        <v>0</v>
      </c>
      <c r="Q200" t="n">
        <v>2</v>
      </c>
      <c r="R200" s="2" t="inlineStr">
        <is>
          <t>Lunglav
Stjärntagging</t>
        </is>
      </c>
      <c r="S200">
        <f>HYPERLINK("https://klasma.github.io/Logging_2260/artfynd/A 32659-2024 artfynd.xlsx", "A 32659-2024")</f>
        <v/>
      </c>
      <c r="T200">
        <f>HYPERLINK("https://klasma.github.io/Logging_2260/kartor/A 32659-2024 karta.png", "A 32659-2024")</f>
        <v/>
      </c>
      <c r="V200">
        <f>HYPERLINK("https://klasma.github.io/Logging_2260/klagomål/A 32659-2024 FSC-klagomål.docx", "A 32659-2024")</f>
        <v/>
      </c>
      <c r="W200">
        <f>HYPERLINK("https://klasma.github.io/Logging_2260/klagomålsmail/A 32659-2024 FSC-klagomål mail.docx", "A 32659-2024")</f>
        <v/>
      </c>
      <c r="X200">
        <f>HYPERLINK("https://klasma.github.io/Logging_2260/tillsyn/A 32659-2024 tillsynsbegäran.docx", "A 32659-2024")</f>
        <v/>
      </c>
      <c r="Y200">
        <f>HYPERLINK("https://klasma.github.io/Logging_2260/tillsynsmail/A 32659-2024 tillsynsbegäran mail.docx", "A 32659-2024")</f>
        <v/>
      </c>
    </row>
    <row r="201" ht="15" customHeight="1">
      <c r="A201" t="inlineStr">
        <is>
          <t>A 6564-2020</t>
        </is>
      </c>
      <c r="B201" s="1" t="n">
        <v>43867</v>
      </c>
      <c r="C201" s="1" t="n">
        <v>45588</v>
      </c>
      <c r="D201" t="inlineStr">
        <is>
          <t>VÄSTERNORRLANDS LÄN</t>
        </is>
      </c>
      <c r="E201" t="inlineStr">
        <is>
          <t>ÅNGE</t>
        </is>
      </c>
      <c r="G201" t="n">
        <v>4.2</v>
      </c>
      <c r="H201" t="n">
        <v>1</v>
      </c>
      <c r="I201" t="n">
        <v>0</v>
      </c>
      <c r="J201" t="n">
        <v>0</v>
      </c>
      <c r="K201" t="n">
        <v>0</v>
      </c>
      <c r="L201" t="n">
        <v>0</v>
      </c>
      <c r="M201" t="n">
        <v>0</v>
      </c>
      <c r="N201" t="n">
        <v>0</v>
      </c>
      <c r="O201" t="n">
        <v>0</v>
      </c>
      <c r="P201" t="n">
        <v>0</v>
      </c>
      <c r="Q201" t="n">
        <v>1</v>
      </c>
      <c r="R201" s="2" t="inlineStr">
        <is>
          <t>Huggorm</t>
        </is>
      </c>
      <c r="S201">
        <f>HYPERLINK("https://klasma.github.io/Logging_2260/artfynd/A 6564-2020 artfynd.xlsx", "A 6564-2020")</f>
        <v/>
      </c>
      <c r="T201">
        <f>HYPERLINK("https://klasma.github.io/Logging_2260/kartor/A 6564-2020 karta.png", "A 6564-2020")</f>
        <v/>
      </c>
      <c r="V201">
        <f>HYPERLINK("https://klasma.github.io/Logging_2260/klagomål/A 6564-2020 FSC-klagomål.docx", "A 6564-2020")</f>
        <v/>
      </c>
      <c r="W201">
        <f>HYPERLINK("https://klasma.github.io/Logging_2260/klagomålsmail/A 6564-2020 FSC-klagomål mail.docx", "A 6564-2020")</f>
        <v/>
      </c>
      <c r="X201">
        <f>HYPERLINK("https://klasma.github.io/Logging_2260/tillsyn/A 6564-2020 tillsynsbegäran.docx", "A 6564-2020")</f>
        <v/>
      </c>
      <c r="Y201">
        <f>HYPERLINK("https://klasma.github.io/Logging_2260/tillsynsmail/A 6564-2020 tillsynsbegäran mail.docx", "A 6564-2020")</f>
        <v/>
      </c>
    </row>
    <row r="202" ht="15" customHeight="1">
      <c r="A202" t="inlineStr">
        <is>
          <t>A 19275-2020</t>
        </is>
      </c>
      <c r="B202" s="1" t="n">
        <v>43937</v>
      </c>
      <c r="C202" s="1" t="n">
        <v>45588</v>
      </c>
      <c r="D202" t="inlineStr">
        <is>
          <t>VÄSTERNORRLANDS LÄN</t>
        </is>
      </c>
      <c r="E202" t="inlineStr">
        <is>
          <t>ÅNGE</t>
        </is>
      </c>
      <c r="G202" t="n">
        <v>1.8</v>
      </c>
      <c r="H202" t="n">
        <v>1</v>
      </c>
      <c r="I202" t="n">
        <v>0</v>
      </c>
      <c r="J202" t="n">
        <v>0</v>
      </c>
      <c r="K202" t="n">
        <v>0</v>
      </c>
      <c r="L202" t="n">
        <v>0</v>
      </c>
      <c r="M202" t="n">
        <v>0</v>
      </c>
      <c r="N202" t="n">
        <v>0</v>
      </c>
      <c r="O202" t="n">
        <v>0</v>
      </c>
      <c r="P202" t="n">
        <v>0</v>
      </c>
      <c r="Q202" t="n">
        <v>1</v>
      </c>
      <c r="R202" s="2" t="inlineStr">
        <is>
          <t>Käppkrokmossa</t>
        </is>
      </c>
      <c r="S202">
        <f>HYPERLINK("https://klasma.github.io/Logging_2260/artfynd/A 19275-2020 artfynd.xlsx", "A 19275-2020")</f>
        <v/>
      </c>
      <c r="T202">
        <f>HYPERLINK("https://klasma.github.io/Logging_2260/kartor/A 19275-2020 karta.png", "A 19275-2020")</f>
        <v/>
      </c>
      <c r="V202">
        <f>HYPERLINK("https://klasma.github.io/Logging_2260/klagomål/A 19275-2020 FSC-klagomål.docx", "A 19275-2020")</f>
        <v/>
      </c>
      <c r="W202">
        <f>HYPERLINK("https://klasma.github.io/Logging_2260/klagomålsmail/A 19275-2020 FSC-klagomål mail.docx", "A 19275-2020")</f>
        <v/>
      </c>
      <c r="X202">
        <f>HYPERLINK("https://klasma.github.io/Logging_2260/tillsyn/A 19275-2020 tillsynsbegäran.docx", "A 19275-2020")</f>
        <v/>
      </c>
      <c r="Y202">
        <f>HYPERLINK("https://klasma.github.io/Logging_2260/tillsynsmail/A 19275-2020 tillsynsbegäran mail.docx", "A 19275-2020")</f>
        <v/>
      </c>
    </row>
    <row r="203" ht="15" customHeight="1">
      <c r="A203" t="inlineStr">
        <is>
          <t>A 22692-2020</t>
        </is>
      </c>
      <c r="B203" s="1" t="n">
        <v>43963</v>
      </c>
      <c r="C203" s="1" t="n">
        <v>45588</v>
      </c>
      <c r="D203" t="inlineStr">
        <is>
          <t>VÄSTERNORRLANDS LÄN</t>
        </is>
      </c>
      <c r="E203" t="inlineStr">
        <is>
          <t>ÅNGE</t>
        </is>
      </c>
      <c r="F203" t="inlineStr">
        <is>
          <t>SCA</t>
        </is>
      </c>
      <c r="G203" t="n">
        <v>5.4</v>
      </c>
      <c r="H203" t="n">
        <v>0</v>
      </c>
      <c r="I203" t="n">
        <v>0</v>
      </c>
      <c r="J203" t="n">
        <v>1</v>
      </c>
      <c r="K203" t="n">
        <v>0</v>
      </c>
      <c r="L203" t="n">
        <v>0</v>
      </c>
      <c r="M203" t="n">
        <v>0</v>
      </c>
      <c r="N203" t="n">
        <v>0</v>
      </c>
      <c r="O203" t="n">
        <v>1</v>
      </c>
      <c r="P203" t="n">
        <v>0</v>
      </c>
      <c r="Q203" t="n">
        <v>1</v>
      </c>
      <c r="R203" s="2" t="inlineStr">
        <is>
          <t>Orange taggsvamp</t>
        </is>
      </c>
      <c r="S203">
        <f>HYPERLINK("https://klasma.github.io/Logging_2260/artfynd/A 22692-2020 artfynd.xlsx", "A 22692-2020")</f>
        <v/>
      </c>
      <c r="T203">
        <f>HYPERLINK("https://klasma.github.io/Logging_2260/kartor/A 22692-2020 karta.png", "A 22692-2020")</f>
        <v/>
      </c>
      <c r="V203">
        <f>HYPERLINK("https://klasma.github.io/Logging_2260/klagomål/A 22692-2020 FSC-klagomål.docx", "A 22692-2020")</f>
        <v/>
      </c>
      <c r="W203">
        <f>HYPERLINK("https://klasma.github.io/Logging_2260/klagomålsmail/A 22692-2020 FSC-klagomål mail.docx", "A 22692-2020")</f>
        <v/>
      </c>
      <c r="X203">
        <f>HYPERLINK("https://klasma.github.io/Logging_2260/tillsyn/A 22692-2020 tillsynsbegäran.docx", "A 22692-2020")</f>
        <v/>
      </c>
      <c r="Y203">
        <f>HYPERLINK("https://klasma.github.io/Logging_2260/tillsynsmail/A 22692-2020 tillsynsbegäran mail.docx", "A 22692-2020")</f>
        <v/>
      </c>
    </row>
    <row r="204" ht="15" customHeight="1">
      <c r="A204" t="inlineStr">
        <is>
          <t>A 32755-2020</t>
        </is>
      </c>
      <c r="B204" s="1" t="n">
        <v>44019</v>
      </c>
      <c r="C204" s="1" t="n">
        <v>45588</v>
      </c>
      <c r="D204" t="inlineStr">
        <is>
          <t>VÄSTERNORRLANDS LÄN</t>
        </is>
      </c>
      <c r="E204" t="inlineStr">
        <is>
          <t>ÅNGE</t>
        </is>
      </c>
      <c r="F204" t="inlineStr">
        <is>
          <t>SCA</t>
        </is>
      </c>
      <c r="G204" t="n">
        <v>6.1</v>
      </c>
      <c r="H204" t="n">
        <v>0</v>
      </c>
      <c r="I204" t="n">
        <v>0</v>
      </c>
      <c r="J204" t="n">
        <v>1</v>
      </c>
      <c r="K204" t="n">
        <v>0</v>
      </c>
      <c r="L204" t="n">
        <v>0</v>
      </c>
      <c r="M204" t="n">
        <v>0</v>
      </c>
      <c r="N204" t="n">
        <v>0</v>
      </c>
      <c r="O204" t="n">
        <v>1</v>
      </c>
      <c r="P204" t="n">
        <v>0</v>
      </c>
      <c r="Q204" t="n">
        <v>1</v>
      </c>
      <c r="R204" s="2" t="inlineStr">
        <is>
          <t>Ullticka</t>
        </is>
      </c>
      <c r="S204">
        <f>HYPERLINK("https://klasma.github.io/Logging_2260/artfynd/A 32755-2020 artfynd.xlsx", "A 32755-2020")</f>
        <v/>
      </c>
      <c r="T204">
        <f>HYPERLINK("https://klasma.github.io/Logging_2260/kartor/A 32755-2020 karta.png", "A 32755-2020")</f>
        <v/>
      </c>
      <c r="V204">
        <f>HYPERLINK("https://klasma.github.io/Logging_2260/klagomål/A 32755-2020 FSC-klagomål.docx", "A 32755-2020")</f>
        <v/>
      </c>
      <c r="W204">
        <f>HYPERLINK("https://klasma.github.io/Logging_2260/klagomålsmail/A 32755-2020 FSC-klagomål mail.docx", "A 32755-2020")</f>
        <v/>
      </c>
      <c r="X204">
        <f>HYPERLINK("https://klasma.github.io/Logging_2260/tillsyn/A 32755-2020 tillsynsbegäran.docx", "A 32755-2020")</f>
        <v/>
      </c>
      <c r="Y204">
        <f>HYPERLINK("https://klasma.github.io/Logging_2260/tillsynsmail/A 32755-2020 tillsynsbegäran mail.docx", "A 32755-2020")</f>
        <v/>
      </c>
    </row>
    <row r="205" ht="15" customHeight="1">
      <c r="A205" t="inlineStr">
        <is>
          <t>A 40416-2020</t>
        </is>
      </c>
      <c r="B205" s="1" t="n">
        <v>44068</v>
      </c>
      <c r="C205" s="1" t="n">
        <v>45588</v>
      </c>
      <c r="D205" t="inlineStr">
        <is>
          <t>VÄSTERNORRLANDS LÄN</t>
        </is>
      </c>
      <c r="E205" t="inlineStr">
        <is>
          <t>ÅNGE</t>
        </is>
      </c>
      <c r="F205" t="inlineStr">
        <is>
          <t>SCA</t>
        </is>
      </c>
      <c r="G205" t="n">
        <v>7.7</v>
      </c>
      <c r="H205" t="n">
        <v>1</v>
      </c>
      <c r="I205" t="n">
        <v>0</v>
      </c>
      <c r="J205" t="n">
        <v>0</v>
      </c>
      <c r="K205" t="n">
        <v>1</v>
      </c>
      <c r="L205" t="n">
        <v>0</v>
      </c>
      <c r="M205" t="n">
        <v>0</v>
      </c>
      <c r="N205" t="n">
        <v>0</v>
      </c>
      <c r="O205" t="n">
        <v>1</v>
      </c>
      <c r="P205" t="n">
        <v>1</v>
      </c>
      <c r="Q205" t="n">
        <v>1</v>
      </c>
      <c r="R205" s="2" t="inlineStr">
        <is>
          <t>Knärot</t>
        </is>
      </c>
      <c r="S205">
        <f>HYPERLINK("https://klasma.github.io/Logging_2260/artfynd/A 40416-2020 artfynd.xlsx", "A 40416-2020")</f>
        <v/>
      </c>
      <c r="T205">
        <f>HYPERLINK("https://klasma.github.io/Logging_2260/kartor/A 40416-2020 karta.png", "A 40416-2020")</f>
        <v/>
      </c>
      <c r="U205">
        <f>HYPERLINK("https://klasma.github.io/Logging_2260/knärot/A 40416-2020 karta knärot.png", "A 40416-2020")</f>
        <v/>
      </c>
      <c r="V205">
        <f>HYPERLINK("https://klasma.github.io/Logging_2260/klagomål/A 40416-2020 FSC-klagomål.docx", "A 40416-2020")</f>
        <v/>
      </c>
      <c r="W205">
        <f>HYPERLINK("https://klasma.github.io/Logging_2260/klagomålsmail/A 40416-2020 FSC-klagomål mail.docx", "A 40416-2020")</f>
        <v/>
      </c>
      <c r="X205">
        <f>HYPERLINK("https://klasma.github.io/Logging_2260/tillsyn/A 40416-2020 tillsynsbegäran.docx", "A 40416-2020")</f>
        <v/>
      </c>
      <c r="Y205">
        <f>HYPERLINK("https://klasma.github.io/Logging_2260/tillsynsmail/A 40416-2020 tillsynsbegäran mail.docx", "A 40416-2020")</f>
        <v/>
      </c>
    </row>
    <row r="206" ht="15" customHeight="1">
      <c r="A206" t="inlineStr">
        <is>
          <t>A 63983-2020</t>
        </is>
      </c>
      <c r="B206" s="1" t="n">
        <v>44167</v>
      </c>
      <c r="C206" s="1" t="n">
        <v>45588</v>
      </c>
      <c r="D206" t="inlineStr">
        <is>
          <t>VÄSTERNORRLANDS LÄN</t>
        </is>
      </c>
      <c r="E206" t="inlineStr">
        <is>
          <t>ÅNGE</t>
        </is>
      </c>
      <c r="F206" t="inlineStr">
        <is>
          <t>Kommuner</t>
        </is>
      </c>
      <c r="G206" t="n">
        <v>27.1</v>
      </c>
      <c r="H206" t="n">
        <v>1</v>
      </c>
      <c r="I206" t="n">
        <v>0</v>
      </c>
      <c r="J206" t="n">
        <v>0</v>
      </c>
      <c r="K206" t="n">
        <v>1</v>
      </c>
      <c r="L206" t="n">
        <v>0</v>
      </c>
      <c r="M206" t="n">
        <v>0</v>
      </c>
      <c r="N206" t="n">
        <v>0</v>
      </c>
      <c r="O206" t="n">
        <v>1</v>
      </c>
      <c r="P206" t="n">
        <v>1</v>
      </c>
      <c r="Q206" t="n">
        <v>1</v>
      </c>
      <c r="R206" s="2" t="inlineStr">
        <is>
          <t>Knärot</t>
        </is>
      </c>
      <c r="S206">
        <f>HYPERLINK("https://klasma.github.io/Logging_2260/artfynd/A 63983-2020 artfynd.xlsx", "A 63983-2020")</f>
        <v/>
      </c>
      <c r="T206">
        <f>HYPERLINK("https://klasma.github.io/Logging_2260/kartor/A 63983-2020 karta.png", "A 63983-2020")</f>
        <v/>
      </c>
      <c r="U206">
        <f>HYPERLINK("https://klasma.github.io/Logging_2260/knärot/A 63983-2020 karta knärot.png", "A 63983-2020")</f>
        <v/>
      </c>
      <c r="V206">
        <f>HYPERLINK("https://klasma.github.io/Logging_2260/klagomål/A 63983-2020 FSC-klagomål.docx", "A 63983-2020")</f>
        <v/>
      </c>
      <c r="W206">
        <f>HYPERLINK("https://klasma.github.io/Logging_2260/klagomålsmail/A 63983-2020 FSC-klagomål mail.docx", "A 63983-2020")</f>
        <v/>
      </c>
      <c r="X206">
        <f>HYPERLINK("https://klasma.github.io/Logging_2260/tillsyn/A 63983-2020 tillsynsbegäran.docx", "A 63983-2020")</f>
        <v/>
      </c>
      <c r="Y206">
        <f>HYPERLINK("https://klasma.github.io/Logging_2260/tillsynsmail/A 63983-2020 tillsynsbegäran mail.docx", "A 63983-2020")</f>
        <v/>
      </c>
    </row>
    <row r="207" ht="15" customHeight="1">
      <c r="A207" t="inlineStr">
        <is>
          <t>A 5558-2021</t>
        </is>
      </c>
      <c r="B207" s="1" t="n">
        <v>44230</v>
      </c>
      <c r="C207" s="1" t="n">
        <v>45588</v>
      </c>
      <c r="D207" t="inlineStr">
        <is>
          <t>VÄSTERNORRLANDS LÄN</t>
        </is>
      </c>
      <c r="E207" t="inlineStr">
        <is>
          <t>ÅNGE</t>
        </is>
      </c>
      <c r="G207" t="n">
        <v>60.6</v>
      </c>
      <c r="H207" t="n">
        <v>0</v>
      </c>
      <c r="I207" t="n">
        <v>0</v>
      </c>
      <c r="J207" t="n">
        <v>1</v>
      </c>
      <c r="K207" t="n">
        <v>0</v>
      </c>
      <c r="L207" t="n">
        <v>0</v>
      </c>
      <c r="M207" t="n">
        <v>0</v>
      </c>
      <c r="N207" t="n">
        <v>0</v>
      </c>
      <c r="O207" t="n">
        <v>1</v>
      </c>
      <c r="P207" t="n">
        <v>0</v>
      </c>
      <c r="Q207" t="n">
        <v>1</v>
      </c>
      <c r="R207" s="2" t="inlineStr">
        <is>
          <t>Garnlav</t>
        </is>
      </c>
      <c r="S207">
        <f>HYPERLINK("https://klasma.github.io/Logging_2260/artfynd/A 5558-2021 artfynd.xlsx", "A 5558-2021")</f>
        <v/>
      </c>
      <c r="T207">
        <f>HYPERLINK("https://klasma.github.io/Logging_2260/kartor/A 5558-2021 karta.png", "A 5558-2021")</f>
        <v/>
      </c>
      <c r="V207">
        <f>HYPERLINK("https://klasma.github.io/Logging_2260/klagomål/A 5558-2021 FSC-klagomål.docx", "A 5558-2021")</f>
        <v/>
      </c>
      <c r="W207">
        <f>HYPERLINK("https://klasma.github.io/Logging_2260/klagomålsmail/A 5558-2021 FSC-klagomål mail.docx", "A 5558-2021")</f>
        <v/>
      </c>
      <c r="X207">
        <f>HYPERLINK("https://klasma.github.io/Logging_2260/tillsyn/A 5558-2021 tillsynsbegäran.docx", "A 5558-2021")</f>
        <v/>
      </c>
      <c r="Y207">
        <f>HYPERLINK("https://klasma.github.io/Logging_2260/tillsynsmail/A 5558-2021 tillsynsbegäran mail.docx", "A 5558-2021")</f>
        <v/>
      </c>
    </row>
    <row r="208" ht="15" customHeight="1">
      <c r="A208" t="inlineStr">
        <is>
          <t>A 31578-2021</t>
        </is>
      </c>
      <c r="B208" s="1" t="n">
        <v>44369</v>
      </c>
      <c r="C208" s="1" t="n">
        <v>45588</v>
      </c>
      <c r="D208" t="inlineStr">
        <is>
          <t>VÄSTERNORRLANDS LÄN</t>
        </is>
      </c>
      <c r="E208" t="inlineStr">
        <is>
          <t>ÅNGE</t>
        </is>
      </c>
      <c r="G208" t="n">
        <v>25.8</v>
      </c>
      <c r="H208" t="n">
        <v>1</v>
      </c>
      <c r="I208" t="n">
        <v>0</v>
      </c>
      <c r="J208" t="n">
        <v>0</v>
      </c>
      <c r="K208" t="n">
        <v>1</v>
      </c>
      <c r="L208" t="n">
        <v>0</v>
      </c>
      <c r="M208" t="n">
        <v>0</v>
      </c>
      <c r="N208" t="n">
        <v>0</v>
      </c>
      <c r="O208" t="n">
        <v>1</v>
      </c>
      <c r="P208" t="n">
        <v>1</v>
      </c>
      <c r="Q208" t="n">
        <v>1</v>
      </c>
      <c r="R208" s="2" t="inlineStr">
        <is>
          <t>Knärot</t>
        </is>
      </c>
      <c r="S208">
        <f>HYPERLINK("https://klasma.github.io/Logging_2260/artfynd/A 31578-2021 artfynd.xlsx", "A 31578-2021")</f>
        <v/>
      </c>
      <c r="T208">
        <f>HYPERLINK("https://klasma.github.io/Logging_2260/kartor/A 31578-2021 karta.png", "A 31578-2021")</f>
        <v/>
      </c>
      <c r="U208">
        <f>HYPERLINK("https://klasma.github.io/Logging_2260/knärot/A 31578-2021 karta knärot.png", "A 31578-2021")</f>
        <v/>
      </c>
      <c r="V208">
        <f>HYPERLINK("https://klasma.github.io/Logging_2260/klagomål/A 31578-2021 FSC-klagomål.docx", "A 31578-2021")</f>
        <v/>
      </c>
      <c r="W208">
        <f>HYPERLINK("https://klasma.github.io/Logging_2260/klagomålsmail/A 31578-2021 FSC-klagomål mail.docx", "A 31578-2021")</f>
        <v/>
      </c>
      <c r="X208">
        <f>HYPERLINK("https://klasma.github.io/Logging_2260/tillsyn/A 31578-2021 tillsynsbegäran.docx", "A 31578-2021")</f>
        <v/>
      </c>
      <c r="Y208">
        <f>HYPERLINK("https://klasma.github.io/Logging_2260/tillsynsmail/A 31578-2021 tillsynsbegäran mail.docx", "A 31578-2021")</f>
        <v/>
      </c>
    </row>
    <row r="209" ht="15" customHeight="1">
      <c r="A209" t="inlineStr">
        <is>
          <t>A 35018-2021</t>
        </is>
      </c>
      <c r="B209" s="1" t="n">
        <v>44383</v>
      </c>
      <c r="C209" s="1" t="n">
        <v>45588</v>
      </c>
      <c r="D209" t="inlineStr">
        <is>
          <t>VÄSTERNORRLANDS LÄN</t>
        </is>
      </c>
      <c r="E209" t="inlineStr">
        <is>
          <t>ÅNGE</t>
        </is>
      </c>
      <c r="F209" t="inlineStr">
        <is>
          <t>Sveaskog</t>
        </is>
      </c>
      <c r="G209" t="n">
        <v>9.5</v>
      </c>
      <c r="H209" t="n">
        <v>1</v>
      </c>
      <c r="I209" t="n">
        <v>0</v>
      </c>
      <c r="J209" t="n">
        <v>1</v>
      </c>
      <c r="K209" t="n">
        <v>0</v>
      </c>
      <c r="L209" t="n">
        <v>0</v>
      </c>
      <c r="M209" t="n">
        <v>0</v>
      </c>
      <c r="N209" t="n">
        <v>0</v>
      </c>
      <c r="O209" t="n">
        <v>1</v>
      </c>
      <c r="P209" t="n">
        <v>0</v>
      </c>
      <c r="Q209" t="n">
        <v>1</v>
      </c>
      <c r="R209" s="2" t="inlineStr">
        <is>
          <t>Utter</t>
        </is>
      </c>
      <c r="S209">
        <f>HYPERLINK("https://klasma.github.io/Logging_2260/artfynd/A 35018-2021 artfynd.xlsx", "A 35018-2021")</f>
        <v/>
      </c>
      <c r="T209">
        <f>HYPERLINK("https://klasma.github.io/Logging_2260/kartor/A 35018-2021 karta.png", "A 35018-2021")</f>
        <v/>
      </c>
      <c r="V209">
        <f>HYPERLINK("https://klasma.github.io/Logging_2260/klagomål/A 35018-2021 FSC-klagomål.docx", "A 35018-2021")</f>
        <v/>
      </c>
      <c r="W209">
        <f>HYPERLINK("https://klasma.github.io/Logging_2260/klagomålsmail/A 35018-2021 FSC-klagomål mail.docx", "A 35018-2021")</f>
        <v/>
      </c>
      <c r="X209">
        <f>HYPERLINK("https://klasma.github.io/Logging_2260/tillsyn/A 35018-2021 tillsynsbegäran.docx", "A 35018-2021")</f>
        <v/>
      </c>
      <c r="Y209">
        <f>HYPERLINK("https://klasma.github.io/Logging_2260/tillsynsmail/A 35018-2021 tillsynsbegäran mail.docx", "A 35018-2021")</f>
        <v/>
      </c>
    </row>
    <row r="210" ht="15" customHeight="1">
      <c r="A210" t="inlineStr">
        <is>
          <t>A 41493-2021</t>
        </is>
      </c>
      <c r="B210" s="1" t="n">
        <v>44424</v>
      </c>
      <c r="C210" s="1" t="n">
        <v>45588</v>
      </c>
      <c r="D210" t="inlineStr">
        <is>
          <t>VÄSTERNORRLANDS LÄN</t>
        </is>
      </c>
      <c r="E210" t="inlineStr">
        <is>
          <t>ÅNGE</t>
        </is>
      </c>
      <c r="F210" t="inlineStr">
        <is>
          <t>SCA</t>
        </is>
      </c>
      <c r="G210" t="n">
        <v>8</v>
      </c>
      <c r="H210" t="n">
        <v>1</v>
      </c>
      <c r="I210" t="n">
        <v>0</v>
      </c>
      <c r="J210" t="n">
        <v>0</v>
      </c>
      <c r="K210" t="n">
        <v>1</v>
      </c>
      <c r="L210" t="n">
        <v>0</v>
      </c>
      <c r="M210" t="n">
        <v>0</v>
      </c>
      <c r="N210" t="n">
        <v>0</v>
      </c>
      <c r="O210" t="n">
        <v>1</v>
      </c>
      <c r="P210" t="n">
        <v>1</v>
      </c>
      <c r="Q210" t="n">
        <v>1</v>
      </c>
      <c r="R210" s="2" t="inlineStr">
        <is>
          <t>Knärot</t>
        </is>
      </c>
      <c r="S210">
        <f>HYPERLINK("https://klasma.github.io/Logging_2260/artfynd/A 41493-2021 artfynd.xlsx", "A 41493-2021")</f>
        <v/>
      </c>
      <c r="T210">
        <f>HYPERLINK("https://klasma.github.io/Logging_2260/kartor/A 41493-2021 karta.png", "A 41493-2021")</f>
        <v/>
      </c>
      <c r="U210">
        <f>HYPERLINK("https://klasma.github.io/Logging_2260/knärot/A 41493-2021 karta knärot.png", "A 41493-2021")</f>
        <v/>
      </c>
      <c r="V210">
        <f>HYPERLINK("https://klasma.github.io/Logging_2260/klagomål/A 41493-2021 FSC-klagomål.docx", "A 41493-2021")</f>
        <v/>
      </c>
      <c r="W210">
        <f>HYPERLINK("https://klasma.github.io/Logging_2260/klagomålsmail/A 41493-2021 FSC-klagomål mail.docx", "A 41493-2021")</f>
        <v/>
      </c>
      <c r="X210">
        <f>HYPERLINK("https://klasma.github.io/Logging_2260/tillsyn/A 41493-2021 tillsynsbegäran.docx", "A 41493-2021")</f>
        <v/>
      </c>
      <c r="Y210">
        <f>HYPERLINK("https://klasma.github.io/Logging_2260/tillsynsmail/A 41493-2021 tillsynsbegäran mail.docx", "A 41493-2021")</f>
        <v/>
      </c>
    </row>
    <row r="211" ht="15" customHeight="1">
      <c r="A211" t="inlineStr">
        <is>
          <t>A 45355-2021</t>
        </is>
      </c>
      <c r="B211" s="1" t="n">
        <v>44439</v>
      </c>
      <c r="C211" s="1" t="n">
        <v>45588</v>
      </c>
      <c r="D211" t="inlineStr">
        <is>
          <t>VÄSTERNORRLANDS LÄN</t>
        </is>
      </c>
      <c r="E211" t="inlineStr">
        <is>
          <t>ÅNGE</t>
        </is>
      </c>
      <c r="F211" t="inlineStr">
        <is>
          <t>SCA</t>
        </is>
      </c>
      <c r="G211" t="n">
        <v>1.7</v>
      </c>
      <c r="H211" t="n">
        <v>0</v>
      </c>
      <c r="I211" t="n">
        <v>0</v>
      </c>
      <c r="J211" t="n">
        <v>1</v>
      </c>
      <c r="K211" t="n">
        <v>0</v>
      </c>
      <c r="L211" t="n">
        <v>0</v>
      </c>
      <c r="M211" t="n">
        <v>0</v>
      </c>
      <c r="N211" t="n">
        <v>0</v>
      </c>
      <c r="O211" t="n">
        <v>1</v>
      </c>
      <c r="P211" t="n">
        <v>0</v>
      </c>
      <c r="Q211" t="n">
        <v>1</v>
      </c>
      <c r="R211" s="2" t="inlineStr">
        <is>
          <t>Stiftgelélav</t>
        </is>
      </c>
      <c r="S211">
        <f>HYPERLINK("https://klasma.github.io/Logging_2260/artfynd/A 45355-2021 artfynd.xlsx", "A 45355-2021")</f>
        <v/>
      </c>
      <c r="T211">
        <f>HYPERLINK("https://klasma.github.io/Logging_2260/kartor/A 45355-2021 karta.png", "A 45355-2021")</f>
        <v/>
      </c>
      <c r="V211">
        <f>HYPERLINK("https://klasma.github.io/Logging_2260/klagomål/A 45355-2021 FSC-klagomål.docx", "A 45355-2021")</f>
        <v/>
      </c>
      <c r="W211">
        <f>HYPERLINK("https://klasma.github.io/Logging_2260/klagomålsmail/A 45355-2021 FSC-klagomål mail.docx", "A 45355-2021")</f>
        <v/>
      </c>
      <c r="X211">
        <f>HYPERLINK("https://klasma.github.io/Logging_2260/tillsyn/A 45355-2021 tillsynsbegäran.docx", "A 45355-2021")</f>
        <v/>
      </c>
      <c r="Y211">
        <f>HYPERLINK("https://klasma.github.io/Logging_2260/tillsynsmail/A 45355-2021 tillsynsbegäran mail.docx", "A 45355-2021")</f>
        <v/>
      </c>
    </row>
    <row r="212" ht="15" customHeight="1">
      <c r="A212" t="inlineStr">
        <is>
          <t>A 54751-2021</t>
        </is>
      </c>
      <c r="B212" s="1" t="n">
        <v>44473</v>
      </c>
      <c r="C212" s="1" t="n">
        <v>45588</v>
      </c>
      <c r="D212" t="inlineStr">
        <is>
          <t>VÄSTERNORRLANDS LÄN</t>
        </is>
      </c>
      <c r="E212" t="inlineStr">
        <is>
          <t>ÅNGE</t>
        </is>
      </c>
      <c r="G212" t="n">
        <v>6.5</v>
      </c>
      <c r="H212" t="n">
        <v>0</v>
      </c>
      <c r="I212" t="n">
        <v>0</v>
      </c>
      <c r="J212" t="n">
        <v>0</v>
      </c>
      <c r="K212" t="n">
        <v>1</v>
      </c>
      <c r="L212" t="n">
        <v>0</v>
      </c>
      <c r="M212" t="n">
        <v>0</v>
      </c>
      <c r="N212" t="n">
        <v>0</v>
      </c>
      <c r="O212" t="n">
        <v>1</v>
      </c>
      <c r="P212" t="n">
        <v>1</v>
      </c>
      <c r="Q212" t="n">
        <v>1</v>
      </c>
      <c r="R212" s="2" t="inlineStr">
        <is>
          <t>Gräddporing</t>
        </is>
      </c>
      <c r="S212">
        <f>HYPERLINK("https://klasma.github.io/Logging_2260/artfynd/A 54751-2021 artfynd.xlsx", "A 54751-2021")</f>
        <v/>
      </c>
      <c r="T212">
        <f>HYPERLINK("https://klasma.github.io/Logging_2260/kartor/A 54751-2021 karta.png", "A 54751-2021")</f>
        <v/>
      </c>
      <c r="V212">
        <f>HYPERLINK("https://klasma.github.io/Logging_2260/klagomål/A 54751-2021 FSC-klagomål.docx", "A 54751-2021")</f>
        <v/>
      </c>
      <c r="W212">
        <f>HYPERLINK("https://klasma.github.io/Logging_2260/klagomålsmail/A 54751-2021 FSC-klagomål mail.docx", "A 54751-2021")</f>
        <v/>
      </c>
      <c r="X212">
        <f>HYPERLINK("https://klasma.github.io/Logging_2260/tillsyn/A 54751-2021 tillsynsbegäran.docx", "A 54751-2021")</f>
        <v/>
      </c>
      <c r="Y212">
        <f>HYPERLINK("https://klasma.github.io/Logging_2260/tillsynsmail/A 54751-2021 tillsynsbegäran mail.docx", "A 54751-2021")</f>
        <v/>
      </c>
    </row>
    <row r="213" ht="15" customHeight="1">
      <c r="A213" t="inlineStr">
        <is>
          <t>A 57562-2021</t>
        </is>
      </c>
      <c r="B213" s="1" t="n">
        <v>44483</v>
      </c>
      <c r="C213" s="1" t="n">
        <v>45588</v>
      </c>
      <c r="D213" t="inlineStr">
        <is>
          <t>VÄSTERNORRLANDS LÄN</t>
        </is>
      </c>
      <c r="E213" t="inlineStr">
        <is>
          <t>ÅNGE</t>
        </is>
      </c>
      <c r="F213" t="inlineStr">
        <is>
          <t>SCA</t>
        </is>
      </c>
      <c r="G213" t="n">
        <v>10.7</v>
      </c>
      <c r="H213" t="n">
        <v>0</v>
      </c>
      <c r="I213" t="n">
        <v>1</v>
      </c>
      <c r="J213" t="n">
        <v>0</v>
      </c>
      <c r="K213" t="n">
        <v>0</v>
      </c>
      <c r="L213" t="n">
        <v>0</v>
      </c>
      <c r="M213" t="n">
        <v>0</v>
      </c>
      <c r="N213" t="n">
        <v>0</v>
      </c>
      <c r="O213" t="n">
        <v>0</v>
      </c>
      <c r="P213" t="n">
        <v>0</v>
      </c>
      <c r="Q213" t="n">
        <v>1</v>
      </c>
      <c r="R213" s="2" t="inlineStr">
        <is>
          <t>Ögonpyrola</t>
        </is>
      </c>
      <c r="S213">
        <f>HYPERLINK("https://klasma.github.io/Logging_2260/artfynd/A 57562-2021 artfynd.xlsx", "A 57562-2021")</f>
        <v/>
      </c>
      <c r="T213">
        <f>HYPERLINK("https://klasma.github.io/Logging_2260/kartor/A 57562-2021 karta.png", "A 57562-2021")</f>
        <v/>
      </c>
      <c r="V213">
        <f>HYPERLINK("https://klasma.github.io/Logging_2260/klagomål/A 57562-2021 FSC-klagomål.docx", "A 57562-2021")</f>
        <v/>
      </c>
      <c r="W213">
        <f>HYPERLINK("https://klasma.github.io/Logging_2260/klagomålsmail/A 57562-2021 FSC-klagomål mail.docx", "A 57562-2021")</f>
        <v/>
      </c>
      <c r="X213">
        <f>HYPERLINK("https://klasma.github.io/Logging_2260/tillsyn/A 57562-2021 tillsynsbegäran.docx", "A 57562-2021")</f>
        <v/>
      </c>
      <c r="Y213">
        <f>HYPERLINK("https://klasma.github.io/Logging_2260/tillsynsmail/A 57562-2021 tillsynsbegäran mail.docx", "A 57562-2021")</f>
        <v/>
      </c>
    </row>
    <row r="214" ht="15" customHeight="1">
      <c r="A214" t="inlineStr">
        <is>
          <t>A 60767-2021</t>
        </is>
      </c>
      <c r="B214" s="1" t="n">
        <v>44496</v>
      </c>
      <c r="C214" s="1" t="n">
        <v>45588</v>
      </c>
      <c r="D214" t="inlineStr">
        <is>
          <t>VÄSTERNORRLANDS LÄN</t>
        </is>
      </c>
      <c r="E214" t="inlineStr">
        <is>
          <t>ÅNGE</t>
        </is>
      </c>
      <c r="F214" t="inlineStr">
        <is>
          <t>SCA</t>
        </is>
      </c>
      <c r="G214" t="n">
        <v>4.5</v>
      </c>
      <c r="H214" t="n">
        <v>1</v>
      </c>
      <c r="I214" t="n">
        <v>0</v>
      </c>
      <c r="J214" t="n">
        <v>0</v>
      </c>
      <c r="K214" t="n">
        <v>1</v>
      </c>
      <c r="L214" t="n">
        <v>0</v>
      </c>
      <c r="M214" t="n">
        <v>0</v>
      </c>
      <c r="N214" t="n">
        <v>0</v>
      </c>
      <c r="O214" t="n">
        <v>1</v>
      </c>
      <c r="P214" t="n">
        <v>1</v>
      </c>
      <c r="Q214" t="n">
        <v>1</v>
      </c>
      <c r="R214" s="2" t="inlineStr">
        <is>
          <t>Knärot</t>
        </is>
      </c>
      <c r="S214">
        <f>HYPERLINK("https://klasma.github.io/Logging_2260/artfynd/A 60767-2021 artfynd.xlsx", "A 60767-2021")</f>
        <v/>
      </c>
      <c r="T214">
        <f>HYPERLINK("https://klasma.github.io/Logging_2260/kartor/A 60767-2021 karta.png", "A 60767-2021")</f>
        <v/>
      </c>
      <c r="U214">
        <f>HYPERLINK("https://klasma.github.io/Logging_2260/knärot/A 60767-2021 karta knärot.png", "A 60767-2021")</f>
        <v/>
      </c>
      <c r="V214">
        <f>HYPERLINK("https://klasma.github.io/Logging_2260/klagomål/A 60767-2021 FSC-klagomål.docx", "A 60767-2021")</f>
        <v/>
      </c>
      <c r="W214">
        <f>HYPERLINK("https://klasma.github.io/Logging_2260/klagomålsmail/A 60767-2021 FSC-klagomål mail.docx", "A 60767-2021")</f>
        <v/>
      </c>
      <c r="X214">
        <f>HYPERLINK("https://klasma.github.io/Logging_2260/tillsyn/A 60767-2021 tillsynsbegäran.docx", "A 60767-2021")</f>
        <v/>
      </c>
      <c r="Y214">
        <f>HYPERLINK("https://klasma.github.io/Logging_2260/tillsynsmail/A 60767-2021 tillsynsbegäran mail.docx", "A 60767-2021")</f>
        <v/>
      </c>
    </row>
    <row r="215" ht="15" customHeight="1">
      <c r="A215" t="inlineStr">
        <is>
          <t>A 61458-2021</t>
        </is>
      </c>
      <c r="B215" s="1" t="n">
        <v>44500</v>
      </c>
      <c r="C215" s="1" t="n">
        <v>45588</v>
      </c>
      <c r="D215" t="inlineStr">
        <is>
          <t>VÄSTERNORRLANDS LÄN</t>
        </is>
      </c>
      <c r="E215" t="inlineStr">
        <is>
          <t>ÅNGE</t>
        </is>
      </c>
      <c r="F215" t="inlineStr">
        <is>
          <t>SCA</t>
        </is>
      </c>
      <c r="G215" t="n">
        <v>11.1</v>
      </c>
      <c r="H215" t="n">
        <v>1</v>
      </c>
      <c r="I215" t="n">
        <v>0</v>
      </c>
      <c r="J215" t="n">
        <v>0</v>
      </c>
      <c r="K215" t="n">
        <v>1</v>
      </c>
      <c r="L215" t="n">
        <v>0</v>
      </c>
      <c r="M215" t="n">
        <v>0</v>
      </c>
      <c r="N215" t="n">
        <v>0</v>
      </c>
      <c r="O215" t="n">
        <v>1</v>
      </c>
      <c r="P215" t="n">
        <v>1</v>
      </c>
      <c r="Q215" t="n">
        <v>1</v>
      </c>
      <c r="R215" s="2" t="inlineStr">
        <is>
          <t>Knärot</t>
        </is>
      </c>
      <c r="S215">
        <f>HYPERLINK("https://klasma.github.io/Logging_2260/artfynd/A 61458-2021 artfynd.xlsx", "A 61458-2021")</f>
        <v/>
      </c>
      <c r="T215">
        <f>HYPERLINK("https://klasma.github.io/Logging_2260/kartor/A 61458-2021 karta.png", "A 61458-2021")</f>
        <v/>
      </c>
      <c r="U215">
        <f>HYPERLINK("https://klasma.github.io/Logging_2260/knärot/A 61458-2021 karta knärot.png", "A 61458-2021")</f>
        <v/>
      </c>
      <c r="V215">
        <f>HYPERLINK("https://klasma.github.io/Logging_2260/klagomål/A 61458-2021 FSC-klagomål.docx", "A 61458-2021")</f>
        <v/>
      </c>
      <c r="W215">
        <f>HYPERLINK("https://klasma.github.io/Logging_2260/klagomålsmail/A 61458-2021 FSC-klagomål mail.docx", "A 61458-2021")</f>
        <v/>
      </c>
      <c r="X215">
        <f>HYPERLINK("https://klasma.github.io/Logging_2260/tillsyn/A 61458-2021 tillsynsbegäran.docx", "A 61458-2021")</f>
        <v/>
      </c>
      <c r="Y215">
        <f>HYPERLINK("https://klasma.github.io/Logging_2260/tillsynsmail/A 61458-2021 tillsynsbegäran mail.docx", "A 61458-2021")</f>
        <v/>
      </c>
    </row>
    <row r="216" ht="15" customHeight="1">
      <c r="A216" t="inlineStr">
        <is>
          <t>A 61479-2021</t>
        </is>
      </c>
      <c r="B216" s="1" t="n">
        <v>44500</v>
      </c>
      <c r="C216" s="1" t="n">
        <v>45588</v>
      </c>
      <c r="D216" t="inlineStr">
        <is>
          <t>VÄSTERNORRLANDS LÄN</t>
        </is>
      </c>
      <c r="E216" t="inlineStr">
        <is>
          <t>ÅNGE</t>
        </is>
      </c>
      <c r="F216" t="inlineStr">
        <is>
          <t>SCA</t>
        </is>
      </c>
      <c r="G216" t="n">
        <v>7.2</v>
      </c>
      <c r="H216" t="n">
        <v>1</v>
      </c>
      <c r="I216" t="n">
        <v>0</v>
      </c>
      <c r="J216" t="n">
        <v>0</v>
      </c>
      <c r="K216" t="n">
        <v>1</v>
      </c>
      <c r="L216" t="n">
        <v>0</v>
      </c>
      <c r="M216" t="n">
        <v>0</v>
      </c>
      <c r="N216" t="n">
        <v>0</v>
      </c>
      <c r="O216" t="n">
        <v>1</v>
      </c>
      <c r="P216" t="n">
        <v>1</v>
      </c>
      <c r="Q216" t="n">
        <v>1</v>
      </c>
      <c r="R216" s="2" t="inlineStr">
        <is>
          <t>Knärot</t>
        </is>
      </c>
      <c r="S216">
        <f>HYPERLINK("https://klasma.github.io/Logging_2260/artfynd/A 61479-2021 artfynd.xlsx", "A 61479-2021")</f>
        <v/>
      </c>
      <c r="T216">
        <f>HYPERLINK("https://klasma.github.io/Logging_2260/kartor/A 61479-2021 karta.png", "A 61479-2021")</f>
        <v/>
      </c>
      <c r="U216">
        <f>HYPERLINK("https://klasma.github.io/Logging_2260/knärot/A 61479-2021 karta knärot.png", "A 61479-2021")</f>
        <v/>
      </c>
      <c r="V216">
        <f>HYPERLINK("https://klasma.github.io/Logging_2260/klagomål/A 61479-2021 FSC-klagomål.docx", "A 61479-2021")</f>
        <v/>
      </c>
      <c r="W216">
        <f>HYPERLINK("https://klasma.github.io/Logging_2260/klagomålsmail/A 61479-2021 FSC-klagomål mail.docx", "A 61479-2021")</f>
        <v/>
      </c>
      <c r="X216">
        <f>HYPERLINK("https://klasma.github.io/Logging_2260/tillsyn/A 61479-2021 tillsynsbegäran.docx", "A 61479-2021")</f>
        <v/>
      </c>
      <c r="Y216">
        <f>HYPERLINK("https://klasma.github.io/Logging_2260/tillsynsmail/A 61479-2021 tillsynsbegäran mail.docx", "A 61479-2021")</f>
        <v/>
      </c>
    </row>
    <row r="217" ht="15" customHeight="1">
      <c r="A217" t="inlineStr">
        <is>
          <t>A 71366-2021</t>
        </is>
      </c>
      <c r="B217" s="1" t="n">
        <v>44539</v>
      </c>
      <c r="C217" s="1" t="n">
        <v>45588</v>
      </c>
      <c r="D217" t="inlineStr">
        <is>
          <t>VÄSTERNORRLANDS LÄN</t>
        </is>
      </c>
      <c r="E217" t="inlineStr">
        <is>
          <t>ÅNGE</t>
        </is>
      </c>
      <c r="F217" t="inlineStr">
        <is>
          <t>SCA</t>
        </is>
      </c>
      <c r="G217" t="n">
        <v>2.3</v>
      </c>
      <c r="H217" t="n">
        <v>1</v>
      </c>
      <c r="I217" t="n">
        <v>0</v>
      </c>
      <c r="J217" t="n">
        <v>0</v>
      </c>
      <c r="K217" t="n">
        <v>1</v>
      </c>
      <c r="L217" t="n">
        <v>0</v>
      </c>
      <c r="M217" t="n">
        <v>0</v>
      </c>
      <c r="N217" t="n">
        <v>0</v>
      </c>
      <c r="O217" t="n">
        <v>1</v>
      </c>
      <c r="P217" t="n">
        <v>1</v>
      </c>
      <c r="Q217" t="n">
        <v>1</v>
      </c>
      <c r="R217" s="2" t="inlineStr">
        <is>
          <t>Knärot</t>
        </is>
      </c>
      <c r="S217">
        <f>HYPERLINK("https://klasma.github.io/Logging_2260/artfynd/A 71366-2021 artfynd.xlsx", "A 71366-2021")</f>
        <v/>
      </c>
      <c r="T217">
        <f>HYPERLINK("https://klasma.github.io/Logging_2260/kartor/A 71366-2021 karta.png", "A 71366-2021")</f>
        <v/>
      </c>
      <c r="U217">
        <f>HYPERLINK("https://klasma.github.io/Logging_2260/knärot/A 71366-2021 karta knärot.png", "A 71366-2021")</f>
        <v/>
      </c>
      <c r="V217">
        <f>HYPERLINK("https://klasma.github.io/Logging_2260/klagomål/A 71366-2021 FSC-klagomål.docx", "A 71366-2021")</f>
        <v/>
      </c>
      <c r="W217">
        <f>HYPERLINK("https://klasma.github.io/Logging_2260/klagomålsmail/A 71366-2021 FSC-klagomål mail.docx", "A 71366-2021")</f>
        <v/>
      </c>
      <c r="X217">
        <f>HYPERLINK("https://klasma.github.io/Logging_2260/tillsyn/A 71366-2021 tillsynsbegäran.docx", "A 71366-2021")</f>
        <v/>
      </c>
      <c r="Y217">
        <f>HYPERLINK("https://klasma.github.io/Logging_2260/tillsynsmail/A 71366-2021 tillsynsbegäran mail.docx", "A 71366-2021")</f>
        <v/>
      </c>
    </row>
    <row r="218" ht="15" customHeight="1">
      <c r="A218" t="inlineStr">
        <is>
          <t>A 14834-2022</t>
        </is>
      </c>
      <c r="B218" s="1" t="n">
        <v>44656</v>
      </c>
      <c r="C218" s="1" t="n">
        <v>45588</v>
      </c>
      <c r="D218" t="inlineStr">
        <is>
          <t>VÄSTERNORRLANDS LÄN</t>
        </is>
      </c>
      <c r="E218" t="inlineStr">
        <is>
          <t>ÅNGE</t>
        </is>
      </c>
      <c r="G218" t="n">
        <v>3.3</v>
      </c>
      <c r="H218" t="n">
        <v>1</v>
      </c>
      <c r="I218" t="n">
        <v>0</v>
      </c>
      <c r="J218" t="n">
        <v>0</v>
      </c>
      <c r="K218" t="n">
        <v>0</v>
      </c>
      <c r="L218" t="n">
        <v>0</v>
      </c>
      <c r="M218" t="n">
        <v>0</v>
      </c>
      <c r="N218" t="n">
        <v>0</v>
      </c>
      <c r="O218" t="n">
        <v>0</v>
      </c>
      <c r="P218" t="n">
        <v>0</v>
      </c>
      <c r="Q218" t="n">
        <v>1</v>
      </c>
      <c r="R218" s="2" t="inlineStr">
        <is>
          <t>Orre</t>
        </is>
      </c>
      <c r="S218">
        <f>HYPERLINK("https://klasma.github.io/Logging_2260/artfynd/A 14834-2022 artfynd.xlsx", "A 14834-2022")</f>
        <v/>
      </c>
      <c r="T218">
        <f>HYPERLINK("https://klasma.github.io/Logging_2260/kartor/A 14834-2022 karta.png", "A 14834-2022")</f>
        <v/>
      </c>
      <c r="V218">
        <f>HYPERLINK("https://klasma.github.io/Logging_2260/klagomål/A 14834-2022 FSC-klagomål.docx", "A 14834-2022")</f>
        <v/>
      </c>
      <c r="W218">
        <f>HYPERLINK("https://klasma.github.io/Logging_2260/klagomålsmail/A 14834-2022 FSC-klagomål mail.docx", "A 14834-2022")</f>
        <v/>
      </c>
      <c r="X218">
        <f>HYPERLINK("https://klasma.github.io/Logging_2260/tillsyn/A 14834-2022 tillsynsbegäran.docx", "A 14834-2022")</f>
        <v/>
      </c>
      <c r="Y218">
        <f>HYPERLINK("https://klasma.github.io/Logging_2260/tillsynsmail/A 14834-2022 tillsynsbegäran mail.docx", "A 14834-2022")</f>
        <v/>
      </c>
      <c r="Z218">
        <f>HYPERLINK("https://klasma.github.io/Logging_2260/fåglar/A 14834-2022 prioriterade fågelarter.docx", "A 14834-2022")</f>
        <v/>
      </c>
    </row>
    <row r="219" ht="15" customHeight="1">
      <c r="A219" t="inlineStr">
        <is>
          <t>A 16053-2022</t>
        </is>
      </c>
      <c r="B219" s="1" t="n">
        <v>44665</v>
      </c>
      <c r="C219" s="1" t="n">
        <v>45588</v>
      </c>
      <c r="D219" t="inlineStr">
        <is>
          <t>VÄSTERNORRLANDS LÄN</t>
        </is>
      </c>
      <c r="E219" t="inlineStr">
        <is>
          <t>ÅNGE</t>
        </is>
      </c>
      <c r="G219" t="n">
        <v>3.8</v>
      </c>
      <c r="H219" t="n">
        <v>1</v>
      </c>
      <c r="I219" t="n">
        <v>0</v>
      </c>
      <c r="J219" t="n">
        <v>1</v>
      </c>
      <c r="K219" t="n">
        <v>0</v>
      </c>
      <c r="L219" t="n">
        <v>0</v>
      </c>
      <c r="M219" t="n">
        <v>0</v>
      </c>
      <c r="N219" t="n">
        <v>0</v>
      </c>
      <c r="O219" t="n">
        <v>1</v>
      </c>
      <c r="P219" t="n">
        <v>0</v>
      </c>
      <c r="Q219" t="n">
        <v>1</v>
      </c>
      <c r="R219" s="2" t="inlineStr">
        <is>
          <t>Järpe</t>
        </is>
      </c>
      <c r="S219">
        <f>HYPERLINK("https://klasma.github.io/Logging_2260/artfynd/A 16053-2022 artfynd.xlsx", "A 16053-2022")</f>
        <v/>
      </c>
      <c r="T219">
        <f>HYPERLINK("https://klasma.github.io/Logging_2260/kartor/A 16053-2022 karta.png", "A 16053-2022")</f>
        <v/>
      </c>
      <c r="V219">
        <f>HYPERLINK("https://klasma.github.io/Logging_2260/klagomål/A 16053-2022 FSC-klagomål.docx", "A 16053-2022")</f>
        <v/>
      </c>
      <c r="W219">
        <f>HYPERLINK("https://klasma.github.io/Logging_2260/klagomålsmail/A 16053-2022 FSC-klagomål mail.docx", "A 16053-2022")</f>
        <v/>
      </c>
      <c r="X219">
        <f>HYPERLINK("https://klasma.github.io/Logging_2260/tillsyn/A 16053-2022 tillsynsbegäran.docx", "A 16053-2022")</f>
        <v/>
      </c>
      <c r="Y219">
        <f>HYPERLINK("https://klasma.github.io/Logging_2260/tillsynsmail/A 16053-2022 tillsynsbegäran mail.docx", "A 16053-2022")</f>
        <v/>
      </c>
      <c r="Z219">
        <f>HYPERLINK("https://klasma.github.io/Logging_2260/fåglar/A 16053-2022 prioriterade fågelarter.docx", "A 16053-2022")</f>
        <v/>
      </c>
    </row>
    <row r="220" ht="15" customHeight="1">
      <c r="A220" t="inlineStr">
        <is>
          <t>A 20367-2022</t>
        </is>
      </c>
      <c r="B220" s="1" t="n">
        <v>44699</v>
      </c>
      <c r="C220" s="1" t="n">
        <v>45588</v>
      </c>
      <c r="D220" t="inlineStr">
        <is>
          <t>VÄSTERNORRLANDS LÄN</t>
        </is>
      </c>
      <c r="E220" t="inlineStr">
        <is>
          <t>ÅNGE</t>
        </is>
      </c>
      <c r="G220" t="n">
        <v>9.6</v>
      </c>
      <c r="H220" t="n">
        <v>1</v>
      </c>
      <c r="I220" t="n">
        <v>0</v>
      </c>
      <c r="J220" t="n">
        <v>0</v>
      </c>
      <c r="K220" t="n">
        <v>0</v>
      </c>
      <c r="L220" t="n">
        <v>0</v>
      </c>
      <c r="M220" t="n">
        <v>0</v>
      </c>
      <c r="N220" t="n">
        <v>0</v>
      </c>
      <c r="O220" t="n">
        <v>0</v>
      </c>
      <c r="P220" t="n">
        <v>0</v>
      </c>
      <c r="Q220" t="n">
        <v>1</v>
      </c>
      <c r="R220" s="2" t="inlineStr">
        <is>
          <t>Fläcknycklar</t>
        </is>
      </c>
      <c r="S220">
        <f>HYPERLINK("https://klasma.github.io/Logging_2260/artfynd/A 20367-2022 artfynd.xlsx", "A 20367-2022")</f>
        <v/>
      </c>
      <c r="T220">
        <f>HYPERLINK("https://klasma.github.io/Logging_2260/kartor/A 20367-2022 karta.png", "A 20367-2022")</f>
        <v/>
      </c>
      <c r="V220">
        <f>HYPERLINK("https://klasma.github.io/Logging_2260/klagomål/A 20367-2022 FSC-klagomål.docx", "A 20367-2022")</f>
        <v/>
      </c>
      <c r="W220">
        <f>HYPERLINK("https://klasma.github.io/Logging_2260/klagomålsmail/A 20367-2022 FSC-klagomål mail.docx", "A 20367-2022")</f>
        <v/>
      </c>
      <c r="X220">
        <f>HYPERLINK("https://klasma.github.io/Logging_2260/tillsyn/A 20367-2022 tillsynsbegäran.docx", "A 20367-2022")</f>
        <v/>
      </c>
      <c r="Y220">
        <f>HYPERLINK("https://klasma.github.io/Logging_2260/tillsynsmail/A 20367-2022 tillsynsbegäran mail.docx", "A 20367-2022")</f>
        <v/>
      </c>
    </row>
    <row r="221" ht="15" customHeight="1">
      <c r="A221" t="inlineStr">
        <is>
          <t>A 39933-2022</t>
        </is>
      </c>
      <c r="B221" s="1" t="n">
        <v>44819</v>
      </c>
      <c r="C221" s="1" t="n">
        <v>45588</v>
      </c>
      <c r="D221" t="inlineStr">
        <is>
          <t>VÄSTERNORRLANDS LÄN</t>
        </is>
      </c>
      <c r="E221" t="inlineStr">
        <is>
          <t>ÅNGE</t>
        </is>
      </c>
      <c r="F221" t="inlineStr">
        <is>
          <t>SCA</t>
        </is>
      </c>
      <c r="G221" t="n">
        <v>13.8</v>
      </c>
      <c r="H221" t="n">
        <v>1</v>
      </c>
      <c r="I221" t="n">
        <v>0</v>
      </c>
      <c r="J221" t="n">
        <v>0</v>
      </c>
      <c r="K221" t="n">
        <v>1</v>
      </c>
      <c r="L221" t="n">
        <v>0</v>
      </c>
      <c r="M221" t="n">
        <v>0</v>
      </c>
      <c r="N221" t="n">
        <v>0</v>
      </c>
      <c r="O221" t="n">
        <v>1</v>
      </c>
      <c r="P221" t="n">
        <v>1</v>
      </c>
      <c r="Q221" t="n">
        <v>1</v>
      </c>
      <c r="R221" s="2" t="inlineStr">
        <is>
          <t>Knärot</t>
        </is>
      </c>
      <c r="S221">
        <f>HYPERLINK("https://klasma.github.io/Logging_2260/artfynd/A 39933-2022 artfynd.xlsx", "A 39933-2022")</f>
        <v/>
      </c>
      <c r="T221">
        <f>HYPERLINK("https://klasma.github.io/Logging_2260/kartor/A 39933-2022 karta.png", "A 39933-2022")</f>
        <v/>
      </c>
      <c r="U221">
        <f>HYPERLINK("https://klasma.github.io/Logging_2260/knärot/A 39933-2022 karta knärot.png", "A 39933-2022")</f>
        <v/>
      </c>
      <c r="V221">
        <f>HYPERLINK("https://klasma.github.io/Logging_2260/klagomål/A 39933-2022 FSC-klagomål.docx", "A 39933-2022")</f>
        <v/>
      </c>
      <c r="W221">
        <f>HYPERLINK("https://klasma.github.io/Logging_2260/klagomålsmail/A 39933-2022 FSC-klagomål mail.docx", "A 39933-2022")</f>
        <v/>
      </c>
      <c r="X221">
        <f>HYPERLINK("https://klasma.github.io/Logging_2260/tillsyn/A 39933-2022 tillsynsbegäran.docx", "A 39933-2022")</f>
        <v/>
      </c>
      <c r="Y221">
        <f>HYPERLINK("https://klasma.github.io/Logging_2260/tillsynsmail/A 39933-2022 tillsynsbegäran mail.docx", "A 39933-2022")</f>
        <v/>
      </c>
    </row>
    <row r="222" ht="15" customHeight="1">
      <c r="A222" t="inlineStr">
        <is>
          <t>A 47784-2022</t>
        </is>
      </c>
      <c r="B222" s="1" t="n">
        <v>44854</v>
      </c>
      <c r="C222" s="1" t="n">
        <v>45588</v>
      </c>
      <c r="D222" t="inlineStr">
        <is>
          <t>VÄSTERNORRLANDS LÄN</t>
        </is>
      </c>
      <c r="E222" t="inlineStr">
        <is>
          <t>ÅNGE</t>
        </is>
      </c>
      <c r="F222" t="inlineStr">
        <is>
          <t>SCA</t>
        </is>
      </c>
      <c r="G222" t="n">
        <v>14.8</v>
      </c>
      <c r="H222" t="n">
        <v>0</v>
      </c>
      <c r="I222" t="n">
        <v>0</v>
      </c>
      <c r="J222" t="n">
        <v>1</v>
      </c>
      <c r="K222" t="n">
        <v>0</v>
      </c>
      <c r="L222" t="n">
        <v>0</v>
      </c>
      <c r="M222" t="n">
        <v>0</v>
      </c>
      <c r="N222" t="n">
        <v>0</v>
      </c>
      <c r="O222" t="n">
        <v>1</v>
      </c>
      <c r="P222" t="n">
        <v>0</v>
      </c>
      <c r="Q222" t="n">
        <v>1</v>
      </c>
      <c r="R222" s="2" t="inlineStr">
        <is>
          <t>Reliktbock</t>
        </is>
      </c>
      <c r="S222">
        <f>HYPERLINK("https://klasma.github.io/Logging_2260/artfynd/A 47784-2022 artfynd.xlsx", "A 47784-2022")</f>
        <v/>
      </c>
      <c r="T222">
        <f>HYPERLINK("https://klasma.github.io/Logging_2260/kartor/A 47784-2022 karta.png", "A 47784-2022")</f>
        <v/>
      </c>
      <c r="V222">
        <f>HYPERLINK("https://klasma.github.io/Logging_2260/klagomål/A 47784-2022 FSC-klagomål.docx", "A 47784-2022")</f>
        <v/>
      </c>
      <c r="W222">
        <f>HYPERLINK("https://klasma.github.io/Logging_2260/klagomålsmail/A 47784-2022 FSC-klagomål mail.docx", "A 47784-2022")</f>
        <v/>
      </c>
      <c r="X222">
        <f>HYPERLINK("https://klasma.github.io/Logging_2260/tillsyn/A 47784-2022 tillsynsbegäran.docx", "A 47784-2022")</f>
        <v/>
      </c>
      <c r="Y222">
        <f>HYPERLINK("https://klasma.github.io/Logging_2260/tillsynsmail/A 47784-2022 tillsynsbegäran mail.docx", "A 47784-2022")</f>
        <v/>
      </c>
    </row>
    <row r="223" ht="15" customHeight="1">
      <c r="A223" t="inlineStr">
        <is>
          <t>A 7485-2023</t>
        </is>
      </c>
      <c r="B223" s="1" t="n">
        <v>44964</v>
      </c>
      <c r="C223" s="1" t="n">
        <v>45588</v>
      </c>
      <c r="D223" t="inlineStr">
        <is>
          <t>VÄSTERNORRLANDS LÄN</t>
        </is>
      </c>
      <c r="E223" t="inlineStr">
        <is>
          <t>ÅNGE</t>
        </is>
      </c>
      <c r="G223" t="n">
        <v>2.9</v>
      </c>
      <c r="H223" t="n">
        <v>0</v>
      </c>
      <c r="I223" t="n">
        <v>0</v>
      </c>
      <c r="J223" t="n">
        <v>1</v>
      </c>
      <c r="K223" t="n">
        <v>0</v>
      </c>
      <c r="L223" t="n">
        <v>0</v>
      </c>
      <c r="M223" t="n">
        <v>0</v>
      </c>
      <c r="N223" t="n">
        <v>0</v>
      </c>
      <c r="O223" t="n">
        <v>1</v>
      </c>
      <c r="P223" t="n">
        <v>0</v>
      </c>
      <c r="Q223" t="n">
        <v>1</v>
      </c>
      <c r="R223" s="2" t="inlineStr">
        <is>
          <t>Rosenticka</t>
        </is>
      </c>
      <c r="S223">
        <f>HYPERLINK("https://klasma.github.io/Logging_2260/artfynd/A 7485-2023 artfynd.xlsx", "A 7485-2023")</f>
        <v/>
      </c>
      <c r="T223">
        <f>HYPERLINK("https://klasma.github.io/Logging_2260/kartor/A 7485-2023 karta.png", "A 7485-2023")</f>
        <v/>
      </c>
      <c r="V223">
        <f>HYPERLINK("https://klasma.github.io/Logging_2260/klagomål/A 7485-2023 FSC-klagomål.docx", "A 7485-2023")</f>
        <v/>
      </c>
      <c r="W223">
        <f>HYPERLINK("https://klasma.github.io/Logging_2260/klagomålsmail/A 7485-2023 FSC-klagomål mail.docx", "A 7485-2023")</f>
        <v/>
      </c>
      <c r="X223">
        <f>HYPERLINK("https://klasma.github.io/Logging_2260/tillsyn/A 7485-2023 tillsynsbegäran.docx", "A 7485-2023")</f>
        <v/>
      </c>
      <c r="Y223">
        <f>HYPERLINK("https://klasma.github.io/Logging_2260/tillsynsmail/A 7485-2023 tillsynsbegäran mail.docx", "A 7485-2023")</f>
        <v/>
      </c>
    </row>
    <row r="224" ht="15" customHeight="1">
      <c r="A224" t="inlineStr">
        <is>
          <t>A 22998-2023</t>
        </is>
      </c>
      <c r="B224" s="1" t="n">
        <v>45072</v>
      </c>
      <c r="C224" s="1" t="n">
        <v>45588</v>
      </c>
      <c r="D224" t="inlineStr">
        <is>
          <t>VÄSTERNORRLANDS LÄN</t>
        </is>
      </c>
      <c r="E224" t="inlineStr">
        <is>
          <t>ÅNGE</t>
        </is>
      </c>
      <c r="F224" t="inlineStr">
        <is>
          <t>SCA</t>
        </is>
      </c>
      <c r="G224" t="n">
        <v>3.8</v>
      </c>
      <c r="H224" t="n">
        <v>0</v>
      </c>
      <c r="I224" t="n">
        <v>0</v>
      </c>
      <c r="J224" t="n">
        <v>1</v>
      </c>
      <c r="K224" t="n">
        <v>0</v>
      </c>
      <c r="L224" t="n">
        <v>0</v>
      </c>
      <c r="M224" t="n">
        <v>0</v>
      </c>
      <c r="N224" t="n">
        <v>0</v>
      </c>
      <c r="O224" t="n">
        <v>1</v>
      </c>
      <c r="P224" t="n">
        <v>0</v>
      </c>
      <c r="Q224" t="n">
        <v>1</v>
      </c>
      <c r="R224" s="2" t="inlineStr">
        <is>
          <t>Blågrå svartspik</t>
        </is>
      </c>
      <c r="S224">
        <f>HYPERLINK("https://klasma.github.io/Logging_2260/artfynd/A 22998-2023 artfynd.xlsx", "A 22998-2023")</f>
        <v/>
      </c>
      <c r="T224">
        <f>HYPERLINK("https://klasma.github.io/Logging_2260/kartor/A 22998-2023 karta.png", "A 22998-2023")</f>
        <v/>
      </c>
      <c r="V224">
        <f>HYPERLINK("https://klasma.github.io/Logging_2260/klagomål/A 22998-2023 FSC-klagomål.docx", "A 22998-2023")</f>
        <v/>
      </c>
      <c r="W224">
        <f>HYPERLINK("https://klasma.github.io/Logging_2260/klagomålsmail/A 22998-2023 FSC-klagomål mail.docx", "A 22998-2023")</f>
        <v/>
      </c>
      <c r="X224">
        <f>HYPERLINK("https://klasma.github.io/Logging_2260/tillsyn/A 22998-2023 tillsynsbegäran.docx", "A 22998-2023")</f>
        <v/>
      </c>
      <c r="Y224">
        <f>HYPERLINK("https://klasma.github.io/Logging_2260/tillsynsmail/A 22998-2023 tillsynsbegäran mail.docx", "A 22998-2023")</f>
        <v/>
      </c>
    </row>
    <row r="225" ht="15" customHeight="1">
      <c r="A225" t="inlineStr">
        <is>
          <t>A 25322-2023</t>
        </is>
      </c>
      <c r="B225" s="1" t="n">
        <v>45086</v>
      </c>
      <c r="C225" s="1" t="n">
        <v>45588</v>
      </c>
      <c r="D225" t="inlineStr">
        <is>
          <t>VÄSTERNORRLANDS LÄN</t>
        </is>
      </c>
      <c r="E225" t="inlineStr">
        <is>
          <t>ÅNGE</t>
        </is>
      </c>
      <c r="F225" t="inlineStr">
        <is>
          <t>SCA</t>
        </is>
      </c>
      <c r="G225" t="n">
        <v>6.9</v>
      </c>
      <c r="H225" t="n">
        <v>0</v>
      </c>
      <c r="I225" t="n">
        <v>0</v>
      </c>
      <c r="J225" t="n">
        <v>1</v>
      </c>
      <c r="K225" t="n">
        <v>0</v>
      </c>
      <c r="L225" t="n">
        <v>0</v>
      </c>
      <c r="M225" t="n">
        <v>0</v>
      </c>
      <c r="N225" t="n">
        <v>0</v>
      </c>
      <c r="O225" t="n">
        <v>1</v>
      </c>
      <c r="P225" t="n">
        <v>0</v>
      </c>
      <c r="Q225" t="n">
        <v>1</v>
      </c>
      <c r="R225" s="2" t="inlineStr">
        <is>
          <t>Lunglav</t>
        </is>
      </c>
      <c r="S225">
        <f>HYPERLINK("https://klasma.github.io/Logging_2260/artfynd/A 25322-2023 artfynd.xlsx", "A 25322-2023")</f>
        <v/>
      </c>
      <c r="T225">
        <f>HYPERLINK("https://klasma.github.io/Logging_2260/kartor/A 25322-2023 karta.png", "A 25322-2023")</f>
        <v/>
      </c>
      <c r="V225">
        <f>HYPERLINK("https://klasma.github.io/Logging_2260/klagomål/A 25322-2023 FSC-klagomål.docx", "A 25322-2023")</f>
        <v/>
      </c>
      <c r="W225">
        <f>HYPERLINK("https://klasma.github.io/Logging_2260/klagomålsmail/A 25322-2023 FSC-klagomål mail.docx", "A 25322-2023")</f>
        <v/>
      </c>
      <c r="X225">
        <f>HYPERLINK("https://klasma.github.io/Logging_2260/tillsyn/A 25322-2023 tillsynsbegäran.docx", "A 25322-2023")</f>
        <v/>
      </c>
      <c r="Y225">
        <f>HYPERLINK("https://klasma.github.io/Logging_2260/tillsynsmail/A 25322-2023 tillsynsbegäran mail.docx", "A 25322-2023")</f>
        <v/>
      </c>
    </row>
    <row r="226" ht="15" customHeight="1">
      <c r="A226" t="inlineStr">
        <is>
          <t>A 26514-2023</t>
        </is>
      </c>
      <c r="B226" s="1" t="n">
        <v>45092</v>
      </c>
      <c r="C226" s="1" t="n">
        <v>45588</v>
      </c>
      <c r="D226" t="inlineStr">
        <is>
          <t>VÄSTERNORRLANDS LÄN</t>
        </is>
      </c>
      <c r="E226" t="inlineStr">
        <is>
          <t>ÅNGE</t>
        </is>
      </c>
      <c r="F226" t="inlineStr">
        <is>
          <t>Sveaskog</t>
        </is>
      </c>
      <c r="G226" t="n">
        <v>3.3</v>
      </c>
      <c r="H226" t="n">
        <v>0</v>
      </c>
      <c r="I226" t="n">
        <v>0</v>
      </c>
      <c r="J226" t="n">
        <v>1</v>
      </c>
      <c r="K226" t="n">
        <v>0</v>
      </c>
      <c r="L226" t="n">
        <v>0</v>
      </c>
      <c r="M226" t="n">
        <v>0</v>
      </c>
      <c r="N226" t="n">
        <v>0</v>
      </c>
      <c r="O226" t="n">
        <v>1</v>
      </c>
      <c r="P226" t="n">
        <v>0</v>
      </c>
      <c r="Q226" t="n">
        <v>1</v>
      </c>
      <c r="R226" s="2" t="inlineStr">
        <is>
          <t>Garnlav</t>
        </is>
      </c>
      <c r="S226">
        <f>HYPERLINK("https://klasma.github.io/Logging_2260/artfynd/A 26514-2023 artfynd.xlsx", "A 26514-2023")</f>
        <v/>
      </c>
      <c r="T226">
        <f>HYPERLINK("https://klasma.github.io/Logging_2260/kartor/A 26514-2023 karta.png", "A 26514-2023")</f>
        <v/>
      </c>
      <c r="V226">
        <f>HYPERLINK("https://klasma.github.io/Logging_2260/klagomål/A 26514-2023 FSC-klagomål.docx", "A 26514-2023")</f>
        <v/>
      </c>
      <c r="W226">
        <f>HYPERLINK("https://klasma.github.io/Logging_2260/klagomålsmail/A 26514-2023 FSC-klagomål mail.docx", "A 26514-2023")</f>
        <v/>
      </c>
      <c r="X226">
        <f>HYPERLINK("https://klasma.github.io/Logging_2260/tillsyn/A 26514-2023 tillsynsbegäran.docx", "A 26514-2023")</f>
        <v/>
      </c>
      <c r="Y226">
        <f>HYPERLINK("https://klasma.github.io/Logging_2260/tillsynsmail/A 26514-2023 tillsynsbegäran mail.docx", "A 26514-2023")</f>
        <v/>
      </c>
    </row>
    <row r="227" ht="15" customHeight="1">
      <c r="A227" t="inlineStr">
        <is>
          <t>A 29327-2023</t>
        </is>
      </c>
      <c r="B227" s="1" t="n">
        <v>45106</v>
      </c>
      <c r="C227" s="1" t="n">
        <v>45588</v>
      </c>
      <c r="D227" t="inlineStr">
        <is>
          <t>VÄSTERNORRLANDS LÄN</t>
        </is>
      </c>
      <c r="E227" t="inlineStr">
        <is>
          <t>ÅNGE</t>
        </is>
      </c>
      <c r="G227" t="n">
        <v>7.8</v>
      </c>
      <c r="H227" t="n">
        <v>0</v>
      </c>
      <c r="I227" t="n">
        <v>0</v>
      </c>
      <c r="J227" t="n">
        <v>1</v>
      </c>
      <c r="K227" t="n">
        <v>0</v>
      </c>
      <c r="L227" t="n">
        <v>0</v>
      </c>
      <c r="M227" t="n">
        <v>0</v>
      </c>
      <c r="N227" t="n">
        <v>0</v>
      </c>
      <c r="O227" t="n">
        <v>1</v>
      </c>
      <c r="P227" t="n">
        <v>0</v>
      </c>
      <c r="Q227" t="n">
        <v>1</v>
      </c>
      <c r="R227" s="2" t="inlineStr">
        <is>
          <t>Mörk kolflarnlav</t>
        </is>
      </c>
      <c r="S227">
        <f>HYPERLINK("https://klasma.github.io/Logging_2260/artfynd/A 29327-2023 artfynd.xlsx", "A 29327-2023")</f>
        <v/>
      </c>
      <c r="T227">
        <f>HYPERLINK("https://klasma.github.io/Logging_2260/kartor/A 29327-2023 karta.png", "A 29327-2023")</f>
        <v/>
      </c>
      <c r="V227">
        <f>HYPERLINK("https://klasma.github.io/Logging_2260/klagomål/A 29327-2023 FSC-klagomål.docx", "A 29327-2023")</f>
        <v/>
      </c>
      <c r="W227">
        <f>HYPERLINK("https://klasma.github.io/Logging_2260/klagomålsmail/A 29327-2023 FSC-klagomål mail.docx", "A 29327-2023")</f>
        <v/>
      </c>
      <c r="X227">
        <f>HYPERLINK("https://klasma.github.io/Logging_2260/tillsyn/A 29327-2023 tillsynsbegäran.docx", "A 29327-2023")</f>
        <v/>
      </c>
      <c r="Y227">
        <f>HYPERLINK("https://klasma.github.io/Logging_2260/tillsynsmail/A 29327-2023 tillsynsbegäran mail.docx", "A 29327-2023")</f>
        <v/>
      </c>
    </row>
    <row r="228" ht="15" customHeight="1">
      <c r="A228" t="inlineStr">
        <is>
          <t>A 30838-2023</t>
        </is>
      </c>
      <c r="B228" s="1" t="n">
        <v>45112</v>
      </c>
      <c r="C228" s="1" t="n">
        <v>45588</v>
      </c>
      <c r="D228" t="inlineStr">
        <is>
          <t>VÄSTERNORRLANDS LÄN</t>
        </is>
      </c>
      <c r="E228" t="inlineStr">
        <is>
          <t>ÅNGE</t>
        </is>
      </c>
      <c r="F228" t="inlineStr">
        <is>
          <t>SCA</t>
        </is>
      </c>
      <c r="G228" t="n">
        <v>5.6</v>
      </c>
      <c r="H228" t="n">
        <v>0</v>
      </c>
      <c r="I228" t="n">
        <v>0</v>
      </c>
      <c r="J228" t="n">
        <v>1</v>
      </c>
      <c r="K228" t="n">
        <v>0</v>
      </c>
      <c r="L228" t="n">
        <v>0</v>
      </c>
      <c r="M228" t="n">
        <v>0</v>
      </c>
      <c r="N228" t="n">
        <v>0</v>
      </c>
      <c r="O228" t="n">
        <v>1</v>
      </c>
      <c r="P228" t="n">
        <v>0</v>
      </c>
      <c r="Q228" t="n">
        <v>1</v>
      </c>
      <c r="R228" s="2" t="inlineStr">
        <is>
          <t>Kortskaftad ärgspik</t>
        </is>
      </c>
      <c r="S228">
        <f>HYPERLINK("https://klasma.github.io/Logging_2260/artfynd/A 30838-2023 artfynd.xlsx", "A 30838-2023")</f>
        <v/>
      </c>
      <c r="T228">
        <f>HYPERLINK("https://klasma.github.io/Logging_2260/kartor/A 30838-2023 karta.png", "A 30838-2023")</f>
        <v/>
      </c>
      <c r="U228">
        <f>HYPERLINK("https://klasma.github.io/Logging_2260/knärot/A 30838-2023 karta knärot.png", "A 30838-2023")</f>
        <v/>
      </c>
      <c r="V228">
        <f>HYPERLINK("https://klasma.github.io/Logging_2260/klagomål/A 30838-2023 FSC-klagomål.docx", "A 30838-2023")</f>
        <v/>
      </c>
      <c r="W228">
        <f>HYPERLINK("https://klasma.github.io/Logging_2260/klagomålsmail/A 30838-2023 FSC-klagomål mail.docx", "A 30838-2023")</f>
        <v/>
      </c>
      <c r="X228">
        <f>HYPERLINK("https://klasma.github.io/Logging_2260/tillsyn/A 30838-2023 tillsynsbegäran.docx", "A 30838-2023")</f>
        <v/>
      </c>
      <c r="Y228">
        <f>HYPERLINK("https://klasma.github.io/Logging_2260/tillsynsmail/A 30838-2023 tillsynsbegäran mail.docx", "A 30838-2023")</f>
        <v/>
      </c>
    </row>
    <row r="229" ht="15" customHeight="1">
      <c r="A229" t="inlineStr">
        <is>
          <t>A 34489-2023</t>
        </is>
      </c>
      <c r="B229" s="1" t="n">
        <v>45139</v>
      </c>
      <c r="C229" s="1" t="n">
        <v>45588</v>
      </c>
      <c r="D229" t="inlineStr">
        <is>
          <t>VÄSTERNORRLANDS LÄN</t>
        </is>
      </c>
      <c r="E229" t="inlineStr">
        <is>
          <t>ÅNGE</t>
        </is>
      </c>
      <c r="F229" t="inlineStr">
        <is>
          <t>SCA</t>
        </is>
      </c>
      <c r="G229" t="n">
        <v>11.1</v>
      </c>
      <c r="H229" t="n">
        <v>1</v>
      </c>
      <c r="I229" t="n">
        <v>0</v>
      </c>
      <c r="J229" t="n">
        <v>0</v>
      </c>
      <c r="K229" t="n">
        <v>1</v>
      </c>
      <c r="L229" t="n">
        <v>0</v>
      </c>
      <c r="M229" t="n">
        <v>0</v>
      </c>
      <c r="N229" t="n">
        <v>0</v>
      </c>
      <c r="O229" t="n">
        <v>1</v>
      </c>
      <c r="P229" t="n">
        <v>1</v>
      </c>
      <c r="Q229" t="n">
        <v>1</v>
      </c>
      <c r="R229" s="2" t="inlineStr">
        <is>
          <t>Knärot</t>
        </is>
      </c>
      <c r="S229">
        <f>HYPERLINK("https://klasma.github.io/Logging_2260/artfynd/A 34489-2023 artfynd.xlsx", "A 34489-2023")</f>
        <v/>
      </c>
      <c r="T229">
        <f>HYPERLINK("https://klasma.github.io/Logging_2260/kartor/A 34489-2023 karta.png", "A 34489-2023")</f>
        <v/>
      </c>
      <c r="U229">
        <f>HYPERLINK("https://klasma.github.io/Logging_2260/knärot/A 34489-2023 karta knärot.png", "A 34489-2023")</f>
        <v/>
      </c>
      <c r="V229">
        <f>HYPERLINK("https://klasma.github.io/Logging_2260/klagomål/A 34489-2023 FSC-klagomål.docx", "A 34489-2023")</f>
        <v/>
      </c>
      <c r="W229">
        <f>HYPERLINK("https://klasma.github.io/Logging_2260/klagomålsmail/A 34489-2023 FSC-klagomål mail.docx", "A 34489-2023")</f>
        <v/>
      </c>
      <c r="X229">
        <f>HYPERLINK("https://klasma.github.io/Logging_2260/tillsyn/A 34489-2023 tillsynsbegäran.docx", "A 34489-2023")</f>
        <v/>
      </c>
      <c r="Y229">
        <f>HYPERLINK("https://klasma.github.io/Logging_2260/tillsynsmail/A 34489-2023 tillsynsbegäran mail.docx", "A 34489-2023")</f>
        <v/>
      </c>
    </row>
    <row r="230" ht="15" customHeight="1">
      <c r="A230" t="inlineStr">
        <is>
          <t>A 35973-2023</t>
        </is>
      </c>
      <c r="B230" s="1" t="n">
        <v>45148</v>
      </c>
      <c r="C230" s="1" t="n">
        <v>45588</v>
      </c>
      <c r="D230" t="inlineStr">
        <is>
          <t>VÄSTERNORRLANDS LÄN</t>
        </is>
      </c>
      <c r="E230" t="inlineStr">
        <is>
          <t>ÅNGE</t>
        </is>
      </c>
      <c r="F230" t="inlineStr">
        <is>
          <t>SCA</t>
        </is>
      </c>
      <c r="G230" t="n">
        <v>1.3</v>
      </c>
      <c r="H230" t="n">
        <v>1</v>
      </c>
      <c r="I230" t="n">
        <v>1</v>
      </c>
      <c r="J230" t="n">
        <v>0</v>
      </c>
      <c r="K230" t="n">
        <v>0</v>
      </c>
      <c r="L230" t="n">
        <v>0</v>
      </c>
      <c r="M230" t="n">
        <v>0</v>
      </c>
      <c r="N230" t="n">
        <v>0</v>
      </c>
      <c r="O230" t="n">
        <v>0</v>
      </c>
      <c r="P230" t="n">
        <v>0</v>
      </c>
      <c r="Q230" t="n">
        <v>1</v>
      </c>
      <c r="R230" s="2" t="inlineStr">
        <is>
          <t>Korallrot</t>
        </is>
      </c>
      <c r="S230">
        <f>HYPERLINK("https://klasma.github.io/Logging_2260/artfynd/A 35973-2023 artfynd.xlsx", "A 35973-2023")</f>
        <v/>
      </c>
      <c r="T230">
        <f>HYPERLINK("https://klasma.github.io/Logging_2260/kartor/A 35973-2023 karta.png", "A 35973-2023")</f>
        <v/>
      </c>
      <c r="V230">
        <f>HYPERLINK("https://klasma.github.io/Logging_2260/klagomål/A 35973-2023 FSC-klagomål.docx", "A 35973-2023")</f>
        <v/>
      </c>
      <c r="W230">
        <f>HYPERLINK("https://klasma.github.io/Logging_2260/klagomålsmail/A 35973-2023 FSC-klagomål mail.docx", "A 35973-2023")</f>
        <v/>
      </c>
      <c r="X230">
        <f>HYPERLINK("https://klasma.github.io/Logging_2260/tillsyn/A 35973-2023 tillsynsbegäran.docx", "A 35973-2023")</f>
        <v/>
      </c>
      <c r="Y230">
        <f>HYPERLINK("https://klasma.github.io/Logging_2260/tillsynsmail/A 35973-2023 tillsynsbegäran mail.docx", "A 35973-2023")</f>
        <v/>
      </c>
    </row>
    <row r="231" ht="15" customHeight="1">
      <c r="A231" t="inlineStr">
        <is>
          <t>A 36230-2023</t>
        </is>
      </c>
      <c r="B231" s="1" t="n">
        <v>45150</v>
      </c>
      <c r="C231" s="1" t="n">
        <v>45588</v>
      </c>
      <c r="D231" t="inlineStr">
        <is>
          <t>VÄSTERNORRLANDS LÄN</t>
        </is>
      </c>
      <c r="E231" t="inlineStr">
        <is>
          <t>ÅNGE</t>
        </is>
      </c>
      <c r="F231" t="inlineStr">
        <is>
          <t>SCA</t>
        </is>
      </c>
      <c r="G231" t="n">
        <v>6.3</v>
      </c>
      <c r="H231" t="n">
        <v>1</v>
      </c>
      <c r="I231" t="n">
        <v>0</v>
      </c>
      <c r="J231" t="n">
        <v>0</v>
      </c>
      <c r="K231" t="n">
        <v>1</v>
      </c>
      <c r="L231" t="n">
        <v>0</v>
      </c>
      <c r="M231" t="n">
        <v>0</v>
      </c>
      <c r="N231" t="n">
        <v>0</v>
      </c>
      <c r="O231" t="n">
        <v>1</v>
      </c>
      <c r="P231" t="n">
        <v>1</v>
      </c>
      <c r="Q231" t="n">
        <v>1</v>
      </c>
      <c r="R231" s="2" t="inlineStr">
        <is>
          <t>Lappuggla</t>
        </is>
      </c>
      <c r="S231">
        <f>HYPERLINK("https://klasma.github.io/Logging_2260/artfynd/A 36230-2023 artfynd.xlsx", "A 36230-2023")</f>
        <v/>
      </c>
      <c r="T231">
        <f>HYPERLINK("https://klasma.github.io/Logging_2260/kartor/A 36230-2023 karta.png", "A 36230-2023")</f>
        <v/>
      </c>
      <c r="V231">
        <f>HYPERLINK("https://klasma.github.io/Logging_2260/klagomål/A 36230-2023 FSC-klagomål.docx", "A 36230-2023")</f>
        <v/>
      </c>
      <c r="W231">
        <f>HYPERLINK("https://klasma.github.io/Logging_2260/klagomålsmail/A 36230-2023 FSC-klagomål mail.docx", "A 36230-2023")</f>
        <v/>
      </c>
      <c r="X231">
        <f>HYPERLINK("https://klasma.github.io/Logging_2260/tillsyn/A 36230-2023 tillsynsbegäran.docx", "A 36230-2023")</f>
        <v/>
      </c>
      <c r="Y231">
        <f>HYPERLINK("https://klasma.github.io/Logging_2260/tillsynsmail/A 36230-2023 tillsynsbegäran mail.docx", "A 36230-2023")</f>
        <v/>
      </c>
      <c r="Z231">
        <f>HYPERLINK("https://klasma.github.io/Logging_2260/fåglar/A 36230-2023 prioriterade fågelarter.docx", "A 36230-2023")</f>
        <v/>
      </c>
    </row>
    <row r="232" ht="15" customHeight="1">
      <c r="A232" t="inlineStr">
        <is>
          <t>A 37502-2023</t>
        </is>
      </c>
      <c r="B232" s="1" t="n">
        <v>45157</v>
      </c>
      <c r="C232" s="1" t="n">
        <v>45588</v>
      </c>
      <c r="D232" t="inlineStr">
        <is>
          <t>VÄSTERNORRLANDS LÄN</t>
        </is>
      </c>
      <c r="E232" t="inlineStr">
        <is>
          <t>ÅNGE</t>
        </is>
      </c>
      <c r="F232" t="inlineStr">
        <is>
          <t>Sveaskog</t>
        </is>
      </c>
      <c r="G232" t="n">
        <v>0.7</v>
      </c>
      <c r="H232" t="n">
        <v>0</v>
      </c>
      <c r="I232" t="n">
        <v>0</v>
      </c>
      <c r="J232" t="n">
        <v>1</v>
      </c>
      <c r="K232" t="n">
        <v>0</v>
      </c>
      <c r="L232" t="n">
        <v>0</v>
      </c>
      <c r="M232" t="n">
        <v>0</v>
      </c>
      <c r="N232" t="n">
        <v>0</v>
      </c>
      <c r="O232" t="n">
        <v>1</v>
      </c>
      <c r="P232" t="n">
        <v>0</v>
      </c>
      <c r="Q232" t="n">
        <v>1</v>
      </c>
      <c r="R232" s="2" t="inlineStr">
        <is>
          <t>Mörk kolflarnlav</t>
        </is>
      </c>
      <c r="S232">
        <f>HYPERLINK("https://klasma.github.io/Logging_2260/artfynd/A 37502-2023 artfynd.xlsx", "A 37502-2023")</f>
        <v/>
      </c>
      <c r="T232">
        <f>HYPERLINK("https://klasma.github.io/Logging_2260/kartor/A 37502-2023 karta.png", "A 37502-2023")</f>
        <v/>
      </c>
      <c r="V232">
        <f>HYPERLINK("https://klasma.github.io/Logging_2260/klagomål/A 37502-2023 FSC-klagomål.docx", "A 37502-2023")</f>
        <v/>
      </c>
      <c r="W232">
        <f>HYPERLINK("https://klasma.github.io/Logging_2260/klagomålsmail/A 37502-2023 FSC-klagomål mail.docx", "A 37502-2023")</f>
        <v/>
      </c>
      <c r="X232">
        <f>HYPERLINK("https://klasma.github.io/Logging_2260/tillsyn/A 37502-2023 tillsynsbegäran.docx", "A 37502-2023")</f>
        <v/>
      </c>
      <c r="Y232">
        <f>HYPERLINK("https://klasma.github.io/Logging_2260/tillsynsmail/A 37502-2023 tillsynsbegäran mail.docx", "A 37502-2023")</f>
        <v/>
      </c>
    </row>
    <row r="233" ht="15" customHeight="1">
      <c r="A233" t="inlineStr">
        <is>
          <t>A 38774-2023</t>
        </is>
      </c>
      <c r="B233" s="1" t="n">
        <v>45163</v>
      </c>
      <c r="C233" s="1" t="n">
        <v>45588</v>
      </c>
      <c r="D233" t="inlineStr">
        <is>
          <t>VÄSTERNORRLANDS LÄN</t>
        </is>
      </c>
      <c r="E233" t="inlineStr">
        <is>
          <t>ÅNGE</t>
        </is>
      </c>
      <c r="G233" t="n">
        <v>7</v>
      </c>
      <c r="H233" t="n">
        <v>1</v>
      </c>
      <c r="I233" t="n">
        <v>0</v>
      </c>
      <c r="J233" t="n">
        <v>1</v>
      </c>
      <c r="K233" t="n">
        <v>0</v>
      </c>
      <c r="L233" t="n">
        <v>0</v>
      </c>
      <c r="M233" t="n">
        <v>0</v>
      </c>
      <c r="N233" t="n">
        <v>0</v>
      </c>
      <c r="O233" t="n">
        <v>1</v>
      </c>
      <c r="P233" t="n">
        <v>0</v>
      </c>
      <c r="Q233" t="n">
        <v>1</v>
      </c>
      <c r="R233" s="2" t="inlineStr">
        <is>
          <t>Tretåig hackspett</t>
        </is>
      </c>
      <c r="S233">
        <f>HYPERLINK("https://klasma.github.io/Logging_2260/artfynd/A 38774-2023 artfynd.xlsx", "A 38774-2023")</f>
        <v/>
      </c>
      <c r="T233">
        <f>HYPERLINK("https://klasma.github.io/Logging_2260/kartor/A 38774-2023 karta.png", "A 38774-2023")</f>
        <v/>
      </c>
      <c r="V233">
        <f>HYPERLINK("https://klasma.github.io/Logging_2260/klagomål/A 38774-2023 FSC-klagomål.docx", "A 38774-2023")</f>
        <v/>
      </c>
      <c r="W233">
        <f>HYPERLINK("https://klasma.github.io/Logging_2260/klagomålsmail/A 38774-2023 FSC-klagomål mail.docx", "A 38774-2023")</f>
        <v/>
      </c>
      <c r="X233">
        <f>HYPERLINK("https://klasma.github.io/Logging_2260/tillsyn/A 38774-2023 tillsynsbegäran.docx", "A 38774-2023")</f>
        <v/>
      </c>
      <c r="Y233">
        <f>HYPERLINK("https://klasma.github.io/Logging_2260/tillsynsmail/A 38774-2023 tillsynsbegäran mail.docx", "A 38774-2023")</f>
        <v/>
      </c>
      <c r="Z233">
        <f>HYPERLINK("https://klasma.github.io/Logging_2260/fåglar/A 38774-2023 prioriterade fågelarter.docx", "A 38774-2023")</f>
        <v/>
      </c>
    </row>
    <row r="234" ht="15" customHeight="1">
      <c r="A234" t="inlineStr">
        <is>
          <t>A 39499-2023</t>
        </is>
      </c>
      <c r="B234" s="1" t="n">
        <v>45166</v>
      </c>
      <c r="C234" s="1" t="n">
        <v>45588</v>
      </c>
      <c r="D234" t="inlineStr">
        <is>
          <t>VÄSTERNORRLANDS LÄN</t>
        </is>
      </c>
      <c r="E234" t="inlineStr">
        <is>
          <t>ÅNGE</t>
        </is>
      </c>
      <c r="F234" t="inlineStr">
        <is>
          <t>SCA</t>
        </is>
      </c>
      <c r="G234" t="n">
        <v>9</v>
      </c>
      <c r="H234" t="n">
        <v>1</v>
      </c>
      <c r="I234" t="n">
        <v>0</v>
      </c>
      <c r="J234" t="n">
        <v>1</v>
      </c>
      <c r="K234" t="n">
        <v>0</v>
      </c>
      <c r="L234" t="n">
        <v>0</v>
      </c>
      <c r="M234" t="n">
        <v>0</v>
      </c>
      <c r="N234" t="n">
        <v>0</v>
      </c>
      <c r="O234" t="n">
        <v>1</v>
      </c>
      <c r="P234" t="n">
        <v>0</v>
      </c>
      <c r="Q234" t="n">
        <v>1</v>
      </c>
      <c r="R234" s="2" t="inlineStr">
        <is>
          <t>Rödvingetrast</t>
        </is>
      </c>
      <c r="S234">
        <f>HYPERLINK("https://klasma.github.io/Logging_2260/artfynd/A 39499-2023 artfynd.xlsx", "A 39499-2023")</f>
        <v/>
      </c>
      <c r="T234">
        <f>HYPERLINK("https://klasma.github.io/Logging_2260/kartor/A 39499-2023 karta.png", "A 39499-2023")</f>
        <v/>
      </c>
      <c r="V234">
        <f>HYPERLINK("https://klasma.github.io/Logging_2260/klagomål/A 39499-2023 FSC-klagomål.docx", "A 39499-2023")</f>
        <v/>
      </c>
      <c r="W234">
        <f>HYPERLINK("https://klasma.github.io/Logging_2260/klagomålsmail/A 39499-2023 FSC-klagomål mail.docx", "A 39499-2023")</f>
        <v/>
      </c>
      <c r="X234">
        <f>HYPERLINK("https://klasma.github.io/Logging_2260/tillsyn/A 39499-2023 tillsynsbegäran.docx", "A 39499-2023")</f>
        <v/>
      </c>
      <c r="Y234">
        <f>HYPERLINK("https://klasma.github.io/Logging_2260/tillsynsmail/A 39499-2023 tillsynsbegäran mail.docx", "A 39499-2023")</f>
        <v/>
      </c>
      <c r="Z234">
        <f>HYPERLINK("https://klasma.github.io/Logging_2260/fåglar/A 39499-2023 prioriterade fågelarter.docx", "A 39499-2023")</f>
        <v/>
      </c>
    </row>
    <row r="235" ht="15" customHeight="1">
      <c r="A235" t="inlineStr">
        <is>
          <t>A 40776-2023</t>
        </is>
      </c>
      <c r="B235" s="1" t="n">
        <v>45170</v>
      </c>
      <c r="C235" s="1" t="n">
        <v>45588</v>
      </c>
      <c r="D235" t="inlineStr">
        <is>
          <t>VÄSTERNORRLANDS LÄN</t>
        </is>
      </c>
      <c r="E235" t="inlineStr">
        <is>
          <t>ÅNGE</t>
        </is>
      </c>
      <c r="F235" t="inlineStr">
        <is>
          <t>SCA</t>
        </is>
      </c>
      <c r="G235" t="n">
        <v>3</v>
      </c>
      <c r="H235" t="n">
        <v>1</v>
      </c>
      <c r="I235" t="n">
        <v>0</v>
      </c>
      <c r="J235" t="n">
        <v>1</v>
      </c>
      <c r="K235" t="n">
        <v>0</v>
      </c>
      <c r="L235" t="n">
        <v>0</v>
      </c>
      <c r="M235" t="n">
        <v>0</v>
      </c>
      <c r="N235" t="n">
        <v>0</v>
      </c>
      <c r="O235" t="n">
        <v>1</v>
      </c>
      <c r="P235" t="n">
        <v>0</v>
      </c>
      <c r="Q235" t="n">
        <v>1</v>
      </c>
      <c r="R235" s="2" t="inlineStr">
        <is>
          <t>Tretåig hackspett</t>
        </is>
      </c>
      <c r="S235">
        <f>HYPERLINK("https://klasma.github.io/Logging_2260/artfynd/A 40776-2023 artfynd.xlsx", "A 40776-2023")</f>
        <v/>
      </c>
      <c r="T235">
        <f>HYPERLINK("https://klasma.github.io/Logging_2260/kartor/A 40776-2023 karta.png", "A 40776-2023")</f>
        <v/>
      </c>
      <c r="V235">
        <f>HYPERLINK("https://klasma.github.io/Logging_2260/klagomål/A 40776-2023 FSC-klagomål.docx", "A 40776-2023")</f>
        <v/>
      </c>
      <c r="W235">
        <f>HYPERLINK("https://klasma.github.io/Logging_2260/klagomålsmail/A 40776-2023 FSC-klagomål mail.docx", "A 40776-2023")</f>
        <v/>
      </c>
      <c r="X235">
        <f>HYPERLINK("https://klasma.github.io/Logging_2260/tillsyn/A 40776-2023 tillsynsbegäran.docx", "A 40776-2023")</f>
        <v/>
      </c>
      <c r="Y235">
        <f>HYPERLINK("https://klasma.github.io/Logging_2260/tillsynsmail/A 40776-2023 tillsynsbegäran mail.docx", "A 40776-2023")</f>
        <v/>
      </c>
      <c r="Z235">
        <f>HYPERLINK("https://klasma.github.io/Logging_2260/fåglar/A 40776-2023 prioriterade fågelarter.docx", "A 40776-2023")</f>
        <v/>
      </c>
    </row>
    <row r="236" ht="15" customHeight="1">
      <c r="A236" t="inlineStr">
        <is>
          <t>A 45018-2023</t>
        </is>
      </c>
      <c r="B236" s="1" t="n">
        <v>45190</v>
      </c>
      <c r="C236" s="1" t="n">
        <v>45588</v>
      </c>
      <c r="D236" t="inlineStr">
        <is>
          <t>VÄSTERNORRLANDS LÄN</t>
        </is>
      </c>
      <c r="E236" t="inlineStr">
        <is>
          <t>ÅNGE</t>
        </is>
      </c>
      <c r="F236" t="inlineStr">
        <is>
          <t>SCA</t>
        </is>
      </c>
      <c r="G236" t="n">
        <v>4.8</v>
      </c>
      <c r="H236" t="n">
        <v>1</v>
      </c>
      <c r="I236" t="n">
        <v>0</v>
      </c>
      <c r="J236" t="n">
        <v>0</v>
      </c>
      <c r="K236" t="n">
        <v>1</v>
      </c>
      <c r="L236" t="n">
        <v>0</v>
      </c>
      <c r="M236" t="n">
        <v>0</v>
      </c>
      <c r="N236" t="n">
        <v>0</v>
      </c>
      <c r="O236" t="n">
        <v>1</v>
      </c>
      <c r="P236" t="n">
        <v>1</v>
      </c>
      <c r="Q236" t="n">
        <v>1</v>
      </c>
      <c r="R236" s="2" t="inlineStr">
        <is>
          <t>Knärot</t>
        </is>
      </c>
      <c r="S236">
        <f>HYPERLINK("https://klasma.github.io/Logging_2260/artfynd/A 45018-2023 artfynd.xlsx", "A 45018-2023")</f>
        <v/>
      </c>
      <c r="T236">
        <f>HYPERLINK("https://klasma.github.io/Logging_2260/kartor/A 45018-2023 karta.png", "A 45018-2023")</f>
        <v/>
      </c>
      <c r="U236">
        <f>HYPERLINK("https://klasma.github.io/Logging_2260/knärot/A 45018-2023 karta knärot.png", "A 45018-2023")</f>
        <v/>
      </c>
      <c r="V236">
        <f>HYPERLINK("https://klasma.github.io/Logging_2260/klagomål/A 45018-2023 FSC-klagomål.docx", "A 45018-2023")</f>
        <v/>
      </c>
      <c r="W236">
        <f>HYPERLINK("https://klasma.github.io/Logging_2260/klagomålsmail/A 45018-2023 FSC-klagomål mail.docx", "A 45018-2023")</f>
        <v/>
      </c>
      <c r="X236">
        <f>HYPERLINK("https://klasma.github.io/Logging_2260/tillsyn/A 45018-2023 tillsynsbegäran.docx", "A 45018-2023")</f>
        <v/>
      </c>
      <c r="Y236">
        <f>HYPERLINK("https://klasma.github.io/Logging_2260/tillsynsmail/A 45018-2023 tillsynsbegäran mail.docx", "A 45018-2023")</f>
        <v/>
      </c>
    </row>
    <row r="237" ht="15" customHeight="1">
      <c r="A237" t="inlineStr">
        <is>
          <t>A 52424-2023</t>
        </is>
      </c>
      <c r="B237" s="1" t="n">
        <v>45217</v>
      </c>
      <c r="C237" s="1" t="n">
        <v>45588</v>
      </c>
      <c r="D237" t="inlineStr">
        <is>
          <t>VÄSTERNORRLANDS LÄN</t>
        </is>
      </c>
      <c r="E237" t="inlineStr">
        <is>
          <t>ÅNGE</t>
        </is>
      </c>
      <c r="F237" t="inlineStr">
        <is>
          <t>SCA</t>
        </is>
      </c>
      <c r="G237" t="n">
        <v>3.8</v>
      </c>
      <c r="H237" t="n">
        <v>1</v>
      </c>
      <c r="I237" t="n">
        <v>0</v>
      </c>
      <c r="J237" t="n">
        <v>0</v>
      </c>
      <c r="K237" t="n">
        <v>0</v>
      </c>
      <c r="L237" t="n">
        <v>0</v>
      </c>
      <c r="M237" t="n">
        <v>0</v>
      </c>
      <c r="N237" t="n">
        <v>0</v>
      </c>
      <c r="O237" t="n">
        <v>0</v>
      </c>
      <c r="P237" t="n">
        <v>0</v>
      </c>
      <c r="Q237" t="n">
        <v>1</v>
      </c>
      <c r="R237" s="2" t="inlineStr">
        <is>
          <t>Revlummer</t>
        </is>
      </c>
      <c r="S237">
        <f>HYPERLINK("https://klasma.github.io/Logging_2260/artfynd/A 52424-2023 artfynd.xlsx", "A 52424-2023")</f>
        <v/>
      </c>
      <c r="T237">
        <f>HYPERLINK("https://klasma.github.io/Logging_2260/kartor/A 52424-2023 karta.png", "A 52424-2023")</f>
        <v/>
      </c>
      <c r="V237">
        <f>HYPERLINK("https://klasma.github.io/Logging_2260/klagomål/A 52424-2023 FSC-klagomål.docx", "A 52424-2023")</f>
        <v/>
      </c>
      <c r="W237">
        <f>HYPERLINK("https://klasma.github.io/Logging_2260/klagomålsmail/A 52424-2023 FSC-klagomål mail.docx", "A 52424-2023")</f>
        <v/>
      </c>
      <c r="X237">
        <f>HYPERLINK("https://klasma.github.io/Logging_2260/tillsyn/A 52424-2023 tillsynsbegäran.docx", "A 52424-2023")</f>
        <v/>
      </c>
      <c r="Y237">
        <f>HYPERLINK("https://klasma.github.io/Logging_2260/tillsynsmail/A 52424-2023 tillsynsbegäran mail.docx", "A 52424-2023")</f>
        <v/>
      </c>
    </row>
    <row r="238" ht="15" customHeight="1">
      <c r="A238" t="inlineStr">
        <is>
          <t>A 54567-2023</t>
        </is>
      </c>
      <c r="B238" s="1" t="n">
        <v>45233</v>
      </c>
      <c r="C238" s="1" t="n">
        <v>45588</v>
      </c>
      <c r="D238" t="inlineStr">
        <is>
          <t>VÄSTERNORRLANDS LÄN</t>
        </is>
      </c>
      <c r="E238" t="inlineStr">
        <is>
          <t>ÅNGE</t>
        </is>
      </c>
      <c r="F238" t="inlineStr">
        <is>
          <t>Sveaskog</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54567-2023 artfynd.xlsx", "A 54567-2023")</f>
        <v/>
      </c>
      <c r="T238">
        <f>HYPERLINK("https://klasma.github.io/Logging_2260/kartor/A 54567-2023 karta.png", "A 54567-2023")</f>
        <v/>
      </c>
      <c r="V238">
        <f>HYPERLINK("https://klasma.github.io/Logging_2260/klagomål/A 54567-2023 FSC-klagomål.docx", "A 54567-2023")</f>
        <v/>
      </c>
      <c r="W238">
        <f>HYPERLINK("https://klasma.github.io/Logging_2260/klagomålsmail/A 54567-2023 FSC-klagomål mail.docx", "A 54567-2023")</f>
        <v/>
      </c>
      <c r="X238">
        <f>HYPERLINK("https://klasma.github.io/Logging_2260/tillsyn/A 54567-2023 tillsynsbegäran.docx", "A 54567-2023")</f>
        <v/>
      </c>
      <c r="Y238">
        <f>HYPERLINK("https://klasma.github.io/Logging_2260/tillsynsmail/A 54567-2023 tillsynsbegäran mail.docx", "A 54567-2023")</f>
        <v/>
      </c>
    </row>
    <row r="239" ht="15" customHeight="1">
      <c r="A239" t="inlineStr">
        <is>
          <t>A 54676-2023</t>
        </is>
      </c>
      <c r="B239" s="1" t="n">
        <v>45235</v>
      </c>
      <c r="C239" s="1" t="n">
        <v>45588</v>
      </c>
      <c r="D239" t="inlineStr">
        <is>
          <t>VÄSTERNORRLANDS LÄN</t>
        </is>
      </c>
      <c r="E239" t="inlineStr">
        <is>
          <t>ÅNGE</t>
        </is>
      </c>
      <c r="G239" t="n">
        <v>9</v>
      </c>
      <c r="H239" t="n">
        <v>0</v>
      </c>
      <c r="I239" t="n">
        <v>0</v>
      </c>
      <c r="J239" t="n">
        <v>0</v>
      </c>
      <c r="K239" t="n">
        <v>1</v>
      </c>
      <c r="L239" t="n">
        <v>0</v>
      </c>
      <c r="M239" t="n">
        <v>0</v>
      </c>
      <c r="N239" t="n">
        <v>0</v>
      </c>
      <c r="O239" t="n">
        <v>1</v>
      </c>
      <c r="P239" t="n">
        <v>1</v>
      </c>
      <c r="Q239" t="n">
        <v>1</v>
      </c>
      <c r="R239" s="2" t="inlineStr">
        <is>
          <t>Rynkskinn</t>
        </is>
      </c>
      <c r="S239">
        <f>HYPERLINK("https://klasma.github.io/Logging_2260/artfynd/A 54676-2023 artfynd.xlsx", "A 54676-2023")</f>
        <v/>
      </c>
      <c r="T239">
        <f>HYPERLINK("https://klasma.github.io/Logging_2260/kartor/A 54676-2023 karta.png", "A 54676-2023")</f>
        <v/>
      </c>
      <c r="U239">
        <f>HYPERLINK("https://klasma.github.io/Logging_2260/knärot/A 54676-2023 karta knärot.png", "A 54676-2023")</f>
        <v/>
      </c>
      <c r="V239">
        <f>HYPERLINK("https://klasma.github.io/Logging_2260/klagomål/A 54676-2023 FSC-klagomål.docx", "A 54676-2023")</f>
        <v/>
      </c>
      <c r="W239">
        <f>HYPERLINK("https://klasma.github.io/Logging_2260/klagomålsmail/A 54676-2023 FSC-klagomål mail.docx", "A 54676-2023")</f>
        <v/>
      </c>
      <c r="X239">
        <f>HYPERLINK("https://klasma.github.io/Logging_2260/tillsyn/A 54676-2023 tillsynsbegäran.docx", "A 54676-2023")</f>
        <v/>
      </c>
      <c r="Y239">
        <f>HYPERLINK("https://klasma.github.io/Logging_2260/tillsynsmail/A 54676-2023 tillsynsbegäran mail.docx", "A 54676-2023")</f>
        <v/>
      </c>
    </row>
    <row r="240" ht="15" customHeight="1">
      <c r="A240" t="inlineStr">
        <is>
          <t>A 55015-2023</t>
        </is>
      </c>
      <c r="B240" s="1" t="n">
        <v>45237</v>
      </c>
      <c r="C240" s="1" t="n">
        <v>45588</v>
      </c>
      <c r="D240" t="inlineStr">
        <is>
          <t>VÄSTERNORRLANDS LÄN</t>
        </is>
      </c>
      <c r="E240" t="inlineStr">
        <is>
          <t>ÅNGE</t>
        </is>
      </c>
      <c r="F240" t="inlineStr">
        <is>
          <t>Sveaskog</t>
        </is>
      </c>
      <c r="G240" t="n">
        <v>2.7</v>
      </c>
      <c r="H240" t="n">
        <v>0</v>
      </c>
      <c r="I240" t="n">
        <v>0</v>
      </c>
      <c r="J240" t="n">
        <v>1</v>
      </c>
      <c r="K240" t="n">
        <v>0</v>
      </c>
      <c r="L240" t="n">
        <v>0</v>
      </c>
      <c r="M240" t="n">
        <v>0</v>
      </c>
      <c r="N240" t="n">
        <v>0</v>
      </c>
      <c r="O240" t="n">
        <v>1</v>
      </c>
      <c r="P240" t="n">
        <v>0</v>
      </c>
      <c r="Q240" t="n">
        <v>1</v>
      </c>
      <c r="R240" s="2" t="inlineStr">
        <is>
          <t>Lunglav</t>
        </is>
      </c>
      <c r="S240">
        <f>HYPERLINK("https://klasma.github.io/Logging_2260/artfynd/A 55015-2023 artfynd.xlsx", "A 55015-2023")</f>
        <v/>
      </c>
      <c r="T240">
        <f>HYPERLINK("https://klasma.github.io/Logging_2260/kartor/A 55015-2023 karta.png", "A 55015-2023")</f>
        <v/>
      </c>
      <c r="V240">
        <f>HYPERLINK("https://klasma.github.io/Logging_2260/klagomål/A 55015-2023 FSC-klagomål.docx", "A 55015-2023")</f>
        <v/>
      </c>
      <c r="W240">
        <f>HYPERLINK("https://klasma.github.io/Logging_2260/klagomålsmail/A 55015-2023 FSC-klagomål mail.docx", "A 55015-2023")</f>
        <v/>
      </c>
      <c r="X240">
        <f>HYPERLINK("https://klasma.github.io/Logging_2260/tillsyn/A 55015-2023 tillsynsbegäran.docx", "A 55015-2023")</f>
        <v/>
      </c>
      <c r="Y240">
        <f>HYPERLINK("https://klasma.github.io/Logging_2260/tillsynsmail/A 55015-2023 tillsynsbegäran mail.docx", "A 55015-2023")</f>
        <v/>
      </c>
    </row>
    <row r="241" ht="15" customHeight="1">
      <c r="A241" t="inlineStr">
        <is>
          <t>A 58775-2023</t>
        </is>
      </c>
      <c r="B241" s="1" t="n">
        <v>45251</v>
      </c>
      <c r="C241" s="1" t="n">
        <v>45588</v>
      </c>
      <c r="D241" t="inlineStr">
        <is>
          <t>VÄSTERNORRLANDS LÄN</t>
        </is>
      </c>
      <c r="E241" t="inlineStr">
        <is>
          <t>ÅNGE</t>
        </is>
      </c>
      <c r="F241" t="inlineStr">
        <is>
          <t>SCA</t>
        </is>
      </c>
      <c r="G241" t="n">
        <v>1.4</v>
      </c>
      <c r="H241" t="n">
        <v>0</v>
      </c>
      <c r="I241" t="n">
        <v>0</v>
      </c>
      <c r="J241" t="n">
        <v>1</v>
      </c>
      <c r="K241" t="n">
        <v>0</v>
      </c>
      <c r="L241" t="n">
        <v>0</v>
      </c>
      <c r="M241" t="n">
        <v>0</v>
      </c>
      <c r="N241" t="n">
        <v>0</v>
      </c>
      <c r="O241" t="n">
        <v>1</v>
      </c>
      <c r="P241" t="n">
        <v>0</v>
      </c>
      <c r="Q241" t="n">
        <v>1</v>
      </c>
      <c r="R241" s="2" t="inlineStr">
        <is>
          <t>Lunglav</t>
        </is>
      </c>
      <c r="S241">
        <f>HYPERLINK("https://klasma.github.io/Logging_2260/artfynd/A 58775-2023 artfynd.xlsx", "A 58775-2023")</f>
        <v/>
      </c>
      <c r="T241">
        <f>HYPERLINK("https://klasma.github.io/Logging_2260/kartor/A 58775-2023 karta.png", "A 58775-2023")</f>
        <v/>
      </c>
      <c r="V241">
        <f>HYPERLINK("https://klasma.github.io/Logging_2260/klagomål/A 58775-2023 FSC-klagomål.docx", "A 58775-2023")</f>
        <v/>
      </c>
      <c r="W241">
        <f>HYPERLINK("https://klasma.github.io/Logging_2260/klagomålsmail/A 58775-2023 FSC-klagomål mail.docx", "A 58775-2023")</f>
        <v/>
      </c>
      <c r="X241">
        <f>HYPERLINK("https://klasma.github.io/Logging_2260/tillsyn/A 58775-2023 tillsynsbegäran.docx", "A 58775-2023")</f>
        <v/>
      </c>
      <c r="Y241">
        <f>HYPERLINK("https://klasma.github.io/Logging_2260/tillsynsmail/A 58775-2023 tillsynsbegäran mail.docx", "A 58775-2023")</f>
        <v/>
      </c>
    </row>
    <row r="242" ht="15" customHeight="1">
      <c r="A242" t="inlineStr">
        <is>
          <t>A 2431-2024</t>
        </is>
      </c>
      <c r="B242" s="1" t="n">
        <v>45310</v>
      </c>
      <c r="C242" s="1" t="n">
        <v>45588</v>
      </c>
      <c r="D242" t="inlineStr">
        <is>
          <t>VÄSTERNORRLANDS LÄN</t>
        </is>
      </c>
      <c r="E242" t="inlineStr">
        <is>
          <t>ÅNGE</t>
        </is>
      </c>
      <c r="F242" t="inlineStr">
        <is>
          <t>SCA</t>
        </is>
      </c>
      <c r="G242" t="n">
        <v>9</v>
      </c>
      <c r="H242" t="n">
        <v>0</v>
      </c>
      <c r="I242" t="n">
        <v>0</v>
      </c>
      <c r="J242" t="n">
        <v>1</v>
      </c>
      <c r="K242" t="n">
        <v>0</v>
      </c>
      <c r="L242" t="n">
        <v>0</v>
      </c>
      <c r="M242" t="n">
        <v>0</v>
      </c>
      <c r="N242" t="n">
        <v>0</v>
      </c>
      <c r="O242" t="n">
        <v>1</v>
      </c>
      <c r="P242" t="n">
        <v>0</v>
      </c>
      <c r="Q242" t="n">
        <v>1</v>
      </c>
      <c r="R242" s="2" t="inlineStr">
        <is>
          <t>Lunglav</t>
        </is>
      </c>
      <c r="S242">
        <f>HYPERLINK("https://klasma.github.io/Logging_2260/artfynd/A 2431-2024 artfynd.xlsx", "A 2431-2024")</f>
        <v/>
      </c>
      <c r="T242">
        <f>HYPERLINK("https://klasma.github.io/Logging_2260/kartor/A 2431-2024 karta.png", "A 2431-2024")</f>
        <v/>
      </c>
      <c r="V242">
        <f>HYPERLINK("https://klasma.github.io/Logging_2260/klagomål/A 2431-2024 FSC-klagomål.docx", "A 2431-2024")</f>
        <v/>
      </c>
      <c r="W242">
        <f>HYPERLINK("https://klasma.github.io/Logging_2260/klagomålsmail/A 2431-2024 FSC-klagomål mail.docx", "A 2431-2024")</f>
        <v/>
      </c>
      <c r="X242">
        <f>HYPERLINK("https://klasma.github.io/Logging_2260/tillsyn/A 2431-2024 tillsynsbegäran.docx", "A 2431-2024")</f>
        <v/>
      </c>
      <c r="Y242">
        <f>HYPERLINK("https://klasma.github.io/Logging_2260/tillsynsmail/A 2431-2024 tillsynsbegäran mail.docx", "A 2431-2024")</f>
        <v/>
      </c>
    </row>
    <row r="243" ht="15" customHeight="1">
      <c r="A243" t="inlineStr">
        <is>
          <t>A 2429-2024</t>
        </is>
      </c>
      <c r="B243" s="1" t="n">
        <v>45310</v>
      </c>
      <c r="C243" s="1" t="n">
        <v>45588</v>
      </c>
      <c r="D243" t="inlineStr">
        <is>
          <t>VÄSTERNORRLANDS LÄN</t>
        </is>
      </c>
      <c r="E243" t="inlineStr">
        <is>
          <t>ÅNGE</t>
        </is>
      </c>
      <c r="F243" t="inlineStr">
        <is>
          <t>SCA</t>
        </is>
      </c>
      <c r="G243" t="n">
        <v>8.199999999999999</v>
      </c>
      <c r="H243" t="n">
        <v>0</v>
      </c>
      <c r="I243" t="n">
        <v>0</v>
      </c>
      <c r="J243" t="n">
        <v>1</v>
      </c>
      <c r="K243" t="n">
        <v>0</v>
      </c>
      <c r="L243" t="n">
        <v>0</v>
      </c>
      <c r="M243" t="n">
        <v>0</v>
      </c>
      <c r="N243" t="n">
        <v>0</v>
      </c>
      <c r="O243" t="n">
        <v>1</v>
      </c>
      <c r="P243" t="n">
        <v>0</v>
      </c>
      <c r="Q243" t="n">
        <v>1</v>
      </c>
      <c r="R243" s="2" t="inlineStr">
        <is>
          <t>Kolflarnlav</t>
        </is>
      </c>
      <c r="S243">
        <f>HYPERLINK("https://klasma.github.io/Logging_2260/artfynd/A 2429-2024 artfynd.xlsx", "A 2429-2024")</f>
        <v/>
      </c>
      <c r="T243">
        <f>HYPERLINK("https://klasma.github.io/Logging_2260/kartor/A 2429-2024 karta.png", "A 2429-2024")</f>
        <v/>
      </c>
      <c r="V243">
        <f>HYPERLINK("https://klasma.github.io/Logging_2260/klagomål/A 2429-2024 FSC-klagomål.docx", "A 2429-2024")</f>
        <v/>
      </c>
      <c r="W243">
        <f>HYPERLINK("https://klasma.github.io/Logging_2260/klagomålsmail/A 2429-2024 FSC-klagomål mail.docx", "A 2429-2024")</f>
        <v/>
      </c>
      <c r="X243">
        <f>HYPERLINK("https://klasma.github.io/Logging_2260/tillsyn/A 2429-2024 tillsynsbegäran.docx", "A 2429-2024")</f>
        <v/>
      </c>
      <c r="Y243">
        <f>HYPERLINK("https://klasma.github.io/Logging_2260/tillsynsmail/A 2429-2024 tillsynsbegäran mail.docx", "A 2429-2024")</f>
        <v/>
      </c>
    </row>
    <row r="244" ht="15" customHeight="1">
      <c r="A244" t="inlineStr">
        <is>
          <t>A 4351-2024</t>
        </is>
      </c>
      <c r="B244" s="1" t="n">
        <v>45324</v>
      </c>
      <c r="C244" s="1" t="n">
        <v>45588</v>
      </c>
      <c r="D244" t="inlineStr">
        <is>
          <t>VÄSTERNORRLANDS LÄN</t>
        </is>
      </c>
      <c r="E244" t="inlineStr">
        <is>
          <t>ÅNGE</t>
        </is>
      </c>
      <c r="F244" t="inlineStr">
        <is>
          <t>SCA</t>
        </is>
      </c>
      <c r="G244" t="n">
        <v>0.5</v>
      </c>
      <c r="H244" t="n">
        <v>0</v>
      </c>
      <c r="I244" t="n">
        <v>0</v>
      </c>
      <c r="J244" t="n">
        <v>1</v>
      </c>
      <c r="K244" t="n">
        <v>0</v>
      </c>
      <c r="L244" t="n">
        <v>0</v>
      </c>
      <c r="M244" t="n">
        <v>0</v>
      </c>
      <c r="N244" t="n">
        <v>0</v>
      </c>
      <c r="O244" t="n">
        <v>1</v>
      </c>
      <c r="P244" t="n">
        <v>0</v>
      </c>
      <c r="Q244" t="n">
        <v>1</v>
      </c>
      <c r="R244" s="2" t="inlineStr">
        <is>
          <t>Garnlav</t>
        </is>
      </c>
      <c r="S244">
        <f>HYPERLINK("https://klasma.github.io/Logging_2260/artfynd/A 4351-2024 artfynd.xlsx", "A 4351-2024")</f>
        <v/>
      </c>
      <c r="T244">
        <f>HYPERLINK("https://klasma.github.io/Logging_2260/kartor/A 4351-2024 karta.png", "A 4351-2024")</f>
        <v/>
      </c>
      <c r="V244">
        <f>HYPERLINK("https://klasma.github.io/Logging_2260/klagomål/A 4351-2024 FSC-klagomål.docx", "A 4351-2024")</f>
        <v/>
      </c>
      <c r="W244">
        <f>HYPERLINK("https://klasma.github.io/Logging_2260/klagomålsmail/A 4351-2024 FSC-klagomål mail.docx", "A 4351-2024")</f>
        <v/>
      </c>
      <c r="X244">
        <f>HYPERLINK("https://klasma.github.io/Logging_2260/tillsyn/A 4351-2024 tillsynsbegäran.docx", "A 4351-2024")</f>
        <v/>
      </c>
      <c r="Y244">
        <f>HYPERLINK("https://klasma.github.io/Logging_2260/tillsynsmail/A 4351-2024 tillsynsbegäran mail.docx", "A 4351-2024")</f>
        <v/>
      </c>
    </row>
    <row r="245" ht="15" customHeight="1">
      <c r="A245" t="inlineStr">
        <is>
          <t>A 4922-2024</t>
        </is>
      </c>
      <c r="B245" s="1" t="n">
        <v>45329</v>
      </c>
      <c r="C245" s="1" t="n">
        <v>45588</v>
      </c>
      <c r="D245" t="inlineStr">
        <is>
          <t>VÄSTERNORRLANDS LÄN</t>
        </is>
      </c>
      <c r="E245" t="inlineStr">
        <is>
          <t>ÅNGE</t>
        </is>
      </c>
      <c r="G245" t="n">
        <v>3.1</v>
      </c>
      <c r="H245" t="n">
        <v>1</v>
      </c>
      <c r="I245" t="n">
        <v>1</v>
      </c>
      <c r="J245" t="n">
        <v>0</v>
      </c>
      <c r="K245" t="n">
        <v>0</v>
      </c>
      <c r="L245" t="n">
        <v>0</v>
      </c>
      <c r="M245" t="n">
        <v>0</v>
      </c>
      <c r="N245" t="n">
        <v>0</v>
      </c>
      <c r="O245" t="n">
        <v>0</v>
      </c>
      <c r="P245" t="n">
        <v>0</v>
      </c>
      <c r="Q245" t="n">
        <v>1</v>
      </c>
      <c r="R245" s="2" t="inlineStr">
        <is>
          <t>Guckusko</t>
        </is>
      </c>
      <c r="S245">
        <f>HYPERLINK("https://klasma.github.io/Logging_2260/artfynd/A 4922-2024 artfynd.xlsx", "A 4922-2024")</f>
        <v/>
      </c>
      <c r="T245">
        <f>HYPERLINK("https://klasma.github.io/Logging_2260/kartor/A 4922-2024 karta.png", "A 4922-2024")</f>
        <v/>
      </c>
      <c r="V245">
        <f>HYPERLINK("https://klasma.github.io/Logging_2260/klagomål/A 4922-2024 FSC-klagomål.docx", "A 4922-2024")</f>
        <v/>
      </c>
      <c r="W245">
        <f>HYPERLINK("https://klasma.github.io/Logging_2260/klagomålsmail/A 4922-2024 FSC-klagomål mail.docx", "A 4922-2024")</f>
        <v/>
      </c>
      <c r="X245">
        <f>HYPERLINK("https://klasma.github.io/Logging_2260/tillsyn/A 4922-2024 tillsynsbegäran.docx", "A 4922-2024")</f>
        <v/>
      </c>
      <c r="Y245">
        <f>HYPERLINK("https://klasma.github.io/Logging_2260/tillsynsmail/A 4922-2024 tillsynsbegäran mail.docx", "A 4922-2024")</f>
        <v/>
      </c>
    </row>
    <row r="246" ht="15" customHeight="1">
      <c r="A246" t="inlineStr">
        <is>
          <t>A 6285-2024</t>
        </is>
      </c>
      <c r="B246" s="1" t="n">
        <v>45337</v>
      </c>
      <c r="C246" s="1" t="n">
        <v>45588</v>
      </c>
      <c r="D246" t="inlineStr">
        <is>
          <t>VÄSTERNORRLANDS LÄN</t>
        </is>
      </c>
      <c r="E246" t="inlineStr">
        <is>
          <t>ÅNGE</t>
        </is>
      </c>
      <c r="F246" t="inlineStr">
        <is>
          <t>SCA</t>
        </is>
      </c>
      <c r="G246" t="n">
        <v>56.2</v>
      </c>
      <c r="H246" t="n">
        <v>1</v>
      </c>
      <c r="I246" t="n">
        <v>0</v>
      </c>
      <c r="J246" t="n">
        <v>0</v>
      </c>
      <c r="K246" t="n">
        <v>1</v>
      </c>
      <c r="L246" t="n">
        <v>0</v>
      </c>
      <c r="M246" t="n">
        <v>0</v>
      </c>
      <c r="N246" t="n">
        <v>0</v>
      </c>
      <c r="O246" t="n">
        <v>1</v>
      </c>
      <c r="P246" t="n">
        <v>1</v>
      </c>
      <c r="Q246" t="n">
        <v>1</v>
      </c>
      <c r="R246" s="2" t="inlineStr">
        <is>
          <t>Knärot</t>
        </is>
      </c>
      <c r="S246">
        <f>HYPERLINK("https://klasma.github.io/Logging_2260/artfynd/A 6285-2024 artfynd.xlsx", "A 6285-2024")</f>
        <v/>
      </c>
      <c r="T246">
        <f>HYPERLINK("https://klasma.github.io/Logging_2260/kartor/A 6285-2024 karta.png", "A 6285-2024")</f>
        <v/>
      </c>
      <c r="U246">
        <f>HYPERLINK("https://klasma.github.io/Logging_2260/knärot/A 6285-2024 karta knärot.png", "A 6285-2024")</f>
        <v/>
      </c>
      <c r="V246">
        <f>HYPERLINK("https://klasma.github.io/Logging_2260/klagomål/A 6285-2024 FSC-klagomål.docx", "A 6285-2024")</f>
        <v/>
      </c>
      <c r="W246">
        <f>HYPERLINK("https://klasma.github.io/Logging_2260/klagomålsmail/A 6285-2024 FSC-klagomål mail.docx", "A 6285-2024")</f>
        <v/>
      </c>
      <c r="X246">
        <f>HYPERLINK("https://klasma.github.io/Logging_2260/tillsyn/A 6285-2024 tillsynsbegäran.docx", "A 6285-2024")</f>
        <v/>
      </c>
      <c r="Y246">
        <f>HYPERLINK("https://klasma.github.io/Logging_2260/tillsynsmail/A 6285-2024 tillsynsbegäran mail.docx", "A 6285-2024")</f>
        <v/>
      </c>
    </row>
    <row r="247" ht="15" customHeight="1">
      <c r="A247" t="inlineStr">
        <is>
          <t>A 8641-2024</t>
        </is>
      </c>
      <c r="B247" s="1" t="n">
        <v>45356</v>
      </c>
      <c r="C247" s="1" t="n">
        <v>45588</v>
      </c>
      <c r="D247" t="inlineStr">
        <is>
          <t>VÄSTERNORRLANDS LÄN</t>
        </is>
      </c>
      <c r="E247" t="inlineStr">
        <is>
          <t>ÅNGE</t>
        </is>
      </c>
      <c r="F247" t="inlineStr">
        <is>
          <t>SCA</t>
        </is>
      </c>
      <c r="G247" t="n">
        <v>14.8</v>
      </c>
      <c r="H247" t="n">
        <v>0</v>
      </c>
      <c r="I247" t="n">
        <v>0</v>
      </c>
      <c r="J247" t="n">
        <v>1</v>
      </c>
      <c r="K247" t="n">
        <v>0</v>
      </c>
      <c r="L247" t="n">
        <v>0</v>
      </c>
      <c r="M247" t="n">
        <v>0</v>
      </c>
      <c r="N247" t="n">
        <v>0</v>
      </c>
      <c r="O247" t="n">
        <v>1</v>
      </c>
      <c r="P247" t="n">
        <v>0</v>
      </c>
      <c r="Q247" t="n">
        <v>1</v>
      </c>
      <c r="R247" s="2" t="inlineStr">
        <is>
          <t>Dvärgbägarlav</t>
        </is>
      </c>
      <c r="S247">
        <f>HYPERLINK("https://klasma.github.io/Logging_2260/artfynd/A 8641-2024 artfynd.xlsx", "A 8641-2024")</f>
        <v/>
      </c>
      <c r="T247">
        <f>HYPERLINK("https://klasma.github.io/Logging_2260/kartor/A 8641-2024 karta.png", "A 8641-2024")</f>
        <v/>
      </c>
      <c r="V247">
        <f>HYPERLINK("https://klasma.github.io/Logging_2260/klagomål/A 8641-2024 FSC-klagomål.docx", "A 8641-2024")</f>
        <v/>
      </c>
      <c r="W247">
        <f>HYPERLINK("https://klasma.github.io/Logging_2260/klagomålsmail/A 8641-2024 FSC-klagomål mail.docx", "A 8641-2024")</f>
        <v/>
      </c>
      <c r="X247">
        <f>HYPERLINK("https://klasma.github.io/Logging_2260/tillsyn/A 8641-2024 tillsynsbegäran.docx", "A 8641-2024")</f>
        <v/>
      </c>
      <c r="Y247">
        <f>HYPERLINK("https://klasma.github.io/Logging_2260/tillsynsmail/A 8641-2024 tillsynsbegäran mail.docx", "A 8641-2024")</f>
        <v/>
      </c>
    </row>
    <row r="248" ht="15" customHeight="1">
      <c r="A248" t="inlineStr">
        <is>
          <t>A 13934-2024</t>
        </is>
      </c>
      <c r="B248" s="1" t="n">
        <v>45391</v>
      </c>
      <c r="C248" s="1" t="n">
        <v>45588</v>
      </c>
      <c r="D248" t="inlineStr">
        <is>
          <t>VÄSTERNORRLANDS LÄN</t>
        </is>
      </c>
      <c r="E248" t="inlineStr">
        <is>
          <t>ÅNGE</t>
        </is>
      </c>
      <c r="F248" t="inlineStr">
        <is>
          <t>SCA</t>
        </is>
      </c>
      <c r="G248" t="n">
        <v>5.8</v>
      </c>
      <c r="H248" t="n">
        <v>0</v>
      </c>
      <c r="I248" t="n">
        <v>0</v>
      </c>
      <c r="J248" t="n">
        <v>1</v>
      </c>
      <c r="K248" t="n">
        <v>0</v>
      </c>
      <c r="L248" t="n">
        <v>0</v>
      </c>
      <c r="M248" t="n">
        <v>0</v>
      </c>
      <c r="N248" t="n">
        <v>0</v>
      </c>
      <c r="O248" t="n">
        <v>1</v>
      </c>
      <c r="P248" t="n">
        <v>0</v>
      </c>
      <c r="Q248" t="n">
        <v>1</v>
      </c>
      <c r="R248" s="2" t="inlineStr">
        <is>
          <t>Ullticka</t>
        </is>
      </c>
      <c r="S248">
        <f>HYPERLINK("https://klasma.github.io/Logging_2260/artfynd/A 13934-2024 artfynd.xlsx", "A 13934-2024")</f>
        <v/>
      </c>
      <c r="T248">
        <f>HYPERLINK("https://klasma.github.io/Logging_2260/kartor/A 13934-2024 karta.png", "A 13934-2024")</f>
        <v/>
      </c>
      <c r="V248">
        <f>HYPERLINK("https://klasma.github.io/Logging_2260/klagomål/A 13934-2024 FSC-klagomål.docx", "A 13934-2024")</f>
        <v/>
      </c>
      <c r="W248">
        <f>HYPERLINK("https://klasma.github.io/Logging_2260/klagomålsmail/A 13934-2024 FSC-klagomål mail.docx", "A 13934-2024")</f>
        <v/>
      </c>
      <c r="X248">
        <f>HYPERLINK("https://klasma.github.io/Logging_2260/tillsyn/A 13934-2024 tillsynsbegäran.docx", "A 13934-2024")</f>
        <v/>
      </c>
      <c r="Y248">
        <f>HYPERLINK("https://klasma.github.io/Logging_2260/tillsynsmail/A 13934-2024 tillsynsbegäran mail.docx", "A 13934-2024")</f>
        <v/>
      </c>
    </row>
    <row r="249" ht="15" customHeight="1">
      <c r="A249" t="inlineStr">
        <is>
          <t>A 18006-2024</t>
        </is>
      </c>
      <c r="B249" s="1" t="n">
        <v>45419</v>
      </c>
      <c r="C249" s="1" t="n">
        <v>45588</v>
      </c>
      <c r="D249" t="inlineStr">
        <is>
          <t>VÄSTERNORRLANDS LÄN</t>
        </is>
      </c>
      <c r="E249" t="inlineStr">
        <is>
          <t>ÅNGE</t>
        </is>
      </c>
      <c r="F249" t="inlineStr">
        <is>
          <t>SCA</t>
        </is>
      </c>
      <c r="G249" t="n">
        <v>14.7</v>
      </c>
      <c r="H249" t="n">
        <v>0</v>
      </c>
      <c r="I249" t="n">
        <v>0</v>
      </c>
      <c r="J249" t="n">
        <v>1</v>
      </c>
      <c r="K249" t="n">
        <v>0</v>
      </c>
      <c r="L249" t="n">
        <v>0</v>
      </c>
      <c r="M249" t="n">
        <v>0</v>
      </c>
      <c r="N249" t="n">
        <v>0</v>
      </c>
      <c r="O249" t="n">
        <v>1</v>
      </c>
      <c r="P249" t="n">
        <v>0</v>
      </c>
      <c r="Q249" t="n">
        <v>1</v>
      </c>
      <c r="R249" s="2" t="inlineStr">
        <is>
          <t>Skrovlig flatbagge</t>
        </is>
      </c>
      <c r="S249">
        <f>HYPERLINK("https://klasma.github.io/Logging_2260/artfynd/A 18006-2024 artfynd.xlsx", "A 18006-2024")</f>
        <v/>
      </c>
      <c r="T249">
        <f>HYPERLINK("https://klasma.github.io/Logging_2260/kartor/A 18006-2024 karta.png", "A 18006-2024")</f>
        <v/>
      </c>
      <c r="V249">
        <f>HYPERLINK("https://klasma.github.io/Logging_2260/klagomål/A 18006-2024 FSC-klagomål.docx", "A 18006-2024")</f>
        <v/>
      </c>
      <c r="W249">
        <f>HYPERLINK("https://klasma.github.io/Logging_2260/klagomålsmail/A 18006-2024 FSC-klagomål mail.docx", "A 18006-2024")</f>
        <v/>
      </c>
      <c r="X249">
        <f>HYPERLINK("https://klasma.github.io/Logging_2260/tillsyn/A 18006-2024 tillsynsbegäran.docx", "A 18006-2024")</f>
        <v/>
      </c>
      <c r="Y249">
        <f>HYPERLINK("https://klasma.github.io/Logging_2260/tillsynsmail/A 18006-2024 tillsynsbegäran mail.docx", "A 18006-2024")</f>
        <v/>
      </c>
    </row>
    <row r="250" ht="15" customHeight="1">
      <c r="A250" t="inlineStr">
        <is>
          <t>A 18625-2024</t>
        </is>
      </c>
      <c r="B250" s="1" t="n">
        <v>45425</v>
      </c>
      <c r="C250" s="1" t="n">
        <v>45588</v>
      </c>
      <c r="D250" t="inlineStr">
        <is>
          <t>VÄSTERNORRLANDS LÄN</t>
        </is>
      </c>
      <c r="E250" t="inlineStr">
        <is>
          <t>ÅNGE</t>
        </is>
      </c>
      <c r="F250" t="inlineStr">
        <is>
          <t>SCA</t>
        </is>
      </c>
      <c r="G250" t="n">
        <v>2.6</v>
      </c>
      <c r="H250" t="n">
        <v>1</v>
      </c>
      <c r="I250" t="n">
        <v>1</v>
      </c>
      <c r="J250" t="n">
        <v>0</v>
      </c>
      <c r="K250" t="n">
        <v>0</v>
      </c>
      <c r="L250" t="n">
        <v>0</v>
      </c>
      <c r="M250" t="n">
        <v>0</v>
      </c>
      <c r="N250" t="n">
        <v>0</v>
      </c>
      <c r="O250" t="n">
        <v>0</v>
      </c>
      <c r="P250" t="n">
        <v>0</v>
      </c>
      <c r="Q250" t="n">
        <v>1</v>
      </c>
      <c r="R250" s="2" t="inlineStr">
        <is>
          <t>Tvåblad</t>
        </is>
      </c>
      <c r="S250">
        <f>HYPERLINK("https://klasma.github.io/Logging_2260/artfynd/A 18625-2024 artfynd.xlsx", "A 18625-2024")</f>
        <v/>
      </c>
      <c r="T250">
        <f>HYPERLINK("https://klasma.github.io/Logging_2260/kartor/A 18625-2024 karta.png", "A 18625-2024")</f>
        <v/>
      </c>
      <c r="V250">
        <f>HYPERLINK("https://klasma.github.io/Logging_2260/klagomål/A 18625-2024 FSC-klagomål.docx", "A 18625-2024")</f>
        <v/>
      </c>
      <c r="W250">
        <f>HYPERLINK("https://klasma.github.io/Logging_2260/klagomålsmail/A 18625-2024 FSC-klagomål mail.docx", "A 18625-2024")</f>
        <v/>
      </c>
      <c r="X250">
        <f>HYPERLINK("https://klasma.github.io/Logging_2260/tillsyn/A 18625-2024 tillsynsbegäran.docx", "A 18625-2024")</f>
        <v/>
      </c>
      <c r="Y250">
        <f>HYPERLINK("https://klasma.github.io/Logging_2260/tillsynsmail/A 18625-2024 tillsynsbegäran mail.docx", "A 18625-2024")</f>
        <v/>
      </c>
    </row>
    <row r="251" ht="15" customHeight="1">
      <c r="A251" t="inlineStr">
        <is>
          <t>A 21090-2024</t>
        </is>
      </c>
      <c r="B251" s="1" t="n">
        <v>45439</v>
      </c>
      <c r="C251" s="1" t="n">
        <v>45588</v>
      </c>
      <c r="D251" t="inlineStr">
        <is>
          <t>VÄSTERNORRLANDS LÄN</t>
        </is>
      </c>
      <c r="E251" t="inlineStr">
        <is>
          <t>ÅNGE</t>
        </is>
      </c>
      <c r="F251" t="inlineStr">
        <is>
          <t>SCA</t>
        </is>
      </c>
      <c r="G251" t="n">
        <v>1.9</v>
      </c>
      <c r="H251" t="n">
        <v>0</v>
      </c>
      <c r="I251" t="n">
        <v>0</v>
      </c>
      <c r="J251" t="n">
        <v>1</v>
      </c>
      <c r="K251" t="n">
        <v>0</v>
      </c>
      <c r="L251" t="n">
        <v>0</v>
      </c>
      <c r="M251" t="n">
        <v>0</v>
      </c>
      <c r="N251" t="n">
        <v>0</v>
      </c>
      <c r="O251" t="n">
        <v>1</v>
      </c>
      <c r="P251" t="n">
        <v>0</v>
      </c>
      <c r="Q251" t="n">
        <v>1</v>
      </c>
      <c r="R251" s="2" t="inlineStr">
        <is>
          <t>Rosenticka</t>
        </is>
      </c>
      <c r="S251">
        <f>HYPERLINK("https://klasma.github.io/Logging_2260/artfynd/A 21090-2024 artfynd.xlsx", "A 21090-2024")</f>
        <v/>
      </c>
      <c r="T251">
        <f>HYPERLINK("https://klasma.github.io/Logging_2260/kartor/A 21090-2024 karta.png", "A 21090-2024")</f>
        <v/>
      </c>
      <c r="V251">
        <f>HYPERLINK("https://klasma.github.io/Logging_2260/klagomål/A 21090-2024 FSC-klagomål.docx", "A 21090-2024")</f>
        <v/>
      </c>
      <c r="W251">
        <f>HYPERLINK("https://klasma.github.io/Logging_2260/klagomålsmail/A 21090-2024 FSC-klagomål mail.docx", "A 21090-2024")</f>
        <v/>
      </c>
      <c r="X251">
        <f>HYPERLINK("https://klasma.github.io/Logging_2260/tillsyn/A 21090-2024 tillsynsbegäran.docx", "A 21090-2024")</f>
        <v/>
      </c>
      <c r="Y251">
        <f>HYPERLINK("https://klasma.github.io/Logging_2260/tillsynsmail/A 21090-2024 tillsynsbegäran mail.docx", "A 21090-2024")</f>
        <v/>
      </c>
    </row>
    <row r="252" ht="15" customHeight="1">
      <c r="A252" t="inlineStr">
        <is>
          <t>A 20914-2024</t>
        </is>
      </c>
      <c r="B252" s="1" t="n">
        <v>45439</v>
      </c>
      <c r="C252" s="1" t="n">
        <v>45588</v>
      </c>
      <c r="D252" t="inlineStr">
        <is>
          <t>VÄSTERNORRLANDS LÄN</t>
        </is>
      </c>
      <c r="E252" t="inlineStr">
        <is>
          <t>ÅNGE</t>
        </is>
      </c>
      <c r="F252" t="inlineStr">
        <is>
          <t>Sveaskog</t>
        </is>
      </c>
      <c r="G252" t="n">
        <v>4.6</v>
      </c>
      <c r="H252" t="n">
        <v>0</v>
      </c>
      <c r="I252" t="n">
        <v>0</v>
      </c>
      <c r="J252" t="n">
        <v>1</v>
      </c>
      <c r="K252" t="n">
        <v>0</v>
      </c>
      <c r="L252" t="n">
        <v>0</v>
      </c>
      <c r="M252" t="n">
        <v>0</v>
      </c>
      <c r="N252" t="n">
        <v>0</v>
      </c>
      <c r="O252" t="n">
        <v>1</v>
      </c>
      <c r="P252" t="n">
        <v>0</v>
      </c>
      <c r="Q252" t="n">
        <v>1</v>
      </c>
      <c r="R252" s="2" t="inlineStr">
        <is>
          <t>Garnlav</t>
        </is>
      </c>
      <c r="S252">
        <f>HYPERLINK("https://klasma.github.io/Logging_2260/artfynd/A 20914-2024 artfynd.xlsx", "A 20914-2024")</f>
        <v/>
      </c>
      <c r="T252">
        <f>HYPERLINK("https://klasma.github.io/Logging_2260/kartor/A 20914-2024 karta.png", "A 20914-2024")</f>
        <v/>
      </c>
      <c r="V252">
        <f>HYPERLINK("https://klasma.github.io/Logging_2260/klagomål/A 20914-2024 FSC-klagomål.docx", "A 20914-2024")</f>
        <v/>
      </c>
      <c r="W252">
        <f>HYPERLINK("https://klasma.github.io/Logging_2260/klagomålsmail/A 20914-2024 FSC-klagomål mail.docx", "A 20914-2024")</f>
        <v/>
      </c>
      <c r="X252">
        <f>HYPERLINK("https://klasma.github.io/Logging_2260/tillsyn/A 20914-2024 tillsynsbegäran.docx", "A 20914-2024")</f>
        <v/>
      </c>
      <c r="Y252">
        <f>HYPERLINK("https://klasma.github.io/Logging_2260/tillsynsmail/A 20914-2024 tillsynsbegäran mail.docx", "A 20914-2024")</f>
        <v/>
      </c>
    </row>
    <row r="253" ht="15" customHeight="1">
      <c r="A253" t="inlineStr">
        <is>
          <t>A 24799-2024</t>
        </is>
      </c>
      <c r="B253" s="1" t="n">
        <v>45460</v>
      </c>
      <c r="C253" s="1" t="n">
        <v>45588</v>
      </c>
      <c r="D253" t="inlineStr">
        <is>
          <t>VÄSTERNORRLANDS LÄN</t>
        </is>
      </c>
      <c r="E253" t="inlineStr">
        <is>
          <t>ÅNGE</t>
        </is>
      </c>
      <c r="F253" t="inlineStr">
        <is>
          <t>SCA</t>
        </is>
      </c>
      <c r="G253" t="n">
        <v>2.8</v>
      </c>
      <c r="H253" t="n">
        <v>1</v>
      </c>
      <c r="I253" t="n">
        <v>0</v>
      </c>
      <c r="J253" t="n">
        <v>0</v>
      </c>
      <c r="K253" t="n">
        <v>1</v>
      </c>
      <c r="L253" t="n">
        <v>0</v>
      </c>
      <c r="M253" t="n">
        <v>0</v>
      </c>
      <c r="N253" t="n">
        <v>0</v>
      </c>
      <c r="O253" t="n">
        <v>1</v>
      </c>
      <c r="P253" t="n">
        <v>1</v>
      </c>
      <c r="Q253" t="n">
        <v>1</v>
      </c>
      <c r="R253" s="2" t="inlineStr">
        <is>
          <t>Doftticka</t>
        </is>
      </c>
      <c r="S253">
        <f>HYPERLINK("https://klasma.github.io/Logging_2260/artfynd/A 24799-2024 artfynd.xlsx", "A 24799-2024")</f>
        <v/>
      </c>
      <c r="T253">
        <f>HYPERLINK("https://klasma.github.io/Logging_2260/kartor/A 24799-2024 karta.png", "A 24799-2024")</f>
        <v/>
      </c>
      <c r="V253">
        <f>HYPERLINK("https://klasma.github.io/Logging_2260/klagomål/A 24799-2024 FSC-klagomål.docx", "A 24799-2024")</f>
        <v/>
      </c>
      <c r="W253">
        <f>HYPERLINK("https://klasma.github.io/Logging_2260/klagomålsmail/A 24799-2024 FSC-klagomål mail.docx", "A 24799-2024")</f>
        <v/>
      </c>
      <c r="X253">
        <f>HYPERLINK("https://klasma.github.io/Logging_2260/tillsyn/A 24799-2024 tillsynsbegäran.docx", "A 24799-2024")</f>
        <v/>
      </c>
      <c r="Y253">
        <f>HYPERLINK("https://klasma.github.io/Logging_2260/tillsynsmail/A 24799-2024 tillsynsbegäran mail.docx", "A 24799-2024")</f>
        <v/>
      </c>
    </row>
    <row r="254" ht="15" customHeight="1">
      <c r="A254" t="inlineStr">
        <is>
          <t>A 25705-2024</t>
        </is>
      </c>
      <c r="B254" s="1" t="n">
        <v>45464</v>
      </c>
      <c r="C254" s="1" t="n">
        <v>45588</v>
      </c>
      <c r="D254" t="inlineStr">
        <is>
          <t>VÄSTERNORRLANDS LÄN</t>
        </is>
      </c>
      <c r="E254" t="inlineStr">
        <is>
          <t>ÅNGE</t>
        </is>
      </c>
      <c r="F254" t="inlineStr">
        <is>
          <t>SCA</t>
        </is>
      </c>
      <c r="G254" t="n">
        <v>10.6</v>
      </c>
      <c r="H254" t="n">
        <v>1</v>
      </c>
      <c r="I254" t="n">
        <v>1</v>
      </c>
      <c r="J254" t="n">
        <v>0</v>
      </c>
      <c r="K254" t="n">
        <v>0</v>
      </c>
      <c r="L254" t="n">
        <v>0</v>
      </c>
      <c r="M254" t="n">
        <v>0</v>
      </c>
      <c r="N254" t="n">
        <v>0</v>
      </c>
      <c r="O254" t="n">
        <v>0</v>
      </c>
      <c r="P254" t="n">
        <v>0</v>
      </c>
      <c r="Q254" t="n">
        <v>1</v>
      </c>
      <c r="R254" s="2" t="inlineStr">
        <is>
          <t>Korallrot</t>
        </is>
      </c>
      <c r="S254">
        <f>HYPERLINK("https://klasma.github.io/Logging_2260/artfynd/A 25705-2024 artfynd.xlsx", "A 25705-2024")</f>
        <v/>
      </c>
      <c r="T254">
        <f>HYPERLINK("https://klasma.github.io/Logging_2260/kartor/A 25705-2024 karta.png", "A 25705-2024")</f>
        <v/>
      </c>
      <c r="V254">
        <f>HYPERLINK("https://klasma.github.io/Logging_2260/klagomål/A 25705-2024 FSC-klagomål.docx", "A 25705-2024")</f>
        <v/>
      </c>
      <c r="W254">
        <f>HYPERLINK("https://klasma.github.io/Logging_2260/klagomålsmail/A 25705-2024 FSC-klagomål mail.docx", "A 25705-2024")</f>
        <v/>
      </c>
      <c r="X254">
        <f>HYPERLINK("https://klasma.github.io/Logging_2260/tillsyn/A 25705-2024 tillsynsbegäran.docx", "A 25705-2024")</f>
        <v/>
      </c>
      <c r="Y254">
        <f>HYPERLINK("https://klasma.github.io/Logging_2260/tillsynsmail/A 25705-2024 tillsynsbegäran mail.docx", "A 25705-2024")</f>
        <v/>
      </c>
    </row>
    <row r="255" ht="15" customHeight="1">
      <c r="A255" t="inlineStr">
        <is>
          <t>A 27308-2024</t>
        </is>
      </c>
      <c r="B255" s="1" t="n">
        <v>45471</v>
      </c>
      <c r="C255" s="1" t="n">
        <v>45588</v>
      </c>
      <c r="D255" t="inlineStr">
        <is>
          <t>VÄSTERNORRLANDS LÄN</t>
        </is>
      </c>
      <c r="E255" t="inlineStr">
        <is>
          <t>ÅNGE</t>
        </is>
      </c>
      <c r="F255" t="inlineStr">
        <is>
          <t>SCA</t>
        </is>
      </c>
      <c r="G255" t="n">
        <v>15.9</v>
      </c>
      <c r="H255" t="n">
        <v>0</v>
      </c>
      <c r="I255" t="n">
        <v>0</v>
      </c>
      <c r="J255" t="n">
        <v>1</v>
      </c>
      <c r="K255" t="n">
        <v>0</v>
      </c>
      <c r="L255" t="n">
        <v>0</v>
      </c>
      <c r="M255" t="n">
        <v>0</v>
      </c>
      <c r="N255" t="n">
        <v>0</v>
      </c>
      <c r="O255" t="n">
        <v>1</v>
      </c>
      <c r="P255" t="n">
        <v>0</v>
      </c>
      <c r="Q255" t="n">
        <v>1</v>
      </c>
      <c r="R255" s="2" t="inlineStr">
        <is>
          <t>Lunglav</t>
        </is>
      </c>
      <c r="S255">
        <f>HYPERLINK("https://klasma.github.io/Logging_2260/artfynd/A 27308-2024 artfynd.xlsx", "A 27308-2024")</f>
        <v/>
      </c>
      <c r="T255">
        <f>HYPERLINK("https://klasma.github.io/Logging_2260/kartor/A 27308-2024 karta.png", "A 27308-2024")</f>
        <v/>
      </c>
      <c r="V255">
        <f>HYPERLINK("https://klasma.github.io/Logging_2260/klagomål/A 27308-2024 FSC-klagomål.docx", "A 27308-2024")</f>
        <v/>
      </c>
      <c r="W255">
        <f>HYPERLINK("https://klasma.github.io/Logging_2260/klagomålsmail/A 27308-2024 FSC-klagomål mail.docx", "A 27308-2024")</f>
        <v/>
      </c>
      <c r="X255">
        <f>HYPERLINK("https://klasma.github.io/Logging_2260/tillsyn/A 27308-2024 tillsynsbegäran.docx", "A 27308-2024")</f>
        <v/>
      </c>
      <c r="Y255">
        <f>HYPERLINK("https://klasma.github.io/Logging_2260/tillsynsmail/A 27308-2024 tillsynsbegäran mail.docx", "A 27308-2024")</f>
        <v/>
      </c>
    </row>
    <row r="256" ht="15" customHeight="1">
      <c r="A256" t="inlineStr">
        <is>
          <t>A 30482-2024</t>
        </is>
      </c>
      <c r="B256" s="1" t="n">
        <v>45492</v>
      </c>
      <c r="C256" s="1" t="n">
        <v>45588</v>
      </c>
      <c r="D256" t="inlineStr">
        <is>
          <t>VÄSTERNORRLANDS LÄN</t>
        </is>
      </c>
      <c r="E256" t="inlineStr">
        <is>
          <t>ÅNGE</t>
        </is>
      </c>
      <c r="F256" t="inlineStr">
        <is>
          <t>SCA</t>
        </is>
      </c>
      <c r="G256" t="n">
        <v>4.3</v>
      </c>
      <c r="H256" t="n">
        <v>1</v>
      </c>
      <c r="I256" t="n">
        <v>1</v>
      </c>
      <c r="J256" t="n">
        <v>0</v>
      </c>
      <c r="K256" t="n">
        <v>0</v>
      </c>
      <c r="L256" t="n">
        <v>0</v>
      </c>
      <c r="M256" t="n">
        <v>0</v>
      </c>
      <c r="N256" t="n">
        <v>0</v>
      </c>
      <c r="O256" t="n">
        <v>0</v>
      </c>
      <c r="P256" t="n">
        <v>0</v>
      </c>
      <c r="Q256" t="n">
        <v>1</v>
      </c>
      <c r="R256" s="2" t="inlineStr">
        <is>
          <t>Plattlummer</t>
        </is>
      </c>
      <c r="S256">
        <f>HYPERLINK("https://klasma.github.io/Logging_2260/artfynd/A 30482-2024 artfynd.xlsx", "A 30482-2024")</f>
        <v/>
      </c>
      <c r="T256">
        <f>HYPERLINK("https://klasma.github.io/Logging_2260/kartor/A 30482-2024 karta.png", "A 30482-2024")</f>
        <v/>
      </c>
      <c r="U256">
        <f>HYPERLINK("https://klasma.github.io/Logging_2260/knärot/A 30482-2024 karta knärot.png", "A 30482-2024")</f>
        <v/>
      </c>
      <c r="V256">
        <f>HYPERLINK("https://klasma.github.io/Logging_2260/klagomål/A 30482-2024 FSC-klagomål.docx", "A 30482-2024")</f>
        <v/>
      </c>
      <c r="W256">
        <f>HYPERLINK("https://klasma.github.io/Logging_2260/klagomålsmail/A 30482-2024 FSC-klagomål mail.docx", "A 30482-2024")</f>
        <v/>
      </c>
      <c r="X256">
        <f>HYPERLINK("https://klasma.github.io/Logging_2260/tillsyn/A 30482-2024 tillsynsbegäran.docx", "A 30482-2024")</f>
        <v/>
      </c>
      <c r="Y256">
        <f>HYPERLINK("https://klasma.github.io/Logging_2260/tillsynsmail/A 30482-2024 tillsynsbegäran mail.docx", "A 30482-2024")</f>
        <v/>
      </c>
    </row>
    <row r="257" ht="15" customHeight="1">
      <c r="A257" t="inlineStr">
        <is>
          <t>A 31544-2024</t>
        </is>
      </c>
      <c r="B257" s="1" t="n">
        <v>45505</v>
      </c>
      <c r="C257" s="1" t="n">
        <v>45588</v>
      </c>
      <c r="D257" t="inlineStr">
        <is>
          <t>VÄSTERNORRLANDS LÄN</t>
        </is>
      </c>
      <c r="E257" t="inlineStr">
        <is>
          <t>ÅNGE</t>
        </is>
      </c>
      <c r="F257" t="inlineStr">
        <is>
          <t>SCA</t>
        </is>
      </c>
      <c r="G257" t="n">
        <v>3.5</v>
      </c>
      <c r="H257" t="n">
        <v>0</v>
      </c>
      <c r="I257" t="n">
        <v>0</v>
      </c>
      <c r="J257" t="n">
        <v>1</v>
      </c>
      <c r="K257" t="n">
        <v>0</v>
      </c>
      <c r="L257" t="n">
        <v>0</v>
      </c>
      <c r="M257" t="n">
        <v>0</v>
      </c>
      <c r="N257" t="n">
        <v>0</v>
      </c>
      <c r="O257" t="n">
        <v>1</v>
      </c>
      <c r="P257" t="n">
        <v>0</v>
      </c>
      <c r="Q257" t="n">
        <v>1</v>
      </c>
      <c r="R257" s="2" t="inlineStr">
        <is>
          <t>Granticka</t>
        </is>
      </c>
      <c r="S257">
        <f>HYPERLINK("https://klasma.github.io/Logging_2260/artfynd/A 31544-2024 artfynd.xlsx", "A 31544-2024")</f>
        <v/>
      </c>
      <c r="T257">
        <f>HYPERLINK("https://klasma.github.io/Logging_2260/kartor/A 31544-2024 karta.png", "A 31544-2024")</f>
        <v/>
      </c>
      <c r="V257">
        <f>HYPERLINK("https://klasma.github.io/Logging_2260/klagomål/A 31544-2024 FSC-klagomål.docx", "A 31544-2024")</f>
        <v/>
      </c>
      <c r="W257">
        <f>HYPERLINK("https://klasma.github.io/Logging_2260/klagomålsmail/A 31544-2024 FSC-klagomål mail.docx", "A 31544-2024")</f>
        <v/>
      </c>
      <c r="X257">
        <f>HYPERLINK("https://klasma.github.io/Logging_2260/tillsyn/A 31544-2024 tillsynsbegäran.docx", "A 31544-2024")</f>
        <v/>
      </c>
      <c r="Y257">
        <f>HYPERLINK("https://klasma.github.io/Logging_2260/tillsynsmail/A 31544-2024 tillsynsbegäran mail.docx", "A 31544-2024")</f>
        <v/>
      </c>
    </row>
    <row r="258" ht="15" customHeight="1">
      <c r="A258" t="inlineStr">
        <is>
          <t>A 31510-2024</t>
        </is>
      </c>
      <c r="B258" s="1" t="n">
        <v>45505</v>
      </c>
      <c r="C258" s="1" t="n">
        <v>45588</v>
      </c>
      <c r="D258" t="inlineStr">
        <is>
          <t>VÄSTERNORRLANDS LÄN</t>
        </is>
      </c>
      <c r="E258" t="inlineStr">
        <is>
          <t>ÅNGE</t>
        </is>
      </c>
      <c r="F258" t="inlineStr">
        <is>
          <t>SCA</t>
        </is>
      </c>
      <c r="G258" t="n">
        <v>6</v>
      </c>
      <c r="H258" t="n">
        <v>1</v>
      </c>
      <c r="I258" t="n">
        <v>0</v>
      </c>
      <c r="J258" t="n">
        <v>0</v>
      </c>
      <c r="K258" t="n">
        <v>1</v>
      </c>
      <c r="L258" t="n">
        <v>0</v>
      </c>
      <c r="M258" t="n">
        <v>0</v>
      </c>
      <c r="N258" t="n">
        <v>0</v>
      </c>
      <c r="O258" t="n">
        <v>1</v>
      </c>
      <c r="P258" t="n">
        <v>1</v>
      </c>
      <c r="Q258" t="n">
        <v>1</v>
      </c>
      <c r="R258" s="2" t="inlineStr">
        <is>
          <t>Doftticka</t>
        </is>
      </c>
      <c r="S258">
        <f>HYPERLINK("https://klasma.github.io/Logging_2260/artfynd/A 31510-2024 artfynd.xlsx", "A 31510-2024")</f>
        <v/>
      </c>
      <c r="T258">
        <f>HYPERLINK("https://klasma.github.io/Logging_2260/kartor/A 31510-2024 karta.png", "A 31510-2024")</f>
        <v/>
      </c>
      <c r="V258">
        <f>HYPERLINK("https://klasma.github.io/Logging_2260/klagomål/A 31510-2024 FSC-klagomål.docx", "A 31510-2024")</f>
        <v/>
      </c>
      <c r="W258">
        <f>HYPERLINK("https://klasma.github.io/Logging_2260/klagomålsmail/A 31510-2024 FSC-klagomål mail.docx", "A 31510-2024")</f>
        <v/>
      </c>
      <c r="X258">
        <f>HYPERLINK("https://klasma.github.io/Logging_2260/tillsyn/A 31510-2024 tillsynsbegäran.docx", "A 31510-2024")</f>
        <v/>
      </c>
      <c r="Y258">
        <f>HYPERLINK("https://klasma.github.io/Logging_2260/tillsynsmail/A 31510-2024 tillsynsbegäran mail.docx", "A 31510-2024")</f>
        <v/>
      </c>
    </row>
    <row r="259" ht="15" customHeight="1">
      <c r="A259" t="inlineStr">
        <is>
          <t>A 31878-2024</t>
        </is>
      </c>
      <c r="B259" s="1" t="n">
        <v>45509</v>
      </c>
      <c r="C259" s="1" t="n">
        <v>45588</v>
      </c>
      <c r="D259" t="inlineStr">
        <is>
          <t>VÄSTERNORRLANDS LÄN</t>
        </is>
      </c>
      <c r="E259" t="inlineStr">
        <is>
          <t>ÅNGE</t>
        </is>
      </c>
      <c r="F259" t="inlineStr">
        <is>
          <t>SCA</t>
        </is>
      </c>
      <c r="G259" t="n">
        <v>5.1</v>
      </c>
      <c r="H259" t="n">
        <v>0</v>
      </c>
      <c r="I259" t="n">
        <v>1</v>
      </c>
      <c r="J259" t="n">
        <v>0</v>
      </c>
      <c r="K259" t="n">
        <v>0</v>
      </c>
      <c r="L259" t="n">
        <v>0</v>
      </c>
      <c r="M259" t="n">
        <v>0</v>
      </c>
      <c r="N259" t="n">
        <v>0</v>
      </c>
      <c r="O259" t="n">
        <v>0</v>
      </c>
      <c r="P259" t="n">
        <v>0</v>
      </c>
      <c r="Q259" t="n">
        <v>1</v>
      </c>
      <c r="R259" s="2" t="inlineStr">
        <is>
          <t>Grönpyrola</t>
        </is>
      </c>
      <c r="S259">
        <f>HYPERLINK("https://klasma.github.io/Logging_2260/artfynd/A 31878-2024 artfynd.xlsx", "A 31878-2024")</f>
        <v/>
      </c>
      <c r="T259">
        <f>HYPERLINK("https://klasma.github.io/Logging_2260/kartor/A 31878-2024 karta.png", "A 31878-2024")</f>
        <v/>
      </c>
      <c r="V259">
        <f>HYPERLINK("https://klasma.github.io/Logging_2260/klagomål/A 31878-2024 FSC-klagomål.docx", "A 31878-2024")</f>
        <v/>
      </c>
      <c r="W259">
        <f>HYPERLINK("https://klasma.github.io/Logging_2260/klagomålsmail/A 31878-2024 FSC-klagomål mail.docx", "A 31878-2024")</f>
        <v/>
      </c>
      <c r="X259">
        <f>HYPERLINK("https://klasma.github.io/Logging_2260/tillsyn/A 31878-2024 tillsynsbegäran.docx", "A 31878-2024")</f>
        <v/>
      </c>
      <c r="Y259">
        <f>HYPERLINK("https://klasma.github.io/Logging_2260/tillsynsmail/A 31878-2024 tillsynsbegäran mail.docx", "A 31878-2024")</f>
        <v/>
      </c>
    </row>
    <row r="260" ht="15" customHeight="1">
      <c r="A260" t="inlineStr">
        <is>
          <t>A 31877-2024</t>
        </is>
      </c>
      <c r="B260" s="1" t="n">
        <v>45509</v>
      </c>
      <c r="C260" s="1" t="n">
        <v>45588</v>
      </c>
      <c r="D260" t="inlineStr">
        <is>
          <t>VÄSTERNORRLANDS LÄN</t>
        </is>
      </c>
      <c r="E260" t="inlineStr">
        <is>
          <t>ÅNGE</t>
        </is>
      </c>
      <c r="F260" t="inlineStr">
        <is>
          <t>SCA</t>
        </is>
      </c>
      <c r="G260" t="n">
        <v>8</v>
      </c>
      <c r="H260" t="n">
        <v>1</v>
      </c>
      <c r="I260" t="n">
        <v>0</v>
      </c>
      <c r="J260" t="n">
        <v>0</v>
      </c>
      <c r="K260" t="n">
        <v>1</v>
      </c>
      <c r="L260" t="n">
        <v>0</v>
      </c>
      <c r="M260" t="n">
        <v>0</v>
      </c>
      <c r="N260" t="n">
        <v>0</v>
      </c>
      <c r="O260" t="n">
        <v>1</v>
      </c>
      <c r="P260" t="n">
        <v>1</v>
      </c>
      <c r="Q260" t="n">
        <v>1</v>
      </c>
      <c r="R260" s="2" t="inlineStr">
        <is>
          <t>Knärot</t>
        </is>
      </c>
      <c r="S260">
        <f>HYPERLINK("https://klasma.github.io/Logging_2260/artfynd/A 31877-2024 artfynd.xlsx", "A 31877-2024")</f>
        <v/>
      </c>
      <c r="T260">
        <f>HYPERLINK("https://klasma.github.io/Logging_2260/kartor/A 31877-2024 karta.png", "A 31877-2024")</f>
        <v/>
      </c>
      <c r="U260">
        <f>HYPERLINK("https://klasma.github.io/Logging_2260/knärot/A 31877-2024 karta knärot.png", "A 31877-2024")</f>
        <v/>
      </c>
      <c r="V260">
        <f>HYPERLINK("https://klasma.github.io/Logging_2260/klagomål/A 31877-2024 FSC-klagomål.docx", "A 31877-2024")</f>
        <v/>
      </c>
      <c r="W260">
        <f>HYPERLINK("https://klasma.github.io/Logging_2260/klagomålsmail/A 31877-2024 FSC-klagomål mail.docx", "A 31877-2024")</f>
        <v/>
      </c>
      <c r="X260">
        <f>HYPERLINK("https://klasma.github.io/Logging_2260/tillsyn/A 31877-2024 tillsynsbegäran.docx", "A 31877-2024")</f>
        <v/>
      </c>
      <c r="Y260">
        <f>HYPERLINK("https://klasma.github.io/Logging_2260/tillsynsmail/A 31877-2024 tillsynsbegäran mail.docx", "A 31877-2024")</f>
        <v/>
      </c>
    </row>
    <row r="261" ht="15" customHeight="1">
      <c r="A261" t="inlineStr">
        <is>
          <t>A 32457-2024</t>
        </is>
      </c>
      <c r="B261" s="1" t="n">
        <v>45512</v>
      </c>
      <c r="C261" s="1" t="n">
        <v>45588</v>
      </c>
      <c r="D261" t="inlineStr">
        <is>
          <t>VÄSTERNORRLANDS LÄN</t>
        </is>
      </c>
      <c r="E261" t="inlineStr">
        <is>
          <t>ÅNGE</t>
        </is>
      </c>
      <c r="F261" t="inlineStr">
        <is>
          <t>SCA</t>
        </is>
      </c>
      <c r="G261" t="n">
        <v>1.3</v>
      </c>
      <c r="H261" t="n">
        <v>0</v>
      </c>
      <c r="I261" t="n">
        <v>0</v>
      </c>
      <c r="J261" t="n">
        <v>1</v>
      </c>
      <c r="K261" t="n">
        <v>0</v>
      </c>
      <c r="L261" t="n">
        <v>0</v>
      </c>
      <c r="M261" t="n">
        <v>0</v>
      </c>
      <c r="N261" t="n">
        <v>0</v>
      </c>
      <c r="O261" t="n">
        <v>1</v>
      </c>
      <c r="P261" t="n">
        <v>0</v>
      </c>
      <c r="Q261" t="n">
        <v>1</v>
      </c>
      <c r="R261" s="2" t="inlineStr">
        <is>
          <t>Ullticka</t>
        </is>
      </c>
      <c r="S261">
        <f>HYPERLINK("https://klasma.github.io/Logging_2260/artfynd/A 32457-2024 artfynd.xlsx", "A 32457-2024")</f>
        <v/>
      </c>
      <c r="T261">
        <f>HYPERLINK("https://klasma.github.io/Logging_2260/kartor/A 32457-2024 karta.png", "A 32457-2024")</f>
        <v/>
      </c>
      <c r="V261">
        <f>HYPERLINK("https://klasma.github.io/Logging_2260/klagomål/A 32457-2024 FSC-klagomål.docx", "A 32457-2024")</f>
        <v/>
      </c>
      <c r="W261">
        <f>HYPERLINK("https://klasma.github.io/Logging_2260/klagomålsmail/A 32457-2024 FSC-klagomål mail.docx", "A 32457-2024")</f>
        <v/>
      </c>
      <c r="X261">
        <f>HYPERLINK("https://klasma.github.io/Logging_2260/tillsyn/A 32457-2024 tillsynsbegäran.docx", "A 32457-2024")</f>
        <v/>
      </c>
      <c r="Y261">
        <f>HYPERLINK("https://klasma.github.io/Logging_2260/tillsynsmail/A 32457-2024 tillsynsbegäran mail.docx", "A 32457-2024")</f>
        <v/>
      </c>
    </row>
    <row r="262" ht="15" customHeight="1">
      <c r="A262" t="inlineStr">
        <is>
          <t>A 33309-2024</t>
        </is>
      </c>
      <c r="B262" s="1" t="n">
        <v>45518</v>
      </c>
      <c r="C262" s="1" t="n">
        <v>45588</v>
      </c>
      <c r="D262" t="inlineStr">
        <is>
          <t>VÄSTERNORRLANDS LÄN</t>
        </is>
      </c>
      <c r="E262" t="inlineStr">
        <is>
          <t>ÅNGE</t>
        </is>
      </c>
      <c r="F262" t="inlineStr">
        <is>
          <t>SCA</t>
        </is>
      </c>
      <c r="G262" t="n">
        <v>12.8</v>
      </c>
      <c r="H262" t="n">
        <v>1</v>
      </c>
      <c r="I262" t="n">
        <v>0</v>
      </c>
      <c r="J262" t="n">
        <v>0</v>
      </c>
      <c r="K262" t="n">
        <v>1</v>
      </c>
      <c r="L262" t="n">
        <v>0</v>
      </c>
      <c r="M262" t="n">
        <v>0</v>
      </c>
      <c r="N262" t="n">
        <v>0</v>
      </c>
      <c r="O262" t="n">
        <v>1</v>
      </c>
      <c r="P262" t="n">
        <v>1</v>
      </c>
      <c r="Q262" t="n">
        <v>1</v>
      </c>
      <c r="R262" s="2" t="inlineStr">
        <is>
          <t>Knärot</t>
        </is>
      </c>
      <c r="S262">
        <f>HYPERLINK("https://klasma.github.io/Logging_2260/artfynd/A 33309-2024 artfynd.xlsx", "A 33309-2024")</f>
        <v/>
      </c>
      <c r="T262">
        <f>HYPERLINK("https://klasma.github.io/Logging_2260/kartor/A 33309-2024 karta.png", "A 33309-2024")</f>
        <v/>
      </c>
      <c r="U262">
        <f>HYPERLINK("https://klasma.github.io/Logging_2260/knärot/A 33309-2024 karta knärot.png", "A 33309-2024")</f>
        <v/>
      </c>
      <c r="V262">
        <f>HYPERLINK("https://klasma.github.io/Logging_2260/klagomål/A 33309-2024 FSC-klagomål.docx", "A 33309-2024")</f>
        <v/>
      </c>
      <c r="W262">
        <f>HYPERLINK("https://klasma.github.io/Logging_2260/klagomålsmail/A 33309-2024 FSC-klagomål mail.docx", "A 33309-2024")</f>
        <v/>
      </c>
      <c r="X262">
        <f>HYPERLINK("https://klasma.github.io/Logging_2260/tillsyn/A 33309-2024 tillsynsbegäran.docx", "A 33309-2024")</f>
        <v/>
      </c>
      <c r="Y262">
        <f>HYPERLINK("https://klasma.github.io/Logging_2260/tillsynsmail/A 33309-2024 tillsynsbegäran mail.docx", "A 33309-2024")</f>
        <v/>
      </c>
    </row>
    <row r="263" ht="15" customHeight="1">
      <c r="A263" t="inlineStr">
        <is>
          <t>A 34696-2024</t>
        </is>
      </c>
      <c r="B263" s="1" t="n">
        <v>45526</v>
      </c>
      <c r="C263" s="1" t="n">
        <v>45588</v>
      </c>
      <c r="D263" t="inlineStr">
        <is>
          <t>VÄSTERNORRLANDS LÄN</t>
        </is>
      </c>
      <c r="E263" t="inlineStr">
        <is>
          <t>ÅNGE</t>
        </is>
      </c>
      <c r="G263" t="n">
        <v>3.6</v>
      </c>
      <c r="H263" t="n">
        <v>1</v>
      </c>
      <c r="I263" t="n">
        <v>0</v>
      </c>
      <c r="J263" t="n">
        <v>0</v>
      </c>
      <c r="K263" t="n">
        <v>0</v>
      </c>
      <c r="L263" t="n">
        <v>0</v>
      </c>
      <c r="M263" t="n">
        <v>0</v>
      </c>
      <c r="N263" t="n">
        <v>0</v>
      </c>
      <c r="O263" t="n">
        <v>0</v>
      </c>
      <c r="P263" t="n">
        <v>0</v>
      </c>
      <c r="Q263" t="n">
        <v>1</v>
      </c>
      <c r="R263" s="2" t="inlineStr">
        <is>
          <t>Revlummer</t>
        </is>
      </c>
      <c r="S263">
        <f>HYPERLINK("https://klasma.github.io/Logging_2260/artfynd/A 34696-2024 artfynd.xlsx", "A 34696-2024")</f>
        <v/>
      </c>
      <c r="T263">
        <f>HYPERLINK("https://klasma.github.io/Logging_2260/kartor/A 34696-2024 karta.png", "A 34696-2024")</f>
        <v/>
      </c>
      <c r="V263">
        <f>HYPERLINK("https://klasma.github.io/Logging_2260/klagomål/A 34696-2024 FSC-klagomål.docx", "A 34696-2024")</f>
        <v/>
      </c>
      <c r="W263">
        <f>HYPERLINK("https://klasma.github.io/Logging_2260/klagomålsmail/A 34696-2024 FSC-klagomål mail.docx", "A 34696-2024")</f>
        <v/>
      </c>
      <c r="X263">
        <f>HYPERLINK("https://klasma.github.io/Logging_2260/tillsyn/A 34696-2024 tillsynsbegäran.docx", "A 34696-2024")</f>
        <v/>
      </c>
      <c r="Y263">
        <f>HYPERLINK("https://klasma.github.io/Logging_2260/tillsynsmail/A 34696-2024 tillsynsbegäran mail.docx", "A 34696-2024")</f>
        <v/>
      </c>
    </row>
    <row r="264" ht="15" customHeight="1">
      <c r="A264" t="inlineStr">
        <is>
          <t>A 35594-2024</t>
        </is>
      </c>
      <c r="B264" s="1" t="n">
        <v>45531</v>
      </c>
      <c r="C264" s="1" t="n">
        <v>45588</v>
      </c>
      <c r="D264" t="inlineStr">
        <is>
          <t>VÄSTERNORRLANDS LÄN</t>
        </is>
      </c>
      <c r="E264" t="inlineStr">
        <is>
          <t>ÅNGE</t>
        </is>
      </c>
      <c r="F264" t="inlineStr">
        <is>
          <t>SCA</t>
        </is>
      </c>
      <c r="G264" t="n">
        <v>8.4</v>
      </c>
      <c r="H264" t="n">
        <v>1</v>
      </c>
      <c r="I264" t="n">
        <v>0</v>
      </c>
      <c r="J264" t="n">
        <v>0</v>
      </c>
      <c r="K264" t="n">
        <v>1</v>
      </c>
      <c r="L264" t="n">
        <v>0</v>
      </c>
      <c r="M264" t="n">
        <v>0</v>
      </c>
      <c r="N264" t="n">
        <v>0</v>
      </c>
      <c r="O264" t="n">
        <v>1</v>
      </c>
      <c r="P264" t="n">
        <v>1</v>
      </c>
      <c r="Q264" t="n">
        <v>1</v>
      </c>
      <c r="R264" s="2" t="inlineStr">
        <is>
          <t>Knärot</t>
        </is>
      </c>
      <c r="S264">
        <f>HYPERLINK("https://klasma.github.io/Logging_2260/artfynd/A 35594-2024 artfynd.xlsx", "A 35594-2024")</f>
        <v/>
      </c>
      <c r="T264">
        <f>HYPERLINK("https://klasma.github.io/Logging_2260/kartor/A 35594-2024 karta.png", "A 35594-2024")</f>
        <v/>
      </c>
      <c r="U264">
        <f>HYPERLINK("https://klasma.github.io/Logging_2260/knärot/A 35594-2024 karta knärot.png", "A 35594-2024")</f>
        <v/>
      </c>
      <c r="V264">
        <f>HYPERLINK("https://klasma.github.io/Logging_2260/klagomål/A 35594-2024 FSC-klagomål.docx", "A 35594-2024")</f>
        <v/>
      </c>
      <c r="W264">
        <f>HYPERLINK("https://klasma.github.io/Logging_2260/klagomålsmail/A 35594-2024 FSC-klagomål mail.docx", "A 35594-2024")</f>
        <v/>
      </c>
      <c r="X264">
        <f>HYPERLINK("https://klasma.github.io/Logging_2260/tillsyn/A 35594-2024 tillsynsbegäran.docx", "A 35594-2024")</f>
        <v/>
      </c>
      <c r="Y264">
        <f>HYPERLINK("https://klasma.github.io/Logging_2260/tillsynsmail/A 35594-2024 tillsynsbegäran mail.docx", "A 35594-2024")</f>
        <v/>
      </c>
    </row>
    <row r="265" ht="15" customHeight="1">
      <c r="A265" t="inlineStr">
        <is>
          <t>A 36116-2024</t>
        </is>
      </c>
      <c r="B265" s="1" t="n">
        <v>45534</v>
      </c>
      <c r="C265" s="1" t="n">
        <v>45588</v>
      </c>
      <c r="D265" t="inlineStr">
        <is>
          <t>VÄSTERNORRLANDS LÄN</t>
        </is>
      </c>
      <c r="E265" t="inlineStr">
        <is>
          <t>ÅNGE</t>
        </is>
      </c>
      <c r="F265" t="inlineStr">
        <is>
          <t>Sveaskog</t>
        </is>
      </c>
      <c r="G265" t="n">
        <v>5.2</v>
      </c>
      <c r="H265" t="n">
        <v>0</v>
      </c>
      <c r="I265" t="n">
        <v>1</v>
      </c>
      <c r="J265" t="n">
        <v>0</v>
      </c>
      <c r="K265" t="n">
        <v>0</v>
      </c>
      <c r="L265" t="n">
        <v>0</v>
      </c>
      <c r="M265" t="n">
        <v>0</v>
      </c>
      <c r="N265" t="n">
        <v>0</v>
      </c>
      <c r="O265" t="n">
        <v>0</v>
      </c>
      <c r="P265" t="n">
        <v>0</v>
      </c>
      <c r="Q265" t="n">
        <v>1</v>
      </c>
      <c r="R265" s="2" t="inlineStr">
        <is>
          <t>Dropptaggsvamp</t>
        </is>
      </c>
      <c r="S265">
        <f>HYPERLINK("https://klasma.github.io/Logging_2260/artfynd/A 36116-2024 artfynd.xlsx", "A 36116-2024")</f>
        <v/>
      </c>
      <c r="T265">
        <f>HYPERLINK("https://klasma.github.io/Logging_2260/kartor/A 36116-2024 karta.png", "A 36116-2024")</f>
        <v/>
      </c>
      <c r="V265">
        <f>HYPERLINK("https://klasma.github.io/Logging_2260/klagomål/A 36116-2024 FSC-klagomål.docx", "A 36116-2024")</f>
        <v/>
      </c>
      <c r="W265">
        <f>HYPERLINK("https://klasma.github.io/Logging_2260/klagomålsmail/A 36116-2024 FSC-klagomål mail.docx", "A 36116-2024")</f>
        <v/>
      </c>
      <c r="X265">
        <f>HYPERLINK("https://klasma.github.io/Logging_2260/tillsyn/A 36116-2024 tillsynsbegäran.docx", "A 36116-2024")</f>
        <v/>
      </c>
      <c r="Y265">
        <f>HYPERLINK("https://klasma.github.io/Logging_2260/tillsynsmail/A 36116-2024 tillsynsbegäran mail.docx", "A 36116-2024")</f>
        <v/>
      </c>
    </row>
    <row r="266" ht="15" customHeight="1">
      <c r="A266" t="inlineStr">
        <is>
          <t>A 37914-2024</t>
        </is>
      </c>
      <c r="B266" s="1" t="n">
        <v>45544</v>
      </c>
      <c r="C266" s="1" t="n">
        <v>45588</v>
      </c>
      <c r="D266" t="inlineStr">
        <is>
          <t>VÄSTERNORRLANDS LÄN</t>
        </is>
      </c>
      <c r="E266" t="inlineStr">
        <is>
          <t>ÅNGE</t>
        </is>
      </c>
      <c r="F266" t="inlineStr">
        <is>
          <t>SCA</t>
        </is>
      </c>
      <c r="G266" t="n">
        <v>9</v>
      </c>
      <c r="H266" t="n">
        <v>0</v>
      </c>
      <c r="I266" t="n">
        <v>0</v>
      </c>
      <c r="J266" t="n">
        <v>1</v>
      </c>
      <c r="K266" t="n">
        <v>0</v>
      </c>
      <c r="L266" t="n">
        <v>0</v>
      </c>
      <c r="M266" t="n">
        <v>0</v>
      </c>
      <c r="N266" t="n">
        <v>0</v>
      </c>
      <c r="O266" t="n">
        <v>1</v>
      </c>
      <c r="P266" t="n">
        <v>0</v>
      </c>
      <c r="Q266" t="n">
        <v>1</v>
      </c>
      <c r="R266" s="2" t="inlineStr">
        <is>
          <t>Granticka</t>
        </is>
      </c>
      <c r="S266">
        <f>HYPERLINK("https://klasma.github.io/Logging_2260/artfynd/A 37914-2024 artfynd.xlsx", "A 37914-2024")</f>
        <v/>
      </c>
      <c r="T266">
        <f>HYPERLINK("https://klasma.github.io/Logging_2260/kartor/A 37914-2024 karta.png", "A 37914-2024")</f>
        <v/>
      </c>
      <c r="V266">
        <f>HYPERLINK("https://klasma.github.io/Logging_2260/klagomål/A 37914-2024 FSC-klagomål.docx", "A 37914-2024")</f>
        <v/>
      </c>
      <c r="W266">
        <f>HYPERLINK("https://klasma.github.io/Logging_2260/klagomålsmail/A 37914-2024 FSC-klagomål mail.docx", "A 37914-2024")</f>
        <v/>
      </c>
      <c r="X266">
        <f>HYPERLINK("https://klasma.github.io/Logging_2260/tillsyn/A 37914-2024 tillsynsbegäran.docx", "A 37914-2024")</f>
        <v/>
      </c>
      <c r="Y266">
        <f>HYPERLINK("https://klasma.github.io/Logging_2260/tillsynsmail/A 37914-2024 tillsynsbegäran mail.docx", "A 37914-2024")</f>
        <v/>
      </c>
    </row>
    <row r="267" ht="15" customHeight="1">
      <c r="A267" t="inlineStr">
        <is>
          <t>A 38606-2024</t>
        </is>
      </c>
      <c r="B267" s="1" t="n">
        <v>45546</v>
      </c>
      <c r="C267" s="1" t="n">
        <v>45588</v>
      </c>
      <c r="D267" t="inlineStr">
        <is>
          <t>VÄSTERNORRLANDS LÄN</t>
        </is>
      </c>
      <c r="E267" t="inlineStr">
        <is>
          <t>ÅNGE</t>
        </is>
      </c>
      <c r="F267" t="inlineStr">
        <is>
          <t>SCA</t>
        </is>
      </c>
      <c r="G267" t="n">
        <v>2.4</v>
      </c>
      <c r="H267" t="n">
        <v>0</v>
      </c>
      <c r="I267" t="n">
        <v>0</v>
      </c>
      <c r="J267" t="n">
        <v>1</v>
      </c>
      <c r="K267" t="n">
        <v>0</v>
      </c>
      <c r="L267" t="n">
        <v>0</v>
      </c>
      <c r="M267" t="n">
        <v>0</v>
      </c>
      <c r="N267" t="n">
        <v>0</v>
      </c>
      <c r="O267" t="n">
        <v>1</v>
      </c>
      <c r="P267" t="n">
        <v>0</v>
      </c>
      <c r="Q267" t="n">
        <v>1</v>
      </c>
      <c r="R267" s="2" t="inlineStr">
        <is>
          <t>Ullticka</t>
        </is>
      </c>
      <c r="S267">
        <f>HYPERLINK("https://klasma.github.io/Logging_2260/artfynd/A 38606-2024 artfynd.xlsx", "A 38606-2024")</f>
        <v/>
      </c>
      <c r="T267">
        <f>HYPERLINK("https://klasma.github.io/Logging_2260/kartor/A 38606-2024 karta.png", "A 38606-2024")</f>
        <v/>
      </c>
      <c r="V267">
        <f>HYPERLINK("https://klasma.github.io/Logging_2260/klagomål/A 38606-2024 FSC-klagomål.docx", "A 38606-2024")</f>
        <v/>
      </c>
      <c r="W267">
        <f>HYPERLINK("https://klasma.github.io/Logging_2260/klagomålsmail/A 38606-2024 FSC-klagomål mail.docx", "A 38606-2024")</f>
        <v/>
      </c>
      <c r="X267">
        <f>HYPERLINK("https://klasma.github.io/Logging_2260/tillsyn/A 38606-2024 tillsynsbegäran.docx", "A 38606-2024")</f>
        <v/>
      </c>
      <c r="Y267">
        <f>HYPERLINK("https://klasma.github.io/Logging_2260/tillsynsmail/A 38606-2024 tillsynsbegäran mail.docx", "A 38606-2024")</f>
        <v/>
      </c>
    </row>
    <row r="268" ht="15" customHeight="1">
      <c r="A268" t="inlineStr">
        <is>
          <t>A 38603-2024</t>
        </is>
      </c>
      <c r="B268" s="1" t="n">
        <v>45546</v>
      </c>
      <c r="C268" s="1" t="n">
        <v>45588</v>
      </c>
      <c r="D268" t="inlineStr">
        <is>
          <t>VÄSTERNORRLANDS LÄN</t>
        </is>
      </c>
      <c r="E268" t="inlineStr">
        <is>
          <t>ÅNGE</t>
        </is>
      </c>
      <c r="F268" t="inlineStr">
        <is>
          <t>SCA</t>
        </is>
      </c>
      <c r="G268" t="n">
        <v>5.6</v>
      </c>
      <c r="H268" t="n">
        <v>0</v>
      </c>
      <c r="I268" t="n">
        <v>0</v>
      </c>
      <c r="J268" t="n">
        <v>0</v>
      </c>
      <c r="K268" t="n">
        <v>1</v>
      </c>
      <c r="L268" t="n">
        <v>0</v>
      </c>
      <c r="M268" t="n">
        <v>0</v>
      </c>
      <c r="N268" t="n">
        <v>0</v>
      </c>
      <c r="O268" t="n">
        <v>1</v>
      </c>
      <c r="P268" t="n">
        <v>1</v>
      </c>
      <c r="Q268" t="n">
        <v>1</v>
      </c>
      <c r="R268" s="2" t="inlineStr">
        <is>
          <t>Rynkskinn</t>
        </is>
      </c>
      <c r="S268">
        <f>HYPERLINK("https://klasma.github.io/Logging_2260/artfynd/A 38603-2024 artfynd.xlsx", "A 38603-2024")</f>
        <v/>
      </c>
      <c r="T268">
        <f>HYPERLINK("https://klasma.github.io/Logging_2260/kartor/A 38603-2024 karta.png", "A 38603-2024")</f>
        <v/>
      </c>
      <c r="V268">
        <f>HYPERLINK("https://klasma.github.io/Logging_2260/klagomål/A 38603-2024 FSC-klagomål.docx", "A 38603-2024")</f>
        <v/>
      </c>
      <c r="W268">
        <f>HYPERLINK("https://klasma.github.io/Logging_2260/klagomålsmail/A 38603-2024 FSC-klagomål mail.docx", "A 38603-2024")</f>
        <v/>
      </c>
      <c r="X268">
        <f>HYPERLINK("https://klasma.github.io/Logging_2260/tillsyn/A 38603-2024 tillsynsbegäran.docx", "A 38603-2024")</f>
        <v/>
      </c>
      <c r="Y268">
        <f>HYPERLINK("https://klasma.github.io/Logging_2260/tillsynsmail/A 38603-2024 tillsynsbegäran mail.docx", "A 38603-2024")</f>
        <v/>
      </c>
    </row>
    <row r="269" ht="15" customHeight="1">
      <c r="A269" t="inlineStr">
        <is>
          <t>A 39180-2024</t>
        </is>
      </c>
      <c r="B269" s="1" t="n">
        <v>45548</v>
      </c>
      <c r="C269" s="1" t="n">
        <v>45588</v>
      </c>
      <c r="D269" t="inlineStr">
        <is>
          <t>VÄSTERNORRLANDS LÄN</t>
        </is>
      </c>
      <c r="E269" t="inlineStr">
        <is>
          <t>ÅNGE</t>
        </is>
      </c>
      <c r="F269" t="inlineStr">
        <is>
          <t>SCA</t>
        </is>
      </c>
      <c r="G269" t="n">
        <v>8.699999999999999</v>
      </c>
      <c r="H269" t="n">
        <v>0</v>
      </c>
      <c r="I269" t="n">
        <v>0</v>
      </c>
      <c r="J269" t="n">
        <v>1</v>
      </c>
      <c r="K269" t="n">
        <v>0</v>
      </c>
      <c r="L269" t="n">
        <v>0</v>
      </c>
      <c r="M269" t="n">
        <v>0</v>
      </c>
      <c r="N269" t="n">
        <v>0</v>
      </c>
      <c r="O269" t="n">
        <v>1</v>
      </c>
      <c r="P269" t="n">
        <v>0</v>
      </c>
      <c r="Q269" t="n">
        <v>1</v>
      </c>
      <c r="R269" s="2" t="inlineStr">
        <is>
          <t>Lunglav</t>
        </is>
      </c>
      <c r="S269">
        <f>HYPERLINK("https://klasma.github.io/Logging_2260/artfynd/A 39180-2024 artfynd.xlsx", "A 39180-2024")</f>
        <v/>
      </c>
      <c r="T269">
        <f>HYPERLINK("https://klasma.github.io/Logging_2260/kartor/A 39180-2024 karta.png", "A 39180-2024")</f>
        <v/>
      </c>
      <c r="V269">
        <f>HYPERLINK("https://klasma.github.io/Logging_2260/klagomål/A 39180-2024 FSC-klagomål.docx", "A 39180-2024")</f>
        <v/>
      </c>
      <c r="W269">
        <f>HYPERLINK("https://klasma.github.io/Logging_2260/klagomålsmail/A 39180-2024 FSC-klagomål mail.docx", "A 39180-2024")</f>
        <v/>
      </c>
      <c r="X269">
        <f>HYPERLINK("https://klasma.github.io/Logging_2260/tillsyn/A 39180-2024 tillsynsbegäran.docx", "A 39180-2024")</f>
        <v/>
      </c>
      <c r="Y269">
        <f>HYPERLINK("https://klasma.github.io/Logging_2260/tillsynsmail/A 39180-2024 tillsynsbegäran mail.docx", "A 39180-2024")</f>
        <v/>
      </c>
    </row>
    <row r="270" ht="15" customHeight="1">
      <c r="A270" t="inlineStr">
        <is>
          <t>A 39688-2024</t>
        </is>
      </c>
      <c r="B270" s="1" t="n">
        <v>45552</v>
      </c>
      <c r="C270" s="1" t="n">
        <v>45588</v>
      </c>
      <c r="D270" t="inlineStr">
        <is>
          <t>VÄSTERNORRLANDS LÄN</t>
        </is>
      </c>
      <c r="E270" t="inlineStr">
        <is>
          <t>ÅNGE</t>
        </is>
      </c>
      <c r="G270" t="n">
        <v>5.7</v>
      </c>
      <c r="H270" t="n">
        <v>1</v>
      </c>
      <c r="I270" t="n">
        <v>0</v>
      </c>
      <c r="J270" t="n">
        <v>0</v>
      </c>
      <c r="K270" t="n">
        <v>0</v>
      </c>
      <c r="L270" t="n">
        <v>0</v>
      </c>
      <c r="M270" t="n">
        <v>0</v>
      </c>
      <c r="N270" t="n">
        <v>0</v>
      </c>
      <c r="O270" t="n">
        <v>0</v>
      </c>
      <c r="P270" t="n">
        <v>0</v>
      </c>
      <c r="Q270" t="n">
        <v>1</v>
      </c>
      <c r="R270" s="2" t="inlineStr">
        <is>
          <t>Revlummer</t>
        </is>
      </c>
      <c r="S270">
        <f>HYPERLINK("https://klasma.github.io/Logging_2260/artfynd/A 39688-2024 artfynd.xlsx", "A 39688-2024")</f>
        <v/>
      </c>
      <c r="T270">
        <f>HYPERLINK("https://klasma.github.io/Logging_2260/kartor/A 39688-2024 karta.png", "A 39688-2024")</f>
        <v/>
      </c>
      <c r="V270">
        <f>HYPERLINK("https://klasma.github.io/Logging_2260/klagomål/A 39688-2024 FSC-klagomål.docx", "A 39688-2024")</f>
        <v/>
      </c>
      <c r="W270">
        <f>HYPERLINK("https://klasma.github.io/Logging_2260/klagomålsmail/A 39688-2024 FSC-klagomål mail.docx", "A 39688-2024")</f>
        <v/>
      </c>
      <c r="X270">
        <f>HYPERLINK("https://klasma.github.io/Logging_2260/tillsyn/A 39688-2024 tillsynsbegäran.docx", "A 39688-2024")</f>
        <v/>
      </c>
      <c r="Y270">
        <f>HYPERLINK("https://klasma.github.io/Logging_2260/tillsynsmail/A 39688-2024 tillsynsbegäran mail.docx", "A 39688-2024")</f>
        <v/>
      </c>
    </row>
    <row r="271" ht="15" customHeight="1">
      <c r="A271" t="inlineStr">
        <is>
          <t>A 39638-2024</t>
        </is>
      </c>
      <c r="B271" s="1" t="n">
        <v>45552</v>
      </c>
      <c r="C271" s="1" t="n">
        <v>45588</v>
      </c>
      <c r="D271" t="inlineStr">
        <is>
          <t>VÄSTERNORRLANDS LÄN</t>
        </is>
      </c>
      <c r="E271" t="inlineStr">
        <is>
          <t>ÅNGE</t>
        </is>
      </c>
      <c r="G271" t="n">
        <v>3</v>
      </c>
      <c r="H271" t="n">
        <v>1</v>
      </c>
      <c r="I271" t="n">
        <v>0</v>
      </c>
      <c r="J271" t="n">
        <v>0</v>
      </c>
      <c r="K271" t="n">
        <v>0</v>
      </c>
      <c r="L271" t="n">
        <v>0</v>
      </c>
      <c r="M271" t="n">
        <v>0</v>
      </c>
      <c r="N271" t="n">
        <v>0</v>
      </c>
      <c r="O271" t="n">
        <v>0</v>
      </c>
      <c r="P271" t="n">
        <v>0</v>
      </c>
      <c r="Q271" t="n">
        <v>1</v>
      </c>
      <c r="R271" s="2" t="inlineStr">
        <is>
          <t>Tjäder</t>
        </is>
      </c>
      <c r="S271">
        <f>HYPERLINK("https://klasma.github.io/Logging_2260/artfynd/A 39638-2024 artfynd.xlsx", "A 39638-2024")</f>
        <v/>
      </c>
      <c r="T271">
        <f>HYPERLINK("https://klasma.github.io/Logging_2260/kartor/A 39638-2024 karta.png", "A 39638-2024")</f>
        <v/>
      </c>
      <c r="V271">
        <f>HYPERLINK("https://klasma.github.io/Logging_2260/klagomål/A 39638-2024 FSC-klagomål.docx", "A 39638-2024")</f>
        <v/>
      </c>
      <c r="W271">
        <f>HYPERLINK("https://klasma.github.io/Logging_2260/klagomålsmail/A 39638-2024 FSC-klagomål mail.docx", "A 39638-2024")</f>
        <v/>
      </c>
      <c r="X271">
        <f>HYPERLINK("https://klasma.github.io/Logging_2260/tillsyn/A 39638-2024 tillsynsbegäran.docx", "A 39638-2024")</f>
        <v/>
      </c>
      <c r="Y271">
        <f>HYPERLINK("https://klasma.github.io/Logging_2260/tillsynsmail/A 39638-2024 tillsynsbegäran mail.docx", "A 39638-2024")</f>
        <v/>
      </c>
      <c r="Z271">
        <f>HYPERLINK("https://klasma.github.io/Logging_2260/fåglar/A 39638-2024 prioriterade fågelarter.docx", "A 39638-2024")</f>
        <v/>
      </c>
    </row>
    <row r="272" ht="15" customHeight="1">
      <c r="A272" t="inlineStr">
        <is>
          <t>A 40110-2024</t>
        </is>
      </c>
      <c r="B272" s="1" t="n">
        <v>45554</v>
      </c>
      <c r="C272" s="1" t="n">
        <v>45588</v>
      </c>
      <c r="D272" t="inlineStr">
        <is>
          <t>VÄSTERNORRLANDS LÄN</t>
        </is>
      </c>
      <c r="E272" t="inlineStr">
        <is>
          <t>ÅNGE</t>
        </is>
      </c>
      <c r="G272" t="n">
        <v>11.8</v>
      </c>
      <c r="H272" t="n">
        <v>0</v>
      </c>
      <c r="I272" t="n">
        <v>0</v>
      </c>
      <c r="J272" t="n">
        <v>1</v>
      </c>
      <c r="K272" t="n">
        <v>0</v>
      </c>
      <c r="L272" t="n">
        <v>0</v>
      </c>
      <c r="M272" t="n">
        <v>0</v>
      </c>
      <c r="N272" t="n">
        <v>0</v>
      </c>
      <c r="O272" t="n">
        <v>1</v>
      </c>
      <c r="P272" t="n">
        <v>0</v>
      </c>
      <c r="Q272" t="n">
        <v>1</v>
      </c>
      <c r="R272" s="2" t="inlineStr">
        <is>
          <t>Lunglav</t>
        </is>
      </c>
      <c r="S272">
        <f>HYPERLINK("https://klasma.github.io/Logging_2260/artfynd/A 40110-2024 artfynd.xlsx", "A 40110-2024")</f>
        <v/>
      </c>
      <c r="T272">
        <f>HYPERLINK("https://klasma.github.io/Logging_2260/kartor/A 40110-2024 karta.png", "A 40110-2024")</f>
        <v/>
      </c>
      <c r="V272">
        <f>HYPERLINK("https://klasma.github.io/Logging_2260/klagomål/A 40110-2024 FSC-klagomål.docx", "A 40110-2024")</f>
        <v/>
      </c>
      <c r="W272">
        <f>HYPERLINK("https://klasma.github.io/Logging_2260/klagomålsmail/A 40110-2024 FSC-klagomål mail.docx", "A 40110-2024")</f>
        <v/>
      </c>
      <c r="X272">
        <f>HYPERLINK("https://klasma.github.io/Logging_2260/tillsyn/A 40110-2024 tillsynsbegäran.docx", "A 40110-2024")</f>
        <v/>
      </c>
      <c r="Y272">
        <f>HYPERLINK("https://klasma.github.io/Logging_2260/tillsynsmail/A 40110-2024 tillsynsbegäran mail.docx", "A 40110-2024")</f>
        <v/>
      </c>
    </row>
    <row r="273" ht="15" customHeight="1">
      <c r="A273" t="inlineStr">
        <is>
          <t>A 40214-2024</t>
        </is>
      </c>
      <c r="B273" s="1" t="n">
        <v>45554</v>
      </c>
      <c r="C273" s="1" t="n">
        <v>45588</v>
      </c>
      <c r="D273" t="inlineStr">
        <is>
          <t>VÄSTERNORRLANDS LÄN</t>
        </is>
      </c>
      <c r="E273" t="inlineStr">
        <is>
          <t>ÅNGE</t>
        </is>
      </c>
      <c r="F273" t="inlineStr">
        <is>
          <t>SCA</t>
        </is>
      </c>
      <c r="G273" t="n">
        <v>7.7</v>
      </c>
      <c r="H273" t="n">
        <v>0</v>
      </c>
      <c r="I273" t="n">
        <v>0</v>
      </c>
      <c r="J273" t="n">
        <v>1</v>
      </c>
      <c r="K273" t="n">
        <v>0</v>
      </c>
      <c r="L273" t="n">
        <v>0</v>
      </c>
      <c r="M273" t="n">
        <v>0</v>
      </c>
      <c r="N273" t="n">
        <v>0</v>
      </c>
      <c r="O273" t="n">
        <v>1</v>
      </c>
      <c r="P273" t="n">
        <v>0</v>
      </c>
      <c r="Q273" t="n">
        <v>1</v>
      </c>
      <c r="R273" s="2" t="inlineStr">
        <is>
          <t>Lunglav</t>
        </is>
      </c>
      <c r="S273">
        <f>HYPERLINK("https://klasma.github.io/Logging_2260/artfynd/A 40214-2024 artfynd.xlsx", "A 40214-2024")</f>
        <v/>
      </c>
      <c r="T273">
        <f>HYPERLINK("https://klasma.github.io/Logging_2260/kartor/A 40214-2024 karta.png", "A 40214-2024")</f>
        <v/>
      </c>
      <c r="V273">
        <f>HYPERLINK("https://klasma.github.io/Logging_2260/klagomål/A 40214-2024 FSC-klagomål.docx", "A 40214-2024")</f>
        <v/>
      </c>
      <c r="W273">
        <f>HYPERLINK("https://klasma.github.io/Logging_2260/klagomålsmail/A 40214-2024 FSC-klagomål mail.docx", "A 40214-2024")</f>
        <v/>
      </c>
      <c r="X273">
        <f>HYPERLINK("https://klasma.github.io/Logging_2260/tillsyn/A 40214-2024 tillsynsbegäran.docx", "A 40214-2024")</f>
        <v/>
      </c>
      <c r="Y273">
        <f>HYPERLINK("https://klasma.github.io/Logging_2260/tillsynsmail/A 40214-2024 tillsynsbegäran mail.docx", "A 40214-2024")</f>
        <v/>
      </c>
    </row>
    <row r="274" ht="15" customHeight="1">
      <c r="A274" t="inlineStr">
        <is>
          <t>A 43171-2024</t>
        </is>
      </c>
      <c r="B274" s="1" t="n">
        <v>45567</v>
      </c>
      <c r="C274" s="1" t="n">
        <v>45588</v>
      </c>
      <c r="D274" t="inlineStr">
        <is>
          <t>VÄSTERNORRLANDS LÄN</t>
        </is>
      </c>
      <c r="E274" t="inlineStr">
        <is>
          <t>ÅNGE</t>
        </is>
      </c>
      <c r="F274" t="inlineStr">
        <is>
          <t>SCA</t>
        </is>
      </c>
      <c r="G274" t="n">
        <v>3.4</v>
      </c>
      <c r="H274" t="n">
        <v>0</v>
      </c>
      <c r="I274" t="n">
        <v>0</v>
      </c>
      <c r="J274" t="n">
        <v>1</v>
      </c>
      <c r="K274" t="n">
        <v>0</v>
      </c>
      <c r="L274" t="n">
        <v>0</v>
      </c>
      <c r="M274" t="n">
        <v>0</v>
      </c>
      <c r="N274" t="n">
        <v>0</v>
      </c>
      <c r="O274" t="n">
        <v>1</v>
      </c>
      <c r="P274" t="n">
        <v>0</v>
      </c>
      <c r="Q274" t="n">
        <v>1</v>
      </c>
      <c r="R274" s="2" t="inlineStr">
        <is>
          <t>Rosenticka</t>
        </is>
      </c>
      <c r="S274">
        <f>HYPERLINK("https://klasma.github.io/Logging_2260/artfynd/A 43171-2024 artfynd.xlsx", "A 43171-2024")</f>
        <v/>
      </c>
      <c r="T274">
        <f>HYPERLINK("https://klasma.github.io/Logging_2260/kartor/A 43171-2024 karta.png", "A 43171-2024")</f>
        <v/>
      </c>
      <c r="V274">
        <f>HYPERLINK("https://klasma.github.io/Logging_2260/klagomål/A 43171-2024 FSC-klagomål.docx", "A 43171-2024")</f>
        <v/>
      </c>
      <c r="W274">
        <f>HYPERLINK("https://klasma.github.io/Logging_2260/klagomålsmail/A 43171-2024 FSC-klagomål mail.docx", "A 43171-2024")</f>
        <v/>
      </c>
      <c r="X274">
        <f>HYPERLINK("https://klasma.github.io/Logging_2260/tillsyn/A 43171-2024 tillsynsbegäran.docx", "A 43171-2024")</f>
        <v/>
      </c>
      <c r="Y274">
        <f>HYPERLINK("https://klasma.github.io/Logging_2260/tillsynsmail/A 43171-2024 tillsynsbegäran mail.docx", "A 43171-2024")</f>
        <v/>
      </c>
    </row>
    <row r="275" ht="15" customHeight="1">
      <c r="A275" t="inlineStr">
        <is>
          <t>A 45853-2024</t>
        </is>
      </c>
      <c r="B275" s="1" t="n">
        <v>45580</v>
      </c>
      <c r="C275" s="1" t="n">
        <v>45588</v>
      </c>
      <c r="D275" t="inlineStr">
        <is>
          <t>VÄSTERNORRLANDS LÄN</t>
        </is>
      </c>
      <c r="E275" t="inlineStr">
        <is>
          <t>ÅNGE</t>
        </is>
      </c>
      <c r="F275" t="inlineStr">
        <is>
          <t>SCA</t>
        </is>
      </c>
      <c r="G275" t="n">
        <v>14.5</v>
      </c>
      <c r="H275" t="n">
        <v>1</v>
      </c>
      <c r="I275" t="n">
        <v>0</v>
      </c>
      <c r="J275" t="n">
        <v>1</v>
      </c>
      <c r="K275" t="n">
        <v>0</v>
      </c>
      <c r="L275" t="n">
        <v>0</v>
      </c>
      <c r="M275" t="n">
        <v>0</v>
      </c>
      <c r="N275" t="n">
        <v>0</v>
      </c>
      <c r="O275" t="n">
        <v>1</v>
      </c>
      <c r="P275" t="n">
        <v>0</v>
      </c>
      <c r="Q275" t="n">
        <v>1</v>
      </c>
      <c r="R275" s="2" t="inlineStr">
        <is>
          <t>Järpe</t>
        </is>
      </c>
      <c r="S275">
        <f>HYPERLINK("https://klasma.github.io/Logging_2260/artfynd/A 45853-2024 artfynd.xlsx", "A 45853-2024")</f>
        <v/>
      </c>
      <c r="T275">
        <f>HYPERLINK("https://klasma.github.io/Logging_2260/kartor/A 45853-2024 karta.png", "A 45853-2024")</f>
        <v/>
      </c>
      <c r="V275">
        <f>HYPERLINK("https://klasma.github.io/Logging_2260/klagomål/A 45853-2024 FSC-klagomål.docx", "A 45853-2024")</f>
        <v/>
      </c>
      <c r="W275">
        <f>HYPERLINK("https://klasma.github.io/Logging_2260/klagomålsmail/A 45853-2024 FSC-klagomål mail.docx", "A 45853-2024")</f>
        <v/>
      </c>
      <c r="X275">
        <f>HYPERLINK("https://klasma.github.io/Logging_2260/tillsyn/A 45853-2024 tillsynsbegäran.docx", "A 45853-2024")</f>
        <v/>
      </c>
      <c r="Y275">
        <f>HYPERLINK("https://klasma.github.io/Logging_2260/tillsynsmail/A 45853-2024 tillsynsbegäran mail.docx", "A 45853-2024")</f>
        <v/>
      </c>
      <c r="Z275">
        <f>HYPERLINK("https://klasma.github.io/Logging_2260/fåglar/A 45853-2024 prioriterade fågelarter.docx", "A 45853-2024")</f>
        <v/>
      </c>
    </row>
    <row r="276" ht="15" customHeight="1">
      <c r="A276" t="inlineStr">
        <is>
          <t>A 17854-2019</t>
        </is>
      </c>
      <c r="B276" s="1" t="n">
        <v>43556</v>
      </c>
      <c r="C276" s="1" t="n">
        <v>45588</v>
      </c>
      <c r="D276" t="inlineStr">
        <is>
          <t>VÄSTERNORRLANDS LÄN</t>
        </is>
      </c>
      <c r="E276" t="inlineStr">
        <is>
          <t>ÅNGE</t>
        </is>
      </c>
      <c r="G276" t="n">
        <v>0.6</v>
      </c>
      <c r="H276" t="n">
        <v>0</v>
      </c>
      <c r="I276" t="n">
        <v>0</v>
      </c>
      <c r="J276" t="n">
        <v>0</v>
      </c>
      <c r="K276" t="n">
        <v>0</v>
      </c>
      <c r="L276" t="n">
        <v>0</v>
      </c>
      <c r="M276" t="n">
        <v>0</v>
      </c>
      <c r="N276" t="n">
        <v>0</v>
      </c>
      <c r="O276" t="n">
        <v>0</v>
      </c>
      <c r="P276" t="n">
        <v>0</v>
      </c>
      <c r="Q276" t="n">
        <v>0</v>
      </c>
      <c r="R276" s="2" t="inlineStr"/>
    </row>
    <row r="277" ht="15" customHeight="1">
      <c r="A277" t="inlineStr">
        <is>
          <t>A 17857-2019</t>
        </is>
      </c>
      <c r="B277" s="1" t="n">
        <v>43556</v>
      </c>
      <c r="C277" s="1" t="n">
        <v>45588</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17764-2019</t>
        </is>
      </c>
      <c r="B278" s="1" t="n">
        <v>43556</v>
      </c>
      <c r="C278" s="1" t="n">
        <v>45588</v>
      </c>
      <c r="D278" t="inlineStr">
        <is>
          <t>VÄSTERNORRLANDS LÄN</t>
        </is>
      </c>
      <c r="E278" t="inlineStr">
        <is>
          <t>ÅNGE</t>
        </is>
      </c>
      <c r="F278" t="inlineStr">
        <is>
          <t>Kyrkan</t>
        </is>
      </c>
      <c r="G278" t="n">
        <v>20.7</v>
      </c>
      <c r="H278" t="n">
        <v>0</v>
      </c>
      <c r="I278" t="n">
        <v>0</v>
      </c>
      <c r="J278" t="n">
        <v>0</v>
      </c>
      <c r="K278" t="n">
        <v>0</v>
      </c>
      <c r="L278" t="n">
        <v>0</v>
      </c>
      <c r="M278" t="n">
        <v>0</v>
      </c>
      <c r="N278" t="n">
        <v>0</v>
      </c>
      <c r="O278" t="n">
        <v>0</v>
      </c>
      <c r="P278" t="n">
        <v>0</v>
      </c>
      <c r="Q278" t="n">
        <v>0</v>
      </c>
      <c r="R278" s="2" t="inlineStr"/>
    </row>
    <row r="279" ht="15" customHeight="1">
      <c r="A279" t="inlineStr">
        <is>
          <t>A 18069-2019</t>
        </is>
      </c>
      <c r="B279" s="1" t="n">
        <v>43557</v>
      </c>
      <c r="C279" s="1" t="n">
        <v>45588</v>
      </c>
      <c r="D279" t="inlineStr">
        <is>
          <t>VÄSTERNORRLANDS LÄN</t>
        </is>
      </c>
      <c r="E279" t="inlineStr">
        <is>
          <t>ÅNGE</t>
        </is>
      </c>
      <c r="F279" t="inlineStr">
        <is>
          <t>SCA</t>
        </is>
      </c>
      <c r="G279" t="n">
        <v>21.2</v>
      </c>
      <c r="H279" t="n">
        <v>0</v>
      </c>
      <c r="I279" t="n">
        <v>0</v>
      </c>
      <c r="J279" t="n">
        <v>0</v>
      </c>
      <c r="K279" t="n">
        <v>0</v>
      </c>
      <c r="L279" t="n">
        <v>0</v>
      </c>
      <c r="M279" t="n">
        <v>0</v>
      </c>
      <c r="N279" t="n">
        <v>0</v>
      </c>
      <c r="O279" t="n">
        <v>0</v>
      </c>
      <c r="P279" t="n">
        <v>0</v>
      </c>
      <c r="Q279" t="n">
        <v>0</v>
      </c>
      <c r="R279" s="2" t="inlineStr"/>
    </row>
    <row r="280" ht="15" customHeight="1">
      <c r="A280" t="inlineStr">
        <is>
          <t>A 18304-2019</t>
        </is>
      </c>
      <c r="B280" s="1" t="n">
        <v>43558</v>
      </c>
      <c r="C280" s="1" t="n">
        <v>45588</v>
      </c>
      <c r="D280" t="inlineStr">
        <is>
          <t>VÄSTERNORRLANDS LÄN</t>
        </is>
      </c>
      <c r="E280" t="inlineStr">
        <is>
          <t>ÅNGE</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19008-2019</t>
        </is>
      </c>
      <c r="B281" s="1" t="n">
        <v>43563</v>
      </c>
      <c r="C281" s="1" t="n">
        <v>45588</v>
      </c>
      <c r="D281" t="inlineStr">
        <is>
          <t>VÄSTERNORRLANDS LÄN</t>
        </is>
      </c>
      <c r="E281" t="inlineStr">
        <is>
          <t>ÅNGE</t>
        </is>
      </c>
      <c r="G281" t="n">
        <v>5.7</v>
      </c>
      <c r="H281" t="n">
        <v>0</v>
      </c>
      <c r="I281" t="n">
        <v>0</v>
      </c>
      <c r="J281" t="n">
        <v>0</v>
      </c>
      <c r="K281" t="n">
        <v>0</v>
      </c>
      <c r="L281" t="n">
        <v>0</v>
      </c>
      <c r="M281" t="n">
        <v>0</v>
      </c>
      <c r="N281" t="n">
        <v>0</v>
      </c>
      <c r="O281" t="n">
        <v>0</v>
      </c>
      <c r="P281" t="n">
        <v>0</v>
      </c>
      <c r="Q281" t="n">
        <v>0</v>
      </c>
      <c r="R281" s="2" t="inlineStr"/>
    </row>
    <row r="282" ht="15" customHeight="1">
      <c r="A282" t="inlineStr">
        <is>
          <t>A 19273-2019</t>
        </is>
      </c>
      <c r="B282" s="1" t="n">
        <v>43564</v>
      </c>
      <c r="C282" s="1" t="n">
        <v>45588</v>
      </c>
      <c r="D282" t="inlineStr">
        <is>
          <t>VÄSTERNORRLANDS LÄN</t>
        </is>
      </c>
      <c r="E282" t="inlineStr">
        <is>
          <t>ÅNGE</t>
        </is>
      </c>
      <c r="G282" t="n">
        <v>5.3</v>
      </c>
      <c r="H282" t="n">
        <v>0</v>
      </c>
      <c r="I282" t="n">
        <v>0</v>
      </c>
      <c r="J282" t="n">
        <v>0</v>
      </c>
      <c r="K282" t="n">
        <v>0</v>
      </c>
      <c r="L282" t="n">
        <v>0</v>
      </c>
      <c r="M282" t="n">
        <v>0</v>
      </c>
      <c r="N282" t="n">
        <v>0</v>
      </c>
      <c r="O282" t="n">
        <v>0</v>
      </c>
      <c r="P282" t="n">
        <v>0</v>
      </c>
      <c r="Q282" t="n">
        <v>0</v>
      </c>
      <c r="R282" s="2" t="inlineStr"/>
    </row>
    <row r="283" ht="15" customHeight="1">
      <c r="A283" t="inlineStr">
        <is>
          <t>A 19274-2019</t>
        </is>
      </c>
      <c r="B283" s="1" t="n">
        <v>43564</v>
      </c>
      <c r="C283" s="1" t="n">
        <v>45588</v>
      </c>
      <c r="D283" t="inlineStr">
        <is>
          <t>VÄSTERNORRLANDS LÄN</t>
        </is>
      </c>
      <c r="E283" t="inlineStr">
        <is>
          <t>ÅNGE</t>
        </is>
      </c>
      <c r="G283" t="n">
        <v>2.1</v>
      </c>
      <c r="H283" t="n">
        <v>0</v>
      </c>
      <c r="I283" t="n">
        <v>0</v>
      </c>
      <c r="J283" t="n">
        <v>0</v>
      </c>
      <c r="K283" t="n">
        <v>0</v>
      </c>
      <c r="L283" t="n">
        <v>0</v>
      </c>
      <c r="M283" t="n">
        <v>0</v>
      </c>
      <c r="N283" t="n">
        <v>0</v>
      </c>
      <c r="O283" t="n">
        <v>0</v>
      </c>
      <c r="P283" t="n">
        <v>0</v>
      </c>
      <c r="Q283" t="n">
        <v>0</v>
      </c>
      <c r="R283" s="2" t="inlineStr"/>
    </row>
    <row r="284" ht="15" customHeight="1">
      <c r="A284" t="inlineStr">
        <is>
          <t>A 19266-2019</t>
        </is>
      </c>
      <c r="B284" s="1" t="n">
        <v>43564</v>
      </c>
      <c r="C284" s="1" t="n">
        <v>45588</v>
      </c>
      <c r="D284" t="inlineStr">
        <is>
          <t>VÄSTERNORRLANDS LÄN</t>
        </is>
      </c>
      <c r="E284" t="inlineStr">
        <is>
          <t>ÅNGE</t>
        </is>
      </c>
      <c r="G284" t="n">
        <v>4</v>
      </c>
      <c r="H284" t="n">
        <v>0</v>
      </c>
      <c r="I284" t="n">
        <v>0</v>
      </c>
      <c r="J284" t="n">
        <v>0</v>
      </c>
      <c r="K284" t="n">
        <v>0</v>
      </c>
      <c r="L284" t="n">
        <v>0</v>
      </c>
      <c r="M284" t="n">
        <v>0</v>
      </c>
      <c r="N284" t="n">
        <v>0</v>
      </c>
      <c r="O284" t="n">
        <v>0</v>
      </c>
      <c r="P284" t="n">
        <v>0</v>
      </c>
      <c r="Q284" t="n">
        <v>0</v>
      </c>
      <c r="R284" s="2" t="inlineStr"/>
    </row>
    <row r="285" ht="15" customHeight="1">
      <c r="A285" t="inlineStr">
        <is>
          <t>A 19270-2019</t>
        </is>
      </c>
      <c r="B285" s="1" t="n">
        <v>43564</v>
      </c>
      <c r="C285" s="1" t="n">
        <v>45588</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19310-2019</t>
        </is>
      </c>
      <c r="B286" s="1" t="n">
        <v>43565</v>
      </c>
      <c r="C286" s="1" t="n">
        <v>45588</v>
      </c>
      <c r="D286" t="inlineStr">
        <is>
          <t>VÄSTERNORRLANDS LÄN</t>
        </is>
      </c>
      <c r="E286" t="inlineStr">
        <is>
          <t>ÅNGE</t>
        </is>
      </c>
      <c r="G286" t="n">
        <v>1.4</v>
      </c>
      <c r="H286" t="n">
        <v>0</v>
      </c>
      <c r="I286" t="n">
        <v>0</v>
      </c>
      <c r="J286" t="n">
        <v>0</v>
      </c>
      <c r="K286" t="n">
        <v>0</v>
      </c>
      <c r="L286" t="n">
        <v>0</v>
      </c>
      <c r="M286" t="n">
        <v>0</v>
      </c>
      <c r="N286" t="n">
        <v>0</v>
      </c>
      <c r="O286" t="n">
        <v>0</v>
      </c>
      <c r="P286" t="n">
        <v>0</v>
      </c>
      <c r="Q286" t="n">
        <v>0</v>
      </c>
      <c r="R286" s="2" t="inlineStr"/>
    </row>
    <row r="287" ht="15" customHeight="1">
      <c r="A287" t="inlineStr">
        <is>
          <t>A 20062-2019</t>
        </is>
      </c>
      <c r="B287" s="1" t="n">
        <v>43570</v>
      </c>
      <c r="C287" s="1" t="n">
        <v>45588</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20102-2019</t>
        </is>
      </c>
      <c r="B288" s="1" t="n">
        <v>43570</v>
      </c>
      <c r="C288" s="1" t="n">
        <v>45588</v>
      </c>
      <c r="D288" t="inlineStr">
        <is>
          <t>VÄSTERNORRLANDS LÄN</t>
        </is>
      </c>
      <c r="E288" t="inlineStr">
        <is>
          <t>ÅNGE</t>
        </is>
      </c>
      <c r="F288" t="inlineStr">
        <is>
          <t>Övriga Aktiebolag</t>
        </is>
      </c>
      <c r="G288" t="n">
        <v>3.6</v>
      </c>
      <c r="H288" t="n">
        <v>0</v>
      </c>
      <c r="I288" t="n">
        <v>0</v>
      </c>
      <c r="J288" t="n">
        <v>0</v>
      </c>
      <c r="K288" t="n">
        <v>0</v>
      </c>
      <c r="L288" t="n">
        <v>0</v>
      </c>
      <c r="M288" t="n">
        <v>0</v>
      </c>
      <c r="N288" t="n">
        <v>0</v>
      </c>
      <c r="O288" t="n">
        <v>0</v>
      </c>
      <c r="P288" t="n">
        <v>0</v>
      </c>
      <c r="Q288" t="n">
        <v>0</v>
      </c>
      <c r="R288" s="2" t="inlineStr"/>
    </row>
    <row r="289" ht="15" customHeight="1">
      <c r="A289" t="inlineStr">
        <is>
          <t>A 20397-2019</t>
        </is>
      </c>
      <c r="B289" s="1" t="n">
        <v>43571</v>
      </c>
      <c r="C289" s="1" t="n">
        <v>45588</v>
      </c>
      <c r="D289" t="inlineStr">
        <is>
          <t>VÄSTERNORRLANDS LÄN</t>
        </is>
      </c>
      <c r="E289" t="inlineStr">
        <is>
          <t>ÅNGE</t>
        </is>
      </c>
      <c r="G289" t="n">
        <v>2.4</v>
      </c>
      <c r="H289" t="n">
        <v>0</v>
      </c>
      <c r="I289" t="n">
        <v>0</v>
      </c>
      <c r="J289" t="n">
        <v>0</v>
      </c>
      <c r="K289" t="n">
        <v>0</v>
      </c>
      <c r="L289" t="n">
        <v>0</v>
      </c>
      <c r="M289" t="n">
        <v>0</v>
      </c>
      <c r="N289" t="n">
        <v>0</v>
      </c>
      <c r="O289" t="n">
        <v>0</v>
      </c>
      <c r="P289" t="n">
        <v>0</v>
      </c>
      <c r="Q289" t="n">
        <v>0</v>
      </c>
      <c r="R289" s="2" t="inlineStr"/>
    </row>
    <row r="290" ht="15" customHeight="1">
      <c r="A290" t="inlineStr">
        <is>
          <t>A 20400-2019</t>
        </is>
      </c>
      <c r="B290" s="1" t="n">
        <v>43571</v>
      </c>
      <c r="C290" s="1" t="n">
        <v>45588</v>
      </c>
      <c r="D290" t="inlineStr">
        <is>
          <t>VÄSTERNORRLANDS LÄN</t>
        </is>
      </c>
      <c r="E290" t="inlineStr">
        <is>
          <t>ÅNGE</t>
        </is>
      </c>
      <c r="G290" t="n">
        <v>0.2</v>
      </c>
      <c r="H290" t="n">
        <v>0</v>
      </c>
      <c r="I290" t="n">
        <v>0</v>
      </c>
      <c r="J290" t="n">
        <v>0</v>
      </c>
      <c r="K290" t="n">
        <v>0</v>
      </c>
      <c r="L290" t="n">
        <v>0</v>
      </c>
      <c r="M290" t="n">
        <v>0</v>
      </c>
      <c r="N290" t="n">
        <v>0</v>
      </c>
      <c r="O290" t="n">
        <v>0</v>
      </c>
      <c r="P290" t="n">
        <v>0</v>
      </c>
      <c r="Q290" t="n">
        <v>0</v>
      </c>
      <c r="R290" s="2" t="inlineStr"/>
    </row>
    <row r="291" ht="15" customHeight="1">
      <c r="A291" t="inlineStr">
        <is>
          <t>A 20600-2019</t>
        </is>
      </c>
      <c r="B291" s="1" t="n">
        <v>43572</v>
      </c>
      <c r="C291" s="1" t="n">
        <v>45588</v>
      </c>
      <c r="D291" t="inlineStr">
        <is>
          <t>VÄSTERNORRLANDS LÄN</t>
        </is>
      </c>
      <c r="E291" t="inlineStr">
        <is>
          <t>ÅNGE</t>
        </is>
      </c>
      <c r="G291" t="n">
        <v>3.9</v>
      </c>
      <c r="H291" t="n">
        <v>0</v>
      </c>
      <c r="I291" t="n">
        <v>0</v>
      </c>
      <c r="J291" t="n">
        <v>0</v>
      </c>
      <c r="K291" t="n">
        <v>0</v>
      </c>
      <c r="L291" t="n">
        <v>0</v>
      </c>
      <c r="M291" t="n">
        <v>0</v>
      </c>
      <c r="N291" t="n">
        <v>0</v>
      </c>
      <c r="O291" t="n">
        <v>0</v>
      </c>
      <c r="P291" t="n">
        <v>0</v>
      </c>
      <c r="Q291" t="n">
        <v>0</v>
      </c>
      <c r="R291" s="2" t="inlineStr"/>
    </row>
    <row r="292" ht="15" customHeight="1">
      <c r="A292" t="inlineStr">
        <is>
          <t>A 21375-2019</t>
        </is>
      </c>
      <c r="B292" s="1" t="n">
        <v>43579</v>
      </c>
      <c r="C292" s="1" t="n">
        <v>45588</v>
      </c>
      <c r="D292" t="inlineStr">
        <is>
          <t>VÄSTERNORRLANDS LÄN</t>
        </is>
      </c>
      <c r="E292" t="inlineStr">
        <is>
          <t>ÅNGE</t>
        </is>
      </c>
      <c r="F292" t="inlineStr">
        <is>
          <t>SCA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21715-2019</t>
        </is>
      </c>
      <c r="B293" s="1" t="n">
        <v>43581</v>
      </c>
      <c r="C293" s="1" t="n">
        <v>45588</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21726-2019</t>
        </is>
      </c>
      <c r="B294" s="1" t="n">
        <v>43581</v>
      </c>
      <c r="C294" s="1" t="n">
        <v>45588</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21795-2019</t>
        </is>
      </c>
      <c r="B295" s="1" t="n">
        <v>43581</v>
      </c>
      <c r="C295" s="1" t="n">
        <v>45588</v>
      </c>
      <c r="D295" t="inlineStr">
        <is>
          <t>VÄSTERNORRLANDS LÄN</t>
        </is>
      </c>
      <c r="E295" t="inlineStr">
        <is>
          <t>ÅNGE</t>
        </is>
      </c>
      <c r="F295" t="inlineStr">
        <is>
          <t>SCA</t>
        </is>
      </c>
      <c r="G295" t="n">
        <v>7.2</v>
      </c>
      <c r="H295" t="n">
        <v>0</v>
      </c>
      <c r="I295" t="n">
        <v>0</v>
      </c>
      <c r="J295" t="n">
        <v>0</v>
      </c>
      <c r="K295" t="n">
        <v>0</v>
      </c>
      <c r="L295" t="n">
        <v>0</v>
      </c>
      <c r="M295" t="n">
        <v>0</v>
      </c>
      <c r="N295" t="n">
        <v>0</v>
      </c>
      <c r="O295" t="n">
        <v>0</v>
      </c>
      <c r="P295" t="n">
        <v>0</v>
      </c>
      <c r="Q295" t="n">
        <v>0</v>
      </c>
      <c r="R295" s="2" t="inlineStr"/>
    </row>
    <row r="296" ht="15" customHeight="1">
      <c r="A296" t="inlineStr">
        <is>
          <t>A 21633-2019</t>
        </is>
      </c>
      <c r="B296" s="1" t="n">
        <v>43581</v>
      </c>
      <c r="C296" s="1" t="n">
        <v>45588</v>
      </c>
      <c r="D296" t="inlineStr">
        <is>
          <t>VÄSTERNORRLANDS LÄN</t>
        </is>
      </c>
      <c r="E296" t="inlineStr">
        <is>
          <t>ÅNGE</t>
        </is>
      </c>
      <c r="G296" t="n">
        <v>7.1</v>
      </c>
      <c r="H296" t="n">
        <v>0</v>
      </c>
      <c r="I296" t="n">
        <v>0</v>
      </c>
      <c r="J296" t="n">
        <v>0</v>
      </c>
      <c r="K296" t="n">
        <v>0</v>
      </c>
      <c r="L296" t="n">
        <v>0</v>
      </c>
      <c r="M296" t="n">
        <v>0</v>
      </c>
      <c r="N296" t="n">
        <v>0</v>
      </c>
      <c r="O296" t="n">
        <v>0</v>
      </c>
      <c r="P296" t="n">
        <v>0</v>
      </c>
      <c r="Q296" t="n">
        <v>0</v>
      </c>
      <c r="R296" s="2" t="inlineStr"/>
    </row>
    <row r="297" ht="15" customHeight="1">
      <c r="A297" t="inlineStr">
        <is>
          <t>A 22202-2019</t>
        </is>
      </c>
      <c r="B297" s="1" t="n">
        <v>43585</v>
      </c>
      <c r="C297" s="1" t="n">
        <v>45588</v>
      </c>
      <c r="D297" t="inlineStr">
        <is>
          <t>VÄSTERNORRLANDS LÄN</t>
        </is>
      </c>
      <c r="E297" t="inlineStr">
        <is>
          <t>ÅNGE</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23403-2019</t>
        </is>
      </c>
      <c r="B298" s="1" t="n">
        <v>43592</v>
      </c>
      <c r="C298" s="1" t="n">
        <v>45588</v>
      </c>
      <c r="D298" t="inlineStr">
        <is>
          <t>VÄSTERNORRLANDS LÄN</t>
        </is>
      </c>
      <c r="E298" t="inlineStr">
        <is>
          <t>ÅNGE</t>
        </is>
      </c>
      <c r="G298" t="n">
        <v>2.2</v>
      </c>
      <c r="H298" t="n">
        <v>0</v>
      </c>
      <c r="I298" t="n">
        <v>0</v>
      </c>
      <c r="J298" t="n">
        <v>0</v>
      </c>
      <c r="K298" t="n">
        <v>0</v>
      </c>
      <c r="L298" t="n">
        <v>0</v>
      </c>
      <c r="M298" t="n">
        <v>0</v>
      </c>
      <c r="N298" t="n">
        <v>0</v>
      </c>
      <c r="O298" t="n">
        <v>0</v>
      </c>
      <c r="P298" t="n">
        <v>0</v>
      </c>
      <c r="Q298" t="n">
        <v>0</v>
      </c>
      <c r="R298" s="2" t="inlineStr"/>
    </row>
    <row r="299" ht="15" customHeight="1">
      <c r="A299" t="inlineStr">
        <is>
          <t>A 23288-2019</t>
        </is>
      </c>
      <c r="B299" s="1" t="n">
        <v>43593</v>
      </c>
      <c r="C299" s="1" t="n">
        <v>45588</v>
      </c>
      <c r="D299" t="inlineStr">
        <is>
          <t>VÄSTERNORRLANDS LÄN</t>
        </is>
      </c>
      <c r="E299" t="inlineStr">
        <is>
          <t>ÅNGE</t>
        </is>
      </c>
      <c r="G299" t="n">
        <v>2.9</v>
      </c>
      <c r="H299" t="n">
        <v>0</v>
      </c>
      <c r="I299" t="n">
        <v>0</v>
      </c>
      <c r="J299" t="n">
        <v>0</v>
      </c>
      <c r="K299" t="n">
        <v>0</v>
      </c>
      <c r="L299" t="n">
        <v>0</v>
      </c>
      <c r="M299" t="n">
        <v>0</v>
      </c>
      <c r="N299" t="n">
        <v>0</v>
      </c>
      <c r="O299" t="n">
        <v>0</v>
      </c>
      <c r="P299" t="n">
        <v>0</v>
      </c>
      <c r="Q299" t="n">
        <v>0</v>
      </c>
      <c r="R299" s="2" t="inlineStr"/>
    </row>
    <row r="300" ht="15" customHeight="1">
      <c r="A300" t="inlineStr">
        <is>
          <t>A 24567-2019</t>
        </is>
      </c>
      <c r="B300" s="1" t="n">
        <v>43600</v>
      </c>
      <c r="C300" s="1" t="n">
        <v>45588</v>
      </c>
      <c r="D300" t="inlineStr">
        <is>
          <t>VÄSTERNORRLANDS LÄN</t>
        </is>
      </c>
      <c r="E300" t="inlineStr">
        <is>
          <t>ÅNGE</t>
        </is>
      </c>
      <c r="G300" t="n">
        <v>2.7</v>
      </c>
      <c r="H300" t="n">
        <v>0</v>
      </c>
      <c r="I300" t="n">
        <v>0</v>
      </c>
      <c r="J300" t="n">
        <v>0</v>
      </c>
      <c r="K300" t="n">
        <v>0</v>
      </c>
      <c r="L300" t="n">
        <v>0</v>
      </c>
      <c r="M300" t="n">
        <v>0</v>
      </c>
      <c r="N300" t="n">
        <v>0</v>
      </c>
      <c r="O300" t="n">
        <v>0</v>
      </c>
      <c r="P300" t="n">
        <v>0</v>
      </c>
      <c r="Q300" t="n">
        <v>0</v>
      </c>
      <c r="R300" s="2" t="inlineStr"/>
    </row>
    <row r="301" ht="15" customHeight="1">
      <c r="A301" t="inlineStr">
        <is>
          <t>A 24568-2019</t>
        </is>
      </c>
      <c r="B301" s="1" t="n">
        <v>43600</v>
      </c>
      <c r="C301" s="1" t="n">
        <v>45588</v>
      </c>
      <c r="D301" t="inlineStr">
        <is>
          <t>VÄSTERNORRLANDS LÄN</t>
        </is>
      </c>
      <c r="E301" t="inlineStr">
        <is>
          <t>ÅNGE</t>
        </is>
      </c>
      <c r="G301" t="n">
        <v>3.2</v>
      </c>
      <c r="H301" t="n">
        <v>0</v>
      </c>
      <c r="I301" t="n">
        <v>0</v>
      </c>
      <c r="J301" t="n">
        <v>0</v>
      </c>
      <c r="K301" t="n">
        <v>0</v>
      </c>
      <c r="L301" t="n">
        <v>0</v>
      </c>
      <c r="M301" t="n">
        <v>0</v>
      </c>
      <c r="N301" t="n">
        <v>0</v>
      </c>
      <c r="O301" t="n">
        <v>0</v>
      </c>
      <c r="P301" t="n">
        <v>0</v>
      </c>
      <c r="Q301" t="n">
        <v>0</v>
      </c>
      <c r="R301" s="2" t="inlineStr"/>
    </row>
    <row r="302" ht="15" customHeight="1">
      <c r="A302" t="inlineStr">
        <is>
          <t>A 24569-2019</t>
        </is>
      </c>
      <c r="B302" s="1" t="n">
        <v>43600</v>
      </c>
      <c r="C302" s="1" t="n">
        <v>45588</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24781-2019</t>
        </is>
      </c>
      <c r="B303" s="1" t="n">
        <v>43601</v>
      </c>
      <c r="C303" s="1" t="n">
        <v>45588</v>
      </c>
      <c r="D303" t="inlineStr">
        <is>
          <t>VÄSTERNORRLANDS LÄN</t>
        </is>
      </c>
      <c r="E303" t="inlineStr">
        <is>
          <t>ÅNGE</t>
        </is>
      </c>
      <c r="F303" t="inlineStr">
        <is>
          <t>SCA</t>
        </is>
      </c>
      <c r="G303" t="n">
        <v>14.6</v>
      </c>
      <c r="H303" t="n">
        <v>0</v>
      </c>
      <c r="I303" t="n">
        <v>0</v>
      </c>
      <c r="J303" t="n">
        <v>0</v>
      </c>
      <c r="K303" t="n">
        <v>0</v>
      </c>
      <c r="L303" t="n">
        <v>0</v>
      </c>
      <c r="M303" t="n">
        <v>0</v>
      </c>
      <c r="N303" t="n">
        <v>0</v>
      </c>
      <c r="O303" t="n">
        <v>0</v>
      </c>
      <c r="P303" t="n">
        <v>0</v>
      </c>
      <c r="Q303" t="n">
        <v>0</v>
      </c>
      <c r="R303" s="2" t="inlineStr"/>
    </row>
    <row r="304" ht="15" customHeight="1">
      <c r="A304" t="inlineStr">
        <is>
          <t>A 25453-2019</t>
        </is>
      </c>
      <c r="B304" s="1" t="n">
        <v>43606</v>
      </c>
      <c r="C304" s="1" t="n">
        <v>45588</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25549-2019</t>
        </is>
      </c>
      <c r="B305" s="1" t="n">
        <v>43607</v>
      </c>
      <c r="C305" s="1" t="n">
        <v>45588</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26545-2019</t>
        </is>
      </c>
      <c r="B306" s="1" t="n">
        <v>43612</v>
      </c>
      <c r="C306" s="1" t="n">
        <v>45588</v>
      </c>
      <c r="D306" t="inlineStr">
        <is>
          <t>VÄSTERNORRLANDS LÄN</t>
        </is>
      </c>
      <c r="E306" t="inlineStr">
        <is>
          <t>ÅNGE</t>
        </is>
      </c>
      <c r="G306" t="n">
        <v>1</v>
      </c>
      <c r="H306" t="n">
        <v>0</v>
      </c>
      <c r="I306" t="n">
        <v>0</v>
      </c>
      <c r="J306" t="n">
        <v>0</v>
      </c>
      <c r="K306" t="n">
        <v>0</v>
      </c>
      <c r="L306" t="n">
        <v>0</v>
      </c>
      <c r="M306" t="n">
        <v>0</v>
      </c>
      <c r="N306" t="n">
        <v>0</v>
      </c>
      <c r="O306" t="n">
        <v>0</v>
      </c>
      <c r="P306" t="n">
        <v>0</v>
      </c>
      <c r="Q306" t="n">
        <v>0</v>
      </c>
      <c r="R306" s="2" t="inlineStr"/>
    </row>
    <row r="307" ht="15" customHeight="1">
      <c r="A307" t="inlineStr">
        <is>
          <t>A 27211-2019</t>
        </is>
      </c>
      <c r="B307" s="1" t="n">
        <v>43614</v>
      </c>
      <c r="C307" s="1" t="n">
        <v>45588</v>
      </c>
      <c r="D307" t="inlineStr">
        <is>
          <t>VÄSTERNORRLANDS LÄN</t>
        </is>
      </c>
      <c r="E307" t="inlineStr">
        <is>
          <t>ÅNGE</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27759-2019</t>
        </is>
      </c>
      <c r="B308" s="1" t="n">
        <v>43619</v>
      </c>
      <c r="C308" s="1" t="n">
        <v>45588</v>
      </c>
      <c r="D308" t="inlineStr">
        <is>
          <t>VÄSTERNORRLANDS LÄN</t>
        </is>
      </c>
      <c r="E308" t="inlineStr">
        <is>
          <t>ÅNGE</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28856-2019</t>
        </is>
      </c>
      <c r="B309" s="1" t="n">
        <v>43627</v>
      </c>
      <c r="C309" s="1" t="n">
        <v>45588</v>
      </c>
      <c r="D309" t="inlineStr">
        <is>
          <t>VÄSTERNORRLANDS LÄN</t>
        </is>
      </c>
      <c r="E309" t="inlineStr">
        <is>
          <t>ÅNGE</t>
        </is>
      </c>
      <c r="G309" t="n">
        <v>6.9</v>
      </c>
      <c r="H309" t="n">
        <v>0</v>
      </c>
      <c r="I309" t="n">
        <v>0</v>
      </c>
      <c r="J309" t="n">
        <v>0</v>
      </c>
      <c r="K309" t="n">
        <v>0</v>
      </c>
      <c r="L309" t="n">
        <v>0</v>
      </c>
      <c r="M309" t="n">
        <v>0</v>
      </c>
      <c r="N309" t="n">
        <v>0</v>
      </c>
      <c r="O309" t="n">
        <v>0</v>
      </c>
      <c r="P309" t="n">
        <v>0</v>
      </c>
      <c r="Q309" t="n">
        <v>0</v>
      </c>
      <c r="R309" s="2" t="inlineStr"/>
    </row>
    <row r="310" ht="15" customHeight="1">
      <c r="A310" t="inlineStr">
        <is>
          <t>A 28858-2019</t>
        </is>
      </c>
      <c r="B310" s="1" t="n">
        <v>43627</v>
      </c>
      <c r="C310" s="1" t="n">
        <v>45588</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28857-2019</t>
        </is>
      </c>
      <c r="B311" s="1" t="n">
        <v>43627</v>
      </c>
      <c r="C311" s="1" t="n">
        <v>45588</v>
      </c>
      <c r="D311" t="inlineStr">
        <is>
          <t>VÄSTERNORRLANDS LÄN</t>
        </is>
      </c>
      <c r="E311" t="inlineStr">
        <is>
          <t>ÅNGE</t>
        </is>
      </c>
      <c r="G311" t="n">
        <v>4.1</v>
      </c>
      <c r="H311" t="n">
        <v>0</v>
      </c>
      <c r="I311" t="n">
        <v>0</v>
      </c>
      <c r="J311" t="n">
        <v>0</v>
      </c>
      <c r="K311" t="n">
        <v>0</v>
      </c>
      <c r="L311" t="n">
        <v>0</v>
      </c>
      <c r="M311" t="n">
        <v>0</v>
      </c>
      <c r="N311" t="n">
        <v>0</v>
      </c>
      <c r="O311" t="n">
        <v>0</v>
      </c>
      <c r="P311" t="n">
        <v>0</v>
      </c>
      <c r="Q311" t="n">
        <v>0</v>
      </c>
      <c r="R311" s="2" t="inlineStr"/>
    </row>
    <row r="312" ht="15" customHeight="1">
      <c r="A312" t="inlineStr">
        <is>
          <t>A 28855-2019</t>
        </is>
      </c>
      <c r="B312" s="1" t="n">
        <v>43627</v>
      </c>
      <c r="C312" s="1" t="n">
        <v>45588</v>
      </c>
      <c r="D312" t="inlineStr">
        <is>
          <t>VÄSTERNORRLANDS LÄN</t>
        </is>
      </c>
      <c r="E312" t="inlineStr">
        <is>
          <t>ÅNGE</t>
        </is>
      </c>
      <c r="G312" t="n">
        <v>8.6</v>
      </c>
      <c r="H312" t="n">
        <v>0</v>
      </c>
      <c r="I312" t="n">
        <v>0</v>
      </c>
      <c r="J312" t="n">
        <v>0</v>
      </c>
      <c r="K312" t="n">
        <v>0</v>
      </c>
      <c r="L312" t="n">
        <v>0</v>
      </c>
      <c r="M312" t="n">
        <v>0</v>
      </c>
      <c r="N312" t="n">
        <v>0</v>
      </c>
      <c r="O312" t="n">
        <v>0</v>
      </c>
      <c r="P312" t="n">
        <v>0</v>
      </c>
      <c r="Q312" t="n">
        <v>0</v>
      </c>
      <c r="R312" s="2" t="inlineStr"/>
    </row>
    <row r="313" ht="15" customHeight="1">
      <c r="A313" t="inlineStr">
        <is>
          <t>A 29141-2019</t>
        </is>
      </c>
      <c r="B313" s="1" t="n">
        <v>43628</v>
      </c>
      <c r="C313" s="1" t="n">
        <v>45588</v>
      </c>
      <c r="D313" t="inlineStr">
        <is>
          <t>VÄSTERNORRLANDS LÄN</t>
        </is>
      </c>
      <c r="E313" t="inlineStr">
        <is>
          <t>ÅNGE</t>
        </is>
      </c>
      <c r="G313" t="n">
        <v>0.2</v>
      </c>
      <c r="H313" t="n">
        <v>0</v>
      </c>
      <c r="I313" t="n">
        <v>0</v>
      </c>
      <c r="J313" t="n">
        <v>0</v>
      </c>
      <c r="K313" t="n">
        <v>0</v>
      </c>
      <c r="L313" t="n">
        <v>0</v>
      </c>
      <c r="M313" t="n">
        <v>0</v>
      </c>
      <c r="N313" t="n">
        <v>0</v>
      </c>
      <c r="O313" t="n">
        <v>0</v>
      </c>
      <c r="P313" t="n">
        <v>0</v>
      </c>
      <c r="Q313" t="n">
        <v>0</v>
      </c>
      <c r="R313" s="2" t="inlineStr"/>
    </row>
    <row r="314" ht="15" customHeight="1">
      <c r="A314" t="inlineStr">
        <is>
          <t>A 29794-2019</t>
        </is>
      </c>
      <c r="B314" s="1" t="n">
        <v>43633</v>
      </c>
      <c r="C314" s="1" t="n">
        <v>45588</v>
      </c>
      <c r="D314" t="inlineStr">
        <is>
          <t>VÄSTERNORRLANDS LÄN</t>
        </is>
      </c>
      <c r="E314" t="inlineStr">
        <is>
          <t>ÅNGE</t>
        </is>
      </c>
      <c r="G314" t="n">
        <v>0.8</v>
      </c>
      <c r="H314" t="n">
        <v>0</v>
      </c>
      <c r="I314" t="n">
        <v>0</v>
      </c>
      <c r="J314" t="n">
        <v>0</v>
      </c>
      <c r="K314" t="n">
        <v>0</v>
      </c>
      <c r="L314" t="n">
        <v>0</v>
      </c>
      <c r="M314" t="n">
        <v>0</v>
      </c>
      <c r="N314" t="n">
        <v>0</v>
      </c>
      <c r="O314" t="n">
        <v>0</v>
      </c>
      <c r="P314" t="n">
        <v>0</v>
      </c>
      <c r="Q314" t="n">
        <v>0</v>
      </c>
      <c r="R314" s="2" t="inlineStr"/>
    </row>
    <row r="315" ht="15" customHeight="1">
      <c r="A315" t="inlineStr">
        <is>
          <t>A 29786-2019</t>
        </is>
      </c>
      <c r="B315" s="1" t="n">
        <v>43633</v>
      </c>
      <c r="C315" s="1" t="n">
        <v>45588</v>
      </c>
      <c r="D315" t="inlineStr">
        <is>
          <t>VÄSTERNORRLANDS LÄN</t>
        </is>
      </c>
      <c r="E315" t="inlineStr">
        <is>
          <t>ÅNGE</t>
        </is>
      </c>
      <c r="G315" t="n">
        <v>1.8</v>
      </c>
      <c r="H315" t="n">
        <v>0</v>
      </c>
      <c r="I315" t="n">
        <v>0</v>
      </c>
      <c r="J315" t="n">
        <v>0</v>
      </c>
      <c r="K315" t="n">
        <v>0</v>
      </c>
      <c r="L315" t="n">
        <v>0</v>
      </c>
      <c r="M315" t="n">
        <v>0</v>
      </c>
      <c r="N315" t="n">
        <v>0</v>
      </c>
      <c r="O315" t="n">
        <v>0</v>
      </c>
      <c r="P315" t="n">
        <v>0</v>
      </c>
      <c r="Q315" t="n">
        <v>0</v>
      </c>
      <c r="R315" s="2" t="inlineStr"/>
    </row>
    <row r="316" ht="15" customHeight="1">
      <c r="A316" t="inlineStr">
        <is>
          <t>A 31001-2019</t>
        </is>
      </c>
      <c r="B316" s="1" t="n">
        <v>43640</v>
      </c>
      <c r="C316" s="1" t="n">
        <v>45588</v>
      </c>
      <c r="D316" t="inlineStr">
        <is>
          <t>VÄSTERNORRLANDS LÄN</t>
        </is>
      </c>
      <c r="E316" t="inlineStr">
        <is>
          <t>ÅNGE</t>
        </is>
      </c>
      <c r="G316" t="n">
        <v>0.2</v>
      </c>
      <c r="H316" t="n">
        <v>0</v>
      </c>
      <c r="I316" t="n">
        <v>0</v>
      </c>
      <c r="J316" t="n">
        <v>0</v>
      </c>
      <c r="K316" t="n">
        <v>0</v>
      </c>
      <c r="L316" t="n">
        <v>0</v>
      </c>
      <c r="M316" t="n">
        <v>0</v>
      </c>
      <c r="N316" t="n">
        <v>0</v>
      </c>
      <c r="O316" t="n">
        <v>0</v>
      </c>
      <c r="P316" t="n">
        <v>0</v>
      </c>
      <c r="Q316" t="n">
        <v>0</v>
      </c>
      <c r="R316" s="2" t="inlineStr"/>
    </row>
    <row r="317" ht="15" customHeight="1">
      <c r="A317" t="inlineStr">
        <is>
          <t>A 31804-2019</t>
        </is>
      </c>
      <c r="B317" s="1" t="n">
        <v>43642</v>
      </c>
      <c r="C317" s="1" t="n">
        <v>45588</v>
      </c>
      <c r="D317" t="inlineStr">
        <is>
          <t>VÄSTERNORRLANDS LÄN</t>
        </is>
      </c>
      <c r="E317" t="inlineStr">
        <is>
          <t>ÅNGE</t>
        </is>
      </c>
      <c r="G317" t="n">
        <v>10.3</v>
      </c>
      <c r="H317" t="n">
        <v>0</v>
      </c>
      <c r="I317" t="n">
        <v>0</v>
      </c>
      <c r="J317" t="n">
        <v>0</v>
      </c>
      <c r="K317" t="n">
        <v>0</v>
      </c>
      <c r="L317" t="n">
        <v>0</v>
      </c>
      <c r="M317" t="n">
        <v>0</v>
      </c>
      <c r="N317" t="n">
        <v>0</v>
      </c>
      <c r="O317" t="n">
        <v>0</v>
      </c>
      <c r="P317" t="n">
        <v>0</v>
      </c>
      <c r="Q317" t="n">
        <v>0</v>
      </c>
      <c r="R317" s="2" t="inlineStr"/>
    </row>
    <row r="318" ht="15" customHeight="1">
      <c r="A318" t="inlineStr">
        <is>
          <t>A 32740-2019</t>
        </is>
      </c>
      <c r="B318" s="1" t="n">
        <v>43647</v>
      </c>
      <c r="C318" s="1" t="n">
        <v>45588</v>
      </c>
      <c r="D318" t="inlineStr">
        <is>
          <t>VÄSTERNORRLANDS LÄN</t>
        </is>
      </c>
      <c r="E318" t="inlineStr">
        <is>
          <t>ÅNGE</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33471-2019</t>
        </is>
      </c>
      <c r="B319" s="1" t="n">
        <v>43650</v>
      </c>
      <c r="C319" s="1" t="n">
        <v>45588</v>
      </c>
      <c r="D319" t="inlineStr">
        <is>
          <t>VÄSTERNORRLANDS LÄN</t>
        </is>
      </c>
      <c r="E319" t="inlineStr">
        <is>
          <t>ÅNGE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33470-2019</t>
        </is>
      </c>
      <c r="B320" s="1" t="n">
        <v>43650</v>
      </c>
      <c r="C320" s="1" t="n">
        <v>45588</v>
      </c>
      <c r="D320" t="inlineStr">
        <is>
          <t>VÄSTERNORRLANDS LÄN</t>
        </is>
      </c>
      <c r="E320" t="inlineStr">
        <is>
          <t>ÅNGE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34135-2019</t>
        </is>
      </c>
      <c r="B321" s="1" t="n">
        <v>43654</v>
      </c>
      <c r="C321" s="1" t="n">
        <v>45588</v>
      </c>
      <c r="D321" t="inlineStr">
        <is>
          <t>VÄSTERNORRLANDS LÄN</t>
        </is>
      </c>
      <c r="E321" t="inlineStr">
        <is>
          <t>ÅNGE</t>
        </is>
      </c>
      <c r="G321" t="n">
        <v>0.3</v>
      </c>
      <c r="H321" t="n">
        <v>0</v>
      </c>
      <c r="I321" t="n">
        <v>0</v>
      </c>
      <c r="J321" t="n">
        <v>0</v>
      </c>
      <c r="K321" t="n">
        <v>0</v>
      </c>
      <c r="L321" t="n">
        <v>0</v>
      </c>
      <c r="M321" t="n">
        <v>0</v>
      </c>
      <c r="N321" t="n">
        <v>0</v>
      </c>
      <c r="O321" t="n">
        <v>0</v>
      </c>
      <c r="P321" t="n">
        <v>0</v>
      </c>
      <c r="Q321" t="n">
        <v>0</v>
      </c>
      <c r="R321" s="2" t="inlineStr"/>
      <c r="U321">
        <f>HYPERLINK("https://klasma.github.io/Logging_2260/knärot/A 34135-2019 karta knärot.png", "A 34135-2019")</f>
        <v/>
      </c>
      <c r="V321">
        <f>HYPERLINK("https://klasma.github.io/Logging_2260/klagomål/A 34135-2019 FSC-klagomål.docx", "A 34135-2019")</f>
        <v/>
      </c>
      <c r="W321">
        <f>HYPERLINK("https://klasma.github.io/Logging_2260/klagomålsmail/A 34135-2019 FSC-klagomål mail.docx", "A 34135-2019")</f>
        <v/>
      </c>
      <c r="X321">
        <f>HYPERLINK("https://klasma.github.io/Logging_2260/tillsyn/A 34135-2019 tillsynsbegäran.docx", "A 34135-2019")</f>
        <v/>
      </c>
      <c r="Y321">
        <f>HYPERLINK("https://klasma.github.io/Logging_2260/tillsynsmail/A 34135-2019 tillsynsbegäran mail.docx", "A 34135-2019")</f>
        <v/>
      </c>
    </row>
    <row r="322" ht="15" customHeight="1">
      <c r="A322" t="inlineStr">
        <is>
          <t>A 36438-2019</t>
        </is>
      </c>
      <c r="B322" s="1" t="n">
        <v>43664</v>
      </c>
      <c r="C322" s="1" t="n">
        <v>45588</v>
      </c>
      <c r="D322" t="inlineStr">
        <is>
          <t>VÄSTERNORRLANDS LÄN</t>
        </is>
      </c>
      <c r="E322" t="inlineStr">
        <is>
          <t>ÅNGE</t>
        </is>
      </c>
      <c r="G322" t="n">
        <v>1.1</v>
      </c>
      <c r="H322" t="n">
        <v>0</v>
      </c>
      <c r="I322" t="n">
        <v>0</v>
      </c>
      <c r="J322" t="n">
        <v>0</v>
      </c>
      <c r="K322" t="n">
        <v>0</v>
      </c>
      <c r="L322" t="n">
        <v>0</v>
      </c>
      <c r="M322" t="n">
        <v>0</v>
      </c>
      <c r="N322" t="n">
        <v>0</v>
      </c>
      <c r="O322" t="n">
        <v>0</v>
      </c>
      <c r="P322" t="n">
        <v>0</v>
      </c>
      <c r="Q322" t="n">
        <v>0</v>
      </c>
      <c r="R322" s="2" t="inlineStr"/>
    </row>
    <row r="323" ht="15" customHeight="1">
      <c r="A323" t="inlineStr">
        <is>
          <t>A 36311-2019</t>
        </is>
      </c>
      <c r="B323" s="1" t="n">
        <v>43670</v>
      </c>
      <c r="C323" s="1" t="n">
        <v>45588</v>
      </c>
      <c r="D323" t="inlineStr">
        <is>
          <t>VÄSTERNORRLANDS LÄN</t>
        </is>
      </c>
      <c r="E323" t="inlineStr">
        <is>
          <t>ÅNGE</t>
        </is>
      </c>
      <c r="G323" t="n">
        <v>3.1</v>
      </c>
      <c r="H323" t="n">
        <v>0</v>
      </c>
      <c r="I323" t="n">
        <v>0</v>
      </c>
      <c r="J323" t="n">
        <v>0</v>
      </c>
      <c r="K323" t="n">
        <v>0</v>
      </c>
      <c r="L323" t="n">
        <v>0</v>
      </c>
      <c r="M323" t="n">
        <v>0</v>
      </c>
      <c r="N323" t="n">
        <v>0</v>
      </c>
      <c r="O323" t="n">
        <v>0</v>
      </c>
      <c r="P323" t="n">
        <v>0</v>
      </c>
      <c r="Q323" t="n">
        <v>0</v>
      </c>
      <c r="R323" s="2" t="inlineStr"/>
    </row>
    <row r="324" ht="15" customHeight="1">
      <c r="A324" t="inlineStr">
        <is>
          <t>A 37745-2019</t>
        </is>
      </c>
      <c r="B324" s="1" t="n">
        <v>43679</v>
      </c>
      <c r="C324" s="1" t="n">
        <v>45588</v>
      </c>
      <c r="D324" t="inlineStr">
        <is>
          <t>VÄSTERNORRLANDS LÄN</t>
        </is>
      </c>
      <c r="E324" t="inlineStr">
        <is>
          <t>ÅNGE</t>
        </is>
      </c>
      <c r="G324" t="n">
        <v>11.4</v>
      </c>
      <c r="H324" t="n">
        <v>0</v>
      </c>
      <c r="I324" t="n">
        <v>0</v>
      </c>
      <c r="J324" t="n">
        <v>0</v>
      </c>
      <c r="K324" t="n">
        <v>0</v>
      </c>
      <c r="L324" t="n">
        <v>0</v>
      </c>
      <c r="M324" t="n">
        <v>0</v>
      </c>
      <c r="N324" t="n">
        <v>0</v>
      </c>
      <c r="O324" t="n">
        <v>0</v>
      </c>
      <c r="P324" t="n">
        <v>0</v>
      </c>
      <c r="Q324" t="n">
        <v>0</v>
      </c>
      <c r="R324" s="2" t="inlineStr"/>
    </row>
    <row r="325" ht="15" customHeight="1">
      <c r="A325" t="inlineStr">
        <is>
          <t>A 37887-2019</t>
        </is>
      </c>
      <c r="B325" s="1" t="n">
        <v>43682</v>
      </c>
      <c r="C325" s="1" t="n">
        <v>45588</v>
      </c>
      <c r="D325" t="inlineStr">
        <is>
          <t>VÄSTERNORRLANDS LÄN</t>
        </is>
      </c>
      <c r="E325" t="inlineStr">
        <is>
          <t>ÅNGE</t>
        </is>
      </c>
      <c r="G325" t="n">
        <v>3</v>
      </c>
      <c r="H325" t="n">
        <v>0</v>
      </c>
      <c r="I325" t="n">
        <v>0</v>
      </c>
      <c r="J325" t="n">
        <v>0</v>
      </c>
      <c r="K325" t="n">
        <v>0</v>
      </c>
      <c r="L325" t="n">
        <v>0</v>
      </c>
      <c r="M325" t="n">
        <v>0</v>
      </c>
      <c r="N325" t="n">
        <v>0</v>
      </c>
      <c r="O325" t="n">
        <v>0</v>
      </c>
      <c r="P325" t="n">
        <v>0</v>
      </c>
      <c r="Q325" t="n">
        <v>0</v>
      </c>
      <c r="R325" s="2" t="inlineStr"/>
    </row>
    <row r="326" ht="15" customHeight="1">
      <c r="A326" t="inlineStr">
        <is>
          <t>A 37954-2019</t>
        </is>
      </c>
      <c r="B326" s="1" t="n">
        <v>43683</v>
      </c>
      <c r="C326" s="1" t="n">
        <v>45588</v>
      </c>
      <c r="D326" t="inlineStr">
        <is>
          <t>VÄSTERNORRLANDS LÄN</t>
        </is>
      </c>
      <c r="E326" t="inlineStr">
        <is>
          <t>ÅNGE</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38222-2019</t>
        </is>
      </c>
      <c r="B327" s="1" t="n">
        <v>43684</v>
      </c>
      <c r="C327" s="1" t="n">
        <v>45588</v>
      </c>
      <c r="D327" t="inlineStr">
        <is>
          <t>VÄSTERNORRLANDS LÄN</t>
        </is>
      </c>
      <c r="E327" t="inlineStr">
        <is>
          <t>ÅNGE</t>
        </is>
      </c>
      <c r="G327" t="n">
        <v>4.4</v>
      </c>
      <c r="H327" t="n">
        <v>0</v>
      </c>
      <c r="I327" t="n">
        <v>0</v>
      </c>
      <c r="J327" t="n">
        <v>0</v>
      </c>
      <c r="K327" t="n">
        <v>0</v>
      </c>
      <c r="L327" t="n">
        <v>0</v>
      </c>
      <c r="M327" t="n">
        <v>0</v>
      </c>
      <c r="N327" t="n">
        <v>0</v>
      </c>
      <c r="O327" t="n">
        <v>0</v>
      </c>
      <c r="P327" t="n">
        <v>0</v>
      </c>
      <c r="Q327" t="n">
        <v>0</v>
      </c>
      <c r="R327" s="2" t="inlineStr"/>
    </row>
    <row r="328" ht="15" customHeight="1">
      <c r="A328" t="inlineStr">
        <is>
          <t>A 38215-2019</t>
        </is>
      </c>
      <c r="B328" s="1" t="n">
        <v>43684</v>
      </c>
      <c r="C328" s="1" t="n">
        <v>45588</v>
      </c>
      <c r="D328" t="inlineStr">
        <is>
          <t>VÄSTERNORRLANDS LÄN</t>
        </is>
      </c>
      <c r="E328" t="inlineStr">
        <is>
          <t>ÅNGE</t>
        </is>
      </c>
      <c r="G328" t="n">
        <v>5.6</v>
      </c>
      <c r="H328" t="n">
        <v>0</v>
      </c>
      <c r="I328" t="n">
        <v>0</v>
      </c>
      <c r="J328" t="n">
        <v>0</v>
      </c>
      <c r="K328" t="n">
        <v>0</v>
      </c>
      <c r="L328" t="n">
        <v>0</v>
      </c>
      <c r="M328" t="n">
        <v>0</v>
      </c>
      <c r="N328" t="n">
        <v>0</v>
      </c>
      <c r="O328" t="n">
        <v>0</v>
      </c>
      <c r="P328" t="n">
        <v>0</v>
      </c>
      <c r="Q328" t="n">
        <v>0</v>
      </c>
      <c r="R328" s="2" t="inlineStr"/>
    </row>
    <row r="329" ht="15" customHeight="1">
      <c r="A329" t="inlineStr">
        <is>
          <t>A 38310-2019</t>
        </is>
      </c>
      <c r="B329" s="1" t="n">
        <v>43684</v>
      </c>
      <c r="C329" s="1" t="n">
        <v>45588</v>
      </c>
      <c r="D329" t="inlineStr">
        <is>
          <t>VÄSTERNORRLANDS LÄN</t>
        </is>
      </c>
      <c r="E329" t="inlineStr">
        <is>
          <t>ÅNGE</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38573-2019</t>
        </is>
      </c>
      <c r="B330" s="1" t="n">
        <v>43685</v>
      </c>
      <c r="C330" s="1" t="n">
        <v>45588</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39403-2019</t>
        </is>
      </c>
      <c r="B331" s="1" t="n">
        <v>43690</v>
      </c>
      <c r="C331" s="1" t="n">
        <v>45588</v>
      </c>
      <c r="D331" t="inlineStr">
        <is>
          <t>VÄSTERNORRLANDS LÄN</t>
        </is>
      </c>
      <c r="E331" t="inlineStr">
        <is>
          <t>ÅNGE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41510-2019</t>
        </is>
      </c>
      <c r="B332" s="1" t="n">
        <v>43696</v>
      </c>
      <c r="C332" s="1" t="n">
        <v>45588</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41018-2019</t>
        </is>
      </c>
      <c r="B333" s="1" t="n">
        <v>43697</v>
      </c>
      <c r="C333" s="1" t="n">
        <v>45588</v>
      </c>
      <c r="D333" t="inlineStr">
        <is>
          <t>VÄSTERNORRLANDS LÄN</t>
        </is>
      </c>
      <c r="E333" t="inlineStr">
        <is>
          <t>ÅNGE</t>
        </is>
      </c>
      <c r="G333" t="n">
        <v>4.3</v>
      </c>
      <c r="H333" t="n">
        <v>0</v>
      </c>
      <c r="I333" t="n">
        <v>0</v>
      </c>
      <c r="J333" t="n">
        <v>0</v>
      </c>
      <c r="K333" t="n">
        <v>0</v>
      </c>
      <c r="L333" t="n">
        <v>0</v>
      </c>
      <c r="M333" t="n">
        <v>0</v>
      </c>
      <c r="N333" t="n">
        <v>0</v>
      </c>
      <c r="O333" t="n">
        <v>0</v>
      </c>
      <c r="P333" t="n">
        <v>0</v>
      </c>
      <c r="Q333" t="n">
        <v>0</v>
      </c>
      <c r="R333" s="2" t="inlineStr"/>
    </row>
    <row r="334" ht="15" customHeight="1">
      <c r="A334" t="inlineStr">
        <is>
          <t>A 42066-2019</t>
        </is>
      </c>
      <c r="B334" s="1" t="n">
        <v>43700</v>
      </c>
      <c r="C334" s="1" t="n">
        <v>45588</v>
      </c>
      <c r="D334" t="inlineStr">
        <is>
          <t>VÄSTERNORRLANDS LÄN</t>
        </is>
      </c>
      <c r="E334" t="inlineStr">
        <is>
          <t>ÅNGE</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43240-2019</t>
        </is>
      </c>
      <c r="B335" s="1" t="n">
        <v>43706</v>
      </c>
      <c r="C335" s="1" t="n">
        <v>45588</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43250-2019</t>
        </is>
      </c>
      <c r="B336" s="1" t="n">
        <v>43706</v>
      </c>
      <c r="C336" s="1" t="n">
        <v>45588</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43236-2019</t>
        </is>
      </c>
      <c r="B337" s="1" t="n">
        <v>43706</v>
      </c>
      <c r="C337" s="1" t="n">
        <v>45588</v>
      </c>
      <c r="D337" t="inlineStr">
        <is>
          <t>VÄSTERNORRLANDS LÄN</t>
        </is>
      </c>
      <c r="E337" t="inlineStr">
        <is>
          <t>ÅNGE</t>
        </is>
      </c>
      <c r="G337" t="n">
        <v>33.1</v>
      </c>
      <c r="H337" t="n">
        <v>0</v>
      </c>
      <c r="I337" t="n">
        <v>0</v>
      </c>
      <c r="J337" t="n">
        <v>0</v>
      </c>
      <c r="K337" t="n">
        <v>0</v>
      </c>
      <c r="L337" t="n">
        <v>0</v>
      </c>
      <c r="M337" t="n">
        <v>0</v>
      </c>
      <c r="N337" t="n">
        <v>0</v>
      </c>
      <c r="O337" t="n">
        <v>0</v>
      </c>
      <c r="P337" t="n">
        <v>0</v>
      </c>
      <c r="Q337" t="n">
        <v>0</v>
      </c>
      <c r="R337" s="2" t="inlineStr"/>
    </row>
    <row r="338" ht="15" customHeight="1">
      <c r="A338" t="inlineStr">
        <is>
          <t>A 43248-2019</t>
        </is>
      </c>
      <c r="B338" s="1" t="n">
        <v>43706</v>
      </c>
      <c r="C338" s="1" t="n">
        <v>45588</v>
      </c>
      <c r="D338" t="inlineStr">
        <is>
          <t>VÄSTERNORRLANDS LÄN</t>
        </is>
      </c>
      <c r="E338" t="inlineStr">
        <is>
          <t>ÅNGE</t>
        </is>
      </c>
      <c r="G338" t="n">
        <v>2</v>
      </c>
      <c r="H338" t="n">
        <v>0</v>
      </c>
      <c r="I338" t="n">
        <v>0</v>
      </c>
      <c r="J338" t="n">
        <v>0</v>
      </c>
      <c r="K338" t="n">
        <v>0</v>
      </c>
      <c r="L338" t="n">
        <v>0</v>
      </c>
      <c r="M338" t="n">
        <v>0</v>
      </c>
      <c r="N338" t="n">
        <v>0</v>
      </c>
      <c r="O338" t="n">
        <v>0</v>
      </c>
      <c r="P338" t="n">
        <v>0</v>
      </c>
      <c r="Q338" t="n">
        <v>0</v>
      </c>
      <c r="R338" s="2" t="inlineStr"/>
    </row>
    <row r="339" ht="15" customHeight="1">
      <c r="A339" t="inlineStr">
        <is>
          <t>A 43241-2019</t>
        </is>
      </c>
      <c r="B339" s="1" t="n">
        <v>43706</v>
      </c>
      <c r="C339" s="1" t="n">
        <v>45588</v>
      </c>
      <c r="D339" t="inlineStr">
        <is>
          <t>VÄSTERNORRLANDS LÄN</t>
        </is>
      </c>
      <c r="E339" t="inlineStr">
        <is>
          <t>ÅNGE</t>
        </is>
      </c>
      <c r="G339" t="n">
        <v>8.1</v>
      </c>
      <c r="H339" t="n">
        <v>0</v>
      </c>
      <c r="I339" t="n">
        <v>0</v>
      </c>
      <c r="J339" t="n">
        <v>0</v>
      </c>
      <c r="K339" t="n">
        <v>0</v>
      </c>
      <c r="L339" t="n">
        <v>0</v>
      </c>
      <c r="M339" t="n">
        <v>0</v>
      </c>
      <c r="N339" t="n">
        <v>0</v>
      </c>
      <c r="O339" t="n">
        <v>0</v>
      </c>
      <c r="P339" t="n">
        <v>0</v>
      </c>
      <c r="Q339" t="n">
        <v>0</v>
      </c>
      <c r="R339" s="2" t="inlineStr"/>
    </row>
    <row r="340" ht="15" customHeight="1">
      <c r="A340" t="inlineStr">
        <is>
          <t>A 43254-2019</t>
        </is>
      </c>
      <c r="B340" s="1" t="n">
        <v>43706</v>
      </c>
      <c r="C340" s="1" t="n">
        <v>45588</v>
      </c>
      <c r="D340" t="inlineStr">
        <is>
          <t>VÄSTERNORRLANDS LÄN</t>
        </is>
      </c>
      <c r="E340" t="inlineStr">
        <is>
          <t>ÅNGE</t>
        </is>
      </c>
      <c r="G340" t="n">
        <v>2.6</v>
      </c>
      <c r="H340" t="n">
        <v>0</v>
      </c>
      <c r="I340" t="n">
        <v>0</v>
      </c>
      <c r="J340" t="n">
        <v>0</v>
      </c>
      <c r="K340" t="n">
        <v>0</v>
      </c>
      <c r="L340" t="n">
        <v>0</v>
      </c>
      <c r="M340" t="n">
        <v>0</v>
      </c>
      <c r="N340" t="n">
        <v>0</v>
      </c>
      <c r="O340" t="n">
        <v>0</v>
      </c>
      <c r="P340" t="n">
        <v>0</v>
      </c>
      <c r="Q340" t="n">
        <v>0</v>
      </c>
      <c r="R340" s="2" t="inlineStr"/>
    </row>
    <row r="341" ht="15" customHeight="1">
      <c r="A341" t="inlineStr">
        <is>
          <t>A 43509-2019</t>
        </is>
      </c>
      <c r="B341" s="1" t="n">
        <v>43706</v>
      </c>
      <c r="C341" s="1" t="n">
        <v>45588</v>
      </c>
      <c r="D341" t="inlineStr">
        <is>
          <t>VÄSTERNORRLANDS LÄN</t>
        </is>
      </c>
      <c r="E341" t="inlineStr">
        <is>
          <t>ÅNGE</t>
        </is>
      </c>
      <c r="G341" t="n">
        <v>4.2</v>
      </c>
      <c r="H341" t="n">
        <v>0</v>
      </c>
      <c r="I341" t="n">
        <v>0</v>
      </c>
      <c r="J341" t="n">
        <v>0</v>
      </c>
      <c r="K341" t="n">
        <v>0</v>
      </c>
      <c r="L341" t="n">
        <v>0</v>
      </c>
      <c r="M341" t="n">
        <v>0</v>
      </c>
      <c r="N341" t="n">
        <v>0</v>
      </c>
      <c r="O341" t="n">
        <v>0</v>
      </c>
      <c r="P341" t="n">
        <v>0</v>
      </c>
      <c r="Q341" t="n">
        <v>0</v>
      </c>
      <c r="R341" s="2" t="inlineStr"/>
    </row>
    <row r="342" ht="15" customHeight="1">
      <c r="A342" t="inlineStr">
        <is>
          <t>A 43517-2019</t>
        </is>
      </c>
      <c r="B342" s="1" t="n">
        <v>43706</v>
      </c>
      <c r="C342" s="1" t="n">
        <v>45588</v>
      </c>
      <c r="D342" t="inlineStr">
        <is>
          <t>VÄSTERNORRLANDS LÄN</t>
        </is>
      </c>
      <c r="E342" t="inlineStr">
        <is>
          <t>ÅNGE</t>
        </is>
      </c>
      <c r="G342" t="n">
        <v>2.1</v>
      </c>
      <c r="H342" t="n">
        <v>0</v>
      </c>
      <c r="I342" t="n">
        <v>0</v>
      </c>
      <c r="J342" t="n">
        <v>0</v>
      </c>
      <c r="K342" t="n">
        <v>0</v>
      </c>
      <c r="L342" t="n">
        <v>0</v>
      </c>
      <c r="M342" t="n">
        <v>0</v>
      </c>
      <c r="N342" t="n">
        <v>0</v>
      </c>
      <c r="O342" t="n">
        <v>0</v>
      </c>
      <c r="P342" t="n">
        <v>0</v>
      </c>
      <c r="Q342" t="n">
        <v>0</v>
      </c>
      <c r="R342" s="2" t="inlineStr"/>
    </row>
    <row r="343" ht="15" customHeight="1">
      <c r="A343" t="inlineStr">
        <is>
          <t>A 43895-2019</t>
        </is>
      </c>
      <c r="B343" s="1" t="n">
        <v>43707</v>
      </c>
      <c r="C343" s="1" t="n">
        <v>45588</v>
      </c>
      <c r="D343" t="inlineStr">
        <is>
          <t>VÄSTERNORRLANDS LÄN</t>
        </is>
      </c>
      <c r="E343" t="inlineStr">
        <is>
          <t>ÅNGE</t>
        </is>
      </c>
      <c r="G343" t="n">
        <v>5.1</v>
      </c>
      <c r="H343" t="n">
        <v>0</v>
      </c>
      <c r="I343" t="n">
        <v>0</v>
      </c>
      <c r="J343" t="n">
        <v>0</v>
      </c>
      <c r="K343" t="n">
        <v>0</v>
      </c>
      <c r="L343" t="n">
        <v>0</v>
      </c>
      <c r="M343" t="n">
        <v>0</v>
      </c>
      <c r="N343" t="n">
        <v>0</v>
      </c>
      <c r="O343" t="n">
        <v>0</v>
      </c>
      <c r="P343" t="n">
        <v>0</v>
      </c>
      <c r="Q343" t="n">
        <v>0</v>
      </c>
      <c r="R343" s="2" t="inlineStr"/>
    </row>
    <row r="344" ht="15" customHeight="1">
      <c r="A344" t="inlineStr">
        <is>
          <t>A 44313-2019</t>
        </is>
      </c>
      <c r="B344" s="1" t="n">
        <v>43710</v>
      </c>
      <c r="C344" s="1" t="n">
        <v>45588</v>
      </c>
      <c r="D344" t="inlineStr">
        <is>
          <t>VÄSTERNORRLANDS LÄN</t>
        </is>
      </c>
      <c r="E344" t="inlineStr">
        <is>
          <t>ÅNGE</t>
        </is>
      </c>
      <c r="F344" t="inlineStr">
        <is>
          <t>SCA</t>
        </is>
      </c>
      <c r="G344" t="n">
        <v>8.9</v>
      </c>
      <c r="H344" t="n">
        <v>0</v>
      </c>
      <c r="I344" t="n">
        <v>0</v>
      </c>
      <c r="J344" t="n">
        <v>0</v>
      </c>
      <c r="K344" t="n">
        <v>0</v>
      </c>
      <c r="L344" t="n">
        <v>0</v>
      </c>
      <c r="M344" t="n">
        <v>0</v>
      </c>
      <c r="N344" t="n">
        <v>0</v>
      </c>
      <c r="O344" t="n">
        <v>0</v>
      </c>
      <c r="P344" t="n">
        <v>0</v>
      </c>
      <c r="Q344" t="n">
        <v>0</v>
      </c>
      <c r="R344" s="2" t="inlineStr"/>
    </row>
    <row r="345" ht="15" customHeight="1">
      <c r="A345" t="inlineStr">
        <is>
          <t>A 45274-2019</t>
        </is>
      </c>
      <c r="B345" s="1" t="n">
        <v>43713</v>
      </c>
      <c r="C345" s="1" t="n">
        <v>45588</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48958-2019</t>
        </is>
      </c>
      <c r="B346" s="1" t="n">
        <v>43728</v>
      </c>
      <c r="C346" s="1" t="n">
        <v>45588</v>
      </c>
      <c r="D346" t="inlineStr">
        <is>
          <t>VÄSTERNORRLANDS LÄN</t>
        </is>
      </c>
      <c r="E346" t="inlineStr">
        <is>
          <t>ÅNGE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50278-2019</t>
        </is>
      </c>
      <c r="B347" s="1" t="n">
        <v>43734</v>
      </c>
      <c r="C347" s="1" t="n">
        <v>45588</v>
      </c>
      <c r="D347" t="inlineStr">
        <is>
          <t>VÄSTERNORRLANDS LÄN</t>
        </is>
      </c>
      <c r="E347" t="inlineStr">
        <is>
          <t>ÅNGE</t>
        </is>
      </c>
      <c r="F347" t="inlineStr">
        <is>
          <t>SCA</t>
        </is>
      </c>
      <c r="G347" t="n">
        <v>8.5</v>
      </c>
      <c r="H347" t="n">
        <v>0</v>
      </c>
      <c r="I347" t="n">
        <v>0</v>
      </c>
      <c r="J347" t="n">
        <v>0</v>
      </c>
      <c r="K347" t="n">
        <v>0</v>
      </c>
      <c r="L347" t="n">
        <v>0</v>
      </c>
      <c r="M347" t="n">
        <v>0</v>
      </c>
      <c r="N347" t="n">
        <v>0</v>
      </c>
      <c r="O347" t="n">
        <v>0</v>
      </c>
      <c r="P347" t="n">
        <v>0</v>
      </c>
      <c r="Q347" t="n">
        <v>0</v>
      </c>
      <c r="R347" s="2" t="inlineStr"/>
    </row>
    <row r="348" ht="15" customHeight="1">
      <c r="A348" t="inlineStr">
        <is>
          <t>A 50280-2019</t>
        </is>
      </c>
      <c r="B348" s="1" t="n">
        <v>43734</v>
      </c>
      <c r="C348" s="1" t="n">
        <v>45588</v>
      </c>
      <c r="D348" t="inlineStr">
        <is>
          <t>VÄSTERNORRLANDS LÄN</t>
        </is>
      </c>
      <c r="E348" t="inlineStr">
        <is>
          <t>ÅNGE</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50352-2019</t>
        </is>
      </c>
      <c r="B349" s="1" t="n">
        <v>43735</v>
      </c>
      <c r="C349" s="1" t="n">
        <v>45588</v>
      </c>
      <c r="D349" t="inlineStr">
        <is>
          <t>VÄSTERNORRLANDS LÄN</t>
        </is>
      </c>
      <c r="E349" t="inlineStr">
        <is>
          <t>ÅNGE</t>
        </is>
      </c>
      <c r="G349" t="n">
        <v>1.3</v>
      </c>
      <c r="H349" t="n">
        <v>0</v>
      </c>
      <c r="I349" t="n">
        <v>0</v>
      </c>
      <c r="J349" t="n">
        <v>0</v>
      </c>
      <c r="K349" t="n">
        <v>0</v>
      </c>
      <c r="L349" t="n">
        <v>0</v>
      </c>
      <c r="M349" t="n">
        <v>0</v>
      </c>
      <c r="N349" t="n">
        <v>0</v>
      </c>
      <c r="O349" t="n">
        <v>0</v>
      </c>
      <c r="P349" t="n">
        <v>0</v>
      </c>
      <c r="Q349" t="n">
        <v>0</v>
      </c>
      <c r="R349" s="2" t="inlineStr"/>
    </row>
    <row r="350" ht="15" customHeight="1">
      <c r="A350" t="inlineStr">
        <is>
          <t>A 50997-2019</t>
        </is>
      </c>
      <c r="B350" s="1" t="n">
        <v>43738</v>
      </c>
      <c r="C350" s="1" t="n">
        <v>45588</v>
      </c>
      <c r="D350" t="inlineStr">
        <is>
          <t>VÄSTERNORRLANDS LÄN</t>
        </is>
      </c>
      <c r="E350" t="inlineStr">
        <is>
          <t>ÅNGE</t>
        </is>
      </c>
      <c r="F350" t="inlineStr">
        <is>
          <t>SCA</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52505-2019</t>
        </is>
      </c>
      <c r="B351" s="1" t="n">
        <v>43738</v>
      </c>
      <c r="C351" s="1" t="n">
        <v>45588</v>
      </c>
      <c r="D351" t="inlineStr">
        <is>
          <t>VÄSTERNORRLANDS LÄN</t>
        </is>
      </c>
      <c r="E351" t="inlineStr">
        <is>
          <t>ÅNGE</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51321-2019</t>
        </is>
      </c>
      <c r="B352" s="1" t="n">
        <v>43739</v>
      </c>
      <c r="C352" s="1" t="n">
        <v>45588</v>
      </c>
      <c r="D352" t="inlineStr">
        <is>
          <t>VÄSTERNORRLANDS LÄN</t>
        </is>
      </c>
      <c r="E352" t="inlineStr">
        <is>
          <t>ÅNGE</t>
        </is>
      </c>
      <c r="G352" t="n">
        <v>9.4</v>
      </c>
      <c r="H352" t="n">
        <v>0</v>
      </c>
      <c r="I352" t="n">
        <v>0</v>
      </c>
      <c r="J352" t="n">
        <v>0</v>
      </c>
      <c r="K352" t="n">
        <v>0</v>
      </c>
      <c r="L352" t="n">
        <v>0</v>
      </c>
      <c r="M352" t="n">
        <v>0</v>
      </c>
      <c r="N352" t="n">
        <v>0</v>
      </c>
      <c r="O352" t="n">
        <v>0</v>
      </c>
      <c r="P352" t="n">
        <v>0</v>
      </c>
      <c r="Q352" t="n">
        <v>0</v>
      </c>
      <c r="R352" s="2" t="inlineStr"/>
    </row>
    <row r="353" ht="15" customHeight="1">
      <c r="A353" t="inlineStr">
        <is>
          <t>A 51947-2019</t>
        </is>
      </c>
      <c r="B353" s="1" t="n">
        <v>43741</v>
      </c>
      <c r="C353" s="1" t="n">
        <v>45588</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51946-2019</t>
        </is>
      </c>
      <c r="B354" s="1" t="n">
        <v>43741</v>
      </c>
      <c r="C354" s="1" t="n">
        <v>45588</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52171-2019</t>
        </is>
      </c>
      <c r="B355" s="1" t="n">
        <v>43742</v>
      </c>
      <c r="C355" s="1" t="n">
        <v>45588</v>
      </c>
      <c r="D355" t="inlineStr">
        <is>
          <t>VÄSTERNORRLANDS LÄN</t>
        </is>
      </c>
      <c r="E355" t="inlineStr">
        <is>
          <t>ÅNGE</t>
        </is>
      </c>
      <c r="G355" t="n">
        <v>2.9</v>
      </c>
      <c r="H355" t="n">
        <v>0</v>
      </c>
      <c r="I355" t="n">
        <v>0</v>
      </c>
      <c r="J355" t="n">
        <v>0</v>
      </c>
      <c r="K355" t="n">
        <v>0</v>
      </c>
      <c r="L355" t="n">
        <v>0</v>
      </c>
      <c r="M355" t="n">
        <v>0</v>
      </c>
      <c r="N355" t="n">
        <v>0</v>
      </c>
      <c r="O355" t="n">
        <v>0</v>
      </c>
      <c r="P355" t="n">
        <v>0</v>
      </c>
      <c r="Q355" t="n">
        <v>0</v>
      </c>
      <c r="R355" s="2" t="inlineStr"/>
    </row>
    <row r="356" ht="15" customHeight="1">
      <c r="A356" t="inlineStr">
        <is>
          <t>A 52684-2019</t>
        </is>
      </c>
      <c r="B356" s="1" t="n">
        <v>43746</v>
      </c>
      <c r="C356" s="1" t="n">
        <v>45588</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52660-2019</t>
        </is>
      </c>
      <c r="B357" s="1" t="n">
        <v>43746</v>
      </c>
      <c r="C357" s="1" t="n">
        <v>45588</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53107-2019</t>
        </is>
      </c>
      <c r="B358" s="1" t="n">
        <v>43747</v>
      </c>
      <c r="C358" s="1" t="n">
        <v>45588</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53579-2019</t>
        </is>
      </c>
      <c r="B359" s="1" t="n">
        <v>43749</v>
      </c>
      <c r="C359" s="1" t="n">
        <v>45588</v>
      </c>
      <c r="D359" t="inlineStr">
        <is>
          <t>VÄSTERNORRLANDS LÄN</t>
        </is>
      </c>
      <c r="E359" t="inlineStr">
        <is>
          <t>ÅNGE</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54025-2019</t>
        </is>
      </c>
      <c r="B360" s="1" t="n">
        <v>43752</v>
      </c>
      <c r="C360" s="1" t="n">
        <v>45588</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54027-2019</t>
        </is>
      </c>
      <c r="B361" s="1" t="n">
        <v>43752</v>
      </c>
      <c r="C361" s="1" t="n">
        <v>45588</v>
      </c>
      <c r="D361" t="inlineStr">
        <is>
          <t>VÄSTERNORRLANDS LÄN</t>
        </is>
      </c>
      <c r="E361" t="inlineStr">
        <is>
          <t>ÅNGE</t>
        </is>
      </c>
      <c r="G361" t="n">
        <v>3.8</v>
      </c>
      <c r="H361" t="n">
        <v>0</v>
      </c>
      <c r="I361" t="n">
        <v>0</v>
      </c>
      <c r="J361" t="n">
        <v>0</v>
      </c>
      <c r="K361" t="n">
        <v>0</v>
      </c>
      <c r="L361" t="n">
        <v>0</v>
      </c>
      <c r="M361" t="n">
        <v>0</v>
      </c>
      <c r="N361" t="n">
        <v>0</v>
      </c>
      <c r="O361" t="n">
        <v>0</v>
      </c>
      <c r="P361" t="n">
        <v>0</v>
      </c>
      <c r="Q361" t="n">
        <v>0</v>
      </c>
      <c r="R361" s="2" t="inlineStr"/>
    </row>
    <row r="362" ht="15" customHeight="1">
      <c r="A362" t="inlineStr">
        <is>
          <t>A 55352-2019</t>
        </is>
      </c>
      <c r="B362" s="1" t="n">
        <v>43756</v>
      </c>
      <c r="C362" s="1" t="n">
        <v>45588</v>
      </c>
      <c r="D362" t="inlineStr">
        <is>
          <t>VÄSTERNORRLANDS LÄN</t>
        </is>
      </c>
      <c r="E362" t="inlineStr">
        <is>
          <t>ÅNGE</t>
        </is>
      </c>
      <c r="G362" t="n">
        <v>10.9</v>
      </c>
      <c r="H362" t="n">
        <v>0</v>
      </c>
      <c r="I362" t="n">
        <v>0</v>
      </c>
      <c r="J362" t="n">
        <v>0</v>
      </c>
      <c r="K362" t="n">
        <v>0</v>
      </c>
      <c r="L362" t="n">
        <v>0</v>
      </c>
      <c r="M362" t="n">
        <v>0</v>
      </c>
      <c r="N362" t="n">
        <v>0</v>
      </c>
      <c r="O362" t="n">
        <v>0</v>
      </c>
      <c r="P362" t="n">
        <v>0</v>
      </c>
      <c r="Q362" t="n">
        <v>0</v>
      </c>
      <c r="R362" s="2" t="inlineStr"/>
    </row>
    <row r="363" ht="15" customHeight="1">
      <c r="A363" t="inlineStr">
        <is>
          <t>A 55637-2019</t>
        </is>
      </c>
      <c r="B363" s="1" t="n">
        <v>43760</v>
      </c>
      <c r="C363" s="1" t="n">
        <v>45588</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55634-2019</t>
        </is>
      </c>
      <c r="B364" s="1" t="n">
        <v>43760</v>
      </c>
      <c r="C364" s="1" t="n">
        <v>45588</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55730-2019</t>
        </is>
      </c>
      <c r="B365" s="1" t="n">
        <v>43760</v>
      </c>
      <c r="C365" s="1" t="n">
        <v>45588</v>
      </c>
      <c r="D365" t="inlineStr">
        <is>
          <t>VÄSTERNORRLANDS LÄN</t>
        </is>
      </c>
      <c r="E365" t="inlineStr">
        <is>
          <t>ÅNGE</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55729-2019</t>
        </is>
      </c>
      <c r="B366" s="1" t="n">
        <v>43760</v>
      </c>
      <c r="C366" s="1" t="n">
        <v>45588</v>
      </c>
      <c r="D366" t="inlineStr">
        <is>
          <t>VÄSTERNORRLANDS LÄN</t>
        </is>
      </c>
      <c r="E366" t="inlineStr">
        <is>
          <t>ÅNGE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56137-2019</t>
        </is>
      </c>
      <c r="B367" s="1" t="n">
        <v>43761</v>
      </c>
      <c r="C367" s="1" t="n">
        <v>45588</v>
      </c>
      <c r="D367" t="inlineStr">
        <is>
          <t>VÄSTERNORRLANDS LÄN</t>
        </is>
      </c>
      <c r="E367" t="inlineStr">
        <is>
          <t>ÅNGE</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56171-2019</t>
        </is>
      </c>
      <c r="B368" s="1" t="n">
        <v>43761</v>
      </c>
      <c r="C368" s="1" t="n">
        <v>45588</v>
      </c>
      <c r="D368" t="inlineStr">
        <is>
          <t>VÄSTERNORRLANDS LÄN</t>
        </is>
      </c>
      <c r="E368" t="inlineStr">
        <is>
          <t>ÅNGE</t>
        </is>
      </c>
      <c r="G368" t="n">
        <v>5.1</v>
      </c>
      <c r="H368" t="n">
        <v>0</v>
      </c>
      <c r="I368" t="n">
        <v>0</v>
      </c>
      <c r="J368" t="n">
        <v>0</v>
      </c>
      <c r="K368" t="n">
        <v>0</v>
      </c>
      <c r="L368" t="n">
        <v>0</v>
      </c>
      <c r="M368" t="n">
        <v>0</v>
      </c>
      <c r="N368" t="n">
        <v>0</v>
      </c>
      <c r="O368" t="n">
        <v>0</v>
      </c>
      <c r="P368" t="n">
        <v>0</v>
      </c>
      <c r="Q368" t="n">
        <v>0</v>
      </c>
      <c r="R368" s="2" t="inlineStr"/>
    </row>
    <row r="369" ht="15" customHeight="1">
      <c r="A369" t="inlineStr">
        <is>
          <t>A 56186-2019</t>
        </is>
      </c>
      <c r="B369" s="1" t="n">
        <v>43761</v>
      </c>
      <c r="C369" s="1" t="n">
        <v>45588</v>
      </c>
      <c r="D369" t="inlineStr">
        <is>
          <t>VÄSTERNORRLANDS LÄN</t>
        </is>
      </c>
      <c r="E369" t="inlineStr">
        <is>
          <t>ÅNGE</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56490-2019</t>
        </is>
      </c>
      <c r="B370" s="1" t="n">
        <v>43762</v>
      </c>
      <c r="C370" s="1" t="n">
        <v>45588</v>
      </c>
      <c r="D370" t="inlineStr">
        <is>
          <t>VÄSTERNORRLANDS LÄN</t>
        </is>
      </c>
      <c r="E370" t="inlineStr">
        <is>
          <t>ÅNGE</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57184-2019</t>
        </is>
      </c>
      <c r="B371" s="1" t="n">
        <v>43766</v>
      </c>
      <c r="C371" s="1" t="n">
        <v>45588</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57183-2019</t>
        </is>
      </c>
      <c r="B372" s="1" t="n">
        <v>43766</v>
      </c>
      <c r="C372" s="1" t="n">
        <v>45588</v>
      </c>
      <c r="D372" t="inlineStr">
        <is>
          <t>VÄSTERNORRLANDS LÄN</t>
        </is>
      </c>
      <c r="E372" t="inlineStr">
        <is>
          <t>ÅNGE</t>
        </is>
      </c>
      <c r="G372" t="n">
        <v>1.2</v>
      </c>
      <c r="H372" t="n">
        <v>0</v>
      </c>
      <c r="I372" t="n">
        <v>0</v>
      </c>
      <c r="J372" t="n">
        <v>0</v>
      </c>
      <c r="K372" t="n">
        <v>0</v>
      </c>
      <c r="L372" t="n">
        <v>0</v>
      </c>
      <c r="M372" t="n">
        <v>0</v>
      </c>
      <c r="N372" t="n">
        <v>0</v>
      </c>
      <c r="O372" t="n">
        <v>0</v>
      </c>
      <c r="P372" t="n">
        <v>0</v>
      </c>
      <c r="Q372" t="n">
        <v>0</v>
      </c>
      <c r="R372" s="2" t="inlineStr"/>
    </row>
    <row r="373" ht="15" customHeight="1">
      <c r="A373" t="inlineStr">
        <is>
          <t>A 58720-2019</t>
        </is>
      </c>
      <c r="B373" s="1" t="n">
        <v>43773</v>
      </c>
      <c r="C373" s="1" t="n">
        <v>45588</v>
      </c>
      <c r="D373" t="inlineStr">
        <is>
          <t>VÄSTERNORRLANDS LÄN</t>
        </is>
      </c>
      <c r="E373" t="inlineStr">
        <is>
          <t>ÅNGE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58790-2019</t>
        </is>
      </c>
      <c r="B374" s="1" t="n">
        <v>43773</v>
      </c>
      <c r="C374" s="1" t="n">
        <v>45588</v>
      </c>
      <c r="D374" t="inlineStr">
        <is>
          <t>VÄSTERNORRLANDS LÄN</t>
        </is>
      </c>
      <c r="E374" t="inlineStr">
        <is>
          <t>ÅNGE</t>
        </is>
      </c>
      <c r="G374" t="n">
        <v>0.1</v>
      </c>
      <c r="H374" t="n">
        <v>0</v>
      </c>
      <c r="I374" t="n">
        <v>0</v>
      </c>
      <c r="J374" t="n">
        <v>0</v>
      </c>
      <c r="K374" t="n">
        <v>0</v>
      </c>
      <c r="L374" t="n">
        <v>0</v>
      </c>
      <c r="M374" t="n">
        <v>0</v>
      </c>
      <c r="N374" t="n">
        <v>0</v>
      </c>
      <c r="O374" t="n">
        <v>0</v>
      </c>
      <c r="P374" t="n">
        <v>0</v>
      </c>
      <c r="Q374" t="n">
        <v>0</v>
      </c>
      <c r="R374" s="2" t="inlineStr"/>
    </row>
    <row r="375" ht="15" customHeight="1">
      <c r="A375" t="inlineStr">
        <is>
          <t>A 58941-2019</t>
        </is>
      </c>
      <c r="B375" s="1" t="n">
        <v>43774</v>
      </c>
      <c r="C375" s="1" t="n">
        <v>45588</v>
      </c>
      <c r="D375" t="inlineStr">
        <is>
          <t>VÄSTERNORRLANDS LÄN</t>
        </is>
      </c>
      <c r="E375" t="inlineStr">
        <is>
          <t>ÅNGE</t>
        </is>
      </c>
      <c r="G375" t="n">
        <v>4</v>
      </c>
      <c r="H375" t="n">
        <v>0</v>
      </c>
      <c r="I375" t="n">
        <v>0</v>
      </c>
      <c r="J375" t="n">
        <v>0</v>
      </c>
      <c r="K375" t="n">
        <v>0</v>
      </c>
      <c r="L375" t="n">
        <v>0</v>
      </c>
      <c r="M375" t="n">
        <v>0</v>
      </c>
      <c r="N375" t="n">
        <v>0</v>
      </c>
      <c r="O375" t="n">
        <v>0</v>
      </c>
      <c r="P375" t="n">
        <v>0</v>
      </c>
      <c r="Q375" t="n">
        <v>0</v>
      </c>
      <c r="R375" s="2" t="inlineStr"/>
    </row>
    <row r="376" ht="15" customHeight="1">
      <c r="A376" t="inlineStr">
        <is>
          <t>A 58932-2019</t>
        </is>
      </c>
      <c r="B376" s="1" t="n">
        <v>43774</v>
      </c>
      <c r="C376" s="1" t="n">
        <v>45588</v>
      </c>
      <c r="D376" t="inlineStr">
        <is>
          <t>VÄSTERNORRLANDS LÄN</t>
        </is>
      </c>
      <c r="E376" t="inlineStr">
        <is>
          <t>ÅNGE</t>
        </is>
      </c>
      <c r="G376" t="n">
        <v>3.2</v>
      </c>
      <c r="H376" t="n">
        <v>0</v>
      </c>
      <c r="I376" t="n">
        <v>0</v>
      </c>
      <c r="J376" t="n">
        <v>0</v>
      </c>
      <c r="K376" t="n">
        <v>0</v>
      </c>
      <c r="L376" t="n">
        <v>0</v>
      </c>
      <c r="M376" t="n">
        <v>0</v>
      </c>
      <c r="N376" t="n">
        <v>0</v>
      </c>
      <c r="O376" t="n">
        <v>0</v>
      </c>
      <c r="P376" t="n">
        <v>0</v>
      </c>
      <c r="Q376" t="n">
        <v>0</v>
      </c>
      <c r="R376" s="2" t="inlineStr"/>
    </row>
    <row r="377" ht="15" customHeight="1">
      <c r="A377" t="inlineStr">
        <is>
          <t>A 58951-2019</t>
        </is>
      </c>
      <c r="B377" s="1" t="n">
        <v>43774</v>
      </c>
      <c r="C377" s="1" t="n">
        <v>45588</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60577-2019</t>
        </is>
      </c>
      <c r="B378" s="1" t="n">
        <v>43781</v>
      </c>
      <c r="C378" s="1" t="n">
        <v>45588</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60687-2019</t>
        </is>
      </c>
      <c r="B379" s="1" t="n">
        <v>43781</v>
      </c>
      <c r="C379" s="1" t="n">
        <v>45588</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60868-2019</t>
        </is>
      </c>
      <c r="B380" s="1" t="n">
        <v>43781</v>
      </c>
      <c r="C380" s="1" t="n">
        <v>45588</v>
      </c>
      <c r="D380" t="inlineStr">
        <is>
          <t>VÄSTERNORRLANDS LÄN</t>
        </is>
      </c>
      <c r="E380" t="inlineStr">
        <is>
          <t>ÅNGE</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61521-2019</t>
        </is>
      </c>
      <c r="B381" s="1" t="n">
        <v>43783</v>
      </c>
      <c r="C381" s="1" t="n">
        <v>45588</v>
      </c>
      <c r="D381" t="inlineStr">
        <is>
          <t>VÄSTERNORRLANDS LÄN</t>
        </is>
      </c>
      <c r="E381" t="inlineStr">
        <is>
          <t>ÅNGE</t>
        </is>
      </c>
      <c r="F381" t="inlineStr">
        <is>
          <t>SCA</t>
        </is>
      </c>
      <c r="G381" t="n">
        <v>40.5</v>
      </c>
      <c r="H381" t="n">
        <v>0</v>
      </c>
      <c r="I381" t="n">
        <v>0</v>
      </c>
      <c r="J381" t="n">
        <v>0</v>
      </c>
      <c r="K381" t="n">
        <v>0</v>
      </c>
      <c r="L381" t="n">
        <v>0</v>
      </c>
      <c r="M381" t="n">
        <v>0</v>
      </c>
      <c r="N381" t="n">
        <v>0</v>
      </c>
      <c r="O381" t="n">
        <v>0</v>
      </c>
      <c r="P381" t="n">
        <v>0</v>
      </c>
      <c r="Q381" t="n">
        <v>0</v>
      </c>
      <c r="R381" s="2" t="inlineStr"/>
    </row>
    <row r="382" ht="15" customHeight="1">
      <c r="A382" t="inlineStr">
        <is>
          <t>A 61520-2019</t>
        </is>
      </c>
      <c r="B382" s="1" t="n">
        <v>43783</v>
      </c>
      <c r="C382" s="1" t="n">
        <v>45588</v>
      </c>
      <c r="D382" t="inlineStr">
        <is>
          <t>VÄSTERNORRLANDS LÄN</t>
        </is>
      </c>
      <c r="E382" t="inlineStr">
        <is>
          <t>ÅNGE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61918-2019</t>
        </is>
      </c>
      <c r="B383" s="1" t="n">
        <v>43787</v>
      </c>
      <c r="C383" s="1" t="n">
        <v>45588</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61862-2019</t>
        </is>
      </c>
      <c r="B384" s="1" t="n">
        <v>43787</v>
      </c>
      <c r="C384" s="1" t="n">
        <v>45588</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62222-2019</t>
        </is>
      </c>
      <c r="B385" s="1" t="n">
        <v>43788</v>
      </c>
      <c r="C385" s="1" t="n">
        <v>45588</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62547-2019</t>
        </is>
      </c>
      <c r="B386" s="1" t="n">
        <v>43789</v>
      </c>
      <c r="C386" s="1" t="n">
        <v>45588</v>
      </c>
      <c r="D386" t="inlineStr">
        <is>
          <t>VÄSTERNORRLANDS LÄN</t>
        </is>
      </c>
      <c r="E386" t="inlineStr">
        <is>
          <t>ÅNGE</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62925-2019</t>
        </is>
      </c>
      <c r="B387" s="1" t="n">
        <v>43790</v>
      </c>
      <c r="C387" s="1" t="n">
        <v>45588</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63300-2019</t>
        </is>
      </c>
      <c r="B388" s="1" t="n">
        <v>43794</v>
      </c>
      <c r="C388" s="1" t="n">
        <v>45588</v>
      </c>
      <c r="D388" t="inlineStr">
        <is>
          <t>VÄSTERNORRLANDS LÄN</t>
        </is>
      </c>
      <c r="E388" t="inlineStr">
        <is>
          <t>ÅNGE</t>
        </is>
      </c>
      <c r="G388" t="n">
        <v>3</v>
      </c>
      <c r="H388" t="n">
        <v>0</v>
      </c>
      <c r="I388" t="n">
        <v>0</v>
      </c>
      <c r="J388" t="n">
        <v>0</v>
      </c>
      <c r="K388" t="n">
        <v>0</v>
      </c>
      <c r="L388" t="n">
        <v>0</v>
      </c>
      <c r="M388" t="n">
        <v>0</v>
      </c>
      <c r="N388" t="n">
        <v>0</v>
      </c>
      <c r="O388" t="n">
        <v>0</v>
      </c>
      <c r="P388" t="n">
        <v>0</v>
      </c>
      <c r="Q388" t="n">
        <v>0</v>
      </c>
      <c r="R388" s="2" t="inlineStr"/>
    </row>
    <row r="389" ht="15" customHeight="1">
      <c r="A389" t="inlineStr">
        <is>
          <t>A 63329-2019</t>
        </is>
      </c>
      <c r="B389" s="1" t="n">
        <v>43794</v>
      </c>
      <c r="C389" s="1" t="n">
        <v>45588</v>
      </c>
      <c r="D389" t="inlineStr">
        <is>
          <t>VÄSTERNORRLANDS LÄN</t>
        </is>
      </c>
      <c r="E389" t="inlineStr">
        <is>
          <t>ÅNGE</t>
        </is>
      </c>
      <c r="G389" t="n">
        <v>1.8</v>
      </c>
      <c r="H389" t="n">
        <v>0</v>
      </c>
      <c r="I389" t="n">
        <v>0</v>
      </c>
      <c r="J389" t="n">
        <v>0</v>
      </c>
      <c r="K389" t="n">
        <v>0</v>
      </c>
      <c r="L389" t="n">
        <v>0</v>
      </c>
      <c r="M389" t="n">
        <v>0</v>
      </c>
      <c r="N389" t="n">
        <v>0</v>
      </c>
      <c r="O389" t="n">
        <v>0</v>
      </c>
      <c r="P389" t="n">
        <v>0</v>
      </c>
      <c r="Q389" t="n">
        <v>0</v>
      </c>
      <c r="R389" s="2" t="inlineStr"/>
    </row>
    <row r="390" ht="15" customHeight="1">
      <c r="A390" t="inlineStr">
        <is>
          <t>A 63453-2019</t>
        </is>
      </c>
      <c r="B390" s="1" t="n">
        <v>43794</v>
      </c>
      <c r="C390" s="1" t="n">
        <v>45588</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63324-2019</t>
        </is>
      </c>
      <c r="B391" s="1" t="n">
        <v>43794</v>
      </c>
      <c r="C391" s="1" t="n">
        <v>45588</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63549-2019</t>
        </is>
      </c>
      <c r="B392" s="1" t="n">
        <v>43794</v>
      </c>
      <c r="C392" s="1" t="n">
        <v>45588</v>
      </c>
      <c r="D392" t="inlineStr">
        <is>
          <t>VÄSTERNORRLANDS LÄN</t>
        </is>
      </c>
      <c r="E392" t="inlineStr">
        <is>
          <t>ÅNGE</t>
        </is>
      </c>
      <c r="F392" t="inlineStr">
        <is>
          <t>SCA</t>
        </is>
      </c>
      <c r="G392" t="n">
        <v>7.5</v>
      </c>
      <c r="H392" t="n">
        <v>0</v>
      </c>
      <c r="I392" t="n">
        <v>0</v>
      </c>
      <c r="J392" t="n">
        <v>0</v>
      </c>
      <c r="K392" t="n">
        <v>0</v>
      </c>
      <c r="L392" t="n">
        <v>0</v>
      </c>
      <c r="M392" t="n">
        <v>0</v>
      </c>
      <c r="N392" t="n">
        <v>0</v>
      </c>
      <c r="O392" t="n">
        <v>0</v>
      </c>
      <c r="P392" t="n">
        <v>0</v>
      </c>
      <c r="Q392" t="n">
        <v>0</v>
      </c>
      <c r="R392" s="2" t="inlineStr"/>
    </row>
    <row r="393" ht="15" customHeight="1">
      <c r="A393" t="inlineStr">
        <is>
          <t>A 63454-2019</t>
        </is>
      </c>
      <c r="B393" s="1" t="n">
        <v>43794</v>
      </c>
      <c r="C393" s="1" t="n">
        <v>45588</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63679-2019</t>
        </is>
      </c>
      <c r="B394" s="1" t="n">
        <v>43795</v>
      </c>
      <c r="C394" s="1" t="n">
        <v>45588</v>
      </c>
      <c r="D394" t="inlineStr">
        <is>
          <t>VÄSTERNORRLANDS LÄN</t>
        </is>
      </c>
      <c r="E394" t="inlineStr">
        <is>
          <t>ÅNGE</t>
        </is>
      </c>
      <c r="G394" t="n">
        <v>3.7</v>
      </c>
      <c r="H394" t="n">
        <v>0</v>
      </c>
      <c r="I394" t="n">
        <v>0</v>
      </c>
      <c r="J394" t="n">
        <v>0</v>
      </c>
      <c r="K394" t="n">
        <v>0</v>
      </c>
      <c r="L394" t="n">
        <v>0</v>
      </c>
      <c r="M394" t="n">
        <v>0</v>
      </c>
      <c r="N394" t="n">
        <v>0</v>
      </c>
      <c r="O394" t="n">
        <v>0</v>
      </c>
      <c r="P394" t="n">
        <v>0</v>
      </c>
      <c r="Q394" t="n">
        <v>0</v>
      </c>
      <c r="R394" s="2" t="inlineStr"/>
    </row>
    <row r="395" ht="15" customHeight="1">
      <c r="A395" t="inlineStr">
        <is>
          <t>A 63677-2019</t>
        </is>
      </c>
      <c r="B395" s="1" t="n">
        <v>43795</v>
      </c>
      <c r="C395" s="1" t="n">
        <v>45588</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63683-2019</t>
        </is>
      </c>
      <c r="B396" s="1" t="n">
        <v>43795</v>
      </c>
      <c r="C396" s="1" t="n">
        <v>45588</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65050-2019</t>
        </is>
      </c>
      <c r="B397" s="1" t="n">
        <v>43801</v>
      </c>
      <c r="C397" s="1" t="n">
        <v>45588</v>
      </c>
      <c r="D397" t="inlineStr">
        <is>
          <t>VÄSTERNORRLANDS LÄN</t>
        </is>
      </c>
      <c r="E397" t="inlineStr">
        <is>
          <t>ÅNGE</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65046-2019</t>
        </is>
      </c>
      <c r="B398" s="1" t="n">
        <v>43801</v>
      </c>
      <c r="C398" s="1" t="n">
        <v>45588</v>
      </c>
      <c r="D398" t="inlineStr">
        <is>
          <t>VÄSTERNORRLANDS LÄN</t>
        </is>
      </c>
      <c r="E398" t="inlineStr">
        <is>
          <t>ÅNGE</t>
        </is>
      </c>
      <c r="G398" t="n">
        <v>17.3</v>
      </c>
      <c r="H398" t="n">
        <v>0</v>
      </c>
      <c r="I398" t="n">
        <v>0</v>
      </c>
      <c r="J398" t="n">
        <v>0</v>
      </c>
      <c r="K398" t="n">
        <v>0</v>
      </c>
      <c r="L398" t="n">
        <v>0</v>
      </c>
      <c r="M398" t="n">
        <v>0</v>
      </c>
      <c r="N398" t="n">
        <v>0</v>
      </c>
      <c r="O398" t="n">
        <v>0</v>
      </c>
      <c r="P398" t="n">
        <v>0</v>
      </c>
      <c r="Q398" t="n">
        <v>0</v>
      </c>
      <c r="R398" s="2" t="inlineStr"/>
    </row>
    <row r="399" ht="15" customHeight="1">
      <c r="A399" t="inlineStr">
        <is>
          <t>A 65049-2019</t>
        </is>
      </c>
      <c r="B399" s="1" t="n">
        <v>43801</v>
      </c>
      <c r="C399" s="1" t="n">
        <v>45588</v>
      </c>
      <c r="D399" t="inlineStr">
        <is>
          <t>VÄSTERNORRLANDS LÄN</t>
        </is>
      </c>
      <c r="E399" t="inlineStr">
        <is>
          <t>ÅNGE</t>
        </is>
      </c>
      <c r="G399" t="n">
        <v>3.3</v>
      </c>
      <c r="H399" t="n">
        <v>0</v>
      </c>
      <c r="I399" t="n">
        <v>0</v>
      </c>
      <c r="J399" t="n">
        <v>0</v>
      </c>
      <c r="K399" t="n">
        <v>0</v>
      </c>
      <c r="L399" t="n">
        <v>0</v>
      </c>
      <c r="M399" t="n">
        <v>0</v>
      </c>
      <c r="N399" t="n">
        <v>0</v>
      </c>
      <c r="O399" t="n">
        <v>0</v>
      </c>
      <c r="P399" t="n">
        <v>0</v>
      </c>
      <c r="Q399" t="n">
        <v>0</v>
      </c>
      <c r="R399" s="2" t="inlineStr"/>
    </row>
    <row r="400" ht="15" customHeight="1">
      <c r="A400" t="inlineStr">
        <is>
          <t>A 65048-2019</t>
        </is>
      </c>
      <c r="B400" s="1" t="n">
        <v>43801</v>
      </c>
      <c r="C400" s="1" t="n">
        <v>45588</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65951-2019</t>
        </is>
      </c>
      <c r="B401" s="1" t="n">
        <v>43805</v>
      </c>
      <c r="C401" s="1" t="n">
        <v>45588</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65909-2019</t>
        </is>
      </c>
      <c r="B402" s="1" t="n">
        <v>43805</v>
      </c>
      <c r="C402" s="1" t="n">
        <v>45588</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66048-2019</t>
        </is>
      </c>
      <c r="B403" s="1" t="n">
        <v>43805</v>
      </c>
      <c r="C403" s="1" t="n">
        <v>45588</v>
      </c>
      <c r="D403" t="inlineStr">
        <is>
          <t>VÄSTERNORRLANDS LÄN</t>
        </is>
      </c>
      <c r="E403" t="inlineStr">
        <is>
          <t>ÅNGE</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66017-2019</t>
        </is>
      </c>
      <c r="B404" s="1" t="n">
        <v>43805</v>
      </c>
      <c r="C404" s="1" t="n">
        <v>45588</v>
      </c>
      <c r="D404" t="inlineStr">
        <is>
          <t>VÄSTERNORRLANDS LÄN</t>
        </is>
      </c>
      <c r="E404" t="inlineStr">
        <is>
          <t>ÅNGE</t>
        </is>
      </c>
      <c r="G404" t="n">
        <v>2.4</v>
      </c>
      <c r="H404" t="n">
        <v>0</v>
      </c>
      <c r="I404" t="n">
        <v>0</v>
      </c>
      <c r="J404" t="n">
        <v>0</v>
      </c>
      <c r="K404" t="n">
        <v>0</v>
      </c>
      <c r="L404" t="n">
        <v>0</v>
      </c>
      <c r="M404" t="n">
        <v>0</v>
      </c>
      <c r="N404" t="n">
        <v>0</v>
      </c>
      <c r="O404" t="n">
        <v>0</v>
      </c>
      <c r="P404" t="n">
        <v>0</v>
      </c>
      <c r="Q404" t="n">
        <v>0</v>
      </c>
      <c r="R404" s="2" t="inlineStr"/>
    </row>
    <row r="405" ht="15" customHeight="1">
      <c r="A405" t="inlineStr">
        <is>
          <t>A 66013-2019</t>
        </is>
      </c>
      <c r="B405" s="1" t="n">
        <v>43805</v>
      </c>
      <c r="C405" s="1" t="n">
        <v>45588</v>
      </c>
      <c r="D405" t="inlineStr">
        <is>
          <t>VÄSTERNORRLANDS LÄN</t>
        </is>
      </c>
      <c r="E405" t="inlineStr">
        <is>
          <t>ÅNGE</t>
        </is>
      </c>
      <c r="G405" t="n">
        <v>4</v>
      </c>
      <c r="H405" t="n">
        <v>0</v>
      </c>
      <c r="I405" t="n">
        <v>0</v>
      </c>
      <c r="J405" t="n">
        <v>0</v>
      </c>
      <c r="K405" t="n">
        <v>0</v>
      </c>
      <c r="L405" t="n">
        <v>0</v>
      </c>
      <c r="M405" t="n">
        <v>0</v>
      </c>
      <c r="N405" t="n">
        <v>0</v>
      </c>
      <c r="O405" t="n">
        <v>0</v>
      </c>
      <c r="P405" t="n">
        <v>0</v>
      </c>
      <c r="Q405" t="n">
        <v>0</v>
      </c>
      <c r="R405" s="2" t="inlineStr"/>
    </row>
    <row r="406" ht="15" customHeight="1">
      <c r="A406" t="inlineStr">
        <is>
          <t>A 68809-2019</t>
        </is>
      </c>
      <c r="B406" s="1" t="n">
        <v>43815</v>
      </c>
      <c r="C406" s="1" t="n">
        <v>45588</v>
      </c>
      <c r="D406" t="inlineStr">
        <is>
          <t>VÄSTERNORRLANDS LÄN</t>
        </is>
      </c>
      <c r="E406" t="inlineStr">
        <is>
          <t>ÅNGE</t>
        </is>
      </c>
      <c r="G406" t="n">
        <v>1.2</v>
      </c>
      <c r="H406" t="n">
        <v>0</v>
      </c>
      <c r="I406" t="n">
        <v>0</v>
      </c>
      <c r="J406" t="n">
        <v>0</v>
      </c>
      <c r="K406" t="n">
        <v>0</v>
      </c>
      <c r="L406" t="n">
        <v>0</v>
      </c>
      <c r="M406" t="n">
        <v>0</v>
      </c>
      <c r="N406" t="n">
        <v>0</v>
      </c>
      <c r="O406" t="n">
        <v>0</v>
      </c>
      <c r="P406" t="n">
        <v>0</v>
      </c>
      <c r="Q406" t="n">
        <v>0</v>
      </c>
      <c r="R406" s="2" t="inlineStr"/>
    </row>
    <row r="407" ht="15" customHeight="1">
      <c r="A407" t="inlineStr">
        <is>
          <t>A 714-2020</t>
        </is>
      </c>
      <c r="B407" s="1" t="n">
        <v>43818</v>
      </c>
      <c r="C407" s="1" t="n">
        <v>45588</v>
      </c>
      <c r="D407" t="inlineStr">
        <is>
          <t>VÄSTERNORRLANDS LÄN</t>
        </is>
      </c>
      <c r="E407" t="inlineStr">
        <is>
          <t>ÅNGE</t>
        </is>
      </c>
      <c r="G407" t="n">
        <v>0.9</v>
      </c>
      <c r="H407" t="n">
        <v>0</v>
      </c>
      <c r="I407" t="n">
        <v>0</v>
      </c>
      <c r="J407" t="n">
        <v>0</v>
      </c>
      <c r="K407" t="n">
        <v>0</v>
      </c>
      <c r="L407" t="n">
        <v>0</v>
      </c>
      <c r="M407" t="n">
        <v>0</v>
      </c>
      <c r="N407" t="n">
        <v>0</v>
      </c>
      <c r="O407" t="n">
        <v>0</v>
      </c>
      <c r="P407" t="n">
        <v>0</v>
      </c>
      <c r="Q407" t="n">
        <v>0</v>
      </c>
      <c r="R407" s="2" t="inlineStr"/>
    </row>
    <row r="408" ht="15" customHeight="1">
      <c r="A408" t="inlineStr">
        <is>
          <t>A 68807-2019</t>
        </is>
      </c>
      <c r="B408" s="1" t="n">
        <v>43819</v>
      </c>
      <c r="C408" s="1" t="n">
        <v>45588</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69169-2019</t>
        </is>
      </c>
      <c r="B409" s="1" t="n">
        <v>43830</v>
      </c>
      <c r="C409" s="1" t="n">
        <v>45588</v>
      </c>
      <c r="D409" t="inlineStr">
        <is>
          <t>VÄSTERNORRLANDS LÄN</t>
        </is>
      </c>
      <c r="E409" t="inlineStr">
        <is>
          <t>ÅNGE</t>
        </is>
      </c>
      <c r="G409" t="n">
        <v>1.5</v>
      </c>
      <c r="H409" t="n">
        <v>0</v>
      </c>
      <c r="I409" t="n">
        <v>0</v>
      </c>
      <c r="J409" t="n">
        <v>0</v>
      </c>
      <c r="K409" t="n">
        <v>0</v>
      </c>
      <c r="L409" t="n">
        <v>0</v>
      </c>
      <c r="M409" t="n">
        <v>0</v>
      </c>
      <c r="N409" t="n">
        <v>0</v>
      </c>
      <c r="O409" t="n">
        <v>0</v>
      </c>
      <c r="P409" t="n">
        <v>0</v>
      </c>
      <c r="Q409" t="n">
        <v>0</v>
      </c>
      <c r="R409" s="2" t="inlineStr"/>
    </row>
    <row r="410" ht="15" customHeight="1">
      <c r="A410" t="inlineStr">
        <is>
          <t>A 69171-2019</t>
        </is>
      </c>
      <c r="B410" s="1" t="n">
        <v>43830</v>
      </c>
      <c r="C410" s="1" t="n">
        <v>45588</v>
      </c>
      <c r="D410" t="inlineStr">
        <is>
          <t>VÄSTERNORRLANDS LÄN</t>
        </is>
      </c>
      <c r="E410" t="inlineStr">
        <is>
          <t>ÅNGE</t>
        </is>
      </c>
      <c r="G410" t="n">
        <v>3.1</v>
      </c>
      <c r="H410" t="n">
        <v>0</v>
      </c>
      <c r="I410" t="n">
        <v>0</v>
      </c>
      <c r="J410" t="n">
        <v>0</v>
      </c>
      <c r="K410" t="n">
        <v>0</v>
      </c>
      <c r="L410" t="n">
        <v>0</v>
      </c>
      <c r="M410" t="n">
        <v>0</v>
      </c>
      <c r="N410" t="n">
        <v>0</v>
      </c>
      <c r="O410" t="n">
        <v>0</v>
      </c>
      <c r="P410" t="n">
        <v>0</v>
      </c>
      <c r="Q410" t="n">
        <v>0</v>
      </c>
      <c r="R410" s="2" t="inlineStr"/>
    </row>
    <row r="411" ht="15" customHeight="1">
      <c r="A411" t="inlineStr">
        <is>
          <t>A 114-2020</t>
        </is>
      </c>
      <c r="B411" s="1" t="n">
        <v>43832</v>
      </c>
      <c r="C411" s="1" t="n">
        <v>45588</v>
      </c>
      <c r="D411" t="inlineStr">
        <is>
          <t>VÄSTERNORRLANDS LÄN</t>
        </is>
      </c>
      <c r="E411" t="inlineStr">
        <is>
          <t>ÅNGE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531-2020</t>
        </is>
      </c>
      <c r="B412" s="1" t="n">
        <v>43837</v>
      </c>
      <c r="C412" s="1" t="n">
        <v>45588</v>
      </c>
      <c r="D412" t="inlineStr">
        <is>
          <t>VÄSTERNORRLANDS LÄN</t>
        </is>
      </c>
      <c r="E412" t="inlineStr">
        <is>
          <t>ÅNGE</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664-2020</t>
        </is>
      </c>
      <c r="B413" s="1" t="n">
        <v>43838</v>
      </c>
      <c r="C413" s="1" t="n">
        <v>45588</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2650-2020</t>
        </is>
      </c>
      <c r="B414" s="1" t="n">
        <v>43847</v>
      </c>
      <c r="C414" s="1" t="n">
        <v>45588</v>
      </c>
      <c r="D414" t="inlineStr">
        <is>
          <t>VÄSTERNORRLANDS LÄN</t>
        </is>
      </c>
      <c r="E414" t="inlineStr">
        <is>
          <t>ÅNGE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3658-2020</t>
        </is>
      </c>
      <c r="B415" s="1" t="n">
        <v>43853</v>
      </c>
      <c r="C415" s="1" t="n">
        <v>45588</v>
      </c>
      <c r="D415" t="inlineStr">
        <is>
          <t>VÄSTERNORRLANDS LÄN</t>
        </is>
      </c>
      <c r="E415" t="inlineStr">
        <is>
          <t>ÅNGE</t>
        </is>
      </c>
      <c r="G415" t="n">
        <v>4.4</v>
      </c>
      <c r="H415" t="n">
        <v>0</v>
      </c>
      <c r="I415" t="n">
        <v>0</v>
      </c>
      <c r="J415" t="n">
        <v>0</v>
      </c>
      <c r="K415" t="n">
        <v>0</v>
      </c>
      <c r="L415" t="n">
        <v>0</v>
      </c>
      <c r="M415" t="n">
        <v>0</v>
      </c>
      <c r="N415" t="n">
        <v>0</v>
      </c>
      <c r="O415" t="n">
        <v>0</v>
      </c>
      <c r="P415" t="n">
        <v>0</v>
      </c>
      <c r="Q415" t="n">
        <v>0</v>
      </c>
      <c r="R415" s="2" t="inlineStr"/>
    </row>
    <row r="416" ht="15" customHeight="1">
      <c r="A416" t="inlineStr">
        <is>
          <t>A 3664-2020</t>
        </is>
      </c>
      <c r="B416" s="1" t="n">
        <v>43853</v>
      </c>
      <c r="C416" s="1" t="n">
        <v>45588</v>
      </c>
      <c r="D416" t="inlineStr">
        <is>
          <t>VÄSTERNORRLANDS LÄN</t>
        </is>
      </c>
      <c r="E416" t="inlineStr">
        <is>
          <t>ÅNGE</t>
        </is>
      </c>
      <c r="G416" t="n">
        <v>10.8</v>
      </c>
      <c r="H416" t="n">
        <v>0</v>
      </c>
      <c r="I416" t="n">
        <v>0</v>
      </c>
      <c r="J416" t="n">
        <v>0</v>
      </c>
      <c r="K416" t="n">
        <v>0</v>
      </c>
      <c r="L416" t="n">
        <v>0</v>
      </c>
      <c r="M416" t="n">
        <v>0</v>
      </c>
      <c r="N416" t="n">
        <v>0</v>
      </c>
      <c r="O416" t="n">
        <v>0</v>
      </c>
      <c r="P416" t="n">
        <v>0</v>
      </c>
      <c r="Q416" t="n">
        <v>0</v>
      </c>
      <c r="R416" s="2" t="inlineStr"/>
    </row>
    <row r="417" ht="15" customHeight="1">
      <c r="A417" t="inlineStr">
        <is>
          <t>A 3993-2020</t>
        </is>
      </c>
      <c r="B417" s="1" t="n">
        <v>43856</v>
      </c>
      <c r="C417" s="1" t="n">
        <v>45588</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4365-2020</t>
        </is>
      </c>
      <c r="B418" s="1" t="n">
        <v>43857</v>
      </c>
      <c r="C418" s="1" t="n">
        <v>45588</v>
      </c>
      <c r="D418" t="inlineStr">
        <is>
          <t>VÄSTERNORRLANDS LÄN</t>
        </is>
      </c>
      <c r="E418" t="inlineStr">
        <is>
          <t>ÅNGE</t>
        </is>
      </c>
      <c r="G418" t="n">
        <v>0.3</v>
      </c>
      <c r="H418" t="n">
        <v>0</v>
      </c>
      <c r="I418" t="n">
        <v>0</v>
      </c>
      <c r="J418" t="n">
        <v>0</v>
      </c>
      <c r="K418" t="n">
        <v>0</v>
      </c>
      <c r="L418" t="n">
        <v>0</v>
      </c>
      <c r="M418" t="n">
        <v>0</v>
      </c>
      <c r="N418" t="n">
        <v>0</v>
      </c>
      <c r="O418" t="n">
        <v>0</v>
      </c>
      <c r="P418" t="n">
        <v>0</v>
      </c>
      <c r="Q418" t="n">
        <v>0</v>
      </c>
      <c r="R418" s="2" t="inlineStr"/>
    </row>
    <row r="419" ht="15" customHeight="1">
      <c r="A419" t="inlineStr">
        <is>
          <t>A 4458-2020</t>
        </is>
      </c>
      <c r="B419" s="1" t="n">
        <v>43858</v>
      </c>
      <c r="C419" s="1" t="n">
        <v>45588</v>
      </c>
      <c r="D419" t="inlineStr">
        <is>
          <t>VÄSTERNORRLANDS LÄN</t>
        </is>
      </c>
      <c r="E419" t="inlineStr">
        <is>
          <t>ÅNGE</t>
        </is>
      </c>
      <c r="G419" t="n">
        <v>1.5</v>
      </c>
      <c r="H419" t="n">
        <v>0</v>
      </c>
      <c r="I419" t="n">
        <v>0</v>
      </c>
      <c r="J419" t="n">
        <v>0</v>
      </c>
      <c r="K419" t="n">
        <v>0</v>
      </c>
      <c r="L419" t="n">
        <v>0</v>
      </c>
      <c r="M419" t="n">
        <v>0</v>
      </c>
      <c r="N419" t="n">
        <v>0</v>
      </c>
      <c r="O419" t="n">
        <v>0</v>
      </c>
      <c r="P419" t="n">
        <v>0</v>
      </c>
      <c r="Q419" t="n">
        <v>0</v>
      </c>
      <c r="R419" s="2" t="inlineStr"/>
    </row>
    <row r="420" ht="15" customHeight="1">
      <c r="A420" t="inlineStr">
        <is>
          <t>A 5102-2020</t>
        </is>
      </c>
      <c r="B420" s="1" t="n">
        <v>43859</v>
      </c>
      <c r="C420" s="1" t="n">
        <v>45588</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5975-2020</t>
        </is>
      </c>
      <c r="B421" s="1" t="n">
        <v>43864</v>
      </c>
      <c r="C421" s="1" t="n">
        <v>45588</v>
      </c>
      <c r="D421" t="inlineStr">
        <is>
          <t>VÄSTERNORRLANDS LÄN</t>
        </is>
      </c>
      <c r="E421" t="inlineStr">
        <is>
          <t>ÅNGE</t>
        </is>
      </c>
      <c r="G421" t="n">
        <v>6.5</v>
      </c>
      <c r="H421" t="n">
        <v>0</v>
      </c>
      <c r="I421" t="n">
        <v>0</v>
      </c>
      <c r="J421" t="n">
        <v>0</v>
      </c>
      <c r="K421" t="n">
        <v>0</v>
      </c>
      <c r="L421" t="n">
        <v>0</v>
      </c>
      <c r="M421" t="n">
        <v>0</v>
      </c>
      <c r="N421" t="n">
        <v>0</v>
      </c>
      <c r="O421" t="n">
        <v>0</v>
      </c>
      <c r="P421" t="n">
        <v>0</v>
      </c>
      <c r="Q421" t="n">
        <v>0</v>
      </c>
      <c r="R421" s="2" t="inlineStr"/>
    </row>
    <row r="422" ht="15" customHeight="1">
      <c r="A422" t="inlineStr">
        <is>
          <t>A 6393-2020</t>
        </is>
      </c>
      <c r="B422" s="1" t="n">
        <v>43866</v>
      </c>
      <c r="C422" s="1" t="n">
        <v>45588</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6557-2020</t>
        </is>
      </c>
      <c r="B423" s="1" t="n">
        <v>43867</v>
      </c>
      <c r="C423" s="1" t="n">
        <v>45588</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6551-2020</t>
        </is>
      </c>
      <c r="B424" s="1" t="n">
        <v>43867</v>
      </c>
      <c r="C424" s="1" t="n">
        <v>45588</v>
      </c>
      <c r="D424" t="inlineStr">
        <is>
          <t>VÄSTERNORRLANDS LÄN</t>
        </is>
      </c>
      <c r="E424" t="inlineStr">
        <is>
          <t>ÅNGE</t>
        </is>
      </c>
      <c r="G424" t="n">
        <v>12.5</v>
      </c>
      <c r="H424" t="n">
        <v>0</v>
      </c>
      <c r="I424" t="n">
        <v>0</v>
      </c>
      <c r="J424" t="n">
        <v>0</v>
      </c>
      <c r="K424" t="n">
        <v>0</v>
      </c>
      <c r="L424" t="n">
        <v>0</v>
      </c>
      <c r="M424" t="n">
        <v>0</v>
      </c>
      <c r="N424" t="n">
        <v>0</v>
      </c>
      <c r="O424" t="n">
        <v>0</v>
      </c>
      <c r="P424" t="n">
        <v>0</v>
      </c>
      <c r="Q424" t="n">
        <v>0</v>
      </c>
      <c r="R424" s="2" t="inlineStr"/>
    </row>
    <row r="425" ht="15" customHeight="1">
      <c r="A425" t="inlineStr">
        <is>
          <t>A 6563-2020</t>
        </is>
      </c>
      <c r="B425" s="1" t="n">
        <v>43867</v>
      </c>
      <c r="C425" s="1" t="n">
        <v>45588</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6555-2020</t>
        </is>
      </c>
      <c r="B426" s="1" t="n">
        <v>43867</v>
      </c>
      <c r="C426" s="1" t="n">
        <v>45588</v>
      </c>
      <c r="D426" t="inlineStr">
        <is>
          <t>VÄSTERNORRLANDS LÄN</t>
        </is>
      </c>
      <c r="E426" t="inlineStr">
        <is>
          <t>ÅNGE</t>
        </is>
      </c>
      <c r="G426" t="n">
        <v>6.7</v>
      </c>
      <c r="H426" t="n">
        <v>0</v>
      </c>
      <c r="I426" t="n">
        <v>0</v>
      </c>
      <c r="J426" t="n">
        <v>0</v>
      </c>
      <c r="K426" t="n">
        <v>0</v>
      </c>
      <c r="L426" t="n">
        <v>0</v>
      </c>
      <c r="M426" t="n">
        <v>0</v>
      </c>
      <c r="N426" t="n">
        <v>0</v>
      </c>
      <c r="O426" t="n">
        <v>0</v>
      </c>
      <c r="P426" t="n">
        <v>0</v>
      </c>
      <c r="Q426" t="n">
        <v>0</v>
      </c>
      <c r="R426" s="2" t="inlineStr"/>
    </row>
    <row r="427" ht="15" customHeight="1">
      <c r="A427" t="inlineStr">
        <is>
          <t>A 6562-2020</t>
        </is>
      </c>
      <c r="B427" s="1" t="n">
        <v>43867</v>
      </c>
      <c r="C427" s="1" t="n">
        <v>45588</v>
      </c>
      <c r="D427" t="inlineStr">
        <is>
          <t>VÄSTERNORRLANDS LÄN</t>
        </is>
      </c>
      <c r="E427" t="inlineStr">
        <is>
          <t>ÅNGE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6565-2020</t>
        </is>
      </c>
      <c r="B428" s="1" t="n">
        <v>43867</v>
      </c>
      <c r="C428" s="1" t="n">
        <v>45588</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7787-2020</t>
        </is>
      </c>
      <c r="B429" s="1" t="n">
        <v>43872</v>
      </c>
      <c r="C429" s="1" t="n">
        <v>45588</v>
      </c>
      <c r="D429" t="inlineStr">
        <is>
          <t>VÄSTERNORRLANDS LÄN</t>
        </is>
      </c>
      <c r="E429" t="inlineStr">
        <is>
          <t>ÅNGE</t>
        </is>
      </c>
      <c r="F429" t="inlineStr">
        <is>
          <t>SCA</t>
        </is>
      </c>
      <c r="G429" t="n">
        <v>22.8</v>
      </c>
      <c r="H429" t="n">
        <v>0</v>
      </c>
      <c r="I429" t="n">
        <v>0</v>
      </c>
      <c r="J429" t="n">
        <v>0</v>
      </c>
      <c r="K429" t="n">
        <v>0</v>
      </c>
      <c r="L429" t="n">
        <v>0</v>
      </c>
      <c r="M429" t="n">
        <v>0</v>
      </c>
      <c r="N429" t="n">
        <v>0</v>
      </c>
      <c r="O429" t="n">
        <v>0</v>
      </c>
      <c r="P429" t="n">
        <v>0</v>
      </c>
      <c r="Q429" t="n">
        <v>0</v>
      </c>
      <c r="R429" s="2" t="inlineStr"/>
    </row>
    <row r="430" ht="15" customHeight="1">
      <c r="A430" t="inlineStr">
        <is>
          <t>A 8533-2020</t>
        </is>
      </c>
      <c r="B430" s="1" t="n">
        <v>43875</v>
      </c>
      <c r="C430" s="1" t="n">
        <v>45588</v>
      </c>
      <c r="D430" t="inlineStr">
        <is>
          <t>VÄSTERNORRLANDS LÄN</t>
        </is>
      </c>
      <c r="E430" t="inlineStr">
        <is>
          <t>ÅNGE</t>
        </is>
      </c>
      <c r="F430" t="inlineStr">
        <is>
          <t>SCA</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8534-2020</t>
        </is>
      </c>
      <c r="B431" s="1" t="n">
        <v>43875</v>
      </c>
      <c r="C431" s="1" t="n">
        <v>45588</v>
      </c>
      <c r="D431" t="inlineStr">
        <is>
          <t>VÄSTERNORRLANDS LÄN</t>
        </is>
      </c>
      <c r="E431" t="inlineStr">
        <is>
          <t>ÅNGE</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10144-2020</t>
        </is>
      </c>
      <c r="B432" s="1" t="n">
        <v>43886</v>
      </c>
      <c r="C432" s="1" t="n">
        <v>45588</v>
      </c>
      <c r="D432" t="inlineStr">
        <is>
          <t>VÄSTERNORRLANDS LÄN</t>
        </is>
      </c>
      <c r="E432" t="inlineStr">
        <is>
          <t>ÅNGE</t>
        </is>
      </c>
      <c r="F432" t="inlineStr">
        <is>
          <t>SCA</t>
        </is>
      </c>
      <c r="G432" t="n">
        <v>21.7</v>
      </c>
      <c r="H432" t="n">
        <v>0</v>
      </c>
      <c r="I432" t="n">
        <v>0</v>
      </c>
      <c r="J432" t="n">
        <v>0</v>
      </c>
      <c r="K432" t="n">
        <v>0</v>
      </c>
      <c r="L432" t="n">
        <v>0</v>
      </c>
      <c r="M432" t="n">
        <v>0</v>
      </c>
      <c r="N432" t="n">
        <v>0</v>
      </c>
      <c r="O432" t="n">
        <v>0</v>
      </c>
      <c r="P432" t="n">
        <v>0</v>
      </c>
      <c r="Q432" t="n">
        <v>0</v>
      </c>
      <c r="R432" s="2" t="inlineStr"/>
    </row>
    <row r="433" ht="15" customHeight="1">
      <c r="A433" t="inlineStr">
        <is>
          <t>A 10145-2020</t>
        </is>
      </c>
      <c r="B433" s="1" t="n">
        <v>43886</v>
      </c>
      <c r="C433" s="1" t="n">
        <v>45588</v>
      </c>
      <c r="D433" t="inlineStr">
        <is>
          <t>VÄSTERNORRLANDS LÄN</t>
        </is>
      </c>
      <c r="E433" t="inlineStr">
        <is>
          <t>ÅNGE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11101-2020</t>
        </is>
      </c>
      <c r="B434" s="1" t="n">
        <v>43889</v>
      </c>
      <c r="C434" s="1" t="n">
        <v>45588</v>
      </c>
      <c r="D434" t="inlineStr">
        <is>
          <t>VÄSTERNORRLANDS LÄN</t>
        </is>
      </c>
      <c r="E434" t="inlineStr">
        <is>
          <t>ÅNGE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12866-2020</t>
        </is>
      </c>
      <c r="B435" s="1" t="n">
        <v>43899</v>
      </c>
      <c r="C435" s="1" t="n">
        <v>45588</v>
      </c>
      <c r="D435" t="inlineStr">
        <is>
          <t>VÄSTERNORRLANDS LÄN</t>
        </is>
      </c>
      <c r="E435" t="inlineStr">
        <is>
          <t>ÅNGE</t>
        </is>
      </c>
      <c r="G435" t="n">
        <v>3.2</v>
      </c>
      <c r="H435" t="n">
        <v>0</v>
      </c>
      <c r="I435" t="n">
        <v>0</v>
      </c>
      <c r="J435" t="n">
        <v>0</v>
      </c>
      <c r="K435" t="n">
        <v>0</v>
      </c>
      <c r="L435" t="n">
        <v>0</v>
      </c>
      <c r="M435" t="n">
        <v>0</v>
      </c>
      <c r="N435" t="n">
        <v>0</v>
      </c>
      <c r="O435" t="n">
        <v>0</v>
      </c>
      <c r="P435" t="n">
        <v>0</v>
      </c>
      <c r="Q435" t="n">
        <v>0</v>
      </c>
      <c r="R435" s="2" t="inlineStr"/>
    </row>
    <row r="436" ht="15" customHeight="1">
      <c r="A436" t="inlineStr">
        <is>
          <t>A 12868-2020</t>
        </is>
      </c>
      <c r="B436" s="1" t="n">
        <v>43899</v>
      </c>
      <c r="C436" s="1" t="n">
        <v>45588</v>
      </c>
      <c r="D436" t="inlineStr">
        <is>
          <t>VÄSTERNORRLANDS LÄN</t>
        </is>
      </c>
      <c r="E436" t="inlineStr">
        <is>
          <t>ÅNGE</t>
        </is>
      </c>
      <c r="G436" t="n">
        <v>9.6</v>
      </c>
      <c r="H436" t="n">
        <v>0</v>
      </c>
      <c r="I436" t="n">
        <v>0</v>
      </c>
      <c r="J436" t="n">
        <v>0</v>
      </c>
      <c r="K436" t="n">
        <v>0</v>
      </c>
      <c r="L436" t="n">
        <v>0</v>
      </c>
      <c r="M436" t="n">
        <v>0</v>
      </c>
      <c r="N436" t="n">
        <v>0</v>
      </c>
      <c r="O436" t="n">
        <v>0</v>
      </c>
      <c r="P436" t="n">
        <v>0</v>
      </c>
      <c r="Q436" t="n">
        <v>0</v>
      </c>
      <c r="R436" s="2" t="inlineStr"/>
    </row>
    <row r="437" ht="15" customHeight="1">
      <c r="A437" t="inlineStr">
        <is>
          <t>A 13559-2020</t>
        </is>
      </c>
      <c r="B437" s="1" t="n">
        <v>43902</v>
      </c>
      <c r="C437" s="1" t="n">
        <v>45588</v>
      </c>
      <c r="D437" t="inlineStr">
        <is>
          <t>VÄSTERNORRLANDS LÄN</t>
        </is>
      </c>
      <c r="E437" t="inlineStr">
        <is>
          <t>ÅNGE</t>
        </is>
      </c>
      <c r="F437" t="inlineStr">
        <is>
          <t>SCA</t>
        </is>
      </c>
      <c r="G437" t="n">
        <v>24.5</v>
      </c>
      <c r="H437" t="n">
        <v>0</v>
      </c>
      <c r="I437" t="n">
        <v>0</v>
      </c>
      <c r="J437" t="n">
        <v>0</v>
      </c>
      <c r="K437" t="n">
        <v>0</v>
      </c>
      <c r="L437" t="n">
        <v>0</v>
      </c>
      <c r="M437" t="n">
        <v>0</v>
      </c>
      <c r="N437" t="n">
        <v>0</v>
      </c>
      <c r="O437" t="n">
        <v>0</v>
      </c>
      <c r="P437" t="n">
        <v>0</v>
      </c>
      <c r="Q437" t="n">
        <v>0</v>
      </c>
      <c r="R437" s="2" t="inlineStr"/>
    </row>
    <row r="438" ht="15" customHeight="1">
      <c r="A438" t="inlineStr">
        <is>
          <t>A 14586-2020</t>
        </is>
      </c>
      <c r="B438" s="1" t="n">
        <v>43908</v>
      </c>
      <c r="C438" s="1" t="n">
        <v>45588</v>
      </c>
      <c r="D438" t="inlineStr">
        <is>
          <t>VÄSTERNORRLANDS LÄN</t>
        </is>
      </c>
      <c r="E438" t="inlineStr">
        <is>
          <t>ÅNGE</t>
        </is>
      </c>
      <c r="G438" t="n">
        <v>1.3</v>
      </c>
      <c r="H438" t="n">
        <v>0</v>
      </c>
      <c r="I438" t="n">
        <v>0</v>
      </c>
      <c r="J438" t="n">
        <v>0</v>
      </c>
      <c r="K438" t="n">
        <v>0</v>
      </c>
      <c r="L438" t="n">
        <v>0</v>
      </c>
      <c r="M438" t="n">
        <v>0</v>
      </c>
      <c r="N438" t="n">
        <v>0</v>
      </c>
      <c r="O438" t="n">
        <v>0</v>
      </c>
      <c r="P438" t="n">
        <v>0</v>
      </c>
      <c r="Q438" t="n">
        <v>0</v>
      </c>
      <c r="R438" s="2" t="inlineStr"/>
    </row>
    <row r="439" ht="15" customHeight="1">
      <c r="A439" t="inlineStr">
        <is>
          <t>A 17101-2020</t>
        </is>
      </c>
      <c r="B439" s="1" t="n">
        <v>43914</v>
      </c>
      <c r="C439" s="1" t="n">
        <v>45588</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17098-2020</t>
        </is>
      </c>
      <c r="B440" s="1" t="n">
        <v>43914</v>
      </c>
      <c r="C440" s="1" t="n">
        <v>45588</v>
      </c>
      <c r="D440" t="inlineStr">
        <is>
          <t>VÄSTERNORRLANDS LÄN</t>
        </is>
      </c>
      <c r="E440" t="inlineStr">
        <is>
          <t>ÅNGE</t>
        </is>
      </c>
      <c r="G440" t="n">
        <v>0.7</v>
      </c>
      <c r="H440" t="n">
        <v>0</v>
      </c>
      <c r="I440" t="n">
        <v>0</v>
      </c>
      <c r="J440" t="n">
        <v>0</v>
      </c>
      <c r="K440" t="n">
        <v>0</v>
      </c>
      <c r="L440" t="n">
        <v>0</v>
      </c>
      <c r="M440" t="n">
        <v>0</v>
      </c>
      <c r="N440" t="n">
        <v>0</v>
      </c>
      <c r="O440" t="n">
        <v>0</v>
      </c>
      <c r="P440" t="n">
        <v>0</v>
      </c>
      <c r="Q440" t="n">
        <v>0</v>
      </c>
      <c r="R440" s="2" t="inlineStr"/>
    </row>
    <row r="441" ht="15" customHeight="1">
      <c r="A441" t="inlineStr">
        <is>
          <t>A 17007-2020</t>
        </is>
      </c>
      <c r="B441" s="1" t="n">
        <v>43921</v>
      </c>
      <c r="C441" s="1" t="n">
        <v>45588</v>
      </c>
      <c r="D441" t="inlineStr">
        <is>
          <t>VÄSTERNORRLANDS LÄN</t>
        </is>
      </c>
      <c r="E441" t="inlineStr">
        <is>
          <t>ÅNGE</t>
        </is>
      </c>
      <c r="G441" t="n">
        <v>1.3</v>
      </c>
      <c r="H441" t="n">
        <v>0</v>
      </c>
      <c r="I441" t="n">
        <v>0</v>
      </c>
      <c r="J441" t="n">
        <v>0</v>
      </c>
      <c r="K441" t="n">
        <v>0</v>
      </c>
      <c r="L441" t="n">
        <v>0</v>
      </c>
      <c r="M441" t="n">
        <v>0</v>
      </c>
      <c r="N441" t="n">
        <v>0</v>
      </c>
      <c r="O441" t="n">
        <v>0</v>
      </c>
      <c r="P441" t="n">
        <v>0</v>
      </c>
      <c r="Q441" t="n">
        <v>0</v>
      </c>
      <c r="R441" s="2" t="inlineStr"/>
    </row>
    <row r="442" ht="15" customHeight="1">
      <c r="A442" t="inlineStr">
        <is>
          <t>A 17069-2020</t>
        </is>
      </c>
      <c r="B442" s="1" t="n">
        <v>43921</v>
      </c>
      <c r="C442" s="1" t="n">
        <v>45588</v>
      </c>
      <c r="D442" t="inlineStr">
        <is>
          <t>VÄSTERNORRLANDS LÄN</t>
        </is>
      </c>
      <c r="E442" t="inlineStr">
        <is>
          <t>ÅNGE</t>
        </is>
      </c>
      <c r="F442" t="inlineStr">
        <is>
          <t>SCA</t>
        </is>
      </c>
      <c r="G442" t="n">
        <v>10.1</v>
      </c>
      <c r="H442" t="n">
        <v>0</v>
      </c>
      <c r="I442" t="n">
        <v>0</v>
      </c>
      <c r="J442" t="n">
        <v>0</v>
      </c>
      <c r="K442" t="n">
        <v>0</v>
      </c>
      <c r="L442" t="n">
        <v>0</v>
      </c>
      <c r="M442" t="n">
        <v>0</v>
      </c>
      <c r="N442" t="n">
        <v>0</v>
      </c>
      <c r="O442" t="n">
        <v>0</v>
      </c>
      <c r="P442" t="n">
        <v>0</v>
      </c>
      <c r="Q442" t="n">
        <v>0</v>
      </c>
      <c r="R442" s="2" t="inlineStr"/>
    </row>
    <row r="443" ht="15" customHeight="1">
      <c r="A443" t="inlineStr">
        <is>
          <t>A 19125-2020</t>
        </is>
      </c>
      <c r="B443" s="1" t="n">
        <v>43936</v>
      </c>
      <c r="C443" s="1" t="n">
        <v>45588</v>
      </c>
      <c r="D443" t="inlineStr">
        <is>
          <t>VÄSTERNORRLANDS LÄN</t>
        </is>
      </c>
      <c r="E443" t="inlineStr">
        <is>
          <t>ÅNGE</t>
        </is>
      </c>
      <c r="G443" t="n">
        <v>1.9</v>
      </c>
      <c r="H443" t="n">
        <v>0</v>
      </c>
      <c r="I443" t="n">
        <v>0</v>
      </c>
      <c r="J443" t="n">
        <v>0</v>
      </c>
      <c r="K443" t="n">
        <v>0</v>
      </c>
      <c r="L443" t="n">
        <v>0</v>
      </c>
      <c r="M443" t="n">
        <v>0</v>
      </c>
      <c r="N443" t="n">
        <v>0</v>
      </c>
      <c r="O443" t="n">
        <v>0</v>
      </c>
      <c r="P443" t="n">
        <v>0</v>
      </c>
      <c r="Q443" t="n">
        <v>0</v>
      </c>
      <c r="R443" s="2" t="inlineStr"/>
    </row>
    <row r="444" ht="15" customHeight="1">
      <c r="A444" t="inlineStr">
        <is>
          <t>A 19619-2020</t>
        </is>
      </c>
      <c r="B444" s="1" t="n">
        <v>43941</v>
      </c>
      <c r="C444" s="1" t="n">
        <v>45588</v>
      </c>
      <c r="D444" t="inlineStr">
        <is>
          <t>VÄSTERNORRLANDS LÄN</t>
        </is>
      </c>
      <c r="E444" t="inlineStr">
        <is>
          <t>ÅNGE</t>
        </is>
      </c>
      <c r="G444" t="n">
        <v>4.6</v>
      </c>
      <c r="H444" t="n">
        <v>0</v>
      </c>
      <c r="I444" t="n">
        <v>0</v>
      </c>
      <c r="J444" t="n">
        <v>0</v>
      </c>
      <c r="K444" t="n">
        <v>0</v>
      </c>
      <c r="L444" t="n">
        <v>0</v>
      </c>
      <c r="M444" t="n">
        <v>0</v>
      </c>
      <c r="N444" t="n">
        <v>0</v>
      </c>
      <c r="O444" t="n">
        <v>0</v>
      </c>
      <c r="P444" t="n">
        <v>0</v>
      </c>
      <c r="Q444" t="n">
        <v>0</v>
      </c>
      <c r="R444" s="2" t="inlineStr"/>
    </row>
    <row r="445" ht="15" customHeight="1">
      <c r="A445" t="inlineStr">
        <is>
          <t>A 20079-2020</t>
        </is>
      </c>
      <c r="B445" s="1" t="n">
        <v>43943</v>
      </c>
      <c r="C445" s="1" t="n">
        <v>45588</v>
      </c>
      <c r="D445" t="inlineStr">
        <is>
          <t>VÄSTERNORRLANDS LÄN</t>
        </is>
      </c>
      <c r="E445" t="inlineStr">
        <is>
          <t>ÅNGE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20211-2020</t>
        </is>
      </c>
      <c r="B446" s="1" t="n">
        <v>43944</v>
      </c>
      <c r="C446" s="1" t="n">
        <v>45588</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20192-2020</t>
        </is>
      </c>
      <c r="B447" s="1" t="n">
        <v>43944</v>
      </c>
      <c r="C447" s="1" t="n">
        <v>45588</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20820-2020</t>
        </is>
      </c>
      <c r="B448" s="1" t="n">
        <v>43949</v>
      </c>
      <c r="C448" s="1" t="n">
        <v>45588</v>
      </c>
      <c r="D448" t="inlineStr">
        <is>
          <t>VÄSTERNORRLANDS LÄN</t>
        </is>
      </c>
      <c r="E448" t="inlineStr">
        <is>
          <t>ÅNGE</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21207-2020</t>
        </is>
      </c>
      <c r="B449" s="1" t="n">
        <v>43951</v>
      </c>
      <c r="C449" s="1" t="n">
        <v>45588</v>
      </c>
      <c r="D449" t="inlineStr">
        <is>
          <t>VÄSTERNORRLANDS LÄN</t>
        </is>
      </c>
      <c r="E449" t="inlineStr">
        <is>
          <t>ÅNGE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21763-2020</t>
        </is>
      </c>
      <c r="B450" s="1" t="n">
        <v>43957</v>
      </c>
      <c r="C450" s="1" t="n">
        <v>45588</v>
      </c>
      <c r="D450" t="inlineStr">
        <is>
          <t>VÄSTERNORRLANDS LÄN</t>
        </is>
      </c>
      <c r="E450" t="inlineStr">
        <is>
          <t>ÅNGE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22041-2020</t>
        </is>
      </c>
      <c r="B451" s="1" t="n">
        <v>43959</v>
      </c>
      <c r="C451" s="1" t="n">
        <v>45588</v>
      </c>
      <c r="D451" t="inlineStr">
        <is>
          <t>VÄSTERNORRLANDS LÄN</t>
        </is>
      </c>
      <c r="E451" t="inlineStr">
        <is>
          <t>ÅNGE</t>
        </is>
      </c>
      <c r="G451" t="n">
        <v>4.5</v>
      </c>
      <c r="H451" t="n">
        <v>0</v>
      </c>
      <c r="I451" t="n">
        <v>0</v>
      </c>
      <c r="J451" t="n">
        <v>0</v>
      </c>
      <c r="K451" t="n">
        <v>0</v>
      </c>
      <c r="L451" t="n">
        <v>0</v>
      </c>
      <c r="M451" t="n">
        <v>0</v>
      </c>
      <c r="N451" t="n">
        <v>0</v>
      </c>
      <c r="O451" t="n">
        <v>0</v>
      </c>
      <c r="P451" t="n">
        <v>0</v>
      </c>
      <c r="Q451" t="n">
        <v>0</v>
      </c>
      <c r="R451" s="2" t="inlineStr"/>
    </row>
    <row r="452" ht="15" customHeight="1">
      <c r="A452" t="inlineStr">
        <is>
          <t>A 22039-2020</t>
        </is>
      </c>
      <c r="B452" s="1" t="n">
        <v>43959</v>
      </c>
      <c r="C452" s="1" t="n">
        <v>45588</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22552-2020</t>
        </is>
      </c>
      <c r="B453" s="1" t="n">
        <v>43963</v>
      </c>
      <c r="C453" s="1" t="n">
        <v>45588</v>
      </c>
      <c r="D453" t="inlineStr">
        <is>
          <t>VÄSTERNORRLANDS LÄN</t>
        </is>
      </c>
      <c r="E453" t="inlineStr">
        <is>
          <t>ÅNGE</t>
        </is>
      </c>
      <c r="G453" t="n">
        <v>0.7</v>
      </c>
      <c r="H453" t="n">
        <v>0</v>
      </c>
      <c r="I453" t="n">
        <v>0</v>
      </c>
      <c r="J453" t="n">
        <v>0</v>
      </c>
      <c r="K453" t="n">
        <v>0</v>
      </c>
      <c r="L453" t="n">
        <v>0</v>
      </c>
      <c r="M453" t="n">
        <v>0</v>
      </c>
      <c r="N453" t="n">
        <v>0</v>
      </c>
      <c r="O453" t="n">
        <v>0</v>
      </c>
      <c r="P453" t="n">
        <v>0</v>
      </c>
      <c r="Q453" t="n">
        <v>0</v>
      </c>
      <c r="R453" s="2" t="inlineStr"/>
    </row>
    <row r="454" ht="15" customHeight="1">
      <c r="A454" t="inlineStr">
        <is>
          <t>A 22690-2020</t>
        </is>
      </c>
      <c r="B454" s="1" t="n">
        <v>43963</v>
      </c>
      <c r="C454" s="1" t="n">
        <v>45588</v>
      </c>
      <c r="D454" t="inlineStr">
        <is>
          <t>VÄSTERNORRLANDS LÄN</t>
        </is>
      </c>
      <c r="E454" t="inlineStr">
        <is>
          <t>ÅNGE</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22911-2020</t>
        </is>
      </c>
      <c r="B455" s="1" t="n">
        <v>43964</v>
      </c>
      <c r="C455" s="1" t="n">
        <v>45588</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22907-2020</t>
        </is>
      </c>
      <c r="B456" s="1" t="n">
        <v>43964</v>
      </c>
      <c r="C456" s="1" t="n">
        <v>45588</v>
      </c>
      <c r="D456" t="inlineStr">
        <is>
          <t>VÄSTERNORRLANDS LÄN</t>
        </is>
      </c>
      <c r="E456" t="inlineStr">
        <is>
          <t>ÅNGE</t>
        </is>
      </c>
      <c r="G456" t="n">
        <v>2.9</v>
      </c>
      <c r="H456" t="n">
        <v>0</v>
      </c>
      <c r="I456" t="n">
        <v>0</v>
      </c>
      <c r="J456" t="n">
        <v>0</v>
      </c>
      <c r="K456" t="n">
        <v>0</v>
      </c>
      <c r="L456" t="n">
        <v>0</v>
      </c>
      <c r="M456" t="n">
        <v>0</v>
      </c>
      <c r="N456" t="n">
        <v>0</v>
      </c>
      <c r="O456" t="n">
        <v>0</v>
      </c>
      <c r="P456" t="n">
        <v>0</v>
      </c>
      <c r="Q456" t="n">
        <v>0</v>
      </c>
      <c r="R456" s="2" t="inlineStr"/>
    </row>
    <row r="457" ht="15" customHeight="1">
      <c r="A457" t="inlineStr">
        <is>
          <t>A 22909-2020</t>
        </is>
      </c>
      <c r="B457" s="1" t="n">
        <v>43964</v>
      </c>
      <c r="C457" s="1" t="n">
        <v>45588</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23352-2020</t>
        </is>
      </c>
      <c r="B458" s="1" t="n">
        <v>43966</v>
      </c>
      <c r="C458" s="1" t="n">
        <v>45588</v>
      </c>
      <c r="D458" t="inlineStr">
        <is>
          <t>VÄSTERNORRLANDS LÄN</t>
        </is>
      </c>
      <c r="E458" t="inlineStr">
        <is>
          <t>ÅNGE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23660-2020</t>
        </is>
      </c>
      <c r="B459" s="1" t="n">
        <v>43969</v>
      </c>
      <c r="C459" s="1" t="n">
        <v>45588</v>
      </c>
      <c r="D459" t="inlineStr">
        <is>
          <t>VÄSTERNORRLANDS LÄN</t>
        </is>
      </c>
      <c r="E459" t="inlineStr">
        <is>
          <t>ÅNGE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24353-2020</t>
        </is>
      </c>
      <c r="B460" s="1" t="n">
        <v>43976</v>
      </c>
      <c r="C460" s="1" t="n">
        <v>45588</v>
      </c>
      <c r="D460" t="inlineStr">
        <is>
          <t>VÄSTERNORRLANDS LÄN</t>
        </is>
      </c>
      <c r="E460" t="inlineStr">
        <is>
          <t>ÅNGE</t>
        </is>
      </c>
      <c r="G460" t="n">
        <v>3.2</v>
      </c>
      <c r="H460" t="n">
        <v>0</v>
      </c>
      <c r="I460" t="n">
        <v>0</v>
      </c>
      <c r="J460" t="n">
        <v>0</v>
      </c>
      <c r="K460" t="n">
        <v>0</v>
      </c>
      <c r="L460" t="n">
        <v>0</v>
      </c>
      <c r="M460" t="n">
        <v>0</v>
      </c>
      <c r="N460" t="n">
        <v>0</v>
      </c>
      <c r="O460" t="n">
        <v>0</v>
      </c>
      <c r="P460" t="n">
        <v>0</v>
      </c>
      <c r="Q460" t="n">
        <v>0</v>
      </c>
      <c r="R460" s="2" t="inlineStr"/>
    </row>
    <row r="461" ht="15" customHeight="1">
      <c r="A461" t="inlineStr">
        <is>
          <t>A 24411-2020</t>
        </is>
      </c>
      <c r="B461" s="1" t="n">
        <v>43976</v>
      </c>
      <c r="C461" s="1" t="n">
        <v>45588</v>
      </c>
      <c r="D461" t="inlineStr">
        <is>
          <t>VÄSTERNORRLANDS LÄN</t>
        </is>
      </c>
      <c r="E461" t="inlineStr">
        <is>
          <t>ÅNGE</t>
        </is>
      </c>
      <c r="G461" t="n">
        <v>5.6</v>
      </c>
      <c r="H461" t="n">
        <v>0</v>
      </c>
      <c r="I461" t="n">
        <v>0</v>
      </c>
      <c r="J461" t="n">
        <v>0</v>
      </c>
      <c r="K461" t="n">
        <v>0</v>
      </c>
      <c r="L461" t="n">
        <v>0</v>
      </c>
      <c r="M461" t="n">
        <v>0</v>
      </c>
      <c r="N461" t="n">
        <v>0</v>
      </c>
      <c r="O461" t="n">
        <v>0</v>
      </c>
      <c r="P461" t="n">
        <v>0</v>
      </c>
      <c r="Q461" t="n">
        <v>0</v>
      </c>
      <c r="R461" s="2" t="inlineStr"/>
    </row>
    <row r="462" ht="15" customHeight="1">
      <c r="A462" t="inlineStr">
        <is>
          <t>A 24361-2020</t>
        </is>
      </c>
      <c r="B462" s="1" t="n">
        <v>43976</v>
      </c>
      <c r="C462" s="1" t="n">
        <v>45588</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24696-2020</t>
        </is>
      </c>
      <c r="B463" s="1" t="n">
        <v>43978</v>
      </c>
      <c r="C463" s="1" t="n">
        <v>45588</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24857-2020</t>
        </is>
      </c>
      <c r="B464" s="1" t="n">
        <v>43978</v>
      </c>
      <c r="C464" s="1" t="n">
        <v>45588</v>
      </c>
      <c r="D464" t="inlineStr">
        <is>
          <t>VÄSTERNORRLANDS LÄN</t>
        </is>
      </c>
      <c r="E464" t="inlineStr">
        <is>
          <t>ÅNGE</t>
        </is>
      </c>
      <c r="G464" t="n">
        <v>5</v>
      </c>
      <c r="H464" t="n">
        <v>0</v>
      </c>
      <c r="I464" t="n">
        <v>0</v>
      </c>
      <c r="J464" t="n">
        <v>0</v>
      </c>
      <c r="K464" t="n">
        <v>0</v>
      </c>
      <c r="L464" t="n">
        <v>0</v>
      </c>
      <c r="M464" t="n">
        <v>0</v>
      </c>
      <c r="N464" t="n">
        <v>0</v>
      </c>
      <c r="O464" t="n">
        <v>0</v>
      </c>
      <c r="P464" t="n">
        <v>0</v>
      </c>
      <c r="Q464" t="n">
        <v>0</v>
      </c>
      <c r="R464" s="2" t="inlineStr"/>
    </row>
    <row r="465" ht="15" customHeight="1">
      <c r="A465" t="inlineStr">
        <is>
          <t>A 24859-2020</t>
        </is>
      </c>
      <c r="B465" s="1" t="n">
        <v>43978</v>
      </c>
      <c r="C465" s="1" t="n">
        <v>45588</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25370-2020</t>
        </is>
      </c>
      <c r="B466" s="1" t="n">
        <v>43980</v>
      </c>
      <c r="C466" s="1" t="n">
        <v>45588</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26447-2020</t>
        </is>
      </c>
      <c r="B467" s="1" t="n">
        <v>43987</v>
      </c>
      <c r="C467" s="1" t="n">
        <v>45588</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27773-2020</t>
        </is>
      </c>
      <c r="B468" s="1" t="n">
        <v>43992</v>
      </c>
      <c r="C468" s="1" t="n">
        <v>45588</v>
      </c>
      <c r="D468" t="inlineStr">
        <is>
          <t>VÄSTERNORRLANDS LÄN</t>
        </is>
      </c>
      <c r="E468" t="inlineStr">
        <is>
          <t>ÅNGE</t>
        </is>
      </c>
      <c r="G468" t="n">
        <v>7.2</v>
      </c>
      <c r="H468" t="n">
        <v>0</v>
      </c>
      <c r="I468" t="n">
        <v>0</v>
      </c>
      <c r="J468" t="n">
        <v>0</v>
      </c>
      <c r="K468" t="n">
        <v>0</v>
      </c>
      <c r="L468" t="n">
        <v>0</v>
      </c>
      <c r="M468" t="n">
        <v>0</v>
      </c>
      <c r="N468" t="n">
        <v>0</v>
      </c>
      <c r="O468" t="n">
        <v>0</v>
      </c>
      <c r="P468" t="n">
        <v>0</v>
      </c>
      <c r="Q468" t="n">
        <v>0</v>
      </c>
      <c r="R468" s="2" t="inlineStr"/>
    </row>
    <row r="469" ht="15" customHeight="1">
      <c r="A469" t="inlineStr">
        <is>
          <t>A 28064-2020</t>
        </is>
      </c>
      <c r="B469" s="1" t="n">
        <v>43997</v>
      </c>
      <c r="C469" s="1" t="n">
        <v>45588</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28890-2020</t>
        </is>
      </c>
      <c r="B470" s="1" t="n">
        <v>44000</v>
      </c>
      <c r="C470" s="1" t="n">
        <v>45588</v>
      </c>
      <c r="D470" t="inlineStr">
        <is>
          <t>VÄSTERNORRLANDS LÄN</t>
        </is>
      </c>
      <c r="E470" t="inlineStr">
        <is>
          <t>ÅNGE</t>
        </is>
      </c>
      <c r="G470" t="n">
        <v>15.2</v>
      </c>
      <c r="H470" t="n">
        <v>0</v>
      </c>
      <c r="I470" t="n">
        <v>0</v>
      </c>
      <c r="J470" t="n">
        <v>0</v>
      </c>
      <c r="K470" t="n">
        <v>0</v>
      </c>
      <c r="L470" t="n">
        <v>0</v>
      </c>
      <c r="M470" t="n">
        <v>0</v>
      </c>
      <c r="N470" t="n">
        <v>0</v>
      </c>
      <c r="O470" t="n">
        <v>0</v>
      </c>
      <c r="P470" t="n">
        <v>0</v>
      </c>
      <c r="Q470" t="n">
        <v>0</v>
      </c>
      <c r="R470" s="2" t="inlineStr"/>
    </row>
    <row r="471" ht="15" customHeight="1">
      <c r="A471" t="inlineStr">
        <is>
          <t>A 28832-2020</t>
        </is>
      </c>
      <c r="B471" s="1" t="n">
        <v>44000</v>
      </c>
      <c r="C471" s="1" t="n">
        <v>45588</v>
      </c>
      <c r="D471" t="inlineStr">
        <is>
          <t>VÄSTERNORRLANDS LÄN</t>
        </is>
      </c>
      <c r="E471" t="inlineStr">
        <is>
          <t>ÅNGE</t>
        </is>
      </c>
      <c r="G471" t="n">
        <v>4</v>
      </c>
      <c r="H471" t="n">
        <v>0</v>
      </c>
      <c r="I471" t="n">
        <v>0</v>
      </c>
      <c r="J471" t="n">
        <v>0</v>
      </c>
      <c r="K471" t="n">
        <v>0</v>
      </c>
      <c r="L471" t="n">
        <v>0</v>
      </c>
      <c r="M471" t="n">
        <v>0</v>
      </c>
      <c r="N471" t="n">
        <v>0</v>
      </c>
      <c r="O471" t="n">
        <v>0</v>
      </c>
      <c r="P471" t="n">
        <v>0</v>
      </c>
      <c r="Q471" t="n">
        <v>0</v>
      </c>
      <c r="R471" s="2" t="inlineStr"/>
    </row>
    <row r="472" ht="15" customHeight="1">
      <c r="A472" t="inlineStr">
        <is>
          <t>A 29950-2020</t>
        </is>
      </c>
      <c r="B472" s="1" t="n">
        <v>44006</v>
      </c>
      <c r="C472" s="1" t="n">
        <v>45588</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31079-2020</t>
        </is>
      </c>
      <c r="B473" s="1" t="n">
        <v>44011</v>
      </c>
      <c r="C473" s="1" t="n">
        <v>45588</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31643-2020</t>
        </is>
      </c>
      <c r="B474" s="1" t="n">
        <v>44013</v>
      </c>
      <c r="C474" s="1" t="n">
        <v>45588</v>
      </c>
      <c r="D474" t="inlineStr">
        <is>
          <t>VÄSTERNORRLANDS LÄN</t>
        </is>
      </c>
      <c r="E474" t="inlineStr">
        <is>
          <t>ÅNGE</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31867-2020</t>
        </is>
      </c>
      <c r="B475" s="1" t="n">
        <v>44014</v>
      </c>
      <c r="C475" s="1" t="n">
        <v>45588</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31926-2020</t>
        </is>
      </c>
      <c r="B476" s="1" t="n">
        <v>44014</v>
      </c>
      <c r="C476" s="1" t="n">
        <v>45588</v>
      </c>
      <c r="D476" t="inlineStr">
        <is>
          <t>VÄSTERNORRLANDS LÄN</t>
        </is>
      </c>
      <c r="E476" t="inlineStr">
        <is>
          <t>ÅNGE</t>
        </is>
      </c>
      <c r="G476" t="n">
        <v>2.3</v>
      </c>
      <c r="H476" t="n">
        <v>0</v>
      </c>
      <c r="I476" t="n">
        <v>0</v>
      </c>
      <c r="J476" t="n">
        <v>0</v>
      </c>
      <c r="K476" t="n">
        <v>0</v>
      </c>
      <c r="L476" t="n">
        <v>0</v>
      </c>
      <c r="M476" t="n">
        <v>0</v>
      </c>
      <c r="N476" t="n">
        <v>0</v>
      </c>
      <c r="O476" t="n">
        <v>0</v>
      </c>
      <c r="P476" t="n">
        <v>0</v>
      </c>
      <c r="Q476" t="n">
        <v>0</v>
      </c>
      <c r="R476" s="2" t="inlineStr"/>
    </row>
    <row r="477" ht="15" customHeight="1">
      <c r="A477" t="inlineStr">
        <is>
          <t>A 32299-2020</t>
        </is>
      </c>
      <c r="B477" s="1" t="n">
        <v>44015</v>
      </c>
      <c r="C477" s="1" t="n">
        <v>45588</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32303-2020</t>
        </is>
      </c>
      <c r="B478" s="1" t="n">
        <v>44015</v>
      </c>
      <c r="C478" s="1" t="n">
        <v>45588</v>
      </c>
      <c r="D478" t="inlineStr">
        <is>
          <t>VÄSTERNORRLANDS LÄN</t>
        </is>
      </c>
      <c r="E478" t="inlineStr">
        <is>
          <t>ÅNGE</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32760-2020</t>
        </is>
      </c>
      <c r="B479" s="1" t="n">
        <v>44019</v>
      </c>
      <c r="C479" s="1" t="n">
        <v>45588</v>
      </c>
      <c r="D479" t="inlineStr">
        <is>
          <t>VÄSTERNORRLANDS LÄN</t>
        </is>
      </c>
      <c r="E479" t="inlineStr">
        <is>
          <t>ÅNGE</t>
        </is>
      </c>
      <c r="F479" t="inlineStr">
        <is>
          <t>SCA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33442-2020</t>
        </is>
      </c>
      <c r="B480" s="1" t="n">
        <v>44023</v>
      </c>
      <c r="C480" s="1" t="n">
        <v>45588</v>
      </c>
      <c r="D480" t="inlineStr">
        <is>
          <t>VÄSTERNORRLANDS LÄN</t>
        </is>
      </c>
      <c r="E480" t="inlineStr">
        <is>
          <t>ÅNGE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33619-2020</t>
        </is>
      </c>
      <c r="B481" s="1" t="n">
        <v>44026</v>
      </c>
      <c r="C481" s="1" t="n">
        <v>45588</v>
      </c>
      <c r="D481" t="inlineStr">
        <is>
          <t>VÄSTERNORRLANDS LÄN</t>
        </is>
      </c>
      <c r="E481" t="inlineStr">
        <is>
          <t>ÅNGE</t>
        </is>
      </c>
      <c r="G481" t="n">
        <v>1.4</v>
      </c>
      <c r="H481" t="n">
        <v>0</v>
      </c>
      <c r="I481" t="n">
        <v>0</v>
      </c>
      <c r="J481" t="n">
        <v>0</v>
      </c>
      <c r="K481" t="n">
        <v>0</v>
      </c>
      <c r="L481" t="n">
        <v>0</v>
      </c>
      <c r="M481" t="n">
        <v>0</v>
      </c>
      <c r="N481" t="n">
        <v>0</v>
      </c>
      <c r="O481" t="n">
        <v>0</v>
      </c>
      <c r="P481" t="n">
        <v>0</v>
      </c>
      <c r="Q481" t="n">
        <v>0</v>
      </c>
      <c r="R481" s="2" t="inlineStr"/>
    </row>
    <row r="482" ht="15" customHeight="1">
      <c r="A482" t="inlineStr">
        <is>
          <t>A 33524-2020</t>
        </is>
      </c>
      <c r="B482" s="1" t="n">
        <v>44025</v>
      </c>
      <c r="C482" s="1" t="n">
        <v>45588</v>
      </c>
      <c r="D482" t="inlineStr">
        <is>
          <t>VÄSTERNORRLANDS LÄN</t>
        </is>
      </c>
      <c r="E482" t="inlineStr">
        <is>
          <t>ÅNGE</t>
        </is>
      </c>
      <c r="G482" t="n">
        <v>2.8</v>
      </c>
      <c r="H482" t="n">
        <v>0</v>
      </c>
      <c r="I482" t="n">
        <v>0</v>
      </c>
      <c r="J482" t="n">
        <v>0</v>
      </c>
      <c r="K482" t="n">
        <v>0</v>
      </c>
      <c r="L482" t="n">
        <v>0</v>
      </c>
      <c r="M482" t="n">
        <v>0</v>
      </c>
      <c r="N482" t="n">
        <v>0</v>
      </c>
      <c r="O482" t="n">
        <v>0</v>
      </c>
      <c r="P482" t="n">
        <v>0</v>
      </c>
      <c r="Q482" t="n">
        <v>0</v>
      </c>
      <c r="R482" s="2" t="inlineStr"/>
    </row>
    <row r="483" ht="15" customHeight="1">
      <c r="A483" t="inlineStr">
        <is>
          <t>A 34175-2020</t>
        </is>
      </c>
      <c r="B483" s="1" t="n">
        <v>44029</v>
      </c>
      <c r="C483" s="1" t="n">
        <v>45588</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34237-2020</t>
        </is>
      </c>
      <c r="B484" s="1" t="n">
        <v>44029</v>
      </c>
      <c r="C484" s="1" t="n">
        <v>45588</v>
      </c>
      <c r="D484" t="inlineStr">
        <is>
          <t>VÄSTERNORRLANDS LÄN</t>
        </is>
      </c>
      <c r="E484" t="inlineStr">
        <is>
          <t>ÅNGE</t>
        </is>
      </c>
      <c r="G484" t="n">
        <v>5.3</v>
      </c>
      <c r="H484" t="n">
        <v>0</v>
      </c>
      <c r="I484" t="n">
        <v>0</v>
      </c>
      <c r="J484" t="n">
        <v>0</v>
      </c>
      <c r="K484" t="n">
        <v>0</v>
      </c>
      <c r="L484" t="n">
        <v>0</v>
      </c>
      <c r="M484" t="n">
        <v>0</v>
      </c>
      <c r="N484" t="n">
        <v>0</v>
      </c>
      <c r="O484" t="n">
        <v>0</v>
      </c>
      <c r="P484" t="n">
        <v>0</v>
      </c>
      <c r="Q484" t="n">
        <v>0</v>
      </c>
      <c r="R484" s="2" t="inlineStr"/>
    </row>
    <row r="485" ht="15" customHeight="1">
      <c r="A485" t="inlineStr">
        <is>
          <t>A 34420-2020</t>
        </is>
      </c>
      <c r="B485" s="1" t="n">
        <v>44032</v>
      </c>
      <c r="C485" s="1" t="n">
        <v>45588</v>
      </c>
      <c r="D485" t="inlineStr">
        <is>
          <t>VÄSTERNORRLANDS LÄN</t>
        </is>
      </c>
      <c r="E485" t="inlineStr">
        <is>
          <t>ÅNGE</t>
        </is>
      </c>
      <c r="G485" t="n">
        <v>13.9</v>
      </c>
      <c r="H485" t="n">
        <v>0</v>
      </c>
      <c r="I485" t="n">
        <v>0</v>
      </c>
      <c r="J485" t="n">
        <v>0</v>
      </c>
      <c r="K485" t="n">
        <v>0</v>
      </c>
      <c r="L485" t="n">
        <v>0</v>
      </c>
      <c r="M485" t="n">
        <v>0</v>
      </c>
      <c r="N485" t="n">
        <v>0</v>
      </c>
      <c r="O485" t="n">
        <v>0</v>
      </c>
      <c r="P485" t="n">
        <v>0</v>
      </c>
      <c r="Q485" t="n">
        <v>0</v>
      </c>
      <c r="R485" s="2" t="inlineStr"/>
    </row>
    <row r="486" ht="15" customHeight="1">
      <c r="A486" t="inlineStr">
        <is>
          <t>A 34400-2020</t>
        </is>
      </c>
      <c r="B486" s="1" t="n">
        <v>44032</v>
      </c>
      <c r="C486" s="1" t="n">
        <v>45588</v>
      </c>
      <c r="D486" t="inlineStr">
        <is>
          <t>VÄSTERNORRLANDS LÄN</t>
        </is>
      </c>
      <c r="E486" t="inlineStr">
        <is>
          <t>ÅNGE</t>
        </is>
      </c>
      <c r="G486" t="n">
        <v>3.8</v>
      </c>
      <c r="H486" t="n">
        <v>0</v>
      </c>
      <c r="I486" t="n">
        <v>0</v>
      </c>
      <c r="J486" t="n">
        <v>0</v>
      </c>
      <c r="K486" t="n">
        <v>0</v>
      </c>
      <c r="L486" t="n">
        <v>0</v>
      </c>
      <c r="M486" t="n">
        <v>0</v>
      </c>
      <c r="N486" t="n">
        <v>0</v>
      </c>
      <c r="O486" t="n">
        <v>0</v>
      </c>
      <c r="P486" t="n">
        <v>0</v>
      </c>
      <c r="Q486" t="n">
        <v>0</v>
      </c>
      <c r="R486" s="2" t="inlineStr"/>
    </row>
    <row r="487" ht="15" customHeight="1">
      <c r="A487" t="inlineStr">
        <is>
          <t>A 34677-2020</t>
        </is>
      </c>
      <c r="B487" s="1" t="n">
        <v>44035</v>
      </c>
      <c r="C487" s="1" t="n">
        <v>45588</v>
      </c>
      <c r="D487" t="inlineStr">
        <is>
          <t>VÄSTERNORRLANDS LÄN</t>
        </is>
      </c>
      <c r="E487" t="inlineStr">
        <is>
          <t>ÅNGE</t>
        </is>
      </c>
      <c r="G487" t="n">
        <v>6.5</v>
      </c>
      <c r="H487" t="n">
        <v>0</v>
      </c>
      <c r="I487" t="n">
        <v>0</v>
      </c>
      <c r="J487" t="n">
        <v>0</v>
      </c>
      <c r="K487" t="n">
        <v>0</v>
      </c>
      <c r="L487" t="n">
        <v>0</v>
      </c>
      <c r="M487" t="n">
        <v>0</v>
      </c>
      <c r="N487" t="n">
        <v>0</v>
      </c>
      <c r="O487" t="n">
        <v>0</v>
      </c>
      <c r="P487" t="n">
        <v>0</v>
      </c>
      <c r="Q487" t="n">
        <v>0</v>
      </c>
      <c r="R487" s="2" t="inlineStr"/>
    </row>
    <row r="488" ht="15" customHeight="1">
      <c r="A488" t="inlineStr">
        <is>
          <t>A 34777-2020</t>
        </is>
      </c>
      <c r="B488" s="1" t="n">
        <v>44035</v>
      </c>
      <c r="C488" s="1" t="n">
        <v>45588</v>
      </c>
      <c r="D488" t="inlineStr">
        <is>
          <t>VÄSTERNORRLANDS LÄN</t>
        </is>
      </c>
      <c r="E488" t="inlineStr">
        <is>
          <t>ÅNGE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34928-2020</t>
        </is>
      </c>
      <c r="B489" s="1" t="n">
        <v>44036</v>
      </c>
      <c r="C489" s="1" t="n">
        <v>45588</v>
      </c>
      <c r="D489" t="inlineStr">
        <is>
          <t>VÄSTERNORRLANDS LÄN</t>
        </is>
      </c>
      <c r="E489" t="inlineStr">
        <is>
          <t>ÅNGE</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34974-2020</t>
        </is>
      </c>
      <c r="B490" s="1" t="n">
        <v>44039</v>
      </c>
      <c r="C490" s="1" t="n">
        <v>45588</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35419-2020</t>
        </is>
      </c>
      <c r="B491" s="1" t="n">
        <v>44042</v>
      </c>
      <c r="C491" s="1" t="n">
        <v>45588</v>
      </c>
      <c r="D491" t="inlineStr">
        <is>
          <t>VÄSTERNORRLANDS LÄN</t>
        </is>
      </c>
      <c r="E491" t="inlineStr">
        <is>
          <t>ÅNGE</t>
        </is>
      </c>
      <c r="F491" t="inlineStr">
        <is>
          <t>Holmen skog AB</t>
        </is>
      </c>
      <c r="G491" t="n">
        <v>7.8</v>
      </c>
      <c r="H491" t="n">
        <v>0</v>
      </c>
      <c r="I491" t="n">
        <v>0</v>
      </c>
      <c r="J491" t="n">
        <v>0</v>
      </c>
      <c r="K491" t="n">
        <v>0</v>
      </c>
      <c r="L491" t="n">
        <v>0</v>
      </c>
      <c r="M491" t="n">
        <v>0</v>
      </c>
      <c r="N491" t="n">
        <v>0</v>
      </c>
      <c r="O491" t="n">
        <v>0</v>
      </c>
      <c r="P491" t="n">
        <v>0</v>
      </c>
      <c r="Q491" t="n">
        <v>0</v>
      </c>
      <c r="R491" s="2" t="inlineStr"/>
    </row>
    <row r="492" ht="15" customHeight="1">
      <c r="A492" t="inlineStr">
        <is>
          <t>A 38871-2020</t>
        </is>
      </c>
      <c r="B492" s="1" t="n">
        <v>44062</v>
      </c>
      <c r="C492" s="1" t="n">
        <v>45588</v>
      </c>
      <c r="D492" t="inlineStr">
        <is>
          <t>VÄSTERNORRLANDS LÄN</t>
        </is>
      </c>
      <c r="E492" t="inlineStr">
        <is>
          <t>ÅNGE</t>
        </is>
      </c>
      <c r="G492" t="n">
        <v>1.7</v>
      </c>
      <c r="H492" t="n">
        <v>0</v>
      </c>
      <c r="I492" t="n">
        <v>0</v>
      </c>
      <c r="J492" t="n">
        <v>0</v>
      </c>
      <c r="K492" t="n">
        <v>0</v>
      </c>
      <c r="L492" t="n">
        <v>0</v>
      </c>
      <c r="M492" t="n">
        <v>0</v>
      </c>
      <c r="N492" t="n">
        <v>0</v>
      </c>
      <c r="O492" t="n">
        <v>0</v>
      </c>
      <c r="P492" t="n">
        <v>0</v>
      </c>
      <c r="Q492" t="n">
        <v>0</v>
      </c>
      <c r="R492" s="2" t="inlineStr"/>
    </row>
    <row r="493" ht="15" customHeight="1">
      <c r="A493" t="inlineStr">
        <is>
          <t>A 38894-2020</t>
        </is>
      </c>
      <c r="B493" s="1" t="n">
        <v>44062</v>
      </c>
      <c r="C493" s="1" t="n">
        <v>45588</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39919-2020</t>
        </is>
      </c>
      <c r="B494" s="1" t="n">
        <v>44063</v>
      </c>
      <c r="C494" s="1" t="n">
        <v>45588</v>
      </c>
      <c r="D494" t="inlineStr">
        <is>
          <t>VÄSTERNORRLANDS LÄN</t>
        </is>
      </c>
      <c r="E494" t="inlineStr">
        <is>
          <t>ÅNGE</t>
        </is>
      </c>
      <c r="G494" t="n">
        <v>4.9</v>
      </c>
      <c r="H494" t="n">
        <v>0</v>
      </c>
      <c r="I494" t="n">
        <v>0</v>
      </c>
      <c r="J494" t="n">
        <v>0</v>
      </c>
      <c r="K494" t="n">
        <v>0</v>
      </c>
      <c r="L494" t="n">
        <v>0</v>
      </c>
      <c r="M494" t="n">
        <v>0</v>
      </c>
      <c r="N494" t="n">
        <v>0</v>
      </c>
      <c r="O494" t="n">
        <v>0</v>
      </c>
      <c r="P494" t="n">
        <v>0</v>
      </c>
      <c r="Q494" t="n">
        <v>0</v>
      </c>
      <c r="R494" s="2" t="inlineStr"/>
    </row>
    <row r="495" ht="15" customHeight="1">
      <c r="A495" t="inlineStr">
        <is>
          <t>A 39561-2020</t>
        </is>
      </c>
      <c r="B495" s="1" t="n">
        <v>44064</v>
      </c>
      <c r="C495" s="1" t="n">
        <v>45588</v>
      </c>
      <c r="D495" t="inlineStr">
        <is>
          <t>VÄSTERNORRLANDS LÄN</t>
        </is>
      </c>
      <c r="E495" t="inlineStr">
        <is>
          <t>ÅNGE</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41366-2020</t>
        </is>
      </c>
      <c r="B496" s="1" t="n">
        <v>44071</v>
      </c>
      <c r="C496" s="1" t="n">
        <v>45588</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42296-2020</t>
        </is>
      </c>
      <c r="B497" s="1" t="n">
        <v>44076</v>
      </c>
      <c r="C497" s="1" t="n">
        <v>45588</v>
      </c>
      <c r="D497" t="inlineStr">
        <is>
          <t>VÄSTERNORRLANDS LÄN</t>
        </is>
      </c>
      <c r="E497" t="inlineStr">
        <is>
          <t>ÅNGE</t>
        </is>
      </c>
      <c r="G497" t="n">
        <v>2.1</v>
      </c>
      <c r="H497" t="n">
        <v>0</v>
      </c>
      <c r="I497" t="n">
        <v>0</v>
      </c>
      <c r="J497" t="n">
        <v>0</v>
      </c>
      <c r="K497" t="n">
        <v>0</v>
      </c>
      <c r="L497" t="n">
        <v>0</v>
      </c>
      <c r="M497" t="n">
        <v>0</v>
      </c>
      <c r="N497" t="n">
        <v>0</v>
      </c>
      <c r="O497" t="n">
        <v>0</v>
      </c>
      <c r="P497" t="n">
        <v>0</v>
      </c>
      <c r="Q497" t="n">
        <v>0</v>
      </c>
      <c r="R497" s="2" t="inlineStr"/>
    </row>
    <row r="498" ht="15" customHeight="1">
      <c r="A498" t="inlineStr">
        <is>
          <t>A 42289-2020</t>
        </is>
      </c>
      <c r="B498" s="1" t="n">
        <v>44076</v>
      </c>
      <c r="C498" s="1" t="n">
        <v>45588</v>
      </c>
      <c r="D498" t="inlineStr">
        <is>
          <t>VÄSTERNORRLANDS LÄN</t>
        </is>
      </c>
      <c r="E498" t="inlineStr">
        <is>
          <t>ÅNGE</t>
        </is>
      </c>
      <c r="G498" t="n">
        <v>16.7</v>
      </c>
      <c r="H498" t="n">
        <v>0</v>
      </c>
      <c r="I498" t="n">
        <v>0</v>
      </c>
      <c r="J498" t="n">
        <v>0</v>
      </c>
      <c r="K498" t="n">
        <v>0</v>
      </c>
      <c r="L498" t="n">
        <v>0</v>
      </c>
      <c r="M498" t="n">
        <v>0</v>
      </c>
      <c r="N498" t="n">
        <v>0</v>
      </c>
      <c r="O498" t="n">
        <v>0</v>
      </c>
      <c r="P498" t="n">
        <v>0</v>
      </c>
      <c r="Q498" t="n">
        <v>0</v>
      </c>
      <c r="R498" s="2" t="inlineStr"/>
    </row>
    <row r="499" ht="15" customHeight="1">
      <c r="A499" t="inlineStr">
        <is>
          <t>A 42299-2020</t>
        </is>
      </c>
      <c r="B499" s="1" t="n">
        <v>44076</v>
      </c>
      <c r="C499" s="1" t="n">
        <v>45588</v>
      </c>
      <c r="D499" t="inlineStr">
        <is>
          <t>VÄSTERNORRLANDS LÄN</t>
        </is>
      </c>
      <c r="E499" t="inlineStr">
        <is>
          <t>ÅNGE</t>
        </is>
      </c>
      <c r="G499" t="n">
        <v>3.6</v>
      </c>
      <c r="H499" t="n">
        <v>0</v>
      </c>
      <c r="I499" t="n">
        <v>0</v>
      </c>
      <c r="J499" t="n">
        <v>0</v>
      </c>
      <c r="K499" t="n">
        <v>0</v>
      </c>
      <c r="L499" t="n">
        <v>0</v>
      </c>
      <c r="M499" t="n">
        <v>0</v>
      </c>
      <c r="N499" t="n">
        <v>0</v>
      </c>
      <c r="O499" t="n">
        <v>0</v>
      </c>
      <c r="P499" t="n">
        <v>0</v>
      </c>
      <c r="Q499" t="n">
        <v>0</v>
      </c>
      <c r="R499" s="2" t="inlineStr"/>
    </row>
    <row r="500" ht="15" customHeight="1">
      <c r="A500" t="inlineStr">
        <is>
          <t>A 42751-2020</t>
        </is>
      </c>
      <c r="B500" s="1" t="n">
        <v>44077</v>
      </c>
      <c r="C500" s="1" t="n">
        <v>45588</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43093-2020</t>
        </is>
      </c>
      <c r="B501" s="1" t="n">
        <v>44078</v>
      </c>
      <c r="C501" s="1" t="n">
        <v>45588</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45808-2020</t>
        </is>
      </c>
      <c r="B502" s="1" t="n">
        <v>44090</v>
      </c>
      <c r="C502" s="1" t="n">
        <v>45588</v>
      </c>
      <c r="D502" t="inlineStr">
        <is>
          <t>VÄSTERNORRLANDS LÄN</t>
        </is>
      </c>
      <c r="E502" t="inlineStr">
        <is>
          <t>ÅNGE</t>
        </is>
      </c>
      <c r="G502" t="n">
        <v>0.3</v>
      </c>
      <c r="H502" t="n">
        <v>0</v>
      </c>
      <c r="I502" t="n">
        <v>0</v>
      </c>
      <c r="J502" t="n">
        <v>0</v>
      </c>
      <c r="K502" t="n">
        <v>0</v>
      </c>
      <c r="L502" t="n">
        <v>0</v>
      </c>
      <c r="M502" t="n">
        <v>0</v>
      </c>
      <c r="N502" t="n">
        <v>0</v>
      </c>
      <c r="O502" t="n">
        <v>0</v>
      </c>
      <c r="P502" t="n">
        <v>0</v>
      </c>
      <c r="Q502" t="n">
        <v>0</v>
      </c>
      <c r="R502" s="2" t="inlineStr"/>
    </row>
    <row r="503" ht="15" customHeight="1">
      <c r="A503" t="inlineStr">
        <is>
          <t>A 45813-2020</t>
        </is>
      </c>
      <c r="B503" s="1" t="n">
        <v>44090</v>
      </c>
      <c r="C503" s="1" t="n">
        <v>45588</v>
      </c>
      <c r="D503" t="inlineStr">
        <is>
          <t>VÄSTERNORRLANDS LÄN</t>
        </is>
      </c>
      <c r="E503" t="inlineStr">
        <is>
          <t>ÅNGE</t>
        </is>
      </c>
      <c r="G503" t="n">
        <v>0.4</v>
      </c>
      <c r="H503" t="n">
        <v>0</v>
      </c>
      <c r="I503" t="n">
        <v>0</v>
      </c>
      <c r="J503" t="n">
        <v>0</v>
      </c>
      <c r="K503" t="n">
        <v>0</v>
      </c>
      <c r="L503" t="n">
        <v>0</v>
      </c>
      <c r="M503" t="n">
        <v>0</v>
      </c>
      <c r="N503" t="n">
        <v>0</v>
      </c>
      <c r="O503" t="n">
        <v>0</v>
      </c>
      <c r="P503" t="n">
        <v>0</v>
      </c>
      <c r="Q503" t="n">
        <v>0</v>
      </c>
      <c r="R503" s="2" t="inlineStr"/>
    </row>
    <row r="504" ht="15" customHeight="1">
      <c r="A504" t="inlineStr">
        <is>
          <t>A 45812-2020</t>
        </is>
      </c>
      <c r="B504" s="1" t="n">
        <v>44090</v>
      </c>
      <c r="C504" s="1" t="n">
        <v>45588</v>
      </c>
      <c r="D504" t="inlineStr">
        <is>
          <t>VÄSTERNORRLANDS LÄN</t>
        </is>
      </c>
      <c r="E504" t="inlineStr">
        <is>
          <t>ÅNGE</t>
        </is>
      </c>
      <c r="G504" t="n">
        <v>0.1</v>
      </c>
      <c r="H504" t="n">
        <v>0</v>
      </c>
      <c r="I504" t="n">
        <v>0</v>
      </c>
      <c r="J504" t="n">
        <v>0</v>
      </c>
      <c r="K504" t="n">
        <v>0</v>
      </c>
      <c r="L504" t="n">
        <v>0</v>
      </c>
      <c r="M504" t="n">
        <v>0</v>
      </c>
      <c r="N504" t="n">
        <v>0</v>
      </c>
      <c r="O504" t="n">
        <v>0</v>
      </c>
      <c r="P504" t="n">
        <v>0</v>
      </c>
      <c r="Q504" t="n">
        <v>0</v>
      </c>
      <c r="R504" s="2" t="inlineStr"/>
    </row>
    <row r="505" ht="15" customHeight="1">
      <c r="A505" t="inlineStr">
        <is>
          <t>A 45810-2020</t>
        </is>
      </c>
      <c r="B505" s="1" t="n">
        <v>44090</v>
      </c>
      <c r="C505" s="1" t="n">
        <v>45588</v>
      </c>
      <c r="D505" t="inlineStr">
        <is>
          <t>VÄSTERNORRLANDS LÄN</t>
        </is>
      </c>
      <c r="E505" t="inlineStr">
        <is>
          <t>ÅNGE</t>
        </is>
      </c>
      <c r="G505" t="n">
        <v>0.2</v>
      </c>
      <c r="H505" t="n">
        <v>0</v>
      </c>
      <c r="I505" t="n">
        <v>0</v>
      </c>
      <c r="J505" t="n">
        <v>0</v>
      </c>
      <c r="K505" t="n">
        <v>0</v>
      </c>
      <c r="L505" t="n">
        <v>0</v>
      </c>
      <c r="M505" t="n">
        <v>0</v>
      </c>
      <c r="N505" t="n">
        <v>0</v>
      </c>
      <c r="O505" t="n">
        <v>0</v>
      </c>
      <c r="P505" t="n">
        <v>0</v>
      </c>
      <c r="Q505" t="n">
        <v>0</v>
      </c>
      <c r="R505" s="2" t="inlineStr"/>
    </row>
    <row r="506" ht="15" customHeight="1">
      <c r="A506" t="inlineStr">
        <is>
          <t>A 47041-2020</t>
        </is>
      </c>
      <c r="B506" s="1" t="n">
        <v>44091</v>
      </c>
      <c r="C506" s="1" t="n">
        <v>45588</v>
      </c>
      <c r="D506" t="inlineStr">
        <is>
          <t>VÄSTERNORRLANDS LÄN</t>
        </is>
      </c>
      <c r="E506" t="inlineStr">
        <is>
          <t>ÅNGE</t>
        </is>
      </c>
      <c r="G506" t="n">
        <v>2.2</v>
      </c>
      <c r="H506" t="n">
        <v>0</v>
      </c>
      <c r="I506" t="n">
        <v>0</v>
      </c>
      <c r="J506" t="n">
        <v>0</v>
      </c>
      <c r="K506" t="n">
        <v>0</v>
      </c>
      <c r="L506" t="n">
        <v>0</v>
      </c>
      <c r="M506" t="n">
        <v>0</v>
      </c>
      <c r="N506" t="n">
        <v>0</v>
      </c>
      <c r="O506" t="n">
        <v>0</v>
      </c>
      <c r="P506" t="n">
        <v>0</v>
      </c>
      <c r="Q506" t="n">
        <v>0</v>
      </c>
      <c r="R506" s="2" t="inlineStr"/>
    </row>
    <row r="507" ht="15" customHeight="1">
      <c r="A507" t="inlineStr">
        <is>
          <t>A 46518-2020</t>
        </is>
      </c>
      <c r="B507" s="1" t="n">
        <v>44095</v>
      </c>
      <c r="C507" s="1" t="n">
        <v>45588</v>
      </c>
      <c r="D507" t="inlineStr">
        <is>
          <t>VÄSTERNORRLANDS LÄN</t>
        </is>
      </c>
      <c r="E507" t="inlineStr">
        <is>
          <t>ÅNGE</t>
        </is>
      </c>
      <c r="G507" t="n">
        <v>0.8</v>
      </c>
      <c r="H507" t="n">
        <v>0</v>
      </c>
      <c r="I507" t="n">
        <v>0</v>
      </c>
      <c r="J507" t="n">
        <v>0</v>
      </c>
      <c r="K507" t="n">
        <v>0</v>
      </c>
      <c r="L507" t="n">
        <v>0</v>
      </c>
      <c r="M507" t="n">
        <v>0</v>
      </c>
      <c r="N507" t="n">
        <v>0</v>
      </c>
      <c r="O507" t="n">
        <v>0</v>
      </c>
      <c r="P507" t="n">
        <v>0</v>
      </c>
      <c r="Q507" t="n">
        <v>0</v>
      </c>
      <c r="R507" s="2" t="inlineStr"/>
    </row>
    <row r="508" ht="15" customHeight="1">
      <c r="A508" t="inlineStr">
        <is>
          <t>A 47411-2020</t>
        </is>
      </c>
      <c r="B508" s="1" t="n">
        <v>44095</v>
      </c>
      <c r="C508" s="1" t="n">
        <v>45588</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47127-2020</t>
        </is>
      </c>
      <c r="B509" s="1" t="n">
        <v>44096</v>
      </c>
      <c r="C509" s="1" t="n">
        <v>45588</v>
      </c>
      <c r="D509" t="inlineStr">
        <is>
          <t>VÄSTERNORRLANDS LÄN</t>
        </is>
      </c>
      <c r="E509" t="inlineStr">
        <is>
          <t>ÅNGE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48238-2020</t>
        </is>
      </c>
      <c r="B510" s="1" t="n">
        <v>44097</v>
      </c>
      <c r="C510" s="1" t="n">
        <v>45588</v>
      </c>
      <c r="D510" t="inlineStr">
        <is>
          <t>VÄSTERNORRLANDS LÄN</t>
        </is>
      </c>
      <c r="E510" t="inlineStr">
        <is>
          <t>ÅNGE</t>
        </is>
      </c>
      <c r="G510" t="n">
        <v>5.1</v>
      </c>
      <c r="H510" t="n">
        <v>0</v>
      </c>
      <c r="I510" t="n">
        <v>0</v>
      </c>
      <c r="J510" t="n">
        <v>0</v>
      </c>
      <c r="K510" t="n">
        <v>0</v>
      </c>
      <c r="L510" t="n">
        <v>0</v>
      </c>
      <c r="M510" t="n">
        <v>0</v>
      </c>
      <c r="N510" t="n">
        <v>0</v>
      </c>
      <c r="O510" t="n">
        <v>0</v>
      </c>
      <c r="P510" t="n">
        <v>0</v>
      </c>
      <c r="Q510" t="n">
        <v>0</v>
      </c>
      <c r="R510" s="2" t="inlineStr"/>
    </row>
    <row r="511" ht="15" customHeight="1">
      <c r="A511" t="inlineStr">
        <is>
          <t>A 48810-2020</t>
        </is>
      </c>
      <c r="B511" s="1" t="n">
        <v>44103</v>
      </c>
      <c r="C511" s="1" t="n">
        <v>45588</v>
      </c>
      <c r="D511" t="inlineStr">
        <is>
          <t>VÄSTERNORRLANDS LÄN</t>
        </is>
      </c>
      <c r="E511" t="inlineStr">
        <is>
          <t>ÅNGE</t>
        </is>
      </c>
      <c r="F511" t="inlineStr">
        <is>
          <t>SCA</t>
        </is>
      </c>
      <c r="G511" t="n">
        <v>1.8</v>
      </c>
      <c r="H511" t="n">
        <v>0</v>
      </c>
      <c r="I511" t="n">
        <v>0</v>
      </c>
      <c r="J511" t="n">
        <v>0</v>
      </c>
      <c r="K511" t="n">
        <v>0</v>
      </c>
      <c r="L511" t="n">
        <v>0</v>
      </c>
      <c r="M511" t="n">
        <v>0</v>
      </c>
      <c r="N511" t="n">
        <v>0</v>
      </c>
      <c r="O511" t="n">
        <v>0</v>
      </c>
      <c r="P511" t="n">
        <v>0</v>
      </c>
      <c r="Q511" t="n">
        <v>0</v>
      </c>
      <c r="R511" s="2" t="inlineStr"/>
      <c r="U511">
        <f>HYPERLINK("https://klasma.github.io/Logging_2260/knärot/A 48810-2020 karta knärot.png", "A 48810-2020")</f>
        <v/>
      </c>
      <c r="V511">
        <f>HYPERLINK("https://klasma.github.io/Logging_2260/klagomål/A 48810-2020 FSC-klagomål.docx", "A 48810-2020")</f>
        <v/>
      </c>
      <c r="W511">
        <f>HYPERLINK("https://klasma.github.io/Logging_2260/klagomålsmail/A 48810-2020 FSC-klagomål mail.docx", "A 48810-2020")</f>
        <v/>
      </c>
      <c r="X511">
        <f>HYPERLINK("https://klasma.github.io/Logging_2260/tillsyn/A 48810-2020 tillsynsbegäran.docx", "A 48810-2020")</f>
        <v/>
      </c>
      <c r="Y511">
        <f>HYPERLINK("https://klasma.github.io/Logging_2260/tillsynsmail/A 48810-2020 tillsynsbegäran mail.docx", "A 48810-2020")</f>
        <v/>
      </c>
    </row>
    <row r="512" ht="15" customHeight="1">
      <c r="A512" t="inlineStr">
        <is>
          <t>A 49343-2020</t>
        </is>
      </c>
      <c r="B512" s="1" t="n">
        <v>44105</v>
      </c>
      <c r="C512" s="1" t="n">
        <v>45588</v>
      </c>
      <c r="D512" t="inlineStr">
        <is>
          <t>VÄSTERNORRLANDS LÄN</t>
        </is>
      </c>
      <c r="E512" t="inlineStr">
        <is>
          <t>ÅNGE</t>
        </is>
      </c>
      <c r="G512" t="n">
        <v>1.2</v>
      </c>
      <c r="H512" t="n">
        <v>0</v>
      </c>
      <c r="I512" t="n">
        <v>0</v>
      </c>
      <c r="J512" t="n">
        <v>0</v>
      </c>
      <c r="K512" t="n">
        <v>0</v>
      </c>
      <c r="L512" t="n">
        <v>0</v>
      </c>
      <c r="M512" t="n">
        <v>0</v>
      </c>
      <c r="N512" t="n">
        <v>0</v>
      </c>
      <c r="O512" t="n">
        <v>0</v>
      </c>
      <c r="P512" t="n">
        <v>0</v>
      </c>
      <c r="Q512" t="n">
        <v>0</v>
      </c>
      <c r="R512" s="2" t="inlineStr"/>
    </row>
    <row r="513" ht="15" customHeight="1">
      <c r="A513" t="inlineStr">
        <is>
          <t>A 49346-2020</t>
        </is>
      </c>
      <c r="B513" s="1" t="n">
        <v>44105</v>
      </c>
      <c r="C513" s="1" t="n">
        <v>45588</v>
      </c>
      <c r="D513" t="inlineStr">
        <is>
          <t>VÄSTERNORRLANDS LÄN</t>
        </is>
      </c>
      <c r="E513" t="inlineStr">
        <is>
          <t>ÅNGE</t>
        </is>
      </c>
      <c r="G513" t="n">
        <v>1.9</v>
      </c>
      <c r="H513" t="n">
        <v>0</v>
      </c>
      <c r="I513" t="n">
        <v>0</v>
      </c>
      <c r="J513" t="n">
        <v>0</v>
      </c>
      <c r="K513" t="n">
        <v>0</v>
      </c>
      <c r="L513" t="n">
        <v>0</v>
      </c>
      <c r="M513" t="n">
        <v>0</v>
      </c>
      <c r="N513" t="n">
        <v>0</v>
      </c>
      <c r="O513" t="n">
        <v>0</v>
      </c>
      <c r="P513" t="n">
        <v>0</v>
      </c>
      <c r="Q513" t="n">
        <v>0</v>
      </c>
      <c r="R513" s="2" t="inlineStr"/>
    </row>
    <row r="514" ht="15" customHeight="1">
      <c r="A514" t="inlineStr">
        <is>
          <t>A 49656-2020</t>
        </is>
      </c>
      <c r="B514" s="1" t="n">
        <v>44106</v>
      </c>
      <c r="C514" s="1" t="n">
        <v>45588</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49838-2020</t>
        </is>
      </c>
      <c r="B515" s="1" t="n">
        <v>44106</v>
      </c>
      <c r="C515" s="1" t="n">
        <v>45588</v>
      </c>
      <c r="D515" t="inlineStr">
        <is>
          <t>VÄSTERNORRLANDS LÄN</t>
        </is>
      </c>
      <c r="E515" t="inlineStr">
        <is>
          <t>ÅNGE</t>
        </is>
      </c>
      <c r="G515" t="n">
        <v>0.8</v>
      </c>
      <c r="H515" t="n">
        <v>0</v>
      </c>
      <c r="I515" t="n">
        <v>0</v>
      </c>
      <c r="J515" t="n">
        <v>0</v>
      </c>
      <c r="K515" t="n">
        <v>0</v>
      </c>
      <c r="L515" t="n">
        <v>0</v>
      </c>
      <c r="M515" t="n">
        <v>0</v>
      </c>
      <c r="N515" t="n">
        <v>0</v>
      </c>
      <c r="O515" t="n">
        <v>0</v>
      </c>
      <c r="P515" t="n">
        <v>0</v>
      </c>
      <c r="Q515" t="n">
        <v>0</v>
      </c>
      <c r="R515" s="2" t="inlineStr"/>
    </row>
    <row r="516" ht="15" customHeight="1">
      <c r="A516" t="inlineStr">
        <is>
          <t>A 50265-2020</t>
        </is>
      </c>
      <c r="B516" s="1" t="n">
        <v>44109</v>
      </c>
      <c r="C516" s="1" t="n">
        <v>45588</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50259-2020</t>
        </is>
      </c>
      <c r="B517" s="1" t="n">
        <v>44109</v>
      </c>
      <c r="C517" s="1" t="n">
        <v>45588</v>
      </c>
      <c r="D517" t="inlineStr">
        <is>
          <t>VÄSTERNORRLANDS LÄN</t>
        </is>
      </c>
      <c r="E517" t="inlineStr">
        <is>
          <t>ÅNGE</t>
        </is>
      </c>
      <c r="G517" t="n">
        <v>5.1</v>
      </c>
      <c r="H517" t="n">
        <v>0</v>
      </c>
      <c r="I517" t="n">
        <v>0</v>
      </c>
      <c r="J517" t="n">
        <v>0</v>
      </c>
      <c r="K517" t="n">
        <v>0</v>
      </c>
      <c r="L517" t="n">
        <v>0</v>
      </c>
      <c r="M517" t="n">
        <v>0</v>
      </c>
      <c r="N517" t="n">
        <v>0</v>
      </c>
      <c r="O517" t="n">
        <v>0</v>
      </c>
      <c r="P517" t="n">
        <v>0</v>
      </c>
      <c r="Q517" t="n">
        <v>0</v>
      </c>
      <c r="R517" s="2" t="inlineStr"/>
    </row>
    <row r="518" ht="15" customHeight="1">
      <c r="A518" t="inlineStr">
        <is>
          <t>A 50260-2020</t>
        </is>
      </c>
      <c r="B518" s="1" t="n">
        <v>44109</v>
      </c>
      <c r="C518" s="1" t="n">
        <v>45588</v>
      </c>
      <c r="D518" t="inlineStr">
        <is>
          <t>VÄSTERNORRLANDS LÄN</t>
        </is>
      </c>
      <c r="E518" t="inlineStr">
        <is>
          <t>ÅNGE</t>
        </is>
      </c>
      <c r="G518" t="n">
        <v>3.9</v>
      </c>
      <c r="H518" t="n">
        <v>0</v>
      </c>
      <c r="I518" t="n">
        <v>0</v>
      </c>
      <c r="J518" t="n">
        <v>0</v>
      </c>
      <c r="K518" t="n">
        <v>0</v>
      </c>
      <c r="L518" t="n">
        <v>0</v>
      </c>
      <c r="M518" t="n">
        <v>0</v>
      </c>
      <c r="N518" t="n">
        <v>0</v>
      </c>
      <c r="O518" t="n">
        <v>0</v>
      </c>
      <c r="P518" t="n">
        <v>0</v>
      </c>
      <c r="Q518" t="n">
        <v>0</v>
      </c>
      <c r="R518" s="2" t="inlineStr"/>
    </row>
    <row r="519" ht="15" customHeight="1">
      <c r="A519" t="inlineStr">
        <is>
          <t>A 50258-2020</t>
        </is>
      </c>
      <c r="B519" s="1" t="n">
        <v>44109</v>
      </c>
      <c r="C519" s="1" t="n">
        <v>45588</v>
      </c>
      <c r="D519" t="inlineStr">
        <is>
          <t>VÄSTERNORRLANDS LÄN</t>
        </is>
      </c>
      <c r="E519" t="inlineStr">
        <is>
          <t>ÅNGE</t>
        </is>
      </c>
      <c r="G519" t="n">
        <v>1.6</v>
      </c>
      <c r="H519" t="n">
        <v>0</v>
      </c>
      <c r="I519" t="n">
        <v>0</v>
      </c>
      <c r="J519" t="n">
        <v>0</v>
      </c>
      <c r="K519" t="n">
        <v>0</v>
      </c>
      <c r="L519" t="n">
        <v>0</v>
      </c>
      <c r="M519" t="n">
        <v>0</v>
      </c>
      <c r="N519" t="n">
        <v>0</v>
      </c>
      <c r="O519" t="n">
        <v>0</v>
      </c>
      <c r="P519" t="n">
        <v>0</v>
      </c>
      <c r="Q519" t="n">
        <v>0</v>
      </c>
      <c r="R519" s="2" t="inlineStr"/>
    </row>
    <row r="520" ht="15" customHeight="1">
      <c r="A520" t="inlineStr">
        <is>
          <t>A 50268-2020</t>
        </is>
      </c>
      <c r="B520" s="1" t="n">
        <v>44109</v>
      </c>
      <c r="C520" s="1" t="n">
        <v>45588</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52232-2020</t>
        </is>
      </c>
      <c r="B521" s="1" t="n">
        <v>44111</v>
      </c>
      <c r="C521" s="1" t="n">
        <v>45588</v>
      </c>
      <c r="D521" t="inlineStr">
        <is>
          <t>VÄSTERNORRLANDS LÄN</t>
        </is>
      </c>
      <c r="E521" t="inlineStr">
        <is>
          <t>ÅNGE</t>
        </is>
      </c>
      <c r="G521" t="n">
        <v>1.1</v>
      </c>
      <c r="H521" t="n">
        <v>0</v>
      </c>
      <c r="I521" t="n">
        <v>0</v>
      </c>
      <c r="J521" t="n">
        <v>0</v>
      </c>
      <c r="K521" t="n">
        <v>0</v>
      </c>
      <c r="L521" t="n">
        <v>0</v>
      </c>
      <c r="M521" t="n">
        <v>0</v>
      </c>
      <c r="N521" t="n">
        <v>0</v>
      </c>
      <c r="O521" t="n">
        <v>0</v>
      </c>
      <c r="P521" t="n">
        <v>0</v>
      </c>
      <c r="Q521" t="n">
        <v>0</v>
      </c>
      <c r="R521" s="2" t="inlineStr"/>
    </row>
    <row r="522" ht="15" customHeight="1">
      <c r="A522" t="inlineStr">
        <is>
          <t>A 51610-2020</t>
        </is>
      </c>
      <c r="B522" s="1" t="n">
        <v>44113</v>
      </c>
      <c r="C522" s="1" t="n">
        <v>45588</v>
      </c>
      <c r="D522" t="inlineStr">
        <is>
          <t>VÄSTERNORRLANDS LÄN</t>
        </is>
      </c>
      <c r="E522" t="inlineStr">
        <is>
          <t>ÅNGE</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52504-2020</t>
        </is>
      </c>
      <c r="B523" s="1" t="n">
        <v>44113</v>
      </c>
      <c r="C523" s="1" t="n">
        <v>45588</v>
      </c>
      <c r="D523" t="inlineStr">
        <is>
          <t>VÄSTERNORRLANDS LÄN</t>
        </is>
      </c>
      <c r="E523" t="inlineStr">
        <is>
          <t>ÅNGE</t>
        </is>
      </c>
      <c r="G523" t="n">
        <v>1.8</v>
      </c>
      <c r="H523" t="n">
        <v>0</v>
      </c>
      <c r="I523" t="n">
        <v>0</v>
      </c>
      <c r="J523" t="n">
        <v>0</v>
      </c>
      <c r="K523" t="n">
        <v>0</v>
      </c>
      <c r="L523" t="n">
        <v>0</v>
      </c>
      <c r="M523" t="n">
        <v>0</v>
      </c>
      <c r="N523" t="n">
        <v>0</v>
      </c>
      <c r="O523" t="n">
        <v>0</v>
      </c>
      <c r="P523" t="n">
        <v>0</v>
      </c>
      <c r="Q523" t="n">
        <v>0</v>
      </c>
      <c r="R523" s="2" t="inlineStr"/>
    </row>
    <row r="524" ht="15" customHeight="1">
      <c r="A524" t="inlineStr">
        <is>
          <t>A 51755-2020</t>
        </is>
      </c>
      <c r="B524" s="1" t="n">
        <v>44114</v>
      </c>
      <c r="C524" s="1" t="n">
        <v>45588</v>
      </c>
      <c r="D524" t="inlineStr">
        <is>
          <t>VÄSTERNORRLANDS LÄN</t>
        </is>
      </c>
      <c r="E524" t="inlineStr">
        <is>
          <t>ÅNGE</t>
        </is>
      </c>
      <c r="G524" t="n">
        <v>6.4</v>
      </c>
      <c r="H524" t="n">
        <v>0</v>
      </c>
      <c r="I524" t="n">
        <v>0</v>
      </c>
      <c r="J524" t="n">
        <v>0</v>
      </c>
      <c r="K524" t="n">
        <v>0</v>
      </c>
      <c r="L524" t="n">
        <v>0</v>
      </c>
      <c r="M524" t="n">
        <v>0</v>
      </c>
      <c r="N524" t="n">
        <v>0</v>
      </c>
      <c r="O524" t="n">
        <v>0</v>
      </c>
      <c r="P524" t="n">
        <v>0</v>
      </c>
      <c r="Q524" t="n">
        <v>0</v>
      </c>
      <c r="R524" s="2" t="inlineStr"/>
    </row>
    <row r="525" ht="15" customHeight="1">
      <c r="A525" t="inlineStr">
        <is>
          <t>A 52637-2020</t>
        </is>
      </c>
      <c r="B525" s="1" t="n">
        <v>44118</v>
      </c>
      <c r="C525" s="1" t="n">
        <v>45588</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52629-2020</t>
        </is>
      </c>
      <c r="B526" s="1" t="n">
        <v>44118</v>
      </c>
      <c r="C526" s="1" t="n">
        <v>45588</v>
      </c>
      <c r="D526" t="inlineStr">
        <is>
          <t>VÄSTERNORRLANDS LÄN</t>
        </is>
      </c>
      <c r="E526" t="inlineStr">
        <is>
          <t>ÅNGE</t>
        </is>
      </c>
      <c r="G526" t="n">
        <v>2.4</v>
      </c>
      <c r="H526" t="n">
        <v>0</v>
      </c>
      <c r="I526" t="n">
        <v>0</v>
      </c>
      <c r="J526" t="n">
        <v>0</v>
      </c>
      <c r="K526" t="n">
        <v>0</v>
      </c>
      <c r="L526" t="n">
        <v>0</v>
      </c>
      <c r="M526" t="n">
        <v>0</v>
      </c>
      <c r="N526" t="n">
        <v>0</v>
      </c>
      <c r="O526" t="n">
        <v>0</v>
      </c>
      <c r="P526" t="n">
        <v>0</v>
      </c>
      <c r="Q526" t="n">
        <v>0</v>
      </c>
      <c r="R526" s="2" t="inlineStr"/>
    </row>
    <row r="527" ht="15" customHeight="1">
      <c r="A527" t="inlineStr">
        <is>
          <t>A 52633-2020</t>
        </is>
      </c>
      <c r="B527" s="1" t="n">
        <v>44118</v>
      </c>
      <c r="C527" s="1" t="n">
        <v>45588</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52627-2020</t>
        </is>
      </c>
      <c r="B528" s="1" t="n">
        <v>44118</v>
      </c>
      <c r="C528" s="1" t="n">
        <v>45588</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53171-2020</t>
        </is>
      </c>
      <c r="B529" s="1" t="n">
        <v>44120</v>
      </c>
      <c r="C529" s="1" t="n">
        <v>45588</v>
      </c>
      <c r="D529" t="inlineStr">
        <is>
          <t>VÄSTERNORRLANDS LÄN</t>
        </is>
      </c>
      <c r="E529" t="inlineStr">
        <is>
          <t>ÅNGE</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53173-2020</t>
        </is>
      </c>
      <c r="B530" s="1" t="n">
        <v>44120</v>
      </c>
      <c r="C530" s="1" t="n">
        <v>45588</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53170-2020</t>
        </is>
      </c>
      <c r="B531" s="1" t="n">
        <v>44120</v>
      </c>
      <c r="C531" s="1" t="n">
        <v>45588</v>
      </c>
      <c r="D531" t="inlineStr">
        <is>
          <t>VÄSTERNORRLANDS LÄN</t>
        </is>
      </c>
      <c r="E531" t="inlineStr">
        <is>
          <t>ÅNGE</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53175-2020</t>
        </is>
      </c>
      <c r="B532" s="1" t="n">
        <v>44120</v>
      </c>
      <c r="C532" s="1" t="n">
        <v>45588</v>
      </c>
      <c r="D532" t="inlineStr">
        <is>
          <t>VÄSTERNORRLANDS LÄN</t>
        </is>
      </c>
      <c r="E532" t="inlineStr">
        <is>
          <t>ÅNGE</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53174-2020</t>
        </is>
      </c>
      <c r="B533" s="1" t="n">
        <v>44120</v>
      </c>
      <c r="C533" s="1" t="n">
        <v>45588</v>
      </c>
      <c r="D533" t="inlineStr">
        <is>
          <t>VÄSTERNORRLANDS LÄN</t>
        </is>
      </c>
      <c r="E533" t="inlineStr">
        <is>
          <t>ÅNGE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53474-2020</t>
        </is>
      </c>
      <c r="B534" s="1" t="n">
        <v>44123</v>
      </c>
      <c r="C534" s="1" t="n">
        <v>45588</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53660-2020</t>
        </is>
      </c>
      <c r="B535" s="1" t="n">
        <v>44124</v>
      </c>
      <c r="C535" s="1" t="n">
        <v>45588</v>
      </c>
      <c r="D535" t="inlineStr">
        <is>
          <t>VÄSTERNORRLANDS LÄN</t>
        </is>
      </c>
      <c r="E535" t="inlineStr">
        <is>
          <t>ÅNGE</t>
        </is>
      </c>
      <c r="G535" t="n">
        <v>5.4</v>
      </c>
      <c r="H535" t="n">
        <v>0</v>
      </c>
      <c r="I535" t="n">
        <v>0</v>
      </c>
      <c r="J535" t="n">
        <v>0</v>
      </c>
      <c r="K535" t="n">
        <v>0</v>
      </c>
      <c r="L535" t="n">
        <v>0</v>
      </c>
      <c r="M535" t="n">
        <v>0</v>
      </c>
      <c r="N535" t="n">
        <v>0</v>
      </c>
      <c r="O535" t="n">
        <v>0</v>
      </c>
      <c r="P535" t="n">
        <v>0</v>
      </c>
      <c r="Q535" t="n">
        <v>0</v>
      </c>
      <c r="R535" s="2" t="inlineStr"/>
    </row>
    <row r="536" ht="15" customHeight="1">
      <c r="A536" t="inlineStr">
        <is>
          <t>A 53661-2020</t>
        </is>
      </c>
      <c r="B536" s="1" t="n">
        <v>44124</v>
      </c>
      <c r="C536" s="1" t="n">
        <v>45588</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53962-2020</t>
        </is>
      </c>
      <c r="B537" s="1" t="n">
        <v>44125</v>
      </c>
      <c r="C537" s="1" t="n">
        <v>45588</v>
      </c>
      <c r="D537" t="inlineStr">
        <is>
          <t>VÄSTERNORRLANDS LÄN</t>
        </is>
      </c>
      <c r="E537" t="inlineStr">
        <is>
          <t>ÅNGE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54471-2020</t>
        </is>
      </c>
      <c r="B538" s="1" t="n">
        <v>44126</v>
      </c>
      <c r="C538" s="1" t="n">
        <v>45588</v>
      </c>
      <c r="D538" t="inlineStr">
        <is>
          <t>VÄSTERNORRLANDS LÄN</t>
        </is>
      </c>
      <c r="E538" t="inlineStr">
        <is>
          <t>ÅNGE</t>
        </is>
      </c>
      <c r="G538" t="n">
        <v>3.1</v>
      </c>
      <c r="H538" t="n">
        <v>0</v>
      </c>
      <c r="I538" t="n">
        <v>0</v>
      </c>
      <c r="J538" t="n">
        <v>0</v>
      </c>
      <c r="K538" t="n">
        <v>0</v>
      </c>
      <c r="L538" t="n">
        <v>0</v>
      </c>
      <c r="M538" t="n">
        <v>0</v>
      </c>
      <c r="N538" t="n">
        <v>0</v>
      </c>
      <c r="O538" t="n">
        <v>0</v>
      </c>
      <c r="P538" t="n">
        <v>0</v>
      </c>
      <c r="Q538" t="n">
        <v>0</v>
      </c>
      <c r="R538" s="2" t="inlineStr"/>
    </row>
    <row r="539" ht="15" customHeight="1">
      <c r="A539" t="inlineStr">
        <is>
          <t>A 54469-2020</t>
        </is>
      </c>
      <c r="B539" s="1" t="n">
        <v>44126</v>
      </c>
      <c r="C539" s="1" t="n">
        <v>45588</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55317-2020</t>
        </is>
      </c>
      <c r="B540" s="1" t="n">
        <v>44130</v>
      </c>
      <c r="C540" s="1" t="n">
        <v>45588</v>
      </c>
      <c r="D540" t="inlineStr">
        <is>
          <t>VÄSTERNORRLANDS LÄN</t>
        </is>
      </c>
      <c r="E540" t="inlineStr">
        <is>
          <t>ÅNGE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57111-2020</t>
        </is>
      </c>
      <c r="B541" s="1" t="n">
        <v>44139</v>
      </c>
      <c r="C541" s="1" t="n">
        <v>45588</v>
      </c>
      <c r="D541" t="inlineStr">
        <is>
          <t>VÄSTERNORRLANDS LÄN</t>
        </is>
      </c>
      <c r="E541" t="inlineStr">
        <is>
          <t>ÅNGE</t>
        </is>
      </c>
      <c r="G541" t="n">
        <v>0.5</v>
      </c>
      <c r="H541" t="n">
        <v>0</v>
      </c>
      <c r="I541" t="n">
        <v>0</v>
      </c>
      <c r="J541" t="n">
        <v>0</v>
      </c>
      <c r="K541" t="n">
        <v>0</v>
      </c>
      <c r="L541" t="n">
        <v>0</v>
      </c>
      <c r="M541" t="n">
        <v>0</v>
      </c>
      <c r="N541" t="n">
        <v>0</v>
      </c>
      <c r="O541" t="n">
        <v>0</v>
      </c>
      <c r="P541" t="n">
        <v>0</v>
      </c>
      <c r="Q541" t="n">
        <v>0</v>
      </c>
      <c r="R541" s="2" t="inlineStr"/>
    </row>
    <row r="542" ht="15" customHeight="1">
      <c r="A542" t="inlineStr">
        <is>
          <t>A 59222-2020</t>
        </is>
      </c>
      <c r="B542" s="1" t="n">
        <v>44147</v>
      </c>
      <c r="C542" s="1" t="n">
        <v>45588</v>
      </c>
      <c r="D542" t="inlineStr">
        <is>
          <t>VÄSTERNORRLANDS LÄN</t>
        </is>
      </c>
      <c r="E542" t="inlineStr">
        <is>
          <t>ÅNGE</t>
        </is>
      </c>
      <c r="G542" t="n">
        <v>7.6</v>
      </c>
      <c r="H542" t="n">
        <v>0</v>
      </c>
      <c r="I542" t="n">
        <v>0</v>
      </c>
      <c r="J542" t="n">
        <v>0</v>
      </c>
      <c r="K542" t="n">
        <v>0</v>
      </c>
      <c r="L542" t="n">
        <v>0</v>
      </c>
      <c r="M542" t="n">
        <v>0</v>
      </c>
      <c r="N542" t="n">
        <v>0</v>
      </c>
      <c r="O542" t="n">
        <v>0</v>
      </c>
      <c r="P542" t="n">
        <v>0</v>
      </c>
      <c r="Q542" t="n">
        <v>0</v>
      </c>
      <c r="R542" s="2" t="inlineStr"/>
    </row>
    <row r="543" ht="15" customHeight="1">
      <c r="A543" t="inlineStr">
        <is>
          <t>A 60064-2020</t>
        </is>
      </c>
      <c r="B543" s="1" t="n">
        <v>44151</v>
      </c>
      <c r="C543" s="1" t="n">
        <v>45588</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60401-2020</t>
        </is>
      </c>
      <c r="B544" s="1" t="n">
        <v>44152</v>
      </c>
      <c r="C544" s="1" t="n">
        <v>45588</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63497-2020</t>
        </is>
      </c>
      <c r="B545" s="1" t="n">
        <v>44161</v>
      </c>
      <c r="C545" s="1" t="n">
        <v>45588</v>
      </c>
      <c r="D545" t="inlineStr">
        <is>
          <t>VÄSTERNORRLANDS LÄN</t>
        </is>
      </c>
      <c r="E545" t="inlineStr">
        <is>
          <t>ÅNGE</t>
        </is>
      </c>
      <c r="G545" t="n">
        <v>6.9</v>
      </c>
      <c r="H545" t="n">
        <v>0</v>
      </c>
      <c r="I545" t="n">
        <v>0</v>
      </c>
      <c r="J545" t="n">
        <v>0</v>
      </c>
      <c r="K545" t="n">
        <v>0</v>
      </c>
      <c r="L545" t="n">
        <v>0</v>
      </c>
      <c r="M545" t="n">
        <v>0</v>
      </c>
      <c r="N545" t="n">
        <v>0</v>
      </c>
      <c r="O545" t="n">
        <v>0</v>
      </c>
      <c r="P545" t="n">
        <v>0</v>
      </c>
      <c r="Q545" t="n">
        <v>0</v>
      </c>
      <c r="R545" s="2" t="inlineStr"/>
    </row>
    <row r="546" ht="15" customHeight="1">
      <c r="A546" t="inlineStr">
        <is>
          <t>A 64612-2020</t>
        </is>
      </c>
      <c r="B546" s="1" t="n">
        <v>44169</v>
      </c>
      <c r="C546" s="1" t="n">
        <v>45588</v>
      </c>
      <c r="D546" t="inlineStr">
        <is>
          <t>VÄSTERNORRLANDS LÄN</t>
        </is>
      </c>
      <c r="E546" t="inlineStr">
        <is>
          <t>ÅNGE</t>
        </is>
      </c>
      <c r="G546" t="n">
        <v>2</v>
      </c>
      <c r="H546" t="n">
        <v>0</v>
      </c>
      <c r="I546" t="n">
        <v>0</v>
      </c>
      <c r="J546" t="n">
        <v>0</v>
      </c>
      <c r="K546" t="n">
        <v>0</v>
      </c>
      <c r="L546" t="n">
        <v>0</v>
      </c>
      <c r="M546" t="n">
        <v>0</v>
      </c>
      <c r="N546" t="n">
        <v>0</v>
      </c>
      <c r="O546" t="n">
        <v>0</v>
      </c>
      <c r="P546" t="n">
        <v>0</v>
      </c>
      <c r="Q546" t="n">
        <v>0</v>
      </c>
      <c r="R546" s="2" t="inlineStr"/>
    </row>
    <row r="547" ht="15" customHeight="1">
      <c r="A547" t="inlineStr">
        <is>
          <t>A 65277-2020</t>
        </is>
      </c>
      <c r="B547" s="1" t="n">
        <v>44172</v>
      </c>
      <c r="C547" s="1" t="n">
        <v>45588</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65149-2020</t>
        </is>
      </c>
      <c r="B548" s="1" t="n">
        <v>44172</v>
      </c>
      <c r="C548" s="1" t="n">
        <v>45588</v>
      </c>
      <c r="D548" t="inlineStr">
        <is>
          <t>VÄSTERNORRLANDS LÄN</t>
        </is>
      </c>
      <c r="E548" t="inlineStr">
        <is>
          <t>ÅNGE</t>
        </is>
      </c>
      <c r="G548" t="n">
        <v>9.5</v>
      </c>
      <c r="H548" t="n">
        <v>0</v>
      </c>
      <c r="I548" t="n">
        <v>0</v>
      </c>
      <c r="J548" t="n">
        <v>0</v>
      </c>
      <c r="K548" t="n">
        <v>0</v>
      </c>
      <c r="L548" t="n">
        <v>0</v>
      </c>
      <c r="M548" t="n">
        <v>0</v>
      </c>
      <c r="N548" t="n">
        <v>0</v>
      </c>
      <c r="O548" t="n">
        <v>0</v>
      </c>
      <c r="P548" t="n">
        <v>0</v>
      </c>
      <c r="Q548" t="n">
        <v>0</v>
      </c>
      <c r="R548" s="2" t="inlineStr"/>
    </row>
    <row r="549" ht="15" customHeight="1">
      <c r="A549" t="inlineStr">
        <is>
          <t>A 65272-2020</t>
        </is>
      </c>
      <c r="B549" s="1" t="n">
        <v>44172</v>
      </c>
      <c r="C549" s="1" t="n">
        <v>45588</v>
      </c>
      <c r="D549" t="inlineStr">
        <is>
          <t>VÄSTERNORRLANDS LÄN</t>
        </is>
      </c>
      <c r="E549" t="inlineStr">
        <is>
          <t>ÅNGE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65280-2020</t>
        </is>
      </c>
      <c r="B550" s="1" t="n">
        <v>44172</v>
      </c>
      <c r="C550" s="1" t="n">
        <v>45588</v>
      </c>
      <c r="D550" t="inlineStr">
        <is>
          <t>VÄSTERNORRLANDS LÄN</t>
        </is>
      </c>
      <c r="E550" t="inlineStr">
        <is>
          <t>ÅNGE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65594-2020</t>
        </is>
      </c>
      <c r="B551" s="1" t="n">
        <v>44173</v>
      </c>
      <c r="C551" s="1" t="n">
        <v>45588</v>
      </c>
      <c r="D551" t="inlineStr">
        <is>
          <t>VÄSTERNORRLANDS LÄN</t>
        </is>
      </c>
      <c r="E551" t="inlineStr">
        <is>
          <t>ÅNGE</t>
        </is>
      </c>
      <c r="G551" t="n">
        <v>5.9</v>
      </c>
      <c r="H551" t="n">
        <v>0</v>
      </c>
      <c r="I551" t="n">
        <v>0</v>
      </c>
      <c r="J551" t="n">
        <v>0</v>
      </c>
      <c r="K551" t="n">
        <v>0</v>
      </c>
      <c r="L551" t="n">
        <v>0</v>
      </c>
      <c r="M551" t="n">
        <v>0</v>
      </c>
      <c r="N551" t="n">
        <v>0</v>
      </c>
      <c r="O551" t="n">
        <v>0</v>
      </c>
      <c r="P551" t="n">
        <v>0</v>
      </c>
      <c r="Q551" t="n">
        <v>0</v>
      </c>
      <c r="R551" s="2" t="inlineStr"/>
    </row>
    <row r="552" ht="15" customHeight="1">
      <c r="A552" t="inlineStr">
        <is>
          <t>A 65593-2020</t>
        </is>
      </c>
      <c r="B552" s="1" t="n">
        <v>44173</v>
      </c>
      <c r="C552" s="1" t="n">
        <v>45588</v>
      </c>
      <c r="D552" t="inlineStr">
        <is>
          <t>VÄSTERNORRLANDS LÄN</t>
        </is>
      </c>
      <c r="E552" t="inlineStr">
        <is>
          <t>ÅNGE</t>
        </is>
      </c>
      <c r="G552" t="n">
        <v>4</v>
      </c>
      <c r="H552" t="n">
        <v>0</v>
      </c>
      <c r="I552" t="n">
        <v>0</v>
      </c>
      <c r="J552" t="n">
        <v>0</v>
      </c>
      <c r="K552" t="n">
        <v>0</v>
      </c>
      <c r="L552" t="n">
        <v>0</v>
      </c>
      <c r="M552" t="n">
        <v>0</v>
      </c>
      <c r="N552" t="n">
        <v>0</v>
      </c>
      <c r="O552" t="n">
        <v>0</v>
      </c>
      <c r="P552" t="n">
        <v>0</v>
      </c>
      <c r="Q552" t="n">
        <v>0</v>
      </c>
      <c r="R552" s="2" t="inlineStr"/>
    </row>
    <row r="553" ht="15" customHeight="1">
      <c r="A553" t="inlineStr">
        <is>
          <t>A 65770-2020</t>
        </is>
      </c>
      <c r="B553" s="1" t="n">
        <v>44174</v>
      </c>
      <c r="C553" s="1" t="n">
        <v>45588</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66601-2020</t>
        </is>
      </c>
      <c r="B554" s="1" t="n">
        <v>44175</v>
      </c>
      <c r="C554" s="1" t="n">
        <v>45588</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68378-2020</t>
        </is>
      </c>
      <c r="B555" s="1" t="n">
        <v>44186</v>
      </c>
      <c r="C555" s="1" t="n">
        <v>45588</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68715-2020</t>
        </is>
      </c>
      <c r="B556" s="1" t="n">
        <v>44187</v>
      </c>
      <c r="C556" s="1" t="n">
        <v>45588</v>
      </c>
      <c r="D556" t="inlineStr">
        <is>
          <t>VÄSTERNORRLANDS LÄN</t>
        </is>
      </c>
      <c r="E556" t="inlineStr">
        <is>
          <t>ÅNGE</t>
        </is>
      </c>
      <c r="G556" t="n">
        <v>19.1</v>
      </c>
      <c r="H556" t="n">
        <v>0</v>
      </c>
      <c r="I556" t="n">
        <v>0</v>
      </c>
      <c r="J556" t="n">
        <v>0</v>
      </c>
      <c r="K556" t="n">
        <v>0</v>
      </c>
      <c r="L556" t="n">
        <v>0</v>
      </c>
      <c r="M556" t="n">
        <v>0</v>
      </c>
      <c r="N556" t="n">
        <v>0</v>
      </c>
      <c r="O556" t="n">
        <v>0</v>
      </c>
      <c r="P556" t="n">
        <v>0</v>
      </c>
      <c r="Q556" t="n">
        <v>0</v>
      </c>
      <c r="R556" s="2" t="inlineStr"/>
    </row>
    <row r="557" ht="15" customHeight="1">
      <c r="A557" t="inlineStr">
        <is>
          <t>A 68812-2020</t>
        </is>
      </c>
      <c r="B557" s="1" t="n">
        <v>44187</v>
      </c>
      <c r="C557" s="1" t="n">
        <v>45588</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69271-2020</t>
        </is>
      </c>
      <c r="B558" s="1" t="n">
        <v>44193</v>
      </c>
      <c r="C558" s="1" t="n">
        <v>45588</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2327-2021</t>
        </is>
      </c>
      <c r="B559" s="1" t="n">
        <v>44214</v>
      </c>
      <c r="C559" s="1" t="n">
        <v>45588</v>
      </c>
      <c r="D559" t="inlineStr">
        <is>
          <t>VÄSTERNORRLANDS LÄN</t>
        </is>
      </c>
      <c r="E559" t="inlineStr">
        <is>
          <t>ÅNGE</t>
        </is>
      </c>
      <c r="G559" t="n">
        <v>6.7</v>
      </c>
      <c r="H559" t="n">
        <v>0</v>
      </c>
      <c r="I559" t="n">
        <v>0</v>
      </c>
      <c r="J559" t="n">
        <v>0</v>
      </c>
      <c r="K559" t="n">
        <v>0</v>
      </c>
      <c r="L559" t="n">
        <v>0</v>
      </c>
      <c r="M559" t="n">
        <v>0</v>
      </c>
      <c r="N559" t="n">
        <v>0</v>
      </c>
      <c r="O559" t="n">
        <v>0</v>
      </c>
      <c r="P559" t="n">
        <v>0</v>
      </c>
      <c r="Q559" t="n">
        <v>0</v>
      </c>
      <c r="R559" s="2" t="inlineStr"/>
    </row>
    <row r="560" ht="15" customHeight="1">
      <c r="A560" t="inlineStr">
        <is>
          <t>A 3352-2021</t>
        </is>
      </c>
      <c r="B560" s="1" t="n">
        <v>44217</v>
      </c>
      <c r="C560" s="1" t="n">
        <v>45588</v>
      </c>
      <c r="D560" t="inlineStr">
        <is>
          <t>VÄSTERNORRLANDS LÄN</t>
        </is>
      </c>
      <c r="E560" t="inlineStr">
        <is>
          <t>ÅNGE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5822-2021</t>
        </is>
      </c>
      <c r="B561" s="1" t="n">
        <v>44230</v>
      </c>
      <c r="C561" s="1" t="n">
        <v>45588</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6487-2021</t>
        </is>
      </c>
      <c r="B562" s="1" t="n">
        <v>44235</v>
      </c>
      <c r="C562" s="1" t="n">
        <v>45588</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6805-2021</t>
        </is>
      </c>
      <c r="B563" s="1" t="n">
        <v>44236</v>
      </c>
      <c r="C563" s="1" t="n">
        <v>45588</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8057-2021</t>
        </is>
      </c>
      <c r="B564" s="1" t="n">
        <v>44238</v>
      </c>
      <c r="C564" s="1" t="n">
        <v>45588</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7857-2021</t>
        </is>
      </c>
      <c r="B565" s="1" t="n">
        <v>44242</v>
      </c>
      <c r="C565" s="1" t="n">
        <v>45588</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9619-2021</t>
        </is>
      </c>
      <c r="B566" s="1" t="n">
        <v>44251</v>
      </c>
      <c r="C566" s="1" t="n">
        <v>45588</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10342-2021</t>
        </is>
      </c>
      <c r="B567" s="1" t="n">
        <v>44257</v>
      </c>
      <c r="C567" s="1" t="n">
        <v>45588</v>
      </c>
      <c r="D567" t="inlineStr">
        <is>
          <t>VÄSTERNORRLANDS LÄN</t>
        </is>
      </c>
      <c r="E567" t="inlineStr">
        <is>
          <t>ÅNGE</t>
        </is>
      </c>
      <c r="G567" t="n">
        <v>1.8</v>
      </c>
      <c r="H567" t="n">
        <v>0</v>
      </c>
      <c r="I567" t="n">
        <v>0</v>
      </c>
      <c r="J567" t="n">
        <v>0</v>
      </c>
      <c r="K567" t="n">
        <v>0</v>
      </c>
      <c r="L567" t="n">
        <v>0</v>
      </c>
      <c r="M567" t="n">
        <v>0</v>
      </c>
      <c r="N567" t="n">
        <v>0</v>
      </c>
      <c r="O567" t="n">
        <v>0</v>
      </c>
      <c r="P567" t="n">
        <v>0</v>
      </c>
      <c r="Q567" t="n">
        <v>0</v>
      </c>
      <c r="R567" s="2" t="inlineStr"/>
    </row>
    <row r="568" ht="15" customHeight="1">
      <c r="A568" t="inlineStr">
        <is>
          <t>A 11763-2021</t>
        </is>
      </c>
      <c r="B568" s="1" t="n">
        <v>44265</v>
      </c>
      <c r="C568" s="1" t="n">
        <v>45588</v>
      </c>
      <c r="D568" t="inlineStr">
        <is>
          <t>VÄSTERNORRLANDS LÄN</t>
        </is>
      </c>
      <c r="E568" t="inlineStr">
        <is>
          <t>ÅNGE</t>
        </is>
      </c>
      <c r="G568" t="n">
        <v>2.2</v>
      </c>
      <c r="H568" t="n">
        <v>0</v>
      </c>
      <c r="I568" t="n">
        <v>0</v>
      </c>
      <c r="J568" t="n">
        <v>0</v>
      </c>
      <c r="K568" t="n">
        <v>0</v>
      </c>
      <c r="L568" t="n">
        <v>0</v>
      </c>
      <c r="M568" t="n">
        <v>0</v>
      </c>
      <c r="N568" t="n">
        <v>0</v>
      </c>
      <c r="O568" t="n">
        <v>0</v>
      </c>
      <c r="P568" t="n">
        <v>0</v>
      </c>
      <c r="Q568" t="n">
        <v>0</v>
      </c>
      <c r="R568" s="2" t="inlineStr"/>
    </row>
    <row r="569" ht="15" customHeight="1">
      <c r="A569" t="inlineStr">
        <is>
          <t>A 12799-2021</t>
        </is>
      </c>
      <c r="B569" s="1" t="n">
        <v>44270</v>
      </c>
      <c r="C569" s="1" t="n">
        <v>45588</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12800-2021</t>
        </is>
      </c>
      <c r="B570" s="1" t="n">
        <v>44270</v>
      </c>
      <c r="C570" s="1" t="n">
        <v>45588</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13149-2021</t>
        </is>
      </c>
      <c r="B571" s="1" t="n">
        <v>44272</v>
      </c>
      <c r="C571" s="1" t="n">
        <v>45588</v>
      </c>
      <c r="D571" t="inlineStr">
        <is>
          <t>VÄSTERNORRLANDS LÄN</t>
        </is>
      </c>
      <c r="E571" t="inlineStr">
        <is>
          <t>ÅNGE</t>
        </is>
      </c>
      <c r="G571" t="n">
        <v>3.4</v>
      </c>
      <c r="H571" t="n">
        <v>0</v>
      </c>
      <c r="I571" t="n">
        <v>0</v>
      </c>
      <c r="J571" t="n">
        <v>0</v>
      </c>
      <c r="K571" t="n">
        <v>0</v>
      </c>
      <c r="L571" t="n">
        <v>0</v>
      </c>
      <c r="M571" t="n">
        <v>0</v>
      </c>
      <c r="N571" t="n">
        <v>0</v>
      </c>
      <c r="O571" t="n">
        <v>0</v>
      </c>
      <c r="P571" t="n">
        <v>0</v>
      </c>
      <c r="Q571" t="n">
        <v>0</v>
      </c>
      <c r="R571" s="2" t="inlineStr"/>
    </row>
    <row r="572" ht="15" customHeight="1">
      <c r="A572" t="inlineStr">
        <is>
          <t>A 13501-2021</t>
        </is>
      </c>
      <c r="B572" s="1" t="n">
        <v>44273</v>
      </c>
      <c r="C572" s="1" t="n">
        <v>45588</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13510-2021</t>
        </is>
      </c>
      <c r="B573" s="1" t="n">
        <v>44273</v>
      </c>
      <c r="C573" s="1" t="n">
        <v>45588</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13522-2021</t>
        </is>
      </c>
      <c r="B574" s="1" t="n">
        <v>44273</v>
      </c>
      <c r="C574" s="1" t="n">
        <v>45588</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13479-2021</t>
        </is>
      </c>
      <c r="B575" s="1" t="n">
        <v>44273</v>
      </c>
      <c r="C575" s="1" t="n">
        <v>45588</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13792-2021</t>
        </is>
      </c>
      <c r="B576" s="1" t="n">
        <v>44274</v>
      </c>
      <c r="C576" s="1" t="n">
        <v>45588</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14587-2021</t>
        </is>
      </c>
      <c r="B577" s="1" t="n">
        <v>44279</v>
      </c>
      <c r="C577" s="1" t="n">
        <v>45588</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14812-2021</t>
        </is>
      </c>
      <c r="B578" s="1" t="n">
        <v>44280</v>
      </c>
      <c r="C578" s="1" t="n">
        <v>45588</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16389-2021</t>
        </is>
      </c>
      <c r="B579" s="1" t="n">
        <v>44293</v>
      </c>
      <c r="C579" s="1" t="n">
        <v>45588</v>
      </c>
      <c r="D579" t="inlineStr">
        <is>
          <t>VÄSTERNORRLANDS LÄN</t>
        </is>
      </c>
      <c r="E579" t="inlineStr">
        <is>
          <t>ÅNGE</t>
        </is>
      </c>
      <c r="G579" t="n">
        <v>16.9</v>
      </c>
      <c r="H579" t="n">
        <v>0</v>
      </c>
      <c r="I579" t="n">
        <v>0</v>
      </c>
      <c r="J579" t="n">
        <v>0</v>
      </c>
      <c r="K579" t="n">
        <v>0</v>
      </c>
      <c r="L579" t="n">
        <v>0</v>
      </c>
      <c r="M579" t="n">
        <v>0</v>
      </c>
      <c r="N579" t="n">
        <v>0</v>
      </c>
      <c r="O579" t="n">
        <v>0</v>
      </c>
      <c r="P579" t="n">
        <v>0</v>
      </c>
      <c r="Q579" t="n">
        <v>0</v>
      </c>
      <c r="R579" s="2" t="inlineStr"/>
    </row>
    <row r="580" ht="15" customHeight="1">
      <c r="A580" t="inlineStr">
        <is>
          <t>A 17594-2021</t>
        </is>
      </c>
      <c r="B580" s="1" t="n">
        <v>44299</v>
      </c>
      <c r="C580" s="1" t="n">
        <v>45588</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17844-2021</t>
        </is>
      </c>
      <c r="B581" s="1" t="n">
        <v>44301</v>
      </c>
      <c r="C581" s="1" t="n">
        <v>45588</v>
      </c>
      <c r="D581" t="inlineStr">
        <is>
          <t>VÄSTERNORRLANDS LÄN</t>
        </is>
      </c>
      <c r="E581" t="inlineStr">
        <is>
          <t>ÅNGE</t>
        </is>
      </c>
      <c r="G581" t="n">
        <v>3.3</v>
      </c>
      <c r="H581" t="n">
        <v>0</v>
      </c>
      <c r="I581" t="n">
        <v>0</v>
      </c>
      <c r="J581" t="n">
        <v>0</v>
      </c>
      <c r="K581" t="n">
        <v>0</v>
      </c>
      <c r="L581" t="n">
        <v>0</v>
      </c>
      <c r="M581" t="n">
        <v>0</v>
      </c>
      <c r="N581" t="n">
        <v>0</v>
      </c>
      <c r="O581" t="n">
        <v>0</v>
      </c>
      <c r="P581" t="n">
        <v>0</v>
      </c>
      <c r="Q581" t="n">
        <v>0</v>
      </c>
      <c r="R581" s="2" t="inlineStr"/>
    </row>
    <row r="582" ht="15" customHeight="1">
      <c r="A582" t="inlineStr">
        <is>
          <t>A 18368-2021</t>
        </is>
      </c>
      <c r="B582" s="1" t="n">
        <v>44305</v>
      </c>
      <c r="C582" s="1" t="n">
        <v>45588</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18379-2021</t>
        </is>
      </c>
      <c r="B583" s="1" t="n">
        <v>44305</v>
      </c>
      <c r="C583" s="1" t="n">
        <v>45588</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18422-2021</t>
        </is>
      </c>
      <c r="B584" s="1" t="n">
        <v>44305</v>
      </c>
      <c r="C584" s="1" t="n">
        <v>45588</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19102-2021</t>
        </is>
      </c>
      <c r="B585" s="1" t="n">
        <v>44308</v>
      </c>
      <c r="C585" s="1" t="n">
        <v>45588</v>
      </c>
      <c r="D585" t="inlineStr">
        <is>
          <t>VÄSTERNORRLANDS LÄN</t>
        </is>
      </c>
      <c r="E585" t="inlineStr">
        <is>
          <t>ÅNGE</t>
        </is>
      </c>
      <c r="G585" t="n">
        <v>3.3</v>
      </c>
      <c r="H585" t="n">
        <v>0</v>
      </c>
      <c r="I585" t="n">
        <v>0</v>
      </c>
      <c r="J585" t="n">
        <v>0</v>
      </c>
      <c r="K585" t="n">
        <v>0</v>
      </c>
      <c r="L585" t="n">
        <v>0</v>
      </c>
      <c r="M585" t="n">
        <v>0</v>
      </c>
      <c r="N585" t="n">
        <v>0</v>
      </c>
      <c r="O585" t="n">
        <v>0</v>
      </c>
      <c r="P585" t="n">
        <v>0</v>
      </c>
      <c r="Q585" t="n">
        <v>0</v>
      </c>
      <c r="R585" s="2" t="inlineStr"/>
    </row>
    <row r="586" ht="15" customHeight="1">
      <c r="A586" t="inlineStr">
        <is>
          <t>A 20354-2021</t>
        </is>
      </c>
      <c r="B586" s="1" t="n">
        <v>44312</v>
      </c>
      <c r="C586" s="1" t="n">
        <v>45588</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19970-2021</t>
        </is>
      </c>
      <c r="B587" s="1" t="n">
        <v>44313</v>
      </c>
      <c r="C587" s="1" t="n">
        <v>45588</v>
      </c>
      <c r="D587" t="inlineStr">
        <is>
          <t>VÄSTERNORRLANDS LÄN</t>
        </is>
      </c>
      <c r="E587" t="inlineStr">
        <is>
          <t>ÅNGE</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20576-2021</t>
        </is>
      </c>
      <c r="B588" s="1" t="n">
        <v>44316</v>
      </c>
      <c r="C588" s="1" t="n">
        <v>45588</v>
      </c>
      <c r="D588" t="inlineStr">
        <is>
          <t>VÄSTERNORRLANDS LÄN</t>
        </is>
      </c>
      <c r="E588" t="inlineStr">
        <is>
          <t>ÅNGE</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20807-2021</t>
        </is>
      </c>
      <c r="B589" s="1" t="n">
        <v>44317</v>
      </c>
      <c r="C589" s="1" t="n">
        <v>45588</v>
      </c>
      <c r="D589" t="inlineStr">
        <is>
          <t>VÄSTERNORRLANDS LÄN</t>
        </is>
      </c>
      <c r="E589" t="inlineStr">
        <is>
          <t>ÅNGE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21189-2021</t>
        </is>
      </c>
      <c r="B590" s="1" t="n">
        <v>44320</v>
      </c>
      <c r="C590" s="1" t="n">
        <v>45588</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21642-2021</t>
        </is>
      </c>
      <c r="B591" s="1" t="n">
        <v>44322</v>
      </c>
      <c r="C591" s="1" t="n">
        <v>45588</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21625-2021</t>
        </is>
      </c>
      <c r="B592" s="1" t="n">
        <v>44322</v>
      </c>
      <c r="C592" s="1" t="n">
        <v>45588</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21960-2021</t>
        </is>
      </c>
      <c r="B593" s="1" t="n">
        <v>44323</v>
      </c>
      <c r="C593" s="1" t="n">
        <v>45588</v>
      </c>
      <c r="D593" t="inlineStr">
        <is>
          <t>VÄSTERNORRLANDS LÄN</t>
        </is>
      </c>
      <c r="E593" t="inlineStr">
        <is>
          <t>ÅNGE</t>
        </is>
      </c>
      <c r="F593" t="inlineStr">
        <is>
          <t>Holmen skog AB</t>
        </is>
      </c>
      <c r="G593" t="n">
        <v>6.8</v>
      </c>
      <c r="H593" t="n">
        <v>0</v>
      </c>
      <c r="I593" t="n">
        <v>0</v>
      </c>
      <c r="J593" t="n">
        <v>0</v>
      </c>
      <c r="K593" t="n">
        <v>0</v>
      </c>
      <c r="L593" t="n">
        <v>0</v>
      </c>
      <c r="M593" t="n">
        <v>0</v>
      </c>
      <c r="N593" t="n">
        <v>0</v>
      </c>
      <c r="O593" t="n">
        <v>0</v>
      </c>
      <c r="P593" t="n">
        <v>0</v>
      </c>
      <c r="Q593" t="n">
        <v>0</v>
      </c>
      <c r="R593" s="2" t="inlineStr"/>
    </row>
    <row r="594" ht="15" customHeight="1">
      <c r="A594" t="inlineStr">
        <is>
          <t>A 22237-2021</t>
        </is>
      </c>
      <c r="B594" s="1" t="n">
        <v>44326</v>
      </c>
      <c r="C594" s="1" t="n">
        <v>45588</v>
      </c>
      <c r="D594" t="inlineStr">
        <is>
          <t>VÄSTERNORRLANDS LÄN</t>
        </is>
      </c>
      <c r="E594" t="inlineStr">
        <is>
          <t>ÅNGE</t>
        </is>
      </c>
      <c r="G594" t="n">
        <v>3.7</v>
      </c>
      <c r="H594" t="n">
        <v>0</v>
      </c>
      <c r="I594" t="n">
        <v>0</v>
      </c>
      <c r="J594" t="n">
        <v>0</v>
      </c>
      <c r="K594" t="n">
        <v>0</v>
      </c>
      <c r="L594" t="n">
        <v>0</v>
      </c>
      <c r="M594" t="n">
        <v>0</v>
      </c>
      <c r="N594" t="n">
        <v>0</v>
      </c>
      <c r="O594" t="n">
        <v>0</v>
      </c>
      <c r="P594" t="n">
        <v>0</v>
      </c>
      <c r="Q594" t="n">
        <v>0</v>
      </c>
      <c r="R594" s="2" t="inlineStr"/>
    </row>
    <row r="595" ht="15" customHeight="1">
      <c r="A595" t="inlineStr">
        <is>
          <t>A 22597-2021</t>
        </is>
      </c>
      <c r="B595" s="1" t="n">
        <v>44326</v>
      </c>
      <c r="C595" s="1" t="n">
        <v>45588</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23018-2021</t>
        </is>
      </c>
      <c r="B596" s="1" t="n">
        <v>44328</v>
      </c>
      <c r="C596" s="1" t="n">
        <v>45588</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23017-2021</t>
        </is>
      </c>
      <c r="B597" s="1" t="n">
        <v>44329</v>
      </c>
      <c r="C597" s="1" t="n">
        <v>45588</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23016-2021</t>
        </is>
      </c>
      <c r="B598" s="1" t="n">
        <v>44329</v>
      </c>
      <c r="C598" s="1" t="n">
        <v>45588</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24233-2021</t>
        </is>
      </c>
      <c r="B599" s="1" t="n">
        <v>44336</v>
      </c>
      <c r="C599" s="1" t="n">
        <v>45588</v>
      </c>
      <c r="D599" t="inlineStr">
        <is>
          <t>VÄSTERNORRLANDS LÄN</t>
        </is>
      </c>
      <c r="E599" t="inlineStr">
        <is>
          <t>ÅNGE</t>
        </is>
      </c>
      <c r="G599" t="n">
        <v>3.2</v>
      </c>
      <c r="H599" t="n">
        <v>0</v>
      </c>
      <c r="I599" t="n">
        <v>0</v>
      </c>
      <c r="J599" t="n">
        <v>0</v>
      </c>
      <c r="K599" t="n">
        <v>0</v>
      </c>
      <c r="L599" t="n">
        <v>0</v>
      </c>
      <c r="M599" t="n">
        <v>0</v>
      </c>
      <c r="N599" t="n">
        <v>0</v>
      </c>
      <c r="O599" t="n">
        <v>0</v>
      </c>
      <c r="P599" t="n">
        <v>0</v>
      </c>
      <c r="Q599" t="n">
        <v>0</v>
      </c>
      <c r="R599" s="2" t="inlineStr"/>
    </row>
    <row r="600" ht="15" customHeight="1">
      <c r="A600" t="inlineStr">
        <is>
          <t>A 24819-2021</t>
        </is>
      </c>
      <c r="B600" s="1" t="n">
        <v>44340</v>
      </c>
      <c r="C600" s="1" t="n">
        <v>45588</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24831-2021</t>
        </is>
      </c>
      <c r="B601" s="1" t="n">
        <v>44340</v>
      </c>
      <c r="C601" s="1" t="n">
        <v>45588</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25020-2021</t>
        </is>
      </c>
      <c r="B602" s="1" t="n">
        <v>44341</v>
      </c>
      <c r="C602" s="1" t="n">
        <v>45588</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24953-2021</t>
        </is>
      </c>
      <c r="B603" s="1" t="n">
        <v>44341</v>
      </c>
      <c r="C603" s="1" t="n">
        <v>45588</v>
      </c>
      <c r="D603" t="inlineStr">
        <is>
          <t>VÄSTERNORRLANDS LÄN</t>
        </is>
      </c>
      <c r="E603" t="inlineStr">
        <is>
          <t>ÅNGE</t>
        </is>
      </c>
      <c r="G603" t="n">
        <v>6.1</v>
      </c>
      <c r="H603" t="n">
        <v>0</v>
      </c>
      <c r="I603" t="n">
        <v>0</v>
      </c>
      <c r="J603" t="n">
        <v>0</v>
      </c>
      <c r="K603" t="n">
        <v>0</v>
      </c>
      <c r="L603" t="n">
        <v>0</v>
      </c>
      <c r="M603" t="n">
        <v>0</v>
      </c>
      <c r="N603" t="n">
        <v>0</v>
      </c>
      <c r="O603" t="n">
        <v>0</v>
      </c>
      <c r="P603" t="n">
        <v>0</v>
      </c>
      <c r="Q603" t="n">
        <v>0</v>
      </c>
      <c r="R603" s="2" t="inlineStr"/>
    </row>
    <row r="604" ht="15" customHeight="1">
      <c r="A604" t="inlineStr">
        <is>
          <t>A 24977-2021</t>
        </is>
      </c>
      <c r="B604" s="1" t="n">
        <v>44341</v>
      </c>
      <c r="C604" s="1" t="n">
        <v>45588</v>
      </c>
      <c r="D604" t="inlineStr">
        <is>
          <t>VÄSTERNORRLANDS LÄN</t>
        </is>
      </c>
      <c r="E604" t="inlineStr">
        <is>
          <t>ÅNGE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26088-2021</t>
        </is>
      </c>
      <c r="B605" s="1" t="n">
        <v>44345</v>
      </c>
      <c r="C605" s="1" t="n">
        <v>45588</v>
      </c>
      <c r="D605" t="inlineStr">
        <is>
          <t>VÄSTERNORRLANDS LÄN</t>
        </is>
      </c>
      <c r="E605" t="inlineStr">
        <is>
          <t>ÅNGE</t>
        </is>
      </c>
      <c r="G605" t="n">
        <v>1.8</v>
      </c>
      <c r="H605" t="n">
        <v>0</v>
      </c>
      <c r="I605" t="n">
        <v>0</v>
      </c>
      <c r="J605" t="n">
        <v>0</v>
      </c>
      <c r="K605" t="n">
        <v>0</v>
      </c>
      <c r="L605" t="n">
        <v>0</v>
      </c>
      <c r="M605" t="n">
        <v>0</v>
      </c>
      <c r="N605" t="n">
        <v>0</v>
      </c>
      <c r="O605" t="n">
        <v>0</v>
      </c>
      <c r="P605" t="n">
        <v>0</v>
      </c>
      <c r="Q605" t="n">
        <v>0</v>
      </c>
      <c r="R605" s="2" t="inlineStr"/>
    </row>
    <row r="606" ht="15" customHeight="1">
      <c r="A606" t="inlineStr">
        <is>
          <t>A 26193-2021</t>
        </is>
      </c>
      <c r="B606" s="1" t="n">
        <v>44347</v>
      </c>
      <c r="C606" s="1" t="n">
        <v>45588</v>
      </c>
      <c r="D606" t="inlineStr">
        <is>
          <t>VÄSTERNORRLANDS LÄN</t>
        </is>
      </c>
      <c r="E606" t="inlineStr">
        <is>
          <t>ÅNGE</t>
        </is>
      </c>
      <c r="G606" t="n">
        <v>1.2</v>
      </c>
      <c r="H606" t="n">
        <v>0</v>
      </c>
      <c r="I606" t="n">
        <v>0</v>
      </c>
      <c r="J606" t="n">
        <v>0</v>
      </c>
      <c r="K606" t="n">
        <v>0</v>
      </c>
      <c r="L606" t="n">
        <v>0</v>
      </c>
      <c r="M606" t="n">
        <v>0</v>
      </c>
      <c r="N606" t="n">
        <v>0</v>
      </c>
      <c r="O606" t="n">
        <v>0</v>
      </c>
      <c r="P606" t="n">
        <v>0</v>
      </c>
      <c r="Q606" t="n">
        <v>0</v>
      </c>
      <c r="R606" s="2" t="inlineStr"/>
    </row>
    <row r="607" ht="15" customHeight="1">
      <c r="A607" t="inlineStr">
        <is>
          <t>A 26966-2021</t>
        </is>
      </c>
      <c r="B607" s="1" t="n">
        <v>44350</v>
      </c>
      <c r="C607" s="1" t="n">
        <v>45588</v>
      </c>
      <c r="D607" t="inlineStr">
        <is>
          <t>VÄSTERNORRLANDS LÄN</t>
        </is>
      </c>
      <c r="E607" t="inlineStr">
        <is>
          <t>ÅNGE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26969-2021</t>
        </is>
      </c>
      <c r="B608" s="1" t="n">
        <v>44350</v>
      </c>
      <c r="C608" s="1" t="n">
        <v>45588</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27288-2021</t>
        </is>
      </c>
      <c r="B609" s="1" t="n">
        <v>44351</v>
      </c>
      <c r="C609" s="1" t="n">
        <v>45588</v>
      </c>
      <c r="D609" t="inlineStr">
        <is>
          <t>VÄSTERNORRLANDS LÄN</t>
        </is>
      </c>
      <c r="E609" t="inlineStr">
        <is>
          <t>ÅNGE</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27951-2021</t>
        </is>
      </c>
      <c r="B610" s="1" t="n">
        <v>44354</v>
      </c>
      <c r="C610" s="1" t="n">
        <v>45588</v>
      </c>
      <c r="D610" t="inlineStr">
        <is>
          <t>VÄSTERNORRLANDS LÄN</t>
        </is>
      </c>
      <c r="E610" t="inlineStr">
        <is>
          <t>ÅNGE</t>
        </is>
      </c>
      <c r="G610" t="n">
        <v>3</v>
      </c>
      <c r="H610" t="n">
        <v>0</v>
      </c>
      <c r="I610" t="n">
        <v>0</v>
      </c>
      <c r="J610" t="n">
        <v>0</v>
      </c>
      <c r="K610" t="n">
        <v>0</v>
      </c>
      <c r="L610" t="n">
        <v>0</v>
      </c>
      <c r="M610" t="n">
        <v>0</v>
      </c>
      <c r="N610" t="n">
        <v>0</v>
      </c>
      <c r="O610" t="n">
        <v>0</v>
      </c>
      <c r="P610" t="n">
        <v>0</v>
      </c>
      <c r="Q610" t="n">
        <v>0</v>
      </c>
      <c r="R610" s="2" t="inlineStr"/>
    </row>
    <row r="611" ht="15" customHeight="1">
      <c r="A611" t="inlineStr">
        <is>
          <t>A 27953-2021</t>
        </is>
      </c>
      <c r="B611" s="1" t="n">
        <v>44355</v>
      </c>
      <c r="C611" s="1" t="n">
        <v>45588</v>
      </c>
      <c r="D611" t="inlineStr">
        <is>
          <t>VÄSTERNORRLANDS LÄN</t>
        </is>
      </c>
      <c r="E611" t="inlineStr">
        <is>
          <t>ÅNGE</t>
        </is>
      </c>
      <c r="G611" t="n">
        <v>2.9</v>
      </c>
      <c r="H611" t="n">
        <v>0</v>
      </c>
      <c r="I611" t="n">
        <v>0</v>
      </c>
      <c r="J611" t="n">
        <v>0</v>
      </c>
      <c r="K611" t="n">
        <v>0</v>
      </c>
      <c r="L611" t="n">
        <v>0</v>
      </c>
      <c r="M611" t="n">
        <v>0</v>
      </c>
      <c r="N611" t="n">
        <v>0</v>
      </c>
      <c r="O611" t="n">
        <v>0</v>
      </c>
      <c r="P611" t="n">
        <v>0</v>
      </c>
      <c r="Q611" t="n">
        <v>0</v>
      </c>
      <c r="R611" s="2" t="inlineStr"/>
    </row>
    <row r="612" ht="15" customHeight="1">
      <c r="A612" t="inlineStr">
        <is>
          <t>A 27957-2021</t>
        </is>
      </c>
      <c r="B612" s="1" t="n">
        <v>44354</v>
      </c>
      <c r="C612" s="1" t="n">
        <v>45588</v>
      </c>
      <c r="D612" t="inlineStr">
        <is>
          <t>VÄSTERNORRLANDS LÄN</t>
        </is>
      </c>
      <c r="E612" t="inlineStr">
        <is>
          <t>ÅNGE</t>
        </is>
      </c>
      <c r="G612" t="n">
        <v>13.5</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45588</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45588</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45588</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45588</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45588</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45588</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45588</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30339-2021</t>
        </is>
      </c>
      <c r="B620" s="1" t="n">
        <v>44364</v>
      </c>
      <c r="C620" s="1" t="n">
        <v>45588</v>
      </c>
      <c r="D620" t="inlineStr">
        <is>
          <t>VÄSTERNORRLANDS LÄN</t>
        </is>
      </c>
      <c r="E620" t="inlineStr">
        <is>
          <t>ÅNGE</t>
        </is>
      </c>
      <c r="G620" t="n">
        <v>23.8</v>
      </c>
      <c r="H620" t="n">
        <v>0</v>
      </c>
      <c r="I620" t="n">
        <v>0</v>
      </c>
      <c r="J620" t="n">
        <v>0</v>
      </c>
      <c r="K620" t="n">
        <v>0</v>
      </c>
      <c r="L620" t="n">
        <v>0</v>
      </c>
      <c r="M620" t="n">
        <v>0</v>
      </c>
      <c r="N620" t="n">
        <v>0</v>
      </c>
      <c r="O620" t="n">
        <v>0</v>
      </c>
      <c r="P620" t="n">
        <v>0</v>
      </c>
      <c r="Q620" t="n">
        <v>0</v>
      </c>
      <c r="R620" s="2" t="inlineStr"/>
    </row>
    <row r="621" ht="15" customHeight="1">
      <c r="A621" t="inlineStr">
        <is>
          <t>A 30345-2021</t>
        </is>
      </c>
      <c r="B621" s="1" t="n">
        <v>44364</v>
      </c>
      <c r="C621" s="1" t="n">
        <v>45588</v>
      </c>
      <c r="D621" t="inlineStr">
        <is>
          <t>VÄSTERNORRLANDS LÄN</t>
        </is>
      </c>
      <c r="E621" t="inlineStr">
        <is>
          <t>ÅNGE</t>
        </is>
      </c>
      <c r="G621" t="n">
        <v>7.7</v>
      </c>
      <c r="H621" t="n">
        <v>0</v>
      </c>
      <c r="I621" t="n">
        <v>0</v>
      </c>
      <c r="J621" t="n">
        <v>0</v>
      </c>
      <c r="K621" t="n">
        <v>0</v>
      </c>
      <c r="L621" t="n">
        <v>0</v>
      </c>
      <c r="M621" t="n">
        <v>0</v>
      </c>
      <c r="N621" t="n">
        <v>0</v>
      </c>
      <c r="O621" t="n">
        <v>0</v>
      </c>
      <c r="P621" t="n">
        <v>0</v>
      </c>
      <c r="Q621" t="n">
        <v>0</v>
      </c>
      <c r="R621" s="2" t="inlineStr"/>
    </row>
    <row r="622" ht="15" customHeight="1">
      <c r="A622" t="inlineStr">
        <is>
          <t>A 30365-2021</t>
        </is>
      </c>
      <c r="B622" s="1" t="n">
        <v>44364</v>
      </c>
      <c r="C622" s="1" t="n">
        <v>45588</v>
      </c>
      <c r="D622" t="inlineStr">
        <is>
          <t>VÄSTERNORRLANDS LÄN</t>
        </is>
      </c>
      <c r="E622" t="inlineStr">
        <is>
          <t>ÅNGE</t>
        </is>
      </c>
      <c r="G622" t="n">
        <v>3.9</v>
      </c>
      <c r="H622" t="n">
        <v>0</v>
      </c>
      <c r="I622" t="n">
        <v>0</v>
      </c>
      <c r="J622" t="n">
        <v>0</v>
      </c>
      <c r="K622" t="n">
        <v>0</v>
      </c>
      <c r="L622" t="n">
        <v>0</v>
      </c>
      <c r="M622" t="n">
        <v>0</v>
      </c>
      <c r="N622" t="n">
        <v>0</v>
      </c>
      <c r="O622" t="n">
        <v>0</v>
      </c>
      <c r="P622" t="n">
        <v>0</v>
      </c>
      <c r="Q622" t="n">
        <v>0</v>
      </c>
      <c r="R622" s="2" t="inlineStr"/>
    </row>
    <row r="623" ht="15" customHeight="1">
      <c r="A623" t="inlineStr">
        <is>
          <t>A 31191-2021</t>
        </is>
      </c>
      <c r="B623" s="1" t="n">
        <v>44368</v>
      </c>
      <c r="C623" s="1" t="n">
        <v>45588</v>
      </c>
      <c r="D623" t="inlineStr">
        <is>
          <t>VÄSTERNORRLANDS LÄN</t>
        </is>
      </c>
      <c r="E623" t="inlineStr">
        <is>
          <t>ÅNGE</t>
        </is>
      </c>
      <c r="F623" t="inlineStr">
        <is>
          <t>Sveaskog</t>
        </is>
      </c>
      <c r="G623" t="n">
        <v>21.6</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45588</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45588</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45588</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45588</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45588</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45588</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45588</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45588</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45588</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45588</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45588</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45588</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45588</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45588</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45588</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45588</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45588</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45588</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45588</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45588</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45588</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45588</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45588</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45588</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45588</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45588</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45588</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45588</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45588</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45588</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45588</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45588</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45588</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45588</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45588</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45588</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45588</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45588</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45588</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45588</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45588</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45588</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45588</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45588</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45588</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45588</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45588</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45588</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45588</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45588</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45588</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45588</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45588</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45588</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45588</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45588</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45588</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45588</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45588</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45588</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45588</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45588</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45588</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45588</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45588</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45588</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45588</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45588</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45588</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45588</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45588</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45588</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45588</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45588</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45588</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45588</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45588</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45588</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45588</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45588</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45588</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45588</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45588</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45588</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45588</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45588</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45588</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45588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45588</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45588</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45588</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45588</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45588</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45588</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45588</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45588</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45588</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45588</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45588</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45588</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45588</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45588</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45588</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45588</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45588</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45588</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45588</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45588</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45588</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45588</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45588</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45588</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45588</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45588</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45588</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45588</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45588</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45588</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45588</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45588</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45588</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45588</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45588</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45588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45588</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45588</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45588</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45588</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45588</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45588</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45588</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45588</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45588</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45588</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45588</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45588</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45588</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45588</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45588</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45588</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45588</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45588</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45588</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45588</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45588</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45588</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45588</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45588</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45588</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45588</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45588</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45588</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45588</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45588</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45588</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45588</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45588</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45588</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45588</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45588</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45588</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45588</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45588</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45588</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45588</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45588</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45588</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45588</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45588</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45588</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45588</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45588</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45588</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45588</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45588</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45588</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45588</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45588</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45588</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45588</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45588</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45588</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45588</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45588</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45588</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45588</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45588</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45588</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45588</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45588</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45588</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45588</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45588</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45588</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45588</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13875-2022</t>
        </is>
      </c>
      <c r="B819" s="1" t="n">
        <v>44649</v>
      </c>
      <c r="C819" s="1" t="n">
        <v>45588</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14091-2022</t>
        </is>
      </c>
      <c r="B820" s="1" t="n">
        <v>44651</v>
      </c>
      <c r="C820" s="1" t="n">
        <v>45588</v>
      </c>
      <c r="D820" t="inlineStr">
        <is>
          <t>VÄSTERNORRLANDS LÄN</t>
        </is>
      </c>
      <c r="E820" t="inlineStr">
        <is>
          <t>ÅNGE</t>
        </is>
      </c>
      <c r="G820" t="n">
        <v>2.4</v>
      </c>
      <c r="H820" t="n">
        <v>0</v>
      </c>
      <c r="I820" t="n">
        <v>0</v>
      </c>
      <c r="J820" t="n">
        <v>0</v>
      </c>
      <c r="K820" t="n">
        <v>0</v>
      </c>
      <c r="L820" t="n">
        <v>0</v>
      </c>
      <c r="M820" t="n">
        <v>0</v>
      </c>
      <c r="N820" t="n">
        <v>0</v>
      </c>
      <c r="O820" t="n">
        <v>0</v>
      </c>
      <c r="P820" t="n">
        <v>0</v>
      </c>
      <c r="Q820" t="n">
        <v>0</v>
      </c>
      <c r="R820" s="2" t="inlineStr"/>
    </row>
    <row r="821" ht="15" customHeight="1">
      <c r="A821" t="inlineStr">
        <is>
          <t>A 14097-2022</t>
        </is>
      </c>
      <c r="B821" s="1" t="n">
        <v>44651</v>
      </c>
      <c r="C821" s="1" t="n">
        <v>45588</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14084-2022</t>
        </is>
      </c>
      <c r="B822" s="1" t="n">
        <v>44651</v>
      </c>
      <c r="C822" s="1" t="n">
        <v>45588</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14433-2022</t>
        </is>
      </c>
      <c r="B823" s="1" t="n">
        <v>44652</v>
      </c>
      <c r="C823" s="1" t="n">
        <v>45588</v>
      </c>
      <c r="D823" t="inlineStr">
        <is>
          <t>VÄSTERNORRLANDS LÄN</t>
        </is>
      </c>
      <c r="E823" t="inlineStr">
        <is>
          <t>ÅNGE</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14813-2022</t>
        </is>
      </c>
      <c r="B824" s="1" t="n">
        <v>44656</v>
      </c>
      <c r="C824" s="1" t="n">
        <v>45588</v>
      </c>
      <c r="D824" t="inlineStr">
        <is>
          <t>VÄSTERNORRLANDS LÄN</t>
        </is>
      </c>
      <c r="E824" t="inlineStr">
        <is>
          <t>ÅNGE</t>
        </is>
      </c>
      <c r="G824" t="n">
        <v>2.2</v>
      </c>
      <c r="H824" t="n">
        <v>0</v>
      </c>
      <c r="I824" t="n">
        <v>0</v>
      </c>
      <c r="J824" t="n">
        <v>0</v>
      </c>
      <c r="K824" t="n">
        <v>0</v>
      </c>
      <c r="L824" t="n">
        <v>0</v>
      </c>
      <c r="M824" t="n">
        <v>0</v>
      </c>
      <c r="N824" t="n">
        <v>0</v>
      </c>
      <c r="O824" t="n">
        <v>0</v>
      </c>
      <c r="P824" t="n">
        <v>0</v>
      </c>
      <c r="Q824" t="n">
        <v>0</v>
      </c>
      <c r="R824" s="2" t="inlineStr"/>
    </row>
    <row r="825" ht="15" customHeight="1">
      <c r="A825" t="inlineStr">
        <is>
          <t>A 14888-2022</t>
        </is>
      </c>
      <c r="B825" s="1" t="n">
        <v>44656</v>
      </c>
      <c r="C825" s="1" t="n">
        <v>45588</v>
      </c>
      <c r="D825" t="inlineStr">
        <is>
          <t>VÄSTERNORRLANDS LÄN</t>
        </is>
      </c>
      <c r="E825" t="inlineStr">
        <is>
          <t>ÅNGE</t>
        </is>
      </c>
      <c r="G825" t="n">
        <v>6.2</v>
      </c>
      <c r="H825" t="n">
        <v>0</v>
      </c>
      <c r="I825" t="n">
        <v>0</v>
      </c>
      <c r="J825" t="n">
        <v>0</v>
      </c>
      <c r="K825" t="n">
        <v>0</v>
      </c>
      <c r="L825" t="n">
        <v>0</v>
      </c>
      <c r="M825" t="n">
        <v>0</v>
      </c>
      <c r="N825" t="n">
        <v>0</v>
      </c>
      <c r="O825" t="n">
        <v>0</v>
      </c>
      <c r="P825" t="n">
        <v>0</v>
      </c>
      <c r="Q825" t="n">
        <v>0</v>
      </c>
      <c r="R825" s="2" t="inlineStr"/>
    </row>
    <row r="826" ht="15" customHeight="1">
      <c r="A826" t="inlineStr">
        <is>
          <t>A 14885-2022</t>
        </is>
      </c>
      <c r="B826" s="1" t="n">
        <v>44656</v>
      </c>
      <c r="C826" s="1" t="n">
        <v>45588</v>
      </c>
      <c r="D826" t="inlineStr">
        <is>
          <t>VÄSTERNORRLANDS LÄN</t>
        </is>
      </c>
      <c r="E826" t="inlineStr">
        <is>
          <t>ÅNGE</t>
        </is>
      </c>
      <c r="G826" t="n">
        <v>4</v>
      </c>
      <c r="H826" t="n">
        <v>0</v>
      </c>
      <c r="I826" t="n">
        <v>0</v>
      </c>
      <c r="J826" t="n">
        <v>0</v>
      </c>
      <c r="K826" t="n">
        <v>0</v>
      </c>
      <c r="L826" t="n">
        <v>0</v>
      </c>
      <c r="M826" t="n">
        <v>0</v>
      </c>
      <c r="N826" t="n">
        <v>0</v>
      </c>
      <c r="O826" t="n">
        <v>0</v>
      </c>
      <c r="P826" t="n">
        <v>0</v>
      </c>
      <c r="Q826" t="n">
        <v>0</v>
      </c>
      <c r="R826" s="2" t="inlineStr"/>
    </row>
    <row r="827" ht="15" customHeight="1">
      <c r="A827" t="inlineStr">
        <is>
          <t>A 14889-2022</t>
        </is>
      </c>
      <c r="B827" s="1" t="n">
        <v>44656</v>
      </c>
      <c r="C827" s="1" t="n">
        <v>45588</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14949-2022</t>
        </is>
      </c>
      <c r="B828" s="1" t="n">
        <v>44657</v>
      </c>
      <c r="C828" s="1" t="n">
        <v>45588</v>
      </c>
      <c r="D828" t="inlineStr">
        <is>
          <t>VÄSTERNORRLANDS LÄN</t>
        </is>
      </c>
      <c r="E828" t="inlineStr">
        <is>
          <t>ÅNGE</t>
        </is>
      </c>
      <c r="G828" t="n">
        <v>1.6</v>
      </c>
      <c r="H828" t="n">
        <v>0</v>
      </c>
      <c r="I828" t="n">
        <v>0</v>
      </c>
      <c r="J828" t="n">
        <v>0</v>
      </c>
      <c r="K828" t="n">
        <v>0</v>
      </c>
      <c r="L828" t="n">
        <v>0</v>
      </c>
      <c r="M828" t="n">
        <v>0</v>
      </c>
      <c r="N828" t="n">
        <v>0</v>
      </c>
      <c r="O828" t="n">
        <v>0</v>
      </c>
      <c r="P828" t="n">
        <v>0</v>
      </c>
      <c r="Q828" t="n">
        <v>0</v>
      </c>
      <c r="R828" s="2" t="inlineStr"/>
    </row>
    <row r="829" ht="15" customHeight="1">
      <c r="A829" t="inlineStr">
        <is>
          <t>A 15863-2022</t>
        </is>
      </c>
      <c r="B829" s="1" t="n">
        <v>44664</v>
      </c>
      <c r="C829" s="1" t="n">
        <v>45588</v>
      </c>
      <c r="D829" t="inlineStr">
        <is>
          <t>VÄSTERNORRLANDS LÄN</t>
        </is>
      </c>
      <c r="E829" t="inlineStr">
        <is>
          <t>ÅNGE</t>
        </is>
      </c>
      <c r="G829" t="n">
        <v>3.6</v>
      </c>
      <c r="H829" t="n">
        <v>0</v>
      </c>
      <c r="I829" t="n">
        <v>0</v>
      </c>
      <c r="J829" t="n">
        <v>0</v>
      </c>
      <c r="K829" t="n">
        <v>0</v>
      </c>
      <c r="L829" t="n">
        <v>0</v>
      </c>
      <c r="M829" t="n">
        <v>0</v>
      </c>
      <c r="N829" t="n">
        <v>0</v>
      </c>
      <c r="O829" t="n">
        <v>0</v>
      </c>
      <c r="P829" t="n">
        <v>0</v>
      </c>
      <c r="Q829" t="n">
        <v>0</v>
      </c>
      <c r="R829" s="2" t="inlineStr"/>
    </row>
    <row r="830" ht="15" customHeight="1">
      <c r="A830" t="inlineStr">
        <is>
          <t>A 16038-2022</t>
        </is>
      </c>
      <c r="B830" s="1" t="n">
        <v>44665</v>
      </c>
      <c r="C830" s="1" t="n">
        <v>45588</v>
      </c>
      <c r="D830" t="inlineStr">
        <is>
          <t>VÄSTERNORRLANDS LÄN</t>
        </is>
      </c>
      <c r="E830" t="inlineStr">
        <is>
          <t>ÅNGE</t>
        </is>
      </c>
      <c r="G830" t="n">
        <v>2.9</v>
      </c>
      <c r="H830" t="n">
        <v>0</v>
      </c>
      <c r="I830" t="n">
        <v>0</v>
      </c>
      <c r="J830" t="n">
        <v>0</v>
      </c>
      <c r="K830" t="n">
        <v>0</v>
      </c>
      <c r="L830" t="n">
        <v>0</v>
      </c>
      <c r="M830" t="n">
        <v>0</v>
      </c>
      <c r="N830" t="n">
        <v>0</v>
      </c>
      <c r="O830" t="n">
        <v>0</v>
      </c>
      <c r="P830" t="n">
        <v>0</v>
      </c>
      <c r="Q830" t="n">
        <v>0</v>
      </c>
      <c r="R830" s="2" t="inlineStr"/>
    </row>
    <row r="831" ht="15" customHeight="1">
      <c r="A831" t="inlineStr">
        <is>
          <t>A 16058-2022</t>
        </is>
      </c>
      <c r="B831" s="1" t="n">
        <v>44665</v>
      </c>
      <c r="C831" s="1" t="n">
        <v>45588</v>
      </c>
      <c r="D831" t="inlineStr">
        <is>
          <t>VÄSTERNORRLANDS LÄN</t>
        </is>
      </c>
      <c r="E831" t="inlineStr">
        <is>
          <t>ÅNGE</t>
        </is>
      </c>
      <c r="G831" t="n">
        <v>2.8</v>
      </c>
      <c r="H831" t="n">
        <v>0</v>
      </c>
      <c r="I831" t="n">
        <v>0</v>
      </c>
      <c r="J831" t="n">
        <v>0</v>
      </c>
      <c r="K831" t="n">
        <v>0</v>
      </c>
      <c r="L831" t="n">
        <v>0</v>
      </c>
      <c r="M831" t="n">
        <v>0</v>
      </c>
      <c r="N831" t="n">
        <v>0</v>
      </c>
      <c r="O831" t="n">
        <v>0</v>
      </c>
      <c r="P831" t="n">
        <v>0</v>
      </c>
      <c r="Q831" t="n">
        <v>0</v>
      </c>
      <c r="R831" s="2" t="inlineStr"/>
    </row>
    <row r="832" ht="15" customHeight="1">
      <c r="A832" t="inlineStr">
        <is>
          <t>A 17047-2022</t>
        </is>
      </c>
      <c r="B832" s="1" t="n">
        <v>44677</v>
      </c>
      <c r="C832" s="1" t="n">
        <v>45588</v>
      </c>
      <c r="D832" t="inlineStr">
        <is>
          <t>VÄSTERNORRLANDS LÄN</t>
        </is>
      </c>
      <c r="E832" t="inlineStr">
        <is>
          <t>ÅNGE</t>
        </is>
      </c>
      <c r="G832" t="n">
        <v>4.2</v>
      </c>
      <c r="H832" t="n">
        <v>0</v>
      </c>
      <c r="I832" t="n">
        <v>0</v>
      </c>
      <c r="J832" t="n">
        <v>0</v>
      </c>
      <c r="K832" t="n">
        <v>0</v>
      </c>
      <c r="L832" t="n">
        <v>0</v>
      </c>
      <c r="M832" t="n">
        <v>0</v>
      </c>
      <c r="N832" t="n">
        <v>0</v>
      </c>
      <c r="O832" t="n">
        <v>0</v>
      </c>
      <c r="P832" t="n">
        <v>0</v>
      </c>
      <c r="Q832" t="n">
        <v>0</v>
      </c>
      <c r="R832" s="2" t="inlineStr"/>
    </row>
    <row r="833" ht="15" customHeight="1">
      <c r="A833" t="inlineStr">
        <is>
          <t>A 17044-2022</t>
        </is>
      </c>
      <c r="B833" s="1" t="n">
        <v>44676</v>
      </c>
      <c r="C833" s="1" t="n">
        <v>45588</v>
      </c>
      <c r="D833" t="inlineStr">
        <is>
          <t>VÄSTERNORRLANDS LÄN</t>
        </is>
      </c>
      <c r="E833" t="inlineStr">
        <is>
          <t>ÅNGE</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17144-2022</t>
        </is>
      </c>
      <c r="B834" s="1" t="n">
        <v>44677</v>
      </c>
      <c r="C834" s="1" t="n">
        <v>45588</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17210-2022</t>
        </is>
      </c>
      <c r="B835" s="1" t="n">
        <v>44678</v>
      </c>
      <c r="C835" s="1" t="n">
        <v>45588</v>
      </c>
      <c r="D835" t="inlineStr">
        <is>
          <t>VÄSTERNORRLANDS LÄN</t>
        </is>
      </c>
      <c r="E835" t="inlineStr">
        <is>
          <t>ÅNGE</t>
        </is>
      </c>
      <c r="G835" t="n">
        <v>1.8</v>
      </c>
      <c r="H835" t="n">
        <v>0</v>
      </c>
      <c r="I835" t="n">
        <v>0</v>
      </c>
      <c r="J835" t="n">
        <v>0</v>
      </c>
      <c r="K835" t="n">
        <v>0</v>
      </c>
      <c r="L835" t="n">
        <v>0</v>
      </c>
      <c r="M835" t="n">
        <v>0</v>
      </c>
      <c r="N835" t="n">
        <v>0</v>
      </c>
      <c r="O835" t="n">
        <v>0</v>
      </c>
      <c r="P835" t="n">
        <v>0</v>
      </c>
      <c r="Q835" t="n">
        <v>0</v>
      </c>
      <c r="R835" s="2" t="inlineStr"/>
    </row>
    <row r="836" ht="15" customHeight="1">
      <c r="A836" t="inlineStr">
        <is>
          <t>A 17220-2022</t>
        </is>
      </c>
      <c r="B836" s="1" t="n">
        <v>44678</v>
      </c>
      <c r="C836" s="1" t="n">
        <v>45588</v>
      </c>
      <c r="D836" t="inlineStr">
        <is>
          <t>VÄSTERNORRLANDS LÄN</t>
        </is>
      </c>
      <c r="E836" t="inlineStr">
        <is>
          <t>ÅNGE</t>
        </is>
      </c>
      <c r="F836" t="inlineStr">
        <is>
          <t>SCA</t>
        </is>
      </c>
      <c r="G836" t="n">
        <v>19.7</v>
      </c>
      <c r="H836" t="n">
        <v>0</v>
      </c>
      <c r="I836" t="n">
        <v>0</v>
      </c>
      <c r="J836" t="n">
        <v>0</v>
      </c>
      <c r="K836" t="n">
        <v>0</v>
      </c>
      <c r="L836" t="n">
        <v>0</v>
      </c>
      <c r="M836" t="n">
        <v>0</v>
      </c>
      <c r="N836" t="n">
        <v>0</v>
      </c>
      <c r="O836" t="n">
        <v>0</v>
      </c>
      <c r="P836" t="n">
        <v>0</v>
      </c>
      <c r="Q836" t="n">
        <v>0</v>
      </c>
      <c r="R836" s="2" t="inlineStr"/>
    </row>
    <row r="837" ht="15" customHeight="1">
      <c r="A837" t="inlineStr">
        <is>
          <t>A 17242-2022</t>
        </is>
      </c>
      <c r="B837" s="1" t="n">
        <v>44679</v>
      </c>
      <c r="C837" s="1" t="n">
        <v>45588</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17580-2022</t>
        </is>
      </c>
      <c r="B838" s="1" t="n">
        <v>44679</v>
      </c>
      <c r="C838" s="1" t="n">
        <v>45588</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18020-2022</t>
        </is>
      </c>
      <c r="B839" s="1" t="n">
        <v>44684</v>
      </c>
      <c r="C839" s="1" t="n">
        <v>45588</v>
      </c>
      <c r="D839" t="inlineStr">
        <is>
          <t>VÄSTERNORRLANDS LÄN</t>
        </is>
      </c>
      <c r="E839" t="inlineStr">
        <is>
          <t>ÅNGE</t>
        </is>
      </c>
      <c r="F839" t="inlineStr">
        <is>
          <t>SCA</t>
        </is>
      </c>
      <c r="G839" t="n">
        <v>28.8</v>
      </c>
      <c r="H839" t="n">
        <v>0</v>
      </c>
      <c r="I839" t="n">
        <v>0</v>
      </c>
      <c r="J839" t="n">
        <v>0</v>
      </c>
      <c r="K839" t="n">
        <v>0</v>
      </c>
      <c r="L839" t="n">
        <v>0</v>
      </c>
      <c r="M839" t="n">
        <v>0</v>
      </c>
      <c r="N839" t="n">
        <v>0</v>
      </c>
      <c r="O839" t="n">
        <v>0</v>
      </c>
      <c r="P839" t="n">
        <v>0</v>
      </c>
      <c r="Q839" t="n">
        <v>0</v>
      </c>
      <c r="R839" s="2" t="inlineStr"/>
    </row>
    <row r="840" ht="15" customHeight="1">
      <c r="A840" t="inlineStr">
        <is>
          <t>A 18024-2022</t>
        </is>
      </c>
      <c r="B840" s="1" t="n">
        <v>44684</v>
      </c>
      <c r="C840" s="1" t="n">
        <v>45588</v>
      </c>
      <c r="D840" t="inlineStr">
        <is>
          <t>VÄSTERNORRLANDS LÄN</t>
        </is>
      </c>
      <c r="E840" t="inlineStr">
        <is>
          <t>ÅNGE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17963-2022</t>
        </is>
      </c>
      <c r="B841" s="1" t="n">
        <v>44683</v>
      </c>
      <c r="C841" s="1" t="n">
        <v>45588</v>
      </c>
      <c r="D841" t="inlineStr">
        <is>
          <t>VÄSTERNORRLANDS LÄN</t>
        </is>
      </c>
      <c r="E841" t="inlineStr">
        <is>
          <t>ÅNGE</t>
        </is>
      </c>
      <c r="G841" t="n">
        <v>0.2</v>
      </c>
      <c r="H841" t="n">
        <v>0</v>
      </c>
      <c r="I841" t="n">
        <v>0</v>
      </c>
      <c r="J841" t="n">
        <v>0</v>
      </c>
      <c r="K841" t="n">
        <v>0</v>
      </c>
      <c r="L841" t="n">
        <v>0</v>
      </c>
      <c r="M841" t="n">
        <v>0</v>
      </c>
      <c r="N841" t="n">
        <v>0</v>
      </c>
      <c r="O841" t="n">
        <v>0</v>
      </c>
      <c r="P841" t="n">
        <v>0</v>
      </c>
      <c r="Q841" t="n">
        <v>0</v>
      </c>
      <c r="R841" s="2" t="inlineStr"/>
    </row>
    <row r="842" ht="15" customHeight="1">
      <c r="A842" t="inlineStr">
        <is>
          <t>A 18562-2022</t>
        </is>
      </c>
      <c r="B842" s="1" t="n">
        <v>44686</v>
      </c>
      <c r="C842" s="1" t="n">
        <v>45588</v>
      </c>
      <c r="D842" t="inlineStr">
        <is>
          <t>VÄSTERNORRLANDS LÄN</t>
        </is>
      </c>
      <c r="E842" t="inlineStr">
        <is>
          <t>ÅNGE</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18542-2022</t>
        </is>
      </c>
      <c r="B843" s="1" t="n">
        <v>44686</v>
      </c>
      <c r="C843" s="1" t="n">
        <v>45588</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18989-2022</t>
        </is>
      </c>
      <c r="B844" s="1" t="n">
        <v>44690</v>
      </c>
      <c r="C844" s="1" t="n">
        <v>45588</v>
      </c>
      <c r="D844" t="inlineStr">
        <is>
          <t>VÄSTERNORRLANDS LÄN</t>
        </is>
      </c>
      <c r="E844" t="inlineStr">
        <is>
          <t>ÅNGE</t>
        </is>
      </c>
      <c r="F844" t="inlineStr">
        <is>
          <t>SCA</t>
        </is>
      </c>
      <c r="G844" t="n">
        <v>37.8</v>
      </c>
      <c r="H844" t="n">
        <v>0</v>
      </c>
      <c r="I844" t="n">
        <v>0</v>
      </c>
      <c r="J844" t="n">
        <v>0</v>
      </c>
      <c r="K844" t="n">
        <v>0</v>
      </c>
      <c r="L844" t="n">
        <v>0</v>
      </c>
      <c r="M844" t="n">
        <v>0</v>
      </c>
      <c r="N844" t="n">
        <v>0</v>
      </c>
      <c r="O844" t="n">
        <v>0</v>
      </c>
      <c r="P844" t="n">
        <v>0</v>
      </c>
      <c r="Q844" t="n">
        <v>0</v>
      </c>
      <c r="R844" s="2" t="inlineStr"/>
      <c r="U844">
        <f>HYPERLINK("https://klasma.github.io/Logging_2260/knärot/A 18989-2022 karta knärot.png", "A 18989-2022")</f>
        <v/>
      </c>
      <c r="V844">
        <f>HYPERLINK("https://klasma.github.io/Logging_2260/klagomål/A 18989-2022 FSC-klagomål.docx", "A 18989-2022")</f>
        <v/>
      </c>
      <c r="W844">
        <f>HYPERLINK("https://klasma.github.io/Logging_2260/klagomålsmail/A 18989-2022 FSC-klagomål mail.docx", "A 18989-2022")</f>
        <v/>
      </c>
      <c r="X844">
        <f>HYPERLINK("https://klasma.github.io/Logging_2260/tillsyn/A 18989-2022 tillsynsbegäran.docx", "A 18989-2022")</f>
        <v/>
      </c>
      <c r="Y844">
        <f>HYPERLINK("https://klasma.github.io/Logging_2260/tillsynsmail/A 18989-2022 tillsynsbegäran mail.docx", "A 18989-2022")</f>
        <v/>
      </c>
    </row>
    <row r="845" ht="15" customHeight="1">
      <c r="A845" t="inlineStr">
        <is>
          <t>A 19166-2022</t>
        </is>
      </c>
      <c r="B845" s="1" t="n">
        <v>44691</v>
      </c>
      <c r="C845" s="1" t="n">
        <v>45588</v>
      </c>
      <c r="D845" t="inlineStr">
        <is>
          <t>VÄSTERNORRLANDS LÄN</t>
        </is>
      </c>
      <c r="E845" t="inlineStr">
        <is>
          <t>ÅNGE</t>
        </is>
      </c>
      <c r="F845" t="inlineStr">
        <is>
          <t>Holmen skog AB</t>
        </is>
      </c>
      <c r="G845" t="n">
        <v>5.4</v>
      </c>
      <c r="H845" t="n">
        <v>0</v>
      </c>
      <c r="I845" t="n">
        <v>0</v>
      </c>
      <c r="J845" t="n">
        <v>0</v>
      </c>
      <c r="K845" t="n">
        <v>0</v>
      </c>
      <c r="L845" t="n">
        <v>0</v>
      </c>
      <c r="M845" t="n">
        <v>0</v>
      </c>
      <c r="N845" t="n">
        <v>0</v>
      </c>
      <c r="O845" t="n">
        <v>0</v>
      </c>
      <c r="P845" t="n">
        <v>0</v>
      </c>
      <c r="Q845" t="n">
        <v>0</v>
      </c>
      <c r="R845" s="2" t="inlineStr"/>
    </row>
    <row r="846" ht="15" customHeight="1">
      <c r="A846" t="inlineStr">
        <is>
          <t>A 19035-2022</t>
        </is>
      </c>
      <c r="B846" s="1" t="n">
        <v>44691</v>
      </c>
      <c r="C846" s="1" t="n">
        <v>45588</v>
      </c>
      <c r="D846" t="inlineStr">
        <is>
          <t>VÄSTERNORRLANDS LÄN</t>
        </is>
      </c>
      <c r="E846" t="inlineStr">
        <is>
          <t>ÅNGE</t>
        </is>
      </c>
      <c r="G846" t="n">
        <v>1.9</v>
      </c>
      <c r="H846" t="n">
        <v>0</v>
      </c>
      <c r="I846" t="n">
        <v>0</v>
      </c>
      <c r="J846" t="n">
        <v>0</v>
      </c>
      <c r="K846" t="n">
        <v>0</v>
      </c>
      <c r="L846" t="n">
        <v>0</v>
      </c>
      <c r="M846" t="n">
        <v>0</v>
      </c>
      <c r="N846" t="n">
        <v>0</v>
      </c>
      <c r="O846" t="n">
        <v>0</v>
      </c>
      <c r="P846" t="n">
        <v>0</v>
      </c>
      <c r="Q846" t="n">
        <v>0</v>
      </c>
      <c r="R846" s="2" t="inlineStr"/>
    </row>
    <row r="847" ht="15" customHeight="1">
      <c r="A847" t="inlineStr">
        <is>
          <t>A 19236-2022</t>
        </is>
      </c>
      <c r="B847" s="1" t="n">
        <v>44692</v>
      </c>
      <c r="C847" s="1" t="n">
        <v>45588</v>
      </c>
      <c r="D847" t="inlineStr">
        <is>
          <t>VÄSTERNORRLANDS LÄN</t>
        </is>
      </c>
      <c r="E847" t="inlineStr">
        <is>
          <t>ÅNGE</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19592-2022</t>
        </is>
      </c>
      <c r="B848" s="1" t="n">
        <v>44694</v>
      </c>
      <c r="C848" s="1" t="n">
        <v>45588</v>
      </c>
      <c r="D848" t="inlineStr">
        <is>
          <t>VÄSTERNORRLANDS LÄN</t>
        </is>
      </c>
      <c r="E848" t="inlineStr">
        <is>
          <t>ÅNGE</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20231-2022</t>
        </is>
      </c>
      <c r="B849" s="1" t="n">
        <v>44698</v>
      </c>
      <c r="C849" s="1" t="n">
        <v>45588</v>
      </c>
      <c r="D849" t="inlineStr">
        <is>
          <t>VÄSTERNORRLANDS LÄN</t>
        </is>
      </c>
      <c r="E849" t="inlineStr">
        <is>
          <t>ÅNGE</t>
        </is>
      </c>
      <c r="G849" t="n">
        <v>4.2</v>
      </c>
      <c r="H849" t="n">
        <v>0</v>
      </c>
      <c r="I849" t="n">
        <v>0</v>
      </c>
      <c r="J849" t="n">
        <v>0</v>
      </c>
      <c r="K849" t="n">
        <v>0</v>
      </c>
      <c r="L849" t="n">
        <v>0</v>
      </c>
      <c r="M849" t="n">
        <v>0</v>
      </c>
      <c r="N849" t="n">
        <v>0</v>
      </c>
      <c r="O849" t="n">
        <v>0</v>
      </c>
      <c r="P849" t="n">
        <v>0</v>
      </c>
      <c r="Q849" t="n">
        <v>0</v>
      </c>
      <c r="R849" s="2" t="inlineStr"/>
    </row>
    <row r="850" ht="15" customHeight="1">
      <c r="A850" t="inlineStr">
        <is>
          <t>A 20229-2022</t>
        </is>
      </c>
      <c r="B850" s="1" t="n">
        <v>44698</v>
      </c>
      <c r="C850" s="1" t="n">
        <v>45588</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20369-2022</t>
        </is>
      </c>
      <c r="B851" s="1" t="n">
        <v>44699</v>
      </c>
      <c r="C851" s="1" t="n">
        <v>45588</v>
      </c>
      <c r="D851" t="inlineStr">
        <is>
          <t>VÄSTERNORRLANDS LÄN</t>
        </is>
      </c>
      <c r="E851" t="inlineStr">
        <is>
          <t>ÅNGE</t>
        </is>
      </c>
      <c r="G851" t="n">
        <v>5.5</v>
      </c>
      <c r="H851" t="n">
        <v>0</v>
      </c>
      <c r="I851" t="n">
        <v>0</v>
      </c>
      <c r="J851" t="n">
        <v>0</v>
      </c>
      <c r="K851" t="n">
        <v>0</v>
      </c>
      <c r="L851" t="n">
        <v>0</v>
      </c>
      <c r="M851" t="n">
        <v>0</v>
      </c>
      <c r="N851" t="n">
        <v>0</v>
      </c>
      <c r="O851" t="n">
        <v>0</v>
      </c>
      <c r="P851" t="n">
        <v>0</v>
      </c>
      <c r="Q851" t="n">
        <v>0</v>
      </c>
      <c r="R851" s="2" t="inlineStr"/>
    </row>
    <row r="852" ht="15" customHeight="1">
      <c r="A852" t="inlineStr">
        <is>
          <t>A 20393-2022</t>
        </is>
      </c>
      <c r="B852" s="1" t="n">
        <v>44699</v>
      </c>
      <c r="C852" s="1" t="n">
        <v>45588</v>
      </c>
      <c r="D852" t="inlineStr">
        <is>
          <t>VÄSTERNORRLANDS LÄN</t>
        </is>
      </c>
      <c r="E852" t="inlineStr">
        <is>
          <t>ÅNGE</t>
        </is>
      </c>
      <c r="G852" t="n">
        <v>6.9</v>
      </c>
      <c r="H852" t="n">
        <v>0</v>
      </c>
      <c r="I852" t="n">
        <v>0</v>
      </c>
      <c r="J852" t="n">
        <v>0</v>
      </c>
      <c r="K852" t="n">
        <v>0</v>
      </c>
      <c r="L852" t="n">
        <v>0</v>
      </c>
      <c r="M852" t="n">
        <v>0</v>
      </c>
      <c r="N852" t="n">
        <v>0</v>
      </c>
      <c r="O852" t="n">
        <v>0</v>
      </c>
      <c r="P852" t="n">
        <v>0</v>
      </c>
      <c r="Q852" t="n">
        <v>0</v>
      </c>
      <c r="R852" s="2" t="inlineStr"/>
    </row>
    <row r="853" ht="15" customHeight="1">
      <c r="A853" t="inlineStr">
        <is>
          <t>A 20943-2022</t>
        </is>
      </c>
      <c r="B853" s="1" t="n">
        <v>44701</v>
      </c>
      <c r="C853" s="1" t="n">
        <v>45588</v>
      </c>
      <c r="D853" t="inlineStr">
        <is>
          <t>VÄSTERNORRLANDS LÄN</t>
        </is>
      </c>
      <c r="E853" t="inlineStr">
        <is>
          <t>ÅNGE</t>
        </is>
      </c>
      <c r="G853" t="n">
        <v>0.5</v>
      </c>
      <c r="H853" t="n">
        <v>0</v>
      </c>
      <c r="I853" t="n">
        <v>0</v>
      </c>
      <c r="J853" t="n">
        <v>0</v>
      </c>
      <c r="K853" t="n">
        <v>0</v>
      </c>
      <c r="L853" t="n">
        <v>0</v>
      </c>
      <c r="M853" t="n">
        <v>0</v>
      </c>
      <c r="N853" t="n">
        <v>0</v>
      </c>
      <c r="O853" t="n">
        <v>0</v>
      </c>
      <c r="P853" t="n">
        <v>0</v>
      </c>
      <c r="Q853" t="n">
        <v>0</v>
      </c>
      <c r="R853" s="2" t="inlineStr"/>
    </row>
    <row r="854" ht="15" customHeight="1">
      <c r="A854" t="inlineStr">
        <is>
          <t>A 21412-2022</t>
        </is>
      </c>
      <c r="B854" s="1" t="n">
        <v>44705</v>
      </c>
      <c r="C854" s="1" t="n">
        <v>45588</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21406-2022</t>
        </is>
      </c>
      <c r="B855" s="1" t="n">
        <v>44706</v>
      </c>
      <c r="C855" s="1" t="n">
        <v>45588</v>
      </c>
      <c r="D855" t="inlineStr">
        <is>
          <t>VÄSTERNORRLANDS LÄN</t>
        </is>
      </c>
      <c r="E855" t="inlineStr">
        <is>
          <t>ÅNGE</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21409-2022</t>
        </is>
      </c>
      <c r="B856" s="1" t="n">
        <v>44706</v>
      </c>
      <c r="C856" s="1" t="n">
        <v>45588</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21740-2022</t>
        </is>
      </c>
      <c r="B857" s="1" t="n">
        <v>44708</v>
      </c>
      <c r="C857" s="1" t="n">
        <v>45588</v>
      </c>
      <c r="D857" t="inlineStr">
        <is>
          <t>VÄSTERNORRLANDS LÄN</t>
        </is>
      </c>
      <c r="E857" t="inlineStr">
        <is>
          <t>ÅNGE</t>
        </is>
      </c>
      <c r="G857" t="n">
        <v>2</v>
      </c>
      <c r="H857" t="n">
        <v>0</v>
      </c>
      <c r="I857" t="n">
        <v>0</v>
      </c>
      <c r="J857" t="n">
        <v>0</v>
      </c>
      <c r="K857" t="n">
        <v>0</v>
      </c>
      <c r="L857" t="n">
        <v>0</v>
      </c>
      <c r="M857" t="n">
        <v>0</v>
      </c>
      <c r="N857" t="n">
        <v>0</v>
      </c>
      <c r="O857" t="n">
        <v>0</v>
      </c>
      <c r="P857" t="n">
        <v>0</v>
      </c>
      <c r="Q857" t="n">
        <v>0</v>
      </c>
      <c r="R857" s="2" t="inlineStr"/>
    </row>
    <row r="858" ht="15" customHeight="1">
      <c r="A858" t="inlineStr">
        <is>
          <t>A 21744-2022</t>
        </is>
      </c>
      <c r="B858" s="1" t="n">
        <v>44708</v>
      </c>
      <c r="C858" s="1" t="n">
        <v>45588</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23999-2022</t>
        </is>
      </c>
      <c r="B859" s="1" t="n">
        <v>44723</v>
      </c>
      <c r="C859" s="1" t="n">
        <v>45588</v>
      </c>
      <c r="D859" t="inlineStr">
        <is>
          <t>VÄSTERNORRLANDS LÄN</t>
        </is>
      </c>
      <c r="E859" t="inlineStr">
        <is>
          <t>ÅNGE</t>
        </is>
      </c>
      <c r="F859" t="inlineStr">
        <is>
          <t>SCA</t>
        </is>
      </c>
      <c r="G859" t="n">
        <v>4.9</v>
      </c>
      <c r="H859" t="n">
        <v>0</v>
      </c>
      <c r="I859" t="n">
        <v>0</v>
      </c>
      <c r="J859" t="n">
        <v>0</v>
      </c>
      <c r="K859" t="n">
        <v>0</v>
      </c>
      <c r="L859" t="n">
        <v>0</v>
      </c>
      <c r="M859" t="n">
        <v>0</v>
      </c>
      <c r="N859" t="n">
        <v>0</v>
      </c>
      <c r="O859" t="n">
        <v>0</v>
      </c>
      <c r="P859" t="n">
        <v>0</v>
      </c>
      <c r="Q859" t="n">
        <v>0</v>
      </c>
      <c r="R859" s="2" t="inlineStr"/>
    </row>
    <row r="860" ht="15" customHeight="1">
      <c r="A860" t="inlineStr">
        <is>
          <t>A 24324-2022</t>
        </is>
      </c>
      <c r="B860" s="1" t="n">
        <v>44726</v>
      </c>
      <c r="C860" s="1" t="n">
        <v>45588</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24325-2022</t>
        </is>
      </c>
      <c r="B861" s="1" t="n">
        <v>44726</v>
      </c>
      <c r="C861" s="1" t="n">
        <v>45588</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24355-2022</t>
        </is>
      </c>
      <c r="B862" s="1" t="n">
        <v>44726</v>
      </c>
      <c r="C862" s="1" t="n">
        <v>45588</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24353-2022</t>
        </is>
      </c>
      <c r="B863" s="1" t="n">
        <v>44726</v>
      </c>
      <c r="C863" s="1" t="n">
        <v>45588</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24527-2022</t>
        </is>
      </c>
      <c r="B864" s="1" t="n">
        <v>44726</v>
      </c>
      <c r="C864" s="1" t="n">
        <v>45588</v>
      </c>
      <c r="D864" t="inlineStr">
        <is>
          <t>VÄSTERNORRLANDS LÄN</t>
        </is>
      </c>
      <c r="E864" t="inlineStr">
        <is>
          <t>ÅNGE</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25023-2022</t>
        </is>
      </c>
      <c r="B865" s="1" t="n">
        <v>44728</v>
      </c>
      <c r="C865" s="1" t="n">
        <v>45588</v>
      </c>
      <c r="D865" t="inlineStr">
        <is>
          <t>VÄSTERNORRLANDS LÄN</t>
        </is>
      </c>
      <c r="E865" t="inlineStr">
        <is>
          <t>ÅNGE</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25903-2022</t>
        </is>
      </c>
      <c r="B866" s="1" t="n">
        <v>44733</v>
      </c>
      <c r="C866" s="1" t="n">
        <v>45588</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25900-2022</t>
        </is>
      </c>
      <c r="B867" s="1" t="n">
        <v>44734</v>
      </c>
      <c r="C867" s="1" t="n">
        <v>45588</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25973-2022</t>
        </is>
      </c>
      <c r="B868" s="1" t="n">
        <v>44734</v>
      </c>
      <c r="C868" s="1" t="n">
        <v>45588</v>
      </c>
      <c r="D868" t="inlineStr">
        <is>
          <t>VÄSTERNORRLANDS LÄN</t>
        </is>
      </c>
      <c r="E868" t="inlineStr">
        <is>
          <t>ÅNGE</t>
        </is>
      </c>
      <c r="G868" t="n">
        <v>4.1</v>
      </c>
      <c r="H868" t="n">
        <v>0</v>
      </c>
      <c r="I868" t="n">
        <v>0</v>
      </c>
      <c r="J868" t="n">
        <v>0</v>
      </c>
      <c r="K868" t="n">
        <v>0</v>
      </c>
      <c r="L868" t="n">
        <v>0</v>
      </c>
      <c r="M868" t="n">
        <v>0</v>
      </c>
      <c r="N868" t="n">
        <v>0</v>
      </c>
      <c r="O868" t="n">
        <v>0</v>
      </c>
      <c r="P868" t="n">
        <v>0</v>
      </c>
      <c r="Q868" t="n">
        <v>0</v>
      </c>
      <c r="R868" s="2" t="inlineStr"/>
    </row>
    <row r="869" ht="15" customHeight="1">
      <c r="A869" t="inlineStr">
        <is>
          <t>A 26489-2022</t>
        </is>
      </c>
      <c r="B869" s="1" t="n">
        <v>44739</v>
      </c>
      <c r="C869" s="1" t="n">
        <v>45588</v>
      </c>
      <c r="D869" t="inlineStr">
        <is>
          <t>VÄSTERNORRLANDS LÄN</t>
        </is>
      </c>
      <c r="E869" t="inlineStr">
        <is>
          <t>ÅNGE</t>
        </is>
      </c>
      <c r="F869" t="inlineStr">
        <is>
          <t>Sveaskog</t>
        </is>
      </c>
      <c r="G869" t="n">
        <v>18.5</v>
      </c>
      <c r="H869" t="n">
        <v>0</v>
      </c>
      <c r="I869" t="n">
        <v>0</v>
      </c>
      <c r="J869" t="n">
        <v>0</v>
      </c>
      <c r="K869" t="n">
        <v>0</v>
      </c>
      <c r="L869" t="n">
        <v>0</v>
      </c>
      <c r="M869" t="n">
        <v>0</v>
      </c>
      <c r="N869" t="n">
        <v>0</v>
      </c>
      <c r="O869" t="n">
        <v>0</v>
      </c>
      <c r="P869" t="n">
        <v>0</v>
      </c>
      <c r="Q869" t="n">
        <v>0</v>
      </c>
      <c r="R869" s="2" t="inlineStr"/>
    </row>
    <row r="870" ht="15" customHeight="1">
      <c r="A870" t="inlineStr">
        <is>
          <t>A 26676-2022</t>
        </is>
      </c>
      <c r="B870" s="1" t="n">
        <v>44739</v>
      </c>
      <c r="C870" s="1" t="n">
        <v>45588</v>
      </c>
      <c r="D870" t="inlineStr">
        <is>
          <t>VÄSTERNORRLANDS LÄN</t>
        </is>
      </c>
      <c r="E870" t="inlineStr">
        <is>
          <t>ÅNGE</t>
        </is>
      </c>
      <c r="F870" t="inlineStr">
        <is>
          <t>Sveaskog</t>
        </is>
      </c>
      <c r="G870" t="n">
        <v>2.6</v>
      </c>
      <c r="H870" t="n">
        <v>0</v>
      </c>
      <c r="I870" t="n">
        <v>0</v>
      </c>
      <c r="J870" t="n">
        <v>0</v>
      </c>
      <c r="K870" t="n">
        <v>0</v>
      </c>
      <c r="L870" t="n">
        <v>0</v>
      </c>
      <c r="M870" t="n">
        <v>0</v>
      </c>
      <c r="N870" t="n">
        <v>0</v>
      </c>
      <c r="O870" t="n">
        <v>0</v>
      </c>
      <c r="P870" t="n">
        <v>0</v>
      </c>
      <c r="Q870" t="n">
        <v>0</v>
      </c>
      <c r="R870" s="2" t="inlineStr"/>
    </row>
    <row r="871" ht="15" customHeight="1">
      <c r="A871" t="inlineStr">
        <is>
          <t>A 26498-2022</t>
        </is>
      </c>
      <c r="B871" s="1" t="n">
        <v>44739</v>
      </c>
      <c r="C871" s="1" t="n">
        <v>45588</v>
      </c>
      <c r="D871" t="inlineStr">
        <is>
          <t>VÄSTERNORRLANDS LÄN</t>
        </is>
      </c>
      <c r="E871" t="inlineStr">
        <is>
          <t>ÅNGE</t>
        </is>
      </c>
      <c r="F871" t="inlineStr">
        <is>
          <t>Sveaskog</t>
        </is>
      </c>
      <c r="G871" t="n">
        <v>6.9</v>
      </c>
      <c r="H871" t="n">
        <v>0</v>
      </c>
      <c r="I871" t="n">
        <v>0</v>
      </c>
      <c r="J871" t="n">
        <v>0</v>
      </c>
      <c r="K871" t="n">
        <v>0</v>
      </c>
      <c r="L871" t="n">
        <v>0</v>
      </c>
      <c r="M871" t="n">
        <v>0</v>
      </c>
      <c r="N871" t="n">
        <v>0</v>
      </c>
      <c r="O871" t="n">
        <v>0</v>
      </c>
      <c r="P871" t="n">
        <v>0</v>
      </c>
      <c r="Q871" t="n">
        <v>0</v>
      </c>
      <c r="R871" s="2" t="inlineStr"/>
    </row>
    <row r="872" ht="15" customHeight="1">
      <c r="A872" t="inlineStr">
        <is>
          <t>A 27357-2022</t>
        </is>
      </c>
      <c r="B872" s="1" t="n">
        <v>44742</v>
      </c>
      <c r="C872" s="1" t="n">
        <v>45588</v>
      </c>
      <c r="D872" t="inlineStr">
        <is>
          <t>VÄSTERNORRLANDS LÄN</t>
        </is>
      </c>
      <c r="E872" t="inlineStr">
        <is>
          <t>ÅNGE</t>
        </is>
      </c>
      <c r="F872" t="inlineStr">
        <is>
          <t>Holmen skog AB</t>
        </is>
      </c>
      <c r="G872" t="n">
        <v>8</v>
      </c>
      <c r="H872" t="n">
        <v>0</v>
      </c>
      <c r="I872" t="n">
        <v>0</v>
      </c>
      <c r="J872" t="n">
        <v>0</v>
      </c>
      <c r="K872" t="n">
        <v>0</v>
      </c>
      <c r="L872" t="n">
        <v>0</v>
      </c>
      <c r="M872" t="n">
        <v>0</v>
      </c>
      <c r="N872" t="n">
        <v>0</v>
      </c>
      <c r="O872" t="n">
        <v>0</v>
      </c>
      <c r="P872" t="n">
        <v>0</v>
      </c>
      <c r="Q872" t="n">
        <v>0</v>
      </c>
      <c r="R872" s="2" t="inlineStr"/>
    </row>
    <row r="873" ht="15" customHeight="1">
      <c r="A873" t="inlineStr">
        <is>
          <t>A 27588-2022</t>
        </is>
      </c>
      <c r="B873" s="1" t="n">
        <v>44743</v>
      </c>
      <c r="C873" s="1" t="n">
        <v>45588</v>
      </c>
      <c r="D873" t="inlineStr">
        <is>
          <t>VÄSTERNORRLANDS LÄN</t>
        </is>
      </c>
      <c r="E873" t="inlineStr">
        <is>
          <t>ÅNGE</t>
        </is>
      </c>
      <c r="F873" t="inlineStr">
        <is>
          <t>SCA</t>
        </is>
      </c>
      <c r="G873" t="n">
        <v>17.2</v>
      </c>
      <c r="H873" t="n">
        <v>0</v>
      </c>
      <c r="I873" t="n">
        <v>0</v>
      </c>
      <c r="J873" t="n">
        <v>0</v>
      </c>
      <c r="K873" t="n">
        <v>0</v>
      </c>
      <c r="L873" t="n">
        <v>0</v>
      </c>
      <c r="M873" t="n">
        <v>0</v>
      </c>
      <c r="N873" t="n">
        <v>0</v>
      </c>
      <c r="O873" t="n">
        <v>0</v>
      </c>
      <c r="P873" t="n">
        <v>0</v>
      </c>
      <c r="Q873" t="n">
        <v>0</v>
      </c>
      <c r="R873" s="2" t="inlineStr"/>
    </row>
    <row r="874" ht="15" customHeight="1">
      <c r="A874" t="inlineStr">
        <is>
          <t>A 29221-2022</t>
        </is>
      </c>
      <c r="B874" s="1" t="n">
        <v>44750</v>
      </c>
      <c r="C874" s="1" t="n">
        <v>45588</v>
      </c>
      <c r="D874" t="inlineStr">
        <is>
          <t>VÄSTERNORRLANDS LÄN</t>
        </is>
      </c>
      <c r="E874" t="inlineStr">
        <is>
          <t>ÅNGE</t>
        </is>
      </c>
      <c r="F874" t="inlineStr">
        <is>
          <t>Holmen skog AB</t>
        </is>
      </c>
      <c r="G874" t="n">
        <v>4</v>
      </c>
      <c r="H874" t="n">
        <v>0</v>
      </c>
      <c r="I874" t="n">
        <v>0</v>
      </c>
      <c r="J874" t="n">
        <v>0</v>
      </c>
      <c r="K874" t="n">
        <v>0</v>
      </c>
      <c r="L874" t="n">
        <v>0</v>
      </c>
      <c r="M874" t="n">
        <v>0</v>
      </c>
      <c r="N874" t="n">
        <v>0</v>
      </c>
      <c r="O874" t="n">
        <v>0</v>
      </c>
      <c r="P874" t="n">
        <v>0</v>
      </c>
      <c r="Q874" t="n">
        <v>0</v>
      </c>
      <c r="R874" s="2" t="inlineStr"/>
    </row>
    <row r="875" ht="15" customHeight="1">
      <c r="A875" t="inlineStr">
        <is>
          <t>A 29216-2022</t>
        </is>
      </c>
      <c r="B875" s="1" t="n">
        <v>44750</v>
      </c>
      <c r="C875" s="1" t="n">
        <v>45588</v>
      </c>
      <c r="D875" t="inlineStr">
        <is>
          <t>VÄSTERNORRLANDS LÄN</t>
        </is>
      </c>
      <c r="E875" t="inlineStr">
        <is>
          <t>ÅNGE</t>
        </is>
      </c>
      <c r="G875" t="n">
        <v>0.7</v>
      </c>
      <c r="H875" t="n">
        <v>0</v>
      </c>
      <c r="I875" t="n">
        <v>0</v>
      </c>
      <c r="J875" t="n">
        <v>0</v>
      </c>
      <c r="K875" t="n">
        <v>0</v>
      </c>
      <c r="L875" t="n">
        <v>0</v>
      </c>
      <c r="M875" t="n">
        <v>0</v>
      </c>
      <c r="N875" t="n">
        <v>0</v>
      </c>
      <c r="O875" t="n">
        <v>0</v>
      </c>
      <c r="P875" t="n">
        <v>0</v>
      </c>
      <c r="Q875" t="n">
        <v>0</v>
      </c>
      <c r="R875" s="2" t="inlineStr"/>
    </row>
    <row r="876" ht="15" customHeight="1">
      <c r="A876" t="inlineStr">
        <is>
          <t>A 29500-2022</t>
        </is>
      </c>
      <c r="B876" s="1" t="n">
        <v>44753</v>
      </c>
      <c r="C876" s="1" t="n">
        <v>45588</v>
      </c>
      <c r="D876" t="inlineStr">
        <is>
          <t>VÄSTERNORRLANDS LÄN</t>
        </is>
      </c>
      <c r="E876" t="inlineStr">
        <is>
          <t>ÅNGE</t>
        </is>
      </c>
      <c r="F876" t="inlineStr">
        <is>
          <t>Sveaskog</t>
        </is>
      </c>
      <c r="G876" t="n">
        <v>5.5</v>
      </c>
      <c r="H876" t="n">
        <v>0</v>
      </c>
      <c r="I876" t="n">
        <v>0</v>
      </c>
      <c r="J876" t="n">
        <v>0</v>
      </c>
      <c r="K876" t="n">
        <v>0</v>
      </c>
      <c r="L876" t="n">
        <v>0</v>
      </c>
      <c r="M876" t="n">
        <v>0</v>
      </c>
      <c r="N876" t="n">
        <v>0</v>
      </c>
      <c r="O876" t="n">
        <v>0</v>
      </c>
      <c r="P876" t="n">
        <v>0</v>
      </c>
      <c r="Q876" t="n">
        <v>0</v>
      </c>
      <c r="R876" s="2" t="inlineStr"/>
    </row>
    <row r="877" ht="15" customHeight="1">
      <c r="A877" t="inlineStr">
        <is>
          <t>A 29824-2022</t>
        </is>
      </c>
      <c r="B877" s="1" t="n">
        <v>44756</v>
      </c>
      <c r="C877" s="1" t="n">
        <v>45588</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29831-2022</t>
        </is>
      </c>
      <c r="B878" s="1" t="n">
        <v>44756</v>
      </c>
      <c r="C878" s="1" t="n">
        <v>45588</v>
      </c>
      <c r="D878" t="inlineStr">
        <is>
          <t>VÄSTERNORRLANDS LÄN</t>
        </is>
      </c>
      <c r="E878" t="inlineStr">
        <is>
          <t>ÅNGE</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29832-2022</t>
        </is>
      </c>
      <c r="B879" s="1" t="n">
        <v>44756</v>
      </c>
      <c r="C879" s="1" t="n">
        <v>45588</v>
      </c>
      <c r="D879" t="inlineStr">
        <is>
          <t>VÄSTERNORRLANDS LÄN</t>
        </is>
      </c>
      <c r="E879" t="inlineStr">
        <is>
          <t>ÅNGE</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30221-2022</t>
        </is>
      </c>
      <c r="B880" s="1" t="n">
        <v>44757</v>
      </c>
      <c r="C880" s="1" t="n">
        <v>45588</v>
      </c>
      <c r="D880" t="inlineStr">
        <is>
          <t>VÄSTERNORRLANDS LÄN</t>
        </is>
      </c>
      <c r="E880" t="inlineStr">
        <is>
          <t>ÅNGE</t>
        </is>
      </c>
      <c r="F880" t="inlineStr">
        <is>
          <t>SCA</t>
        </is>
      </c>
      <c r="G880" t="n">
        <v>6.8</v>
      </c>
      <c r="H880" t="n">
        <v>0</v>
      </c>
      <c r="I880" t="n">
        <v>0</v>
      </c>
      <c r="J880" t="n">
        <v>0</v>
      </c>
      <c r="K880" t="n">
        <v>0</v>
      </c>
      <c r="L880" t="n">
        <v>0</v>
      </c>
      <c r="M880" t="n">
        <v>0</v>
      </c>
      <c r="N880" t="n">
        <v>0</v>
      </c>
      <c r="O880" t="n">
        <v>0</v>
      </c>
      <c r="P880" t="n">
        <v>0</v>
      </c>
      <c r="Q880" t="n">
        <v>0</v>
      </c>
      <c r="R880" s="2" t="inlineStr"/>
    </row>
    <row r="881" ht="15" customHeight="1">
      <c r="A881" t="inlineStr">
        <is>
          <t>A 30358-2022</t>
        </is>
      </c>
      <c r="B881" s="1" t="n">
        <v>44760</v>
      </c>
      <c r="C881" s="1" t="n">
        <v>45588</v>
      </c>
      <c r="D881" t="inlineStr">
        <is>
          <t>VÄSTERNORRLANDS LÄN</t>
        </is>
      </c>
      <c r="E881" t="inlineStr">
        <is>
          <t>ÅNGE</t>
        </is>
      </c>
      <c r="G881" t="n">
        <v>3.8</v>
      </c>
      <c r="H881" t="n">
        <v>0</v>
      </c>
      <c r="I881" t="n">
        <v>0</v>
      </c>
      <c r="J881" t="n">
        <v>0</v>
      </c>
      <c r="K881" t="n">
        <v>0</v>
      </c>
      <c r="L881" t="n">
        <v>0</v>
      </c>
      <c r="M881" t="n">
        <v>0</v>
      </c>
      <c r="N881" t="n">
        <v>0</v>
      </c>
      <c r="O881" t="n">
        <v>0</v>
      </c>
      <c r="P881" t="n">
        <v>0</v>
      </c>
      <c r="Q881" t="n">
        <v>0</v>
      </c>
      <c r="R881" s="2" t="inlineStr"/>
    </row>
    <row r="882" ht="15" customHeight="1">
      <c r="A882" t="inlineStr">
        <is>
          <t>A 30495-2022</t>
        </is>
      </c>
      <c r="B882" s="1" t="n">
        <v>44762</v>
      </c>
      <c r="C882" s="1" t="n">
        <v>45588</v>
      </c>
      <c r="D882" t="inlineStr">
        <is>
          <t>VÄSTERNORRLANDS LÄN</t>
        </is>
      </c>
      <c r="E882" t="inlineStr">
        <is>
          <t>ÅNGE</t>
        </is>
      </c>
      <c r="F882" t="inlineStr">
        <is>
          <t>SCA</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30768-2022</t>
        </is>
      </c>
      <c r="B883" s="1" t="n">
        <v>44764</v>
      </c>
      <c r="C883" s="1" t="n">
        <v>45588</v>
      </c>
      <c r="D883" t="inlineStr">
        <is>
          <t>VÄSTERNORRLANDS LÄN</t>
        </is>
      </c>
      <c r="E883" t="inlineStr">
        <is>
          <t>ÅNGE</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30803-2022</t>
        </is>
      </c>
      <c r="B884" s="1" t="n">
        <v>44764</v>
      </c>
      <c r="C884" s="1" t="n">
        <v>45588</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30804-2022</t>
        </is>
      </c>
      <c r="B885" s="1" t="n">
        <v>44765</v>
      </c>
      <c r="C885" s="1" t="n">
        <v>45588</v>
      </c>
      <c r="D885" t="inlineStr">
        <is>
          <t>VÄSTERNORRLANDS LÄN</t>
        </is>
      </c>
      <c r="E885" t="inlineStr">
        <is>
          <t>ÅNGE</t>
        </is>
      </c>
      <c r="G885" t="n">
        <v>2.3</v>
      </c>
      <c r="H885" t="n">
        <v>0</v>
      </c>
      <c r="I885" t="n">
        <v>0</v>
      </c>
      <c r="J885" t="n">
        <v>0</v>
      </c>
      <c r="K885" t="n">
        <v>0</v>
      </c>
      <c r="L885" t="n">
        <v>0</v>
      </c>
      <c r="M885" t="n">
        <v>0</v>
      </c>
      <c r="N885" t="n">
        <v>0</v>
      </c>
      <c r="O885" t="n">
        <v>0</v>
      </c>
      <c r="P885" t="n">
        <v>0</v>
      </c>
      <c r="Q885" t="n">
        <v>0</v>
      </c>
      <c r="R885" s="2" t="inlineStr"/>
    </row>
    <row r="886" ht="15" customHeight="1">
      <c r="A886" t="inlineStr">
        <is>
          <t>A 31136-2022</t>
        </is>
      </c>
      <c r="B886" s="1" t="n">
        <v>44770</v>
      </c>
      <c r="C886" s="1" t="n">
        <v>45588</v>
      </c>
      <c r="D886" t="inlineStr">
        <is>
          <t>VÄSTERNORRLANDS LÄN</t>
        </is>
      </c>
      <c r="E886" t="inlineStr">
        <is>
          <t>ÅNGE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31325-2022</t>
        </is>
      </c>
      <c r="B887" s="1" t="n">
        <v>44774</v>
      </c>
      <c r="C887" s="1" t="n">
        <v>45588</v>
      </c>
      <c r="D887" t="inlineStr">
        <is>
          <t>VÄSTERNORRLANDS LÄN</t>
        </is>
      </c>
      <c r="E887" t="inlineStr">
        <is>
          <t>ÅNGE</t>
        </is>
      </c>
      <c r="G887" t="n">
        <v>6.3</v>
      </c>
      <c r="H887" t="n">
        <v>0</v>
      </c>
      <c r="I887" t="n">
        <v>0</v>
      </c>
      <c r="J887" t="n">
        <v>0</v>
      </c>
      <c r="K887" t="n">
        <v>0</v>
      </c>
      <c r="L887" t="n">
        <v>0</v>
      </c>
      <c r="M887" t="n">
        <v>0</v>
      </c>
      <c r="N887" t="n">
        <v>0</v>
      </c>
      <c r="O887" t="n">
        <v>0</v>
      </c>
      <c r="P887" t="n">
        <v>0</v>
      </c>
      <c r="Q887" t="n">
        <v>0</v>
      </c>
      <c r="R887" s="2" t="inlineStr"/>
    </row>
    <row r="888" ht="15" customHeight="1">
      <c r="A888" t="inlineStr">
        <is>
          <t>A 31366-2022</t>
        </is>
      </c>
      <c r="B888" s="1" t="n">
        <v>44774</v>
      </c>
      <c r="C888" s="1" t="n">
        <v>45588</v>
      </c>
      <c r="D888" t="inlineStr">
        <is>
          <t>VÄSTERNORRLANDS LÄN</t>
        </is>
      </c>
      <c r="E888" t="inlineStr">
        <is>
          <t>ÅNGE</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31368-2022</t>
        </is>
      </c>
      <c r="B889" s="1" t="n">
        <v>44774</v>
      </c>
      <c r="C889" s="1" t="n">
        <v>45588</v>
      </c>
      <c r="D889" t="inlineStr">
        <is>
          <t>VÄSTERNORRLANDS LÄN</t>
        </is>
      </c>
      <c r="E889" t="inlineStr">
        <is>
          <t>ÅNGE</t>
        </is>
      </c>
      <c r="F889" t="inlineStr">
        <is>
          <t>Sveaskog</t>
        </is>
      </c>
      <c r="G889" t="n">
        <v>3.8</v>
      </c>
      <c r="H889" t="n">
        <v>0</v>
      </c>
      <c r="I889" t="n">
        <v>0</v>
      </c>
      <c r="J889" t="n">
        <v>0</v>
      </c>
      <c r="K889" t="n">
        <v>0</v>
      </c>
      <c r="L889" t="n">
        <v>0</v>
      </c>
      <c r="M889" t="n">
        <v>0</v>
      </c>
      <c r="N889" t="n">
        <v>0</v>
      </c>
      <c r="O889" t="n">
        <v>0</v>
      </c>
      <c r="P889" t="n">
        <v>0</v>
      </c>
      <c r="Q889" t="n">
        <v>0</v>
      </c>
      <c r="R889" s="2" t="inlineStr"/>
    </row>
    <row r="890" ht="15" customHeight="1">
      <c r="A890" t="inlineStr">
        <is>
          <t>A 31647-2022</t>
        </is>
      </c>
      <c r="B890" s="1" t="n">
        <v>44776</v>
      </c>
      <c r="C890" s="1" t="n">
        <v>45588</v>
      </c>
      <c r="D890" t="inlineStr">
        <is>
          <t>VÄSTERNORRLANDS LÄN</t>
        </is>
      </c>
      <c r="E890" t="inlineStr">
        <is>
          <t>ÅNGE</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31649-2022</t>
        </is>
      </c>
      <c r="B891" s="1" t="n">
        <v>44776</v>
      </c>
      <c r="C891" s="1" t="n">
        <v>45588</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31696-2022</t>
        </is>
      </c>
      <c r="B892" s="1" t="n">
        <v>44776</v>
      </c>
      <c r="C892" s="1" t="n">
        <v>45588</v>
      </c>
      <c r="D892" t="inlineStr">
        <is>
          <t>VÄSTERNORRLANDS LÄN</t>
        </is>
      </c>
      <c r="E892" t="inlineStr">
        <is>
          <t>ÅNGE</t>
        </is>
      </c>
      <c r="G892" t="n">
        <v>1.8</v>
      </c>
      <c r="H892" t="n">
        <v>0</v>
      </c>
      <c r="I892" t="n">
        <v>0</v>
      </c>
      <c r="J892" t="n">
        <v>0</v>
      </c>
      <c r="K892" t="n">
        <v>0</v>
      </c>
      <c r="L892" t="n">
        <v>0</v>
      </c>
      <c r="M892" t="n">
        <v>0</v>
      </c>
      <c r="N892" t="n">
        <v>0</v>
      </c>
      <c r="O892" t="n">
        <v>0</v>
      </c>
      <c r="P892" t="n">
        <v>0</v>
      </c>
      <c r="Q892" t="n">
        <v>0</v>
      </c>
      <c r="R892" s="2" t="inlineStr"/>
    </row>
    <row r="893" ht="15" customHeight="1">
      <c r="A893" t="inlineStr">
        <is>
          <t>A 31845-2022</t>
        </is>
      </c>
      <c r="B893" s="1" t="n">
        <v>44777</v>
      </c>
      <c r="C893" s="1" t="n">
        <v>45588</v>
      </c>
      <c r="D893" t="inlineStr">
        <is>
          <t>VÄSTERNORRLANDS LÄN</t>
        </is>
      </c>
      <c r="E893" t="inlineStr">
        <is>
          <t>ÅNGE</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32535-2022</t>
        </is>
      </c>
      <c r="B894" s="1" t="n">
        <v>44783</v>
      </c>
      <c r="C894" s="1" t="n">
        <v>45588</v>
      </c>
      <c r="D894" t="inlineStr">
        <is>
          <t>VÄSTERNORRLANDS LÄN</t>
        </is>
      </c>
      <c r="E894" t="inlineStr">
        <is>
          <t>ÅNGE</t>
        </is>
      </c>
      <c r="G894" t="n">
        <v>10.3</v>
      </c>
      <c r="H894" t="n">
        <v>0</v>
      </c>
      <c r="I894" t="n">
        <v>0</v>
      </c>
      <c r="J894" t="n">
        <v>0</v>
      </c>
      <c r="K894" t="n">
        <v>0</v>
      </c>
      <c r="L894" t="n">
        <v>0</v>
      </c>
      <c r="M894" t="n">
        <v>0</v>
      </c>
      <c r="N894" t="n">
        <v>0</v>
      </c>
      <c r="O894" t="n">
        <v>0</v>
      </c>
      <c r="P894" t="n">
        <v>0</v>
      </c>
      <c r="Q894" t="n">
        <v>0</v>
      </c>
      <c r="R894" s="2" t="inlineStr"/>
    </row>
    <row r="895" ht="15" customHeight="1">
      <c r="A895" t="inlineStr">
        <is>
          <t>A 32536-2022</t>
        </is>
      </c>
      <c r="B895" s="1" t="n">
        <v>44783</v>
      </c>
      <c r="C895" s="1" t="n">
        <v>45588</v>
      </c>
      <c r="D895" t="inlineStr">
        <is>
          <t>VÄSTERNORRLANDS LÄN</t>
        </is>
      </c>
      <c r="E895" t="inlineStr">
        <is>
          <t>ÅNGE</t>
        </is>
      </c>
      <c r="G895" t="n">
        <v>0.4</v>
      </c>
      <c r="H895" t="n">
        <v>0</v>
      </c>
      <c r="I895" t="n">
        <v>0</v>
      </c>
      <c r="J895" t="n">
        <v>0</v>
      </c>
      <c r="K895" t="n">
        <v>0</v>
      </c>
      <c r="L895" t="n">
        <v>0</v>
      </c>
      <c r="M895" t="n">
        <v>0</v>
      </c>
      <c r="N895" t="n">
        <v>0</v>
      </c>
      <c r="O895" t="n">
        <v>0</v>
      </c>
      <c r="P895" t="n">
        <v>0</v>
      </c>
      <c r="Q895" t="n">
        <v>0</v>
      </c>
      <c r="R895" s="2" t="inlineStr"/>
    </row>
    <row r="896" ht="15" customHeight="1">
      <c r="A896" t="inlineStr">
        <is>
          <t>A 32538-2022</t>
        </is>
      </c>
      <c r="B896" s="1" t="n">
        <v>44783</v>
      </c>
      <c r="C896" s="1" t="n">
        <v>45588</v>
      </c>
      <c r="D896" t="inlineStr">
        <is>
          <t>VÄSTERNORRLANDS LÄN</t>
        </is>
      </c>
      <c r="E896" t="inlineStr">
        <is>
          <t>ÅNGE</t>
        </is>
      </c>
      <c r="G896" t="n">
        <v>2.4</v>
      </c>
      <c r="H896" t="n">
        <v>0</v>
      </c>
      <c r="I896" t="n">
        <v>0</v>
      </c>
      <c r="J896" t="n">
        <v>0</v>
      </c>
      <c r="K896" t="n">
        <v>0</v>
      </c>
      <c r="L896" t="n">
        <v>0</v>
      </c>
      <c r="M896" t="n">
        <v>0</v>
      </c>
      <c r="N896" t="n">
        <v>0</v>
      </c>
      <c r="O896" t="n">
        <v>0</v>
      </c>
      <c r="P896" t="n">
        <v>0</v>
      </c>
      <c r="Q896" t="n">
        <v>0</v>
      </c>
      <c r="R896" s="2" t="inlineStr"/>
    </row>
    <row r="897" ht="15" customHeight="1">
      <c r="A897" t="inlineStr">
        <is>
          <t>A 32631-2022</t>
        </is>
      </c>
      <c r="B897" s="1" t="n">
        <v>44783</v>
      </c>
      <c r="C897" s="1" t="n">
        <v>45588</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32776-2022</t>
        </is>
      </c>
      <c r="B898" s="1" t="n">
        <v>44784</v>
      </c>
      <c r="C898" s="1" t="n">
        <v>45588</v>
      </c>
      <c r="D898" t="inlineStr">
        <is>
          <t>VÄSTERNORRLANDS LÄN</t>
        </is>
      </c>
      <c r="E898" t="inlineStr">
        <is>
          <t>ÅNGE</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33112-2022</t>
        </is>
      </c>
      <c r="B899" s="1" t="n">
        <v>44785</v>
      </c>
      <c r="C899" s="1" t="n">
        <v>45588</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33062-2022</t>
        </is>
      </c>
      <c r="B900" s="1" t="n">
        <v>44785</v>
      </c>
      <c r="C900" s="1" t="n">
        <v>45588</v>
      </c>
      <c r="D900" t="inlineStr">
        <is>
          <t>VÄSTERNORRLANDS LÄN</t>
        </is>
      </c>
      <c r="E900" t="inlineStr">
        <is>
          <t>ÅNGE</t>
        </is>
      </c>
      <c r="G900" t="n">
        <v>0.5</v>
      </c>
      <c r="H900" t="n">
        <v>0</v>
      </c>
      <c r="I900" t="n">
        <v>0</v>
      </c>
      <c r="J900" t="n">
        <v>0</v>
      </c>
      <c r="K900" t="n">
        <v>0</v>
      </c>
      <c r="L900" t="n">
        <v>0</v>
      </c>
      <c r="M900" t="n">
        <v>0</v>
      </c>
      <c r="N900" t="n">
        <v>0</v>
      </c>
      <c r="O900" t="n">
        <v>0</v>
      </c>
      <c r="P900" t="n">
        <v>0</v>
      </c>
      <c r="Q900" t="n">
        <v>0</v>
      </c>
      <c r="R900" s="2" t="inlineStr"/>
    </row>
    <row r="901" ht="15" customHeight="1">
      <c r="A901" t="inlineStr">
        <is>
          <t>A 33229-2022</t>
        </is>
      </c>
      <c r="B901" s="1" t="n">
        <v>44785</v>
      </c>
      <c r="C901" s="1" t="n">
        <v>45588</v>
      </c>
      <c r="D901" t="inlineStr">
        <is>
          <t>VÄSTERNORRLANDS LÄN</t>
        </is>
      </c>
      <c r="E901" t="inlineStr">
        <is>
          <t>ÅNGE</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33274-2022</t>
        </is>
      </c>
      <c r="B902" s="1" t="n">
        <v>44788</v>
      </c>
      <c r="C902" s="1" t="n">
        <v>45588</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34091-2022</t>
        </is>
      </c>
      <c r="B903" s="1" t="n">
        <v>44791</v>
      </c>
      <c r="C903" s="1" t="n">
        <v>45588</v>
      </c>
      <c r="D903" t="inlineStr">
        <is>
          <t>VÄSTERNORRLANDS LÄN</t>
        </is>
      </c>
      <c r="E903" t="inlineStr">
        <is>
          <t>ÅNGE</t>
        </is>
      </c>
      <c r="G903" t="n">
        <v>10.1</v>
      </c>
      <c r="H903" t="n">
        <v>0</v>
      </c>
      <c r="I903" t="n">
        <v>0</v>
      </c>
      <c r="J903" t="n">
        <v>0</v>
      </c>
      <c r="K903" t="n">
        <v>0</v>
      </c>
      <c r="L903" t="n">
        <v>0</v>
      </c>
      <c r="M903" t="n">
        <v>0</v>
      </c>
      <c r="N903" t="n">
        <v>0</v>
      </c>
      <c r="O903" t="n">
        <v>0</v>
      </c>
      <c r="P903" t="n">
        <v>0</v>
      </c>
      <c r="Q903" t="n">
        <v>0</v>
      </c>
      <c r="R903" s="2" t="inlineStr"/>
    </row>
    <row r="904" ht="15" customHeight="1">
      <c r="A904" t="inlineStr">
        <is>
          <t>A 35002-2022</t>
        </is>
      </c>
      <c r="B904" s="1" t="n">
        <v>44796</v>
      </c>
      <c r="C904" s="1" t="n">
        <v>45588</v>
      </c>
      <c r="D904" t="inlineStr">
        <is>
          <t>VÄSTERNORRLANDS LÄN</t>
        </is>
      </c>
      <c r="E904" t="inlineStr">
        <is>
          <t>ÅNGE</t>
        </is>
      </c>
      <c r="G904" t="n">
        <v>1.4</v>
      </c>
      <c r="H904" t="n">
        <v>0</v>
      </c>
      <c r="I904" t="n">
        <v>0</v>
      </c>
      <c r="J904" t="n">
        <v>0</v>
      </c>
      <c r="K904" t="n">
        <v>0</v>
      </c>
      <c r="L904" t="n">
        <v>0</v>
      </c>
      <c r="M904" t="n">
        <v>0</v>
      </c>
      <c r="N904" t="n">
        <v>0</v>
      </c>
      <c r="O904" t="n">
        <v>0</v>
      </c>
      <c r="P904" t="n">
        <v>0</v>
      </c>
      <c r="Q904" t="n">
        <v>0</v>
      </c>
      <c r="R904" s="2" t="inlineStr"/>
    </row>
    <row r="905" ht="15" customHeight="1">
      <c r="A905" t="inlineStr">
        <is>
          <t>A 35026-2022</t>
        </is>
      </c>
      <c r="B905" s="1" t="n">
        <v>44796</v>
      </c>
      <c r="C905" s="1" t="n">
        <v>45588</v>
      </c>
      <c r="D905" t="inlineStr">
        <is>
          <t>VÄSTERNORRLANDS LÄN</t>
        </is>
      </c>
      <c r="E905" t="inlineStr">
        <is>
          <t>ÅNGE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35283-2022</t>
        </is>
      </c>
      <c r="B906" s="1" t="n">
        <v>44798</v>
      </c>
      <c r="C906" s="1" t="n">
        <v>45588</v>
      </c>
      <c r="D906" t="inlineStr">
        <is>
          <t>VÄSTERNORRLANDS LÄN</t>
        </is>
      </c>
      <c r="E906" t="inlineStr">
        <is>
          <t>ÅNGE</t>
        </is>
      </c>
      <c r="G906" t="n">
        <v>4.5</v>
      </c>
      <c r="H906" t="n">
        <v>0</v>
      </c>
      <c r="I906" t="n">
        <v>0</v>
      </c>
      <c r="J906" t="n">
        <v>0</v>
      </c>
      <c r="K906" t="n">
        <v>0</v>
      </c>
      <c r="L906" t="n">
        <v>0</v>
      </c>
      <c r="M906" t="n">
        <v>0</v>
      </c>
      <c r="N906" t="n">
        <v>0</v>
      </c>
      <c r="O906" t="n">
        <v>0</v>
      </c>
      <c r="P906" t="n">
        <v>0</v>
      </c>
      <c r="Q906" t="n">
        <v>0</v>
      </c>
      <c r="R906" s="2" t="inlineStr"/>
    </row>
    <row r="907" ht="15" customHeight="1">
      <c r="A907" t="inlineStr">
        <is>
          <t>A 35276-2022</t>
        </is>
      </c>
      <c r="B907" s="1" t="n">
        <v>44798</v>
      </c>
      <c r="C907" s="1" t="n">
        <v>45588</v>
      </c>
      <c r="D907" t="inlineStr">
        <is>
          <t>VÄSTERNORRLANDS LÄN</t>
        </is>
      </c>
      <c r="E907" t="inlineStr">
        <is>
          <t>ÅNGE</t>
        </is>
      </c>
      <c r="G907" t="n">
        <v>15.2</v>
      </c>
      <c r="H907" t="n">
        <v>0</v>
      </c>
      <c r="I907" t="n">
        <v>0</v>
      </c>
      <c r="J907" t="n">
        <v>0</v>
      </c>
      <c r="K907" t="n">
        <v>0</v>
      </c>
      <c r="L907" t="n">
        <v>0</v>
      </c>
      <c r="M907" t="n">
        <v>0</v>
      </c>
      <c r="N907" t="n">
        <v>0</v>
      </c>
      <c r="O907" t="n">
        <v>0</v>
      </c>
      <c r="P907" t="n">
        <v>0</v>
      </c>
      <c r="Q907" t="n">
        <v>0</v>
      </c>
      <c r="R907" s="2" t="inlineStr"/>
    </row>
    <row r="908" ht="15" customHeight="1">
      <c r="A908" t="inlineStr">
        <is>
          <t>A 35497-2022</t>
        </is>
      </c>
      <c r="B908" s="1" t="n">
        <v>44798</v>
      </c>
      <c r="C908" s="1" t="n">
        <v>45588</v>
      </c>
      <c r="D908" t="inlineStr">
        <is>
          <t>VÄSTERNORRLANDS LÄN</t>
        </is>
      </c>
      <c r="E908" t="inlineStr">
        <is>
          <t>ÅNGE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35496-2022</t>
        </is>
      </c>
      <c r="B909" s="1" t="n">
        <v>44798</v>
      </c>
      <c r="C909" s="1" t="n">
        <v>45588</v>
      </c>
      <c r="D909" t="inlineStr">
        <is>
          <t>VÄSTERNORRLANDS LÄN</t>
        </is>
      </c>
      <c r="E909" t="inlineStr">
        <is>
          <t>ÅNGE</t>
        </is>
      </c>
      <c r="F909" t="inlineStr">
        <is>
          <t>SCA</t>
        </is>
      </c>
      <c r="G909" t="n">
        <v>15.6</v>
      </c>
      <c r="H909" t="n">
        <v>0</v>
      </c>
      <c r="I909" t="n">
        <v>0</v>
      </c>
      <c r="J909" t="n">
        <v>0</v>
      </c>
      <c r="K909" t="n">
        <v>0</v>
      </c>
      <c r="L909" t="n">
        <v>0</v>
      </c>
      <c r="M909" t="n">
        <v>0</v>
      </c>
      <c r="N909" t="n">
        <v>0</v>
      </c>
      <c r="O909" t="n">
        <v>0</v>
      </c>
      <c r="P909" t="n">
        <v>0</v>
      </c>
      <c r="Q909" t="n">
        <v>0</v>
      </c>
      <c r="R909" s="2" t="inlineStr"/>
    </row>
    <row r="910" ht="15" customHeight="1">
      <c r="A910" t="inlineStr">
        <is>
          <t>A 35509-2022</t>
        </is>
      </c>
      <c r="B910" s="1" t="n">
        <v>44798</v>
      </c>
      <c r="C910" s="1" t="n">
        <v>45588</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35507-2022</t>
        </is>
      </c>
      <c r="B911" s="1" t="n">
        <v>44798</v>
      </c>
      <c r="C911" s="1" t="n">
        <v>45588</v>
      </c>
      <c r="D911" t="inlineStr">
        <is>
          <t>VÄSTERNORRLANDS LÄN</t>
        </is>
      </c>
      <c r="E911" t="inlineStr">
        <is>
          <t>ÅNGE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35498-2022</t>
        </is>
      </c>
      <c r="B912" s="1" t="n">
        <v>44799</v>
      </c>
      <c r="C912" s="1" t="n">
        <v>45588</v>
      </c>
      <c r="D912" t="inlineStr">
        <is>
          <t>VÄSTERNORRLANDS LÄN</t>
        </is>
      </c>
      <c r="E912" t="inlineStr">
        <is>
          <t>ÅNGE</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35508-2022</t>
        </is>
      </c>
      <c r="B913" s="1" t="n">
        <v>44798</v>
      </c>
      <c r="C913" s="1" t="n">
        <v>45588</v>
      </c>
      <c r="D913" t="inlineStr">
        <is>
          <t>VÄSTERNORRLANDS LÄN</t>
        </is>
      </c>
      <c r="E913" t="inlineStr">
        <is>
          <t>ÅNGE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36937-2022</t>
        </is>
      </c>
      <c r="B914" s="1" t="n">
        <v>44806</v>
      </c>
      <c r="C914" s="1" t="n">
        <v>45588</v>
      </c>
      <c r="D914" t="inlineStr">
        <is>
          <t>VÄSTERNORRLANDS LÄN</t>
        </is>
      </c>
      <c r="E914" t="inlineStr">
        <is>
          <t>ÅNGE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36924-2022</t>
        </is>
      </c>
      <c r="B915" s="1" t="n">
        <v>44805</v>
      </c>
      <c r="C915" s="1" t="n">
        <v>45588</v>
      </c>
      <c r="D915" t="inlineStr">
        <is>
          <t>VÄSTERNORRLANDS LÄN</t>
        </is>
      </c>
      <c r="E915" t="inlineStr">
        <is>
          <t>ÅNGE</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36936-2022</t>
        </is>
      </c>
      <c r="B916" s="1" t="n">
        <v>44805</v>
      </c>
      <c r="C916" s="1" t="n">
        <v>45588</v>
      </c>
      <c r="D916" t="inlineStr">
        <is>
          <t>VÄSTERNORRLANDS LÄN</t>
        </is>
      </c>
      <c r="E916" t="inlineStr">
        <is>
          <t>ÅNGE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38284-2022</t>
        </is>
      </c>
      <c r="B917" s="1" t="n">
        <v>44812</v>
      </c>
      <c r="C917" s="1" t="n">
        <v>45588</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38680-2022</t>
        </is>
      </c>
      <c r="B918" s="1" t="n">
        <v>44813</v>
      </c>
      <c r="C918" s="1" t="n">
        <v>45588</v>
      </c>
      <c r="D918" t="inlineStr">
        <is>
          <t>VÄSTERNORRLANDS LÄN</t>
        </is>
      </c>
      <c r="E918" t="inlineStr">
        <is>
          <t>ÅNGE</t>
        </is>
      </c>
      <c r="F918" t="inlineStr">
        <is>
          <t>SCA</t>
        </is>
      </c>
      <c r="G918" t="n">
        <v>12.3</v>
      </c>
      <c r="H918" t="n">
        <v>0</v>
      </c>
      <c r="I918" t="n">
        <v>0</v>
      </c>
      <c r="J918" t="n">
        <v>0</v>
      </c>
      <c r="K918" t="n">
        <v>0</v>
      </c>
      <c r="L918" t="n">
        <v>0</v>
      </c>
      <c r="M918" t="n">
        <v>0</v>
      </c>
      <c r="N918" t="n">
        <v>0</v>
      </c>
      <c r="O918" t="n">
        <v>0</v>
      </c>
      <c r="P918" t="n">
        <v>0</v>
      </c>
      <c r="Q918" t="n">
        <v>0</v>
      </c>
      <c r="R918" s="2" t="inlineStr"/>
    </row>
    <row r="919" ht="15" customHeight="1">
      <c r="A919" t="inlineStr">
        <is>
          <t>A 39374-2022</t>
        </is>
      </c>
      <c r="B919" s="1" t="n">
        <v>44817</v>
      </c>
      <c r="C919" s="1" t="n">
        <v>45588</v>
      </c>
      <c r="D919" t="inlineStr">
        <is>
          <t>VÄSTERNORRLANDS LÄN</t>
        </is>
      </c>
      <c r="E919" t="inlineStr">
        <is>
          <t>ÅNGE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39594-2022</t>
        </is>
      </c>
      <c r="B920" s="1" t="n">
        <v>44818</v>
      </c>
      <c r="C920" s="1" t="n">
        <v>45588</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39681-2022</t>
        </is>
      </c>
      <c r="B921" s="1" t="n">
        <v>44818</v>
      </c>
      <c r="C921" s="1" t="n">
        <v>45588</v>
      </c>
      <c r="D921" t="inlineStr">
        <is>
          <t>VÄSTERNORRLANDS LÄN</t>
        </is>
      </c>
      <c r="E921" t="inlineStr">
        <is>
          <t>ÅNGE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39589-2022</t>
        </is>
      </c>
      <c r="B922" s="1" t="n">
        <v>44818</v>
      </c>
      <c r="C922" s="1" t="n">
        <v>45588</v>
      </c>
      <c r="D922" t="inlineStr">
        <is>
          <t>VÄSTERNORRLANDS LÄN</t>
        </is>
      </c>
      <c r="E922" t="inlineStr">
        <is>
          <t>ÅNGE</t>
        </is>
      </c>
      <c r="G922" t="n">
        <v>4.8</v>
      </c>
      <c r="H922" t="n">
        <v>0</v>
      </c>
      <c r="I922" t="n">
        <v>0</v>
      </c>
      <c r="J922" t="n">
        <v>0</v>
      </c>
      <c r="K922" t="n">
        <v>0</v>
      </c>
      <c r="L922" t="n">
        <v>0</v>
      </c>
      <c r="M922" t="n">
        <v>0</v>
      </c>
      <c r="N922" t="n">
        <v>0</v>
      </c>
      <c r="O922" t="n">
        <v>0</v>
      </c>
      <c r="P922" t="n">
        <v>0</v>
      </c>
      <c r="Q922" t="n">
        <v>0</v>
      </c>
      <c r="R922" s="2" t="inlineStr"/>
    </row>
    <row r="923" ht="15" customHeight="1">
      <c r="A923" t="inlineStr">
        <is>
          <t>A 39685-2022</t>
        </is>
      </c>
      <c r="B923" s="1" t="n">
        <v>44818</v>
      </c>
      <c r="C923" s="1" t="n">
        <v>45588</v>
      </c>
      <c r="D923" t="inlineStr">
        <is>
          <t>VÄSTERNORRLANDS LÄN</t>
        </is>
      </c>
      <c r="E923" t="inlineStr">
        <is>
          <t>ÅNGE</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40475-2022</t>
        </is>
      </c>
      <c r="B924" s="1" t="n">
        <v>44823</v>
      </c>
      <c r="C924" s="1" t="n">
        <v>45588</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40476-2022</t>
        </is>
      </c>
      <c r="B925" s="1" t="n">
        <v>44823</v>
      </c>
      <c r="C925" s="1" t="n">
        <v>45588</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41261-2022</t>
        </is>
      </c>
      <c r="B926" s="1" t="n">
        <v>44825</v>
      </c>
      <c r="C926" s="1" t="n">
        <v>45588</v>
      </c>
      <c r="D926" t="inlineStr">
        <is>
          <t>VÄSTERNORRLANDS LÄN</t>
        </is>
      </c>
      <c r="E926" t="inlineStr">
        <is>
          <t>ÅNGE</t>
        </is>
      </c>
      <c r="G926" t="n">
        <v>0.8</v>
      </c>
      <c r="H926" t="n">
        <v>0</v>
      </c>
      <c r="I926" t="n">
        <v>0</v>
      </c>
      <c r="J926" t="n">
        <v>0</v>
      </c>
      <c r="K926" t="n">
        <v>0</v>
      </c>
      <c r="L926" t="n">
        <v>0</v>
      </c>
      <c r="M926" t="n">
        <v>0</v>
      </c>
      <c r="N926" t="n">
        <v>0</v>
      </c>
      <c r="O926" t="n">
        <v>0</v>
      </c>
      <c r="P926" t="n">
        <v>0</v>
      </c>
      <c r="Q926" t="n">
        <v>0</v>
      </c>
      <c r="R926" s="2" t="inlineStr"/>
    </row>
    <row r="927" ht="15" customHeight="1">
      <c r="A927" t="inlineStr">
        <is>
          <t>A 41464-2022</t>
        </is>
      </c>
      <c r="B927" s="1" t="n">
        <v>44827</v>
      </c>
      <c r="C927" s="1" t="n">
        <v>45588</v>
      </c>
      <c r="D927" t="inlineStr">
        <is>
          <t>VÄSTERNORRLANDS LÄN</t>
        </is>
      </c>
      <c r="E927" t="inlineStr">
        <is>
          <t>ÅNGE</t>
        </is>
      </c>
      <c r="F927" t="inlineStr">
        <is>
          <t>SCA</t>
        </is>
      </c>
      <c r="G927" t="n">
        <v>32.2</v>
      </c>
      <c r="H927" t="n">
        <v>0</v>
      </c>
      <c r="I927" t="n">
        <v>0</v>
      </c>
      <c r="J927" t="n">
        <v>0</v>
      </c>
      <c r="K927" t="n">
        <v>0</v>
      </c>
      <c r="L927" t="n">
        <v>0</v>
      </c>
      <c r="M927" t="n">
        <v>0</v>
      </c>
      <c r="N927" t="n">
        <v>0</v>
      </c>
      <c r="O927" t="n">
        <v>0</v>
      </c>
      <c r="P927" t="n">
        <v>0</v>
      </c>
      <c r="Q927" t="n">
        <v>0</v>
      </c>
      <c r="R927" s="2" t="inlineStr"/>
    </row>
    <row r="928" ht="15" customHeight="1">
      <c r="A928" t="inlineStr">
        <is>
          <t>A 41825-2022</t>
        </is>
      </c>
      <c r="B928" s="1" t="n">
        <v>44827</v>
      </c>
      <c r="C928" s="1" t="n">
        <v>45588</v>
      </c>
      <c r="D928" t="inlineStr">
        <is>
          <t>VÄSTERNORRLANDS LÄN</t>
        </is>
      </c>
      <c r="E928" t="inlineStr">
        <is>
          <t>ÅNGE</t>
        </is>
      </c>
      <c r="F928" t="inlineStr">
        <is>
          <t>SCA</t>
        </is>
      </c>
      <c r="G928" t="n">
        <v>3.3</v>
      </c>
      <c r="H928" t="n">
        <v>0</v>
      </c>
      <c r="I928" t="n">
        <v>0</v>
      </c>
      <c r="J928" t="n">
        <v>0</v>
      </c>
      <c r="K928" t="n">
        <v>0</v>
      </c>
      <c r="L928" t="n">
        <v>0</v>
      </c>
      <c r="M928" t="n">
        <v>0</v>
      </c>
      <c r="N928" t="n">
        <v>0</v>
      </c>
      <c r="O928" t="n">
        <v>0</v>
      </c>
      <c r="P928" t="n">
        <v>0</v>
      </c>
      <c r="Q928" t="n">
        <v>0</v>
      </c>
      <c r="R928" s="2" t="inlineStr"/>
      <c r="U928">
        <f>HYPERLINK("https://klasma.github.io/Logging_2260/knärot/A 41825-2022 karta knärot.png", "A 41825-2022")</f>
        <v/>
      </c>
      <c r="V928">
        <f>HYPERLINK("https://klasma.github.io/Logging_2260/klagomål/A 41825-2022 FSC-klagomål.docx", "A 41825-2022")</f>
        <v/>
      </c>
      <c r="W928">
        <f>HYPERLINK("https://klasma.github.io/Logging_2260/klagomålsmail/A 41825-2022 FSC-klagomål mail.docx", "A 41825-2022")</f>
        <v/>
      </c>
      <c r="X928">
        <f>HYPERLINK("https://klasma.github.io/Logging_2260/tillsyn/A 41825-2022 tillsynsbegäran.docx", "A 41825-2022")</f>
        <v/>
      </c>
      <c r="Y928">
        <f>HYPERLINK("https://klasma.github.io/Logging_2260/tillsynsmail/A 41825-2022 tillsynsbegäran mail.docx", "A 41825-2022")</f>
        <v/>
      </c>
    </row>
    <row r="929" ht="15" customHeight="1">
      <c r="A929" t="inlineStr">
        <is>
          <t>A 42857-2022</t>
        </is>
      </c>
      <c r="B929" s="1" t="n">
        <v>44832</v>
      </c>
      <c r="C929" s="1" t="n">
        <v>45588</v>
      </c>
      <c r="D929" t="inlineStr">
        <is>
          <t>VÄSTERNORRLANDS LÄN</t>
        </is>
      </c>
      <c r="E929" t="inlineStr">
        <is>
          <t>ÅNGE</t>
        </is>
      </c>
      <c r="G929" t="n">
        <v>3.4</v>
      </c>
      <c r="H929" t="n">
        <v>0</v>
      </c>
      <c r="I929" t="n">
        <v>0</v>
      </c>
      <c r="J929" t="n">
        <v>0</v>
      </c>
      <c r="K929" t="n">
        <v>0</v>
      </c>
      <c r="L929" t="n">
        <v>0</v>
      </c>
      <c r="M929" t="n">
        <v>0</v>
      </c>
      <c r="N929" t="n">
        <v>0</v>
      </c>
      <c r="O929" t="n">
        <v>0</v>
      </c>
      <c r="P929" t="n">
        <v>0</v>
      </c>
      <c r="Q929" t="n">
        <v>0</v>
      </c>
      <c r="R929" s="2" t="inlineStr"/>
    </row>
    <row r="930" ht="15" customHeight="1">
      <c r="A930" t="inlineStr">
        <is>
          <t>A 43066-2022</t>
        </is>
      </c>
      <c r="B930" s="1" t="n">
        <v>44833</v>
      </c>
      <c r="C930" s="1" t="n">
        <v>45588</v>
      </c>
      <c r="D930" t="inlineStr">
        <is>
          <t>VÄSTERNORRLANDS LÄN</t>
        </is>
      </c>
      <c r="E930" t="inlineStr">
        <is>
          <t>ÅNGE</t>
        </is>
      </c>
      <c r="G930" t="n">
        <v>1.2</v>
      </c>
      <c r="H930" t="n">
        <v>0</v>
      </c>
      <c r="I930" t="n">
        <v>0</v>
      </c>
      <c r="J930" t="n">
        <v>0</v>
      </c>
      <c r="K930" t="n">
        <v>0</v>
      </c>
      <c r="L930" t="n">
        <v>0</v>
      </c>
      <c r="M930" t="n">
        <v>0</v>
      </c>
      <c r="N930" t="n">
        <v>0</v>
      </c>
      <c r="O930" t="n">
        <v>0</v>
      </c>
      <c r="P930" t="n">
        <v>0</v>
      </c>
      <c r="Q930" t="n">
        <v>0</v>
      </c>
      <c r="R930" s="2" t="inlineStr"/>
    </row>
    <row r="931" ht="15" customHeight="1">
      <c r="A931" t="inlineStr">
        <is>
          <t>A 43775-2022</t>
        </is>
      </c>
      <c r="B931" s="1" t="n">
        <v>44838</v>
      </c>
      <c r="C931" s="1" t="n">
        <v>45588</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43788-2022</t>
        </is>
      </c>
      <c r="B932" s="1" t="n">
        <v>44837</v>
      </c>
      <c r="C932" s="1" t="n">
        <v>45588</v>
      </c>
      <c r="D932" t="inlineStr">
        <is>
          <t>VÄSTERNORRLANDS LÄN</t>
        </is>
      </c>
      <c r="E932" t="inlineStr">
        <is>
          <t>ÅNGE</t>
        </is>
      </c>
      <c r="F932" t="inlineStr">
        <is>
          <t>SCA</t>
        </is>
      </c>
      <c r="G932" t="n">
        <v>7.7</v>
      </c>
      <c r="H932" t="n">
        <v>0</v>
      </c>
      <c r="I932" t="n">
        <v>0</v>
      </c>
      <c r="J932" t="n">
        <v>0</v>
      </c>
      <c r="K932" t="n">
        <v>0</v>
      </c>
      <c r="L932" t="n">
        <v>0</v>
      </c>
      <c r="M932" t="n">
        <v>0</v>
      </c>
      <c r="N932" t="n">
        <v>0</v>
      </c>
      <c r="O932" t="n">
        <v>0</v>
      </c>
      <c r="P932" t="n">
        <v>0</v>
      </c>
      <c r="Q932" t="n">
        <v>0</v>
      </c>
      <c r="R932" s="2" t="inlineStr"/>
    </row>
    <row r="933" ht="15" customHeight="1">
      <c r="A933" t="inlineStr">
        <is>
          <t>A 44412-2022</t>
        </is>
      </c>
      <c r="B933" s="1" t="n">
        <v>44840</v>
      </c>
      <c r="C933" s="1" t="n">
        <v>45588</v>
      </c>
      <c r="D933" t="inlineStr">
        <is>
          <t>VÄSTERNORRLANDS LÄN</t>
        </is>
      </c>
      <c r="E933" t="inlineStr">
        <is>
          <t>ÅNGE</t>
        </is>
      </c>
      <c r="G933" t="n">
        <v>1.6</v>
      </c>
      <c r="H933" t="n">
        <v>0</v>
      </c>
      <c r="I933" t="n">
        <v>0</v>
      </c>
      <c r="J933" t="n">
        <v>0</v>
      </c>
      <c r="K933" t="n">
        <v>0</v>
      </c>
      <c r="L933" t="n">
        <v>0</v>
      </c>
      <c r="M933" t="n">
        <v>0</v>
      </c>
      <c r="N933" t="n">
        <v>0</v>
      </c>
      <c r="O933" t="n">
        <v>0</v>
      </c>
      <c r="P933" t="n">
        <v>0</v>
      </c>
      <c r="Q933" t="n">
        <v>0</v>
      </c>
      <c r="R933" s="2" t="inlineStr"/>
    </row>
    <row r="934" ht="15" customHeight="1">
      <c r="A934" t="inlineStr">
        <is>
          <t>A 44414-2022</t>
        </is>
      </c>
      <c r="B934" s="1" t="n">
        <v>44840</v>
      </c>
      <c r="C934" s="1" t="n">
        <v>45588</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44413-2022</t>
        </is>
      </c>
      <c r="B935" s="1" t="n">
        <v>44840</v>
      </c>
      <c r="C935" s="1" t="n">
        <v>45588</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45086-2022</t>
        </is>
      </c>
      <c r="B936" s="1" t="n">
        <v>44841</v>
      </c>
      <c r="C936" s="1" t="n">
        <v>45588</v>
      </c>
      <c r="D936" t="inlineStr">
        <is>
          <t>VÄSTERNORRLANDS LÄN</t>
        </is>
      </c>
      <c r="E936" t="inlineStr">
        <is>
          <t>ÅNGE</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45087-2022</t>
        </is>
      </c>
      <c r="B937" s="1" t="n">
        <v>44841</v>
      </c>
      <c r="C937" s="1" t="n">
        <v>45588</v>
      </c>
      <c r="D937" t="inlineStr">
        <is>
          <t>VÄSTERNORRLANDS LÄN</t>
        </is>
      </c>
      <c r="E937" t="inlineStr">
        <is>
          <t>ÅNGE</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45128-2022</t>
        </is>
      </c>
      <c r="B938" s="1" t="n">
        <v>44844</v>
      </c>
      <c r="C938" s="1" t="n">
        <v>45588</v>
      </c>
      <c r="D938" t="inlineStr">
        <is>
          <t>VÄSTERNORRLANDS LÄN</t>
        </is>
      </c>
      <c r="E938" t="inlineStr">
        <is>
          <t>ÅNGE</t>
        </is>
      </c>
      <c r="G938" t="n">
        <v>4.1</v>
      </c>
      <c r="H938" t="n">
        <v>0</v>
      </c>
      <c r="I938" t="n">
        <v>0</v>
      </c>
      <c r="J938" t="n">
        <v>0</v>
      </c>
      <c r="K938" t="n">
        <v>0</v>
      </c>
      <c r="L938" t="n">
        <v>0</v>
      </c>
      <c r="M938" t="n">
        <v>0</v>
      </c>
      <c r="N938" t="n">
        <v>0</v>
      </c>
      <c r="O938" t="n">
        <v>0</v>
      </c>
      <c r="P938" t="n">
        <v>0</v>
      </c>
      <c r="Q938" t="n">
        <v>0</v>
      </c>
      <c r="R938" s="2" t="inlineStr"/>
    </row>
    <row r="939" ht="15" customHeight="1">
      <c r="A939" t="inlineStr">
        <is>
          <t>A 45432-2022</t>
        </is>
      </c>
      <c r="B939" s="1" t="n">
        <v>44844</v>
      </c>
      <c r="C939" s="1" t="n">
        <v>45588</v>
      </c>
      <c r="D939" t="inlineStr">
        <is>
          <t>VÄSTERNORRLANDS LÄN</t>
        </is>
      </c>
      <c r="E939" t="inlineStr">
        <is>
          <t>ÅNGE</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45459-2022</t>
        </is>
      </c>
      <c r="B940" s="1" t="n">
        <v>44845</v>
      </c>
      <c r="C940" s="1" t="n">
        <v>45588</v>
      </c>
      <c r="D940" t="inlineStr">
        <is>
          <t>VÄSTERNORRLANDS LÄN</t>
        </is>
      </c>
      <c r="E940" t="inlineStr">
        <is>
          <t>ÅNGE</t>
        </is>
      </c>
      <c r="G940" t="n">
        <v>0.9</v>
      </c>
      <c r="H940" t="n">
        <v>0</v>
      </c>
      <c r="I940" t="n">
        <v>0</v>
      </c>
      <c r="J940" t="n">
        <v>0</v>
      </c>
      <c r="K940" t="n">
        <v>0</v>
      </c>
      <c r="L940" t="n">
        <v>0</v>
      </c>
      <c r="M940" t="n">
        <v>0</v>
      </c>
      <c r="N940" t="n">
        <v>0</v>
      </c>
      <c r="O940" t="n">
        <v>0</v>
      </c>
      <c r="P940" t="n">
        <v>0</v>
      </c>
      <c r="Q940" t="n">
        <v>0</v>
      </c>
      <c r="R940" s="2" t="inlineStr"/>
    </row>
    <row r="941" ht="15" customHeight="1">
      <c r="A941" t="inlineStr">
        <is>
          <t>A 45703-2022</t>
        </is>
      </c>
      <c r="B941" s="1" t="n">
        <v>44845</v>
      </c>
      <c r="C941" s="1" t="n">
        <v>45588</v>
      </c>
      <c r="D941" t="inlineStr">
        <is>
          <t>VÄSTERNORRLANDS LÄN</t>
        </is>
      </c>
      <c r="E941" t="inlineStr">
        <is>
          <t>ÅNGE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45931-2022</t>
        </is>
      </c>
      <c r="B942" s="1" t="n">
        <v>44846</v>
      </c>
      <c r="C942" s="1" t="n">
        <v>45588</v>
      </c>
      <c r="D942" t="inlineStr">
        <is>
          <t>VÄSTERNORRLANDS LÄN</t>
        </is>
      </c>
      <c r="E942" t="inlineStr">
        <is>
          <t>ÅNGE</t>
        </is>
      </c>
      <c r="G942" t="n">
        <v>27.6</v>
      </c>
      <c r="H942" t="n">
        <v>0</v>
      </c>
      <c r="I942" t="n">
        <v>0</v>
      </c>
      <c r="J942" t="n">
        <v>0</v>
      </c>
      <c r="K942" t="n">
        <v>0</v>
      </c>
      <c r="L942" t="n">
        <v>0</v>
      </c>
      <c r="M942" t="n">
        <v>0</v>
      </c>
      <c r="N942" t="n">
        <v>0</v>
      </c>
      <c r="O942" t="n">
        <v>0</v>
      </c>
      <c r="P942" t="n">
        <v>0</v>
      </c>
      <c r="Q942" t="n">
        <v>0</v>
      </c>
      <c r="R942" s="2" t="inlineStr"/>
    </row>
    <row r="943" ht="15" customHeight="1">
      <c r="A943" t="inlineStr">
        <is>
          <t>A 46334-2022</t>
        </is>
      </c>
      <c r="B943" s="1" t="n">
        <v>44848</v>
      </c>
      <c r="C943" s="1" t="n">
        <v>45588</v>
      </c>
      <c r="D943" t="inlineStr">
        <is>
          <t>VÄSTERNORRLANDS LÄN</t>
        </is>
      </c>
      <c r="E943" t="inlineStr">
        <is>
          <t>ÅNGE</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46352-2022</t>
        </is>
      </c>
      <c r="B944" s="1" t="n">
        <v>44848</v>
      </c>
      <c r="C944" s="1" t="n">
        <v>45588</v>
      </c>
      <c r="D944" t="inlineStr">
        <is>
          <t>VÄSTERNORRLANDS LÄN</t>
        </is>
      </c>
      <c r="E944" t="inlineStr">
        <is>
          <t>ÅNGE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46351-2022</t>
        </is>
      </c>
      <c r="B945" s="1" t="n">
        <v>44847</v>
      </c>
      <c r="C945" s="1" t="n">
        <v>45588</v>
      </c>
      <c r="D945" t="inlineStr">
        <is>
          <t>VÄSTERNORRLANDS LÄN</t>
        </is>
      </c>
      <c r="E945" t="inlineStr">
        <is>
          <t>ÅNGE</t>
        </is>
      </c>
      <c r="F945" t="inlineStr">
        <is>
          <t>SCA</t>
        </is>
      </c>
      <c r="G945" t="n">
        <v>4.4</v>
      </c>
      <c r="H945" t="n">
        <v>0</v>
      </c>
      <c r="I945" t="n">
        <v>0</v>
      </c>
      <c r="J945" t="n">
        <v>0</v>
      </c>
      <c r="K945" t="n">
        <v>0</v>
      </c>
      <c r="L945" t="n">
        <v>0</v>
      </c>
      <c r="M945" t="n">
        <v>0</v>
      </c>
      <c r="N945" t="n">
        <v>0</v>
      </c>
      <c r="O945" t="n">
        <v>0</v>
      </c>
      <c r="P945" t="n">
        <v>0</v>
      </c>
      <c r="Q945" t="n">
        <v>0</v>
      </c>
      <c r="R945" s="2" t="inlineStr"/>
    </row>
    <row r="946" ht="15" customHeight="1">
      <c r="A946" t="inlineStr">
        <is>
          <t>A 46350-2022</t>
        </is>
      </c>
      <c r="B946" s="1" t="n">
        <v>44848</v>
      </c>
      <c r="C946" s="1" t="n">
        <v>45588</v>
      </c>
      <c r="D946" t="inlineStr">
        <is>
          <t>VÄSTERNORRLANDS LÄN</t>
        </is>
      </c>
      <c r="E946" t="inlineStr">
        <is>
          <t>ÅNGE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47282-2022</t>
        </is>
      </c>
      <c r="B947" s="1" t="n">
        <v>44853</v>
      </c>
      <c r="C947" s="1" t="n">
        <v>45588</v>
      </c>
      <c r="D947" t="inlineStr">
        <is>
          <t>VÄSTERNORRLANDS LÄN</t>
        </is>
      </c>
      <c r="E947" t="inlineStr">
        <is>
          <t>ÅNGE</t>
        </is>
      </c>
      <c r="F947" t="inlineStr">
        <is>
          <t>SCA</t>
        </is>
      </c>
      <c r="G947" t="n">
        <v>0.4</v>
      </c>
      <c r="H947" t="n">
        <v>0</v>
      </c>
      <c r="I947" t="n">
        <v>0</v>
      </c>
      <c r="J947" t="n">
        <v>0</v>
      </c>
      <c r="K947" t="n">
        <v>0</v>
      </c>
      <c r="L947" t="n">
        <v>0</v>
      </c>
      <c r="M947" t="n">
        <v>0</v>
      </c>
      <c r="N947" t="n">
        <v>0</v>
      </c>
      <c r="O947" t="n">
        <v>0</v>
      </c>
      <c r="P947" t="n">
        <v>0</v>
      </c>
      <c r="Q947" t="n">
        <v>0</v>
      </c>
      <c r="R947" s="2" t="inlineStr"/>
    </row>
    <row r="948" ht="15" customHeight="1">
      <c r="A948" t="inlineStr">
        <is>
          <t>A 47106-2022</t>
        </is>
      </c>
      <c r="B948" s="1" t="n">
        <v>44852</v>
      </c>
      <c r="C948" s="1" t="n">
        <v>45588</v>
      </c>
      <c r="D948" t="inlineStr">
        <is>
          <t>VÄSTERNORRLANDS LÄN</t>
        </is>
      </c>
      <c r="E948" t="inlineStr">
        <is>
          <t>ÅNGE</t>
        </is>
      </c>
      <c r="G948" t="n">
        <v>11.9</v>
      </c>
      <c r="H948" t="n">
        <v>0</v>
      </c>
      <c r="I948" t="n">
        <v>0</v>
      </c>
      <c r="J948" t="n">
        <v>0</v>
      </c>
      <c r="K948" t="n">
        <v>0</v>
      </c>
      <c r="L948" t="n">
        <v>0</v>
      </c>
      <c r="M948" t="n">
        <v>0</v>
      </c>
      <c r="N948" t="n">
        <v>0</v>
      </c>
      <c r="O948" t="n">
        <v>0</v>
      </c>
      <c r="P948" t="n">
        <v>0</v>
      </c>
      <c r="Q948" t="n">
        <v>0</v>
      </c>
      <c r="R948" s="2" t="inlineStr"/>
    </row>
    <row r="949" ht="15" customHeight="1">
      <c r="A949" t="inlineStr">
        <is>
          <t>A 47443-2022</t>
        </is>
      </c>
      <c r="B949" s="1" t="n">
        <v>44853</v>
      </c>
      <c r="C949" s="1" t="n">
        <v>45588</v>
      </c>
      <c r="D949" t="inlineStr">
        <is>
          <t>VÄSTERNORRLANDS LÄN</t>
        </is>
      </c>
      <c r="E949" t="inlineStr">
        <is>
          <t>ÅNGE</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47576-2022</t>
        </is>
      </c>
      <c r="B950" s="1" t="n">
        <v>44854</v>
      </c>
      <c r="C950" s="1" t="n">
        <v>45588</v>
      </c>
      <c r="D950" t="inlineStr">
        <is>
          <t>VÄSTERNORRLANDS LÄN</t>
        </is>
      </c>
      <c r="E950" t="inlineStr">
        <is>
          <t>ÅNGE</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47605-2022</t>
        </is>
      </c>
      <c r="B951" s="1" t="n">
        <v>44854</v>
      </c>
      <c r="C951" s="1" t="n">
        <v>45588</v>
      </c>
      <c r="D951" t="inlineStr">
        <is>
          <t>VÄSTERNORRLANDS LÄN</t>
        </is>
      </c>
      <c r="E951" t="inlineStr">
        <is>
          <t>ÅNGE</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47660-2022</t>
        </is>
      </c>
      <c r="B952" s="1" t="n">
        <v>44854</v>
      </c>
      <c r="C952" s="1" t="n">
        <v>45588</v>
      </c>
      <c r="D952" t="inlineStr">
        <is>
          <t>VÄSTERNORRLANDS LÄN</t>
        </is>
      </c>
      <c r="E952" t="inlineStr">
        <is>
          <t>ÅNGE</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47654-2022</t>
        </is>
      </c>
      <c r="B953" s="1" t="n">
        <v>44854</v>
      </c>
      <c r="C953" s="1" t="n">
        <v>45588</v>
      </c>
      <c r="D953" t="inlineStr">
        <is>
          <t>VÄSTERNORRLANDS LÄN</t>
        </is>
      </c>
      <c r="E953" t="inlineStr">
        <is>
          <t>ÅNGE</t>
        </is>
      </c>
      <c r="F953" t="inlineStr">
        <is>
          <t>Holmen skog AB</t>
        </is>
      </c>
      <c r="G953" t="n">
        <v>0.6</v>
      </c>
      <c r="H953" t="n">
        <v>0</v>
      </c>
      <c r="I953" t="n">
        <v>0</v>
      </c>
      <c r="J953" t="n">
        <v>0</v>
      </c>
      <c r="K953" t="n">
        <v>0</v>
      </c>
      <c r="L953" t="n">
        <v>0</v>
      </c>
      <c r="M953" t="n">
        <v>0</v>
      </c>
      <c r="N953" t="n">
        <v>0</v>
      </c>
      <c r="O953" t="n">
        <v>0</v>
      </c>
      <c r="P953" t="n">
        <v>0</v>
      </c>
      <c r="Q953" t="n">
        <v>0</v>
      </c>
      <c r="R953" s="2" t="inlineStr"/>
    </row>
    <row r="954" ht="15" customHeight="1">
      <c r="A954" t="inlineStr">
        <is>
          <t>A 47785-2022</t>
        </is>
      </c>
      <c r="B954" s="1" t="n">
        <v>44855</v>
      </c>
      <c r="C954" s="1" t="n">
        <v>45588</v>
      </c>
      <c r="D954" t="inlineStr">
        <is>
          <t>VÄSTERNORRLANDS LÄN</t>
        </is>
      </c>
      <c r="E954" t="inlineStr">
        <is>
          <t>ÅNGE</t>
        </is>
      </c>
      <c r="F954" t="inlineStr">
        <is>
          <t>SCA</t>
        </is>
      </c>
      <c r="G954" t="n">
        <v>12.6</v>
      </c>
      <c r="H954" t="n">
        <v>0</v>
      </c>
      <c r="I954" t="n">
        <v>0</v>
      </c>
      <c r="J954" t="n">
        <v>0</v>
      </c>
      <c r="K954" t="n">
        <v>0</v>
      </c>
      <c r="L954" t="n">
        <v>0</v>
      </c>
      <c r="M954" t="n">
        <v>0</v>
      </c>
      <c r="N954" t="n">
        <v>0</v>
      </c>
      <c r="O954" t="n">
        <v>0</v>
      </c>
      <c r="P954" t="n">
        <v>0</v>
      </c>
      <c r="Q954" t="n">
        <v>0</v>
      </c>
      <c r="R954" s="2" t="inlineStr"/>
    </row>
    <row r="955" ht="15" customHeight="1">
      <c r="A955" t="inlineStr">
        <is>
          <t>A 47792-2022</t>
        </is>
      </c>
      <c r="B955" s="1" t="n">
        <v>44855</v>
      </c>
      <c r="C955" s="1" t="n">
        <v>45588</v>
      </c>
      <c r="D955" t="inlineStr">
        <is>
          <t>VÄSTERNORRLANDS LÄN</t>
        </is>
      </c>
      <c r="E955" t="inlineStr">
        <is>
          <t>ÅNGE</t>
        </is>
      </c>
      <c r="F955" t="inlineStr">
        <is>
          <t>SCA</t>
        </is>
      </c>
      <c r="G955" t="n">
        <v>10.9</v>
      </c>
      <c r="H955" t="n">
        <v>0</v>
      </c>
      <c r="I955" t="n">
        <v>0</v>
      </c>
      <c r="J955" t="n">
        <v>0</v>
      </c>
      <c r="K955" t="n">
        <v>0</v>
      </c>
      <c r="L955" t="n">
        <v>0</v>
      </c>
      <c r="M955" t="n">
        <v>0</v>
      </c>
      <c r="N955" t="n">
        <v>0</v>
      </c>
      <c r="O955" t="n">
        <v>0</v>
      </c>
      <c r="P955" t="n">
        <v>0</v>
      </c>
      <c r="Q955" t="n">
        <v>0</v>
      </c>
      <c r="R955" s="2" t="inlineStr"/>
    </row>
    <row r="956" ht="15" customHeight="1">
      <c r="A956" t="inlineStr">
        <is>
          <t>A 47791-2022</t>
        </is>
      </c>
      <c r="B956" s="1" t="n">
        <v>44855</v>
      </c>
      <c r="C956" s="1" t="n">
        <v>45588</v>
      </c>
      <c r="D956" t="inlineStr">
        <is>
          <t>VÄSTERNORRLANDS LÄN</t>
        </is>
      </c>
      <c r="E956" t="inlineStr">
        <is>
          <t>ÅNGE</t>
        </is>
      </c>
      <c r="F956" t="inlineStr">
        <is>
          <t>SCA</t>
        </is>
      </c>
      <c r="G956" t="n">
        <v>15.2</v>
      </c>
      <c r="H956" t="n">
        <v>0</v>
      </c>
      <c r="I956" t="n">
        <v>0</v>
      </c>
      <c r="J956" t="n">
        <v>0</v>
      </c>
      <c r="K956" t="n">
        <v>0</v>
      </c>
      <c r="L956" t="n">
        <v>0</v>
      </c>
      <c r="M956" t="n">
        <v>0</v>
      </c>
      <c r="N956" t="n">
        <v>0</v>
      </c>
      <c r="O956" t="n">
        <v>0</v>
      </c>
      <c r="P956" t="n">
        <v>0</v>
      </c>
      <c r="Q956" t="n">
        <v>0</v>
      </c>
      <c r="R956" s="2" t="inlineStr"/>
    </row>
    <row r="957" ht="15" customHeight="1">
      <c r="A957" t="inlineStr">
        <is>
          <t>A 48521-2022</t>
        </is>
      </c>
      <c r="B957" s="1" t="n">
        <v>44858</v>
      </c>
      <c r="C957" s="1" t="n">
        <v>45588</v>
      </c>
      <c r="D957" t="inlineStr">
        <is>
          <t>VÄSTERNORRLANDS LÄN</t>
        </is>
      </c>
      <c r="E957" t="inlineStr">
        <is>
          <t>ÅNGE</t>
        </is>
      </c>
      <c r="F957" t="inlineStr">
        <is>
          <t>SCA</t>
        </is>
      </c>
      <c r="G957" t="n">
        <v>7.4</v>
      </c>
      <c r="H957" t="n">
        <v>0</v>
      </c>
      <c r="I957" t="n">
        <v>0</v>
      </c>
      <c r="J957" t="n">
        <v>0</v>
      </c>
      <c r="K957" t="n">
        <v>0</v>
      </c>
      <c r="L957" t="n">
        <v>0</v>
      </c>
      <c r="M957" t="n">
        <v>0</v>
      </c>
      <c r="N957" t="n">
        <v>0</v>
      </c>
      <c r="O957" t="n">
        <v>0</v>
      </c>
      <c r="P957" t="n">
        <v>0</v>
      </c>
      <c r="Q957" t="n">
        <v>0</v>
      </c>
      <c r="R957" s="2" t="inlineStr"/>
    </row>
    <row r="958" ht="15" customHeight="1">
      <c r="A958" t="inlineStr">
        <is>
          <t>A 50357-2022</t>
        </is>
      </c>
      <c r="B958" s="1" t="n">
        <v>44860</v>
      </c>
      <c r="C958" s="1" t="n">
        <v>45588</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49503-2022</t>
        </is>
      </c>
      <c r="B959" s="1" t="n">
        <v>44862</v>
      </c>
      <c r="C959" s="1" t="n">
        <v>45588</v>
      </c>
      <c r="D959" t="inlineStr">
        <is>
          <t>VÄSTERNORRLANDS LÄN</t>
        </is>
      </c>
      <c r="E959" t="inlineStr">
        <is>
          <t>ÅNGE</t>
        </is>
      </c>
      <c r="G959" t="n">
        <v>0.7</v>
      </c>
      <c r="H959" t="n">
        <v>0</v>
      </c>
      <c r="I959" t="n">
        <v>0</v>
      </c>
      <c r="J959" t="n">
        <v>0</v>
      </c>
      <c r="K959" t="n">
        <v>0</v>
      </c>
      <c r="L959" t="n">
        <v>0</v>
      </c>
      <c r="M959" t="n">
        <v>0</v>
      </c>
      <c r="N959" t="n">
        <v>0</v>
      </c>
      <c r="O959" t="n">
        <v>0</v>
      </c>
      <c r="P959" t="n">
        <v>0</v>
      </c>
      <c r="Q959" t="n">
        <v>0</v>
      </c>
      <c r="R959" s="2" t="inlineStr"/>
    </row>
    <row r="960" ht="15" customHeight="1">
      <c r="A960" t="inlineStr">
        <is>
          <t>A 49502-2022</t>
        </is>
      </c>
      <c r="B960" s="1" t="n">
        <v>44862</v>
      </c>
      <c r="C960" s="1" t="n">
        <v>45588</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50419-2022</t>
        </is>
      </c>
      <c r="B961" s="1" t="n">
        <v>44861</v>
      </c>
      <c r="C961" s="1" t="n">
        <v>45588</v>
      </c>
      <c r="D961" t="inlineStr">
        <is>
          <t>VÄSTERNORRLANDS LÄN</t>
        </is>
      </c>
      <c r="E961" t="inlineStr">
        <is>
          <t>ÅNGE</t>
        </is>
      </c>
      <c r="G961" t="n">
        <v>1.3</v>
      </c>
      <c r="H961" t="n">
        <v>0</v>
      </c>
      <c r="I961" t="n">
        <v>0</v>
      </c>
      <c r="J961" t="n">
        <v>0</v>
      </c>
      <c r="K961" t="n">
        <v>0</v>
      </c>
      <c r="L961" t="n">
        <v>0</v>
      </c>
      <c r="M961" t="n">
        <v>0</v>
      </c>
      <c r="N961" t="n">
        <v>0</v>
      </c>
      <c r="O961" t="n">
        <v>0</v>
      </c>
      <c r="P961" t="n">
        <v>0</v>
      </c>
      <c r="Q961" t="n">
        <v>0</v>
      </c>
      <c r="R961" s="2" t="inlineStr"/>
    </row>
    <row r="962" ht="15" customHeight="1">
      <c r="A962" t="inlineStr">
        <is>
          <t>A 49865-2022</t>
        </is>
      </c>
      <c r="B962" s="1" t="n">
        <v>44863</v>
      </c>
      <c r="C962" s="1" t="n">
        <v>45588</v>
      </c>
      <c r="D962" t="inlineStr">
        <is>
          <t>VÄSTERNORRLANDS LÄN</t>
        </is>
      </c>
      <c r="E962" t="inlineStr">
        <is>
          <t>ÅNGE</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50332-2022</t>
        </is>
      </c>
      <c r="B963" s="1" t="n">
        <v>44865</v>
      </c>
      <c r="C963" s="1" t="n">
        <v>45588</v>
      </c>
      <c r="D963" t="inlineStr">
        <is>
          <t>VÄSTERNORRLANDS LÄN</t>
        </is>
      </c>
      <c r="E963" t="inlineStr">
        <is>
          <t>ÅNGE</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50643-2022</t>
        </is>
      </c>
      <c r="B964" s="1" t="n">
        <v>44866</v>
      </c>
      <c r="C964" s="1" t="n">
        <v>45588</v>
      </c>
      <c r="D964" t="inlineStr">
        <is>
          <t>VÄSTERNORRLANDS LÄN</t>
        </is>
      </c>
      <c r="E964" t="inlineStr">
        <is>
          <t>ÅNGE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50640-2022</t>
        </is>
      </c>
      <c r="B965" s="1" t="n">
        <v>44866</v>
      </c>
      <c r="C965" s="1" t="n">
        <v>45588</v>
      </c>
      <c r="D965" t="inlineStr">
        <is>
          <t>VÄSTERNORRLANDS LÄN</t>
        </is>
      </c>
      <c r="E965" t="inlineStr">
        <is>
          <t>ÅNGE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50665-2022</t>
        </is>
      </c>
      <c r="B966" s="1" t="n">
        <v>44866</v>
      </c>
      <c r="C966" s="1" t="n">
        <v>45588</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51383-2022</t>
        </is>
      </c>
      <c r="B967" s="1" t="n">
        <v>44866</v>
      </c>
      <c r="C967" s="1" t="n">
        <v>45588</v>
      </c>
      <c r="D967" t="inlineStr">
        <is>
          <t>VÄSTERNORRLANDS LÄN</t>
        </is>
      </c>
      <c r="E967" t="inlineStr">
        <is>
          <t>ÅNGE</t>
        </is>
      </c>
      <c r="G967" t="n">
        <v>1.5</v>
      </c>
      <c r="H967" t="n">
        <v>0</v>
      </c>
      <c r="I967" t="n">
        <v>0</v>
      </c>
      <c r="J967" t="n">
        <v>0</v>
      </c>
      <c r="K967" t="n">
        <v>0</v>
      </c>
      <c r="L967" t="n">
        <v>0</v>
      </c>
      <c r="M967" t="n">
        <v>0</v>
      </c>
      <c r="N967" t="n">
        <v>0</v>
      </c>
      <c r="O967" t="n">
        <v>0</v>
      </c>
      <c r="P967" t="n">
        <v>0</v>
      </c>
      <c r="Q967" t="n">
        <v>0</v>
      </c>
      <c r="R967" s="2" t="inlineStr"/>
    </row>
    <row r="968" ht="15" customHeight="1">
      <c r="A968" t="inlineStr">
        <is>
          <t>A 51131-2022</t>
        </is>
      </c>
      <c r="B968" s="1" t="n">
        <v>44868</v>
      </c>
      <c r="C968" s="1" t="n">
        <v>45588</v>
      </c>
      <c r="D968" t="inlineStr">
        <is>
          <t>VÄSTERNORRLANDS LÄN</t>
        </is>
      </c>
      <c r="E968" t="inlineStr">
        <is>
          <t>ÅNGE</t>
        </is>
      </c>
      <c r="G968" t="n">
        <v>11.1</v>
      </c>
      <c r="H968" t="n">
        <v>0</v>
      </c>
      <c r="I968" t="n">
        <v>0</v>
      </c>
      <c r="J968" t="n">
        <v>0</v>
      </c>
      <c r="K968" t="n">
        <v>0</v>
      </c>
      <c r="L968" t="n">
        <v>0</v>
      </c>
      <c r="M968" t="n">
        <v>0</v>
      </c>
      <c r="N968" t="n">
        <v>0</v>
      </c>
      <c r="O968" t="n">
        <v>0</v>
      </c>
      <c r="P968" t="n">
        <v>0</v>
      </c>
      <c r="Q968" t="n">
        <v>0</v>
      </c>
      <c r="R968" s="2" t="inlineStr"/>
    </row>
    <row r="969" ht="15" customHeight="1">
      <c r="A969" t="inlineStr">
        <is>
          <t>A 51263-2022</t>
        </is>
      </c>
      <c r="B969" s="1" t="n">
        <v>44868</v>
      </c>
      <c r="C969" s="1" t="n">
        <v>45588</v>
      </c>
      <c r="D969" t="inlineStr">
        <is>
          <t>VÄSTERNORRLANDS LÄN</t>
        </is>
      </c>
      <c r="E969" t="inlineStr">
        <is>
          <t>ÅNGE</t>
        </is>
      </c>
      <c r="F969" t="inlineStr">
        <is>
          <t>Holmen skog AB</t>
        </is>
      </c>
      <c r="G969" t="n">
        <v>12.1</v>
      </c>
      <c r="H969" t="n">
        <v>0</v>
      </c>
      <c r="I969" t="n">
        <v>0</v>
      </c>
      <c r="J969" t="n">
        <v>0</v>
      </c>
      <c r="K969" t="n">
        <v>0</v>
      </c>
      <c r="L969" t="n">
        <v>0</v>
      </c>
      <c r="M969" t="n">
        <v>0</v>
      </c>
      <c r="N969" t="n">
        <v>0</v>
      </c>
      <c r="O969" t="n">
        <v>0</v>
      </c>
      <c r="P969" t="n">
        <v>0</v>
      </c>
      <c r="Q969" t="n">
        <v>0</v>
      </c>
      <c r="R969" s="2" t="inlineStr"/>
    </row>
    <row r="970" ht="15" customHeight="1">
      <c r="A970" t="inlineStr">
        <is>
          <t>A 51311-2022</t>
        </is>
      </c>
      <c r="B970" s="1" t="n">
        <v>44868</v>
      </c>
      <c r="C970" s="1" t="n">
        <v>45588</v>
      </c>
      <c r="D970" t="inlineStr">
        <is>
          <t>VÄSTERNORRLANDS LÄN</t>
        </is>
      </c>
      <c r="E970" t="inlineStr">
        <is>
          <t>ÅNGE</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51261-2022</t>
        </is>
      </c>
      <c r="B971" s="1" t="n">
        <v>44868</v>
      </c>
      <c r="C971" s="1" t="n">
        <v>45588</v>
      </c>
      <c r="D971" t="inlineStr">
        <is>
          <t>VÄSTERNORRLANDS LÄN</t>
        </is>
      </c>
      <c r="E971" t="inlineStr">
        <is>
          <t>ÅNGE</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51313-2022</t>
        </is>
      </c>
      <c r="B972" s="1" t="n">
        <v>44868</v>
      </c>
      <c r="C972" s="1" t="n">
        <v>45588</v>
      </c>
      <c r="D972" t="inlineStr">
        <is>
          <t>VÄSTERNORRLANDS LÄN</t>
        </is>
      </c>
      <c r="E972" t="inlineStr">
        <is>
          <t>ÅNGE</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51393-2022</t>
        </is>
      </c>
      <c r="B973" s="1" t="n">
        <v>44869</v>
      </c>
      <c r="C973" s="1" t="n">
        <v>45588</v>
      </c>
      <c r="D973" t="inlineStr">
        <is>
          <t>VÄSTERNORRLANDS LÄN</t>
        </is>
      </c>
      <c r="E973" t="inlineStr">
        <is>
          <t>ÅNGE</t>
        </is>
      </c>
      <c r="F973" t="inlineStr">
        <is>
          <t>Holmen skog AB</t>
        </is>
      </c>
      <c r="G973" t="n">
        <v>1.1</v>
      </c>
      <c r="H973" t="n">
        <v>0</v>
      </c>
      <c r="I973" t="n">
        <v>0</v>
      </c>
      <c r="J973" t="n">
        <v>0</v>
      </c>
      <c r="K973" t="n">
        <v>0</v>
      </c>
      <c r="L973" t="n">
        <v>0</v>
      </c>
      <c r="M973" t="n">
        <v>0</v>
      </c>
      <c r="N973" t="n">
        <v>0</v>
      </c>
      <c r="O973" t="n">
        <v>0</v>
      </c>
      <c r="P973" t="n">
        <v>0</v>
      </c>
      <c r="Q973" t="n">
        <v>0</v>
      </c>
      <c r="R973" s="2" t="inlineStr"/>
    </row>
    <row r="974" ht="15" customHeight="1">
      <c r="A974" t="inlineStr">
        <is>
          <t>A 51542-2022</t>
        </is>
      </c>
      <c r="B974" s="1" t="n">
        <v>44869</v>
      </c>
      <c r="C974" s="1" t="n">
        <v>45588</v>
      </c>
      <c r="D974" t="inlineStr">
        <is>
          <t>VÄSTERNORRLANDS LÄN</t>
        </is>
      </c>
      <c r="E974" t="inlineStr">
        <is>
          <t>ÅNGE</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51555-2022</t>
        </is>
      </c>
      <c r="B975" s="1" t="n">
        <v>44869</v>
      </c>
      <c r="C975" s="1" t="n">
        <v>45588</v>
      </c>
      <c r="D975" t="inlineStr">
        <is>
          <t>VÄSTERNORRLANDS LÄN</t>
        </is>
      </c>
      <c r="E975" t="inlineStr">
        <is>
          <t>ÅNGE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51494-2022</t>
        </is>
      </c>
      <c r="B976" s="1" t="n">
        <v>44869</v>
      </c>
      <c r="C976" s="1" t="n">
        <v>45588</v>
      </c>
      <c r="D976" t="inlineStr">
        <is>
          <t>VÄSTERNORRLANDS LÄN</t>
        </is>
      </c>
      <c r="E976" t="inlineStr">
        <is>
          <t>ÅNGE</t>
        </is>
      </c>
      <c r="G976" t="n">
        <v>1.2</v>
      </c>
      <c r="H976" t="n">
        <v>0</v>
      </c>
      <c r="I976" t="n">
        <v>0</v>
      </c>
      <c r="J976" t="n">
        <v>0</v>
      </c>
      <c r="K976" t="n">
        <v>0</v>
      </c>
      <c r="L976" t="n">
        <v>0</v>
      </c>
      <c r="M976" t="n">
        <v>0</v>
      </c>
      <c r="N976" t="n">
        <v>0</v>
      </c>
      <c r="O976" t="n">
        <v>0</v>
      </c>
      <c r="P976" t="n">
        <v>0</v>
      </c>
      <c r="Q976" t="n">
        <v>0</v>
      </c>
      <c r="R976" s="2" t="inlineStr"/>
    </row>
    <row r="977" ht="15" customHeight="1">
      <c r="A977" t="inlineStr">
        <is>
          <t>A 51997-2022</t>
        </is>
      </c>
      <c r="B977" s="1" t="n">
        <v>44872</v>
      </c>
      <c r="C977" s="1" t="n">
        <v>45588</v>
      </c>
      <c r="D977" t="inlineStr">
        <is>
          <t>VÄSTERNORRLANDS LÄN</t>
        </is>
      </c>
      <c r="E977" t="inlineStr">
        <is>
          <t>ÅNGE</t>
        </is>
      </c>
      <c r="G977" t="n">
        <v>3.3</v>
      </c>
      <c r="H977" t="n">
        <v>0</v>
      </c>
      <c r="I977" t="n">
        <v>0</v>
      </c>
      <c r="J977" t="n">
        <v>0</v>
      </c>
      <c r="K977" t="n">
        <v>0</v>
      </c>
      <c r="L977" t="n">
        <v>0</v>
      </c>
      <c r="M977" t="n">
        <v>0</v>
      </c>
      <c r="N977" t="n">
        <v>0</v>
      </c>
      <c r="O977" t="n">
        <v>0</v>
      </c>
      <c r="P977" t="n">
        <v>0</v>
      </c>
      <c r="Q977" t="n">
        <v>0</v>
      </c>
      <c r="R977" s="2" t="inlineStr"/>
    </row>
    <row r="978" ht="15" customHeight="1">
      <c r="A978" t="inlineStr">
        <is>
          <t>A 51996-2022</t>
        </is>
      </c>
      <c r="B978" s="1" t="n">
        <v>44872</v>
      </c>
      <c r="C978" s="1" t="n">
        <v>45588</v>
      </c>
      <c r="D978" t="inlineStr">
        <is>
          <t>VÄSTERNORRLANDS LÄN</t>
        </is>
      </c>
      <c r="E978" t="inlineStr">
        <is>
          <t>ÅNGE</t>
        </is>
      </c>
      <c r="G978" t="n">
        <v>2.1</v>
      </c>
      <c r="H978" t="n">
        <v>0</v>
      </c>
      <c r="I978" t="n">
        <v>0</v>
      </c>
      <c r="J978" t="n">
        <v>0</v>
      </c>
      <c r="K978" t="n">
        <v>0</v>
      </c>
      <c r="L978" t="n">
        <v>0</v>
      </c>
      <c r="M978" t="n">
        <v>0</v>
      </c>
      <c r="N978" t="n">
        <v>0</v>
      </c>
      <c r="O978" t="n">
        <v>0</v>
      </c>
      <c r="P978" t="n">
        <v>0</v>
      </c>
      <c r="Q978" t="n">
        <v>0</v>
      </c>
      <c r="R978" s="2" t="inlineStr"/>
    </row>
    <row r="979" ht="15" customHeight="1">
      <c r="A979" t="inlineStr">
        <is>
          <t>A 52015-2022</t>
        </is>
      </c>
      <c r="B979" s="1" t="n">
        <v>44872</v>
      </c>
      <c r="C979" s="1" t="n">
        <v>45588</v>
      </c>
      <c r="D979" t="inlineStr">
        <is>
          <t>VÄSTERNORRLANDS LÄN</t>
        </is>
      </c>
      <c r="E979" t="inlineStr">
        <is>
          <t>ÅNGE</t>
        </is>
      </c>
      <c r="F979" t="inlineStr">
        <is>
          <t>SCA</t>
        </is>
      </c>
      <c r="G979" t="n">
        <v>4.1</v>
      </c>
      <c r="H979" t="n">
        <v>0</v>
      </c>
      <c r="I979" t="n">
        <v>0</v>
      </c>
      <c r="J979" t="n">
        <v>0</v>
      </c>
      <c r="K979" t="n">
        <v>0</v>
      </c>
      <c r="L979" t="n">
        <v>0</v>
      </c>
      <c r="M979" t="n">
        <v>0</v>
      </c>
      <c r="N979" t="n">
        <v>0</v>
      </c>
      <c r="O979" t="n">
        <v>0</v>
      </c>
      <c r="P979" t="n">
        <v>0</v>
      </c>
      <c r="Q979" t="n">
        <v>0</v>
      </c>
      <c r="R979" s="2" t="inlineStr"/>
    </row>
    <row r="980" ht="15" customHeight="1">
      <c r="A980" t="inlineStr">
        <is>
          <t>A 52182-2022</t>
        </is>
      </c>
      <c r="B980" s="1" t="n">
        <v>44873</v>
      </c>
      <c r="C980" s="1" t="n">
        <v>45588</v>
      </c>
      <c r="D980" t="inlineStr">
        <is>
          <t>VÄSTERNORRLANDS LÄN</t>
        </is>
      </c>
      <c r="E980" t="inlineStr">
        <is>
          <t>ÅNGE</t>
        </is>
      </c>
      <c r="G980" t="n">
        <v>1.3</v>
      </c>
      <c r="H980" t="n">
        <v>0</v>
      </c>
      <c r="I980" t="n">
        <v>0</v>
      </c>
      <c r="J980" t="n">
        <v>0</v>
      </c>
      <c r="K980" t="n">
        <v>0</v>
      </c>
      <c r="L980" t="n">
        <v>0</v>
      </c>
      <c r="M980" t="n">
        <v>0</v>
      </c>
      <c r="N980" t="n">
        <v>0</v>
      </c>
      <c r="O980" t="n">
        <v>0</v>
      </c>
      <c r="P980" t="n">
        <v>0</v>
      </c>
      <c r="Q980" t="n">
        <v>0</v>
      </c>
      <c r="R980" s="2" t="inlineStr"/>
    </row>
    <row r="981" ht="15" customHeight="1">
      <c r="A981" t="inlineStr">
        <is>
          <t>A 52179-2022</t>
        </is>
      </c>
      <c r="B981" s="1" t="n">
        <v>44873</v>
      </c>
      <c r="C981" s="1" t="n">
        <v>45588</v>
      </c>
      <c r="D981" t="inlineStr">
        <is>
          <t>VÄSTERNORRLANDS LÄN</t>
        </is>
      </c>
      <c r="E981" t="inlineStr">
        <is>
          <t>ÅNGE</t>
        </is>
      </c>
      <c r="G981" t="n">
        <v>5.8</v>
      </c>
      <c r="H981" t="n">
        <v>0</v>
      </c>
      <c r="I981" t="n">
        <v>0</v>
      </c>
      <c r="J981" t="n">
        <v>0</v>
      </c>
      <c r="K981" t="n">
        <v>0</v>
      </c>
      <c r="L981" t="n">
        <v>0</v>
      </c>
      <c r="M981" t="n">
        <v>0</v>
      </c>
      <c r="N981" t="n">
        <v>0</v>
      </c>
      <c r="O981" t="n">
        <v>0</v>
      </c>
      <c r="P981" t="n">
        <v>0</v>
      </c>
      <c r="Q981" t="n">
        <v>0</v>
      </c>
      <c r="R981" s="2" t="inlineStr"/>
    </row>
    <row r="982" ht="15" customHeight="1">
      <c r="A982" t="inlineStr">
        <is>
          <t>A 52347-2022</t>
        </is>
      </c>
      <c r="B982" s="1" t="n">
        <v>44873</v>
      </c>
      <c r="C982" s="1" t="n">
        <v>45588</v>
      </c>
      <c r="D982" t="inlineStr">
        <is>
          <t>VÄSTERNORRLANDS LÄN</t>
        </is>
      </c>
      <c r="E982" t="inlineStr">
        <is>
          <t>ÅNGE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52346-2022</t>
        </is>
      </c>
      <c r="B983" s="1" t="n">
        <v>44873</v>
      </c>
      <c r="C983" s="1" t="n">
        <v>45588</v>
      </c>
      <c r="D983" t="inlineStr">
        <is>
          <t>VÄSTERNORRLANDS LÄN</t>
        </is>
      </c>
      <c r="E983" t="inlineStr">
        <is>
          <t>ÅNGE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53010-2022</t>
        </is>
      </c>
      <c r="B984" s="1" t="n">
        <v>44875</v>
      </c>
      <c r="C984" s="1" t="n">
        <v>45588</v>
      </c>
      <c r="D984" t="inlineStr">
        <is>
          <t>VÄSTERNORRLANDS LÄN</t>
        </is>
      </c>
      <c r="E984" t="inlineStr">
        <is>
          <t>ÅNGE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53304-2022</t>
        </is>
      </c>
      <c r="B985" s="1" t="n">
        <v>44878</v>
      </c>
      <c r="C985" s="1" t="n">
        <v>45588</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53439-2022</t>
        </is>
      </c>
      <c r="B986" s="1" t="n">
        <v>44879</v>
      </c>
      <c r="C986" s="1" t="n">
        <v>45588</v>
      </c>
      <c r="D986" t="inlineStr">
        <is>
          <t>VÄSTERNORRLANDS LÄN</t>
        </is>
      </c>
      <c r="E986" t="inlineStr">
        <is>
          <t>ÅNGE</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53663-2022</t>
        </is>
      </c>
      <c r="B987" s="1" t="n">
        <v>44879</v>
      </c>
      <c r="C987" s="1" t="n">
        <v>45588</v>
      </c>
      <c r="D987" t="inlineStr">
        <is>
          <t>VÄSTERNORRLANDS LÄN</t>
        </is>
      </c>
      <c r="E987" t="inlineStr">
        <is>
          <t>ÅNGE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53664-2022</t>
        </is>
      </c>
      <c r="B988" s="1" t="n">
        <v>44879</v>
      </c>
      <c r="C988" s="1" t="n">
        <v>45588</v>
      </c>
      <c r="D988" t="inlineStr">
        <is>
          <t>VÄSTERNORRLANDS LÄN</t>
        </is>
      </c>
      <c r="E988" t="inlineStr">
        <is>
          <t>ÅNGE</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53854-2022</t>
        </is>
      </c>
      <c r="B989" s="1" t="n">
        <v>44880</v>
      </c>
      <c r="C989" s="1" t="n">
        <v>45588</v>
      </c>
      <c r="D989" t="inlineStr">
        <is>
          <t>VÄSTERNORRLANDS LÄN</t>
        </is>
      </c>
      <c r="E989" t="inlineStr">
        <is>
          <t>ÅNGE</t>
        </is>
      </c>
      <c r="G989" t="n">
        <v>2.2</v>
      </c>
      <c r="H989" t="n">
        <v>0</v>
      </c>
      <c r="I989" t="n">
        <v>0</v>
      </c>
      <c r="J989" t="n">
        <v>0</v>
      </c>
      <c r="K989" t="n">
        <v>0</v>
      </c>
      <c r="L989" t="n">
        <v>0</v>
      </c>
      <c r="M989" t="n">
        <v>0</v>
      </c>
      <c r="N989" t="n">
        <v>0</v>
      </c>
      <c r="O989" t="n">
        <v>0</v>
      </c>
      <c r="P989" t="n">
        <v>0</v>
      </c>
      <c r="Q989" t="n">
        <v>0</v>
      </c>
      <c r="R989" s="2" t="inlineStr"/>
    </row>
    <row r="990" ht="15" customHeight="1">
      <c r="A990" t="inlineStr">
        <is>
          <t>A 53950-2022</t>
        </is>
      </c>
      <c r="B990" s="1" t="n">
        <v>44880</v>
      </c>
      <c r="C990" s="1" t="n">
        <v>45588</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54027-2022</t>
        </is>
      </c>
      <c r="B991" s="1" t="n">
        <v>44881</v>
      </c>
      <c r="C991" s="1" t="n">
        <v>45588</v>
      </c>
      <c r="D991" t="inlineStr">
        <is>
          <t>VÄSTERNORRLANDS LÄN</t>
        </is>
      </c>
      <c r="E991" t="inlineStr">
        <is>
          <t>ÅNGE</t>
        </is>
      </c>
      <c r="F991" t="inlineStr">
        <is>
          <t>Holmen skog AB</t>
        </is>
      </c>
      <c r="G991" t="n">
        <v>4.6</v>
      </c>
      <c r="H991" t="n">
        <v>0</v>
      </c>
      <c r="I991" t="n">
        <v>0</v>
      </c>
      <c r="J991" t="n">
        <v>0</v>
      </c>
      <c r="K991" t="n">
        <v>0</v>
      </c>
      <c r="L991" t="n">
        <v>0</v>
      </c>
      <c r="M991" t="n">
        <v>0</v>
      </c>
      <c r="N991" t="n">
        <v>0</v>
      </c>
      <c r="O991" t="n">
        <v>0</v>
      </c>
      <c r="P991" t="n">
        <v>0</v>
      </c>
      <c r="Q991" t="n">
        <v>0</v>
      </c>
      <c r="R991" s="2" t="inlineStr"/>
    </row>
    <row r="992" ht="15" customHeight="1">
      <c r="A992" t="inlineStr">
        <is>
          <t>A 54250-2022</t>
        </is>
      </c>
      <c r="B992" s="1" t="n">
        <v>44881</v>
      </c>
      <c r="C992" s="1" t="n">
        <v>45588</v>
      </c>
      <c r="D992" t="inlineStr">
        <is>
          <t>VÄSTERNORRLANDS LÄN</t>
        </is>
      </c>
      <c r="E992" t="inlineStr">
        <is>
          <t>ÅNGE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55007-2022</t>
        </is>
      </c>
      <c r="B993" s="1" t="n">
        <v>44881</v>
      </c>
      <c r="C993" s="1" t="n">
        <v>45588</v>
      </c>
      <c r="D993" t="inlineStr">
        <is>
          <t>VÄSTERNORRLANDS LÄN</t>
        </is>
      </c>
      <c r="E993" t="inlineStr">
        <is>
          <t>ÅNGE</t>
        </is>
      </c>
      <c r="G993" t="n">
        <v>2</v>
      </c>
      <c r="H993" t="n">
        <v>0</v>
      </c>
      <c r="I993" t="n">
        <v>0</v>
      </c>
      <c r="J993" t="n">
        <v>0</v>
      </c>
      <c r="K993" t="n">
        <v>0</v>
      </c>
      <c r="L993" t="n">
        <v>0</v>
      </c>
      <c r="M993" t="n">
        <v>0</v>
      </c>
      <c r="N993" t="n">
        <v>0</v>
      </c>
      <c r="O993" t="n">
        <v>0</v>
      </c>
      <c r="P993" t="n">
        <v>0</v>
      </c>
      <c r="Q993" t="n">
        <v>0</v>
      </c>
      <c r="R993" s="2" t="inlineStr"/>
    </row>
    <row r="994" ht="15" customHeight="1">
      <c r="A994" t="inlineStr">
        <is>
          <t>A 54453-2022</t>
        </is>
      </c>
      <c r="B994" s="1" t="n">
        <v>44882</v>
      </c>
      <c r="C994" s="1" t="n">
        <v>45588</v>
      </c>
      <c r="D994" t="inlineStr">
        <is>
          <t>VÄSTERNORRLANDS LÄN</t>
        </is>
      </c>
      <c r="E994" t="inlineStr">
        <is>
          <t>ÅNGE</t>
        </is>
      </c>
      <c r="G994" t="n">
        <v>22.3</v>
      </c>
      <c r="H994" t="n">
        <v>0</v>
      </c>
      <c r="I994" t="n">
        <v>0</v>
      </c>
      <c r="J994" t="n">
        <v>0</v>
      </c>
      <c r="K994" t="n">
        <v>0</v>
      </c>
      <c r="L994" t="n">
        <v>0</v>
      </c>
      <c r="M994" t="n">
        <v>0</v>
      </c>
      <c r="N994" t="n">
        <v>0</v>
      </c>
      <c r="O994" t="n">
        <v>0</v>
      </c>
      <c r="P994" t="n">
        <v>0</v>
      </c>
      <c r="Q994" t="n">
        <v>0</v>
      </c>
      <c r="R994" s="2" t="inlineStr"/>
    </row>
    <row r="995" ht="15" customHeight="1">
      <c r="A995" t="inlineStr">
        <is>
          <t>A 54575-2022</t>
        </is>
      </c>
      <c r="B995" s="1" t="n">
        <v>44882</v>
      </c>
      <c r="C995" s="1" t="n">
        <v>45588</v>
      </c>
      <c r="D995" t="inlineStr">
        <is>
          <t>VÄSTERNORRLANDS LÄN</t>
        </is>
      </c>
      <c r="E995" t="inlineStr">
        <is>
          <t>ÅNGE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54579-2022</t>
        </is>
      </c>
      <c r="B996" s="1" t="n">
        <v>44882</v>
      </c>
      <c r="C996" s="1" t="n">
        <v>45588</v>
      </c>
      <c r="D996" t="inlineStr">
        <is>
          <t>VÄSTERNORRLANDS LÄN</t>
        </is>
      </c>
      <c r="E996" t="inlineStr">
        <is>
          <t>ÅNGE</t>
        </is>
      </c>
      <c r="F996" t="inlineStr">
        <is>
          <t>SCA</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54821-2022</t>
        </is>
      </c>
      <c r="B997" s="1" t="n">
        <v>44883</v>
      </c>
      <c r="C997" s="1" t="n">
        <v>45588</v>
      </c>
      <c r="D997" t="inlineStr">
        <is>
          <t>VÄSTERNORRLANDS LÄN</t>
        </is>
      </c>
      <c r="E997" t="inlineStr">
        <is>
          <t>ÅNGE</t>
        </is>
      </c>
      <c r="G997" t="n">
        <v>7.4</v>
      </c>
      <c r="H997" t="n">
        <v>0</v>
      </c>
      <c r="I997" t="n">
        <v>0</v>
      </c>
      <c r="J997" t="n">
        <v>0</v>
      </c>
      <c r="K997" t="n">
        <v>0</v>
      </c>
      <c r="L997" t="n">
        <v>0</v>
      </c>
      <c r="M997" t="n">
        <v>0</v>
      </c>
      <c r="N997" t="n">
        <v>0</v>
      </c>
      <c r="O997" t="n">
        <v>0</v>
      </c>
      <c r="P997" t="n">
        <v>0</v>
      </c>
      <c r="Q997" t="n">
        <v>0</v>
      </c>
      <c r="R997" s="2" t="inlineStr"/>
    </row>
    <row r="998" ht="15" customHeight="1">
      <c r="A998" t="inlineStr">
        <is>
          <t>A 55197-2022</t>
        </is>
      </c>
      <c r="B998" s="1" t="n">
        <v>44886</v>
      </c>
      <c r="C998" s="1" t="n">
        <v>45588</v>
      </c>
      <c r="D998" t="inlineStr">
        <is>
          <t>VÄSTERNORRLANDS LÄN</t>
        </is>
      </c>
      <c r="E998" t="inlineStr">
        <is>
          <t>ÅNGE</t>
        </is>
      </c>
      <c r="G998" t="n">
        <v>1.4</v>
      </c>
      <c r="H998" t="n">
        <v>0</v>
      </c>
      <c r="I998" t="n">
        <v>0</v>
      </c>
      <c r="J998" t="n">
        <v>0</v>
      </c>
      <c r="K998" t="n">
        <v>0</v>
      </c>
      <c r="L998" t="n">
        <v>0</v>
      </c>
      <c r="M998" t="n">
        <v>0</v>
      </c>
      <c r="N998" t="n">
        <v>0</v>
      </c>
      <c r="O998" t="n">
        <v>0</v>
      </c>
      <c r="P998" t="n">
        <v>0</v>
      </c>
      <c r="Q998" t="n">
        <v>0</v>
      </c>
      <c r="R998" s="2" t="inlineStr"/>
    </row>
    <row r="999" ht="15" customHeight="1">
      <c r="A999" t="inlineStr">
        <is>
          <t>A 55112-2022</t>
        </is>
      </c>
      <c r="B999" s="1" t="n">
        <v>44886</v>
      </c>
      <c r="C999" s="1" t="n">
        <v>45588</v>
      </c>
      <c r="D999" t="inlineStr">
        <is>
          <t>VÄSTERNORRLANDS LÄN</t>
        </is>
      </c>
      <c r="E999" t="inlineStr">
        <is>
          <t>ÅNGE</t>
        </is>
      </c>
      <c r="F999" t="inlineStr">
        <is>
          <t>Holmen skog AB</t>
        </is>
      </c>
      <c r="G999" t="n">
        <v>3.9</v>
      </c>
      <c r="H999" t="n">
        <v>0</v>
      </c>
      <c r="I999" t="n">
        <v>0</v>
      </c>
      <c r="J999" t="n">
        <v>0</v>
      </c>
      <c r="K999" t="n">
        <v>0</v>
      </c>
      <c r="L999" t="n">
        <v>0</v>
      </c>
      <c r="M999" t="n">
        <v>0</v>
      </c>
      <c r="N999" t="n">
        <v>0</v>
      </c>
      <c r="O999" t="n">
        <v>0</v>
      </c>
      <c r="P999" t="n">
        <v>0</v>
      </c>
      <c r="Q999" t="n">
        <v>0</v>
      </c>
      <c r="R999" s="2" t="inlineStr"/>
    </row>
    <row r="1000" ht="15" customHeight="1">
      <c r="A1000" t="inlineStr">
        <is>
          <t>A 55213-2022</t>
        </is>
      </c>
      <c r="B1000" s="1" t="n">
        <v>44887</v>
      </c>
      <c r="C1000" s="1" t="n">
        <v>45588</v>
      </c>
      <c r="D1000" t="inlineStr">
        <is>
          <t>VÄSTERNORRLANDS LÄN</t>
        </is>
      </c>
      <c r="E1000" t="inlineStr">
        <is>
          <t>ÅNGE</t>
        </is>
      </c>
      <c r="F1000" t="inlineStr">
        <is>
          <t>SCA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55212-2022</t>
        </is>
      </c>
      <c r="B1001" s="1" t="n">
        <v>44886</v>
      </c>
      <c r="C1001" s="1" t="n">
        <v>45588</v>
      </c>
      <c r="D1001" t="inlineStr">
        <is>
          <t>VÄSTERNORRLANDS LÄN</t>
        </is>
      </c>
      <c r="E1001" t="inlineStr">
        <is>
          <t>ÅNGE</t>
        </is>
      </c>
      <c r="F1001" t="inlineStr">
        <is>
          <t>SCA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55361-2022</t>
        </is>
      </c>
      <c r="B1002" s="1" t="n">
        <v>44887</v>
      </c>
      <c r="C1002" s="1" t="n">
        <v>45588</v>
      </c>
      <c r="D1002" t="inlineStr">
        <is>
          <t>VÄSTERNORRLANDS LÄN</t>
        </is>
      </c>
      <c r="E1002" t="inlineStr">
        <is>
          <t>ÅNGE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55526-2022</t>
        </is>
      </c>
      <c r="B1003" s="1" t="n">
        <v>44887</v>
      </c>
      <c r="C1003" s="1" t="n">
        <v>45588</v>
      </c>
      <c r="D1003" t="inlineStr">
        <is>
          <t>VÄSTERNORRLANDS LÄN</t>
        </is>
      </c>
      <c r="E1003" t="inlineStr">
        <is>
          <t>ÅNGE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55474-2022</t>
        </is>
      </c>
      <c r="B1004" s="1" t="n">
        <v>44887</v>
      </c>
      <c r="C1004" s="1" t="n">
        <v>45588</v>
      </c>
      <c r="D1004" t="inlineStr">
        <is>
          <t>VÄSTERNORRLANDS LÄN</t>
        </is>
      </c>
      <c r="E1004" t="inlineStr">
        <is>
          <t>ÅNGE</t>
        </is>
      </c>
      <c r="F1004" t="inlineStr">
        <is>
          <t>Holmen skog AB</t>
        </is>
      </c>
      <c r="G1004" t="n">
        <v>17.9</v>
      </c>
      <c r="H1004" t="n">
        <v>0</v>
      </c>
      <c r="I1004" t="n">
        <v>0</v>
      </c>
      <c r="J1004" t="n">
        <v>0</v>
      </c>
      <c r="K1004" t="n">
        <v>0</v>
      </c>
      <c r="L1004" t="n">
        <v>0</v>
      </c>
      <c r="M1004" t="n">
        <v>0</v>
      </c>
      <c r="N1004" t="n">
        <v>0</v>
      </c>
      <c r="O1004" t="n">
        <v>0</v>
      </c>
      <c r="P1004" t="n">
        <v>0</v>
      </c>
      <c r="Q1004" t="n">
        <v>0</v>
      </c>
      <c r="R1004" s="2" t="inlineStr"/>
    </row>
    <row r="1005" ht="15" customHeight="1">
      <c r="A1005" t="inlineStr">
        <is>
          <t>A 55527-2022</t>
        </is>
      </c>
      <c r="B1005" s="1" t="n">
        <v>44887</v>
      </c>
      <c r="C1005" s="1" t="n">
        <v>45588</v>
      </c>
      <c r="D1005" t="inlineStr">
        <is>
          <t>VÄSTERNORRLANDS LÄN</t>
        </is>
      </c>
      <c r="E1005" t="inlineStr">
        <is>
          <t>ÅNGE</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55729-2022</t>
        </is>
      </c>
      <c r="B1006" s="1" t="n">
        <v>44888</v>
      </c>
      <c r="C1006" s="1" t="n">
        <v>45588</v>
      </c>
      <c r="D1006" t="inlineStr">
        <is>
          <t>VÄSTERNORRLANDS LÄN</t>
        </is>
      </c>
      <c r="E1006" t="inlineStr">
        <is>
          <t>ÅNGE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55754-2022</t>
        </is>
      </c>
      <c r="B1007" s="1" t="n">
        <v>44888</v>
      </c>
      <c r="C1007" s="1" t="n">
        <v>45588</v>
      </c>
      <c r="D1007" t="inlineStr">
        <is>
          <t>VÄSTERNORRLANDS LÄN</t>
        </is>
      </c>
      <c r="E1007" t="inlineStr">
        <is>
          <t>ÅNGE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55816-2022</t>
        </is>
      </c>
      <c r="B1008" s="1" t="n">
        <v>44888</v>
      </c>
      <c r="C1008" s="1" t="n">
        <v>45588</v>
      </c>
      <c r="D1008" t="inlineStr">
        <is>
          <t>VÄSTERNORRLANDS LÄN</t>
        </is>
      </c>
      <c r="E1008" t="inlineStr">
        <is>
          <t>ÅNGE</t>
        </is>
      </c>
      <c r="F1008" t="inlineStr">
        <is>
          <t>Holmen skog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55883-2022</t>
        </is>
      </c>
      <c r="B1009" s="1" t="n">
        <v>44888</v>
      </c>
      <c r="C1009" s="1" t="n">
        <v>45588</v>
      </c>
      <c r="D1009" t="inlineStr">
        <is>
          <t>VÄSTERNORRLANDS LÄN</t>
        </is>
      </c>
      <c r="E1009" t="inlineStr">
        <is>
          <t>ÅNGE</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55882-2022</t>
        </is>
      </c>
      <c r="B1010" s="1" t="n">
        <v>44888</v>
      </c>
      <c r="C1010" s="1" t="n">
        <v>45588</v>
      </c>
      <c r="D1010" t="inlineStr">
        <is>
          <t>VÄSTERNORRLANDS LÄN</t>
        </is>
      </c>
      <c r="E1010" t="inlineStr">
        <is>
          <t>ÅNGE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55907-2022</t>
        </is>
      </c>
      <c r="B1011" s="1" t="n">
        <v>44888</v>
      </c>
      <c r="C1011" s="1" t="n">
        <v>45588</v>
      </c>
      <c r="D1011" t="inlineStr">
        <is>
          <t>VÄSTERNORRLANDS LÄN</t>
        </is>
      </c>
      <c r="E1011" t="inlineStr">
        <is>
          <t>ÅNGE</t>
        </is>
      </c>
      <c r="F1011" t="inlineStr">
        <is>
          <t>SCA</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55906-2022</t>
        </is>
      </c>
      <c r="B1012" s="1" t="n">
        <v>44888</v>
      </c>
      <c r="C1012" s="1" t="n">
        <v>45588</v>
      </c>
      <c r="D1012" t="inlineStr">
        <is>
          <t>VÄSTERNORRLANDS LÄN</t>
        </is>
      </c>
      <c r="E1012" t="inlineStr">
        <is>
          <t>ÅNGE</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56181-2022</t>
        </is>
      </c>
      <c r="B1013" s="1" t="n">
        <v>44889</v>
      </c>
      <c r="C1013" s="1" t="n">
        <v>45588</v>
      </c>
      <c r="D1013" t="inlineStr">
        <is>
          <t>VÄSTERNORRLANDS LÄN</t>
        </is>
      </c>
      <c r="E1013" t="inlineStr">
        <is>
          <t>ÅNGE</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55934-2022</t>
        </is>
      </c>
      <c r="B1014" s="1" t="n">
        <v>44889</v>
      </c>
      <c r="C1014" s="1" t="n">
        <v>45588</v>
      </c>
      <c r="D1014" t="inlineStr">
        <is>
          <t>VÄSTERNORRLANDS LÄN</t>
        </is>
      </c>
      <c r="E1014" t="inlineStr">
        <is>
          <t>ÅNGE</t>
        </is>
      </c>
      <c r="F1014" t="inlineStr">
        <is>
          <t>Holmen skog AB</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56399-2022</t>
        </is>
      </c>
      <c r="B1015" s="1" t="n">
        <v>44890</v>
      </c>
      <c r="C1015" s="1" t="n">
        <v>45588</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56403-2022</t>
        </is>
      </c>
      <c r="B1016" s="1" t="n">
        <v>44890</v>
      </c>
      <c r="C1016" s="1" t="n">
        <v>45588</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56400-2022</t>
        </is>
      </c>
      <c r="B1017" s="1" t="n">
        <v>44890</v>
      </c>
      <c r="C1017" s="1" t="n">
        <v>45588</v>
      </c>
      <c r="D1017" t="inlineStr">
        <is>
          <t>VÄSTERNORRLANDS LÄN</t>
        </is>
      </c>
      <c r="E1017" t="inlineStr">
        <is>
          <t>ÅNGE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56401-2022</t>
        </is>
      </c>
      <c r="B1018" s="1" t="n">
        <v>44890</v>
      </c>
      <c r="C1018" s="1" t="n">
        <v>45588</v>
      </c>
      <c r="D1018" t="inlineStr">
        <is>
          <t>VÄSTERNORRLANDS LÄN</t>
        </is>
      </c>
      <c r="E1018" t="inlineStr">
        <is>
          <t>ÅNGE</t>
        </is>
      </c>
      <c r="F1018" t="inlineStr">
        <is>
          <t>SCA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56591-2022</t>
        </is>
      </c>
      <c r="B1019" s="1" t="n">
        <v>44893</v>
      </c>
      <c r="C1019" s="1" t="n">
        <v>45588</v>
      </c>
      <c r="D1019" t="inlineStr">
        <is>
          <t>VÄSTERNORRLANDS LÄN</t>
        </is>
      </c>
      <c r="E1019" t="inlineStr">
        <is>
          <t>ÅNGE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56666-2022</t>
        </is>
      </c>
      <c r="B1020" s="1" t="n">
        <v>44893</v>
      </c>
      <c r="C1020" s="1" t="n">
        <v>45588</v>
      </c>
      <c r="D1020" t="inlineStr">
        <is>
          <t>VÄSTERNORRLANDS LÄN</t>
        </is>
      </c>
      <c r="E1020" t="inlineStr">
        <is>
          <t>ÅNGE</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56731-2022</t>
        </is>
      </c>
      <c r="B1021" s="1" t="n">
        <v>44893</v>
      </c>
      <c r="C1021" s="1" t="n">
        <v>45588</v>
      </c>
      <c r="D1021" t="inlineStr">
        <is>
          <t>VÄSTERNORRLANDS LÄN</t>
        </is>
      </c>
      <c r="E1021" t="inlineStr">
        <is>
          <t>ÅNGE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56775-2022</t>
        </is>
      </c>
      <c r="B1022" s="1" t="n">
        <v>44894</v>
      </c>
      <c r="C1022" s="1" t="n">
        <v>45588</v>
      </c>
      <c r="D1022" t="inlineStr">
        <is>
          <t>VÄSTERNORRLANDS LÄN</t>
        </is>
      </c>
      <c r="E1022" t="inlineStr">
        <is>
          <t>ÅNGE</t>
        </is>
      </c>
      <c r="F1022" t="inlineStr">
        <is>
          <t>Holmen skog AB</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56946-2022</t>
        </is>
      </c>
      <c r="B1023" s="1" t="n">
        <v>44894</v>
      </c>
      <c r="C1023" s="1" t="n">
        <v>45588</v>
      </c>
      <c r="D1023" t="inlineStr">
        <is>
          <t>VÄSTERNORRLANDS LÄN</t>
        </is>
      </c>
      <c r="E1023" t="inlineStr">
        <is>
          <t>ÅNGE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56956-2022</t>
        </is>
      </c>
      <c r="B1024" s="1" t="n">
        <v>44894</v>
      </c>
      <c r="C1024" s="1" t="n">
        <v>45588</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57289-2022</t>
        </is>
      </c>
      <c r="B1025" s="1" t="n">
        <v>44895</v>
      </c>
      <c r="C1025" s="1" t="n">
        <v>45588</v>
      </c>
      <c r="D1025" t="inlineStr">
        <is>
          <t>VÄSTERNORRLANDS LÄN</t>
        </is>
      </c>
      <c r="E1025" t="inlineStr">
        <is>
          <t>ÅNGE</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57250-2022</t>
        </is>
      </c>
      <c r="B1026" s="1" t="n">
        <v>44895</v>
      </c>
      <c r="C1026" s="1" t="n">
        <v>45588</v>
      </c>
      <c r="D1026" t="inlineStr">
        <is>
          <t>VÄSTERNORRLANDS LÄN</t>
        </is>
      </c>
      <c r="E1026" t="inlineStr">
        <is>
          <t>ÅNGE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57287-2022</t>
        </is>
      </c>
      <c r="B1027" s="1" t="n">
        <v>44895</v>
      </c>
      <c r="C1027" s="1" t="n">
        <v>45588</v>
      </c>
      <c r="D1027" t="inlineStr">
        <is>
          <t>VÄSTERNORRLANDS LÄN</t>
        </is>
      </c>
      <c r="E1027" t="inlineStr">
        <is>
          <t>ÅNGE</t>
        </is>
      </c>
      <c r="F1027" t="inlineStr">
        <is>
          <t>SCA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57286-2022</t>
        </is>
      </c>
      <c r="B1028" s="1" t="n">
        <v>44895</v>
      </c>
      <c r="C1028" s="1" t="n">
        <v>45588</v>
      </c>
      <c r="D1028" t="inlineStr">
        <is>
          <t>VÄSTERNORRLANDS LÄN</t>
        </is>
      </c>
      <c r="E1028" t="inlineStr">
        <is>
          <t>ÅNGE</t>
        </is>
      </c>
      <c r="F1028" t="inlineStr">
        <is>
          <t>SCA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57291-2022</t>
        </is>
      </c>
      <c r="B1029" s="1" t="n">
        <v>44895</v>
      </c>
      <c r="C1029" s="1" t="n">
        <v>45588</v>
      </c>
      <c r="D1029" t="inlineStr">
        <is>
          <t>VÄSTERNORRLANDS LÄN</t>
        </is>
      </c>
      <c r="E1029" t="inlineStr">
        <is>
          <t>ÅNGE</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57288-2022</t>
        </is>
      </c>
      <c r="B1030" s="1" t="n">
        <v>44895</v>
      </c>
      <c r="C1030" s="1" t="n">
        <v>45588</v>
      </c>
      <c r="D1030" t="inlineStr">
        <is>
          <t>VÄSTERNORRLANDS LÄN</t>
        </is>
      </c>
      <c r="E1030" t="inlineStr">
        <is>
          <t>ÅNGE</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57592-2022</t>
        </is>
      </c>
      <c r="B1031" s="1" t="n">
        <v>44897</v>
      </c>
      <c r="C1031" s="1" t="n">
        <v>45588</v>
      </c>
      <c r="D1031" t="inlineStr">
        <is>
          <t>VÄSTERNORRLANDS LÄN</t>
        </is>
      </c>
      <c r="E1031" t="inlineStr">
        <is>
          <t>ÅNGE</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57596-2022</t>
        </is>
      </c>
      <c r="B1032" s="1" t="n">
        <v>44897</v>
      </c>
      <c r="C1032" s="1" t="n">
        <v>45588</v>
      </c>
      <c r="D1032" t="inlineStr">
        <is>
          <t>VÄSTERNORRLANDS LÄN</t>
        </is>
      </c>
      <c r="E1032" t="inlineStr">
        <is>
          <t>ÅNGE</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57601-2022</t>
        </is>
      </c>
      <c r="B1033" s="1" t="n">
        <v>44896</v>
      </c>
      <c r="C1033" s="1" t="n">
        <v>45588</v>
      </c>
      <c r="D1033" t="inlineStr">
        <is>
          <t>VÄSTERNORRLANDS LÄN</t>
        </is>
      </c>
      <c r="E1033" t="inlineStr">
        <is>
          <t>ÅNGE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57593-2022</t>
        </is>
      </c>
      <c r="B1034" s="1" t="n">
        <v>44897</v>
      </c>
      <c r="C1034" s="1" t="n">
        <v>45588</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57602-2022</t>
        </is>
      </c>
      <c r="B1035" s="1" t="n">
        <v>44896</v>
      </c>
      <c r="C1035" s="1" t="n">
        <v>45588</v>
      </c>
      <c r="D1035" t="inlineStr">
        <is>
          <t>VÄSTERNORRLANDS LÄN</t>
        </is>
      </c>
      <c r="E1035" t="inlineStr">
        <is>
          <t>ÅNGE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57591-2022</t>
        </is>
      </c>
      <c r="B1036" s="1" t="n">
        <v>44897</v>
      </c>
      <c r="C1036" s="1" t="n">
        <v>45588</v>
      </c>
      <c r="D1036" t="inlineStr">
        <is>
          <t>VÄSTERNORRLANDS LÄN</t>
        </is>
      </c>
      <c r="E1036" t="inlineStr">
        <is>
          <t>ÅNGE</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57595-2022</t>
        </is>
      </c>
      <c r="B1037" s="1" t="n">
        <v>44897</v>
      </c>
      <c r="C1037" s="1" t="n">
        <v>45588</v>
      </c>
      <c r="D1037" t="inlineStr">
        <is>
          <t>VÄSTERNORRLANDS LÄN</t>
        </is>
      </c>
      <c r="E1037" t="inlineStr">
        <is>
          <t>ÅNGE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57598-2022</t>
        </is>
      </c>
      <c r="B1038" s="1" t="n">
        <v>44896</v>
      </c>
      <c r="C1038" s="1" t="n">
        <v>45588</v>
      </c>
      <c r="D1038" t="inlineStr">
        <is>
          <t>VÄSTERNORRLANDS LÄN</t>
        </is>
      </c>
      <c r="E1038" t="inlineStr">
        <is>
          <t>ÅNGE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57636-2022</t>
        </is>
      </c>
      <c r="B1039" s="1" t="n">
        <v>44897</v>
      </c>
      <c r="C1039" s="1" t="n">
        <v>45588</v>
      </c>
      <c r="D1039" t="inlineStr">
        <is>
          <t>VÄSTERNORRLANDS LÄN</t>
        </is>
      </c>
      <c r="E1039" t="inlineStr">
        <is>
          <t>ÅNGE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57846-2022</t>
        </is>
      </c>
      <c r="B1040" s="1" t="n">
        <v>44897</v>
      </c>
      <c r="C1040" s="1" t="n">
        <v>45588</v>
      </c>
      <c r="D1040" t="inlineStr">
        <is>
          <t>VÄSTERNORRLANDS LÄN</t>
        </is>
      </c>
      <c r="E1040" t="inlineStr">
        <is>
          <t>ÅNGE</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58275-2022</t>
        </is>
      </c>
      <c r="B1041" s="1" t="n">
        <v>44901</v>
      </c>
      <c r="C1041" s="1" t="n">
        <v>45588</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58445-2022</t>
        </is>
      </c>
      <c r="B1042" s="1" t="n">
        <v>44901</v>
      </c>
      <c r="C1042" s="1" t="n">
        <v>45588</v>
      </c>
      <c r="D1042" t="inlineStr">
        <is>
          <t>VÄSTERNORRLANDS LÄN</t>
        </is>
      </c>
      <c r="E1042" t="inlineStr">
        <is>
          <t>ÅNGE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58444-2022</t>
        </is>
      </c>
      <c r="B1043" s="1" t="n">
        <v>44901</v>
      </c>
      <c r="C1043" s="1" t="n">
        <v>45588</v>
      </c>
      <c r="D1043" t="inlineStr">
        <is>
          <t>VÄSTERNORRLANDS LÄN</t>
        </is>
      </c>
      <c r="E1043" t="inlineStr">
        <is>
          <t>ÅNGE</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58469-2022</t>
        </is>
      </c>
      <c r="B1044" s="1" t="n">
        <v>44902</v>
      </c>
      <c r="C1044" s="1" t="n">
        <v>45588</v>
      </c>
      <c r="D1044" t="inlineStr">
        <is>
          <t>VÄSTERNORRLANDS LÄN</t>
        </is>
      </c>
      <c r="E1044" t="inlineStr">
        <is>
          <t>ÅNGE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58943-2022</t>
        </is>
      </c>
      <c r="B1045" s="1" t="n">
        <v>44903</v>
      </c>
      <c r="C1045" s="1" t="n">
        <v>45588</v>
      </c>
      <c r="D1045" t="inlineStr">
        <is>
          <t>VÄSTERNORRLANDS LÄN</t>
        </is>
      </c>
      <c r="E1045" t="inlineStr">
        <is>
          <t>ÅNGE</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59520-2022</t>
        </is>
      </c>
      <c r="B1046" s="1" t="n">
        <v>44907</v>
      </c>
      <c r="C1046" s="1" t="n">
        <v>45588</v>
      </c>
      <c r="D1046" t="inlineStr">
        <is>
          <t>VÄSTERNORRLANDS LÄN</t>
        </is>
      </c>
      <c r="E1046" t="inlineStr">
        <is>
          <t>ÅNGE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59626-2022</t>
        </is>
      </c>
      <c r="B1047" s="1" t="n">
        <v>44907</v>
      </c>
      <c r="C1047" s="1" t="n">
        <v>45588</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60369-2022</t>
        </is>
      </c>
      <c r="B1048" s="1" t="n">
        <v>44910</v>
      </c>
      <c r="C1048" s="1" t="n">
        <v>45588</v>
      </c>
      <c r="D1048" t="inlineStr">
        <is>
          <t>VÄSTERNORRLANDS LÄN</t>
        </is>
      </c>
      <c r="E1048" t="inlineStr">
        <is>
          <t>ÅNGE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60658-2022</t>
        </is>
      </c>
      <c r="B1049" s="1" t="n">
        <v>44911</v>
      </c>
      <c r="C1049" s="1" t="n">
        <v>45588</v>
      </c>
      <c r="D1049" t="inlineStr">
        <is>
          <t>VÄSTERNORRLANDS LÄN</t>
        </is>
      </c>
      <c r="E1049" t="inlineStr">
        <is>
          <t>ÅNGE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60770-2022</t>
        </is>
      </c>
      <c r="B1050" s="1" t="n">
        <v>44914</v>
      </c>
      <c r="C1050" s="1" t="n">
        <v>45588</v>
      </c>
      <c r="D1050" t="inlineStr">
        <is>
          <t>VÄSTERNORRLANDS LÄN</t>
        </is>
      </c>
      <c r="E1050" t="inlineStr">
        <is>
          <t>ÅNGE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60860-2022</t>
        </is>
      </c>
      <c r="B1051" s="1" t="n">
        <v>44914</v>
      </c>
      <c r="C1051" s="1" t="n">
        <v>45588</v>
      </c>
      <c r="D1051" t="inlineStr">
        <is>
          <t>VÄSTERNORRLANDS LÄN</t>
        </is>
      </c>
      <c r="E1051" t="inlineStr">
        <is>
          <t>ÅNGE</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61585-2022</t>
        </is>
      </c>
      <c r="B1052" s="1" t="n">
        <v>44916</v>
      </c>
      <c r="C1052" s="1" t="n">
        <v>45588</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62261-2022</t>
        </is>
      </c>
      <c r="B1053" s="1" t="n">
        <v>44922</v>
      </c>
      <c r="C1053" s="1" t="n">
        <v>45588</v>
      </c>
      <c r="D1053" t="inlineStr">
        <is>
          <t>VÄSTERNORRLANDS LÄN</t>
        </is>
      </c>
      <c r="E1053" t="inlineStr">
        <is>
          <t>ÅNGE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62290-2022</t>
        </is>
      </c>
      <c r="B1054" s="1" t="n">
        <v>44923</v>
      </c>
      <c r="C1054" s="1" t="n">
        <v>45588</v>
      </c>
      <c r="D1054" t="inlineStr">
        <is>
          <t>VÄSTERNORRLANDS LÄN</t>
        </is>
      </c>
      <c r="E1054" t="inlineStr">
        <is>
          <t>ÅNGE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62441-2022</t>
        </is>
      </c>
      <c r="B1055" s="1" t="n">
        <v>44924</v>
      </c>
      <c r="C1055" s="1" t="n">
        <v>45588</v>
      </c>
      <c r="D1055" t="inlineStr">
        <is>
          <t>VÄSTERNORRLANDS LÄN</t>
        </is>
      </c>
      <c r="E1055" t="inlineStr">
        <is>
          <t>ÅNGE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62438-2022</t>
        </is>
      </c>
      <c r="B1056" s="1" t="n">
        <v>44924</v>
      </c>
      <c r="C1056" s="1" t="n">
        <v>45588</v>
      </c>
      <c r="D1056" t="inlineStr">
        <is>
          <t>VÄSTERNORRLANDS LÄN</t>
        </is>
      </c>
      <c r="E1056" t="inlineStr">
        <is>
          <t>ÅNGE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1116-2023</t>
        </is>
      </c>
      <c r="B1057" s="1" t="n">
        <v>44929</v>
      </c>
      <c r="C1057" s="1" t="n">
        <v>45588</v>
      </c>
      <c r="D1057" t="inlineStr">
        <is>
          <t>VÄSTERNORRLANDS LÄN</t>
        </is>
      </c>
      <c r="E1057" t="inlineStr">
        <is>
          <t>ÅNGE</t>
        </is>
      </c>
      <c r="G1057" t="n">
        <v>17.2</v>
      </c>
      <c r="H1057" t="n">
        <v>0</v>
      </c>
      <c r="I1057" t="n">
        <v>0</v>
      </c>
      <c r="J1057" t="n">
        <v>0</v>
      </c>
      <c r="K1057" t="n">
        <v>0</v>
      </c>
      <c r="L1057" t="n">
        <v>0</v>
      </c>
      <c r="M1057" t="n">
        <v>0</v>
      </c>
      <c r="N1057" t="n">
        <v>0</v>
      </c>
      <c r="O1057" t="n">
        <v>0</v>
      </c>
      <c r="P1057" t="n">
        <v>0</v>
      </c>
      <c r="Q1057" t="n">
        <v>0</v>
      </c>
      <c r="R1057" s="2" t="inlineStr"/>
    </row>
    <row r="1058" ht="15" customHeight="1">
      <c r="A1058" t="inlineStr">
        <is>
          <t>A 1103-2023</t>
        </is>
      </c>
      <c r="B1058" s="1" t="n">
        <v>44929</v>
      </c>
      <c r="C1058" s="1" t="n">
        <v>45588</v>
      </c>
      <c r="D1058" t="inlineStr">
        <is>
          <t>VÄSTERNORRLANDS LÄN</t>
        </is>
      </c>
      <c r="E1058" t="inlineStr">
        <is>
          <t>ÅNGE</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1090-2023</t>
        </is>
      </c>
      <c r="B1059" s="1" t="n">
        <v>44929</v>
      </c>
      <c r="C1059" s="1" t="n">
        <v>45588</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482-2023</t>
        </is>
      </c>
      <c r="B1060" s="1" t="n">
        <v>44929</v>
      </c>
      <c r="C1060" s="1" t="n">
        <v>45588</v>
      </c>
      <c r="D1060" t="inlineStr">
        <is>
          <t>VÄSTERNORRLANDS LÄN</t>
        </is>
      </c>
      <c r="E1060" t="inlineStr">
        <is>
          <t>ÅNGE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1127-2023</t>
        </is>
      </c>
      <c r="B1061" s="1" t="n">
        <v>44929</v>
      </c>
      <c r="C1061" s="1" t="n">
        <v>45588</v>
      </c>
      <c r="D1061" t="inlineStr">
        <is>
          <t>VÄSTERNORRLANDS LÄN</t>
        </is>
      </c>
      <c r="E1061" t="inlineStr">
        <is>
          <t>ÅNGE</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1095-2023</t>
        </is>
      </c>
      <c r="B1062" s="1" t="n">
        <v>44929</v>
      </c>
      <c r="C1062" s="1" t="n">
        <v>45588</v>
      </c>
      <c r="D1062" t="inlineStr">
        <is>
          <t>VÄSTERNORRLANDS LÄN</t>
        </is>
      </c>
      <c r="E1062" t="inlineStr">
        <is>
          <t>ÅNGE</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723-2023</t>
        </is>
      </c>
      <c r="B1063" s="1" t="n">
        <v>44930</v>
      </c>
      <c r="C1063" s="1" t="n">
        <v>45588</v>
      </c>
      <c r="D1063" t="inlineStr">
        <is>
          <t>VÄSTERNORRLANDS LÄN</t>
        </is>
      </c>
      <c r="E1063" t="inlineStr">
        <is>
          <t>ÅNGE</t>
        </is>
      </c>
      <c r="F1063" t="inlineStr">
        <is>
          <t>SCA</t>
        </is>
      </c>
      <c r="G1063" t="n">
        <v>9.6</v>
      </c>
      <c r="H1063" t="n">
        <v>0</v>
      </c>
      <c r="I1063" t="n">
        <v>0</v>
      </c>
      <c r="J1063" t="n">
        <v>0</v>
      </c>
      <c r="K1063" t="n">
        <v>0</v>
      </c>
      <c r="L1063" t="n">
        <v>0</v>
      </c>
      <c r="M1063" t="n">
        <v>0</v>
      </c>
      <c r="N1063" t="n">
        <v>0</v>
      </c>
      <c r="O1063" t="n">
        <v>0</v>
      </c>
      <c r="P1063" t="n">
        <v>0</v>
      </c>
      <c r="Q1063" t="n">
        <v>0</v>
      </c>
      <c r="R1063" s="2" t="inlineStr"/>
    </row>
    <row r="1064" ht="15" customHeight="1">
      <c r="A1064" t="inlineStr">
        <is>
          <t>A 721-2023</t>
        </is>
      </c>
      <c r="B1064" s="1" t="n">
        <v>44930</v>
      </c>
      <c r="C1064" s="1" t="n">
        <v>45588</v>
      </c>
      <c r="D1064" t="inlineStr">
        <is>
          <t>VÄSTERNORRLANDS LÄN</t>
        </is>
      </c>
      <c r="E1064" t="inlineStr">
        <is>
          <t>ÅNGE</t>
        </is>
      </c>
      <c r="F1064" t="inlineStr">
        <is>
          <t>SCA</t>
        </is>
      </c>
      <c r="G1064" t="n">
        <v>23.6</v>
      </c>
      <c r="H1064" t="n">
        <v>0</v>
      </c>
      <c r="I1064" t="n">
        <v>0</v>
      </c>
      <c r="J1064" t="n">
        <v>0</v>
      </c>
      <c r="K1064" t="n">
        <v>0</v>
      </c>
      <c r="L1064" t="n">
        <v>0</v>
      </c>
      <c r="M1064" t="n">
        <v>0</v>
      </c>
      <c r="N1064" t="n">
        <v>0</v>
      </c>
      <c r="O1064" t="n">
        <v>0</v>
      </c>
      <c r="P1064" t="n">
        <v>0</v>
      </c>
      <c r="Q1064" t="n">
        <v>0</v>
      </c>
      <c r="R1064" s="2" t="inlineStr"/>
    </row>
    <row r="1065" ht="15" customHeight="1">
      <c r="A1065" t="inlineStr">
        <is>
          <t>A 722-2023</t>
        </is>
      </c>
      <c r="B1065" s="1" t="n">
        <v>44930</v>
      </c>
      <c r="C1065" s="1" t="n">
        <v>45588</v>
      </c>
      <c r="D1065" t="inlineStr">
        <is>
          <t>VÄSTERNORRLANDS LÄN</t>
        </is>
      </c>
      <c r="E1065" t="inlineStr">
        <is>
          <t>ÅNGE</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720-2023</t>
        </is>
      </c>
      <c r="B1066" s="1" t="n">
        <v>44930</v>
      </c>
      <c r="C1066" s="1" t="n">
        <v>45588</v>
      </c>
      <c r="D1066" t="inlineStr">
        <is>
          <t>VÄSTERNORRLANDS LÄN</t>
        </is>
      </c>
      <c r="E1066" t="inlineStr">
        <is>
          <t>ÅNGE</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732-2023</t>
        </is>
      </c>
      <c r="B1067" s="1" t="n">
        <v>44931</v>
      </c>
      <c r="C1067" s="1" t="n">
        <v>45588</v>
      </c>
      <c r="D1067" t="inlineStr">
        <is>
          <t>VÄSTERNORRLANDS LÄN</t>
        </is>
      </c>
      <c r="E1067" t="inlineStr">
        <is>
          <t>ÅNGE</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1235-2023</t>
        </is>
      </c>
      <c r="B1068" s="1" t="n">
        <v>44935</v>
      </c>
      <c r="C1068" s="1" t="n">
        <v>45588</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1412-2023</t>
        </is>
      </c>
      <c r="B1069" s="1" t="n">
        <v>44936</v>
      </c>
      <c r="C1069" s="1" t="n">
        <v>45588</v>
      </c>
      <c r="D1069" t="inlineStr">
        <is>
          <t>VÄSTERNORRLANDS LÄN</t>
        </is>
      </c>
      <c r="E1069" t="inlineStr">
        <is>
          <t>ÅNGE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1420-2023</t>
        </is>
      </c>
      <c r="B1070" s="1" t="n">
        <v>44936</v>
      </c>
      <c r="C1070" s="1" t="n">
        <v>45588</v>
      </c>
      <c r="D1070" t="inlineStr">
        <is>
          <t>VÄSTERNORRLANDS LÄN</t>
        </is>
      </c>
      <c r="E1070" t="inlineStr">
        <is>
          <t>ÅNGE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1769-2023</t>
        </is>
      </c>
      <c r="B1071" s="1" t="n">
        <v>44938</v>
      </c>
      <c r="C1071" s="1" t="n">
        <v>45588</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1775-2023</t>
        </is>
      </c>
      <c r="B1072" s="1" t="n">
        <v>44938</v>
      </c>
      <c r="C1072" s="1" t="n">
        <v>45588</v>
      </c>
      <c r="D1072" t="inlineStr">
        <is>
          <t>VÄSTERNORRLANDS LÄN</t>
        </is>
      </c>
      <c r="E1072" t="inlineStr">
        <is>
          <t>ÅNGE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2140-2023</t>
        </is>
      </c>
      <c r="B1073" s="1" t="n">
        <v>44940</v>
      </c>
      <c r="C1073" s="1" t="n">
        <v>45588</v>
      </c>
      <c r="D1073" t="inlineStr">
        <is>
          <t>VÄSTERNORRLANDS LÄN</t>
        </is>
      </c>
      <c r="E1073" t="inlineStr">
        <is>
          <t>ÅNGE</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3022-2023</t>
        </is>
      </c>
      <c r="B1074" s="1" t="n">
        <v>44945</v>
      </c>
      <c r="C1074" s="1" t="n">
        <v>45588</v>
      </c>
      <c r="D1074" t="inlineStr">
        <is>
          <t>VÄSTERNORRLANDS LÄN</t>
        </is>
      </c>
      <c r="E1074" t="inlineStr">
        <is>
          <t>ÅNGE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3023-2023</t>
        </is>
      </c>
      <c r="B1075" s="1" t="n">
        <v>44945</v>
      </c>
      <c r="C1075" s="1" t="n">
        <v>45588</v>
      </c>
      <c r="D1075" t="inlineStr">
        <is>
          <t>VÄSTERNORRLANDS LÄN</t>
        </is>
      </c>
      <c r="E1075" t="inlineStr">
        <is>
          <t>ÅNGE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3025-2023</t>
        </is>
      </c>
      <c r="B1076" s="1" t="n">
        <v>44945</v>
      </c>
      <c r="C1076" s="1" t="n">
        <v>45588</v>
      </c>
      <c r="D1076" t="inlineStr">
        <is>
          <t>VÄSTERNORRLANDS LÄN</t>
        </is>
      </c>
      <c r="E1076" t="inlineStr">
        <is>
          <t>ÅNGE</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3323-2023</t>
        </is>
      </c>
      <c r="B1077" s="1" t="n">
        <v>44945</v>
      </c>
      <c r="C1077" s="1" t="n">
        <v>45588</v>
      </c>
      <c r="D1077" t="inlineStr">
        <is>
          <t>VÄSTERNORRLANDS LÄN</t>
        </is>
      </c>
      <c r="E1077" t="inlineStr">
        <is>
          <t>ÅNGE</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3362-2023</t>
        </is>
      </c>
      <c r="B1078" s="1" t="n">
        <v>44945</v>
      </c>
      <c r="C1078" s="1" t="n">
        <v>45588</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3631-2023</t>
        </is>
      </c>
      <c r="B1079" s="1" t="n">
        <v>44950</v>
      </c>
      <c r="C1079" s="1" t="n">
        <v>45588</v>
      </c>
      <c r="D1079" t="inlineStr">
        <is>
          <t>VÄSTERNORRLANDS LÄN</t>
        </is>
      </c>
      <c r="E1079" t="inlineStr">
        <is>
          <t>ÅNGE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3629-2023</t>
        </is>
      </c>
      <c r="B1080" s="1" t="n">
        <v>44950</v>
      </c>
      <c r="C1080" s="1" t="n">
        <v>45588</v>
      </c>
      <c r="D1080" t="inlineStr">
        <is>
          <t>VÄSTERNORRLANDS LÄN</t>
        </is>
      </c>
      <c r="E1080" t="inlineStr">
        <is>
          <t>ÅNGE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3686-2023</t>
        </is>
      </c>
      <c r="B1081" s="1" t="n">
        <v>44950</v>
      </c>
      <c r="C1081" s="1" t="n">
        <v>45588</v>
      </c>
      <c r="D1081" t="inlineStr">
        <is>
          <t>VÄSTERNORRLANDS LÄN</t>
        </is>
      </c>
      <c r="E1081" t="inlineStr">
        <is>
          <t>ÅNGE</t>
        </is>
      </c>
      <c r="F1081" t="inlineStr">
        <is>
          <t>SCA</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4095-2023</t>
        </is>
      </c>
      <c r="B1082" s="1" t="n">
        <v>44952</v>
      </c>
      <c r="C1082" s="1" t="n">
        <v>45588</v>
      </c>
      <c r="D1082" t="inlineStr">
        <is>
          <t>VÄSTERNORRLANDS LÄN</t>
        </is>
      </c>
      <c r="E1082" t="inlineStr">
        <is>
          <t>ÅNGE</t>
        </is>
      </c>
      <c r="G1082" t="n">
        <v>13.4</v>
      </c>
      <c r="H1082" t="n">
        <v>0</v>
      </c>
      <c r="I1082" t="n">
        <v>0</v>
      </c>
      <c r="J1082" t="n">
        <v>0</v>
      </c>
      <c r="K1082" t="n">
        <v>0</v>
      </c>
      <c r="L1082" t="n">
        <v>0</v>
      </c>
      <c r="M1082" t="n">
        <v>0</v>
      </c>
      <c r="N1082" t="n">
        <v>0</v>
      </c>
      <c r="O1082" t="n">
        <v>0</v>
      </c>
      <c r="P1082" t="n">
        <v>0</v>
      </c>
      <c r="Q1082" t="n">
        <v>0</v>
      </c>
      <c r="R1082" s="2" t="inlineStr"/>
    </row>
    <row r="1083" ht="15" customHeight="1">
      <c r="A1083" t="inlineStr">
        <is>
          <t>A 4727-2023</t>
        </is>
      </c>
      <c r="B1083" s="1" t="n">
        <v>44953</v>
      </c>
      <c r="C1083" s="1" t="n">
        <v>45588</v>
      </c>
      <c r="D1083" t="inlineStr">
        <is>
          <t>VÄSTERNORRLANDS LÄN</t>
        </is>
      </c>
      <c r="E1083" t="inlineStr">
        <is>
          <t>ÅNGE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4876-2023</t>
        </is>
      </c>
      <c r="B1084" s="1" t="n">
        <v>44957</v>
      </c>
      <c r="C1084" s="1" t="n">
        <v>45588</v>
      </c>
      <c r="D1084" t="inlineStr">
        <is>
          <t>VÄSTERNORRLANDS LÄN</t>
        </is>
      </c>
      <c r="E1084" t="inlineStr">
        <is>
          <t>ÅNGE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4877-2023</t>
        </is>
      </c>
      <c r="B1085" s="1" t="n">
        <v>44957</v>
      </c>
      <c r="C1085" s="1" t="n">
        <v>45588</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4883-2023</t>
        </is>
      </c>
      <c r="B1086" s="1" t="n">
        <v>44957</v>
      </c>
      <c r="C1086" s="1" t="n">
        <v>45588</v>
      </c>
      <c r="D1086" t="inlineStr">
        <is>
          <t>VÄSTERNORRLANDS LÄN</t>
        </is>
      </c>
      <c r="E1086" t="inlineStr">
        <is>
          <t>ÅNGE</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5083-2023</t>
        </is>
      </c>
      <c r="B1087" s="1" t="n">
        <v>44958</v>
      </c>
      <c r="C1087" s="1" t="n">
        <v>45588</v>
      </c>
      <c r="D1087" t="inlineStr">
        <is>
          <t>VÄSTERNORRLANDS LÄN</t>
        </is>
      </c>
      <c r="E1087" t="inlineStr">
        <is>
          <t>ÅNGE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5455-2023</t>
        </is>
      </c>
      <c r="B1088" s="1" t="n">
        <v>44959</v>
      </c>
      <c r="C1088" s="1" t="n">
        <v>45588</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5868-2023</t>
        </is>
      </c>
      <c r="B1089" s="1" t="n">
        <v>44963</v>
      </c>
      <c r="C1089" s="1" t="n">
        <v>45588</v>
      </c>
      <c r="D1089" t="inlineStr">
        <is>
          <t>VÄSTERNORRLANDS LÄN</t>
        </is>
      </c>
      <c r="E1089" t="inlineStr">
        <is>
          <t>ÅNGE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6179-2023</t>
        </is>
      </c>
      <c r="B1090" s="1" t="n">
        <v>44964</v>
      </c>
      <c r="C1090" s="1" t="n">
        <v>45588</v>
      </c>
      <c r="D1090" t="inlineStr">
        <is>
          <t>VÄSTERNORRLANDS LÄN</t>
        </is>
      </c>
      <c r="E1090" t="inlineStr">
        <is>
          <t>ÅNGE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6186-2023</t>
        </is>
      </c>
      <c r="B1091" s="1" t="n">
        <v>44964</v>
      </c>
      <c r="C1091" s="1" t="n">
        <v>45588</v>
      </c>
      <c r="D1091" t="inlineStr">
        <is>
          <t>VÄSTERNORRLANDS LÄN</t>
        </is>
      </c>
      <c r="E1091" t="inlineStr">
        <is>
          <t>ÅNGE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6790-2023</t>
        </is>
      </c>
      <c r="B1092" s="1" t="n">
        <v>44966</v>
      </c>
      <c r="C1092" s="1" t="n">
        <v>45588</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6789-2023</t>
        </is>
      </c>
      <c r="B1093" s="1" t="n">
        <v>44966</v>
      </c>
      <c r="C1093" s="1" t="n">
        <v>45588</v>
      </c>
      <c r="D1093" t="inlineStr">
        <is>
          <t>VÄSTERNORRLANDS LÄN</t>
        </is>
      </c>
      <c r="E1093" t="inlineStr">
        <is>
          <t>ÅNGE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6791-2023</t>
        </is>
      </c>
      <c r="B1094" s="1" t="n">
        <v>44966</v>
      </c>
      <c r="C1094" s="1" t="n">
        <v>45588</v>
      </c>
      <c r="D1094" t="inlineStr">
        <is>
          <t>VÄSTERNORRLANDS LÄN</t>
        </is>
      </c>
      <c r="E1094" t="inlineStr">
        <is>
          <t>ÅNGE</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6799-2023</t>
        </is>
      </c>
      <c r="B1095" s="1" t="n">
        <v>44966</v>
      </c>
      <c r="C1095" s="1" t="n">
        <v>45588</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6787-2023</t>
        </is>
      </c>
      <c r="B1096" s="1" t="n">
        <v>44966</v>
      </c>
      <c r="C1096" s="1" t="n">
        <v>45588</v>
      </c>
      <c r="D1096" t="inlineStr">
        <is>
          <t>VÄSTERNORRLANDS LÄN</t>
        </is>
      </c>
      <c r="E1096" t="inlineStr">
        <is>
          <t>ÅNGE</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7025-2023</t>
        </is>
      </c>
      <c r="B1097" s="1" t="n">
        <v>44968</v>
      </c>
      <c r="C1097" s="1" t="n">
        <v>45588</v>
      </c>
      <c r="D1097" t="inlineStr">
        <is>
          <t>VÄSTERNORRLANDS LÄN</t>
        </is>
      </c>
      <c r="E1097" t="inlineStr">
        <is>
          <t>ÅNGE</t>
        </is>
      </c>
      <c r="F1097" t="inlineStr">
        <is>
          <t>SCA</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7528-2023</t>
        </is>
      </c>
      <c r="B1098" s="1" t="n">
        <v>44972</v>
      </c>
      <c r="C1098" s="1" t="n">
        <v>45588</v>
      </c>
      <c r="D1098" t="inlineStr">
        <is>
          <t>VÄSTERNORRLANDS LÄN</t>
        </is>
      </c>
      <c r="E1098" t="inlineStr">
        <is>
          <t>ÅNGE</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7529-2023</t>
        </is>
      </c>
      <c r="B1099" s="1" t="n">
        <v>44972</v>
      </c>
      <c r="C1099" s="1" t="n">
        <v>45588</v>
      </c>
      <c r="D1099" t="inlineStr">
        <is>
          <t>VÄSTERNORRLANDS LÄN</t>
        </is>
      </c>
      <c r="E1099" t="inlineStr">
        <is>
          <t>ÅNGE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7527-2023</t>
        </is>
      </c>
      <c r="B1100" s="1" t="n">
        <v>44971</v>
      </c>
      <c r="C1100" s="1" t="n">
        <v>45588</v>
      </c>
      <c r="D1100" t="inlineStr">
        <is>
          <t>VÄSTERNORRLANDS LÄN</t>
        </is>
      </c>
      <c r="E1100" t="inlineStr">
        <is>
          <t>ÅNGE</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7535-2023</t>
        </is>
      </c>
      <c r="B1101" s="1" t="n">
        <v>44971</v>
      </c>
      <c r="C1101" s="1" t="n">
        <v>45588</v>
      </c>
      <c r="D1101" t="inlineStr">
        <is>
          <t>VÄSTERNORRLANDS LÄN</t>
        </is>
      </c>
      <c r="E1101" t="inlineStr">
        <is>
          <t>ÅNGE</t>
        </is>
      </c>
      <c r="F1101" t="inlineStr">
        <is>
          <t>SCA</t>
        </is>
      </c>
      <c r="G1101" t="n">
        <v>14.6</v>
      </c>
      <c r="H1101" t="n">
        <v>0</v>
      </c>
      <c r="I1101" t="n">
        <v>0</v>
      </c>
      <c r="J1101" t="n">
        <v>0</v>
      </c>
      <c r="K1101" t="n">
        <v>0</v>
      </c>
      <c r="L1101" t="n">
        <v>0</v>
      </c>
      <c r="M1101" t="n">
        <v>0</v>
      </c>
      <c r="N1101" t="n">
        <v>0</v>
      </c>
      <c r="O1101" t="n">
        <v>0</v>
      </c>
      <c r="P1101" t="n">
        <v>0</v>
      </c>
      <c r="Q1101" t="n">
        <v>0</v>
      </c>
      <c r="R1101" s="2" t="inlineStr"/>
    </row>
    <row r="1102" ht="15" customHeight="1">
      <c r="A1102" t="inlineStr">
        <is>
          <t>A 7526-2023</t>
        </is>
      </c>
      <c r="B1102" s="1" t="n">
        <v>44972</v>
      </c>
      <c r="C1102" s="1" t="n">
        <v>45588</v>
      </c>
      <c r="D1102" t="inlineStr">
        <is>
          <t>VÄSTERNORRLANDS LÄN</t>
        </is>
      </c>
      <c r="E1102" t="inlineStr">
        <is>
          <t>ÅNGE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8406-2023</t>
        </is>
      </c>
      <c r="B1103" s="1" t="n">
        <v>44971</v>
      </c>
      <c r="C1103" s="1" t="n">
        <v>45588</v>
      </c>
      <c r="D1103" t="inlineStr">
        <is>
          <t>VÄSTERNORRLANDS LÄN</t>
        </is>
      </c>
      <c r="E1103" t="inlineStr">
        <is>
          <t>ÅNGE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8418-2023</t>
        </is>
      </c>
      <c r="B1104" s="1" t="n">
        <v>44971</v>
      </c>
      <c r="C1104" s="1" t="n">
        <v>45588</v>
      </c>
      <c r="D1104" t="inlineStr">
        <is>
          <t>VÄSTERNORRLANDS LÄN</t>
        </is>
      </c>
      <c r="E1104" t="inlineStr">
        <is>
          <t>ÅNGE</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7720-2023</t>
        </is>
      </c>
      <c r="B1105" s="1" t="n">
        <v>44972</v>
      </c>
      <c r="C1105" s="1" t="n">
        <v>45588</v>
      </c>
      <c r="D1105" t="inlineStr">
        <is>
          <t>VÄSTERNORRLANDS LÄN</t>
        </is>
      </c>
      <c r="E1105" t="inlineStr">
        <is>
          <t>ÅNGE</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7723-2023</t>
        </is>
      </c>
      <c r="B1106" s="1" t="n">
        <v>44972</v>
      </c>
      <c r="C1106" s="1" t="n">
        <v>45588</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8627-2023</t>
        </is>
      </c>
      <c r="B1107" s="1" t="n">
        <v>44977</v>
      </c>
      <c r="C1107" s="1" t="n">
        <v>45588</v>
      </c>
      <c r="D1107" t="inlineStr">
        <is>
          <t>VÄSTERNORRLANDS LÄN</t>
        </is>
      </c>
      <c r="E1107" t="inlineStr">
        <is>
          <t>ÅNGE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8666-2023</t>
        </is>
      </c>
      <c r="B1108" s="1" t="n">
        <v>44977</v>
      </c>
      <c r="C1108" s="1" t="n">
        <v>45588</v>
      </c>
      <c r="D1108" t="inlineStr">
        <is>
          <t>VÄSTERNORRLANDS LÄN</t>
        </is>
      </c>
      <c r="E1108" t="inlineStr">
        <is>
          <t>ÅNGE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8869-2023</t>
        </is>
      </c>
      <c r="B1109" s="1" t="n">
        <v>44978</v>
      </c>
      <c r="C1109" s="1" t="n">
        <v>45588</v>
      </c>
      <c r="D1109" t="inlineStr">
        <is>
          <t>VÄSTERNORRLANDS LÄN</t>
        </is>
      </c>
      <c r="E1109" t="inlineStr">
        <is>
          <t>ÅNGE</t>
        </is>
      </c>
      <c r="F1109" t="inlineStr">
        <is>
          <t>SCA</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8868-2023</t>
        </is>
      </c>
      <c r="B1110" s="1" t="n">
        <v>44978</v>
      </c>
      <c r="C1110" s="1" t="n">
        <v>45588</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8867-2023</t>
        </is>
      </c>
      <c r="B1111" s="1" t="n">
        <v>44978</v>
      </c>
      <c r="C1111" s="1" t="n">
        <v>45588</v>
      </c>
      <c r="D1111" t="inlineStr">
        <is>
          <t>VÄSTERNORRLANDS LÄN</t>
        </is>
      </c>
      <c r="E1111" t="inlineStr">
        <is>
          <t>ÅNGE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9211-2023</t>
        </is>
      </c>
      <c r="B1112" s="1" t="n">
        <v>44980</v>
      </c>
      <c r="C1112" s="1" t="n">
        <v>45588</v>
      </c>
      <c r="D1112" t="inlineStr">
        <is>
          <t>VÄSTERNORRLANDS LÄN</t>
        </is>
      </c>
      <c r="E1112" t="inlineStr">
        <is>
          <t>ÅNGE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9215-2023</t>
        </is>
      </c>
      <c r="B1113" s="1" t="n">
        <v>44980</v>
      </c>
      <c r="C1113" s="1" t="n">
        <v>45588</v>
      </c>
      <c r="D1113" t="inlineStr">
        <is>
          <t>VÄSTERNORRLANDS LÄN</t>
        </is>
      </c>
      <c r="E1113" t="inlineStr">
        <is>
          <t>ÅNGE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9861-2023</t>
        </is>
      </c>
      <c r="B1114" s="1" t="n">
        <v>44984</v>
      </c>
      <c r="C1114" s="1" t="n">
        <v>45588</v>
      </c>
      <c r="D1114" t="inlineStr">
        <is>
          <t>VÄSTERNORRLANDS LÄN</t>
        </is>
      </c>
      <c r="E1114" t="inlineStr">
        <is>
          <t>ÅNGE</t>
        </is>
      </c>
      <c r="F1114" t="inlineStr">
        <is>
          <t>SCA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10067-2023</t>
        </is>
      </c>
      <c r="B1115" s="1" t="n">
        <v>44985</v>
      </c>
      <c r="C1115" s="1" t="n">
        <v>45588</v>
      </c>
      <c r="D1115" t="inlineStr">
        <is>
          <t>VÄSTERNORRLANDS LÄN</t>
        </is>
      </c>
      <c r="E1115" t="inlineStr">
        <is>
          <t>ÅNGE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10071-2023</t>
        </is>
      </c>
      <c r="B1116" s="1" t="n">
        <v>44985</v>
      </c>
      <c r="C1116" s="1" t="n">
        <v>45588</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10084-2023</t>
        </is>
      </c>
      <c r="B1117" s="1" t="n">
        <v>44985</v>
      </c>
      <c r="C1117" s="1" t="n">
        <v>45588</v>
      </c>
      <c r="D1117" t="inlineStr">
        <is>
          <t>VÄSTERNORRLANDS LÄN</t>
        </is>
      </c>
      <c r="E1117" t="inlineStr">
        <is>
          <t>ÅNGE</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10089-2023</t>
        </is>
      </c>
      <c r="B1118" s="1" t="n">
        <v>44985</v>
      </c>
      <c r="C1118" s="1" t="n">
        <v>45588</v>
      </c>
      <c r="D1118" t="inlineStr">
        <is>
          <t>VÄSTERNORRLANDS LÄN</t>
        </is>
      </c>
      <c r="E1118" t="inlineStr">
        <is>
          <t>ÅNGE</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10068-2023</t>
        </is>
      </c>
      <c r="B1119" s="1" t="n">
        <v>44985</v>
      </c>
      <c r="C1119" s="1" t="n">
        <v>45588</v>
      </c>
      <c r="D1119" t="inlineStr">
        <is>
          <t>VÄSTERNORRLANDS LÄN</t>
        </is>
      </c>
      <c r="E1119" t="inlineStr">
        <is>
          <t>ÅNGE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10090-2023</t>
        </is>
      </c>
      <c r="B1120" s="1" t="n">
        <v>44985</v>
      </c>
      <c r="C1120" s="1" t="n">
        <v>45588</v>
      </c>
      <c r="D1120" t="inlineStr">
        <is>
          <t>VÄSTERNORRLANDS LÄN</t>
        </is>
      </c>
      <c r="E1120" t="inlineStr">
        <is>
          <t>ÅNGE</t>
        </is>
      </c>
      <c r="F1120" t="inlineStr">
        <is>
          <t>SCA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10070-2023</t>
        </is>
      </c>
      <c r="B1121" s="1" t="n">
        <v>44985</v>
      </c>
      <c r="C1121" s="1" t="n">
        <v>45588</v>
      </c>
      <c r="D1121" t="inlineStr">
        <is>
          <t>VÄSTERNORRLANDS LÄN</t>
        </is>
      </c>
      <c r="E1121" t="inlineStr">
        <is>
          <t>ÅNGE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10087-2023</t>
        </is>
      </c>
      <c r="B1122" s="1" t="n">
        <v>44985</v>
      </c>
      <c r="C1122" s="1" t="n">
        <v>45588</v>
      </c>
      <c r="D1122" t="inlineStr">
        <is>
          <t>VÄSTERNORRLANDS LÄN</t>
        </is>
      </c>
      <c r="E1122" t="inlineStr">
        <is>
          <t>ÅNGE</t>
        </is>
      </c>
      <c r="F1122" t="inlineStr">
        <is>
          <t>SCA</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10558-2023</t>
        </is>
      </c>
      <c r="B1123" s="1" t="n">
        <v>44987</v>
      </c>
      <c r="C1123" s="1" t="n">
        <v>45588</v>
      </c>
      <c r="D1123" t="inlineStr">
        <is>
          <t>VÄSTERNORRLANDS LÄN</t>
        </is>
      </c>
      <c r="E1123" t="inlineStr">
        <is>
          <t>ÅNGE</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10557-2023</t>
        </is>
      </c>
      <c r="B1124" s="1" t="n">
        <v>44987</v>
      </c>
      <c r="C1124" s="1" t="n">
        <v>45588</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10778-2023</t>
        </is>
      </c>
      <c r="B1125" s="1" t="n">
        <v>44988</v>
      </c>
      <c r="C1125" s="1" t="n">
        <v>45588</v>
      </c>
      <c r="D1125" t="inlineStr">
        <is>
          <t>VÄSTERNORRLANDS LÄN</t>
        </is>
      </c>
      <c r="E1125" t="inlineStr">
        <is>
          <t>ÅNGE</t>
        </is>
      </c>
      <c r="F1125" t="inlineStr">
        <is>
          <t>SCA</t>
        </is>
      </c>
      <c r="G1125" t="n">
        <v>46.4</v>
      </c>
      <c r="H1125" t="n">
        <v>0</v>
      </c>
      <c r="I1125" t="n">
        <v>0</v>
      </c>
      <c r="J1125" t="n">
        <v>0</v>
      </c>
      <c r="K1125" t="n">
        <v>0</v>
      </c>
      <c r="L1125" t="n">
        <v>0</v>
      </c>
      <c r="M1125" t="n">
        <v>0</v>
      </c>
      <c r="N1125" t="n">
        <v>0</v>
      </c>
      <c r="O1125" t="n">
        <v>0</v>
      </c>
      <c r="P1125" t="n">
        <v>0</v>
      </c>
      <c r="Q1125" t="n">
        <v>0</v>
      </c>
      <c r="R1125" s="2" t="inlineStr"/>
    </row>
    <row r="1126" ht="15" customHeight="1">
      <c r="A1126" t="inlineStr">
        <is>
          <t>A 11300-2023</t>
        </is>
      </c>
      <c r="B1126" s="1" t="n">
        <v>44993</v>
      </c>
      <c r="C1126" s="1" t="n">
        <v>45588</v>
      </c>
      <c r="D1126" t="inlineStr">
        <is>
          <t>VÄSTERNORRLANDS LÄN</t>
        </is>
      </c>
      <c r="E1126" t="inlineStr">
        <is>
          <t>ÅNGE</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11309-2023</t>
        </is>
      </c>
      <c r="B1127" s="1" t="n">
        <v>44993</v>
      </c>
      <c r="C1127" s="1" t="n">
        <v>45588</v>
      </c>
      <c r="D1127" t="inlineStr">
        <is>
          <t>VÄSTERNORRLANDS LÄN</t>
        </is>
      </c>
      <c r="E1127" t="inlineStr">
        <is>
          <t>ÅNGE</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11529-2023</t>
        </is>
      </c>
      <c r="B1128" s="1" t="n">
        <v>44993</v>
      </c>
      <c r="C1128" s="1" t="n">
        <v>45588</v>
      </c>
      <c r="D1128" t="inlineStr">
        <is>
          <t>VÄSTERNORRLANDS LÄN</t>
        </is>
      </c>
      <c r="E1128" t="inlineStr">
        <is>
          <t>ÅNGE</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11299-2023</t>
        </is>
      </c>
      <c r="B1129" s="1" t="n">
        <v>44993</v>
      </c>
      <c r="C1129" s="1" t="n">
        <v>45588</v>
      </c>
      <c r="D1129" t="inlineStr">
        <is>
          <t>VÄSTERNORRLANDS LÄN</t>
        </is>
      </c>
      <c r="E1129" t="inlineStr">
        <is>
          <t>ÅNGE</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11310-2023</t>
        </is>
      </c>
      <c r="B1130" s="1" t="n">
        <v>44993</v>
      </c>
      <c r="C1130" s="1" t="n">
        <v>45588</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11531-2023</t>
        </is>
      </c>
      <c r="B1131" s="1" t="n">
        <v>44993</v>
      </c>
      <c r="C1131" s="1" t="n">
        <v>45588</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11532-2023</t>
        </is>
      </c>
      <c r="B1132" s="1" t="n">
        <v>44993</v>
      </c>
      <c r="C1132" s="1" t="n">
        <v>45588</v>
      </c>
      <c r="D1132" t="inlineStr">
        <is>
          <t>VÄSTERNORRLANDS LÄN</t>
        </is>
      </c>
      <c r="E1132" t="inlineStr">
        <is>
          <t>ÅNGE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12749-2023</t>
        </is>
      </c>
      <c r="B1133" s="1" t="n">
        <v>45000</v>
      </c>
      <c r="C1133" s="1" t="n">
        <v>45588</v>
      </c>
      <c r="D1133" t="inlineStr">
        <is>
          <t>VÄSTERNORRLANDS LÄN</t>
        </is>
      </c>
      <c r="E1133" t="inlineStr">
        <is>
          <t>ÅNGE</t>
        </is>
      </c>
      <c r="F1133" t="inlineStr">
        <is>
          <t>SCA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12748-2023</t>
        </is>
      </c>
      <c r="B1134" s="1" t="n">
        <v>45000</v>
      </c>
      <c r="C1134" s="1" t="n">
        <v>45588</v>
      </c>
      <c r="D1134" t="inlineStr">
        <is>
          <t>VÄSTERNORRLANDS LÄN</t>
        </is>
      </c>
      <c r="E1134" t="inlineStr">
        <is>
          <t>ÅNGE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12742-2023</t>
        </is>
      </c>
      <c r="B1135" s="1" t="n">
        <v>45000</v>
      </c>
      <c r="C1135" s="1" t="n">
        <v>45588</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12997-2023</t>
        </is>
      </c>
      <c r="B1136" s="1" t="n">
        <v>45002</v>
      </c>
      <c r="C1136" s="1" t="n">
        <v>45588</v>
      </c>
      <c r="D1136" t="inlineStr">
        <is>
          <t>VÄSTERNORRLANDS LÄN</t>
        </is>
      </c>
      <c r="E1136" t="inlineStr">
        <is>
          <t>ÅNGE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12987-2023</t>
        </is>
      </c>
      <c r="B1137" s="1" t="n">
        <v>45002</v>
      </c>
      <c r="C1137" s="1" t="n">
        <v>45588</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12999-2023</t>
        </is>
      </c>
      <c r="B1138" s="1" t="n">
        <v>45002</v>
      </c>
      <c r="C1138" s="1" t="n">
        <v>45588</v>
      </c>
      <c r="D1138" t="inlineStr">
        <is>
          <t>VÄSTERNORRLANDS LÄN</t>
        </is>
      </c>
      <c r="E1138" t="inlineStr">
        <is>
          <t>ÅNGE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12998-2023</t>
        </is>
      </c>
      <c r="B1139" s="1" t="n">
        <v>45002</v>
      </c>
      <c r="C1139" s="1" t="n">
        <v>45588</v>
      </c>
      <c r="D1139" t="inlineStr">
        <is>
          <t>VÄSTERNORRLANDS LÄN</t>
        </is>
      </c>
      <c r="E1139" t="inlineStr">
        <is>
          <t>ÅNGE</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13485-2023</t>
        </is>
      </c>
      <c r="B1140" s="1" t="n">
        <v>45005</v>
      </c>
      <c r="C1140" s="1" t="n">
        <v>45588</v>
      </c>
      <c r="D1140" t="inlineStr">
        <is>
          <t>VÄSTERNORRLANDS LÄN</t>
        </is>
      </c>
      <c r="E1140" t="inlineStr">
        <is>
          <t>ÅNGE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13491-2023</t>
        </is>
      </c>
      <c r="B1141" s="1" t="n">
        <v>45005</v>
      </c>
      <c r="C1141" s="1" t="n">
        <v>45588</v>
      </c>
      <c r="D1141" t="inlineStr">
        <is>
          <t>VÄSTERNORRLANDS LÄN</t>
        </is>
      </c>
      <c r="E1141" t="inlineStr">
        <is>
          <t>ÅNGE</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13705-2023</t>
        </is>
      </c>
      <c r="B1142" s="1" t="n">
        <v>45006</v>
      </c>
      <c r="C1142" s="1" t="n">
        <v>45588</v>
      </c>
      <c r="D1142" t="inlineStr">
        <is>
          <t>VÄSTERNORRLANDS LÄN</t>
        </is>
      </c>
      <c r="E1142" t="inlineStr">
        <is>
          <t>ÅNGE</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13704-2023</t>
        </is>
      </c>
      <c r="B1143" s="1" t="n">
        <v>45006</v>
      </c>
      <c r="C1143" s="1" t="n">
        <v>45588</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13706-2023</t>
        </is>
      </c>
      <c r="B1144" s="1" t="n">
        <v>45006</v>
      </c>
      <c r="C1144" s="1" t="n">
        <v>45588</v>
      </c>
      <c r="D1144" t="inlineStr">
        <is>
          <t>VÄSTERNORRLANDS LÄN</t>
        </is>
      </c>
      <c r="E1144" t="inlineStr">
        <is>
          <t>ÅNGE</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14183-2023</t>
        </is>
      </c>
      <c r="B1145" s="1" t="n">
        <v>45009</v>
      </c>
      <c r="C1145" s="1" t="n">
        <v>45588</v>
      </c>
      <c r="D1145" t="inlineStr">
        <is>
          <t>VÄSTERNORRLANDS LÄN</t>
        </is>
      </c>
      <c r="E1145" t="inlineStr">
        <is>
          <t>ÅNGE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14257-2023</t>
        </is>
      </c>
      <c r="B1146" s="1" t="n">
        <v>45009</v>
      </c>
      <c r="C1146" s="1" t="n">
        <v>45588</v>
      </c>
      <c r="D1146" t="inlineStr">
        <is>
          <t>VÄSTERNORRLANDS LÄN</t>
        </is>
      </c>
      <c r="E1146" t="inlineStr">
        <is>
          <t>ÅNGE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14258-2023</t>
        </is>
      </c>
      <c r="B1147" s="1" t="n">
        <v>45009</v>
      </c>
      <c r="C1147" s="1" t="n">
        <v>45588</v>
      </c>
      <c r="D1147" t="inlineStr">
        <is>
          <t>VÄSTERNORRLANDS LÄN</t>
        </is>
      </c>
      <c r="E1147" t="inlineStr">
        <is>
          <t>ÅNGE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14260-2023</t>
        </is>
      </c>
      <c r="B1148" s="1" t="n">
        <v>45009</v>
      </c>
      <c r="C1148" s="1" t="n">
        <v>45588</v>
      </c>
      <c r="D1148" t="inlineStr">
        <is>
          <t>VÄSTERNORRLANDS LÄN</t>
        </is>
      </c>
      <c r="E1148" t="inlineStr">
        <is>
          <t>ÅNGE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14527-2023</t>
        </is>
      </c>
      <c r="B1149" s="1" t="n">
        <v>45013</v>
      </c>
      <c r="C1149" s="1" t="n">
        <v>45588</v>
      </c>
      <c r="D1149" t="inlineStr">
        <is>
          <t>VÄSTERNORRLANDS LÄN</t>
        </is>
      </c>
      <c r="E1149" t="inlineStr">
        <is>
          <t>ÅNGE</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14667-2023</t>
        </is>
      </c>
      <c r="B1150" s="1" t="n">
        <v>45013</v>
      </c>
      <c r="C1150" s="1" t="n">
        <v>45588</v>
      </c>
      <c r="D1150" t="inlineStr">
        <is>
          <t>VÄSTERNORRLANDS LÄN</t>
        </is>
      </c>
      <c r="E1150" t="inlineStr">
        <is>
          <t>ÅNGE</t>
        </is>
      </c>
      <c r="F1150" t="inlineStr">
        <is>
          <t>SCA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14676-2023</t>
        </is>
      </c>
      <c r="B1151" s="1" t="n">
        <v>45013</v>
      </c>
      <c r="C1151" s="1" t="n">
        <v>45588</v>
      </c>
      <c r="D1151" t="inlineStr">
        <is>
          <t>VÄSTERNORRLANDS LÄN</t>
        </is>
      </c>
      <c r="E1151" t="inlineStr">
        <is>
          <t>ÅNGE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14879-2023</t>
        </is>
      </c>
      <c r="B1152" s="1" t="n">
        <v>45015</v>
      </c>
      <c r="C1152" s="1" t="n">
        <v>45588</v>
      </c>
      <c r="D1152" t="inlineStr">
        <is>
          <t>VÄSTERNORRLANDS LÄN</t>
        </is>
      </c>
      <c r="E1152" t="inlineStr">
        <is>
          <t>ÅNGE</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14885-2023</t>
        </is>
      </c>
      <c r="B1153" s="1" t="n">
        <v>45015</v>
      </c>
      <c r="C1153" s="1" t="n">
        <v>45588</v>
      </c>
      <c r="D1153" t="inlineStr">
        <is>
          <t>VÄSTERNORRLANDS LÄN</t>
        </is>
      </c>
      <c r="E1153" t="inlineStr">
        <is>
          <t>ÅNGE</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14870-2023</t>
        </is>
      </c>
      <c r="B1154" s="1" t="n">
        <v>45015</v>
      </c>
      <c r="C1154" s="1" t="n">
        <v>45588</v>
      </c>
      <c r="D1154" t="inlineStr">
        <is>
          <t>VÄSTERNORRLANDS LÄN</t>
        </is>
      </c>
      <c r="E1154" t="inlineStr">
        <is>
          <t>ÅNGE</t>
        </is>
      </c>
      <c r="F1154" t="inlineStr">
        <is>
          <t>SCA</t>
        </is>
      </c>
      <c r="G1154" t="n">
        <v>30.5</v>
      </c>
      <c r="H1154" t="n">
        <v>0</v>
      </c>
      <c r="I1154" t="n">
        <v>0</v>
      </c>
      <c r="J1154" t="n">
        <v>0</v>
      </c>
      <c r="K1154" t="n">
        <v>0</v>
      </c>
      <c r="L1154" t="n">
        <v>0</v>
      </c>
      <c r="M1154" t="n">
        <v>0</v>
      </c>
      <c r="N1154" t="n">
        <v>0</v>
      </c>
      <c r="O1154" t="n">
        <v>0</v>
      </c>
      <c r="P1154" t="n">
        <v>0</v>
      </c>
      <c r="Q1154" t="n">
        <v>0</v>
      </c>
      <c r="R1154" s="2" t="inlineStr"/>
    </row>
    <row r="1155" ht="15" customHeight="1">
      <c r="A1155" t="inlineStr">
        <is>
          <t>A 16192-2023</t>
        </is>
      </c>
      <c r="B1155" s="1" t="n">
        <v>45028</v>
      </c>
      <c r="C1155" s="1" t="n">
        <v>45588</v>
      </c>
      <c r="D1155" t="inlineStr">
        <is>
          <t>VÄSTERNORRLANDS LÄN</t>
        </is>
      </c>
      <c r="E1155" t="inlineStr">
        <is>
          <t>ÅNGE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16191-2023</t>
        </is>
      </c>
      <c r="B1156" s="1" t="n">
        <v>45028</v>
      </c>
      <c r="C1156" s="1" t="n">
        <v>45588</v>
      </c>
      <c r="D1156" t="inlineStr">
        <is>
          <t>VÄSTERNORRLANDS LÄN</t>
        </is>
      </c>
      <c r="E1156" t="inlineStr">
        <is>
          <t>ÅNGE</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16361-2023</t>
        </is>
      </c>
      <c r="B1157" s="1" t="n">
        <v>45029</v>
      </c>
      <c r="C1157" s="1" t="n">
        <v>45588</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16365-2023</t>
        </is>
      </c>
      <c r="B1158" s="1" t="n">
        <v>45028</v>
      </c>
      <c r="C1158" s="1" t="n">
        <v>45588</v>
      </c>
      <c r="D1158" t="inlineStr">
        <is>
          <t>VÄSTERNORRLANDS LÄN</t>
        </is>
      </c>
      <c r="E1158" t="inlineStr">
        <is>
          <t>ÅNGE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16281-2023</t>
        </is>
      </c>
      <c r="B1159" s="1" t="n">
        <v>45028</v>
      </c>
      <c r="C1159" s="1" t="n">
        <v>45588</v>
      </c>
      <c r="D1159" t="inlineStr">
        <is>
          <t>VÄSTERNORRLANDS LÄN</t>
        </is>
      </c>
      <c r="E1159" t="inlineStr">
        <is>
          <t>ÅNGE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16362-2023</t>
        </is>
      </c>
      <c r="B1160" s="1" t="n">
        <v>45029</v>
      </c>
      <c r="C1160" s="1" t="n">
        <v>45588</v>
      </c>
      <c r="D1160" t="inlineStr">
        <is>
          <t>VÄSTERNORRLANDS LÄN</t>
        </is>
      </c>
      <c r="E1160" t="inlineStr">
        <is>
          <t>ÅNGE</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16360-2023</t>
        </is>
      </c>
      <c r="B1161" s="1" t="n">
        <v>45029</v>
      </c>
      <c r="C1161" s="1" t="n">
        <v>45588</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16378-2023</t>
        </is>
      </c>
      <c r="B1162" s="1" t="n">
        <v>45028</v>
      </c>
      <c r="C1162" s="1" t="n">
        <v>45588</v>
      </c>
      <c r="D1162" t="inlineStr">
        <is>
          <t>VÄSTERNORRLANDS LÄN</t>
        </is>
      </c>
      <c r="E1162" t="inlineStr">
        <is>
          <t>ÅNGE</t>
        </is>
      </c>
      <c r="F1162" t="inlineStr">
        <is>
          <t>SCA</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16380-2023</t>
        </is>
      </c>
      <c r="B1163" s="1" t="n">
        <v>45028</v>
      </c>
      <c r="C1163" s="1" t="n">
        <v>45588</v>
      </c>
      <c r="D1163" t="inlineStr">
        <is>
          <t>VÄSTERNORRLANDS LÄN</t>
        </is>
      </c>
      <c r="E1163" t="inlineStr">
        <is>
          <t>ÅNGE</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16571-2023</t>
        </is>
      </c>
      <c r="B1164" s="1" t="n">
        <v>45030</v>
      </c>
      <c r="C1164" s="1" t="n">
        <v>45588</v>
      </c>
      <c r="D1164" t="inlineStr">
        <is>
          <t>VÄSTERNORRLANDS LÄN</t>
        </is>
      </c>
      <c r="E1164" t="inlineStr">
        <is>
          <t>ÅNGE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16572-2023</t>
        </is>
      </c>
      <c r="B1165" s="1" t="n">
        <v>45030</v>
      </c>
      <c r="C1165" s="1" t="n">
        <v>45588</v>
      </c>
      <c r="D1165" t="inlineStr">
        <is>
          <t>VÄSTERNORRLANDS LÄN</t>
        </is>
      </c>
      <c r="E1165" t="inlineStr">
        <is>
          <t>ÅNGE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16576-2023</t>
        </is>
      </c>
      <c r="B1166" s="1" t="n">
        <v>45030</v>
      </c>
      <c r="C1166" s="1" t="n">
        <v>45588</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16600-2023</t>
        </is>
      </c>
      <c r="B1167" s="1" t="n">
        <v>45030</v>
      </c>
      <c r="C1167" s="1" t="n">
        <v>45588</v>
      </c>
      <c r="D1167" t="inlineStr">
        <is>
          <t>VÄSTERNORRLANDS LÄN</t>
        </is>
      </c>
      <c r="E1167" t="inlineStr">
        <is>
          <t>ÅNGE</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16606-2023</t>
        </is>
      </c>
      <c r="B1168" s="1" t="n">
        <v>45030</v>
      </c>
      <c r="C1168" s="1" t="n">
        <v>45588</v>
      </c>
      <c r="D1168" t="inlineStr">
        <is>
          <t>VÄSTERNORRLANDS LÄN</t>
        </is>
      </c>
      <c r="E1168" t="inlineStr">
        <is>
          <t>ÅNGE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16763-2023</t>
        </is>
      </c>
      <c r="B1169" s="1" t="n">
        <v>45030</v>
      </c>
      <c r="C1169" s="1" t="n">
        <v>45588</v>
      </c>
      <c r="D1169" t="inlineStr">
        <is>
          <t>VÄSTERNORRLANDS LÄN</t>
        </is>
      </c>
      <c r="E1169" t="inlineStr">
        <is>
          <t>ÅNGE</t>
        </is>
      </c>
      <c r="F1169" t="inlineStr">
        <is>
          <t>SCA</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16593-2023</t>
        </is>
      </c>
      <c r="B1170" s="1" t="n">
        <v>45030</v>
      </c>
      <c r="C1170" s="1" t="n">
        <v>45588</v>
      </c>
      <c r="D1170" t="inlineStr">
        <is>
          <t>VÄSTERNORRLANDS LÄN</t>
        </is>
      </c>
      <c r="E1170" t="inlineStr">
        <is>
          <t>ÅNGE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16762-2023</t>
        </is>
      </c>
      <c r="B1171" s="1" t="n">
        <v>45030</v>
      </c>
      <c r="C1171" s="1" t="n">
        <v>45588</v>
      </c>
      <c r="D1171" t="inlineStr">
        <is>
          <t>VÄSTERNORRLANDS LÄN</t>
        </is>
      </c>
      <c r="E1171" t="inlineStr">
        <is>
          <t>ÅNGE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16815-2023</t>
        </is>
      </c>
      <c r="B1172" s="1" t="n">
        <v>45033</v>
      </c>
      <c r="C1172" s="1" t="n">
        <v>45588</v>
      </c>
      <c r="D1172" t="inlineStr">
        <is>
          <t>VÄSTERNORRLANDS LÄN</t>
        </is>
      </c>
      <c r="E1172" t="inlineStr">
        <is>
          <t>ÅNGE</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16812-2023</t>
        </is>
      </c>
      <c r="B1173" s="1" t="n">
        <v>45033</v>
      </c>
      <c r="C1173" s="1" t="n">
        <v>45588</v>
      </c>
      <c r="D1173" t="inlineStr">
        <is>
          <t>VÄSTERNORRLANDS LÄN</t>
        </is>
      </c>
      <c r="E1173" t="inlineStr">
        <is>
          <t>ÅNGE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16853-2023</t>
        </is>
      </c>
      <c r="B1174" s="1" t="n">
        <v>45033</v>
      </c>
      <c r="C1174" s="1" t="n">
        <v>45588</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17009-2023</t>
        </is>
      </c>
      <c r="B1175" s="1" t="n">
        <v>45034</v>
      </c>
      <c r="C1175" s="1" t="n">
        <v>45588</v>
      </c>
      <c r="D1175" t="inlineStr">
        <is>
          <t>VÄSTERNORRLANDS LÄN</t>
        </is>
      </c>
      <c r="E1175" t="inlineStr">
        <is>
          <t>ÅNGE</t>
        </is>
      </c>
      <c r="F1175" t="inlineStr">
        <is>
          <t>SCA</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17044-2023</t>
        </is>
      </c>
      <c r="B1176" s="1" t="n">
        <v>45034</v>
      </c>
      <c r="C1176" s="1" t="n">
        <v>45588</v>
      </c>
      <c r="D1176" t="inlineStr">
        <is>
          <t>VÄSTERNORRLANDS LÄN</t>
        </is>
      </c>
      <c r="E1176" t="inlineStr">
        <is>
          <t>ÅNGE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17103-2023</t>
        </is>
      </c>
      <c r="B1177" s="1" t="n">
        <v>45034</v>
      </c>
      <c r="C1177" s="1" t="n">
        <v>45588</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17668-2023</t>
        </is>
      </c>
      <c r="B1178" s="1" t="n">
        <v>45036</v>
      </c>
      <c r="C1178" s="1" t="n">
        <v>45588</v>
      </c>
      <c r="D1178" t="inlineStr">
        <is>
          <t>VÄSTERNORRLANDS LÄN</t>
        </is>
      </c>
      <c r="E1178" t="inlineStr">
        <is>
          <t>ÅNGE</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17669-2023</t>
        </is>
      </c>
      <c r="B1179" s="1" t="n">
        <v>45037</v>
      </c>
      <c r="C1179" s="1" t="n">
        <v>45588</v>
      </c>
      <c r="D1179" t="inlineStr">
        <is>
          <t>VÄSTERNORRLANDS LÄN</t>
        </is>
      </c>
      <c r="E1179" t="inlineStr">
        <is>
          <t>ÅNGE</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17670-2023</t>
        </is>
      </c>
      <c r="B1180" s="1" t="n">
        <v>45036</v>
      </c>
      <c r="C1180" s="1" t="n">
        <v>45588</v>
      </c>
      <c r="D1180" t="inlineStr">
        <is>
          <t>VÄSTERNORRLANDS LÄN</t>
        </is>
      </c>
      <c r="E1180" t="inlineStr">
        <is>
          <t>ÅNGE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17934-2023</t>
        </is>
      </c>
      <c r="B1181" s="1" t="n">
        <v>45037</v>
      </c>
      <c r="C1181" s="1" t="n">
        <v>45588</v>
      </c>
      <c r="D1181" t="inlineStr">
        <is>
          <t>VÄSTERNORRLANDS LÄN</t>
        </is>
      </c>
      <c r="E1181" t="inlineStr">
        <is>
          <t>ÅNGE</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18033-2023</t>
        </is>
      </c>
      <c r="B1182" s="1" t="n">
        <v>45037</v>
      </c>
      <c r="C1182" s="1" t="n">
        <v>45588</v>
      </c>
      <c r="D1182" t="inlineStr">
        <is>
          <t>VÄSTERNORRLANDS LÄN</t>
        </is>
      </c>
      <c r="E1182" t="inlineStr">
        <is>
          <t>ÅNGE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17860-2023</t>
        </is>
      </c>
      <c r="B1183" s="1" t="n">
        <v>45038</v>
      </c>
      <c r="C1183" s="1" t="n">
        <v>45588</v>
      </c>
      <c r="D1183" t="inlineStr">
        <is>
          <t>VÄSTERNORRLANDS LÄN</t>
        </is>
      </c>
      <c r="E1183" t="inlineStr">
        <is>
          <t>ÅNGE</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18061-2023</t>
        </is>
      </c>
      <c r="B1184" s="1" t="n">
        <v>45037</v>
      </c>
      <c r="C1184" s="1" t="n">
        <v>45588</v>
      </c>
      <c r="D1184" t="inlineStr">
        <is>
          <t>VÄSTERNORRLANDS LÄN</t>
        </is>
      </c>
      <c r="E1184" t="inlineStr">
        <is>
          <t>ÅNGE</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18168-2023</t>
        </is>
      </c>
      <c r="B1185" s="1" t="n">
        <v>45040</v>
      </c>
      <c r="C1185" s="1" t="n">
        <v>45588</v>
      </c>
      <c r="D1185" t="inlineStr">
        <is>
          <t>VÄSTERNORRLANDS LÄN</t>
        </is>
      </c>
      <c r="E1185" t="inlineStr">
        <is>
          <t>ÅNGE</t>
        </is>
      </c>
      <c r="F1185" t="inlineStr">
        <is>
          <t>SCA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18169-2023</t>
        </is>
      </c>
      <c r="B1186" s="1" t="n">
        <v>45040</v>
      </c>
      <c r="C1186" s="1" t="n">
        <v>45588</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18170-2023</t>
        </is>
      </c>
      <c r="B1187" s="1" t="n">
        <v>45040</v>
      </c>
      <c r="C1187" s="1" t="n">
        <v>45588</v>
      </c>
      <c r="D1187" t="inlineStr">
        <is>
          <t>VÄSTERNORRLANDS LÄN</t>
        </is>
      </c>
      <c r="E1187" t="inlineStr">
        <is>
          <t>ÅNGE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18305-2023</t>
        </is>
      </c>
      <c r="B1188" s="1" t="n">
        <v>45041</v>
      </c>
      <c r="C1188" s="1" t="n">
        <v>45588</v>
      </c>
      <c r="D1188" t="inlineStr">
        <is>
          <t>VÄSTERNORRLANDS LÄN</t>
        </is>
      </c>
      <c r="E1188" t="inlineStr">
        <is>
          <t>ÅNGE</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18370-2023</t>
        </is>
      </c>
      <c r="B1189" s="1" t="n">
        <v>45041</v>
      </c>
      <c r="C1189" s="1" t="n">
        <v>45588</v>
      </c>
      <c r="D1189" t="inlineStr">
        <is>
          <t>VÄSTERNORRLANDS LÄN</t>
        </is>
      </c>
      <c r="E1189" t="inlineStr">
        <is>
          <t>ÅNGE</t>
        </is>
      </c>
      <c r="F1189" t="inlineStr">
        <is>
          <t>SCA</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18487-2023</t>
        </is>
      </c>
      <c r="B1190" s="1" t="n">
        <v>45042</v>
      </c>
      <c r="C1190" s="1" t="n">
        <v>45588</v>
      </c>
      <c r="D1190" t="inlineStr">
        <is>
          <t>VÄSTERNORRLANDS LÄN</t>
        </is>
      </c>
      <c r="E1190" t="inlineStr">
        <is>
          <t>ÅNGE</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18560-2023</t>
        </is>
      </c>
      <c r="B1191" s="1" t="n">
        <v>45042</v>
      </c>
      <c r="C1191" s="1" t="n">
        <v>45588</v>
      </c>
      <c r="D1191" t="inlineStr">
        <is>
          <t>VÄSTERNORRLANDS LÄN</t>
        </is>
      </c>
      <c r="E1191" t="inlineStr">
        <is>
          <t>ÅNGE</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18668-2023</t>
        </is>
      </c>
      <c r="B1192" s="1" t="n">
        <v>45043</v>
      </c>
      <c r="C1192" s="1" t="n">
        <v>45588</v>
      </c>
      <c r="D1192" t="inlineStr">
        <is>
          <t>VÄSTERNORRLANDS LÄN</t>
        </is>
      </c>
      <c r="E1192" t="inlineStr">
        <is>
          <t>ÅNGE</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19231-2023</t>
        </is>
      </c>
      <c r="B1193" s="1" t="n">
        <v>45048</v>
      </c>
      <c r="C1193" s="1" t="n">
        <v>45588</v>
      </c>
      <c r="D1193" t="inlineStr">
        <is>
          <t>VÄSTERNORRLANDS LÄN</t>
        </is>
      </c>
      <c r="E1193" t="inlineStr">
        <is>
          <t>ÅNGE</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19624-2023</t>
        </is>
      </c>
      <c r="B1194" s="1" t="n">
        <v>45051</v>
      </c>
      <c r="C1194" s="1" t="n">
        <v>45588</v>
      </c>
      <c r="D1194" t="inlineStr">
        <is>
          <t>VÄSTERNORRLANDS LÄN</t>
        </is>
      </c>
      <c r="E1194" t="inlineStr">
        <is>
          <t>ÅNGE</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19622-2023</t>
        </is>
      </c>
      <c r="B1195" s="1" t="n">
        <v>45051</v>
      </c>
      <c r="C1195" s="1" t="n">
        <v>45588</v>
      </c>
      <c r="D1195" t="inlineStr">
        <is>
          <t>VÄSTERNORRLANDS LÄN</t>
        </is>
      </c>
      <c r="E1195" t="inlineStr">
        <is>
          <t>ÅNGE</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19811-2023</t>
        </is>
      </c>
      <c r="B1196" s="1" t="n">
        <v>45052</v>
      </c>
      <c r="C1196" s="1" t="n">
        <v>45588</v>
      </c>
      <c r="D1196" t="inlineStr">
        <is>
          <t>VÄSTERNORRLANDS LÄN</t>
        </is>
      </c>
      <c r="E1196" t="inlineStr">
        <is>
          <t>ÅNGE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19810-2023</t>
        </is>
      </c>
      <c r="B1197" s="1" t="n">
        <v>45052</v>
      </c>
      <c r="C1197" s="1" t="n">
        <v>45588</v>
      </c>
      <c r="D1197" t="inlineStr">
        <is>
          <t>VÄSTERNORRLANDS LÄN</t>
        </is>
      </c>
      <c r="E1197" t="inlineStr">
        <is>
          <t>ÅNGE</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19827-2023</t>
        </is>
      </c>
      <c r="B1198" s="1" t="n">
        <v>45052</v>
      </c>
      <c r="C1198" s="1" t="n">
        <v>45588</v>
      </c>
      <c r="D1198" t="inlineStr">
        <is>
          <t>VÄSTERNORRLANDS LÄN</t>
        </is>
      </c>
      <c r="E1198" t="inlineStr">
        <is>
          <t>ÅNGE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20009-2023</t>
        </is>
      </c>
      <c r="B1199" s="1" t="n">
        <v>45051</v>
      </c>
      <c r="C1199" s="1" t="n">
        <v>45588</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20110-2023</t>
        </is>
      </c>
      <c r="B1200" s="1" t="n">
        <v>45051</v>
      </c>
      <c r="C1200" s="1" t="n">
        <v>45588</v>
      </c>
      <c r="D1200" t="inlineStr">
        <is>
          <t>VÄSTERNORRLANDS LÄN</t>
        </is>
      </c>
      <c r="E1200" t="inlineStr">
        <is>
          <t>ÅNGE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20024-2023</t>
        </is>
      </c>
      <c r="B1201" s="1" t="n">
        <v>45051</v>
      </c>
      <c r="C1201" s="1" t="n">
        <v>45588</v>
      </c>
      <c r="D1201" t="inlineStr">
        <is>
          <t>VÄSTERNORRLANDS LÄN</t>
        </is>
      </c>
      <c r="E1201" t="inlineStr">
        <is>
          <t>ÅNGE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19997-2023</t>
        </is>
      </c>
      <c r="B1202" s="1" t="n">
        <v>45054</v>
      </c>
      <c r="C1202" s="1" t="n">
        <v>45588</v>
      </c>
      <c r="D1202" t="inlineStr">
        <is>
          <t>VÄSTERNORRLANDS LÄN</t>
        </is>
      </c>
      <c r="E1202" t="inlineStr">
        <is>
          <t>ÅNGE</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20099-2023</t>
        </is>
      </c>
      <c r="B1203" s="1" t="n">
        <v>45055</v>
      </c>
      <c r="C1203" s="1" t="n">
        <v>45588</v>
      </c>
      <c r="D1203" t="inlineStr">
        <is>
          <t>VÄSTERNORRLANDS LÄN</t>
        </is>
      </c>
      <c r="E1203" t="inlineStr">
        <is>
          <t>ÅNGE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20255-2023</t>
        </is>
      </c>
      <c r="B1204" s="1" t="n">
        <v>45055</v>
      </c>
      <c r="C1204" s="1" t="n">
        <v>45588</v>
      </c>
      <c r="D1204" t="inlineStr">
        <is>
          <t>VÄSTERNORRLANDS LÄN</t>
        </is>
      </c>
      <c r="E1204" t="inlineStr">
        <is>
          <t>ÅNGE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20256-2023</t>
        </is>
      </c>
      <c r="B1205" s="1" t="n">
        <v>45055</v>
      </c>
      <c r="C1205" s="1" t="n">
        <v>45588</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20453-2023</t>
        </is>
      </c>
      <c r="B1206" s="1" t="n">
        <v>45057</v>
      </c>
      <c r="C1206" s="1" t="n">
        <v>45588</v>
      </c>
      <c r="D1206" t="inlineStr">
        <is>
          <t>VÄSTERNORRLANDS LÄN</t>
        </is>
      </c>
      <c r="E1206" t="inlineStr">
        <is>
          <t>ÅNGE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20627-2023</t>
        </is>
      </c>
      <c r="B1207" s="1" t="n">
        <v>45057</v>
      </c>
      <c r="C1207" s="1" t="n">
        <v>45588</v>
      </c>
      <c r="D1207" t="inlineStr">
        <is>
          <t>VÄSTERNORRLANDS LÄN</t>
        </is>
      </c>
      <c r="E1207" t="inlineStr">
        <is>
          <t>ÅNGE</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20853-2023</t>
        </is>
      </c>
      <c r="B1208" s="1" t="n">
        <v>45058</v>
      </c>
      <c r="C1208" s="1" t="n">
        <v>45588</v>
      </c>
      <c r="D1208" t="inlineStr">
        <is>
          <t>VÄSTERNORRLANDS LÄN</t>
        </is>
      </c>
      <c r="E1208" t="inlineStr">
        <is>
          <t>ÅNGE</t>
        </is>
      </c>
      <c r="F1208" t="inlineStr">
        <is>
          <t>Holmen skog AB</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20881-2023</t>
        </is>
      </c>
      <c r="B1209" s="1" t="n">
        <v>45059</v>
      </c>
      <c r="C1209" s="1" t="n">
        <v>45588</v>
      </c>
      <c r="D1209" t="inlineStr">
        <is>
          <t>VÄSTERNORRLANDS LÄN</t>
        </is>
      </c>
      <c r="E1209" t="inlineStr">
        <is>
          <t>ÅNGE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20885-2023</t>
        </is>
      </c>
      <c r="B1210" s="1" t="n">
        <v>45058</v>
      </c>
      <c r="C1210" s="1" t="n">
        <v>45588</v>
      </c>
      <c r="D1210" t="inlineStr">
        <is>
          <t>VÄSTERNORRLANDS LÄN</t>
        </is>
      </c>
      <c r="E1210" t="inlineStr">
        <is>
          <t>ÅNGE</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20883-2023</t>
        </is>
      </c>
      <c r="B1211" s="1" t="n">
        <v>45059</v>
      </c>
      <c r="C1211" s="1" t="n">
        <v>45588</v>
      </c>
      <c r="D1211" t="inlineStr">
        <is>
          <t>VÄSTERNORRLANDS LÄN</t>
        </is>
      </c>
      <c r="E1211" t="inlineStr">
        <is>
          <t>ÅNGE</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20890-2023</t>
        </is>
      </c>
      <c r="B1212" s="1" t="n">
        <v>45058</v>
      </c>
      <c r="C1212" s="1" t="n">
        <v>45588</v>
      </c>
      <c r="D1212" t="inlineStr">
        <is>
          <t>VÄSTERNORRLANDS LÄN</t>
        </is>
      </c>
      <c r="E1212" t="inlineStr">
        <is>
          <t>ÅNGE</t>
        </is>
      </c>
      <c r="F1212" t="inlineStr">
        <is>
          <t>SCA</t>
        </is>
      </c>
      <c r="G1212" t="n">
        <v>17.3</v>
      </c>
      <c r="H1212" t="n">
        <v>0</v>
      </c>
      <c r="I1212" t="n">
        <v>0</v>
      </c>
      <c r="J1212" t="n">
        <v>0</v>
      </c>
      <c r="K1212" t="n">
        <v>0</v>
      </c>
      <c r="L1212" t="n">
        <v>0</v>
      </c>
      <c r="M1212" t="n">
        <v>0</v>
      </c>
      <c r="N1212" t="n">
        <v>0</v>
      </c>
      <c r="O1212" t="n">
        <v>0</v>
      </c>
      <c r="P1212" t="n">
        <v>0</v>
      </c>
      <c r="Q1212" t="n">
        <v>0</v>
      </c>
      <c r="R1212" s="2" t="inlineStr"/>
    </row>
    <row r="1213" ht="15" customHeight="1">
      <c r="A1213" t="inlineStr">
        <is>
          <t>A 20884-2023</t>
        </is>
      </c>
      <c r="B1213" s="1" t="n">
        <v>45059</v>
      </c>
      <c r="C1213" s="1" t="n">
        <v>45588</v>
      </c>
      <c r="D1213" t="inlineStr">
        <is>
          <t>VÄSTERNORRLANDS LÄN</t>
        </is>
      </c>
      <c r="E1213" t="inlineStr">
        <is>
          <t>ÅNGE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21354-2023</t>
        </is>
      </c>
      <c r="B1214" s="1" t="n">
        <v>45063</v>
      </c>
      <c r="C1214" s="1" t="n">
        <v>45588</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21352-2023</t>
        </is>
      </c>
      <c r="B1215" s="1" t="n">
        <v>45062</v>
      </c>
      <c r="C1215" s="1" t="n">
        <v>45588</v>
      </c>
      <c r="D1215" t="inlineStr">
        <is>
          <t>VÄSTERNORRLANDS LÄN</t>
        </is>
      </c>
      <c r="E1215" t="inlineStr">
        <is>
          <t>ÅNGE</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21355-2023</t>
        </is>
      </c>
      <c r="B1216" s="1" t="n">
        <v>45063</v>
      </c>
      <c r="C1216" s="1" t="n">
        <v>45588</v>
      </c>
      <c r="D1216" t="inlineStr">
        <is>
          <t>VÄSTERNORRLANDS LÄN</t>
        </is>
      </c>
      <c r="E1216" t="inlineStr">
        <is>
          <t>ÅNGE</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21694-2023</t>
        </is>
      </c>
      <c r="B1217" s="1" t="n">
        <v>45063</v>
      </c>
      <c r="C1217" s="1" t="n">
        <v>45588</v>
      </c>
      <c r="D1217" t="inlineStr">
        <is>
          <t>VÄSTERNORRLANDS LÄN</t>
        </is>
      </c>
      <c r="E1217" t="inlineStr">
        <is>
          <t>ÅNGE</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21681-2023</t>
        </is>
      </c>
      <c r="B1218" s="1" t="n">
        <v>45064</v>
      </c>
      <c r="C1218" s="1" t="n">
        <v>45588</v>
      </c>
      <c r="D1218" t="inlineStr">
        <is>
          <t>VÄSTERNORRLANDS LÄN</t>
        </is>
      </c>
      <c r="E1218" t="inlineStr">
        <is>
          <t>ÅNGE</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21691-2023</t>
        </is>
      </c>
      <c r="B1219" s="1" t="n">
        <v>45063</v>
      </c>
      <c r="C1219" s="1" t="n">
        <v>45588</v>
      </c>
      <c r="D1219" t="inlineStr">
        <is>
          <t>VÄSTERNORRLANDS LÄN</t>
        </is>
      </c>
      <c r="E1219" t="inlineStr">
        <is>
          <t>ÅNGE</t>
        </is>
      </c>
      <c r="F1219" t="inlineStr">
        <is>
          <t>SCA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21695-2023</t>
        </is>
      </c>
      <c r="B1220" s="1" t="n">
        <v>45063</v>
      </c>
      <c r="C1220" s="1" t="n">
        <v>45588</v>
      </c>
      <c r="D1220" t="inlineStr">
        <is>
          <t>VÄSTERNORRLANDS LÄN</t>
        </is>
      </c>
      <c r="E1220" t="inlineStr">
        <is>
          <t>ÅNGE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21668-2023</t>
        </is>
      </c>
      <c r="B1221" s="1" t="n">
        <v>45064</v>
      </c>
      <c r="C1221" s="1" t="n">
        <v>45588</v>
      </c>
      <c r="D1221" t="inlineStr">
        <is>
          <t>VÄSTERNORRLANDS LÄN</t>
        </is>
      </c>
      <c r="E1221" t="inlineStr">
        <is>
          <t>ÅNGE</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21692-2023</t>
        </is>
      </c>
      <c r="B1222" s="1" t="n">
        <v>45063</v>
      </c>
      <c r="C1222" s="1" t="n">
        <v>45588</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21680-2023</t>
        </is>
      </c>
      <c r="B1223" s="1" t="n">
        <v>45064</v>
      </c>
      <c r="C1223" s="1" t="n">
        <v>45588</v>
      </c>
      <c r="D1223" t="inlineStr">
        <is>
          <t>VÄSTERNORRLANDS LÄN</t>
        </is>
      </c>
      <c r="E1223" t="inlineStr">
        <is>
          <t>ÅNGE</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21693-2023</t>
        </is>
      </c>
      <c r="B1224" s="1" t="n">
        <v>45063</v>
      </c>
      <c r="C1224" s="1" t="n">
        <v>45588</v>
      </c>
      <c r="D1224" t="inlineStr">
        <is>
          <t>VÄSTERNORRLANDS LÄN</t>
        </is>
      </c>
      <c r="E1224" t="inlineStr">
        <is>
          <t>ÅNGE</t>
        </is>
      </c>
      <c r="F1224" t="inlineStr">
        <is>
          <t>SCA</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22005-2023</t>
        </is>
      </c>
      <c r="B1225" s="1" t="n">
        <v>45069</v>
      </c>
      <c r="C1225" s="1" t="n">
        <v>45588</v>
      </c>
      <c r="D1225" t="inlineStr">
        <is>
          <t>VÄSTERNORRLANDS LÄN</t>
        </is>
      </c>
      <c r="E1225" t="inlineStr">
        <is>
          <t>ÅNGE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22013-2023</t>
        </is>
      </c>
      <c r="B1226" s="1" t="n">
        <v>45069</v>
      </c>
      <c r="C1226" s="1" t="n">
        <v>45588</v>
      </c>
      <c r="D1226" t="inlineStr">
        <is>
          <t>VÄSTERNORRLANDS LÄN</t>
        </is>
      </c>
      <c r="E1226" t="inlineStr">
        <is>
          <t>ÅNGE</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22248-2023</t>
        </is>
      </c>
      <c r="B1227" s="1" t="n">
        <v>45070</v>
      </c>
      <c r="C1227" s="1" t="n">
        <v>45588</v>
      </c>
      <c r="D1227" t="inlineStr">
        <is>
          <t>VÄSTERNORRLANDS LÄN</t>
        </is>
      </c>
      <c r="E1227" t="inlineStr">
        <is>
          <t>ÅNGE</t>
        </is>
      </c>
      <c r="F1227" t="inlineStr">
        <is>
          <t>Sveaskog</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22411-2023</t>
        </is>
      </c>
      <c r="B1228" s="1" t="n">
        <v>45070</v>
      </c>
      <c r="C1228" s="1" t="n">
        <v>45588</v>
      </c>
      <c r="D1228" t="inlineStr">
        <is>
          <t>VÄSTERNORRLANDS LÄN</t>
        </is>
      </c>
      <c r="E1228" t="inlineStr">
        <is>
          <t>ÅNGE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22740-2023</t>
        </is>
      </c>
      <c r="B1229" s="1" t="n">
        <v>45072</v>
      </c>
      <c r="C1229" s="1" t="n">
        <v>45588</v>
      </c>
      <c r="D1229" t="inlineStr">
        <is>
          <t>VÄSTERNORRLANDS LÄN</t>
        </is>
      </c>
      <c r="E1229" t="inlineStr">
        <is>
          <t>ÅNGE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22755-2023</t>
        </is>
      </c>
      <c r="B1230" s="1" t="n">
        <v>45072</v>
      </c>
      <c r="C1230" s="1" t="n">
        <v>45588</v>
      </c>
      <c r="D1230" t="inlineStr">
        <is>
          <t>VÄSTERNORRLANDS LÄN</t>
        </is>
      </c>
      <c r="E1230" t="inlineStr">
        <is>
          <t>ÅNGE</t>
        </is>
      </c>
      <c r="F1230" t="inlineStr">
        <is>
          <t>SCA</t>
        </is>
      </c>
      <c r="G1230" t="n">
        <v>12.6</v>
      </c>
      <c r="H1230" t="n">
        <v>0</v>
      </c>
      <c r="I1230" t="n">
        <v>0</v>
      </c>
      <c r="J1230" t="n">
        <v>0</v>
      </c>
      <c r="K1230" t="n">
        <v>0</v>
      </c>
      <c r="L1230" t="n">
        <v>0</v>
      </c>
      <c r="M1230" t="n">
        <v>0</v>
      </c>
      <c r="N1230" t="n">
        <v>0</v>
      </c>
      <c r="O1230" t="n">
        <v>0</v>
      </c>
      <c r="P1230" t="n">
        <v>0</v>
      </c>
      <c r="Q1230" t="n">
        <v>0</v>
      </c>
      <c r="R1230" s="2" t="inlineStr"/>
    </row>
    <row r="1231" ht="15" customHeight="1">
      <c r="A1231" t="inlineStr">
        <is>
          <t>A 22752-2023</t>
        </is>
      </c>
      <c r="B1231" s="1" t="n">
        <v>45072</v>
      </c>
      <c r="C1231" s="1" t="n">
        <v>45588</v>
      </c>
      <c r="D1231" t="inlineStr">
        <is>
          <t>VÄSTERNORRLANDS LÄN</t>
        </is>
      </c>
      <c r="E1231" t="inlineStr">
        <is>
          <t>ÅNGE</t>
        </is>
      </c>
      <c r="F1231" t="inlineStr">
        <is>
          <t>SCA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22756-2023</t>
        </is>
      </c>
      <c r="B1232" s="1" t="n">
        <v>45072</v>
      </c>
      <c r="C1232" s="1" t="n">
        <v>45588</v>
      </c>
      <c r="D1232" t="inlineStr">
        <is>
          <t>VÄSTERNORRLANDS LÄN</t>
        </is>
      </c>
      <c r="E1232" t="inlineStr">
        <is>
          <t>ÅNGE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22753-2023</t>
        </is>
      </c>
      <c r="B1233" s="1" t="n">
        <v>45072</v>
      </c>
      <c r="C1233" s="1" t="n">
        <v>45588</v>
      </c>
      <c r="D1233" t="inlineStr">
        <is>
          <t>VÄSTERNORRLANDS LÄN</t>
        </is>
      </c>
      <c r="E1233" t="inlineStr">
        <is>
          <t>ÅNGE</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22987-2023</t>
        </is>
      </c>
      <c r="B1234" s="1" t="n">
        <v>45072</v>
      </c>
      <c r="C1234" s="1" t="n">
        <v>45588</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22997-2023</t>
        </is>
      </c>
      <c r="B1235" s="1" t="n">
        <v>45073</v>
      </c>
      <c r="C1235" s="1" t="n">
        <v>45588</v>
      </c>
      <c r="D1235" t="inlineStr">
        <is>
          <t>VÄSTERNORRLANDS LÄN</t>
        </is>
      </c>
      <c r="E1235" t="inlineStr">
        <is>
          <t>ÅNGE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23308-2023</t>
        </is>
      </c>
      <c r="B1236" s="1" t="n">
        <v>45075</v>
      </c>
      <c r="C1236" s="1" t="n">
        <v>45588</v>
      </c>
      <c r="D1236" t="inlineStr">
        <is>
          <t>VÄSTERNORRLANDS LÄN</t>
        </is>
      </c>
      <c r="E1236" t="inlineStr">
        <is>
          <t>ÅNGE</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23307-2023</t>
        </is>
      </c>
      <c r="B1237" s="1" t="n">
        <v>45075</v>
      </c>
      <c r="C1237" s="1" t="n">
        <v>45588</v>
      </c>
      <c r="D1237" t="inlineStr">
        <is>
          <t>VÄSTERNORRLANDS LÄN</t>
        </is>
      </c>
      <c r="E1237" t="inlineStr">
        <is>
          <t>ÅNGE</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23520-2023</t>
        </is>
      </c>
      <c r="B1238" s="1" t="n">
        <v>45077</v>
      </c>
      <c r="C1238" s="1" t="n">
        <v>45588</v>
      </c>
      <c r="D1238" t="inlineStr">
        <is>
          <t>VÄSTERNORRLANDS LÄN</t>
        </is>
      </c>
      <c r="E1238" t="inlineStr">
        <is>
          <t>ÅNGE</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23671-2023</t>
        </is>
      </c>
      <c r="B1239" s="1" t="n">
        <v>45077</v>
      </c>
      <c r="C1239" s="1" t="n">
        <v>45588</v>
      </c>
      <c r="D1239" t="inlineStr">
        <is>
          <t>VÄSTERNORRLANDS LÄN</t>
        </is>
      </c>
      <c r="E1239" t="inlineStr">
        <is>
          <t>ÅNGE</t>
        </is>
      </c>
      <c r="F1239" t="inlineStr">
        <is>
          <t>Sveaskog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23746-2023</t>
        </is>
      </c>
      <c r="B1240" s="1" t="n">
        <v>45077</v>
      </c>
      <c r="C1240" s="1" t="n">
        <v>45588</v>
      </c>
      <c r="D1240" t="inlineStr">
        <is>
          <t>VÄSTERNORRLANDS LÄN</t>
        </is>
      </c>
      <c r="E1240" t="inlineStr">
        <is>
          <t>ÅNGE</t>
        </is>
      </c>
      <c r="F1240" t="inlineStr">
        <is>
          <t>Holmen skog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24037-2023</t>
        </is>
      </c>
      <c r="B1241" s="1" t="n">
        <v>45078</v>
      </c>
      <c r="C1241" s="1" t="n">
        <v>45588</v>
      </c>
      <c r="D1241" t="inlineStr">
        <is>
          <t>VÄSTERNORRLANDS LÄN</t>
        </is>
      </c>
      <c r="E1241" t="inlineStr">
        <is>
          <t>ÅNGE</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24058-2023</t>
        </is>
      </c>
      <c r="B1242" s="1" t="n">
        <v>45079</v>
      </c>
      <c r="C1242" s="1" t="n">
        <v>45588</v>
      </c>
      <c r="D1242" t="inlineStr">
        <is>
          <t>VÄSTERNORRLANDS LÄN</t>
        </is>
      </c>
      <c r="E1242" t="inlineStr">
        <is>
          <t>ÅNGE</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24060-2023</t>
        </is>
      </c>
      <c r="B1243" s="1" t="n">
        <v>45079</v>
      </c>
      <c r="C1243" s="1" t="n">
        <v>45588</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24061-2023</t>
        </is>
      </c>
      <c r="B1244" s="1" t="n">
        <v>45079</v>
      </c>
      <c r="C1244" s="1" t="n">
        <v>45588</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24059-2023</t>
        </is>
      </c>
      <c r="B1245" s="1" t="n">
        <v>45079</v>
      </c>
      <c r="C1245" s="1" t="n">
        <v>45588</v>
      </c>
      <c r="D1245" t="inlineStr">
        <is>
          <t>VÄSTERNORRLANDS LÄN</t>
        </is>
      </c>
      <c r="E1245" t="inlineStr">
        <is>
          <t>ÅNGE</t>
        </is>
      </c>
      <c r="F1245" t="inlineStr">
        <is>
          <t>SCA</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24063-2023</t>
        </is>
      </c>
      <c r="B1246" s="1" t="n">
        <v>45079</v>
      </c>
      <c r="C1246" s="1" t="n">
        <v>45588</v>
      </c>
      <c r="D1246" t="inlineStr">
        <is>
          <t>VÄSTERNORRLANDS LÄN</t>
        </is>
      </c>
      <c r="E1246" t="inlineStr">
        <is>
          <t>ÅNGE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24062-2023</t>
        </is>
      </c>
      <c r="B1247" s="1" t="n">
        <v>45079</v>
      </c>
      <c r="C1247" s="1" t="n">
        <v>45588</v>
      </c>
      <c r="D1247" t="inlineStr">
        <is>
          <t>VÄSTERNORRLANDS LÄN</t>
        </is>
      </c>
      <c r="E1247" t="inlineStr">
        <is>
          <t>ÅNGE</t>
        </is>
      </c>
      <c r="F1247" t="inlineStr">
        <is>
          <t>SCA</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24066-2023</t>
        </is>
      </c>
      <c r="B1248" s="1" t="n">
        <v>45078</v>
      </c>
      <c r="C1248" s="1" t="n">
        <v>45588</v>
      </c>
      <c r="D1248" t="inlineStr">
        <is>
          <t>VÄSTERNORRLANDS LÄN</t>
        </is>
      </c>
      <c r="E1248" t="inlineStr">
        <is>
          <t>ÅNGE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24064-2023</t>
        </is>
      </c>
      <c r="B1249" s="1" t="n">
        <v>45078</v>
      </c>
      <c r="C1249" s="1" t="n">
        <v>45588</v>
      </c>
      <c r="D1249" t="inlineStr">
        <is>
          <t>VÄSTERNORRLANDS LÄN</t>
        </is>
      </c>
      <c r="E1249" t="inlineStr">
        <is>
          <t>ÅNGE</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24068-2023</t>
        </is>
      </c>
      <c r="B1250" s="1" t="n">
        <v>45078</v>
      </c>
      <c r="C1250" s="1" t="n">
        <v>45588</v>
      </c>
      <c r="D1250" t="inlineStr">
        <is>
          <t>VÄSTERNORRLANDS LÄN</t>
        </is>
      </c>
      <c r="E1250" t="inlineStr">
        <is>
          <t>ÅNGE</t>
        </is>
      </c>
      <c r="G1250" t="n">
        <v>10.4</v>
      </c>
      <c r="H1250" t="n">
        <v>0</v>
      </c>
      <c r="I1250" t="n">
        <v>0</v>
      </c>
      <c r="J1250" t="n">
        <v>0</v>
      </c>
      <c r="K1250" t="n">
        <v>0</v>
      </c>
      <c r="L1250" t="n">
        <v>0</v>
      </c>
      <c r="M1250" t="n">
        <v>0</v>
      </c>
      <c r="N1250" t="n">
        <v>0</v>
      </c>
      <c r="O1250" t="n">
        <v>0</v>
      </c>
      <c r="P1250" t="n">
        <v>0</v>
      </c>
      <c r="Q1250" t="n">
        <v>0</v>
      </c>
      <c r="R1250" s="2" t="inlineStr"/>
    </row>
    <row r="1251" ht="15" customHeight="1">
      <c r="A1251" t="inlineStr">
        <is>
          <t>A 24995-2023</t>
        </is>
      </c>
      <c r="B1251" s="1" t="n">
        <v>45078</v>
      </c>
      <c r="C1251" s="1" t="n">
        <v>45588</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24971-2023</t>
        </is>
      </c>
      <c r="B1252" s="1" t="n">
        <v>45078</v>
      </c>
      <c r="C1252" s="1" t="n">
        <v>45588</v>
      </c>
      <c r="D1252" t="inlineStr">
        <is>
          <t>VÄSTERNORRLANDS LÄN</t>
        </is>
      </c>
      <c r="E1252" t="inlineStr">
        <is>
          <t>ÅNGE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24290-2023</t>
        </is>
      </c>
      <c r="B1253" s="1" t="n">
        <v>45080</v>
      </c>
      <c r="C1253" s="1" t="n">
        <v>45588</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24293-2023</t>
        </is>
      </c>
      <c r="B1254" s="1" t="n">
        <v>45080</v>
      </c>
      <c r="C1254" s="1" t="n">
        <v>45588</v>
      </c>
      <c r="D1254" t="inlineStr">
        <is>
          <t>VÄSTERNORRLANDS LÄN</t>
        </is>
      </c>
      <c r="E1254" t="inlineStr">
        <is>
          <t>ÅNGE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25266-2023</t>
        </is>
      </c>
      <c r="B1255" s="1" t="n">
        <v>45079</v>
      </c>
      <c r="C1255" s="1" t="n">
        <v>45588</v>
      </c>
      <c r="D1255" t="inlineStr">
        <is>
          <t>VÄSTERNORRLANDS LÄN</t>
        </is>
      </c>
      <c r="E1255" t="inlineStr">
        <is>
          <t>ÅNGE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24552-2023</t>
        </is>
      </c>
      <c r="B1256" s="1" t="n">
        <v>45083</v>
      </c>
      <c r="C1256" s="1" t="n">
        <v>45588</v>
      </c>
      <c r="D1256" t="inlineStr">
        <is>
          <t>VÄSTERNORRLANDS LÄN</t>
        </is>
      </c>
      <c r="E1256" t="inlineStr">
        <is>
          <t>ÅNGE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24554-2023</t>
        </is>
      </c>
      <c r="B1257" s="1" t="n">
        <v>45083</v>
      </c>
      <c r="C1257" s="1" t="n">
        <v>45588</v>
      </c>
      <c r="D1257" t="inlineStr">
        <is>
          <t>VÄSTERNORRLANDS LÄN</t>
        </is>
      </c>
      <c r="E1257" t="inlineStr">
        <is>
          <t>ÅNGE</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24541-2023</t>
        </is>
      </c>
      <c r="B1258" s="1" t="n">
        <v>45083</v>
      </c>
      <c r="C1258" s="1" t="n">
        <v>45588</v>
      </c>
      <c r="D1258" t="inlineStr">
        <is>
          <t>VÄSTERNORRLANDS LÄN</t>
        </is>
      </c>
      <c r="E1258" t="inlineStr">
        <is>
          <t>ÅNGE</t>
        </is>
      </c>
      <c r="F1258" t="inlineStr">
        <is>
          <t>SCA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24553-2023</t>
        </is>
      </c>
      <c r="B1259" s="1" t="n">
        <v>45083</v>
      </c>
      <c r="C1259" s="1" t="n">
        <v>45588</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24614-2023</t>
        </is>
      </c>
      <c r="B1260" s="1" t="n">
        <v>45084</v>
      </c>
      <c r="C1260" s="1" t="n">
        <v>45588</v>
      </c>
      <c r="D1260" t="inlineStr">
        <is>
          <t>VÄSTERNORRLANDS LÄN</t>
        </is>
      </c>
      <c r="E1260" t="inlineStr">
        <is>
          <t>ÅNGE</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24817-2023</t>
        </is>
      </c>
      <c r="B1261" s="1" t="n">
        <v>45084</v>
      </c>
      <c r="C1261" s="1" t="n">
        <v>45588</v>
      </c>
      <c r="D1261" t="inlineStr">
        <is>
          <t>VÄSTERNORRLANDS LÄN</t>
        </is>
      </c>
      <c r="E1261" t="inlineStr">
        <is>
          <t>ÅNGE</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24904-2023</t>
        </is>
      </c>
      <c r="B1262" s="1" t="n">
        <v>45085</v>
      </c>
      <c r="C1262" s="1" t="n">
        <v>45588</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25035-2023</t>
        </is>
      </c>
      <c r="B1263" s="1" t="n">
        <v>45085</v>
      </c>
      <c r="C1263" s="1" t="n">
        <v>45588</v>
      </c>
      <c r="D1263" t="inlineStr">
        <is>
          <t>VÄSTERNORRLANDS LÄN</t>
        </is>
      </c>
      <c r="E1263" t="inlineStr">
        <is>
          <t>ÅNGE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25047-2023</t>
        </is>
      </c>
      <c r="B1264" s="1" t="n">
        <v>45086</v>
      </c>
      <c r="C1264" s="1" t="n">
        <v>45588</v>
      </c>
      <c r="D1264" t="inlineStr">
        <is>
          <t>VÄSTERNORRLANDS LÄN</t>
        </is>
      </c>
      <c r="E1264" t="inlineStr">
        <is>
          <t>ÅNGE</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25063-2023</t>
        </is>
      </c>
      <c r="B1265" s="1" t="n">
        <v>45086</v>
      </c>
      <c r="C1265" s="1" t="n">
        <v>45588</v>
      </c>
      <c r="D1265" t="inlineStr">
        <is>
          <t>VÄSTERNORRLANDS LÄN</t>
        </is>
      </c>
      <c r="E1265" t="inlineStr">
        <is>
          <t>ÅNGE</t>
        </is>
      </c>
      <c r="F1265" t="inlineStr">
        <is>
          <t>SCA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25034-2023</t>
        </is>
      </c>
      <c r="B1266" s="1" t="n">
        <v>45085</v>
      </c>
      <c r="C1266" s="1" t="n">
        <v>45588</v>
      </c>
      <c r="D1266" t="inlineStr">
        <is>
          <t>VÄSTERNORRLANDS LÄN</t>
        </is>
      </c>
      <c r="E1266" t="inlineStr">
        <is>
          <t>ÅNGE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25311-2023</t>
        </is>
      </c>
      <c r="B1267" s="1" t="n">
        <v>45087</v>
      </c>
      <c r="C1267" s="1" t="n">
        <v>45588</v>
      </c>
      <c r="D1267" t="inlineStr">
        <is>
          <t>VÄSTERNORRLANDS LÄN</t>
        </is>
      </c>
      <c r="E1267" t="inlineStr">
        <is>
          <t>ÅNGE</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25320-2023</t>
        </is>
      </c>
      <c r="B1268" s="1" t="n">
        <v>45087</v>
      </c>
      <c r="C1268" s="1" t="n">
        <v>45588</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25324-2023</t>
        </is>
      </c>
      <c r="B1269" s="1" t="n">
        <v>45087</v>
      </c>
      <c r="C1269" s="1" t="n">
        <v>45588</v>
      </c>
      <c r="D1269" t="inlineStr">
        <is>
          <t>VÄSTERNORRLANDS LÄN</t>
        </is>
      </c>
      <c r="E1269" t="inlineStr">
        <is>
          <t>ÅNGE</t>
        </is>
      </c>
      <c r="F1269" t="inlineStr">
        <is>
          <t>SCA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25312-2023</t>
        </is>
      </c>
      <c r="B1270" s="1" t="n">
        <v>45087</v>
      </c>
      <c r="C1270" s="1" t="n">
        <v>45588</v>
      </c>
      <c r="D1270" t="inlineStr">
        <is>
          <t>VÄSTERNORRLANDS LÄN</t>
        </is>
      </c>
      <c r="E1270" t="inlineStr">
        <is>
          <t>ÅNGE</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25321-2023</t>
        </is>
      </c>
      <c r="B1271" s="1" t="n">
        <v>45087</v>
      </c>
      <c r="C1271" s="1" t="n">
        <v>45588</v>
      </c>
      <c r="D1271" t="inlineStr">
        <is>
          <t>VÄSTERNORRLANDS LÄN</t>
        </is>
      </c>
      <c r="E1271" t="inlineStr">
        <is>
          <t>ÅNGE</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25325-2023</t>
        </is>
      </c>
      <c r="B1272" s="1" t="n">
        <v>45087</v>
      </c>
      <c r="C1272" s="1" t="n">
        <v>45588</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25680-2023</t>
        </is>
      </c>
      <c r="B1273" s="1" t="n">
        <v>45089</v>
      </c>
      <c r="C1273" s="1" t="n">
        <v>45588</v>
      </c>
      <c r="D1273" t="inlineStr">
        <is>
          <t>VÄSTERNORRLANDS LÄN</t>
        </is>
      </c>
      <c r="E1273" t="inlineStr">
        <is>
          <t>ÅNGE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25779-2023</t>
        </is>
      </c>
      <c r="B1274" s="1" t="n">
        <v>45090</v>
      </c>
      <c r="C1274" s="1" t="n">
        <v>45588</v>
      </c>
      <c r="D1274" t="inlineStr">
        <is>
          <t>VÄSTERNORRLANDS LÄN</t>
        </is>
      </c>
      <c r="E1274" t="inlineStr">
        <is>
          <t>ÅNGE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25771-2023</t>
        </is>
      </c>
      <c r="B1275" s="1" t="n">
        <v>45090</v>
      </c>
      <c r="C1275" s="1" t="n">
        <v>45588</v>
      </c>
      <c r="D1275" t="inlineStr">
        <is>
          <t>VÄSTERNORRLANDS LÄN</t>
        </is>
      </c>
      <c r="E1275" t="inlineStr">
        <is>
          <t>ÅNGE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26014-2023</t>
        </is>
      </c>
      <c r="B1276" s="1" t="n">
        <v>45091</v>
      </c>
      <c r="C1276" s="1" t="n">
        <v>45588</v>
      </c>
      <c r="D1276" t="inlineStr">
        <is>
          <t>VÄSTERNORRLANDS LÄN</t>
        </is>
      </c>
      <c r="E1276" t="inlineStr">
        <is>
          <t>ÅNGE</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26371-2023</t>
        </is>
      </c>
      <c r="B1277" s="1" t="n">
        <v>45092</v>
      </c>
      <c r="C1277" s="1" t="n">
        <v>45588</v>
      </c>
      <c r="D1277" t="inlineStr">
        <is>
          <t>VÄSTERNORRLANDS LÄN</t>
        </is>
      </c>
      <c r="E1277" t="inlineStr">
        <is>
          <t>ÅNGE</t>
        </is>
      </c>
      <c r="F1277" t="inlineStr">
        <is>
          <t>SCA</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26365-2023</t>
        </is>
      </c>
      <c r="B1278" s="1" t="n">
        <v>45092</v>
      </c>
      <c r="C1278" s="1" t="n">
        <v>45588</v>
      </c>
      <c r="D1278" t="inlineStr">
        <is>
          <t>VÄSTERNORRLANDS LÄN</t>
        </is>
      </c>
      <c r="E1278" t="inlineStr">
        <is>
          <t>ÅNGE</t>
        </is>
      </c>
      <c r="F1278" t="inlineStr">
        <is>
          <t>SCA</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26364-2023</t>
        </is>
      </c>
      <c r="B1279" s="1" t="n">
        <v>45092</v>
      </c>
      <c r="C1279" s="1" t="n">
        <v>45588</v>
      </c>
      <c r="D1279" t="inlineStr">
        <is>
          <t>VÄSTERNORRLANDS LÄN</t>
        </is>
      </c>
      <c r="E1279" t="inlineStr">
        <is>
          <t>ÅNGE</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26360-2023</t>
        </is>
      </c>
      <c r="B1280" s="1" t="n">
        <v>45092</v>
      </c>
      <c r="C1280" s="1" t="n">
        <v>45588</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26513-2023</t>
        </is>
      </c>
      <c r="B1281" s="1" t="n">
        <v>45092</v>
      </c>
      <c r="C1281" s="1" t="n">
        <v>45588</v>
      </c>
      <c r="D1281" t="inlineStr">
        <is>
          <t>VÄSTERNORRLANDS LÄN</t>
        </is>
      </c>
      <c r="E1281" t="inlineStr">
        <is>
          <t>ÅNGE</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27260-2023</t>
        </is>
      </c>
      <c r="B1282" s="1" t="n">
        <v>45092</v>
      </c>
      <c r="C1282" s="1" t="n">
        <v>45588</v>
      </c>
      <c r="D1282" t="inlineStr">
        <is>
          <t>VÄSTERNORRLANDS LÄN</t>
        </is>
      </c>
      <c r="E1282" t="inlineStr">
        <is>
          <t>ÅNGE</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26898-2023</t>
        </is>
      </c>
      <c r="B1283" s="1" t="n">
        <v>45093</v>
      </c>
      <c r="C1283" s="1" t="n">
        <v>45588</v>
      </c>
      <c r="D1283" t="inlineStr">
        <is>
          <t>VÄSTERNORRLANDS LÄN</t>
        </is>
      </c>
      <c r="E1283" t="inlineStr">
        <is>
          <t>ÅNGE</t>
        </is>
      </c>
      <c r="F1283" t="inlineStr">
        <is>
          <t>Holmen skog AB</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26865-2023</t>
        </is>
      </c>
      <c r="B1284" s="1" t="n">
        <v>45093</v>
      </c>
      <c r="C1284" s="1" t="n">
        <v>45588</v>
      </c>
      <c r="D1284" t="inlineStr">
        <is>
          <t>VÄSTERNORRLANDS LÄN</t>
        </is>
      </c>
      <c r="E1284" t="inlineStr">
        <is>
          <t>ÅNGE</t>
        </is>
      </c>
      <c r="F1284" t="inlineStr">
        <is>
          <t>Holmen skog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27002-2023</t>
        </is>
      </c>
      <c r="B1285" s="1" t="n">
        <v>45093</v>
      </c>
      <c r="C1285" s="1" t="n">
        <v>45588</v>
      </c>
      <c r="D1285" t="inlineStr">
        <is>
          <t>VÄSTERNORRLANDS LÄN</t>
        </is>
      </c>
      <c r="E1285" t="inlineStr">
        <is>
          <t>ÅNGE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27016-2023</t>
        </is>
      </c>
      <c r="B1286" s="1" t="n">
        <v>45094</v>
      </c>
      <c r="C1286" s="1" t="n">
        <v>45588</v>
      </c>
      <c r="D1286" t="inlineStr">
        <is>
          <t>VÄSTERNORRLANDS LÄN</t>
        </is>
      </c>
      <c r="E1286" t="inlineStr">
        <is>
          <t>ÅNGE</t>
        </is>
      </c>
      <c r="F1286" t="inlineStr">
        <is>
          <t>Holmen skog AB</t>
        </is>
      </c>
      <c r="G1286" t="n">
        <v>12.3</v>
      </c>
      <c r="H1286" t="n">
        <v>0</v>
      </c>
      <c r="I1286" t="n">
        <v>0</v>
      </c>
      <c r="J1286" t="n">
        <v>0</v>
      </c>
      <c r="K1286" t="n">
        <v>0</v>
      </c>
      <c r="L1286" t="n">
        <v>0</v>
      </c>
      <c r="M1286" t="n">
        <v>0</v>
      </c>
      <c r="N1286" t="n">
        <v>0</v>
      </c>
      <c r="O1286" t="n">
        <v>0</v>
      </c>
      <c r="P1286" t="n">
        <v>0</v>
      </c>
      <c r="Q1286" t="n">
        <v>0</v>
      </c>
      <c r="R1286" s="2" t="inlineStr"/>
    </row>
    <row r="1287" ht="15" customHeight="1">
      <c r="A1287" t="inlineStr">
        <is>
          <t>A 27356-2023</t>
        </is>
      </c>
      <c r="B1287" s="1" t="n">
        <v>45097</v>
      </c>
      <c r="C1287" s="1" t="n">
        <v>45588</v>
      </c>
      <c r="D1287" t="inlineStr">
        <is>
          <t>VÄSTERNORRLANDS LÄN</t>
        </is>
      </c>
      <c r="E1287" t="inlineStr">
        <is>
          <t>ÅNGE</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27645-2023</t>
        </is>
      </c>
      <c r="B1288" s="1" t="n">
        <v>45097</v>
      </c>
      <c r="C1288" s="1" t="n">
        <v>45588</v>
      </c>
      <c r="D1288" t="inlineStr">
        <is>
          <t>VÄSTERNORRLANDS LÄN</t>
        </is>
      </c>
      <c r="E1288" t="inlineStr">
        <is>
          <t>ÅNGE</t>
        </is>
      </c>
      <c r="F1288" t="inlineStr">
        <is>
          <t>Holmen skog AB</t>
        </is>
      </c>
      <c r="G1288" t="n">
        <v>11.1</v>
      </c>
      <c r="H1288" t="n">
        <v>0</v>
      </c>
      <c r="I1288" t="n">
        <v>0</v>
      </c>
      <c r="J1288" t="n">
        <v>0</v>
      </c>
      <c r="K1288" t="n">
        <v>0</v>
      </c>
      <c r="L1288" t="n">
        <v>0</v>
      </c>
      <c r="M1288" t="n">
        <v>0</v>
      </c>
      <c r="N1288" t="n">
        <v>0</v>
      </c>
      <c r="O1288" t="n">
        <v>0</v>
      </c>
      <c r="P1288" t="n">
        <v>0</v>
      </c>
      <c r="Q1288" t="n">
        <v>0</v>
      </c>
      <c r="R1288" s="2" t="inlineStr"/>
    </row>
    <row r="1289" ht="15" customHeight="1">
      <c r="A1289" t="inlineStr">
        <is>
          <t>A 27682-2023</t>
        </is>
      </c>
      <c r="B1289" s="1" t="n">
        <v>45098</v>
      </c>
      <c r="C1289" s="1" t="n">
        <v>45588</v>
      </c>
      <c r="D1289" t="inlineStr">
        <is>
          <t>VÄSTERNORRLANDS LÄN</t>
        </is>
      </c>
      <c r="E1289" t="inlineStr">
        <is>
          <t>ÅNGE</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28367-2023</t>
        </is>
      </c>
      <c r="B1290" s="1" t="n">
        <v>45099</v>
      </c>
      <c r="C1290" s="1" t="n">
        <v>45588</v>
      </c>
      <c r="D1290" t="inlineStr">
        <is>
          <t>VÄSTERNORRLANDS LÄN</t>
        </is>
      </c>
      <c r="E1290" t="inlineStr">
        <is>
          <t>ÅNGE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30273-2023</t>
        </is>
      </c>
      <c r="B1291" s="1" t="n">
        <v>45099</v>
      </c>
      <c r="C1291" s="1" t="n">
        <v>45588</v>
      </c>
      <c r="D1291" t="inlineStr">
        <is>
          <t>VÄSTERNORRLANDS LÄN</t>
        </is>
      </c>
      <c r="E1291" t="inlineStr">
        <is>
          <t>ÅNGE</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28427-2023</t>
        </is>
      </c>
      <c r="B1292" s="1" t="n">
        <v>45102</v>
      </c>
      <c r="C1292" s="1" t="n">
        <v>45588</v>
      </c>
      <c r="D1292" t="inlineStr">
        <is>
          <t>VÄSTERNORRLANDS LÄN</t>
        </is>
      </c>
      <c r="E1292" t="inlineStr">
        <is>
          <t>ÅNGE</t>
        </is>
      </c>
      <c r="F1292" t="inlineStr">
        <is>
          <t>Kyrkan</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28435-2023</t>
        </is>
      </c>
      <c r="B1293" s="1" t="n">
        <v>45102</v>
      </c>
      <c r="C1293" s="1" t="n">
        <v>45588</v>
      </c>
      <c r="D1293" t="inlineStr">
        <is>
          <t>VÄSTERNORRLANDS LÄN</t>
        </is>
      </c>
      <c r="E1293" t="inlineStr">
        <is>
          <t>ÅNGE</t>
        </is>
      </c>
      <c r="F1293" t="inlineStr">
        <is>
          <t>Kyrkan</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28428-2023</t>
        </is>
      </c>
      <c r="B1294" s="1" t="n">
        <v>45102</v>
      </c>
      <c r="C1294" s="1" t="n">
        <v>45588</v>
      </c>
      <c r="D1294" t="inlineStr">
        <is>
          <t>VÄSTERNORRLANDS LÄN</t>
        </is>
      </c>
      <c r="E1294" t="inlineStr">
        <is>
          <t>ÅNGE</t>
        </is>
      </c>
      <c r="F1294" t="inlineStr">
        <is>
          <t>Kyrkan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28699-2023</t>
        </is>
      </c>
      <c r="B1295" s="1" t="n">
        <v>45103</v>
      </c>
      <c r="C1295" s="1" t="n">
        <v>45588</v>
      </c>
      <c r="D1295" t="inlineStr">
        <is>
          <t>VÄSTERNORRLANDS LÄN</t>
        </is>
      </c>
      <c r="E1295" t="inlineStr">
        <is>
          <t>ÅNGE</t>
        </is>
      </c>
      <c r="F1295" t="inlineStr">
        <is>
          <t>Holmen skog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28707-2023</t>
        </is>
      </c>
      <c r="B1296" s="1" t="n">
        <v>45103</v>
      </c>
      <c r="C1296" s="1" t="n">
        <v>45588</v>
      </c>
      <c r="D1296" t="inlineStr">
        <is>
          <t>VÄSTERNORRLANDS LÄN</t>
        </is>
      </c>
      <c r="E1296" t="inlineStr">
        <is>
          <t>ÅNGE</t>
        </is>
      </c>
      <c r="F1296" t="inlineStr">
        <is>
          <t>Holmen skog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28784-2023</t>
        </is>
      </c>
      <c r="B1297" s="1" t="n">
        <v>45104</v>
      </c>
      <c r="C1297" s="1" t="n">
        <v>45588</v>
      </c>
      <c r="D1297" t="inlineStr">
        <is>
          <t>VÄSTERNORRLANDS LÄN</t>
        </is>
      </c>
      <c r="E1297" t="inlineStr">
        <is>
          <t>ÅNGE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28779-2023</t>
        </is>
      </c>
      <c r="B1298" s="1" t="n">
        <v>45104</v>
      </c>
      <c r="C1298" s="1" t="n">
        <v>45588</v>
      </c>
      <c r="D1298" t="inlineStr">
        <is>
          <t>VÄSTERNORRLANDS LÄN</t>
        </is>
      </c>
      <c r="E1298" t="inlineStr">
        <is>
          <t>ÅNGE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28821-2023</t>
        </is>
      </c>
      <c r="B1299" s="1" t="n">
        <v>45104</v>
      </c>
      <c r="C1299" s="1" t="n">
        <v>45588</v>
      </c>
      <c r="D1299" t="inlineStr">
        <is>
          <t>VÄSTERNORRLANDS LÄN</t>
        </is>
      </c>
      <c r="E1299" t="inlineStr">
        <is>
          <t>ÅNGE</t>
        </is>
      </c>
      <c r="F1299" t="inlineStr">
        <is>
          <t>Holmen skog AB</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29063-2023</t>
        </is>
      </c>
      <c r="B1300" s="1" t="n">
        <v>45105</v>
      </c>
      <c r="C1300" s="1" t="n">
        <v>45588</v>
      </c>
      <c r="D1300" t="inlineStr">
        <is>
          <t>VÄSTERNORRLANDS LÄN</t>
        </is>
      </c>
      <c r="E1300" t="inlineStr">
        <is>
          <t>ÅNGE</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29321-2023</t>
        </is>
      </c>
      <c r="B1301" s="1" t="n">
        <v>45106</v>
      </c>
      <c r="C1301" s="1" t="n">
        <v>45588</v>
      </c>
      <c r="D1301" t="inlineStr">
        <is>
          <t>VÄSTERNORRLANDS LÄN</t>
        </is>
      </c>
      <c r="E1301" t="inlineStr">
        <is>
          <t>ÅNGE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29330-2023</t>
        </is>
      </c>
      <c r="B1302" s="1" t="n">
        <v>45105</v>
      </c>
      <c r="C1302" s="1" t="n">
        <v>45588</v>
      </c>
      <c r="D1302" t="inlineStr">
        <is>
          <t>VÄSTERNORRLANDS LÄN</t>
        </is>
      </c>
      <c r="E1302" t="inlineStr">
        <is>
          <t>ÅNGE</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29342-2023</t>
        </is>
      </c>
      <c r="B1303" s="1" t="n">
        <v>45105</v>
      </c>
      <c r="C1303" s="1" t="n">
        <v>45588</v>
      </c>
      <c r="D1303" t="inlineStr">
        <is>
          <t>VÄSTERNORRLANDS LÄN</t>
        </is>
      </c>
      <c r="E1303" t="inlineStr">
        <is>
          <t>ÅNGE</t>
        </is>
      </c>
      <c r="F1303" t="inlineStr">
        <is>
          <t>SCA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29320-2023</t>
        </is>
      </c>
      <c r="B1304" s="1" t="n">
        <v>45106</v>
      </c>
      <c r="C1304" s="1" t="n">
        <v>45588</v>
      </c>
      <c r="D1304" t="inlineStr">
        <is>
          <t>VÄSTERNORRLANDS LÄN</t>
        </is>
      </c>
      <c r="E1304" t="inlineStr">
        <is>
          <t>ÅNGE</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29331-2023</t>
        </is>
      </c>
      <c r="B1305" s="1" t="n">
        <v>45105</v>
      </c>
      <c r="C1305" s="1" t="n">
        <v>45588</v>
      </c>
      <c r="D1305" t="inlineStr">
        <is>
          <t>VÄSTERNORRLANDS LÄN</t>
        </is>
      </c>
      <c r="E1305" t="inlineStr">
        <is>
          <t>ÅNGE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29395-2023</t>
        </is>
      </c>
      <c r="B1306" s="1" t="n">
        <v>45106</v>
      </c>
      <c r="C1306" s="1" t="n">
        <v>45588</v>
      </c>
      <c r="D1306" t="inlineStr">
        <is>
          <t>VÄSTERNORRLANDS LÄN</t>
        </is>
      </c>
      <c r="E1306" t="inlineStr">
        <is>
          <t>ÅNGE</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29610-2023</t>
        </is>
      </c>
      <c r="B1307" s="1" t="n">
        <v>45106</v>
      </c>
      <c r="C1307" s="1" t="n">
        <v>45588</v>
      </c>
      <c r="D1307" t="inlineStr">
        <is>
          <t>VÄSTERNORRLANDS LÄN</t>
        </is>
      </c>
      <c r="E1307" t="inlineStr">
        <is>
          <t>ÅNGE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29618-2023</t>
        </is>
      </c>
      <c r="B1308" s="1" t="n">
        <v>45107</v>
      </c>
      <c r="C1308" s="1" t="n">
        <v>45588</v>
      </c>
      <c r="D1308" t="inlineStr">
        <is>
          <t>VÄSTERNORRLANDS LÄN</t>
        </is>
      </c>
      <c r="E1308" t="inlineStr">
        <is>
          <t>ÅNGE</t>
        </is>
      </c>
      <c r="F1308" t="inlineStr">
        <is>
          <t>SCA</t>
        </is>
      </c>
      <c r="G1308" t="n">
        <v>26.8</v>
      </c>
      <c r="H1308" t="n">
        <v>0</v>
      </c>
      <c r="I1308" t="n">
        <v>0</v>
      </c>
      <c r="J1308" t="n">
        <v>0</v>
      </c>
      <c r="K1308" t="n">
        <v>0</v>
      </c>
      <c r="L1308" t="n">
        <v>0</v>
      </c>
      <c r="M1308" t="n">
        <v>0</v>
      </c>
      <c r="N1308" t="n">
        <v>0</v>
      </c>
      <c r="O1308" t="n">
        <v>0</v>
      </c>
      <c r="P1308" t="n">
        <v>0</v>
      </c>
      <c r="Q1308" t="n">
        <v>0</v>
      </c>
      <c r="R1308" s="2" t="inlineStr"/>
    </row>
    <row r="1309" ht="15" customHeight="1">
      <c r="A1309" t="inlineStr">
        <is>
          <t>A 29609-2023</t>
        </is>
      </c>
      <c r="B1309" s="1" t="n">
        <v>45107</v>
      </c>
      <c r="C1309" s="1" t="n">
        <v>45588</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29945-2023</t>
        </is>
      </c>
      <c r="B1310" s="1" t="n">
        <v>45108</v>
      </c>
      <c r="C1310" s="1" t="n">
        <v>45588</v>
      </c>
      <c r="D1310" t="inlineStr">
        <is>
          <t>VÄSTERNORRLANDS LÄN</t>
        </is>
      </c>
      <c r="E1310" t="inlineStr">
        <is>
          <t>ÅNGE</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32069-2023</t>
        </is>
      </c>
      <c r="B1311" s="1" t="n">
        <v>45107</v>
      </c>
      <c r="C1311" s="1" t="n">
        <v>45588</v>
      </c>
      <c r="D1311" t="inlineStr">
        <is>
          <t>VÄSTERNORRLANDS LÄN</t>
        </is>
      </c>
      <c r="E1311" t="inlineStr">
        <is>
          <t>ÅNGE</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30304-2023</t>
        </is>
      </c>
      <c r="B1312" s="1" t="n">
        <v>45111</v>
      </c>
      <c r="C1312" s="1" t="n">
        <v>45588</v>
      </c>
      <c r="D1312" t="inlineStr">
        <is>
          <t>VÄSTERNORRLANDS LÄN</t>
        </is>
      </c>
      <c r="E1312" t="inlineStr">
        <is>
          <t>ÅNGE</t>
        </is>
      </c>
      <c r="F1312" t="inlineStr">
        <is>
          <t>SCA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30303-2023</t>
        </is>
      </c>
      <c r="B1313" s="1" t="n">
        <v>45111</v>
      </c>
      <c r="C1313" s="1" t="n">
        <v>45588</v>
      </c>
      <c r="D1313" t="inlineStr">
        <is>
          <t>VÄSTERNORRLANDS LÄN</t>
        </is>
      </c>
      <c r="E1313" t="inlineStr">
        <is>
          <t>ÅNGE</t>
        </is>
      </c>
      <c r="F1313" t="inlineStr">
        <is>
          <t>SCA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30556-2023</t>
        </is>
      </c>
      <c r="B1314" s="1" t="n">
        <v>45111</v>
      </c>
      <c r="C1314" s="1" t="n">
        <v>45588</v>
      </c>
      <c r="D1314" t="inlineStr">
        <is>
          <t>VÄSTERNORRLANDS LÄN</t>
        </is>
      </c>
      <c r="E1314" t="inlineStr">
        <is>
          <t>ÅNGE</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30558-2023</t>
        </is>
      </c>
      <c r="B1315" s="1" t="n">
        <v>45111</v>
      </c>
      <c r="C1315" s="1" t="n">
        <v>45588</v>
      </c>
      <c r="D1315" t="inlineStr">
        <is>
          <t>VÄSTERNORRLANDS LÄN</t>
        </is>
      </c>
      <c r="E1315" t="inlineStr">
        <is>
          <t>ÅNGE</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30817-2023</t>
        </is>
      </c>
      <c r="B1316" s="1" t="n">
        <v>45112</v>
      </c>
      <c r="C1316" s="1" t="n">
        <v>45588</v>
      </c>
      <c r="D1316" t="inlineStr">
        <is>
          <t>VÄSTERNORRLANDS LÄN</t>
        </is>
      </c>
      <c r="E1316" t="inlineStr">
        <is>
          <t>ÅNGE</t>
        </is>
      </c>
      <c r="G1316" t="n">
        <v>8.5</v>
      </c>
      <c r="H1316" t="n">
        <v>0</v>
      </c>
      <c r="I1316" t="n">
        <v>0</v>
      </c>
      <c r="J1316" t="n">
        <v>0</v>
      </c>
      <c r="K1316" t="n">
        <v>0</v>
      </c>
      <c r="L1316" t="n">
        <v>0</v>
      </c>
      <c r="M1316" t="n">
        <v>0</v>
      </c>
      <c r="N1316" t="n">
        <v>0</v>
      </c>
      <c r="O1316" t="n">
        <v>0</v>
      </c>
      <c r="P1316" t="n">
        <v>0</v>
      </c>
      <c r="Q1316" t="n">
        <v>0</v>
      </c>
      <c r="R1316" s="2" t="inlineStr"/>
    </row>
    <row r="1317" ht="15" customHeight="1">
      <c r="A1317" t="inlineStr">
        <is>
          <t>A 30853-2023</t>
        </is>
      </c>
      <c r="B1317" s="1" t="n">
        <v>45113</v>
      </c>
      <c r="C1317" s="1" t="n">
        <v>45588</v>
      </c>
      <c r="D1317" t="inlineStr">
        <is>
          <t>VÄSTERNORRLANDS LÄN</t>
        </is>
      </c>
      <c r="E1317" t="inlineStr">
        <is>
          <t>ÅNGE</t>
        </is>
      </c>
      <c r="F1317" t="inlineStr">
        <is>
          <t>SCA</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30844-2023</t>
        </is>
      </c>
      <c r="B1318" s="1" t="n">
        <v>45112</v>
      </c>
      <c r="C1318" s="1" t="n">
        <v>45588</v>
      </c>
      <c r="D1318" t="inlineStr">
        <is>
          <t>VÄSTERNORRLANDS LÄN</t>
        </is>
      </c>
      <c r="E1318" t="inlineStr">
        <is>
          <t>ÅNGE</t>
        </is>
      </c>
      <c r="F1318" t="inlineStr">
        <is>
          <t>SCA</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30852-2023</t>
        </is>
      </c>
      <c r="B1319" s="1" t="n">
        <v>45113</v>
      </c>
      <c r="C1319" s="1" t="n">
        <v>45588</v>
      </c>
      <c r="D1319" t="inlineStr">
        <is>
          <t>VÄSTERNORRLANDS LÄN</t>
        </is>
      </c>
      <c r="E1319" t="inlineStr">
        <is>
          <t>ÅNGE</t>
        </is>
      </c>
      <c r="F1319" t="inlineStr">
        <is>
          <t>SCA</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31224-2023</t>
        </is>
      </c>
      <c r="B1320" s="1" t="n">
        <v>45114</v>
      </c>
      <c r="C1320" s="1" t="n">
        <v>45588</v>
      </c>
      <c r="D1320" t="inlineStr">
        <is>
          <t>VÄSTERNORRLANDS LÄN</t>
        </is>
      </c>
      <c r="E1320" t="inlineStr">
        <is>
          <t>ÅNGE</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31225-2023</t>
        </is>
      </c>
      <c r="B1321" s="1" t="n">
        <v>45114</v>
      </c>
      <c r="C1321" s="1" t="n">
        <v>45588</v>
      </c>
      <c r="D1321" t="inlineStr">
        <is>
          <t>VÄSTERNORRLANDS LÄN</t>
        </is>
      </c>
      <c r="E1321" t="inlineStr">
        <is>
          <t>ÅNGE</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31229-2023</t>
        </is>
      </c>
      <c r="B1322" s="1" t="n">
        <v>45114</v>
      </c>
      <c r="C1322" s="1" t="n">
        <v>45588</v>
      </c>
      <c r="D1322" t="inlineStr">
        <is>
          <t>VÄSTERNORRLANDS LÄN</t>
        </is>
      </c>
      <c r="E1322" t="inlineStr">
        <is>
          <t>ÅNGE</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31740-2023</t>
        </is>
      </c>
      <c r="B1323" s="1" t="n">
        <v>45118</v>
      </c>
      <c r="C1323" s="1" t="n">
        <v>45588</v>
      </c>
      <c r="D1323" t="inlineStr">
        <is>
          <t>VÄSTERNORRLANDS LÄN</t>
        </is>
      </c>
      <c r="E1323" t="inlineStr">
        <is>
          <t>ÅNGE</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31735-2023</t>
        </is>
      </c>
      <c r="B1324" s="1" t="n">
        <v>45117</v>
      </c>
      <c r="C1324" s="1" t="n">
        <v>45588</v>
      </c>
      <c r="D1324" t="inlineStr">
        <is>
          <t>VÄSTERNORRLANDS LÄN</t>
        </is>
      </c>
      <c r="E1324" t="inlineStr">
        <is>
          <t>ÅNGE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32227-2023</t>
        </is>
      </c>
      <c r="B1325" s="1" t="n">
        <v>45120</v>
      </c>
      <c r="C1325" s="1" t="n">
        <v>45588</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32587-2023</t>
        </is>
      </c>
      <c r="B1326" s="1" t="n">
        <v>45121</v>
      </c>
      <c r="C1326" s="1" t="n">
        <v>45588</v>
      </c>
      <c r="D1326" t="inlineStr">
        <is>
          <t>VÄSTERNORRLANDS LÄN</t>
        </is>
      </c>
      <c r="E1326" t="inlineStr">
        <is>
          <t>ÅNGE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32901-2023</t>
        </is>
      </c>
      <c r="B1327" s="1" t="n">
        <v>45125</v>
      </c>
      <c r="C1327" s="1" t="n">
        <v>45588</v>
      </c>
      <c r="D1327" t="inlineStr">
        <is>
          <t>VÄSTERNORRLANDS LÄN</t>
        </is>
      </c>
      <c r="E1327" t="inlineStr">
        <is>
          <t>ÅNGE</t>
        </is>
      </c>
      <c r="F1327" t="inlineStr">
        <is>
          <t>SCA</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33429-2023</t>
        </is>
      </c>
      <c r="B1328" s="1" t="n">
        <v>45129</v>
      </c>
      <c r="C1328" s="1" t="n">
        <v>45588</v>
      </c>
      <c r="D1328" t="inlineStr">
        <is>
          <t>VÄSTERNORRLANDS LÄN</t>
        </is>
      </c>
      <c r="E1328" t="inlineStr">
        <is>
          <t>ÅNGE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33428-2023</t>
        </is>
      </c>
      <c r="B1329" s="1" t="n">
        <v>45129</v>
      </c>
      <c r="C1329" s="1" t="n">
        <v>45588</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33586-2023</t>
        </is>
      </c>
      <c r="B1330" s="1" t="n">
        <v>45132</v>
      </c>
      <c r="C1330" s="1" t="n">
        <v>45588</v>
      </c>
      <c r="D1330" t="inlineStr">
        <is>
          <t>VÄSTERNORRLANDS LÄN</t>
        </is>
      </c>
      <c r="E1330" t="inlineStr">
        <is>
          <t>ÅNGE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33587-2023</t>
        </is>
      </c>
      <c r="B1331" s="1" t="n">
        <v>45132</v>
      </c>
      <c r="C1331" s="1" t="n">
        <v>45588</v>
      </c>
      <c r="D1331" t="inlineStr">
        <is>
          <t>VÄSTERNORRLANDS LÄN</t>
        </is>
      </c>
      <c r="E1331" t="inlineStr">
        <is>
          <t>ÅNGE</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34355-2023</t>
        </is>
      </c>
      <c r="B1332" s="1" t="n">
        <v>45131</v>
      </c>
      <c r="C1332" s="1" t="n">
        <v>45588</v>
      </c>
      <c r="D1332" t="inlineStr">
        <is>
          <t>VÄSTERNORRLANDS LÄN</t>
        </is>
      </c>
      <c r="E1332" t="inlineStr">
        <is>
          <t>ÅNGE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33864-2023</t>
        </is>
      </c>
      <c r="B1333" s="1" t="n">
        <v>45133</v>
      </c>
      <c r="C1333" s="1" t="n">
        <v>45588</v>
      </c>
      <c r="D1333" t="inlineStr">
        <is>
          <t>VÄSTERNORRLANDS LÄN</t>
        </is>
      </c>
      <c r="E1333" t="inlineStr">
        <is>
          <t>ÅNGE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33866-2023</t>
        </is>
      </c>
      <c r="B1334" s="1" t="n">
        <v>45133</v>
      </c>
      <c r="C1334" s="1" t="n">
        <v>45588</v>
      </c>
      <c r="D1334" t="inlineStr">
        <is>
          <t>VÄSTERNORRLANDS LÄN</t>
        </is>
      </c>
      <c r="E1334" t="inlineStr">
        <is>
          <t>ÅNGE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33936-2023</t>
        </is>
      </c>
      <c r="B1335" s="1" t="n">
        <v>45134</v>
      </c>
      <c r="C1335" s="1" t="n">
        <v>45588</v>
      </c>
      <c r="D1335" t="inlineStr">
        <is>
          <t>VÄSTERNORRLANDS LÄN</t>
        </is>
      </c>
      <c r="E1335" t="inlineStr">
        <is>
          <t>ÅNGE</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34318-2023</t>
        </is>
      </c>
      <c r="B1336" s="1" t="n">
        <v>45138</v>
      </c>
      <c r="C1336" s="1" t="n">
        <v>45588</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34316-2023</t>
        </is>
      </c>
      <c r="B1337" s="1" t="n">
        <v>45138</v>
      </c>
      <c r="C1337" s="1" t="n">
        <v>45588</v>
      </c>
      <c r="D1337" t="inlineStr">
        <is>
          <t>VÄSTERNORRLANDS LÄN</t>
        </is>
      </c>
      <c r="E1337" t="inlineStr">
        <is>
          <t>ÅNGE</t>
        </is>
      </c>
      <c r="F1337" t="inlineStr">
        <is>
          <t>SCA</t>
        </is>
      </c>
      <c r="G1337" t="n">
        <v>14.3</v>
      </c>
      <c r="H1337" t="n">
        <v>0</v>
      </c>
      <c r="I1337" t="n">
        <v>0</v>
      </c>
      <c r="J1337" t="n">
        <v>0</v>
      </c>
      <c r="K1337" t="n">
        <v>0</v>
      </c>
      <c r="L1337" t="n">
        <v>0</v>
      </c>
      <c r="M1337" t="n">
        <v>0</v>
      </c>
      <c r="N1337" t="n">
        <v>0</v>
      </c>
      <c r="O1337" t="n">
        <v>0</v>
      </c>
      <c r="P1337" t="n">
        <v>0</v>
      </c>
      <c r="Q1337" t="n">
        <v>0</v>
      </c>
      <c r="R1337" s="2" t="inlineStr"/>
    </row>
    <row r="1338" ht="15" customHeight="1">
      <c r="A1338" t="inlineStr">
        <is>
          <t>A 34317-2023</t>
        </is>
      </c>
      <c r="B1338" s="1" t="n">
        <v>45138</v>
      </c>
      <c r="C1338" s="1" t="n">
        <v>45588</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34620-2023</t>
        </is>
      </c>
      <c r="B1339" s="1" t="n">
        <v>45138</v>
      </c>
      <c r="C1339" s="1" t="n">
        <v>45588</v>
      </c>
      <c r="D1339" t="inlineStr">
        <is>
          <t>VÄSTERNORRLANDS LÄN</t>
        </is>
      </c>
      <c r="E1339" t="inlineStr">
        <is>
          <t>ÅNGE</t>
        </is>
      </c>
      <c r="F1339" t="inlineStr">
        <is>
          <t>SCA</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34269-2023</t>
        </is>
      </c>
      <c r="B1340" s="1" t="n">
        <v>45138</v>
      </c>
      <c r="C1340" s="1" t="n">
        <v>45588</v>
      </c>
      <c r="D1340" t="inlineStr">
        <is>
          <t>VÄSTERNORRLANDS LÄN</t>
        </is>
      </c>
      <c r="E1340" t="inlineStr">
        <is>
          <t>ÅNGE</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34315-2023</t>
        </is>
      </c>
      <c r="B1341" s="1" t="n">
        <v>45138</v>
      </c>
      <c r="C1341" s="1" t="n">
        <v>45588</v>
      </c>
      <c r="D1341" t="inlineStr">
        <is>
          <t>VÄSTERNORRLANDS LÄN</t>
        </is>
      </c>
      <c r="E1341" t="inlineStr">
        <is>
          <t>ÅNGE</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34319-2023</t>
        </is>
      </c>
      <c r="B1342" s="1" t="n">
        <v>45138</v>
      </c>
      <c r="C1342" s="1" t="n">
        <v>45588</v>
      </c>
      <c r="D1342" t="inlineStr">
        <is>
          <t>VÄSTERNORRLANDS LÄN</t>
        </is>
      </c>
      <c r="E1342" t="inlineStr">
        <is>
          <t>ÅNGE</t>
        </is>
      </c>
      <c r="F1342" t="inlineStr">
        <is>
          <t>SCA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34491-2023</t>
        </is>
      </c>
      <c r="B1343" s="1" t="n">
        <v>45140</v>
      </c>
      <c r="C1343" s="1" t="n">
        <v>45588</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34755-2023</t>
        </is>
      </c>
      <c r="B1344" s="1" t="n">
        <v>45139</v>
      </c>
      <c r="C1344" s="1" t="n">
        <v>45588</v>
      </c>
      <c r="D1344" t="inlineStr">
        <is>
          <t>VÄSTERNORRLANDS LÄN</t>
        </is>
      </c>
      <c r="E1344" t="inlineStr">
        <is>
          <t>ÅNGE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34490-2023</t>
        </is>
      </c>
      <c r="B1345" s="1" t="n">
        <v>45139</v>
      </c>
      <c r="C1345" s="1" t="n">
        <v>45588</v>
      </c>
      <c r="D1345" t="inlineStr">
        <is>
          <t>VÄSTERNORRLANDS LÄN</t>
        </is>
      </c>
      <c r="E1345" t="inlineStr">
        <is>
          <t>ÅNGE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34750-2023</t>
        </is>
      </c>
      <c r="B1346" s="1" t="n">
        <v>45139</v>
      </c>
      <c r="C1346" s="1" t="n">
        <v>45588</v>
      </c>
      <c r="D1346" t="inlineStr">
        <is>
          <t>VÄSTERNORRLANDS LÄN</t>
        </is>
      </c>
      <c r="E1346" t="inlineStr">
        <is>
          <t>ÅNGE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34754-2023</t>
        </is>
      </c>
      <c r="B1347" s="1" t="n">
        <v>45139</v>
      </c>
      <c r="C1347" s="1" t="n">
        <v>45588</v>
      </c>
      <c r="D1347" t="inlineStr">
        <is>
          <t>VÄSTERNORRLANDS LÄN</t>
        </is>
      </c>
      <c r="E1347" t="inlineStr">
        <is>
          <t>ÅNGE</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34705-2023</t>
        </is>
      </c>
      <c r="B1348" s="1" t="n">
        <v>45141</v>
      </c>
      <c r="C1348" s="1" t="n">
        <v>45588</v>
      </c>
      <c r="D1348" t="inlineStr">
        <is>
          <t>VÄSTERNORRLANDS LÄN</t>
        </is>
      </c>
      <c r="E1348" t="inlineStr">
        <is>
          <t>ÅNGE</t>
        </is>
      </c>
      <c r="F1348" t="inlineStr">
        <is>
          <t>SCA</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34703-2023</t>
        </is>
      </c>
      <c r="B1349" s="1" t="n">
        <v>45141</v>
      </c>
      <c r="C1349" s="1" t="n">
        <v>45588</v>
      </c>
      <c r="D1349" t="inlineStr">
        <is>
          <t>VÄSTERNORRLANDS LÄN</t>
        </is>
      </c>
      <c r="E1349" t="inlineStr">
        <is>
          <t>ÅNGE</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34690-2023</t>
        </is>
      </c>
      <c r="B1350" s="1" t="n">
        <v>45141</v>
      </c>
      <c r="C1350" s="1" t="n">
        <v>45588</v>
      </c>
      <c r="D1350" t="inlineStr">
        <is>
          <t>VÄSTERNORRLANDS LÄN</t>
        </is>
      </c>
      <c r="E1350" t="inlineStr">
        <is>
          <t>ÅNGE</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34698-2023</t>
        </is>
      </c>
      <c r="B1351" s="1" t="n">
        <v>45140</v>
      </c>
      <c r="C1351" s="1" t="n">
        <v>45588</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34692-2023</t>
        </is>
      </c>
      <c r="B1352" s="1" t="n">
        <v>45140</v>
      </c>
      <c r="C1352" s="1" t="n">
        <v>45588</v>
      </c>
      <c r="D1352" t="inlineStr">
        <is>
          <t>VÄSTERNORRLANDS LÄN</t>
        </is>
      </c>
      <c r="E1352" t="inlineStr">
        <is>
          <t>ÅNGE</t>
        </is>
      </c>
      <c r="F1352" t="inlineStr">
        <is>
          <t>SCA</t>
        </is>
      </c>
      <c r="G1352" t="n">
        <v>12.8</v>
      </c>
      <c r="H1352" t="n">
        <v>0</v>
      </c>
      <c r="I1352" t="n">
        <v>0</v>
      </c>
      <c r="J1352" t="n">
        <v>0</v>
      </c>
      <c r="K1352" t="n">
        <v>0</v>
      </c>
      <c r="L1352" t="n">
        <v>0</v>
      </c>
      <c r="M1352" t="n">
        <v>0</v>
      </c>
      <c r="N1352" t="n">
        <v>0</v>
      </c>
      <c r="O1352" t="n">
        <v>0</v>
      </c>
      <c r="P1352" t="n">
        <v>0</v>
      </c>
      <c r="Q1352" t="n">
        <v>0</v>
      </c>
      <c r="R1352" s="2" t="inlineStr"/>
    </row>
    <row r="1353" ht="15" customHeight="1">
      <c r="A1353" t="inlineStr">
        <is>
          <t>A 34851-2023</t>
        </is>
      </c>
      <c r="B1353" s="1" t="n">
        <v>45141</v>
      </c>
      <c r="C1353" s="1" t="n">
        <v>45588</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34850-2023</t>
        </is>
      </c>
      <c r="B1354" s="1" t="n">
        <v>45141</v>
      </c>
      <c r="C1354" s="1" t="n">
        <v>45588</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34852-2023</t>
        </is>
      </c>
      <c r="B1355" s="1" t="n">
        <v>45141</v>
      </c>
      <c r="C1355" s="1" t="n">
        <v>45588</v>
      </c>
      <c r="D1355" t="inlineStr">
        <is>
          <t>VÄSTERNORRLANDS LÄN</t>
        </is>
      </c>
      <c r="E1355" t="inlineStr">
        <is>
          <t>ÅNGE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34959-2023</t>
        </is>
      </c>
      <c r="B1356" s="1" t="n">
        <v>45142</v>
      </c>
      <c r="C1356" s="1" t="n">
        <v>45588</v>
      </c>
      <c r="D1356" t="inlineStr">
        <is>
          <t>VÄSTERNORRLANDS LÄN</t>
        </is>
      </c>
      <c r="E1356" t="inlineStr">
        <is>
          <t>ÅNGE</t>
        </is>
      </c>
      <c r="F1356" t="inlineStr">
        <is>
          <t>Sveaskog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34965-2023</t>
        </is>
      </c>
      <c r="B1357" s="1" t="n">
        <v>45142</v>
      </c>
      <c r="C1357" s="1" t="n">
        <v>45588</v>
      </c>
      <c r="D1357" t="inlineStr">
        <is>
          <t>VÄSTERNORRLANDS LÄN</t>
        </is>
      </c>
      <c r="E1357" t="inlineStr">
        <is>
          <t>ÅNGE</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34971-2023</t>
        </is>
      </c>
      <c r="B1358" s="1" t="n">
        <v>45142</v>
      </c>
      <c r="C1358" s="1" t="n">
        <v>45588</v>
      </c>
      <c r="D1358" t="inlineStr">
        <is>
          <t>VÄSTERNORRLANDS LÄN</t>
        </is>
      </c>
      <c r="E1358" t="inlineStr">
        <is>
          <t>ÅNGE</t>
        </is>
      </c>
      <c r="F1358" t="inlineStr">
        <is>
          <t>Sveaskog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34954-2023</t>
        </is>
      </c>
      <c r="B1359" s="1" t="n">
        <v>45142</v>
      </c>
      <c r="C1359" s="1" t="n">
        <v>45588</v>
      </c>
      <c r="D1359" t="inlineStr">
        <is>
          <t>VÄSTERNORRLANDS LÄN</t>
        </is>
      </c>
      <c r="E1359" t="inlineStr">
        <is>
          <t>ÅNGE</t>
        </is>
      </c>
      <c r="G1359" t="n">
        <v>9.300000000000001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34962-2023</t>
        </is>
      </c>
      <c r="B1360" s="1" t="n">
        <v>45142</v>
      </c>
      <c r="C1360" s="1" t="n">
        <v>45588</v>
      </c>
      <c r="D1360" t="inlineStr">
        <is>
          <t>VÄSTERNORRLANDS LÄN</t>
        </is>
      </c>
      <c r="E1360" t="inlineStr">
        <is>
          <t>ÅNGE</t>
        </is>
      </c>
      <c r="F1360" t="inlineStr">
        <is>
          <t>Sveaskog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35100-2023</t>
        </is>
      </c>
      <c r="B1361" s="1" t="n">
        <v>45142</v>
      </c>
      <c r="C1361" s="1" t="n">
        <v>45588</v>
      </c>
      <c r="D1361" t="inlineStr">
        <is>
          <t>VÄSTERNORRLANDS LÄN</t>
        </is>
      </c>
      <c r="E1361" t="inlineStr">
        <is>
          <t>ÅNGE</t>
        </is>
      </c>
      <c r="F1361" t="inlineStr">
        <is>
          <t>SCA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35259-2023</t>
        </is>
      </c>
      <c r="B1362" s="1" t="n">
        <v>45145</v>
      </c>
      <c r="C1362" s="1" t="n">
        <v>45588</v>
      </c>
      <c r="D1362" t="inlineStr">
        <is>
          <t>VÄSTERNORRLANDS LÄN</t>
        </is>
      </c>
      <c r="E1362" t="inlineStr">
        <is>
          <t>ÅNGE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35260-2023</t>
        </is>
      </c>
      <c r="B1363" s="1" t="n">
        <v>45145</v>
      </c>
      <c r="C1363" s="1" t="n">
        <v>45588</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35261-2023</t>
        </is>
      </c>
      <c r="B1364" s="1" t="n">
        <v>45145</v>
      </c>
      <c r="C1364" s="1" t="n">
        <v>45588</v>
      </c>
      <c r="D1364" t="inlineStr">
        <is>
          <t>VÄSTERNORRLANDS LÄN</t>
        </is>
      </c>
      <c r="E1364" t="inlineStr">
        <is>
          <t>ÅNGE</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35328-2023</t>
        </is>
      </c>
      <c r="B1365" s="1" t="n">
        <v>45145</v>
      </c>
      <c r="C1365" s="1" t="n">
        <v>45588</v>
      </c>
      <c r="D1365" t="inlineStr">
        <is>
          <t>VÄSTERNORRLANDS LÄN</t>
        </is>
      </c>
      <c r="E1365" t="inlineStr">
        <is>
          <t>ÅNGE</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35366-2023</t>
        </is>
      </c>
      <c r="B1366" s="1" t="n">
        <v>45145</v>
      </c>
      <c r="C1366" s="1" t="n">
        <v>45588</v>
      </c>
      <c r="D1366" t="inlineStr">
        <is>
          <t>VÄSTERNORRLANDS LÄN</t>
        </is>
      </c>
      <c r="E1366" t="inlineStr">
        <is>
          <t>ÅNGE</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35258-2023</t>
        </is>
      </c>
      <c r="B1367" s="1" t="n">
        <v>45145</v>
      </c>
      <c r="C1367" s="1" t="n">
        <v>45588</v>
      </c>
      <c r="D1367" t="inlineStr">
        <is>
          <t>VÄSTERNORRLANDS LÄN</t>
        </is>
      </c>
      <c r="E1367" t="inlineStr">
        <is>
          <t>ÅNGE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35762-2023</t>
        </is>
      </c>
      <c r="B1368" s="1" t="n">
        <v>45147</v>
      </c>
      <c r="C1368" s="1" t="n">
        <v>45588</v>
      </c>
      <c r="D1368" t="inlineStr">
        <is>
          <t>VÄSTERNORRLANDS LÄN</t>
        </is>
      </c>
      <c r="E1368" t="inlineStr">
        <is>
          <t>ÅNGE</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35747-2023</t>
        </is>
      </c>
      <c r="B1369" s="1" t="n">
        <v>45147</v>
      </c>
      <c r="C1369" s="1" t="n">
        <v>45588</v>
      </c>
      <c r="D1369" t="inlineStr">
        <is>
          <t>VÄSTERNORRLANDS LÄN</t>
        </is>
      </c>
      <c r="E1369" t="inlineStr">
        <is>
          <t>ÅNGE</t>
        </is>
      </c>
      <c r="F1369" t="inlineStr">
        <is>
          <t>SCA</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35748-2023</t>
        </is>
      </c>
      <c r="B1370" s="1" t="n">
        <v>45148</v>
      </c>
      <c r="C1370" s="1" t="n">
        <v>45588</v>
      </c>
      <c r="D1370" t="inlineStr">
        <is>
          <t>VÄSTERNORRLANDS LÄN</t>
        </is>
      </c>
      <c r="E1370" t="inlineStr">
        <is>
          <t>ÅNGE</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35749-2023</t>
        </is>
      </c>
      <c r="B1371" s="1" t="n">
        <v>45147</v>
      </c>
      <c r="C1371" s="1" t="n">
        <v>45588</v>
      </c>
      <c r="D1371" t="inlineStr">
        <is>
          <t>VÄSTERNORRLANDS LÄN</t>
        </is>
      </c>
      <c r="E1371" t="inlineStr">
        <is>
          <t>ÅNGE</t>
        </is>
      </c>
      <c r="F1371" t="inlineStr">
        <is>
          <t>SCA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35979-2023</t>
        </is>
      </c>
      <c r="B1372" s="1" t="n">
        <v>45148</v>
      </c>
      <c r="C1372" s="1" t="n">
        <v>45588</v>
      </c>
      <c r="D1372" t="inlineStr">
        <is>
          <t>VÄSTERNORRLANDS LÄN</t>
        </is>
      </c>
      <c r="E1372" t="inlineStr">
        <is>
          <t>ÅNGE</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35970-2023</t>
        </is>
      </c>
      <c r="B1373" s="1" t="n">
        <v>45148</v>
      </c>
      <c r="C1373" s="1" t="n">
        <v>45588</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36210-2023</t>
        </is>
      </c>
      <c r="B1374" s="1" t="n">
        <v>45149</v>
      </c>
      <c r="C1374" s="1" t="n">
        <v>45588</v>
      </c>
      <c r="D1374" t="inlineStr">
        <is>
          <t>VÄSTERNORRLANDS LÄN</t>
        </is>
      </c>
      <c r="E1374" t="inlineStr">
        <is>
          <t>ÅNGE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36290-2023</t>
        </is>
      </c>
      <c r="B1375" s="1" t="n">
        <v>45152</v>
      </c>
      <c r="C1375" s="1" t="n">
        <v>45588</v>
      </c>
      <c r="D1375" t="inlineStr">
        <is>
          <t>VÄSTERNORRLANDS LÄN</t>
        </is>
      </c>
      <c r="E1375" t="inlineStr">
        <is>
          <t>ÅNGE</t>
        </is>
      </c>
      <c r="F1375" t="inlineStr">
        <is>
          <t>Övriga Aktiebolag</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36494-2023</t>
        </is>
      </c>
      <c r="B1376" s="1" t="n">
        <v>45153</v>
      </c>
      <c r="C1376" s="1" t="n">
        <v>45588</v>
      </c>
      <c r="D1376" t="inlineStr">
        <is>
          <t>VÄSTERNORRLANDS LÄN</t>
        </is>
      </c>
      <c r="E1376" t="inlineStr">
        <is>
          <t>ÅNGE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36492-2023</t>
        </is>
      </c>
      <c r="B1377" s="1" t="n">
        <v>45153</v>
      </c>
      <c r="C1377" s="1" t="n">
        <v>45588</v>
      </c>
      <c r="D1377" t="inlineStr">
        <is>
          <t>VÄSTERNORRLANDS LÄN</t>
        </is>
      </c>
      <c r="E1377" t="inlineStr">
        <is>
          <t>ÅNGE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36766-2023</t>
        </is>
      </c>
      <c r="B1378" s="1" t="n">
        <v>45153</v>
      </c>
      <c r="C1378" s="1" t="n">
        <v>45588</v>
      </c>
      <c r="D1378" t="inlineStr">
        <is>
          <t>VÄSTERNORRLANDS LÄN</t>
        </is>
      </c>
      <c r="E1378" t="inlineStr">
        <is>
          <t>ÅNGE</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36760-2023</t>
        </is>
      </c>
      <c r="B1379" s="1" t="n">
        <v>45153</v>
      </c>
      <c r="C1379" s="1" t="n">
        <v>45588</v>
      </c>
      <c r="D1379" t="inlineStr">
        <is>
          <t>VÄSTERNORRLANDS LÄN</t>
        </is>
      </c>
      <c r="E1379" t="inlineStr">
        <is>
          <t>ÅNGE</t>
        </is>
      </c>
      <c r="F1379" t="inlineStr">
        <is>
          <t>SCA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36801-2023</t>
        </is>
      </c>
      <c r="B1380" s="1" t="n">
        <v>45153</v>
      </c>
      <c r="C1380" s="1" t="n">
        <v>45588</v>
      </c>
      <c r="D1380" t="inlineStr">
        <is>
          <t>VÄSTERNORRLANDS LÄN</t>
        </is>
      </c>
      <c r="E1380" t="inlineStr">
        <is>
          <t>ÅNGE</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36790-2023</t>
        </is>
      </c>
      <c r="B1381" s="1" t="n">
        <v>45154</v>
      </c>
      <c r="C1381" s="1" t="n">
        <v>45588</v>
      </c>
      <c r="D1381" t="inlineStr">
        <is>
          <t>VÄSTERNORRLANDS LÄN</t>
        </is>
      </c>
      <c r="E1381" t="inlineStr">
        <is>
          <t>ÅNGE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36973-2023</t>
        </is>
      </c>
      <c r="B1382" s="1" t="n">
        <v>45154</v>
      </c>
      <c r="C1382" s="1" t="n">
        <v>45588</v>
      </c>
      <c r="D1382" t="inlineStr">
        <is>
          <t>VÄSTERNORRLANDS LÄN</t>
        </is>
      </c>
      <c r="E1382" t="inlineStr">
        <is>
          <t>ÅNGE</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36987-2023</t>
        </is>
      </c>
      <c r="B1383" s="1" t="n">
        <v>45155</v>
      </c>
      <c r="C1383" s="1" t="n">
        <v>45588</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37252-2023</t>
        </is>
      </c>
      <c r="B1384" s="1" t="n">
        <v>45155</v>
      </c>
      <c r="C1384" s="1" t="n">
        <v>45588</v>
      </c>
      <c r="D1384" t="inlineStr">
        <is>
          <t>VÄSTERNORRLANDS LÄN</t>
        </is>
      </c>
      <c r="E1384" t="inlineStr">
        <is>
          <t>ÅNGE</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37471-2023</t>
        </is>
      </c>
      <c r="B1385" s="1" t="n">
        <v>45157</v>
      </c>
      <c r="C1385" s="1" t="n">
        <v>45588</v>
      </c>
      <c r="D1385" t="inlineStr">
        <is>
          <t>VÄSTERNORRLANDS LÄN</t>
        </is>
      </c>
      <c r="E1385" t="inlineStr">
        <is>
          <t>ÅNGE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37503-2023</t>
        </is>
      </c>
      <c r="B1386" s="1" t="n">
        <v>45157</v>
      </c>
      <c r="C1386" s="1" t="n">
        <v>45588</v>
      </c>
      <c r="D1386" t="inlineStr">
        <is>
          <t>VÄSTERNORRLANDS LÄN</t>
        </is>
      </c>
      <c r="E1386" t="inlineStr">
        <is>
          <t>ÅNGE</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37800-2023</t>
        </is>
      </c>
      <c r="B1387" s="1" t="n">
        <v>45159</v>
      </c>
      <c r="C1387" s="1" t="n">
        <v>45588</v>
      </c>
      <c r="D1387" t="inlineStr">
        <is>
          <t>VÄSTERNORRLANDS LÄN</t>
        </is>
      </c>
      <c r="E1387" t="inlineStr">
        <is>
          <t>ÅNGE</t>
        </is>
      </c>
      <c r="F1387" t="inlineStr">
        <is>
          <t>SCA</t>
        </is>
      </c>
      <c r="G1387" t="n">
        <v>15.3</v>
      </c>
      <c r="H1387" t="n">
        <v>0</v>
      </c>
      <c r="I1387" t="n">
        <v>0</v>
      </c>
      <c r="J1387" t="n">
        <v>0</v>
      </c>
      <c r="K1387" t="n">
        <v>0</v>
      </c>
      <c r="L1387" t="n">
        <v>0</v>
      </c>
      <c r="M1387" t="n">
        <v>0</v>
      </c>
      <c r="N1387" t="n">
        <v>0</v>
      </c>
      <c r="O1387" t="n">
        <v>0</v>
      </c>
      <c r="P1387" t="n">
        <v>0</v>
      </c>
      <c r="Q1387" t="n">
        <v>0</v>
      </c>
      <c r="R1387" s="2" t="inlineStr"/>
    </row>
    <row r="1388" ht="15" customHeight="1">
      <c r="A1388" t="inlineStr">
        <is>
          <t>A 37558-2023</t>
        </is>
      </c>
      <c r="B1388" s="1" t="n">
        <v>45159</v>
      </c>
      <c r="C1388" s="1" t="n">
        <v>45588</v>
      </c>
      <c r="D1388" t="inlineStr">
        <is>
          <t>VÄSTERNORRLANDS LÄN</t>
        </is>
      </c>
      <c r="E1388" t="inlineStr">
        <is>
          <t>ÅNGE</t>
        </is>
      </c>
      <c r="F1388" t="inlineStr">
        <is>
          <t>Kyrkan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37801-2023</t>
        </is>
      </c>
      <c r="B1389" s="1" t="n">
        <v>45159</v>
      </c>
      <c r="C1389" s="1" t="n">
        <v>45588</v>
      </c>
      <c r="D1389" t="inlineStr">
        <is>
          <t>VÄSTERNORRLANDS LÄN</t>
        </is>
      </c>
      <c r="E1389" t="inlineStr">
        <is>
          <t>ÅNGE</t>
        </is>
      </c>
      <c r="F1389" t="inlineStr">
        <is>
          <t>SCA</t>
        </is>
      </c>
      <c r="G1389" t="n">
        <v>33.4</v>
      </c>
      <c r="H1389" t="n">
        <v>0</v>
      </c>
      <c r="I1389" t="n">
        <v>0</v>
      </c>
      <c r="J1389" t="n">
        <v>0</v>
      </c>
      <c r="K1389" t="n">
        <v>0</v>
      </c>
      <c r="L1389" t="n">
        <v>0</v>
      </c>
      <c r="M1389" t="n">
        <v>0</v>
      </c>
      <c r="N1389" t="n">
        <v>0</v>
      </c>
      <c r="O1389" t="n">
        <v>0</v>
      </c>
      <c r="P1389" t="n">
        <v>0</v>
      </c>
      <c r="Q1389" t="n">
        <v>0</v>
      </c>
      <c r="R1389" s="2" t="inlineStr"/>
    </row>
    <row r="1390" ht="15" customHeight="1">
      <c r="A1390" t="inlineStr">
        <is>
          <t>A 38090-2023</t>
        </is>
      </c>
      <c r="B1390" s="1" t="n">
        <v>45161</v>
      </c>
      <c r="C1390" s="1" t="n">
        <v>45588</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39245-2023</t>
        </is>
      </c>
      <c r="B1391" s="1" t="n">
        <v>45162</v>
      </c>
      <c r="C1391" s="1" t="n">
        <v>45588</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38886-2023</t>
        </is>
      </c>
      <c r="B1392" s="1" t="n">
        <v>45162</v>
      </c>
      <c r="C1392" s="1" t="n">
        <v>45588</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38871-2023</t>
        </is>
      </c>
      <c r="B1393" s="1" t="n">
        <v>45162</v>
      </c>
      <c r="C1393" s="1" t="n">
        <v>45588</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39206-2023</t>
        </is>
      </c>
      <c r="B1394" s="1" t="n">
        <v>45162</v>
      </c>
      <c r="C1394" s="1" t="n">
        <v>45588</v>
      </c>
      <c r="D1394" t="inlineStr">
        <is>
          <t>VÄSTERNORRLANDS LÄN</t>
        </is>
      </c>
      <c r="E1394" t="inlineStr">
        <is>
          <t>ÅNGE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39261-2023</t>
        </is>
      </c>
      <c r="B1395" s="1" t="n">
        <v>45162</v>
      </c>
      <c r="C1395" s="1" t="n">
        <v>45588</v>
      </c>
      <c r="D1395" t="inlineStr">
        <is>
          <t>VÄSTERNORRLANDS LÄN</t>
        </is>
      </c>
      <c r="E1395" t="inlineStr">
        <is>
          <t>ÅNGE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39254-2023</t>
        </is>
      </c>
      <c r="B1396" s="1" t="n">
        <v>45162</v>
      </c>
      <c r="C1396" s="1" t="n">
        <v>45588</v>
      </c>
      <c r="D1396" t="inlineStr">
        <is>
          <t>VÄSTERNORRLANDS LÄN</t>
        </is>
      </c>
      <c r="E1396" t="inlineStr">
        <is>
          <t>ÅNGE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38795-2023</t>
        </is>
      </c>
      <c r="B1397" s="1" t="n">
        <v>45162</v>
      </c>
      <c r="C1397" s="1" t="n">
        <v>45588</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39112-2023</t>
        </is>
      </c>
      <c r="B1398" s="1" t="n">
        <v>45164</v>
      </c>
      <c r="C1398" s="1" t="n">
        <v>45588</v>
      </c>
      <c r="D1398" t="inlineStr">
        <is>
          <t>VÄSTERNORRLANDS LÄN</t>
        </is>
      </c>
      <c r="E1398" t="inlineStr">
        <is>
          <t>ÅNGE</t>
        </is>
      </c>
      <c r="F1398" t="inlineStr">
        <is>
          <t>SCA</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39500-2023</t>
        </is>
      </c>
      <c r="B1399" s="1" t="n">
        <v>45166</v>
      </c>
      <c r="C1399" s="1" t="n">
        <v>45588</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39811-2023</t>
        </is>
      </c>
      <c r="B1400" s="1" t="n">
        <v>45167</v>
      </c>
      <c r="C1400" s="1" t="n">
        <v>45588</v>
      </c>
      <c r="D1400" t="inlineStr">
        <is>
          <t>VÄSTERNORRLANDS LÄN</t>
        </is>
      </c>
      <c r="E1400" t="inlineStr">
        <is>
          <t>ÅNGE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39813-2023</t>
        </is>
      </c>
      <c r="B1401" s="1" t="n">
        <v>45168</v>
      </c>
      <c r="C1401" s="1" t="n">
        <v>45588</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39812-2023</t>
        </is>
      </c>
      <c r="B1402" s="1" t="n">
        <v>45168</v>
      </c>
      <c r="C1402" s="1" t="n">
        <v>45588</v>
      </c>
      <c r="D1402" t="inlineStr">
        <is>
          <t>VÄSTERNORRLANDS LÄN</t>
        </is>
      </c>
      <c r="E1402" t="inlineStr">
        <is>
          <t>ÅNGE</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40013-2023</t>
        </is>
      </c>
      <c r="B1403" s="1" t="n">
        <v>45167</v>
      </c>
      <c r="C1403" s="1" t="n">
        <v>45588</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39814-2023</t>
        </is>
      </c>
      <c r="B1404" s="1" t="n">
        <v>45168</v>
      </c>
      <c r="C1404" s="1" t="n">
        <v>45588</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39991-2023</t>
        </is>
      </c>
      <c r="B1405" s="1" t="n">
        <v>45168</v>
      </c>
      <c r="C1405" s="1" t="n">
        <v>45588</v>
      </c>
      <c r="D1405" t="inlineStr">
        <is>
          <t>VÄSTERNORRLANDS LÄN</t>
        </is>
      </c>
      <c r="E1405" t="inlineStr">
        <is>
          <t>ÅNGE</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39996-2023</t>
        </is>
      </c>
      <c r="B1406" s="1" t="n">
        <v>45168</v>
      </c>
      <c r="C1406" s="1" t="n">
        <v>45588</v>
      </c>
      <c r="D1406" t="inlineStr">
        <is>
          <t>VÄSTERNORRLANDS LÄN</t>
        </is>
      </c>
      <c r="E1406" t="inlineStr">
        <is>
          <t>ÅNGE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39842-2023</t>
        </is>
      </c>
      <c r="B1407" s="1" t="n">
        <v>45168</v>
      </c>
      <c r="C1407" s="1" t="n">
        <v>45588</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39843-2023</t>
        </is>
      </c>
      <c r="B1408" s="1" t="n">
        <v>45168</v>
      </c>
      <c r="C1408" s="1" t="n">
        <v>45588</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40005-2023</t>
        </is>
      </c>
      <c r="B1409" s="1" t="n">
        <v>45168</v>
      </c>
      <c r="C1409" s="1" t="n">
        <v>45588</v>
      </c>
      <c r="D1409" t="inlineStr">
        <is>
          <t>VÄSTERNORRLANDS LÄN</t>
        </is>
      </c>
      <c r="E1409" t="inlineStr">
        <is>
          <t>ÅNGE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39936-2023</t>
        </is>
      </c>
      <c r="B1410" s="1" t="n">
        <v>45168</v>
      </c>
      <c r="C1410" s="1" t="n">
        <v>45588</v>
      </c>
      <c r="D1410" t="inlineStr">
        <is>
          <t>VÄSTERNORRLANDS LÄN</t>
        </is>
      </c>
      <c r="E1410" t="inlineStr">
        <is>
          <t>ÅNGE</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39975-2023</t>
        </is>
      </c>
      <c r="B1411" s="1" t="n">
        <v>45168</v>
      </c>
      <c r="C1411" s="1" t="n">
        <v>45588</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40208-2023</t>
        </is>
      </c>
      <c r="B1412" s="1" t="n">
        <v>45168</v>
      </c>
      <c r="C1412" s="1" t="n">
        <v>45588</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39973-2023</t>
        </is>
      </c>
      <c r="B1413" s="1" t="n">
        <v>45168</v>
      </c>
      <c r="C1413" s="1" t="n">
        <v>45588</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39985-2023</t>
        </is>
      </c>
      <c r="B1414" s="1" t="n">
        <v>45168</v>
      </c>
      <c r="C1414" s="1" t="n">
        <v>45588</v>
      </c>
      <c r="D1414" t="inlineStr">
        <is>
          <t>VÄSTERNORRLANDS LÄN</t>
        </is>
      </c>
      <c r="E1414" t="inlineStr">
        <is>
          <t>ÅNGE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39995-2023</t>
        </is>
      </c>
      <c r="B1415" s="1" t="n">
        <v>45168</v>
      </c>
      <c r="C1415" s="1" t="n">
        <v>45588</v>
      </c>
      <c r="D1415" t="inlineStr">
        <is>
          <t>VÄSTERNORRLANDS LÄN</t>
        </is>
      </c>
      <c r="E1415" t="inlineStr">
        <is>
          <t>ÅNGE</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40378-2023</t>
        </is>
      </c>
      <c r="B1416" s="1" t="n">
        <v>45169</v>
      </c>
      <c r="C1416" s="1" t="n">
        <v>45588</v>
      </c>
      <c r="D1416" t="inlineStr">
        <is>
          <t>VÄSTERNORRLANDS LÄN</t>
        </is>
      </c>
      <c r="E1416" t="inlineStr">
        <is>
          <t>ÅNGE</t>
        </is>
      </c>
      <c r="F1416" t="inlineStr">
        <is>
          <t>Holmen skog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40663-2023</t>
        </is>
      </c>
      <c r="B1417" s="1" t="n">
        <v>45169</v>
      </c>
      <c r="C1417" s="1" t="n">
        <v>45588</v>
      </c>
      <c r="D1417" t="inlineStr">
        <is>
          <t>VÄSTERNORRLANDS LÄN</t>
        </is>
      </c>
      <c r="E1417" t="inlineStr">
        <is>
          <t>ÅNGE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40626-2023</t>
        </is>
      </c>
      <c r="B1418" s="1" t="n">
        <v>45170</v>
      </c>
      <c r="C1418" s="1" t="n">
        <v>45588</v>
      </c>
      <c r="D1418" t="inlineStr">
        <is>
          <t>VÄSTERNORRLANDS LÄN</t>
        </is>
      </c>
      <c r="E1418" t="inlineStr">
        <is>
          <t>ÅNGE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40622-2023</t>
        </is>
      </c>
      <c r="B1419" s="1" t="n">
        <v>45170</v>
      </c>
      <c r="C1419" s="1" t="n">
        <v>45588</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40789-2023</t>
        </is>
      </c>
      <c r="B1420" s="1" t="n">
        <v>45171</v>
      </c>
      <c r="C1420" s="1" t="n">
        <v>45588</v>
      </c>
      <c r="D1420" t="inlineStr">
        <is>
          <t>VÄSTERNORRLANDS LÄN</t>
        </is>
      </c>
      <c r="E1420" t="inlineStr">
        <is>
          <t>ÅNGE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40790-2023</t>
        </is>
      </c>
      <c r="B1421" s="1" t="n">
        <v>45171</v>
      </c>
      <c r="C1421" s="1" t="n">
        <v>45588</v>
      </c>
      <c r="D1421" t="inlineStr">
        <is>
          <t>VÄSTERNORRLANDS LÄN</t>
        </is>
      </c>
      <c r="E1421" t="inlineStr">
        <is>
          <t>ÅNGE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40755-2023</t>
        </is>
      </c>
      <c r="B1422" s="1" t="n">
        <v>45170</v>
      </c>
      <c r="C1422" s="1" t="n">
        <v>45588</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40791-2023</t>
        </is>
      </c>
      <c r="B1423" s="1" t="n">
        <v>45171</v>
      </c>
      <c r="C1423" s="1" t="n">
        <v>45588</v>
      </c>
      <c r="D1423" t="inlineStr">
        <is>
          <t>VÄSTERNORRLANDS LÄN</t>
        </is>
      </c>
      <c r="E1423" t="inlineStr">
        <is>
          <t>ÅNGE</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40834-2023</t>
        </is>
      </c>
      <c r="B1424" s="1" t="n">
        <v>45172</v>
      </c>
      <c r="C1424" s="1" t="n">
        <v>45588</v>
      </c>
      <c r="D1424" t="inlineStr">
        <is>
          <t>VÄSTERNORRLANDS LÄN</t>
        </is>
      </c>
      <c r="E1424" t="inlineStr">
        <is>
          <t>ÅNGE</t>
        </is>
      </c>
      <c r="F1424" t="inlineStr">
        <is>
          <t>Kyrkan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40831-2023</t>
        </is>
      </c>
      <c r="B1425" s="1" t="n">
        <v>45172</v>
      </c>
      <c r="C1425" s="1" t="n">
        <v>45588</v>
      </c>
      <c r="D1425" t="inlineStr">
        <is>
          <t>VÄSTERNORRLANDS LÄN</t>
        </is>
      </c>
      <c r="E1425" t="inlineStr">
        <is>
          <t>ÅNGE</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40832-2023</t>
        </is>
      </c>
      <c r="B1426" s="1" t="n">
        <v>45172</v>
      </c>
      <c r="C1426" s="1" t="n">
        <v>45588</v>
      </c>
      <c r="D1426" t="inlineStr">
        <is>
          <t>VÄSTERNORRLANDS LÄN</t>
        </is>
      </c>
      <c r="E1426" t="inlineStr">
        <is>
          <t>ÅNGE</t>
        </is>
      </c>
      <c r="F1426" t="inlineStr">
        <is>
          <t>Kyrkan</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42081-2023</t>
        </is>
      </c>
      <c r="B1427" s="1" t="n">
        <v>45174</v>
      </c>
      <c r="C1427" s="1" t="n">
        <v>45588</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41370-2023</t>
        </is>
      </c>
      <c r="B1428" s="1" t="n">
        <v>45174</v>
      </c>
      <c r="C1428" s="1" t="n">
        <v>45588</v>
      </c>
      <c r="D1428" t="inlineStr">
        <is>
          <t>VÄSTERNORRLANDS LÄN</t>
        </is>
      </c>
      <c r="E1428" t="inlineStr">
        <is>
          <t>ÅNGE</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42073-2023</t>
        </is>
      </c>
      <c r="B1429" s="1" t="n">
        <v>45174</v>
      </c>
      <c r="C1429" s="1" t="n">
        <v>45588</v>
      </c>
      <c r="D1429" t="inlineStr">
        <is>
          <t>VÄSTERNORRLANDS LÄN</t>
        </is>
      </c>
      <c r="E1429" t="inlineStr">
        <is>
          <t>ÅNGE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42100-2023</t>
        </is>
      </c>
      <c r="B1430" s="1" t="n">
        <v>45174</v>
      </c>
      <c r="C1430" s="1" t="n">
        <v>45588</v>
      </c>
      <c r="D1430" t="inlineStr">
        <is>
          <t>VÄSTERNORRLANDS LÄN</t>
        </is>
      </c>
      <c r="E1430" t="inlineStr">
        <is>
          <t>ÅNGE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41659-2023</t>
        </is>
      </c>
      <c r="B1431" s="1" t="n">
        <v>45176</v>
      </c>
      <c r="C1431" s="1" t="n">
        <v>45588</v>
      </c>
      <c r="D1431" t="inlineStr">
        <is>
          <t>VÄSTERNORRLANDS LÄN</t>
        </is>
      </c>
      <c r="E1431" t="inlineStr">
        <is>
          <t>ÅNGE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41741-2023</t>
        </is>
      </c>
      <c r="B1432" s="1" t="n">
        <v>45176</v>
      </c>
      <c r="C1432" s="1" t="n">
        <v>45588</v>
      </c>
      <c r="D1432" t="inlineStr">
        <is>
          <t>VÄSTERNORRLANDS LÄN</t>
        </is>
      </c>
      <c r="E1432" t="inlineStr">
        <is>
          <t>ÅNGE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42559-2023</t>
        </is>
      </c>
      <c r="B1433" s="1" t="n">
        <v>45176</v>
      </c>
      <c r="C1433" s="1" t="n">
        <v>45588</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42699-2023</t>
        </is>
      </c>
      <c r="B1434" s="1" t="n">
        <v>45176</v>
      </c>
      <c r="C1434" s="1" t="n">
        <v>45588</v>
      </c>
      <c r="D1434" t="inlineStr">
        <is>
          <t>VÄSTERNORRLANDS LÄN</t>
        </is>
      </c>
      <c r="E1434" t="inlineStr">
        <is>
          <t>ÅNGE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42130-2023</t>
        </is>
      </c>
      <c r="B1435" s="1" t="n">
        <v>45177</v>
      </c>
      <c r="C1435" s="1" t="n">
        <v>45588</v>
      </c>
      <c r="D1435" t="inlineStr">
        <is>
          <t>VÄSTERNORRLANDS LÄN</t>
        </is>
      </c>
      <c r="E1435" t="inlineStr">
        <is>
          <t>ÅNGE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42139-2023</t>
        </is>
      </c>
      <c r="B1436" s="1" t="n">
        <v>45177</v>
      </c>
      <c r="C1436" s="1" t="n">
        <v>45588</v>
      </c>
      <c r="D1436" t="inlineStr">
        <is>
          <t>VÄSTERNORRLANDS LÄN</t>
        </is>
      </c>
      <c r="E1436" t="inlineStr">
        <is>
          <t>ÅNGE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42346-2023</t>
        </is>
      </c>
      <c r="B1437" s="1" t="n">
        <v>45180</v>
      </c>
      <c r="C1437" s="1" t="n">
        <v>45588</v>
      </c>
      <c r="D1437" t="inlineStr">
        <is>
          <t>VÄSTERNORRLANDS LÄN</t>
        </is>
      </c>
      <c r="E1437" t="inlineStr">
        <is>
          <t>ÅNGE</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42242-2023</t>
        </is>
      </c>
      <c r="B1438" s="1" t="n">
        <v>45180</v>
      </c>
      <c r="C1438" s="1" t="n">
        <v>45588</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42506-2023</t>
        </is>
      </c>
      <c r="B1439" s="1" t="n">
        <v>45180</v>
      </c>
      <c r="C1439" s="1" t="n">
        <v>45588</v>
      </c>
      <c r="D1439" t="inlineStr">
        <is>
          <t>VÄSTERNORRLANDS LÄN</t>
        </is>
      </c>
      <c r="E1439" t="inlineStr">
        <is>
          <t>ÅNGE</t>
        </is>
      </c>
      <c r="F1439" t="inlineStr">
        <is>
          <t>SCA</t>
        </is>
      </c>
      <c r="G1439" t="n">
        <v>20.9</v>
      </c>
      <c r="H1439" t="n">
        <v>0</v>
      </c>
      <c r="I1439" t="n">
        <v>0</v>
      </c>
      <c r="J1439" t="n">
        <v>0</v>
      </c>
      <c r="K1439" t="n">
        <v>0</v>
      </c>
      <c r="L1439" t="n">
        <v>0</v>
      </c>
      <c r="M1439" t="n">
        <v>0</v>
      </c>
      <c r="N1439" t="n">
        <v>0</v>
      </c>
      <c r="O1439" t="n">
        <v>0</v>
      </c>
      <c r="P1439" t="n">
        <v>0</v>
      </c>
      <c r="Q1439" t="n">
        <v>0</v>
      </c>
      <c r="R1439" s="2" t="inlineStr"/>
    </row>
    <row r="1440" ht="15" customHeight="1">
      <c r="A1440" t="inlineStr">
        <is>
          <t>A 43053-2023</t>
        </is>
      </c>
      <c r="B1440" s="1" t="n">
        <v>45180</v>
      </c>
      <c r="C1440" s="1" t="n">
        <v>45588</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43218-2023</t>
        </is>
      </c>
      <c r="B1441" s="1" t="n">
        <v>45180</v>
      </c>
      <c r="C1441" s="1" t="n">
        <v>45588</v>
      </c>
      <c r="D1441" t="inlineStr">
        <is>
          <t>VÄSTERNORRLANDS LÄN</t>
        </is>
      </c>
      <c r="E1441" t="inlineStr">
        <is>
          <t>ÅNGE</t>
        </is>
      </c>
      <c r="F1441" t="inlineStr">
        <is>
          <t>SCA</t>
        </is>
      </c>
      <c r="G1441" t="n">
        <v>37.3</v>
      </c>
      <c r="H1441" t="n">
        <v>0</v>
      </c>
      <c r="I1441" t="n">
        <v>0</v>
      </c>
      <c r="J1441" t="n">
        <v>0</v>
      </c>
      <c r="K1441" t="n">
        <v>0</v>
      </c>
      <c r="L1441" t="n">
        <v>0</v>
      </c>
      <c r="M1441" t="n">
        <v>0</v>
      </c>
      <c r="N1441" t="n">
        <v>0</v>
      </c>
      <c r="O1441" t="n">
        <v>0</v>
      </c>
      <c r="P1441" t="n">
        <v>0</v>
      </c>
      <c r="Q1441" t="n">
        <v>0</v>
      </c>
      <c r="R1441" s="2" t="inlineStr"/>
    </row>
    <row r="1442" ht="15" customHeight="1">
      <c r="A1442" t="inlineStr">
        <is>
          <t>A 43186-2023</t>
        </is>
      </c>
      <c r="B1442" s="1" t="n">
        <v>45180</v>
      </c>
      <c r="C1442" s="1" t="n">
        <v>45588</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43552-2023</t>
        </is>
      </c>
      <c r="B1443" s="1" t="n">
        <v>45181</v>
      </c>
      <c r="C1443" s="1" t="n">
        <v>45588</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42881-2023</t>
        </is>
      </c>
      <c r="B1444" s="1" t="n">
        <v>45182</v>
      </c>
      <c r="C1444" s="1" t="n">
        <v>45588</v>
      </c>
      <c r="D1444" t="inlineStr">
        <is>
          <t>VÄSTERNORRLANDS LÄN</t>
        </is>
      </c>
      <c r="E1444" t="inlineStr">
        <is>
          <t>ÅNGE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43096-2023</t>
        </is>
      </c>
      <c r="B1445" s="1" t="n">
        <v>45182</v>
      </c>
      <c r="C1445" s="1" t="n">
        <v>45588</v>
      </c>
      <c r="D1445" t="inlineStr">
        <is>
          <t>VÄSTERNORRLANDS LÄN</t>
        </is>
      </c>
      <c r="E1445" t="inlineStr">
        <is>
          <t>ÅNGE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44178-2023</t>
        </is>
      </c>
      <c r="B1446" s="1" t="n">
        <v>45183</v>
      </c>
      <c r="C1446" s="1" t="n">
        <v>45588</v>
      </c>
      <c r="D1446" t="inlineStr">
        <is>
          <t>VÄSTERNORRLANDS LÄN</t>
        </is>
      </c>
      <c r="E1446" t="inlineStr">
        <is>
          <t>ÅNGE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44180-2023</t>
        </is>
      </c>
      <c r="B1447" s="1" t="n">
        <v>45183</v>
      </c>
      <c r="C1447" s="1" t="n">
        <v>45588</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43615-2023</t>
        </is>
      </c>
      <c r="B1448" s="1" t="n">
        <v>45184</v>
      </c>
      <c r="C1448" s="1" t="n">
        <v>45588</v>
      </c>
      <c r="D1448" t="inlineStr">
        <is>
          <t>VÄSTERNORRLANDS LÄN</t>
        </is>
      </c>
      <c r="E1448" t="inlineStr">
        <is>
          <t>ÅNGE</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43618-2023</t>
        </is>
      </c>
      <c r="B1449" s="1" t="n">
        <v>45184</v>
      </c>
      <c r="C1449" s="1" t="n">
        <v>45588</v>
      </c>
      <c r="D1449" t="inlineStr">
        <is>
          <t>VÄSTERNORRLANDS LÄN</t>
        </is>
      </c>
      <c r="E1449" t="inlineStr">
        <is>
          <t>ÅNGE</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43622-2023</t>
        </is>
      </c>
      <c r="B1450" s="1" t="n">
        <v>45184</v>
      </c>
      <c r="C1450" s="1" t="n">
        <v>45588</v>
      </c>
      <c r="D1450" t="inlineStr">
        <is>
          <t>VÄSTERNORRLANDS LÄN</t>
        </is>
      </c>
      <c r="E1450" t="inlineStr">
        <is>
          <t>ÅNGE</t>
        </is>
      </c>
      <c r="F1450" t="inlineStr">
        <is>
          <t>Holmen skog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44639-2023</t>
        </is>
      </c>
      <c r="B1451" s="1" t="n">
        <v>45184</v>
      </c>
      <c r="C1451" s="1" t="n">
        <v>45588</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43916-2023</t>
        </is>
      </c>
      <c r="B1452" s="1" t="n">
        <v>45187</v>
      </c>
      <c r="C1452" s="1" t="n">
        <v>45588</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43984-2023</t>
        </is>
      </c>
      <c r="B1453" s="1" t="n">
        <v>45187</v>
      </c>
      <c r="C1453" s="1" t="n">
        <v>45588</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44013-2023</t>
        </is>
      </c>
      <c r="B1454" s="1" t="n">
        <v>45188</v>
      </c>
      <c r="C1454" s="1" t="n">
        <v>45588</v>
      </c>
      <c r="D1454" t="inlineStr">
        <is>
          <t>VÄSTERNORRLANDS LÄN</t>
        </is>
      </c>
      <c r="E1454" t="inlineStr">
        <is>
          <t>ÅNGE</t>
        </is>
      </c>
      <c r="F1454" t="inlineStr">
        <is>
          <t>Holmen skog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44268-2023</t>
        </is>
      </c>
      <c r="B1455" s="1" t="n">
        <v>45188</v>
      </c>
      <c r="C1455" s="1" t="n">
        <v>45588</v>
      </c>
      <c r="D1455" t="inlineStr">
        <is>
          <t>VÄSTERNORRLANDS LÄN</t>
        </is>
      </c>
      <c r="E1455" t="inlineStr">
        <is>
          <t>ÅNGE</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45572-2023</t>
        </is>
      </c>
      <c r="B1456" s="1" t="n">
        <v>45188</v>
      </c>
      <c r="C1456" s="1" t="n">
        <v>45588</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45598-2023</t>
        </is>
      </c>
      <c r="B1457" s="1" t="n">
        <v>45188</v>
      </c>
      <c r="C1457" s="1" t="n">
        <v>45588</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44979-2023</t>
        </is>
      </c>
      <c r="B1458" s="1" t="n">
        <v>45191</v>
      </c>
      <c r="C1458" s="1" t="n">
        <v>45588</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45027-2023</t>
        </is>
      </c>
      <c r="B1459" s="1" t="n">
        <v>45191</v>
      </c>
      <c r="C1459" s="1" t="n">
        <v>45588</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45933-2023</t>
        </is>
      </c>
      <c r="B1460" s="1" t="n">
        <v>45195</v>
      </c>
      <c r="C1460" s="1" t="n">
        <v>45588</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45941-2023</t>
        </is>
      </c>
      <c r="B1461" s="1" t="n">
        <v>45196</v>
      </c>
      <c r="C1461" s="1" t="n">
        <v>45588</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45932-2023</t>
        </is>
      </c>
      <c r="B1462" s="1" t="n">
        <v>45195</v>
      </c>
      <c r="C1462" s="1" t="n">
        <v>45588</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45940-2023</t>
        </is>
      </c>
      <c r="B1463" s="1" t="n">
        <v>45196</v>
      </c>
      <c r="C1463" s="1" t="n">
        <v>45588</v>
      </c>
      <c r="D1463" t="inlineStr">
        <is>
          <t>VÄSTERNORRLANDS LÄN</t>
        </is>
      </c>
      <c r="E1463" t="inlineStr">
        <is>
          <t>ÅNGE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45717-2023</t>
        </is>
      </c>
      <c r="B1464" s="1" t="n">
        <v>45195</v>
      </c>
      <c r="C1464" s="1" t="n">
        <v>45588</v>
      </c>
      <c r="D1464" t="inlineStr">
        <is>
          <t>VÄSTERNORRLANDS LÄN</t>
        </is>
      </c>
      <c r="E1464" t="inlineStr">
        <is>
          <t>ÅNGE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45939-2023</t>
        </is>
      </c>
      <c r="B1465" s="1" t="n">
        <v>45196</v>
      </c>
      <c r="C1465" s="1" t="n">
        <v>45588</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46254-2023</t>
        </is>
      </c>
      <c r="B1466" s="1" t="n">
        <v>45196</v>
      </c>
      <c r="C1466" s="1" t="n">
        <v>45588</v>
      </c>
      <c r="D1466" t="inlineStr">
        <is>
          <t>VÄSTERNORRLANDS LÄN</t>
        </is>
      </c>
      <c r="E1466" t="inlineStr">
        <is>
          <t>ÅNGE</t>
        </is>
      </c>
      <c r="F1466" t="inlineStr">
        <is>
          <t>SCA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46262-2023</t>
        </is>
      </c>
      <c r="B1467" s="1" t="n">
        <v>45197</v>
      </c>
      <c r="C1467" s="1" t="n">
        <v>45588</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45588</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46255-2023</t>
        </is>
      </c>
      <c r="B1469" s="1" t="n">
        <v>45196</v>
      </c>
      <c r="C1469" s="1" t="n">
        <v>45588</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47324-2023</t>
        </is>
      </c>
      <c r="B1470" s="1" t="n">
        <v>45196</v>
      </c>
      <c r="C1470" s="1" t="n">
        <v>45588</v>
      </c>
      <c r="D1470" t="inlineStr">
        <is>
          <t>VÄSTERNORRLANDS LÄN</t>
        </is>
      </c>
      <c r="E1470" t="inlineStr">
        <is>
          <t>ÅNGE</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46211-2023</t>
        </is>
      </c>
      <c r="B1471" s="1" t="n">
        <v>45196</v>
      </c>
      <c r="C1471" s="1" t="n">
        <v>45588</v>
      </c>
      <c r="D1471" t="inlineStr">
        <is>
          <t>VÄSTERNORRLANDS LÄN</t>
        </is>
      </c>
      <c r="E1471" t="inlineStr">
        <is>
          <t>ÅNGE</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47432-2023</t>
        </is>
      </c>
      <c r="B1472" s="1" t="n">
        <v>45197</v>
      </c>
      <c r="C1472" s="1" t="n">
        <v>45588</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46679-2023</t>
        </is>
      </c>
      <c r="B1473" s="1" t="n">
        <v>45198</v>
      </c>
      <c r="C1473" s="1" t="n">
        <v>45588</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46689-2023</t>
        </is>
      </c>
      <c r="B1474" s="1" t="n">
        <v>45198</v>
      </c>
      <c r="C1474" s="1" t="n">
        <v>45588</v>
      </c>
      <c r="D1474" t="inlineStr">
        <is>
          <t>VÄSTERNORRLANDS LÄN</t>
        </is>
      </c>
      <c r="E1474" t="inlineStr">
        <is>
          <t>ÅNGE</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46681-2023</t>
        </is>
      </c>
      <c r="B1475" s="1" t="n">
        <v>45198</v>
      </c>
      <c r="C1475" s="1" t="n">
        <v>45588</v>
      </c>
      <c r="D1475" t="inlineStr">
        <is>
          <t>VÄSTERNORRLANDS LÄN</t>
        </is>
      </c>
      <c r="E1475" t="inlineStr">
        <is>
          <t>ÅNGE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46667-2023</t>
        </is>
      </c>
      <c r="B1476" s="1" t="n">
        <v>45198</v>
      </c>
      <c r="C1476" s="1" t="n">
        <v>45588</v>
      </c>
      <c r="D1476" t="inlineStr">
        <is>
          <t>VÄSTERNORRLANDS LÄN</t>
        </is>
      </c>
      <c r="E1476" t="inlineStr">
        <is>
          <t>ÅNGE</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46795-2023</t>
        </is>
      </c>
      <c r="B1477" s="1" t="n">
        <v>45198</v>
      </c>
      <c r="C1477" s="1" t="n">
        <v>45588</v>
      </c>
      <c r="D1477" t="inlineStr">
        <is>
          <t>VÄSTERNORRLANDS LÄN</t>
        </is>
      </c>
      <c r="E1477" t="inlineStr">
        <is>
          <t>ÅNGE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47153-2023</t>
        </is>
      </c>
      <c r="B1478" s="1" t="n">
        <v>45202</v>
      </c>
      <c r="C1478" s="1" t="n">
        <v>45588</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47233-2023</t>
        </is>
      </c>
      <c r="B1479" s="1" t="n">
        <v>45202</v>
      </c>
      <c r="C1479" s="1" t="n">
        <v>45588</v>
      </c>
      <c r="D1479" t="inlineStr">
        <is>
          <t>VÄSTERNORRLANDS LÄN</t>
        </is>
      </c>
      <c r="E1479" t="inlineStr">
        <is>
          <t>ÅNGE</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47489-2023</t>
        </is>
      </c>
      <c r="B1480" s="1" t="n">
        <v>45203</v>
      </c>
      <c r="C1480" s="1" t="n">
        <v>45588</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47488-2023</t>
        </is>
      </c>
      <c r="B1481" s="1" t="n">
        <v>45203</v>
      </c>
      <c r="C1481" s="1" t="n">
        <v>45588</v>
      </c>
      <c r="D1481" t="inlineStr">
        <is>
          <t>VÄSTERNORRLANDS LÄN</t>
        </is>
      </c>
      <c r="E1481" t="inlineStr">
        <is>
          <t>ÅNGE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47779-2023</t>
        </is>
      </c>
      <c r="B1482" s="1" t="n">
        <v>45204</v>
      </c>
      <c r="C1482" s="1" t="n">
        <v>45588</v>
      </c>
      <c r="D1482" t="inlineStr">
        <is>
          <t>VÄSTERNORRLANDS LÄN</t>
        </is>
      </c>
      <c r="E1482" t="inlineStr">
        <is>
          <t>ÅNGE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47787-2023</t>
        </is>
      </c>
      <c r="B1483" s="1" t="n">
        <v>45203</v>
      </c>
      <c r="C1483" s="1" t="n">
        <v>45588</v>
      </c>
      <c r="D1483" t="inlineStr">
        <is>
          <t>VÄSTERNORRLANDS LÄN</t>
        </is>
      </c>
      <c r="E1483" t="inlineStr">
        <is>
          <t>ÅNGE</t>
        </is>
      </c>
      <c r="F1483" t="inlineStr">
        <is>
          <t>SCA</t>
        </is>
      </c>
      <c r="G1483" t="n">
        <v>50.1</v>
      </c>
      <c r="H1483" t="n">
        <v>0</v>
      </c>
      <c r="I1483" t="n">
        <v>0</v>
      </c>
      <c r="J1483" t="n">
        <v>0</v>
      </c>
      <c r="K1483" t="n">
        <v>0</v>
      </c>
      <c r="L1483" t="n">
        <v>0</v>
      </c>
      <c r="M1483" t="n">
        <v>0</v>
      </c>
      <c r="N1483" t="n">
        <v>0</v>
      </c>
      <c r="O1483" t="n">
        <v>0</v>
      </c>
      <c r="P1483" t="n">
        <v>0</v>
      </c>
      <c r="Q1483" t="n">
        <v>0</v>
      </c>
      <c r="R1483" s="2" t="inlineStr"/>
    </row>
    <row r="1484" ht="15" customHeight="1">
      <c r="A1484" t="inlineStr">
        <is>
          <t>A 47786-2023</t>
        </is>
      </c>
      <c r="B1484" s="1" t="n">
        <v>45203</v>
      </c>
      <c r="C1484" s="1" t="n">
        <v>45588</v>
      </c>
      <c r="D1484" t="inlineStr">
        <is>
          <t>VÄSTERNORRLANDS LÄN</t>
        </is>
      </c>
      <c r="E1484" t="inlineStr">
        <is>
          <t>ÅNGE</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48815-2023</t>
        </is>
      </c>
      <c r="B1485" s="1" t="n">
        <v>45203</v>
      </c>
      <c r="C1485" s="1" t="n">
        <v>45588</v>
      </c>
      <c r="D1485" t="inlineStr">
        <is>
          <t>VÄSTERNORRLANDS LÄN</t>
        </is>
      </c>
      <c r="E1485" t="inlineStr">
        <is>
          <t>ÅNGE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48811-2023</t>
        </is>
      </c>
      <c r="B1486" s="1" t="n">
        <v>45203</v>
      </c>
      <c r="C1486" s="1" t="n">
        <v>45588</v>
      </c>
      <c r="D1486" t="inlineStr">
        <is>
          <t>VÄSTERNORRLANDS LÄN</t>
        </is>
      </c>
      <c r="E1486" t="inlineStr">
        <is>
          <t>ÅNGE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48061-2023</t>
        </is>
      </c>
      <c r="B1487" s="1" t="n">
        <v>45205</v>
      </c>
      <c r="C1487" s="1" t="n">
        <v>45588</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48773-2023</t>
        </is>
      </c>
      <c r="B1488" s="1" t="n">
        <v>45209</v>
      </c>
      <c r="C1488" s="1" t="n">
        <v>45588</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48774-2023</t>
        </is>
      </c>
      <c r="B1489" s="1" t="n">
        <v>45208</v>
      </c>
      <c r="C1489" s="1" t="n">
        <v>45588</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v>
      </c>
      <c r="C1490" s="1" t="n">
        <v>45588</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50095-2023</t>
        </is>
      </c>
      <c r="B1491" s="1" t="n">
        <v>45208</v>
      </c>
      <c r="C1491" s="1" t="n">
        <v>45588</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49038-2023</t>
        </is>
      </c>
      <c r="B1492" s="1" t="n">
        <v>45209</v>
      </c>
      <c r="C1492" s="1" t="n">
        <v>45588</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49945-2023</t>
        </is>
      </c>
      <c r="B1493" s="1" t="n">
        <v>45215</v>
      </c>
      <c r="C1493" s="1" t="n">
        <v>45588</v>
      </c>
      <c r="D1493" t="inlineStr">
        <is>
          <t>VÄSTERNORRLANDS LÄN</t>
        </is>
      </c>
      <c r="E1493" t="inlineStr">
        <is>
          <t>ÅNGE</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50215-2023</t>
        </is>
      </c>
      <c r="B1494" s="1" t="n">
        <v>45216</v>
      </c>
      <c r="C1494" s="1" t="n">
        <v>45588</v>
      </c>
      <c r="D1494" t="inlineStr">
        <is>
          <t>VÄSTERNORRLANDS LÄN</t>
        </is>
      </c>
      <c r="E1494" t="inlineStr">
        <is>
          <t>ÅNGE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51890-2023</t>
        </is>
      </c>
      <c r="B1495" s="1" t="n">
        <v>45215</v>
      </c>
      <c r="C1495" s="1" t="n">
        <v>45588</v>
      </c>
      <c r="D1495" t="inlineStr">
        <is>
          <t>VÄSTERNORRLANDS LÄN</t>
        </is>
      </c>
      <c r="E1495" t="inlineStr">
        <is>
          <t>ÅNGE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51887-2023</t>
        </is>
      </c>
      <c r="B1496" s="1" t="n">
        <v>45215</v>
      </c>
      <c r="C1496" s="1" t="n">
        <v>45588</v>
      </c>
      <c r="D1496" t="inlineStr">
        <is>
          <t>VÄSTERNORRLANDS LÄN</t>
        </is>
      </c>
      <c r="E1496" t="inlineStr">
        <is>
          <t>ÅNGE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51895-2023</t>
        </is>
      </c>
      <c r="B1497" s="1" t="n">
        <v>45215</v>
      </c>
      <c r="C1497" s="1" t="n">
        <v>45588</v>
      </c>
      <c r="D1497" t="inlineStr">
        <is>
          <t>VÄSTERNORRLANDS LÄN</t>
        </is>
      </c>
      <c r="E1497" t="inlineStr">
        <is>
          <t>ÅNGE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51609-2023</t>
        </is>
      </c>
      <c r="B1498" s="1" t="n">
        <v>45215</v>
      </c>
      <c r="C1498" s="1" t="n">
        <v>45588</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51899-2023</t>
        </is>
      </c>
      <c r="B1499" s="1" t="n">
        <v>45215</v>
      </c>
      <c r="C1499" s="1" t="n">
        <v>45588</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50508-2023</t>
        </is>
      </c>
      <c r="B1500" s="1" t="n">
        <v>45217</v>
      </c>
      <c r="C1500" s="1" t="n">
        <v>45588</v>
      </c>
      <c r="D1500" t="inlineStr">
        <is>
          <t>VÄSTERNORRLANDS LÄN</t>
        </is>
      </c>
      <c r="E1500" t="inlineStr">
        <is>
          <t>ÅNGE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51011-2023</t>
        </is>
      </c>
      <c r="B1501" s="1" t="n">
        <v>45218</v>
      </c>
      <c r="C1501" s="1" t="n">
        <v>45588</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45588</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51411-2023</t>
        </is>
      </c>
      <c r="B1503" s="1" t="n">
        <v>45219</v>
      </c>
      <c r="C1503" s="1" t="n">
        <v>45588</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51270-2023</t>
        </is>
      </c>
      <c r="B1504" s="1" t="n">
        <v>45219</v>
      </c>
      <c r="C1504" s="1" t="n">
        <v>45588</v>
      </c>
      <c r="D1504" t="inlineStr">
        <is>
          <t>VÄSTERNORRLANDS LÄN</t>
        </is>
      </c>
      <c r="E1504" t="inlineStr">
        <is>
          <t>ÅNGE</t>
        </is>
      </c>
      <c r="F1504" t="inlineStr">
        <is>
          <t>Kyrkan</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51453-2023</t>
        </is>
      </c>
      <c r="B1505" s="1" t="n">
        <v>45220</v>
      </c>
      <c r="C1505" s="1" t="n">
        <v>45588</v>
      </c>
      <c r="D1505" t="inlineStr">
        <is>
          <t>VÄSTERNORRLANDS LÄN</t>
        </is>
      </c>
      <c r="E1505" t="inlineStr">
        <is>
          <t>ÅNGE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51575-2023</t>
        </is>
      </c>
      <c r="B1506" s="1" t="n">
        <v>45222</v>
      </c>
      <c r="C1506" s="1" t="n">
        <v>45588</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53246-2023</t>
        </is>
      </c>
      <c r="B1507" s="1" t="n">
        <v>45222</v>
      </c>
      <c r="C1507" s="1" t="n">
        <v>45588</v>
      </c>
      <c r="D1507" t="inlineStr">
        <is>
          <t>VÄSTERNORRLANDS LÄN</t>
        </is>
      </c>
      <c r="E1507" t="inlineStr">
        <is>
          <t>ÅNGE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51810-2023</t>
        </is>
      </c>
      <c r="B1508" s="1" t="n">
        <v>45223</v>
      </c>
      <c r="C1508" s="1" t="n">
        <v>45588</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51907-2023</t>
        </is>
      </c>
      <c r="B1509" s="1" t="n">
        <v>45223</v>
      </c>
      <c r="C1509" s="1" t="n">
        <v>45588</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52742-2023</t>
        </is>
      </c>
      <c r="B1510" s="1" t="n">
        <v>45226</v>
      </c>
      <c r="C1510" s="1" t="n">
        <v>45588</v>
      </c>
      <c r="D1510" t="inlineStr">
        <is>
          <t>VÄSTERNORRLANDS LÄN</t>
        </is>
      </c>
      <c r="E1510" t="inlineStr">
        <is>
          <t>ÅNGE</t>
        </is>
      </c>
      <c r="F1510" t="inlineStr">
        <is>
          <t>SCA</t>
        </is>
      </c>
      <c r="G1510" t="n">
        <v>19.8</v>
      </c>
      <c r="H1510" t="n">
        <v>0</v>
      </c>
      <c r="I1510" t="n">
        <v>0</v>
      </c>
      <c r="J1510" t="n">
        <v>0</v>
      </c>
      <c r="K1510" t="n">
        <v>0</v>
      </c>
      <c r="L1510" t="n">
        <v>0</v>
      </c>
      <c r="M1510" t="n">
        <v>0</v>
      </c>
      <c r="N1510" t="n">
        <v>0</v>
      </c>
      <c r="O1510" t="n">
        <v>0</v>
      </c>
      <c r="P1510" t="n">
        <v>0</v>
      </c>
      <c r="Q1510" t="n">
        <v>0</v>
      </c>
      <c r="R1510" s="2" t="inlineStr"/>
    </row>
    <row r="1511" ht="15" customHeight="1">
      <c r="A1511" t="inlineStr">
        <is>
          <t>A 54771-2023</t>
        </is>
      </c>
      <c r="B1511" s="1" t="n">
        <v>45229</v>
      </c>
      <c r="C1511" s="1" t="n">
        <v>45588</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54754-2023</t>
        </is>
      </c>
      <c r="B1512" s="1" t="n">
        <v>45229</v>
      </c>
      <c r="C1512" s="1" t="n">
        <v>45588</v>
      </c>
      <c r="D1512" t="inlineStr">
        <is>
          <t>VÄSTERNORRLANDS LÄN</t>
        </is>
      </c>
      <c r="E1512" t="inlineStr">
        <is>
          <t>ÅNGE</t>
        </is>
      </c>
      <c r="G1512" t="n">
        <v>14.6</v>
      </c>
      <c r="H1512" t="n">
        <v>0</v>
      </c>
      <c r="I1512" t="n">
        <v>0</v>
      </c>
      <c r="J1512" t="n">
        <v>0</v>
      </c>
      <c r="K1512" t="n">
        <v>0</v>
      </c>
      <c r="L1512" t="n">
        <v>0</v>
      </c>
      <c r="M1512" t="n">
        <v>0</v>
      </c>
      <c r="N1512" t="n">
        <v>0</v>
      </c>
      <c r="O1512" t="n">
        <v>0</v>
      </c>
      <c r="P1512" t="n">
        <v>0</v>
      </c>
      <c r="Q1512" t="n">
        <v>0</v>
      </c>
      <c r="R1512" s="2" t="inlineStr"/>
    </row>
    <row r="1513" ht="15" customHeight="1">
      <c r="A1513" t="inlineStr">
        <is>
          <t>A 54761-2023</t>
        </is>
      </c>
      <c r="B1513" s="1" t="n">
        <v>45229</v>
      </c>
      <c r="C1513" s="1" t="n">
        <v>45588</v>
      </c>
      <c r="D1513" t="inlineStr">
        <is>
          <t>VÄSTERNORRLANDS LÄN</t>
        </is>
      </c>
      <c r="E1513" t="inlineStr">
        <is>
          <t>ÅNGE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54823-2023</t>
        </is>
      </c>
      <c r="B1514" s="1" t="n">
        <v>45229</v>
      </c>
      <c r="C1514" s="1" t="n">
        <v>45588</v>
      </c>
      <c r="D1514" t="inlineStr">
        <is>
          <t>VÄSTERNORRLANDS LÄN</t>
        </is>
      </c>
      <c r="E1514" t="inlineStr">
        <is>
          <t>ÅNGE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54769-2023</t>
        </is>
      </c>
      <c r="B1515" s="1" t="n">
        <v>45229</v>
      </c>
      <c r="C1515" s="1" t="n">
        <v>45588</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54773-2023</t>
        </is>
      </c>
      <c r="B1516" s="1" t="n">
        <v>45229</v>
      </c>
      <c r="C1516" s="1" t="n">
        <v>45588</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53651-2023</t>
        </is>
      </c>
      <c r="B1517" s="1" t="n">
        <v>45230</v>
      </c>
      <c r="C1517" s="1" t="n">
        <v>45588</v>
      </c>
      <c r="D1517" t="inlineStr">
        <is>
          <t>VÄSTERNORRLANDS LÄN</t>
        </is>
      </c>
      <c r="E1517" t="inlineStr">
        <is>
          <t>ÅNGE</t>
        </is>
      </c>
      <c r="F1517" t="inlineStr">
        <is>
          <t>Holmen skog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53627-2023</t>
        </is>
      </c>
      <c r="B1518" s="1" t="n">
        <v>45230</v>
      </c>
      <c r="C1518" s="1" t="n">
        <v>45588</v>
      </c>
      <c r="D1518" t="inlineStr">
        <is>
          <t>VÄSTERNORRLANDS LÄN</t>
        </is>
      </c>
      <c r="E1518" t="inlineStr">
        <is>
          <t>ÅNGE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53549-2023</t>
        </is>
      </c>
      <c r="B1519" s="1" t="n">
        <v>45230</v>
      </c>
      <c r="C1519" s="1" t="n">
        <v>45588</v>
      </c>
      <c r="D1519" t="inlineStr">
        <is>
          <t>VÄSTERNORRLANDS LÄN</t>
        </is>
      </c>
      <c r="E1519" t="inlineStr">
        <is>
          <t>ÅNGE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53765-2023</t>
        </is>
      </c>
      <c r="B1520" s="1" t="n">
        <v>45231</v>
      </c>
      <c r="C1520" s="1" t="n">
        <v>45588</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53512-2023</t>
        </is>
      </c>
      <c r="B1521" s="1" t="n">
        <v>45230</v>
      </c>
      <c r="C1521" s="1" t="n">
        <v>45588</v>
      </c>
      <c r="D1521" t="inlineStr">
        <is>
          <t>VÄSTERNORRLANDS LÄN</t>
        </is>
      </c>
      <c r="E1521" t="inlineStr">
        <is>
          <t>ÅNGE</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54079-2023</t>
        </is>
      </c>
      <c r="B1522" s="1" t="n">
        <v>45231</v>
      </c>
      <c r="C1522" s="1" t="n">
        <v>45588</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54060-2023</t>
        </is>
      </c>
      <c r="B1523" s="1" t="n">
        <v>45232</v>
      </c>
      <c r="C1523" s="1" t="n">
        <v>45588</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54065-2023</t>
        </is>
      </c>
      <c r="B1524" s="1" t="n">
        <v>45232</v>
      </c>
      <c r="C1524" s="1" t="n">
        <v>45588</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54338-2023</t>
        </is>
      </c>
      <c r="B1525" s="1" t="n">
        <v>45232</v>
      </c>
      <c r="C1525" s="1" t="n">
        <v>45588</v>
      </c>
      <c r="D1525" t="inlineStr">
        <is>
          <t>VÄSTERNORRLANDS LÄN</t>
        </is>
      </c>
      <c r="E1525" t="inlineStr">
        <is>
          <t>ÅNGE</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54342-2023</t>
        </is>
      </c>
      <c r="B1526" s="1" t="n">
        <v>45232</v>
      </c>
      <c r="C1526" s="1" t="n">
        <v>45588</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54346-2023</t>
        </is>
      </c>
      <c r="B1527" s="1" t="n">
        <v>45233</v>
      </c>
      <c r="C1527" s="1" t="n">
        <v>45588</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54336-2023</t>
        </is>
      </c>
      <c r="B1528" s="1" t="n">
        <v>45233</v>
      </c>
      <c r="C1528" s="1" t="n">
        <v>45588</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54341-2023</t>
        </is>
      </c>
      <c r="B1529" s="1" t="n">
        <v>45232</v>
      </c>
      <c r="C1529" s="1" t="n">
        <v>45588</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54339-2023</t>
        </is>
      </c>
      <c r="B1530" s="1" t="n">
        <v>45233</v>
      </c>
      <c r="C1530" s="1" t="n">
        <v>45588</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54613-2023</t>
        </is>
      </c>
      <c r="B1531" s="1" t="n">
        <v>45233</v>
      </c>
      <c r="C1531" s="1" t="n">
        <v>45588</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45588</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45588</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45588</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45588</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45588</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45588</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45588</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45588</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45588</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45588</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45588</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45588</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45588</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45588</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45588</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45588</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45588</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45588</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45588</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45588</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45588</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45588</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45588</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45588</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45588</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45588</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45588</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45588</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45588</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45588</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45588</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45588</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45588</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45588</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45588</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45588</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45588</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45588</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45588</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45588</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45588</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45588</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45588</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45588</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45588</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45588</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45588</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45588</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45588</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45588</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45588</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45588</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45588</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45588</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45588</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45588</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45588</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45588</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45588</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45588</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45588</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45588</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45588</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45588</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45588</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45588</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45588</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45588</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45588</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45588</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45588</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45588</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45588</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45588</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45588</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45588</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45588</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45588</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45588</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45588</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45588</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45588</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45588</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45588</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45588</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45588</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45588</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45588</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45588</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45588</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45588</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45588</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45588</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45588</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45588</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45588</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45588</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45588</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45588</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45588</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45588</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45588</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45588</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45588</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45588</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45588</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45588</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45588</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45588</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45588</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45588</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45588</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45588</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45588</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45588</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45588</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45588</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45588</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45588</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45588</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45588</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45588</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45588</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45588</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45588</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45588</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45588</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45588</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45588</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45588</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45588</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45588</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45588</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45588</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45588</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45588</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45588</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45588</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45588</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45588</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45588</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45588</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45588</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45588</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45588</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45588</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45588</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45588</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45588</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45588</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45588</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45588</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45588</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45588</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45588</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45588</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45588</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45588</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45588</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45588</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45588</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45588</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45588</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45588</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45588</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45588</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45588</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45588</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45588</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45588</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45588</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45588</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45588</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45588</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45588</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45588</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45588</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45588</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45588</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45588</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45588</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45588</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45588</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45588</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45588</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45588</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45588</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45588</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45588</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45588</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45588</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45588</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45588</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45588</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45588</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45588</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45588</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45588</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45588</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45588</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45588</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45588</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45588</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45588</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45588</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45588</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45588</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45588</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45588</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45588</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45588</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45588</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45588</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45588</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45588</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45588</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45588</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45588</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45588</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45588</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45588</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45588</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45588</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45588</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45588</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45588</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45588</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45588</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45588</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45588</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45588</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45588</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45588</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45588</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45588</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45588</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45588</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45588</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45588</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45588</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45588</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45588</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45588</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45588</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45588</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45588</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45588</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45588</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45588</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45588</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45588</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45588</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45588</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45588</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45588</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45588</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45588</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45588</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45588</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45588</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45588</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45588</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45588</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45588</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45588</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45588</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45588</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45588</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45588</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45588</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45588</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45588</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45588</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45588</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45588</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45588</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45588</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45588</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45588</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45588</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45588</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45588</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45588</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45588</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45588</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45588</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45588</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45588</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45588</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45588</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45588</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45588</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45588</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45588</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45588</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45588</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45588</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45588</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45588</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45588</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45588</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45588</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45588</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45588</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45588</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45588</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45588</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45588</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45588</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45588</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45588</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45588</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45588</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45588</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45588</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45588</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45588</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45588</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45588</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45588</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45588</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45588</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45588</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45588</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45588</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45588</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45588</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45588</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45588</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45588</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45588</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45588</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45588</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45588</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45588</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45588</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45588</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45588</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45588</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45588</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45588</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45588</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45588</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45588</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45588</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45588</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45588</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45588</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45588</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45588</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45588</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45588</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45588</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45588</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45588</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45588</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45588</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45588</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45588</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45588</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45588</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45588</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45588</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45588</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45588</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45588</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45588</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45588</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45588</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45588</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45588</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45588</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45588</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45588</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45588</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45588</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45588</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45588</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45588</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45588</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45588</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45588</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45588</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45588</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45588</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45588</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45588</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45588</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45588</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45588</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45588</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45588</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45588</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45588</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45588</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45588</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45588</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45588</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45588</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45588</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45588</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45588</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45588</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45588</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45588</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45588</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45588</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45588</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45588</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45588</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45588</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45588</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45588</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45588</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45588</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45588</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45588</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45588</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45588</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45588</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45588</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45588</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45588</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45588</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45588</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45588</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45588</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45588</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45588</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45588</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45588</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45588</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45588</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45588</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45588</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45588</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45588</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45588</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45588</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45588</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45588</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45588</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45588</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45588</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45588</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45588</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45588</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45588</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45588</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45588</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45588</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45588</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45588</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45588</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45588</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45588</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45588</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45588</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45588</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45588</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45588</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45588</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45588</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45588</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45588</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45588</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45588</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45588</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45588</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45588</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45588</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45588</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45588</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45588</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45588</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45588</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45588</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45588</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45588</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45588</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45588</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45588</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45588</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45588</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45588</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45588</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45588</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45588</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45588</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45588</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45588</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45588</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45588</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45588</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45588</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45588</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45588</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45588</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45588</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45588</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45588</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45588</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45588</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45588</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45588</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45588</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45588</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45588</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45588</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45588</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45588</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45588</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45588</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45588</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45588</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45588</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45588</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45588</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45588</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45588</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45588</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45588</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45588</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45588</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45588</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45588</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45588</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45588</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45588</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45588</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45588</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40788-2024</t>
        </is>
      </c>
      <c r="B2063" s="1" t="n">
        <v>45558</v>
      </c>
      <c r="C2063" s="1" t="n">
        <v>45588</v>
      </c>
      <c r="D2063" t="inlineStr">
        <is>
          <t>VÄSTERNORRLANDS LÄN</t>
        </is>
      </c>
      <c r="E2063" t="inlineStr">
        <is>
          <t>ÅNGE</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45588</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40802-2024</t>
        </is>
      </c>
      <c r="B2065" s="1" t="n">
        <v>45558</v>
      </c>
      <c r="C2065" s="1" t="n">
        <v>45588</v>
      </c>
      <c r="D2065" t="inlineStr">
        <is>
          <t>VÄSTERNORRLANDS LÄN</t>
        </is>
      </c>
      <c r="E2065" t="inlineStr">
        <is>
          <t>ÅNGE</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41083-2024</t>
        </is>
      </c>
      <c r="B2066" s="1" t="n">
        <v>45559</v>
      </c>
      <c r="C2066" s="1" t="n">
        <v>45588</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41153-2024</t>
        </is>
      </c>
      <c r="B2067" s="1" t="n">
        <v>45559</v>
      </c>
      <c r="C2067" s="1" t="n">
        <v>45588</v>
      </c>
      <c r="D2067" t="inlineStr">
        <is>
          <t>VÄSTERNORRLANDS LÄN</t>
        </is>
      </c>
      <c r="E2067" t="inlineStr">
        <is>
          <t>ÅNGE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41222-2024</t>
        </is>
      </c>
      <c r="B2068" s="1" t="n">
        <v>45559</v>
      </c>
      <c r="C2068" s="1" t="n">
        <v>45588</v>
      </c>
      <c r="D2068" t="inlineStr">
        <is>
          <t>VÄSTERNORRLANDS LÄN</t>
        </is>
      </c>
      <c r="E2068" t="inlineStr">
        <is>
          <t>ÅNGE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41284-2024</t>
        </is>
      </c>
      <c r="B2069" s="1" t="n">
        <v>45559</v>
      </c>
      <c r="C2069" s="1" t="n">
        <v>45588</v>
      </c>
      <c r="D2069" t="inlineStr">
        <is>
          <t>VÄSTERNORRLANDS LÄN</t>
        </is>
      </c>
      <c r="E2069" t="inlineStr">
        <is>
          <t>ÅNGE</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41302-2024</t>
        </is>
      </c>
      <c r="B2070" s="1" t="n">
        <v>45559</v>
      </c>
      <c r="C2070" s="1" t="n">
        <v>45588</v>
      </c>
      <c r="D2070" t="inlineStr">
        <is>
          <t>VÄSTERNORRLANDS LÄN</t>
        </is>
      </c>
      <c r="E2070" t="inlineStr">
        <is>
          <t>ÅNGE</t>
        </is>
      </c>
      <c r="F2070" t="inlineStr">
        <is>
          <t>Holmen skog AB</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41355-2024</t>
        </is>
      </c>
      <c r="B2071" s="1" t="n">
        <v>45559</v>
      </c>
      <c r="C2071" s="1" t="n">
        <v>45588</v>
      </c>
      <c r="D2071" t="inlineStr">
        <is>
          <t>VÄSTERNORRLANDS LÄN</t>
        </is>
      </c>
      <c r="E2071" t="inlineStr">
        <is>
          <t>ÅNGE</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41507-2024</t>
        </is>
      </c>
      <c r="B2072" s="1" t="n">
        <v>45560</v>
      </c>
      <c r="C2072" s="1" t="n">
        <v>45588</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41564-2024</t>
        </is>
      </c>
      <c r="B2073" s="1" t="n">
        <v>45560</v>
      </c>
      <c r="C2073" s="1" t="n">
        <v>45588</v>
      </c>
      <c r="D2073" t="inlineStr">
        <is>
          <t>VÄSTERNORRLANDS LÄN</t>
        </is>
      </c>
      <c r="E2073" t="inlineStr">
        <is>
          <t>ÅNGE</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41586-2024</t>
        </is>
      </c>
      <c r="B2074" s="1" t="n">
        <v>45560</v>
      </c>
      <c r="C2074" s="1" t="n">
        <v>45588</v>
      </c>
      <c r="D2074" t="inlineStr">
        <is>
          <t>VÄSTERNORRLANDS LÄN</t>
        </is>
      </c>
      <c r="E2074" t="inlineStr">
        <is>
          <t>ÅNGE</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41575-2024</t>
        </is>
      </c>
      <c r="B2075" s="1" t="n">
        <v>45560</v>
      </c>
      <c r="C2075" s="1" t="n">
        <v>45588</v>
      </c>
      <c r="D2075" t="inlineStr">
        <is>
          <t>VÄSTERNORRLANDS LÄN</t>
        </is>
      </c>
      <c r="E2075" t="inlineStr">
        <is>
          <t>ÅNGE</t>
        </is>
      </c>
      <c r="F2075" t="inlineStr">
        <is>
          <t>Holmen skog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45588</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41766-2024</t>
        </is>
      </c>
      <c r="B2077" s="1" t="n">
        <v>45561</v>
      </c>
      <c r="C2077" s="1" t="n">
        <v>45588</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42043-2024</t>
        </is>
      </c>
      <c r="B2078" s="1" t="n">
        <v>45561</v>
      </c>
      <c r="C2078" s="1" t="n">
        <v>45588</v>
      </c>
      <c r="D2078" t="inlineStr">
        <is>
          <t>VÄSTERNORRLANDS LÄN</t>
        </is>
      </c>
      <c r="E2078" t="inlineStr">
        <is>
          <t>ÅNGE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42046-2024</t>
        </is>
      </c>
      <c r="B2079" s="1" t="n">
        <v>45561</v>
      </c>
      <c r="C2079" s="1" t="n">
        <v>45588</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41764-2024</t>
        </is>
      </c>
      <c r="B2080" s="1" t="n">
        <v>45561</v>
      </c>
      <c r="C2080" s="1" t="n">
        <v>45588</v>
      </c>
      <c r="D2080" t="inlineStr">
        <is>
          <t>VÄSTERNORRLANDS LÄN</t>
        </is>
      </c>
      <c r="E2080" t="inlineStr">
        <is>
          <t>ÅNGE</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42004-2024</t>
        </is>
      </c>
      <c r="B2081" s="1" t="n">
        <v>45561</v>
      </c>
      <c r="C2081" s="1" t="n">
        <v>45588</v>
      </c>
      <c r="D2081" t="inlineStr">
        <is>
          <t>VÄSTERNORRLANDS LÄN</t>
        </is>
      </c>
      <c r="E2081" t="inlineStr">
        <is>
          <t>ÅNGE</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41781-2024</t>
        </is>
      </c>
      <c r="B2082" s="1" t="n">
        <v>45561</v>
      </c>
      <c r="C2082" s="1" t="n">
        <v>45588</v>
      </c>
      <c r="D2082" t="inlineStr">
        <is>
          <t>VÄSTERNORRLANDS LÄN</t>
        </is>
      </c>
      <c r="E2082" t="inlineStr">
        <is>
          <t>ÅNGE</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42040-2024</t>
        </is>
      </c>
      <c r="B2083" s="1" t="n">
        <v>45561</v>
      </c>
      <c r="C2083" s="1" t="n">
        <v>45588</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42044-2024</t>
        </is>
      </c>
      <c r="B2084" s="1" t="n">
        <v>45561</v>
      </c>
      <c r="C2084" s="1" t="n">
        <v>45588</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45588</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45588</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42488-2024</t>
        </is>
      </c>
      <c r="B2087" s="1" t="n">
        <v>45565</v>
      </c>
      <c r="C2087" s="1" t="n">
        <v>45588</v>
      </c>
      <c r="D2087" t="inlineStr">
        <is>
          <t>VÄSTERNORRLANDS LÄN</t>
        </is>
      </c>
      <c r="E2087" t="inlineStr">
        <is>
          <t>ÅNGE</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42529-2024</t>
        </is>
      </c>
      <c r="B2088" s="1" t="n">
        <v>45565</v>
      </c>
      <c r="C2088" s="1" t="n">
        <v>45588</v>
      </c>
      <c r="D2088" t="inlineStr">
        <is>
          <t>VÄSTERNORRLANDS LÄN</t>
        </is>
      </c>
      <c r="E2088" t="inlineStr">
        <is>
          <t>ÅNGE</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45588</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42881-2024</t>
        </is>
      </c>
      <c r="B2090" s="1" t="n">
        <v>45566</v>
      </c>
      <c r="C2090" s="1" t="n">
        <v>45588</v>
      </c>
      <c r="D2090" t="inlineStr">
        <is>
          <t>VÄSTERNORRLANDS LÄN</t>
        </is>
      </c>
      <c r="E2090" t="inlineStr">
        <is>
          <t>ÅNGE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42948-2024</t>
        </is>
      </c>
      <c r="B2091" s="1" t="n">
        <v>45567</v>
      </c>
      <c r="C2091" s="1" t="n">
        <v>45588</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42968-2024</t>
        </is>
      </c>
      <c r="B2092" s="1" t="n">
        <v>45567</v>
      </c>
      <c r="C2092" s="1" t="n">
        <v>45588</v>
      </c>
      <c r="D2092" t="inlineStr">
        <is>
          <t>VÄSTERNORRLANDS LÄN</t>
        </is>
      </c>
      <c r="E2092" t="inlineStr">
        <is>
          <t>ÅNGE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43190-2024</t>
        </is>
      </c>
      <c r="B2093" s="1" t="n">
        <v>45567</v>
      </c>
      <c r="C2093" s="1" t="n">
        <v>45588</v>
      </c>
      <c r="D2093" t="inlineStr">
        <is>
          <t>VÄSTERNORRLANDS LÄN</t>
        </is>
      </c>
      <c r="E2093" t="inlineStr">
        <is>
          <t>ÅNGE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42999-2024</t>
        </is>
      </c>
      <c r="B2094" s="1" t="n">
        <v>45567</v>
      </c>
      <c r="C2094" s="1" t="n">
        <v>45588</v>
      </c>
      <c r="D2094" t="inlineStr">
        <is>
          <t>VÄSTERNORRLANDS LÄN</t>
        </is>
      </c>
      <c r="E2094" t="inlineStr">
        <is>
          <t>ÅNGE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43145-2024</t>
        </is>
      </c>
      <c r="B2095" s="1" t="n">
        <v>45567</v>
      </c>
      <c r="C2095" s="1" t="n">
        <v>45588</v>
      </c>
      <c r="D2095" t="inlineStr">
        <is>
          <t>VÄSTERNORRLANDS LÄN</t>
        </is>
      </c>
      <c r="E2095" t="inlineStr">
        <is>
          <t>ÅNGE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42958-2024</t>
        </is>
      </c>
      <c r="B2096" s="1" t="n">
        <v>45567</v>
      </c>
      <c r="C2096" s="1" t="n">
        <v>45588</v>
      </c>
      <c r="D2096" t="inlineStr">
        <is>
          <t>VÄSTERNORRLANDS LÄN</t>
        </is>
      </c>
      <c r="E2096" t="inlineStr">
        <is>
          <t>ÅNGE</t>
        </is>
      </c>
      <c r="F2096" t="inlineStr">
        <is>
          <t>SCA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43184-2024</t>
        </is>
      </c>
      <c r="B2097" s="1" t="n">
        <v>45567</v>
      </c>
      <c r="C2097" s="1" t="n">
        <v>45588</v>
      </c>
      <c r="D2097" t="inlineStr">
        <is>
          <t>VÄSTERNORRLANDS LÄN</t>
        </is>
      </c>
      <c r="E2097" t="inlineStr">
        <is>
          <t>ÅNGE</t>
        </is>
      </c>
      <c r="G2097" t="n">
        <v>15.3</v>
      </c>
      <c r="H2097" t="n">
        <v>0</v>
      </c>
      <c r="I2097" t="n">
        <v>0</v>
      </c>
      <c r="J2097" t="n">
        <v>0</v>
      </c>
      <c r="K2097" t="n">
        <v>0</v>
      </c>
      <c r="L2097" t="n">
        <v>0</v>
      </c>
      <c r="M2097" t="n">
        <v>0</v>
      </c>
      <c r="N2097" t="n">
        <v>0</v>
      </c>
      <c r="O2097" t="n">
        <v>0</v>
      </c>
      <c r="P2097" t="n">
        <v>0</v>
      </c>
      <c r="Q2097" t="n">
        <v>0</v>
      </c>
      <c r="R2097" s="2" t="inlineStr"/>
    </row>
    <row r="2098" ht="15" customHeight="1">
      <c r="A2098" t="inlineStr">
        <is>
          <t>A 42953-2024</t>
        </is>
      </c>
      <c r="B2098" s="1" t="n">
        <v>45567</v>
      </c>
      <c r="C2098" s="1" t="n">
        <v>45588</v>
      </c>
      <c r="D2098" t="inlineStr">
        <is>
          <t>VÄSTERNORRLANDS LÄN</t>
        </is>
      </c>
      <c r="E2098" t="inlineStr">
        <is>
          <t>ÅNGE</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42969-2024</t>
        </is>
      </c>
      <c r="B2099" s="1" t="n">
        <v>45567</v>
      </c>
      <c r="C2099" s="1" t="n">
        <v>45588</v>
      </c>
      <c r="D2099" t="inlineStr">
        <is>
          <t>VÄSTERNORRLANDS LÄN</t>
        </is>
      </c>
      <c r="E2099" t="inlineStr">
        <is>
          <t>ÅNGE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43139-2024</t>
        </is>
      </c>
      <c r="B2100" s="1" t="n">
        <v>45567</v>
      </c>
      <c r="C2100" s="1" t="n">
        <v>45588</v>
      </c>
      <c r="D2100" t="inlineStr">
        <is>
          <t>VÄSTERNORRLANDS LÄN</t>
        </is>
      </c>
      <c r="E2100" t="inlineStr">
        <is>
          <t>ÅNGE</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43343-2024</t>
        </is>
      </c>
      <c r="B2101" s="1" t="n">
        <v>45568</v>
      </c>
      <c r="C2101" s="1" t="n">
        <v>45588</v>
      </c>
      <c r="D2101" t="inlineStr">
        <is>
          <t>VÄSTERNORRLANDS LÄN</t>
        </is>
      </c>
      <c r="E2101" t="inlineStr">
        <is>
          <t>ÅNGE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43366-2024</t>
        </is>
      </c>
      <c r="B2102" s="1" t="n">
        <v>45568</v>
      </c>
      <c r="C2102" s="1" t="n">
        <v>45588</v>
      </c>
      <c r="D2102" t="inlineStr">
        <is>
          <t>VÄSTERNORRLANDS LÄN</t>
        </is>
      </c>
      <c r="E2102" t="inlineStr">
        <is>
          <t>ÅNGE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45588</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45588</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45588</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44389-2024</t>
        </is>
      </c>
      <c r="B2106" s="1" t="n">
        <v>45573</v>
      </c>
      <c r="C2106" s="1" t="n">
        <v>45588</v>
      </c>
      <c r="D2106" t="inlineStr">
        <is>
          <t>VÄSTERNORRLANDS LÄN</t>
        </is>
      </c>
      <c r="E2106" t="inlineStr">
        <is>
          <t>ÅNGE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44386-2024</t>
        </is>
      </c>
      <c r="B2107" s="1" t="n">
        <v>45573</v>
      </c>
      <c r="C2107" s="1" t="n">
        <v>45588</v>
      </c>
      <c r="D2107" t="inlineStr">
        <is>
          <t>VÄSTERNORRLANDS LÄN</t>
        </is>
      </c>
      <c r="E2107" t="inlineStr">
        <is>
          <t>ÅNGE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44512-2024</t>
        </is>
      </c>
      <c r="B2108" s="1" t="n">
        <v>45574</v>
      </c>
      <c r="C2108" s="1" t="n">
        <v>45588</v>
      </c>
      <c r="D2108" t="inlineStr">
        <is>
          <t>VÄSTERNORRLANDS LÄN</t>
        </is>
      </c>
      <c r="E2108" t="inlineStr">
        <is>
          <t>ÅNGE</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44606-2024</t>
        </is>
      </c>
      <c r="B2109" s="1" t="n">
        <v>45574</v>
      </c>
      <c r="C2109" s="1" t="n">
        <v>45588</v>
      </c>
      <c r="D2109" t="inlineStr">
        <is>
          <t>VÄSTERNORRLANDS LÄN</t>
        </is>
      </c>
      <c r="E2109" t="inlineStr">
        <is>
          <t>ÅNGE</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44626-2024</t>
        </is>
      </c>
      <c r="B2110" s="1" t="n">
        <v>45574</v>
      </c>
      <c r="C2110" s="1" t="n">
        <v>45588</v>
      </c>
      <c r="D2110" t="inlineStr">
        <is>
          <t>VÄSTERNORRLANDS LÄN</t>
        </is>
      </c>
      <c r="E2110" t="inlineStr">
        <is>
          <t>ÅNGE</t>
        </is>
      </c>
      <c r="F2110" t="inlineStr">
        <is>
          <t>SCA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44518-2024</t>
        </is>
      </c>
      <c r="B2111" s="1" t="n">
        <v>45574</v>
      </c>
      <c r="C2111" s="1" t="n">
        <v>45588</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44552-2024</t>
        </is>
      </c>
      <c r="B2112" s="1" t="n">
        <v>45574</v>
      </c>
      <c r="C2112" s="1" t="n">
        <v>45588</v>
      </c>
      <c r="D2112" t="inlineStr">
        <is>
          <t>VÄSTERNORRLANDS LÄN</t>
        </is>
      </c>
      <c r="E2112" t="inlineStr">
        <is>
          <t>ÅNGE</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44568-2024</t>
        </is>
      </c>
      <c r="B2113" s="1" t="n">
        <v>45574</v>
      </c>
      <c r="C2113" s="1" t="n">
        <v>45588</v>
      </c>
      <c r="D2113" t="inlineStr">
        <is>
          <t>VÄSTERNORRLANDS LÄN</t>
        </is>
      </c>
      <c r="E2113" t="inlineStr">
        <is>
          <t>ÅNGE</t>
        </is>
      </c>
      <c r="F2113" t="inlineStr">
        <is>
          <t>SCA</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44600-2024</t>
        </is>
      </c>
      <c r="B2114" s="1" t="n">
        <v>45574</v>
      </c>
      <c r="C2114" s="1" t="n">
        <v>45588</v>
      </c>
      <c r="D2114" t="inlineStr">
        <is>
          <t>VÄSTERNORRLANDS LÄN</t>
        </is>
      </c>
      <c r="E2114" t="inlineStr">
        <is>
          <t>ÅNGE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44604-2024</t>
        </is>
      </c>
      <c r="B2115" s="1" t="n">
        <v>45574</v>
      </c>
      <c r="C2115" s="1" t="n">
        <v>45588</v>
      </c>
      <c r="D2115" t="inlineStr">
        <is>
          <t>VÄSTERNORRLANDS LÄN</t>
        </is>
      </c>
      <c r="E2115" t="inlineStr">
        <is>
          <t>ÅNGE</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44636-2024</t>
        </is>
      </c>
      <c r="B2116" s="1" t="n">
        <v>45574</v>
      </c>
      <c r="C2116" s="1" t="n">
        <v>45588</v>
      </c>
      <c r="D2116" t="inlineStr">
        <is>
          <t>VÄSTERNORRLANDS LÄN</t>
        </is>
      </c>
      <c r="E2116" t="inlineStr">
        <is>
          <t>ÅNGE</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44611-2024</t>
        </is>
      </c>
      <c r="B2117" s="1" t="n">
        <v>45574</v>
      </c>
      <c r="C2117" s="1" t="n">
        <v>45588</v>
      </c>
      <c r="D2117" t="inlineStr">
        <is>
          <t>VÄSTERNORRLANDS LÄN</t>
        </is>
      </c>
      <c r="E2117" t="inlineStr">
        <is>
          <t>ÅNGE</t>
        </is>
      </c>
      <c r="F2117" t="inlineStr">
        <is>
          <t>SCA</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44635-2024</t>
        </is>
      </c>
      <c r="B2118" s="1" t="n">
        <v>45574</v>
      </c>
      <c r="C2118" s="1" t="n">
        <v>45588</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44565-2024</t>
        </is>
      </c>
      <c r="B2119" s="1" t="n">
        <v>45574</v>
      </c>
      <c r="C2119" s="1" t="n">
        <v>45588</v>
      </c>
      <c r="D2119" t="inlineStr">
        <is>
          <t>VÄSTERNORRLANDS LÄN</t>
        </is>
      </c>
      <c r="E2119" t="inlineStr">
        <is>
          <t>ÅNGE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45030-2024</t>
        </is>
      </c>
      <c r="B2120" s="1" t="n">
        <v>45575</v>
      </c>
      <c r="C2120" s="1" t="n">
        <v>45588</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44876-2024</t>
        </is>
      </c>
      <c r="B2121" s="1" t="n">
        <v>45575</v>
      </c>
      <c r="C2121" s="1" t="n">
        <v>45588</v>
      </c>
      <c r="D2121" t="inlineStr">
        <is>
          <t>VÄSTERNORRLANDS LÄN</t>
        </is>
      </c>
      <c r="E2121" t="inlineStr">
        <is>
          <t>ÅNGE</t>
        </is>
      </c>
      <c r="F2121" t="inlineStr">
        <is>
          <t>SCA</t>
        </is>
      </c>
      <c r="G2121" t="n">
        <v>12.4</v>
      </c>
      <c r="H2121" t="n">
        <v>0</v>
      </c>
      <c r="I2121" t="n">
        <v>0</v>
      </c>
      <c r="J2121" t="n">
        <v>0</v>
      </c>
      <c r="K2121" t="n">
        <v>0</v>
      </c>
      <c r="L2121" t="n">
        <v>0</v>
      </c>
      <c r="M2121" t="n">
        <v>0</v>
      </c>
      <c r="N2121" t="n">
        <v>0</v>
      </c>
      <c r="O2121" t="n">
        <v>0</v>
      </c>
      <c r="P2121" t="n">
        <v>0</v>
      </c>
      <c r="Q2121" t="n">
        <v>0</v>
      </c>
      <c r="R2121" s="2" t="inlineStr"/>
    </row>
    <row r="2122" ht="15" customHeight="1">
      <c r="A2122" t="inlineStr">
        <is>
          <t>A 45928-2024</t>
        </is>
      </c>
      <c r="B2122" s="1" t="n">
        <v>45580</v>
      </c>
      <c r="C2122" s="1" t="n">
        <v>45588</v>
      </c>
      <c r="D2122" t="inlineStr">
        <is>
          <t>VÄSTERNORRLANDS LÄN</t>
        </is>
      </c>
      <c r="E2122" t="inlineStr">
        <is>
          <t>ÅNGE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45993-2024</t>
        </is>
      </c>
      <c r="B2123" s="1" t="n">
        <v>45580</v>
      </c>
      <c r="C2123" s="1" t="n">
        <v>45588</v>
      </c>
      <c r="D2123" t="inlineStr">
        <is>
          <t>VÄSTERNORRLANDS LÄN</t>
        </is>
      </c>
      <c r="E2123" t="inlineStr">
        <is>
          <t>ÅNGE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46015-2024</t>
        </is>
      </c>
      <c r="B2124" s="1" t="n">
        <v>45580</v>
      </c>
      <c r="C2124" s="1" t="n">
        <v>45588</v>
      </c>
      <c r="D2124" t="inlineStr">
        <is>
          <t>VÄSTERNORRLANDS LÄN</t>
        </is>
      </c>
      <c r="E2124" t="inlineStr">
        <is>
          <t>ÅNGE</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46172-2024</t>
        </is>
      </c>
      <c r="B2125" s="1" t="n">
        <v>45581</v>
      </c>
      <c r="C2125" s="1" t="n">
        <v>45588</v>
      </c>
      <c r="D2125" t="inlineStr">
        <is>
          <t>VÄSTERNORRLANDS LÄN</t>
        </is>
      </c>
      <c r="E2125" t="inlineStr">
        <is>
          <t>ÅNGE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46198-2024</t>
        </is>
      </c>
      <c r="B2126" s="1" t="n">
        <v>45581</v>
      </c>
      <c r="C2126" s="1" t="n">
        <v>45588</v>
      </c>
      <c r="D2126" t="inlineStr">
        <is>
          <t>VÄSTERNORRLANDS LÄN</t>
        </is>
      </c>
      <c r="E2126" t="inlineStr">
        <is>
          <t>ÅNGE</t>
        </is>
      </c>
      <c r="F2126" t="inlineStr">
        <is>
          <t>Övriga Aktiebolag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46249-2024</t>
        </is>
      </c>
      <c r="B2127" s="1" t="n">
        <v>45581</v>
      </c>
      <c r="C2127" s="1" t="n">
        <v>45588</v>
      </c>
      <c r="D2127" t="inlineStr">
        <is>
          <t>VÄSTERNORRLANDS LÄN</t>
        </is>
      </c>
      <c r="E2127" t="inlineStr">
        <is>
          <t>ÅNGE</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46354-2024</t>
        </is>
      </c>
      <c r="B2128" s="1" t="n">
        <v>45582</v>
      </c>
      <c r="C2128" s="1" t="n">
        <v>45588</v>
      </c>
      <c r="D2128" t="inlineStr">
        <is>
          <t>VÄSTERNORRLANDS LÄN</t>
        </is>
      </c>
      <c r="E2128" t="inlineStr">
        <is>
          <t>ÅNGE</t>
        </is>
      </c>
      <c r="F2128" t="inlineStr">
        <is>
          <t>SCA</t>
        </is>
      </c>
      <c r="G2128" t="n">
        <v>32.8</v>
      </c>
      <c r="H2128" t="n">
        <v>0</v>
      </c>
      <c r="I2128" t="n">
        <v>0</v>
      </c>
      <c r="J2128" t="n">
        <v>0</v>
      </c>
      <c r="K2128" t="n">
        <v>0</v>
      </c>
      <c r="L2128" t="n">
        <v>0</v>
      </c>
      <c r="M2128" t="n">
        <v>0</v>
      </c>
      <c r="N2128" t="n">
        <v>0</v>
      </c>
      <c r="O2128" t="n">
        <v>0</v>
      </c>
      <c r="P2128" t="n">
        <v>0</v>
      </c>
      <c r="Q2128" t="n">
        <v>0</v>
      </c>
      <c r="R2128" s="2" t="inlineStr"/>
    </row>
    <row r="2129" ht="15" customHeight="1">
      <c r="A2129" t="inlineStr">
        <is>
          <t>A 46678-2024</t>
        </is>
      </c>
      <c r="B2129" s="1" t="n">
        <v>45583</v>
      </c>
      <c r="C2129" s="1" t="n">
        <v>45588</v>
      </c>
      <c r="D2129" t="inlineStr">
        <is>
          <t>VÄSTERNORRLANDS LÄN</t>
        </is>
      </c>
      <c r="E2129" t="inlineStr">
        <is>
          <t>ÅNGE</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46733-2024</t>
        </is>
      </c>
      <c r="B2130" s="1" t="n">
        <v>45583</v>
      </c>
      <c r="C2130" s="1" t="n">
        <v>45588</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46775-2024</t>
        </is>
      </c>
      <c r="B2131" s="1" t="n">
        <v>45583</v>
      </c>
      <c r="C2131" s="1" t="n">
        <v>45588</v>
      </c>
      <c r="D2131" t="inlineStr">
        <is>
          <t>VÄSTERNORRLANDS LÄN</t>
        </is>
      </c>
      <c r="E2131" t="inlineStr">
        <is>
          <t>ÅNGE</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46780-2024</t>
        </is>
      </c>
      <c r="B2132" s="1" t="n">
        <v>45583</v>
      </c>
      <c r="C2132" s="1" t="n">
        <v>45588</v>
      </c>
      <c r="D2132" t="inlineStr">
        <is>
          <t>VÄSTERNORRLANDS LÄN</t>
        </is>
      </c>
      <c r="E2132" t="inlineStr">
        <is>
          <t>ÅNGE</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47243-2024</t>
        </is>
      </c>
      <c r="B2133" s="1" t="n">
        <v>45586</v>
      </c>
      <c r="C2133" s="1" t="n">
        <v>45588</v>
      </c>
      <c r="D2133" t="inlineStr">
        <is>
          <t>VÄSTERNORRLANDS LÄN</t>
        </is>
      </c>
      <c r="E2133" t="inlineStr">
        <is>
          <t>ÅNGE</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47298-2024</t>
        </is>
      </c>
      <c r="B2134" s="1" t="n">
        <v>45587</v>
      </c>
      <c r="C2134" s="1" t="n">
        <v>45588</v>
      </c>
      <c r="D2134" t="inlineStr">
        <is>
          <t>VÄSTERNORRLANDS LÄN</t>
        </is>
      </c>
      <c r="E2134" t="inlineStr">
        <is>
          <t>ÅNGE</t>
        </is>
      </c>
      <c r="F2134" t="inlineStr">
        <is>
          <t>SCA</t>
        </is>
      </c>
      <c r="G2134" t="n">
        <v>2.5</v>
      </c>
      <c r="H2134" t="n">
        <v>0</v>
      </c>
      <c r="I2134" t="n">
        <v>0</v>
      </c>
      <c r="J2134" t="n">
        <v>0</v>
      </c>
      <c r="K2134" t="n">
        <v>0</v>
      </c>
      <c r="L2134" t="n">
        <v>0</v>
      </c>
      <c r="M2134" t="n">
        <v>0</v>
      </c>
      <c r="N2134" t="n">
        <v>0</v>
      </c>
      <c r="O2134" t="n">
        <v>0</v>
      </c>
      <c r="P2134" t="n">
        <v>0</v>
      </c>
      <c r="Q2134" t="n">
        <v>0</v>
      </c>
      <c r="R2134" s="2" t="inlineStr"/>
    </row>
    <row r="2135">
      <c r="A2135" t="inlineStr">
        <is>
          <t>A 47296-2024</t>
        </is>
      </c>
      <c r="B2135" s="1" t="n">
        <v>45587</v>
      </c>
      <c r="C2135" s="1" t="n">
        <v>45588</v>
      </c>
      <c r="D2135" t="inlineStr">
        <is>
          <t>VÄSTERNORRLANDS LÄN</t>
        </is>
      </c>
      <c r="E2135" t="inlineStr">
        <is>
          <t>ÅNGE</t>
        </is>
      </c>
      <c r="F2135" t="inlineStr">
        <is>
          <t>SCA</t>
        </is>
      </c>
      <c r="G2135" t="n">
        <v>4.3</v>
      </c>
      <c r="H2135" t="n">
        <v>0</v>
      </c>
      <c r="I2135" t="n">
        <v>0</v>
      </c>
      <c r="J2135" t="n">
        <v>0</v>
      </c>
      <c r="K2135" t="n">
        <v>0</v>
      </c>
      <c r="L2135" t="n">
        <v>0</v>
      </c>
      <c r="M2135" t="n">
        <v>0</v>
      </c>
      <c r="N2135" t="n">
        <v>0</v>
      </c>
      <c r="O2135" t="n">
        <v>0</v>
      </c>
      <c r="P2135" t="n">
        <v>0</v>
      </c>
      <c r="Q2135" t="n">
        <v>0</v>
      </c>
      <c r="R2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2024-10-23T13:17:07Z</dcterms:created>
  <dcterms:modified xmlns:dcterms="http://purl.org/dc/terms/" xmlns:xsi="http://www.w3.org/2001/XMLSchema-instance" xsi:type="dcterms:W3CDTF">2024-10-23T13:17:09Z</dcterms:modified>
</cp:coreProperties>
</file>