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45750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45750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45750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45750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45750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45750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45750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45750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45750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45750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45750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45750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45750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45750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45750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45750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45750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45750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45750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45750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45750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45750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45750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45750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45750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45750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45750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45750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45750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45750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45750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45750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45750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45750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45750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45750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45750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45750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45750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45750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45750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45750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45750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45750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45750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45750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45750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45750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45750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45750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45750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45750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45750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45750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45750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45750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45750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45750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45750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45750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45750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45750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45750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45750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45750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45750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45750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45750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45750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45750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45750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45750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45750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45750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45750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45750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45750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45750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45750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45750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45750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45750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45750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45750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45750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45750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45750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45750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45750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45750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45750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45750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45750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45750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45750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45750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45750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45750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45750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45750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45750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45750</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45750</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45750</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45750</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45750</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45750</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45750</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45750</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45750</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45750</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45750</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45750</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45750</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45750</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45750</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45750</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45750</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45750</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45750</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45750</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45750</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45750</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45750</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45750</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45750</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45750</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45750</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45750</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45750</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45750</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45750</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45750</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45750</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45750</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45750</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45750</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45750</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45750</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45750</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45750</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45750</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HYPERLINK("https://klasma.github.io/Logging_222260/artfynd/A 11029-2025 artfynd.xlsx", "A 11029-2025")</f>
        <v/>
      </c>
      <c r="T146">
        <f>HYPERLINK("https://klasma.github.io/Logging_222260/kartor/A 11029-2025 karta.png", "A 11029-2025")</f>
        <v/>
      </c>
      <c r="U146">
        <f>HYPERLINK("https://klasma.github.io/Logging_222260/knärot/A 11029-2025 karta knärot.png", "A 11029-2025")</f>
        <v/>
      </c>
      <c r="V146">
        <f>HYPERLINK("https://klasma.github.io/Logging_222260/klagomål/A 11029-2025 FSC-klagomål.docx", "A 11029-2025")</f>
        <v/>
      </c>
      <c r="W146">
        <f>HYPERLINK("https://klasma.github.io/Logging_222260/klagomålsmail/A 11029-2025 FSC-klagomål mail.docx", "A 11029-2025")</f>
        <v/>
      </c>
      <c r="X146">
        <f>HYPERLINK("https://klasma.github.io/Logging_222260/tillsyn/A 11029-2025 tillsynsbegäran.docx", "A 11029-2025")</f>
        <v/>
      </c>
      <c r="Y146">
        <f>HYPERLINK("https://klasma.github.io/Logging_222260/tillsynsmail/A 11029-2025 tillsynsbegäran mail.docx", "A 11029-2025")</f>
        <v/>
      </c>
    </row>
    <row r="147" ht="15" customHeight="1">
      <c r="A147" t="inlineStr">
        <is>
          <t>A 15666-2021</t>
        </is>
      </c>
      <c r="B147" s="1" t="n">
        <v>44285</v>
      </c>
      <c r="C147" s="1" t="n">
        <v>45750</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45750</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45750</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45750</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45750</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45750</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45750</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45750</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45750</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45750</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45750</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45750</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45750</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45750</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45750</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45750</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45750</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45750</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45750</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45750</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45750</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45750</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45750</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45750</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45750</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45750</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45750</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45750</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45750</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45750</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45750</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45750</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45750</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45750</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45750</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45750</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45750</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45750</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45750</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45750</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45750</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45750</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45750</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45750</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45750</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45750</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45750</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45750</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45750</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45750</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45750</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45750</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45750</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45750</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45750</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45750</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45750</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45750</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45750</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45750</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45750</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45750</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45750</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45750</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45750</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45750</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45750</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45750</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45750</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45750</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45750</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45750</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45750</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45750</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45750</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45750</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45750</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45750</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45750</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45750</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45750</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45750</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45750</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45750</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45750</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45750</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45750</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45750</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45750</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45750</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45750</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45750</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45750</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45750</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45750</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45750</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45750</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45750</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45750</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45750</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45750</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45750</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45750</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45750</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45750</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45750</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45750</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45750</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45750</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45750</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45750</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45750</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45750</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45750</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45750</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45750</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45750</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45750</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45750</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45750</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45750</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45750</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45750</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45750</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45750</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45750</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45750</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45750</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45750</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45750</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45750</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45750</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45750</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45750</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45750</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45750</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45750</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30774-2024</t>
        </is>
      </c>
      <c r="B284" s="1" t="n">
        <v>45497</v>
      </c>
      <c r="C284" s="1" t="n">
        <v>45750</v>
      </c>
      <c r="D284" t="inlineStr">
        <is>
          <t>VÄSTERNORRLANDS LÄN</t>
        </is>
      </c>
      <c r="E284" t="inlineStr">
        <is>
          <t>ÅNGE</t>
        </is>
      </c>
      <c r="F284" t="inlineStr">
        <is>
          <t>SCA</t>
        </is>
      </c>
      <c r="G284" t="n">
        <v>2.2</v>
      </c>
      <c r="H284" t="n">
        <v>1</v>
      </c>
      <c r="I284" t="n">
        <v>0</v>
      </c>
      <c r="J284" t="n">
        <v>0</v>
      </c>
      <c r="K284" t="n">
        <v>0</v>
      </c>
      <c r="L284" t="n">
        <v>0</v>
      </c>
      <c r="M284" t="n">
        <v>0</v>
      </c>
      <c r="N284" t="n">
        <v>0</v>
      </c>
      <c r="O284" t="n">
        <v>0</v>
      </c>
      <c r="P284" t="n">
        <v>0</v>
      </c>
      <c r="Q284" t="n">
        <v>1</v>
      </c>
      <c r="R284" s="2" t="inlineStr">
        <is>
          <t>Tjäder</t>
        </is>
      </c>
      <c r="S284">
        <f>HYPERLINK("https://klasma.github.io/Logging_2260/artfynd/A 30774-2024 artfynd.xlsx", "A 30774-2024")</f>
        <v/>
      </c>
      <c r="T284">
        <f>HYPERLINK("https://klasma.github.io/Logging_2260/kartor/A 30774-2024 karta.png", "A 30774-2024")</f>
        <v/>
      </c>
      <c r="V284">
        <f>HYPERLINK("https://klasma.github.io/Logging_2260/klagomål/A 30774-2024 FSC-klagomål.docx", "A 30774-2024")</f>
        <v/>
      </c>
      <c r="W284">
        <f>HYPERLINK("https://klasma.github.io/Logging_2260/klagomålsmail/A 30774-2024 FSC-klagomål mail.docx", "A 30774-2024")</f>
        <v/>
      </c>
      <c r="X284">
        <f>HYPERLINK("https://klasma.github.io/Logging_2260/tillsyn/A 30774-2024 tillsynsbegäran.docx", "A 30774-2024")</f>
        <v/>
      </c>
      <c r="Y284">
        <f>HYPERLINK("https://klasma.github.io/Logging_2260/tillsynsmail/A 30774-2024 tillsynsbegäran mail.docx", "A 30774-2024")</f>
        <v/>
      </c>
      <c r="Z284">
        <f>HYPERLINK("https://klasma.github.io/Logging_2260/fåglar/A 30774-2024 prioriterade fågelarter.docx", "A 30774-2024")</f>
        <v/>
      </c>
    </row>
    <row r="285" ht="15" customHeight="1">
      <c r="A285" t="inlineStr">
        <is>
          <t>A 31544-2024</t>
        </is>
      </c>
      <c r="B285" s="1" t="n">
        <v>45505</v>
      </c>
      <c r="C285" s="1" t="n">
        <v>45750</v>
      </c>
      <c r="D285" t="inlineStr">
        <is>
          <t>VÄSTERNORRLANDS LÄN</t>
        </is>
      </c>
      <c r="E285" t="inlineStr">
        <is>
          <t>ÅNGE</t>
        </is>
      </c>
      <c r="F285" t="inlineStr">
        <is>
          <t>SCA</t>
        </is>
      </c>
      <c r="G285" t="n">
        <v>3.5</v>
      </c>
      <c r="H285" t="n">
        <v>0</v>
      </c>
      <c r="I285" t="n">
        <v>0</v>
      </c>
      <c r="J285" t="n">
        <v>1</v>
      </c>
      <c r="K285" t="n">
        <v>0</v>
      </c>
      <c r="L285" t="n">
        <v>0</v>
      </c>
      <c r="M285" t="n">
        <v>0</v>
      </c>
      <c r="N285" t="n">
        <v>0</v>
      </c>
      <c r="O285" t="n">
        <v>1</v>
      </c>
      <c r="P285" t="n">
        <v>0</v>
      </c>
      <c r="Q285" t="n">
        <v>1</v>
      </c>
      <c r="R285" s="2" t="inlineStr">
        <is>
          <t>Granticka</t>
        </is>
      </c>
      <c r="S285">
        <f>HYPERLINK("https://klasma.github.io/Logging_2260/artfynd/A 31544-2024 artfynd.xlsx", "A 31544-2024")</f>
        <v/>
      </c>
      <c r="T285">
        <f>HYPERLINK("https://klasma.github.io/Logging_2260/kartor/A 31544-2024 karta.png", "A 31544-2024")</f>
        <v/>
      </c>
      <c r="V285">
        <f>HYPERLINK("https://klasma.github.io/Logging_2260/klagomål/A 31544-2024 FSC-klagomål.docx", "A 31544-2024")</f>
        <v/>
      </c>
      <c r="W285">
        <f>HYPERLINK("https://klasma.github.io/Logging_2260/klagomålsmail/A 31544-2024 FSC-klagomål mail.docx", "A 31544-2024")</f>
        <v/>
      </c>
      <c r="X285">
        <f>HYPERLINK("https://klasma.github.io/Logging_2260/tillsyn/A 31544-2024 tillsynsbegäran.docx", "A 31544-2024")</f>
        <v/>
      </c>
      <c r="Y285">
        <f>HYPERLINK("https://klasma.github.io/Logging_2260/tillsynsmail/A 31544-2024 tillsynsbegäran mail.docx", "A 31544-2024")</f>
        <v/>
      </c>
    </row>
    <row r="286" ht="15" customHeight="1">
      <c r="A286" t="inlineStr">
        <is>
          <t>A 31510-2024</t>
        </is>
      </c>
      <c r="B286" s="1" t="n">
        <v>45505</v>
      </c>
      <c r="C286" s="1" t="n">
        <v>45750</v>
      </c>
      <c r="D286" t="inlineStr">
        <is>
          <t>VÄSTERNORRLANDS LÄN</t>
        </is>
      </c>
      <c r="E286" t="inlineStr">
        <is>
          <t>ÅNGE</t>
        </is>
      </c>
      <c r="F286" t="inlineStr">
        <is>
          <t>SCA</t>
        </is>
      </c>
      <c r="G286" t="n">
        <v>6</v>
      </c>
      <c r="H286" t="n">
        <v>1</v>
      </c>
      <c r="I286" t="n">
        <v>0</v>
      </c>
      <c r="J286" t="n">
        <v>0</v>
      </c>
      <c r="K286" t="n">
        <v>1</v>
      </c>
      <c r="L286" t="n">
        <v>0</v>
      </c>
      <c r="M286" t="n">
        <v>0</v>
      </c>
      <c r="N286" t="n">
        <v>0</v>
      </c>
      <c r="O286" t="n">
        <v>1</v>
      </c>
      <c r="P286" t="n">
        <v>1</v>
      </c>
      <c r="Q286" t="n">
        <v>1</v>
      </c>
      <c r="R286" s="2" t="inlineStr">
        <is>
          <t>Doftticka</t>
        </is>
      </c>
      <c r="S286">
        <f>HYPERLINK("https://klasma.github.io/Logging_2260/artfynd/A 31510-2024 artfynd.xlsx", "A 31510-2024")</f>
        <v/>
      </c>
      <c r="T286">
        <f>HYPERLINK("https://klasma.github.io/Logging_2260/kartor/A 31510-2024 karta.png", "A 31510-2024")</f>
        <v/>
      </c>
      <c r="V286">
        <f>HYPERLINK("https://klasma.github.io/Logging_2260/klagomål/A 31510-2024 FSC-klagomål.docx", "A 31510-2024")</f>
        <v/>
      </c>
      <c r="W286">
        <f>HYPERLINK("https://klasma.github.io/Logging_2260/klagomålsmail/A 31510-2024 FSC-klagomål mail.docx", "A 31510-2024")</f>
        <v/>
      </c>
      <c r="X286">
        <f>HYPERLINK("https://klasma.github.io/Logging_2260/tillsyn/A 31510-2024 tillsynsbegäran.docx", "A 31510-2024")</f>
        <v/>
      </c>
      <c r="Y286">
        <f>HYPERLINK("https://klasma.github.io/Logging_2260/tillsynsmail/A 31510-2024 tillsynsbegäran mail.docx", "A 31510-2024")</f>
        <v/>
      </c>
    </row>
    <row r="287" ht="15" customHeight="1">
      <c r="A287" t="inlineStr">
        <is>
          <t>A 31878-2024</t>
        </is>
      </c>
      <c r="B287" s="1" t="n">
        <v>45509</v>
      </c>
      <c r="C287" s="1" t="n">
        <v>45750</v>
      </c>
      <c r="D287" t="inlineStr">
        <is>
          <t>VÄSTERNORRLANDS LÄN</t>
        </is>
      </c>
      <c r="E287" t="inlineStr">
        <is>
          <t>ÅNGE</t>
        </is>
      </c>
      <c r="F287" t="inlineStr">
        <is>
          <t>SCA</t>
        </is>
      </c>
      <c r="G287" t="n">
        <v>5.1</v>
      </c>
      <c r="H287" t="n">
        <v>0</v>
      </c>
      <c r="I287" t="n">
        <v>1</v>
      </c>
      <c r="J287" t="n">
        <v>0</v>
      </c>
      <c r="K287" t="n">
        <v>0</v>
      </c>
      <c r="L287" t="n">
        <v>0</v>
      </c>
      <c r="M287" t="n">
        <v>0</v>
      </c>
      <c r="N287" t="n">
        <v>0</v>
      </c>
      <c r="O287" t="n">
        <v>0</v>
      </c>
      <c r="P287" t="n">
        <v>0</v>
      </c>
      <c r="Q287" t="n">
        <v>1</v>
      </c>
      <c r="R287" s="2" t="inlineStr">
        <is>
          <t>Grönpyrola</t>
        </is>
      </c>
      <c r="S287">
        <f>HYPERLINK("https://klasma.github.io/Logging_2260/artfynd/A 31878-2024 artfynd.xlsx", "A 31878-2024")</f>
        <v/>
      </c>
      <c r="T287">
        <f>HYPERLINK("https://klasma.github.io/Logging_2260/kartor/A 31878-2024 karta.png", "A 31878-2024")</f>
        <v/>
      </c>
      <c r="V287">
        <f>HYPERLINK("https://klasma.github.io/Logging_2260/klagomål/A 31878-2024 FSC-klagomål.docx", "A 31878-2024")</f>
        <v/>
      </c>
      <c r="W287">
        <f>HYPERLINK("https://klasma.github.io/Logging_2260/klagomålsmail/A 31878-2024 FSC-klagomål mail.docx", "A 31878-2024")</f>
        <v/>
      </c>
      <c r="X287">
        <f>HYPERLINK("https://klasma.github.io/Logging_2260/tillsyn/A 31878-2024 tillsynsbegäran.docx", "A 31878-2024")</f>
        <v/>
      </c>
      <c r="Y287">
        <f>HYPERLINK("https://klasma.github.io/Logging_2260/tillsynsmail/A 31878-2024 tillsynsbegäran mail.docx", "A 31878-2024")</f>
        <v/>
      </c>
    </row>
    <row r="288" ht="15" customHeight="1">
      <c r="A288" t="inlineStr">
        <is>
          <t>A 31877-2024</t>
        </is>
      </c>
      <c r="B288" s="1" t="n">
        <v>45509</v>
      </c>
      <c r="C288" s="1" t="n">
        <v>45750</v>
      </c>
      <c r="D288" t="inlineStr">
        <is>
          <t>VÄSTERNORRLANDS LÄN</t>
        </is>
      </c>
      <c r="E288" t="inlineStr">
        <is>
          <t>ÅNGE</t>
        </is>
      </c>
      <c r="F288" t="inlineStr">
        <is>
          <t>SCA</t>
        </is>
      </c>
      <c r="G288" t="n">
        <v>8</v>
      </c>
      <c r="H288" t="n">
        <v>1</v>
      </c>
      <c r="I288" t="n">
        <v>0</v>
      </c>
      <c r="J288" t="n">
        <v>0</v>
      </c>
      <c r="K288" t="n">
        <v>1</v>
      </c>
      <c r="L288" t="n">
        <v>0</v>
      </c>
      <c r="M288" t="n">
        <v>0</v>
      </c>
      <c r="N288" t="n">
        <v>0</v>
      </c>
      <c r="O288" t="n">
        <v>1</v>
      </c>
      <c r="P288" t="n">
        <v>1</v>
      </c>
      <c r="Q288" t="n">
        <v>1</v>
      </c>
      <c r="R288" s="2" t="inlineStr">
        <is>
          <t>Knärot</t>
        </is>
      </c>
      <c r="S288">
        <f>HYPERLINK("https://klasma.github.io/Logging_2260/artfynd/A 31877-2024 artfynd.xlsx", "A 31877-2024")</f>
        <v/>
      </c>
      <c r="T288">
        <f>HYPERLINK("https://klasma.github.io/Logging_2260/kartor/A 31877-2024 karta.png", "A 31877-2024")</f>
        <v/>
      </c>
      <c r="U288">
        <f>HYPERLINK("https://klasma.github.io/Logging_2260/knärot/A 31877-2024 karta knärot.png", "A 31877-2024")</f>
        <v/>
      </c>
      <c r="V288">
        <f>HYPERLINK("https://klasma.github.io/Logging_2260/klagomål/A 31877-2024 FSC-klagomål.docx", "A 31877-2024")</f>
        <v/>
      </c>
      <c r="W288">
        <f>HYPERLINK("https://klasma.github.io/Logging_2260/klagomålsmail/A 31877-2024 FSC-klagomål mail.docx", "A 31877-2024")</f>
        <v/>
      </c>
      <c r="X288">
        <f>HYPERLINK("https://klasma.github.io/Logging_2260/tillsyn/A 31877-2024 tillsynsbegäran.docx", "A 31877-2024")</f>
        <v/>
      </c>
      <c r="Y288">
        <f>HYPERLINK("https://klasma.github.io/Logging_2260/tillsynsmail/A 31877-2024 tillsynsbegäran mail.docx", "A 31877-2024")</f>
        <v/>
      </c>
    </row>
    <row r="289" ht="15" customHeight="1">
      <c r="A289" t="inlineStr">
        <is>
          <t>A 32457-2024</t>
        </is>
      </c>
      <c r="B289" s="1" t="n">
        <v>45512</v>
      </c>
      <c r="C289" s="1" t="n">
        <v>45750</v>
      </c>
      <c r="D289" t="inlineStr">
        <is>
          <t>VÄSTERNORRLANDS LÄN</t>
        </is>
      </c>
      <c r="E289" t="inlineStr">
        <is>
          <t>ÅNGE</t>
        </is>
      </c>
      <c r="F289" t="inlineStr">
        <is>
          <t>SCA</t>
        </is>
      </c>
      <c r="G289" t="n">
        <v>1.3</v>
      </c>
      <c r="H289" t="n">
        <v>0</v>
      </c>
      <c r="I289" t="n">
        <v>0</v>
      </c>
      <c r="J289" t="n">
        <v>1</v>
      </c>
      <c r="K289" t="n">
        <v>0</v>
      </c>
      <c r="L289" t="n">
        <v>0</v>
      </c>
      <c r="M289" t="n">
        <v>0</v>
      </c>
      <c r="N289" t="n">
        <v>0</v>
      </c>
      <c r="O289" t="n">
        <v>1</v>
      </c>
      <c r="P289" t="n">
        <v>0</v>
      </c>
      <c r="Q289" t="n">
        <v>1</v>
      </c>
      <c r="R289" s="2" t="inlineStr">
        <is>
          <t>Ullticka</t>
        </is>
      </c>
      <c r="S289">
        <f>HYPERLINK("https://klasma.github.io/Logging_2260/artfynd/A 32457-2024 artfynd.xlsx", "A 32457-2024")</f>
        <v/>
      </c>
      <c r="T289">
        <f>HYPERLINK("https://klasma.github.io/Logging_2260/kartor/A 32457-2024 karta.png", "A 32457-2024")</f>
        <v/>
      </c>
      <c r="V289">
        <f>HYPERLINK("https://klasma.github.io/Logging_2260/klagomål/A 32457-2024 FSC-klagomål.docx", "A 32457-2024")</f>
        <v/>
      </c>
      <c r="W289">
        <f>HYPERLINK("https://klasma.github.io/Logging_2260/klagomålsmail/A 32457-2024 FSC-klagomål mail.docx", "A 32457-2024")</f>
        <v/>
      </c>
      <c r="X289">
        <f>HYPERLINK("https://klasma.github.io/Logging_2260/tillsyn/A 32457-2024 tillsynsbegäran.docx", "A 32457-2024")</f>
        <v/>
      </c>
      <c r="Y289">
        <f>HYPERLINK("https://klasma.github.io/Logging_2260/tillsynsmail/A 32457-2024 tillsynsbegäran mail.docx", "A 32457-2024")</f>
        <v/>
      </c>
    </row>
    <row r="290" ht="15" customHeight="1">
      <c r="A290" t="inlineStr">
        <is>
          <t>A 33309-2024</t>
        </is>
      </c>
      <c r="B290" s="1" t="n">
        <v>45518</v>
      </c>
      <c r="C290" s="1" t="n">
        <v>45750</v>
      </c>
      <c r="D290" t="inlineStr">
        <is>
          <t>VÄSTERNORRLANDS LÄN</t>
        </is>
      </c>
      <c r="E290" t="inlineStr">
        <is>
          <t>ÅNGE</t>
        </is>
      </c>
      <c r="F290" t="inlineStr">
        <is>
          <t>SCA</t>
        </is>
      </c>
      <c r="G290" t="n">
        <v>12.8</v>
      </c>
      <c r="H290" t="n">
        <v>1</v>
      </c>
      <c r="I290" t="n">
        <v>0</v>
      </c>
      <c r="J290" t="n">
        <v>0</v>
      </c>
      <c r="K290" t="n">
        <v>1</v>
      </c>
      <c r="L290" t="n">
        <v>0</v>
      </c>
      <c r="M290" t="n">
        <v>0</v>
      </c>
      <c r="N290" t="n">
        <v>0</v>
      </c>
      <c r="O290" t="n">
        <v>1</v>
      </c>
      <c r="P290" t="n">
        <v>1</v>
      </c>
      <c r="Q290" t="n">
        <v>1</v>
      </c>
      <c r="R290" s="2" t="inlineStr">
        <is>
          <t>Knärot</t>
        </is>
      </c>
      <c r="S290">
        <f>HYPERLINK("https://klasma.github.io/Logging_2260/artfynd/A 33309-2024 artfynd.xlsx", "A 33309-2024")</f>
        <v/>
      </c>
      <c r="T290">
        <f>HYPERLINK("https://klasma.github.io/Logging_2260/kartor/A 33309-2024 karta.png", "A 33309-2024")</f>
        <v/>
      </c>
      <c r="U290">
        <f>HYPERLINK("https://klasma.github.io/Logging_2260/knärot/A 33309-2024 karta knärot.png", "A 33309-2024")</f>
        <v/>
      </c>
      <c r="V290">
        <f>HYPERLINK("https://klasma.github.io/Logging_2260/klagomål/A 33309-2024 FSC-klagomål.docx", "A 33309-2024")</f>
        <v/>
      </c>
      <c r="W290">
        <f>HYPERLINK("https://klasma.github.io/Logging_2260/klagomålsmail/A 33309-2024 FSC-klagomål mail.docx", "A 33309-2024")</f>
        <v/>
      </c>
      <c r="X290">
        <f>HYPERLINK("https://klasma.github.io/Logging_2260/tillsyn/A 33309-2024 tillsynsbegäran.docx", "A 33309-2024")</f>
        <v/>
      </c>
      <c r="Y290">
        <f>HYPERLINK("https://klasma.github.io/Logging_2260/tillsynsmail/A 33309-2024 tillsynsbegäran mail.docx", "A 33309-2024")</f>
        <v/>
      </c>
    </row>
    <row r="291" ht="15" customHeight="1">
      <c r="A291" t="inlineStr">
        <is>
          <t>A 34696-2024</t>
        </is>
      </c>
      <c r="B291" s="1" t="n">
        <v>45526</v>
      </c>
      <c r="C291" s="1" t="n">
        <v>45750</v>
      </c>
      <c r="D291" t="inlineStr">
        <is>
          <t>VÄSTERNORRLANDS LÄN</t>
        </is>
      </c>
      <c r="E291" t="inlineStr">
        <is>
          <t>ÅNGE</t>
        </is>
      </c>
      <c r="G291" t="n">
        <v>3.6</v>
      </c>
      <c r="H291" t="n">
        <v>1</v>
      </c>
      <c r="I291" t="n">
        <v>0</v>
      </c>
      <c r="J291" t="n">
        <v>0</v>
      </c>
      <c r="K291" t="n">
        <v>0</v>
      </c>
      <c r="L291" t="n">
        <v>0</v>
      </c>
      <c r="M291" t="n">
        <v>0</v>
      </c>
      <c r="N291" t="n">
        <v>0</v>
      </c>
      <c r="O291" t="n">
        <v>0</v>
      </c>
      <c r="P291" t="n">
        <v>0</v>
      </c>
      <c r="Q291" t="n">
        <v>1</v>
      </c>
      <c r="R291" s="2" t="inlineStr">
        <is>
          <t>Revlummer</t>
        </is>
      </c>
      <c r="S291">
        <f>HYPERLINK("https://klasma.github.io/Logging_2260/artfynd/A 34696-2024 artfynd.xlsx", "A 34696-2024")</f>
        <v/>
      </c>
      <c r="T291">
        <f>HYPERLINK("https://klasma.github.io/Logging_2260/kartor/A 34696-2024 karta.png", "A 34696-2024")</f>
        <v/>
      </c>
      <c r="V291">
        <f>HYPERLINK("https://klasma.github.io/Logging_2260/klagomål/A 34696-2024 FSC-klagomål.docx", "A 34696-2024")</f>
        <v/>
      </c>
      <c r="W291">
        <f>HYPERLINK("https://klasma.github.io/Logging_2260/klagomålsmail/A 34696-2024 FSC-klagomål mail.docx", "A 34696-2024")</f>
        <v/>
      </c>
      <c r="X291">
        <f>HYPERLINK("https://klasma.github.io/Logging_2260/tillsyn/A 34696-2024 tillsynsbegäran.docx", "A 34696-2024")</f>
        <v/>
      </c>
      <c r="Y291">
        <f>HYPERLINK("https://klasma.github.io/Logging_2260/tillsynsmail/A 34696-2024 tillsynsbegäran mail.docx", "A 34696-2024")</f>
        <v/>
      </c>
    </row>
    <row r="292" ht="15" customHeight="1">
      <c r="A292" t="inlineStr">
        <is>
          <t>A 35594-2024</t>
        </is>
      </c>
      <c r="B292" s="1" t="n">
        <v>45531</v>
      </c>
      <c r="C292" s="1" t="n">
        <v>45750</v>
      </c>
      <c r="D292" t="inlineStr">
        <is>
          <t>VÄSTERNORRLANDS LÄN</t>
        </is>
      </c>
      <c r="E292" t="inlineStr">
        <is>
          <t>ÅNGE</t>
        </is>
      </c>
      <c r="F292" t="inlineStr">
        <is>
          <t>SCA</t>
        </is>
      </c>
      <c r="G292" t="n">
        <v>8.4</v>
      </c>
      <c r="H292" t="n">
        <v>1</v>
      </c>
      <c r="I292" t="n">
        <v>0</v>
      </c>
      <c r="J292" t="n">
        <v>0</v>
      </c>
      <c r="K292" t="n">
        <v>1</v>
      </c>
      <c r="L292" t="n">
        <v>0</v>
      </c>
      <c r="M292" t="n">
        <v>0</v>
      </c>
      <c r="N292" t="n">
        <v>0</v>
      </c>
      <c r="O292" t="n">
        <v>1</v>
      </c>
      <c r="P292" t="n">
        <v>1</v>
      </c>
      <c r="Q292" t="n">
        <v>1</v>
      </c>
      <c r="R292" s="2" t="inlineStr">
        <is>
          <t>Knärot</t>
        </is>
      </c>
      <c r="S292">
        <f>HYPERLINK("https://klasma.github.io/Logging_2260/artfynd/A 35594-2024 artfynd.xlsx", "A 35594-2024")</f>
        <v/>
      </c>
      <c r="T292">
        <f>HYPERLINK("https://klasma.github.io/Logging_2260/kartor/A 35594-2024 karta.png", "A 35594-2024")</f>
        <v/>
      </c>
      <c r="U292">
        <f>HYPERLINK("https://klasma.github.io/Logging_2260/knärot/A 35594-2024 karta knärot.png", "A 35594-2024")</f>
        <v/>
      </c>
      <c r="V292">
        <f>HYPERLINK("https://klasma.github.io/Logging_2260/klagomål/A 35594-2024 FSC-klagomål.docx", "A 35594-2024")</f>
        <v/>
      </c>
      <c r="W292">
        <f>HYPERLINK("https://klasma.github.io/Logging_2260/klagomålsmail/A 35594-2024 FSC-klagomål mail.docx", "A 35594-2024")</f>
        <v/>
      </c>
      <c r="X292">
        <f>HYPERLINK("https://klasma.github.io/Logging_2260/tillsyn/A 35594-2024 tillsynsbegäran.docx", "A 35594-2024")</f>
        <v/>
      </c>
      <c r="Y292">
        <f>HYPERLINK("https://klasma.github.io/Logging_2260/tillsynsmail/A 35594-2024 tillsynsbegäran mail.docx", "A 35594-2024")</f>
        <v/>
      </c>
    </row>
    <row r="293" ht="15" customHeight="1">
      <c r="A293" t="inlineStr">
        <is>
          <t>A 36116-2024</t>
        </is>
      </c>
      <c r="B293" s="1" t="n">
        <v>45534</v>
      </c>
      <c r="C293" s="1" t="n">
        <v>45750</v>
      </c>
      <c r="D293" t="inlineStr">
        <is>
          <t>VÄSTERNORRLANDS LÄN</t>
        </is>
      </c>
      <c r="E293" t="inlineStr">
        <is>
          <t>ÅNGE</t>
        </is>
      </c>
      <c r="F293" t="inlineStr">
        <is>
          <t>Sveaskog</t>
        </is>
      </c>
      <c r="G293" t="n">
        <v>5.2</v>
      </c>
      <c r="H293" t="n">
        <v>0</v>
      </c>
      <c r="I293" t="n">
        <v>1</v>
      </c>
      <c r="J293" t="n">
        <v>0</v>
      </c>
      <c r="K293" t="n">
        <v>0</v>
      </c>
      <c r="L293" t="n">
        <v>0</v>
      </c>
      <c r="M293" t="n">
        <v>0</v>
      </c>
      <c r="N293" t="n">
        <v>0</v>
      </c>
      <c r="O293" t="n">
        <v>0</v>
      </c>
      <c r="P293" t="n">
        <v>0</v>
      </c>
      <c r="Q293" t="n">
        <v>1</v>
      </c>
      <c r="R293" s="2" t="inlineStr">
        <is>
          <t>Dropptaggsvamp</t>
        </is>
      </c>
      <c r="S293">
        <f>HYPERLINK("https://klasma.github.io/Logging_2260/artfynd/A 36116-2024 artfynd.xlsx", "A 36116-2024")</f>
        <v/>
      </c>
      <c r="T293">
        <f>HYPERLINK("https://klasma.github.io/Logging_2260/kartor/A 36116-2024 karta.png", "A 36116-2024")</f>
        <v/>
      </c>
      <c r="V293">
        <f>HYPERLINK("https://klasma.github.io/Logging_2260/klagomål/A 36116-2024 FSC-klagomål.docx", "A 36116-2024")</f>
        <v/>
      </c>
      <c r="W293">
        <f>HYPERLINK("https://klasma.github.io/Logging_2260/klagomålsmail/A 36116-2024 FSC-klagomål mail.docx", "A 36116-2024")</f>
        <v/>
      </c>
      <c r="X293">
        <f>HYPERLINK("https://klasma.github.io/Logging_2260/tillsyn/A 36116-2024 tillsynsbegäran.docx", "A 36116-2024")</f>
        <v/>
      </c>
      <c r="Y293">
        <f>HYPERLINK("https://klasma.github.io/Logging_2260/tillsynsmail/A 36116-2024 tillsynsbegäran mail.docx", "A 36116-2024")</f>
        <v/>
      </c>
    </row>
    <row r="294" ht="15" customHeight="1">
      <c r="A294" t="inlineStr">
        <is>
          <t>A 37914-2024</t>
        </is>
      </c>
      <c r="B294" s="1" t="n">
        <v>45544</v>
      </c>
      <c r="C294" s="1" t="n">
        <v>45750</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Granticka</t>
        </is>
      </c>
      <c r="S294">
        <f>HYPERLINK("https://klasma.github.io/Logging_2260/artfynd/A 37914-2024 artfynd.xlsx", "A 37914-2024")</f>
        <v/>
      </c>
      <c r="T294">
        <f>HYPERLINK("https://klasma.github.io/Logging_2260/kartor/A 37914-2024 karta.png", "A 37914-2024")</f>
        <v/>
      </c>
      <c r="V294">
        <f>HYPERLINK("https://klasma.github.io/Logging_2260/klagomål/A 37914-2024 FSC-klagomål.docx", "A 37914-2024")</f>
        <v/>
      </c>
      <c r="W294">
        <f>HYPERLINK("https://klasma.github.io/Logging_2260/klagomålsmail/A 37914-2024 FSC-klagomål mail.docx", "A 37914-2024")</f>
        <v/>
      </c>
      <c r="X294">
        <f>HYPERLINK("https://klasma.github.io/Logging_2260/tillsyn/A 37914-2024 tillsynsbegäran.docx", "A 37914-2024")</f>
        <v/>
      </c>
      <c r="Y294">
        <f>HYPERLINK("https://klasma.github.io/Logging_2260/tillsynsmail/A 37914-2024 tillsynsbegäran mail.docx", "A 37914-2024")</f>
        <v/>
      </c>
    </row>
    <row r="295" ht="15" customHeight="1">
      <c r="A295" t="inlineStr">
        <is>
          <t>A 38606-2024</t>
        </is>
      </c>
      <c r="B295" s="1" t="n">
        <v>45546</v>
      </c>
      <c r="C295" s="1" t="n">
        <v>45750</v>
      </c>
      <c r="D295" t="inlineStr">
        <is>
          <t>VÄSTERNORRLANDS LÄN</t>
        </is>
      </c>
      <c r="E295" t="inlineStr">
        <is>
          <t>ÅNGE</t>
        </is>
      </c>
      <c r="F295" t="inlineStr">
        <is>
          <t>SCA</t>
        </is>
      </c>
      <c r="G295" t="n">
        <v>2.4</v>
      </c>
      <c r="H295" t="n">
        <v>0</v>
      </c>
      <c r="I295" t="n">
        <v>0</v>
      </c>
      <c r="J295" t="n">
        <v>1</v>
      </c>
      <c r="K295" t="n">
        <v>0</v>
      </c>
      <c r="L295" t="n">
        <v>0</v>
      </c>
      <c r="M295" t="n">
        <v>0</v>
      </c>
      <c r="N295" t="n">
        <v>0</v>
      </c>
      <c r="O295" t="n">
        <v>1</v>
      </c>
      <c r="P295" t="n">
        <v>0</v>
      </c>
      <c r="Q295" t="n">
        <v>1</v>
      </c>
      <c r="R295" s="2" t="inlineStr">
        <is>
          <t>Ullticka</t>
        </is>
      </c>
      <c r="S295">
        <f>HYPERLINK("https://klasma.github.io/Logging_2260/artfynd/A 38606-2024 artfynd.xlsx", "A 38606-2024")</f>
        <v/>
      </c>
      <c r="T295">
        <f>HYPERLINK("https://klasma.github.io/Logging_2260/kartor/A 38606-2024 karta.png", "A 38606-2024")</f>
        <v/>
      </c>
      <c r="V295">
        <f>HYPERLINK("https://klasma.github.io/Logging_2260/klagomål/A 38606-2024 FSC-klagomål.docx", "A 38606-2024")</f>
        <v/>
      </c>
      <c r="W295">
        <f>HYPERLINK("https://klasma.github.io/Logging_2260/klagomålsmail/A 38606-2024 FSC-klagomål mail.docx", "A 38606-2024")</f>
        <v/>
      </c>
      <c r="X295">
        <f>HYPERLINK("https://klasma.github.io/Logging_2260/tillsyn/A 38606-2024 tillsynsbegäran.docx", "A 38606-2024")</f>
        <v/>
      </c>
      <c r="Y295">
        <f>HYPERLINK("https://klasma.github.io/Logging_2260/tillsynsmail/A 38606-2024 tillsynsbegäran mail.docx", "A 38606-2024")</f>
        <v/>
      </c>
    </row>
    <row r="296" ht="15" customHeight="1">
      <c r="A296" t="inlineStr">
        <is>
          <t>A 38603-2024</t>
        </is>
      </c>
      <c r="B296" s="1" t="n">
        <v>45546</v>
      </c>
      <c r="C296" s="1" t="n">
        <v>45750</v>
      </c>
      <c r="D296" t="inlineStr">
        <is>
          <t>VÄSTERNORRLANDS LÄN</t>
        </is>
      </c>
      <c r="E296" t="inlineStr">
        <is>
          <t>ÅNGE</t>
        </is>
      </c>
      <c r="F296" t="inlineStr">
        <is>
          <t>SCA</t>
        </is>
      </c>
      <c r="G296" t="n">
        <v>5.6</v>
      </c>
      <c r="H296" t="n">
        <v>0</v>
      </c>
      <c r="I296" t="n">
        <v>0</v>
      </c>
      <c r="J296" t="n">
        <v>0</v>
      </c>
      <c r="K296" t="n">
        <v>1</v>
      </c>
      <c r="L296" t="n">
        <v>0</v>
      </c>
      <c r="M296" t="n">
        <v>0</v>
      </c>
      <c r="N296" t="n">
        <v>0</v>
      </c>
      <c r="O296" t="n">
        <v>1</v>
      </c>
      <c r="P296" t="n">
        <v>1</v>
      </c>
      <c r="Q296" t="n">
        <v>1</v>
      </c>
      <c r="R296" s="2" t="inlineStr">
        <is>
          <t>Rynkskinn</t>
        </is>
      </c>
      <c r="S296">
        <f>HYPERLINK("https://klasma.github.io/Logging_2260/artfynd/A 38603-2024 artfynd.xlsx", "A 38603-2024")</f>
        <v/>
      </c>
      <c r="T296">
        <f>HYPERLINK("https://klasma.github.io/Logging_2260/kartor/A 38603-2024 karta.png", "A 38603-2024")</f>
        <v/>
      </c>
      <c r="V296">
        <f>HYPERLINK("https://klasma.github.io/Logging_2260/klagomål/A 38603-2024 FSC-klagomål.docx", "A 38603-2024")</f>
        <v/>
      </c>
      <c r="W296">
        <f>HYPERLINK("https://klasma.github.io/Logging_2260/klagomålsmail/A 38603-2024 FSC-klagomål mail.docx", "A 38603-2024")</f>
        <v/>
      </c>
      <c r="X296">
        <f>HYPERLINK("https://klasma.github.io/Logging_2260/tillsyn/A 38603-2024 tillsynsbegäran.docx", "A 38603-2024")</f>
        <v/>
      </c>
      <c r="Y296">
        <f>HYPERLINK("https://klasma.github.io/Logging_2260/tillsynsmail/A 38603-2024 tillsynsbegäran mail.docx", "A 38603-2024")</f>
        <v/>
      </c>
    </row>
    <row r="297" ht="15" customHeight="1">
      <c r="A297" t="inlineStr">
        <is>
          <t>A 39180-2024</t>
        </is>
      </c>
      <c r="B297" s="1" t="n">
        <v>45548</v>
      </c>
      <c r="C297" s="1" t="n">
        <v>45750</v>
      </c>
      <c r="D297" t="inlineStr">
        <is>
          <t>VÄSTERNORRLANDS LÄN</t>
        </is>
      </c>
      <c r="E297" t="inlineStr">
        <is>
          <t>ÅNGE</t>
        </is>
      </c>
      <c r="F297" t="inlineStr">
        <is>
          <t>SCA</t>
        </is>
      </c>
      <c r="G297" t="n">
        <v>8.699999999999999</v>
      </c>
      <c r="H297" t="n">
        <v>0</v>
      </c>
      <c r="I297" t="n">
        <v>0</v>
      </c>
      <c r="J297" t="n">
        <v>1</v>
      </c>
      <c r="K297" t="n">
        <v>0</v>
      </c>
      <c r="L297" t="n">
        <v>0</v>
      </c>
      <c r="M297" t="n">
        <v>0</v>
      </c>
      <c r="N297" t="n">
        <v>0</v>
      </c>
      <c r="O297" t="n">
        <v>1</v>
      </c>
      <c r="P297" t="n">
        <v>0</v>
      </c>
      <c r="Q297" t="n">
        <v>1</v>
      </c>
      <c r="R297" s="2" t="inlineStr">
        <is>
          <t>Lunglav</t>
        </is>
      </c>
      <c r="S297">
        <f>HYPERLINK("https://klasma.github.io/Logging_2260/artfynd/A 39180-2024 artfynd.xlsx", "A 39180-2024")</f>
        <v/>
      </c>
      <c r="T297">
        <f>HYPERLINK("https://klasma.github.io/Logging_2260/kartor/A 39180-2024 karta.png", "A 39180-2024")</f>
        <v/>
      </c>
      <c r="V297">
        <f>HYPERLINK("https://klasma.github.io/Logging_2260/klagomål/A 39180-2024 FSC-klagomål.docx", "A 39180-2024")</f>
        <v/>
      </c>
      <c r="W297">
        <f>HYPERLINK("https://klasma.github.io/Logging_2260/klagomålsmail/A 39180-2024 FSC-klagomål mail.docx", "A 39180-2024")</f>
        <v/>
      </c>
      <c r="X297">
        <f>HYPERLINK("https://klasma.github.io/Logging_2260/tillsyn/A 39180-2024 tillsynsbegäran.docx", "A 39180-2024")</f>
        <v/>
      </c>
      <c r="Y297">
        <f>HYPERLINK("https://klasma.github.io/Logging_2260/tillsynsmail/A 39180-2024 tillsynsbegäran mail.docx", "A 39180-2024")</f>
        <v/>
      </c>
    </row>
    <row r="298" ht="15" customHeight="1">
      <c r="A298" t="inlineStr">
        <is>
          <t>A 39688-2024</t>
        </is>
      </c>
      <c r="B298" s="1" t="n">
        <v>45552</v>
      </c>
      <c r="C298" s="1" t="n">
        <v>45750</v>
      </c>
      <c r="D298" t="inlineStr">
        <is>
          <t>VÄSTERNORRLANDS LÄN</t>
        </is>
      </c>
      <c r="E298" t="inlineStr">
        <is>
          <t>ÅNGE</t>
        </is>
      </c>
      <c r="G298" t="n">
        <v>5.7</v>
      </c>
      <c r="H298" t="n">
        <v>1</v>
      </c>
      <c r="I298" t="n">
        <v>0</v>
      </c>
      <c r="J298" t="n">
        <v>0</v>
      </c>
      <c r="K298" t="n">
        <v>0</v>
      </c>
      <c r="L298" t="n">
        <v>0</v>
      </c>
      <c r="M298" t="n">
        <v>0</v>
      </c>
      <c r="N298" t="n">
        <v>0</v>
      </c>
      <c r="O298" t="n">
        <v>0</v>
      </c>
      <c r="P298" t="n">
        <v>0</v>
      </c>
      <c r="Q298" t="n">
        <v>1</v>
      </c>
      <c r="R298" s="2" t="inlineStr">
        <is>
          <t>Revlummer</t>
        </is>
      </c>
      <c r="S298">
        <f>HYPERLINK("https://klasma.github.io/Logging_2260/artfynd/A 39688-2024 artfynd.xlsx", "A 39688-2024")</f>
        <v/>
      </c>
      <c r="T298">
        <f>HYPERLINK("https://klasma.github.io/Logging_2260/kartor/A 39688-2024 karta.png", "A 39688-2024")</f>
        <v/>
      </c>
      <c r="V298">
        <f>HYPERLINK("https://klasma.github.io/Logging_2260/klagomål/A 39688-2024 FSC-klagomål.docx", "A 39688-2024")</f>
        <v/>
      </c>
      <c r="W298">
        <f>HYPERLINK("https://klasma.github.io/Logging_2260/klagomålsmail/A 39688-2024 FSC-klagomål mail.docx", "A 39688-2024")</f>
        <v/>
      </c>
      <c r="X298">
        <f>HYPERLINK("https://klasma.github.io/Logging_2260/tillsyn/A 39688-2024 tillsynsbegäran.docx", "A 39688-2024")</f>
        <v/>
      </c>
      <c r="Y298">
        <f>HYPERLINK("https://klasma.github.io/Logging_2260/tillsynsmail/A 39688-2024 tillsynsbegäran mail.docx", "A 39688-2024")</f>
        <v/>
      </c>
    </row>
    <row r="299" ht="15" customHeight="1">
      <c r="A299" t="inlineStr">
        <is>
          <t>A 39638-2024</t>
        </is>
      </c>
      <c r="B299" s="1" t="n">
        <v>45552</v>
      </c>
      <c r="C299" s="1" t="n">
        <v>45750</v>
      </c>
      <c r="D299" t="inlineStr">
        <is>
          <t>VÄSTERNORRLANDS LÄN</t>
        </is>
      </c>
      <c r="E299" t="inlineStr">
        <is>
          <t>ÅNGE</t>
        </is>
      </c>
      <c r="G299" t="n">
        <v>3</v>
      </c>
      <c r="H299" t="n">
        <v>1</v>
      </c>
      <c r="I299" t="n">
        <v>0</v>
      </c>
      <c r="J299" t="n">
        <v>0</v>
      </c>
      <c r="K299" t="n">
        <v>0</v>
      </c>
      <c r="L299" t="n">
        <v>0</v>
      </c>
      <c r="M299" t="n">
        <v>0</v>
      </c>
      <c r="N299" t="n">
        <v>0</v>
      </c>
      <c r="O299" t="n">
        <v>0</v>
      </c>
      <c r="P299" t="n">
        <v>0</v>
      </c>
      <c r="Q299" t="n">
        <v>1</v>
      </c>
      <c r="R299" s="2" t="inlineStr">
        <is>
          <t>Tjäder</t>
        </is>
      </c>
      <c r="S299">
        <f>HYPERLINK("https://klasma.github.io/Logging_2260/artfynd/A 39638-2024 artfynd.xlsx", "A 39638-2024")</f>
        <v/>
      </c>
      <c r="T299">
        <f>HYPERLINK("https://klasma.github.io/Logging_2260/kartor/A 39638-2024 karta.png", "A 39638-2024")</f>
        <v/>
      </c>
      <c r="V299">
        <f>HYPERLINK("https://klasma.github.io/Logging_2260/klagomål/A 39638-2024 FSC-klagomål.docx", "A 39638-2024")</f>
        <v/>
      </c>
      <c r="W299">
        <f>HYPERLINK("https://klasma.github.io/Logging_2260/klagomålsmail/A 39638-2024 FSC-klagomål mail.docx", "A 39638-2024")</f>
        <v/>
      </c>
      <c r="X299">
        <f>HYPERLINK("https://klasma.github.io/Logging_2260/tillsyn/A 39638-2024 tillsynsbegäran.docx", "A 39638-2024")</f>
        <v/>
      </c>
      <c r="Y299">
        <f>HYPERLINK("https://klasma.github.io/Logging_2260/tillsynsmail/A 39638-2024 tillsynsbegäran mail.docx", "A 39638-2024")</f>
        <v/>
      </c>
      <c r="Z299">
        <f>HYPERLINK("https://klasma.github.io/Logging_2260/fåglar/A 39638-2024 prioriterade fågelarter.docx", "A 39638-2024")</f>
        <v/>
      </c>
    </row>
    <row r="300" ht="15" customHeight="1">
      <c r="A300" t="inlineStr">
        <is>
          <t>A 40110-2024</t>
        </is>
      </c>
      <c r="B300" s="1" t="n">
        <v>45554</v>
      </c>
      <c r="C300" s="1" t="n">
        <v>45750</v>
      </c>
      <c r="D300" t="inlineStr">
        <is>
          <t>VÄSTERNORRLANDS LÄN</t>
        </is>
      </c>
      <c r="E300" t="inlineStr">
        <is>
          <t>ÅNGE</t>
        </is>
      </c>
      <c r="G300" t="n">
        <v>11.8</v>
      </c>
      <c r="H300" t="n">
        <v>0</v>
      </c>
      <c r="I300" t="n">
        <v>0</v>
      </c>
      <c r="J300" t="n">
        <v>1</v>
      </c>
      <c r="K300" t="n">
        <v>0</v>
      </c>
      <c r="L300" t="n">
        <v>0</v>
      </c>
      <c r="M300" t="n">
        <v>0</v>
      </c>
      <c r="N300" t="n">
        <v>0</v>
      </c>
      <c r="O300" t="n">
        <v>1</v>
      </c>
      <c r="P300" t="n">
        <v>0</v>
      </c>
      <c r="Q300" t="n">
        <v>1</v>
      </c>
      <c r="R300" s="2" t="inlineStr">
        <is>
          <t>Lunglav</t>
        </is>
      </c>
      <c r="S300">
        <f>HYPERLINK("https://klasma.github.io/Logging_2260/artfynd/A 40110-2024 artfynd.xlsx", "A 40110-2024")</f>
        <v/>
      </c>
      <c r="T300">
        <f>HYPERLINK("https://klasma.github.io/Logging_2260/kartor/A 40110-2024 karta.png", "A 40110-2024")</f>
        <v/>
      </c>
      <c r="V300">
        <f>HYPERLINK("https://klasma.github.io/Logging_2260/klagomål/A 40110-2024 FSC-klagomål.docx", "A 40110-2024")</f>
        <v/>
      </c>
      <c r="W300">
        <f>HYPERLINK("https://klasma.github.io/Logging_2260/klagomålsmail/A 40110-2024 FSC-klagomål mail.docx", "A 40110-2024")</f>
        <v/>
      </c>
      <c r="X300">
        <f>HYPERLINK("https://klasma.github.io/Logging_2260/tillsyn/A 40110-2024 tillsynsbegäran.docx", "A 40110-2024")</f>
        <v/>
      </c>
      <c r="Y300">
        <f>HYPERLINK("https://klasma.github.io/Logging_2260/tillsynsmail/A 40110-2024 tillsynsbegäran mail.docx", "A 40110-2024")</f>
        <v/>
      </c>
    </row>
    <row r="301" ht="15" customHeight="1">
      <c r="A301" t="inlineStr">
        <is>
          <t>A 40214-2024</t>
        </is>
      </c>
      <c r="B301" s="1" t="n">
        <v>45554</v>
      </c>
      <c r="C301" s="1" t="n">
        <v>45750</v>
      </c>
      <c r="D301" t="inlineStr">
        <is>
          <t>VÄSTERNORRLANDS LÄN</t>
        </is>
      </c>
      <c r="E301" t="inlineStr">
        <is>
          <t>ÅNGE</t>
        </is>
      </c>
      <c r="F301" t="inlineStr">
        <is>
          <t>SCA</t>
        </is>
      </c>
      <c r="G301" t="n">
        <v>7.7</v>
      </c>
      <c r="H301" t="n">
        <v>0</v>
      </c>
      <c r="I301" t="n">
        <v>0</v>
      </c>
      <c r="J301" t="n">
        <v>1</v>
      </c>
      <c r="K301" t="n">
        <v>0</v>
      </c>
      <c r="L301" t="n">
        <v>0</v>
      </c>
      <c r="M301" t="n">
        <v>0</v>
      </c>
      <c r="N301" t="n">
        <v>0</v>
      </c>
      <c r="O301" t="n">
        <v>1</v>
      </c>
      <c r="P301" t="n">
        <v>0</v>
      </c>
      <c r="Q301" t="n">
        <v>1</v>
      </c>
      <c r="R301" s="2" t="inlineStr">
        <is>
          <t>Lunglav</t>
        </is>
      </c>
      <c r="S301">
        <f>HYPERLINK("https://klasma.github.io/Logging_2260/artfynd/A 40214-2024 artfynd.xlsx", "A 40214-2024")</f>
        <v/>
      </c>
      <c r="T301">
        <f>HYPERLINK("https://klasma.github.io/Logging_2260/kartor/A 40214-2024 karta.png", "A 40214-2024")</f>
        <v/>
      </c>
      <c r="V301">
        <f>HYPERLINK("https://klasma.github.io/Logging_2260/klagomål/A 40214-2024 FSC-klagomål.docx", "A 40214-2024")</f>
        <v/>
      </c>
      <c r="W301">
        <f>HYPERLINK("https://klasma.github.io/Logging_2260/klagomålsmail/A 40214-2024 FSC-klagomål mail.docx", "A 40214-2024")</f>
        <v/>
      </c>
      <c r="X301">
        <f>HYPERLINK("https://klasma.github.io/Logging_2260/tillsyn/A 40214-2024 tillsynsbegäran.docx", "A 40214-2024")</f>
        <v/>
      </c>
      <c r="Y301">
        <f>HYPERLINK("https://klasma.github.io/Logging_2260/tillsynsmail/A 40214-2024 tillsynsbegäran mail.docx", "A 40214-2024")</f>
        <v/>
      </c>
    </row>
    <row r="302" ht="15" customHeight="1">
      <c r="A302" t="inlineStr">
        <is>
          <t>A 43171-2024</t>
        </is>
      </c>
      <c r="B302" s="1" t="n">
        <v>45567</v>
      </c>
      <c r="C302" s="1" t="n">
        <v>45750</v>
      </c>
      <c r="D302" t="inlineStr">
        <is>
          <t>VÄSTERNORRLANDS LÄN</t>
        </is>
      </c>
      <c r="E302" t="inlineStr">
        <is>
          <t>ÅNGE</t>
        </is>
      </c>
      <c r="F302" t="inlineStr">
        <is>
          <t>SCA</t>
        </is>
      </c>
      <c r="G302" t="n">
        <v>3.4</v>
      </c>
      <c r="H302" t="n">
        <v>0</v>
      </c>
      <c r="I302" t="n">
        <v>0</v>
      </c>
      <c r="J302" t="n">
        <v>1</v>
      </c>
      <c r="K302" t="n">
        <v>0</v>
      </c>
      <c r="L302" t="n">
        <v>0</v>
      </c>
      <c r="M302" t="n">
        <v>0</v>
      </c>
      <c r="N302" t="n">
        <v>0</v>
      </c>
      <c r="O302" t="n">
        <v>1</v>
      </c>
      <c r="P302" t="n">
        <v>0</v>
      </c>
      <c r="Q302" t="n">
        <v>1</v>
      </c>
      <c r="R302" s="2" t="inlineStr">
        <is>
          <t>Rosenticka</t>
        </is>
      </c>
      <c r="S302">
        <f>HYPERLINK("https://klasma.github.io/Logging_2260/artfynd/A 43171-2024 artfynd.xlsx", "A 43171-2024")</f>
        <v/>
      </c>
      <c r="T302">
        <f>HYPERLINK("https://klasma.github.io/Logging_2260/kartor/A 43171-2024 karta.png", "A 43171-2024")</f>
        <v/>
      </c>
      <c r="V302">
        <f>HYPERLINK("https://klasma.github.io/Logging_2260/klagomål/A 43171-2024 FSC-klagomål.docx", "A 43171-2024")</f>
        <v/>
      </c>
      <c r="W302">
        <f>HYPERLINK("https://klasma.github.io/Logging_2260/klagomålsmail/A 43171-2024 FSC-klagomål mail.docx", "A 43171-2024")</f>
        <v/>
      </c>
      <c r="X302">
        <f>HYPERLINK("https://klasma.github.io/Logging_2260/tillsyn/A 43171-2024 tillsynsbegäran.docx", "A 43171-2024")</f>
        <v/>
      </c>
      <c r="Y302">
        <f>HYPERLINK("https://klasma.github.io/Logging_2260/tillsynsmail/A 43171-2024 tillsynsbegäran mail.docx", "A 43171-2024")</f>
        <v/>
      </c>
    </row>
    <row r="303" ht="15" customHeight="1">
      <c r="A303" t="inlineStr">
        <is>
          <t>A 45853-2024</t>
        </is>
      </c>
      <c r="B303" s="1" t="n">
        <v>45580</v>
      </c>
      <c r="C303" s="1" t="n">
        <v>45750</v>
      </c>
      <c r="D303" t="inlineStr">
        <is>
          <t>VÄSTERNORRLANDS LÄN</t>
        </is>
      </c>
      <c r="E303" t="inlineStr">
        <is>
          <t>ÅNGE</t>
        </is>
      </c>
      <c r="F303" t="inlineStr">
        <is>
          <t>SCA</t>
        </is>
      </c>
      <c r="G303" t="n">
        <v>14.5</v>
      </c>
      <c r="H303" t="n">
        <v>1</v>
      </c>
      <c r="I303" t="n">
        <v>0</v>
      </c>
      <c r="J303" t="n">
        <v>1</v>
      </c>
      <c r="K303" t="n">
        <v>0</v>
      </c>
      <c r="L303" t="n">
        <v>0</v>
      </c>
      <c r="M303" t="n">
        <v>0</v>
      </c>
      <c r="N303" t="n">
        <v>0</v>
      </c>
      <c r="O303" t="n">
        <v>1</v>
      </c>
      <c r="P303" t="n">
        <v>0</v>
      </c>
      <c r="Q303" t="n">
        <v>1</v>
      </c>
      <c r="R303" s="2" t="inlineStr">
        <is>
          <t>Järpe</t>
        </is>
      </c>
      <c r="S303">
        <f>HYPERLINK("https://klasma.github.io/Logging_2260/artfynd/A 45853-2024 artfynd.xlsx", "A 45853-2024")</f>
        <v/>
      </c>
      <c r="T303">
        <f>HYPERLINK("https://klasma.github.io/Logging_2260/kartor/A 45853-2024 karta.png", "A 45853-2024")</f>
        <v/>
      </c>
      <c r="V303">
        <f>HYPERLINK("https://klasma.github.io/Logging_2260/klagomål/A 45853-2024 FSC-klagomål.docx", "A 45853-2024")</f>
        <v/>
      </c>
      <c r="W303">
        <f>HYPERLINK("https://klasma.github.io/Logging_2260/klagomålsmail/A 45853-2024 FSC-klagomål mail.docx", "A 45853-2024")</f>
        <v/>
      </c>
      <c r="X303">
        <f>HYPERLINK("https://klasma.github.io/Logging_2260/tillsyn/A 45853-2024 tillsynsbegäran.docx", "A 45853-2024")</f>
        <v/>
      </c>
      <c r="Y303">
        <f>HYPERLINK("https://klasma.github.io/Logging_2260/tillsynsmail/A 45853-2024 tillsynsbegäran mail.docx", "A 45853-2024")</f>
        <v/>
      </c>
      <c r="Z303">
        <f>HYPERLINK("https://klasma.github.io/Logging_2260/fåglar/A 45853-2024 prioriterade fågelarter.docx", "A 45853-2024")</f>
        <v/>
      </c>
    </row>
    <row r="304" ht="15" customHeight="1">
      <c r="A304" t="inlineStr">
        <is>
          <t>A 52305-2024</t>
        </is>
      </c>
      <c r="B304" s="1" t="n">
        <v>45608</v>
      </c>
      <c r="C304" s="1" t="n">
        <v>45750</v>
      </c>
      <c r="D304" t="inlineStr">
        <is>
          <t>VÄSTERNORRLANDS LÄN</t>
        </is>
      </c>
      <c r="E304" t="inlineStr">
        <is>
          <t>ÅNGE</t>
        </is>
      </c>
      <c r="G304" t="n">
        <v>17.4</v>
      </c>
      <c r="H304" t="n">
        <v>1</v>
      </c>
      <c r="I304" t="n">
        <v>0</v>
      </c>
      <c r="J304" t="n">
        <v>1</v>
      </c>
      <c r="K304" t="n">
        <v>0</v>
      </c>
      <c r="L304" t="n">
        <v>0</v>
      </c>
      <c r="M304" t="n">
        <v>0</v>
      </c>
      <c r="N304" t="n">
        <v>0</v>
      </c>
      <c r="O304" t="n">
        <v>1</v>
      </c>
      <c r="P304" t="n">
        <v>0</v>
      </c>
      <c r="Q304" t="n">
        <v>1</v>
      </c>
      <c r="R304" s="2" t="inlineStr">
        <is>
          <t>Järpe</t>
        </is>
      </c>
      <c r="S304">
        <f>HYPERLINK("https://klasma.github.io/Logging_2260/artfynd/A 52305-2024 artfynd.xlsx", "A 52305-2024")</f>
        <v/>
      </c>
      <c r="T304">
        <f>HYPERLINK("https://klasma.github.io/Logging_2260/kartor/A 52305-2024 karta.png", "A 52305-2024")</f>
        <v/>
      </c>
      <c r="V304">
        <f>HYPERLINK("https://klasma.github.io/Logging_2260/klagomål/A 52305-2024 FSC-klagomål.docx", "A 52305-2024")</f>
        <v/>
      </c>
      <c r="W304">
        <f>HYPERLINK("https://klasma.github.io/Logging_2260/klagomålsmail/A 52305-2024 FSC-klagomål mail.docx", "A 52305-2024")</f>
        <v/>
      </c>
      <c r="X304">
        <f>HYPERLINK("https://klasma.github.io/Logging_2260/tillsyn/A 52305-2024 tillsynsbegäran.docx", "A 52305-2024")</f>
        <v/>
      </c>
      <c r="Y304">
        <f>HYPERLINK("https://klasma.github.io/Logging_2260/tillsynsmail/A 52305-2024 tillsynsbegäran mail.docx", "A 52305-2024")</f>
        <v/>
      </c>
      <c r="Z304">
        <f>HYPERLINK("https://klasma.github.io/Logging_2260/fåglar/A 52305-2024 prioriterade fågelarter.docx", "A 52305-2024")</f>
        <v/>
      </c>
    </row>
    <row r="305" ht="15" customHeight="1">
      <c r="A305" t="inlineStr">
        <is>
          <t>A 54386-2024</t>
        </is>
      </c>
      <c r="B305" s="1" t="n">
        <v>45617</v>
      </c>
      <c r="C305" s="1" t="n">
        <v>45750</v>
      </c>
      <c r="D305" t="inlineStr">
        <is>
          <t>VÄSTERNORRLANDS LÄN</t>
        </is>
      </c>
      <c r="E305" t="inlineStr">
        <is>
          <t>ÅNGE</t>
        </is>
      </c>
      <c r="F305" t="inlineStr">
        <is>
          <t>SCA</t>
        </is>
      </c>
      <c r="G305" t="n">
        <v>1.9</v>
      </c>
      <c r="H305" t="n">
        <v>0</v>
      </c>
      <c r="I305" t="n">
        <v>0</v>
      </c>
      <c r="J305" t="n">
        <v>1</v>
      </c>
      <c r="K305" t="n">
        <v>0</v>
      </c>
      <c r="L305" t="n">
        <v>0</v>
      </c>
      <c r="M305" t="n">
        <v>0</v>
      </c>
      <c r="N305" t="n">
        <v>0</v>
      </c>
      <c r="O305" t="n">
        <v>1</v>
      </c>
      <c r="P305" t="n">
        <v>0</v>
      </c>
      <c r="Q305" t="n">
        <v>1</v>
      </c>
      <c r="R305" s="2" t="inlineStr">
        <is>
          <t>Reliktbock</t>
        </is>
      </c>
      <c r="S305">
        <f>HYPERLINK("https://klasma.github.io/Logging_2260/artfynd/A 54386-2024 artfynd.xlsx", "A 54386-2024")</f>
        <v/>
      </c>
      <c r="T305">
        <f>HYPERLINK("https://klasma.github.io/Logging_2260/kartor/A 54386-2024 karta.png", "A 54386-2024")</f>
        <v/>
      </c>
      <c r="V305">
        <f>HYPERLINK("https://klasma.github.io/Logging_2260/klagomål/A 54386-2024 FSC-klagomål.docx", "A 54386-2024")</f>
        <v/>
      </c>
      <c r="W305">
        <f>HYPERLINK("https://klasma.github.io/Logging_2260/klagomålsmail/A 54386-2024 FSC-klagomål mail.docx", "A 54386-2024")</f>
        <v/>
      </c>
      <c r="X305">
        <f>HYPERLINK("https://klasma.github.io/Logging_2260/tillsyn/A 54386-2024 tillsynsbegäran.docx", "A 54386-2024")</f>
        <v/>
      </c>
      <c r="Y305">
        <f>HYPERLINK("https://klasma.github.io/Logging_2260/tillsynsmail/A 54386-2024 tillsynsbegäran mail.docx", "A 54386-2024")</f>
        <v/>
      </c>
    </row>
    <row r="306" ht="15" customHeight="1">
      <c r="A306" t="inlineStr">
        <is>
          <t>A 56091-2024</t>
        </is>
      </c>
      <c r="B306" s="1" t="n">
        <v>45624</v>
      </c>
      <c r="C306" s="1" t="n">
        <v>45750</v>
      </c>
      <c r="D306" t="inlineStr">
        <is>
          <t>VÄSTERNORRLANDS LÄN</t>
        </is>
      </c>
      <c r="E306" t="inlineStr">
        <is>
          <t>ÅNGE</t>
        </is>
      </c>
      <c r="F306" t="inlineStr">
        <is>
          <t>SCA</t>
        </is>
      </c>
      <c r="G306" t="n">
        <v>2.5</v>
      </c>
      <c r="H306" t="n">
        <v>0</v>
      </c>
      <c r="I306" t="n">
        <v>0</v>
      </c>
      <c r="J306" t="n">
        <v>1</v>
      </c>
      <c r="K306" t="n">
        <v>0</v>
      </c>
      <c r="L306" t="n">
        <v>0</v>
      </c>
      <c r="M306" t="n">
        <v>0</v>
      </c>
      <c r="N306" t="n">
        <v>0</v>
      </c>
      <c r="O306" t="n">
        <v>1</v>
      </c>
      <c r="P306" t="n">
        <v>0</v>
      </c>
      <c r="Q306" t="n">
        <v>1</v>
      </c>
      <c r="R306" s="2" t="inlineStr">
        <is>
          <t>Mörk kolflarnlav</t>
        </is>
      </c>
      <c r="S306">
        <f>HYPERLINK("https://klasma.github.io/Logging_2260/artfynd/A 56091-2024 artfynd.xlsx", "A 56091-2024")</f>
        <v/>
      </c>
      <c r="T306">
        <f>HYPERLINK("https://klasma.github.io/Logging_2260/kartor/A 56091-2024 karta.png", "A 56091-2024")</f>
        <v/>
      </c>
      <c r="V306">
        <f>HYPERLINK("https://klasma.github.io/Logging_2260/klagomål/A 56091-2024 FSC-klagomål.docx", "A 56091-2024")</f>
        <v/>
      </c>
      <c r="W306">
        <f>HYPERLINK("https://klasma.github.io/Logging_2260/klagomålsmail/A 56091-2024 FSC-klagomål mail.docx", "A 56091-2024")</f>
        <v/>
      </c>
      <c r="X306">
        <f>HYPERLINK("https://klasma.github.io/Logging_2260/tillsyn/A 56091-2024 tillsynsbegäran.docx", "A 56091-2024")</f>
        <v/>
      </c>
      <c r="Y306">
        <f>HYPERLINK("https://klasma.github.io/Logging_2260/tillsynsmail/A 56091-2024 tillsynsbegäran mail.docx", "A 56091-2024")</f>
        <v/>
      </c>
    </row>
    <row r="307" ht="15" customHeight="1">
      <c r="A307" t="inlineStr">
        <is>
          <t>A 57272-2024</t>
        </is>
      </c>
      <c r="B307" s="1" t="n">
        <v>45629</v>
      </c>
      <c r="C307" s="1" t="n">
        <v>45750</v>
      </c>
      <c r="D307" t="inlineStr">
        <is>
          <t>VÄSTERNORRLANDS LÄN</t>
        </is>
      </c>
      <c r="E307" t="inlineStr">
        <is>
          <t>ÅNGE</t>
        </is>
      </c>
      <c r="F307" t="inlineStr">
        <is>
          <t>SCA</t>
        </is>
      </c>
      <c r="G307" t="n">
        <v>5.4</v>
      </c>
      <c r="H307" t="n">
        <v>0</v>
      </c>
      <c r="I307" t="n">
        <v>0</v>
      </c>
      <c r="J307" t="n">
        <v>1</v>
      </c>
      <c r="K307" t="n">
        <v>0</v>
      </c>
      <c r="L307" t="n">
        <v>0</v>
      </c>
      <c r="M307" t="n">
        <v>0</v>
      </c>
      <c r="N307" t="n">
        <v>0</v>
      </c>
      <c r="O307" t="n">
        <v>1</v>
      </c>
      <c r="P307" t="n">
        <v>0</v>
      </c>
      <c r="Q307" t="n">
        <v>1</v>
      </c>
      <c r="R307" s="2" t="inlineStr">
        <is>
          <t>Orange taggsvamp</t>
        </is>
      </c>
      <c r="S307">
        <f>HYPERLINK("https://klasma.github.io/Logging_2260/artfynd/A 57272-2024 artfynd.xlsx", "A 57272-2024")</f>
        <v/>
      </c>
      <c r="T307">
        <f>HYPERLINK("https://klasma.github.io/Logging_2260/kartor/A 57272-2024 karta.png", "A 57272-2024")</f>
        <v/>
      </c>
      <c r="V307">
        <f>HYPERLINK("https://klasma.github.io/Logging_2260/klagomål/A 57272-2024 FSC-klagomål.docx", "A 57272-2024")</f>
        <v/>
      </c>
      <c r="W307">
        <f>HYPERLINK("https://klasma.github.io/Logging_2260/klagomålsmail/A 57272-2024 FSC-klagomål mail.docx", "A 57272-2024")</f>
        <v/>
      </c>
      <c r="X307">
        <f>HYPERLINK("https://klasma.github.io/Logging_2260/tillsyn/A 57272-2024 tillsynsbegäran.docx", "A 57272-2024")</f>
        <v/>
      </c>
      <c r="Y307">
        <f>HYPERLINK("https://klasma.github.io/Logging_2260/tillsynsmail/A 57272-2024 tillsynsbegäran mail.docx", "A 57272-2024")</f>
        <v/>
      </c>
    </row>
    <row r="308" ht="15" customHeight="1">
      <c r="A308" t="inlineStr">
        <is>
          <t>A 5-2025</t>
        </is>
      </c>
      <c r="B308" s="1" t="n">
        <v>45658</v>
      </c>
      <c r="C308" s="1" t="n">
        <v>45750</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Vanlig groda</t>
        </is>
      </c>
      <c r="S308">
        <f>HYPERLINK("https://klasma.github.io/Logging_2260/artfynd/A 5-2025 artfynd.xlsx", "A 5-2025")</f>
        <v/>
      </c>
      <c r="T308">
        <f>HYPERLINK("https://klasma.github.io/Logging_2260/kartor/A 5-2025 karta.png", "A 5-2025")</f>
        <v/>
      </c>
      <c r="V308">
        <f>HYPERLINK("https://klasma.github.io/Logging_2260/klagomål/A 5-2025 FSC-klagomål.docx", "A 5-2025")</f>
        <v/>
      </c>
      <c r="W308">
        <f>HYPERLINK("https://klasma.github.io/Logging_2260/klagomålsmail/A 5-2025 FSC-klagomål mail.docx", "A 5-2025")</f>
        <v/>
      </c>
      <c r="X308">
        <f>HYPERLINK("https://klasma.github.io/Logging_2260/tillsyn/A 5-2025 tillsynsbegäran.docx", "A 5-2025")</f>
        <v/>
      </c>
      <c r="Y308">
        <f>HYPERLINK("https://klasma.github.io/Logging_2260/tillsynsmail/A 5-2025 tillsynsbegäran mail.docx", "A 5-2025")</f>
        <v/>
      </c>
    </row>
    <row r="309" ht="15" customHeight="1">
      <c r="A309" t="inlineStr">
        <is>
          <t>A 1449-2025</t>
        </is>
      </c>
      <c r="B309" s="1" t="n">
        <v>45670</v>
      </c>
      <c r="C309" s="1" t="n">
        <v>45750</v>
      </c>
      <c r="D309" t="inlineStr">
        <is>
          <t>VÄSTERNORRLANDS LÄN</t>
        </is>
      </c>
      <c r="E309" t="inlineStr">
        <is>
          <t>ÅNGE</t>
        </is>
      </c>
      <c r="G309" t="n">
        <v>6.3</v>
      </c>
      <c r="H309" t="n">
        <v>0</v>
      </c>
      <c r="I309" t="n">
        <v>1</v>
      </c>
      <c r="J309" t="n">
        <v>0</v>
      </c>
      <c r="K309" t="n">
        <v>0</v>
      </c>
      <c r="L309" t="n">
        <v>0</v>
      </c>
      <c r="M309" t="n">
        <v>0</v>
      </c>
      <c r="N309" t="n">
        <v>0</v>
      </c>
      <c r="O309" t="n">
        <v>0</v>
      </c>
      <c r="P309" t="n">
        <v>0</v>
      </c>
      <c r="Q309" t="n">
        <v>1</v>
      </c>
      <c r="R309" s="2" t="inlineStr">
        <is>
          <t>Korallblylav</t>
        </is>
      </c>
      <c r="S309">
        <f>HYPERLINK("https://klasma.github.io/Logging_2260/artfynd/A 1449-2025 artfynd.xlsx", "A 1449-2025")</f>
        <v/>
      </c>
      <c r="T309">
        <f>HYPERLINK("https://klasma.github.io/Logging_2260/kartor/A 1449-2025 karta.png", "A 1449-2025")</f>
        <v/>
      </c>
      <c r="V309">
        <f>HYPERLINK("https://klasma.github.io/Logging_2260/klagomål/A 1449-2025 FSC-klagomål.docx", "A 1449-2025")</f>
        <v/>
      </c>
      <c r="W309">
        <f>HYPERLINK("https://klasma.github.io/Logging_2260/klagomålsmail/A 1449-2025 FSC-klagomål mail.docx", "A 1449-2025")</f>
        <v/>
      </c>
      <c r="X309">
        <f>HYPERLINK("https://klasma.github.io/Logging_2260/tillsyn/A 1449-2025 tillsynsbegäran.docx", "A 1449-2025")</f>
        <v/>
      </c>
      <c r="Y309">
        <f>HYPERLINK("https://klasma.github.io/Logging_2260/tillsynsmail/A 1449-2025 tillsynsbegäran mail.docx", "A 1449-2025")</f>
        <v/>
      </c>
    </row>
    <row r="310" ht="15" customHeight="1">
      <c r="A310" t="inlineStr">
        <is>
          <t>A 3383-2025</t>
        </is>
      </c>
      <c r="B310" s="1" t="n">
        <v>45680</v>
      </c>
      <c r="C310" s="1" t="n">
        <v>45750</v>
      </c>
      <c r="D310" t="inlineStr">
        <is>
          <t>VÄSTERNORRLANDS LÄN</t>
        </is>
      </c>
      <c r="E310" t="inlineStr">
        <is>
          <t>ÅNGE</t>
        </is>
      </c>
      <c r="F310" t="inlineStr">
        <is>
          <t>SCA</t>
        </is>
      </c>
      <c r="G310" t="n">
        <v>9.800000000000001</v>
      </c>
      <c r="H310" t="n">
        <v>1</v>
      </c>
      <c r="I310" t="n">
        <v>0</v>
      </c>
      <c r="J310" t="n">
        <v>1</v>
      </c>
      <c r="K310" t="n">
        <v>0</v>
      </c>
      <c r="L310" t="n">
        <v>0</v>
      </c>
      <c r="M310" t="n">
        <v>0</v>
      </c>
      <c r="N310" t="n">
        <v>0</v>
      </c>
      <c r="O310" t="n">
        <v>1</v>
      </c>
      <c r="P310" t="n">
        <v>0</v>
      </c>
      <c r="Q310" t="n">
        <v>1</v>
      </c>
      <c r="R310" s="2" t="inlineStr">
        <is>
          <t>Slaguggla</t>
        </is>
      </c>
      <c r="S310">
        <f>HYPERLINK("https://klasma.github.io/Logging_2260/artfynd/A 3383-2025 artfynd.xlsx", "A 3383-2025")</f>
        <v/>
      </c>
      <c r="T310">
        <f>HYPERLINK("https://klasma.github.io/Logging_2260/kartor/A 3383-2025 karta.png", "A 3383-2025")</f>
        <v/>
      </c>
      <c r="V310">
        <f>HYPERLINK("https://klasma.github.io/Logging_2260/klagomål/A 3383-2025 FSC-klagomål.docx", "A 3383-2025")</f>
        <v/>
      </c>
      <c r="W310">
        <f>HYPERLINK("https://klasma.github.io/Logging_2260/klagomålsmail/A 3383-2025 FSC-klagomål mail.docx", "A 3383-2025")</f>
        <v/>
      </c>
      <c r="X310">
        <f>HYPERLINK("https://klasma.github.io/Logging_2260/tillsyn/A 3383-2025 tillsynsbegäran.docx", "A 3383-2025")</f>
        <v/>
      </c>
      <c r="Y310">
        <f>HYPERLINK("https://klasma.github.io/Logging_2260/tillsynsmail/A 3383-2025 tillsynsbegäran mail.docx", "A 3383-2025")</f>
        <v/>
      </c>
      <c r="Z310">
        <f>HYPERLINK("https://klasma.github.io/Logging_2260/fåglar/A 3383-2025 prioriterade fågelarter.docx", "A 3383-2025")</f>
        <v/>
      </c>
    </row>
    <row r="311" ht="15" customHeight="1">
      <c r="A311" t="inlineStr">
        <is>
          <t>A 7736-2025</t>
        </is>
      </c>
      <c r="B311" s="1" t="n">
        <v>45706</v>
      </c>
      <c r="C311" s="1" t="n">
        <v>45750</v>
      </c>
      <c r="D311" t="inlineStr">
        <is>
          <t>VÄSTERNORRLANDS LÄN</t>
        </is>
      </c>
      <c r="E311" t="inlineStr">
        <is>
          <t>ÅNGE</t>
        </is>
      </c>
      <c r="F311" t="inlineStr">
        <is>
          <t>SCA</t>
        </is>
      </c>
      <c r="G311" t="n">
        <v>9.6</v>
      </c>
      <c r="H311" t="n">
        <v>0</v>
      </c>
      <c r="I311" t="n">
        <v>1</v>
      </c>
      <c r="J311" t="n">
        <v>0</v>
      </c>
      <c r="K311" t="n">
        <v>0</v>
      </c>
      <c r="L311" t="n">
        <v>0</v>
      </c>
      <c r="M311" t="n">
        <v>0</v>
      </c>
      <c r="N311" t="n">
        <v>0</v>
      </c>
      <c r="O311" t="n">
        <v>0</v>
      </c>
      <c r="P311" t="n">
        <v>0</v>
      </c>
      <c r="Q311" t="n">
        <v>1</v>
      </c>
      <c r="R311" s="2" t="inlineStr">
        <is>
          <t>Vårärt</t>
        </is>
      </c>
      <c r="S311">
        <f>HYPERLINK("https://klasma.github.io/Logging_2260/artfynd/A 7736-2025 artfynd.xlsx", "A 7736-2025")</f>
        <v/>
      </c>
      <c r="T311">
        <f>HYPERLINK("https://klasma.github.io/Logging_2260/kartor/A 7736-2025 karta.png", "A 7736-2025")</f>
        <v/>
      </c>
      <c r="V311">
        <f>HYPERLINK("https://klasma.github.io/Logging_2260/klagomål/A 7736-2025 FSC-klagomål.docx", "A 7736-2025")</f>
        <v/>
      </c>
      <c r="W311">
        <f>HYPERLINK("https://klasma.github.io/Logging_2260/klagomålsmail/A 7736-2025 FSC-klagomål mail.docx", "A 7736-2025")</f>
        <v/>
      </c>
      <c r="X311">
        <f>HYPERLINK("https://klasma.github.io/Logging_2260/tillsyn/A 7736-2025 tillsynsbegäran.docx", "A 7736-2025")</f>
        <v/>
      </c>
      <c r="Y311">
        <f>HYPERLINK("https://klasma.github.io/Logging_2260/tillsynsmail/A 7736-2025 tillsynsbegäran mail.docx", "A 7736-2025")</f>
        <v/>
      </c>
    </row>
    <row r="312" ht="15" customHeight="1">
      <c r="A312" t="inlineStr">
        <is>
          <t>A 10309-2025</t>
        </is>
      </c>
      <c r="B312" s="1" t="n">
        <v>45720</v>
      </c>
      <c r="C312" s="1" t="n">
        <v>45750</v>
      </c>
      <c r="D312" t="inlineStr">
        <is>
          <t>VÄSTERNORRLANDS LÄN</t>
        </is>
      </c>
      <c r="E312" t="inlineStr">
        <is>
          <t>ÅNGE</t>
        </is>
      </c>
      <c r="F312" t="inlineStr">
        <is>
          <t>SCA</t>
        </is>
      </c>
      <c r="G312" t="n">
        <v>7.4</v>
      </c>
      <c r="H312" t="n">
        <v>1</v>
      </c>
      <c r="I312" t="n">
        <v>0</v>
      </c>
      <c r="J312" t="n">
        <v>1</v>
      </c>
      <c r="K312" t="n">
        <v>0</v>
      </c>
      <c r="L312" t="n">
        <v>0</v>
      </c>
      <c r="M312" t="n">
        <v>0</v>
      </c>
      <c r="N312" t="n">
        <v>0</v>
      </c>
      <c r="O312" t="n">
        <v>1</v>
      </c>
      <c r="P312" t="n">
        <v>0</v>
      </c>
      <c r="Q312" t="n">
        <v>1</v>
      </c>
      <c r="R312" s="2" t="inlineStr">
        <is>
          <t>Järpe</t>
        </is>
      </c>
      <c r="S312">
        <f>HYPERLINK("https://klasma.github.io/Logging_222260/artfynd/A 10309-2025 artfynd.xlsx", "A 10309-2025")</f>
        <v/>
      </c>
      <c r="T312">
        <f>HYPERLINK("https://klasma.github.io/Logging_222260/kartor/A 10309-2025 karta.png", "A 10309-2025")</f>
        <v/>
      </c>
      <c r="V312">
        <f>HYPERLINK("https://klasma.github.io/Logging_222260/klagomål/A 10309-2025 FSC-klagomål.docx", "A 10309-2025")</f>
        <v/>
      </c>
      <c r="W312">
        <f>HYPERLINK("https://klasma.github.io/Logging_222260/klagomålsmail/A 10309-2025 FSC-klagomål mail.docx", "A 10309-2025")</f>
        <v/>
      </c>
      <c r="X312">
        <f>HYPERLINK("https://klasma.github.io/Logging_222260/tillsyn/A 10309-2025 tillsynsbegäran.docx", "A 10309-2025")</f>
        <v/>
      </c>
      <c r="Y312">
        <f>HYPERLINK("https://klasma.github.io/Logging_222260/tillsynsmail/A 10309-2025 tillsynsbegäran mail.docx", "A 10309-2025")</f>
        <v/>
      </c>
      <c r="Z312">
        <f>HYPERLINK("https://klasma.github.io/Logging_222260/fåglar/A 10309-2025 prioriterade fågelarter.docx", "A 10309-2025")</f>
        <v/>
      </c>
    </row>
    <row r="313" ht="15" customHeight="1">
      <c r="A313" t="inlineStr">
        <is>
          <t>A 17854-2019</t>
        </is>
      </c>
      <c r="B313" s="1" t="n">
        <v>43556</v>
      </c>
      <c r="C313" s="1" t="n">
        <v>45750</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17857-2019</t>
        </is>
      </c>
      <c r="B314" s="1" t="n">
        <v>43556</v>
      </c>
      <c r="C314" s="1" t="n">
        <v>45750</v>
      </c>
      <c r="D314" t="inlineStr">
        <is>
          <t>VÄSTERNORRLANDS LÄN</t>
        </is>
      </c>
      <c r="E314" t="inlineStr">
        <is>
          <t>ÅNGE</t>
        </is>
      </c>
      <c r="G314" t="n">
        <v>1.1</v>
      </c>
      <c r="H314" t="n">
        <v>0</v>
      </c>
      <c r="I314" t="n">
        <v>0</v>
      </c>
      <c r="J314" t="n">
        <v>0</v>
      </c>
      <c r="K314" t="n">
        <v>0</v>
      </c>
      <c r="L314" t="n">
        <v>0</v>
      </c>
      <c r="M314" t="n">
        <v>0</v>
      </c>
      <c r="N314" t="n">
        <v>0</v>
      </c>
      <c r="O314" t="n">
        <v>0</v>
      </c>
      <c r="P314" t="n">
        <v>0</v>
      </c>
      <c r="Q314" t="n">
        <v>0</v>
      </c>
      <c r="R314" s="2" t="inlineStr"/>
    </row>
    <row r="315" ht="15" customHeight="1">
      <c r="A315" t="inlineStr">
        <is>
          <t>A 17764-2019</t>
        </is>
      </c>
      <c r="B315" s="1" t="n">
        <v>43556</v>
      </c>
      <c r="C315" s="1" t="n">
        <v>45750</v>
      </c>
      <c r="D315" t="inlineStr">
        <is>
          <t>VÄSTERNORRLANDS LÄN</t>
        </is>
      </c>
      <c r="E315" t="inlineStr">
        <is>
          <t>ÅNGE</t>
        </is>
      </c>
      <c r="F315" t="inlineStr">
        <is>
          <t>Kyrkan</t>
        </is>
      </c>
      <c r="G315" t="n">
        <v>20.7</v>
      </c>
      <c r="H315" t="n">
        <v>0</v>
      </c>
      <c r="I315" t="n">
        <v>0</v>
      </c>
      <c r="J315" t="n">
        <v>0</v>
      </c>
      <c r="K315" t="n">
        <v>0</v>
      </c>
      <c r="L315" t="n">
        <v>0</v>
      </c>
      <c r="M315" t="n">
        <v>0</v>
      </c>
      <c r="N315" t="n">
        <v>0</v>
      </c>
      <c r="O315" t="n">
        <v>0</v>
      </c>
      <c r="P315" t="n">
        <v>0</v>
      </c>
      <c r="Q315" t="n">
        <v>0</v>
      </c>
      <c r="R315" s="2" t="inlineStr"/>
    </row>
    <row r="316" ht="15" customHeight="1">
      <c r="A316" t="inlineStr">
        <is>
          <t>A 18069-2019</t>
        </is>
      </c>
      <c r="B316" s="1" t="n">
        <v>43557</v>
      </c>
      <c r="C316" s="1" t="n">
        <v>45750</v>
      </c>
      <c r="D316" t="inlineStr">
        <is>
          <t>VÄSTERNORRLANDS LÄN</t>
        </is>
      </c>
      <c r="E316" t="inlineStr">
        <is>
          <t>ÅNGE</t>
        </is>
      </c>
      <c r="F316" t="inlineStr">
        <is>
          <t>SCA</t>
        </is>
      </c>
      <c r="G316" t="n">
        <v>21.2</v>
      </c>
      <c r="H316" t="n">
        <v>0</v>
      </c>
      <c r="I316" t="n">
        <v>0</v>
      </c>
      <c r="J316" t="n">
        <v>0</v>
      </c>
      <c r="K316" t="n">
        <v>0</v>
      </c>
      <c r="L316" t="n">
        <v>0</v>
      </c>
      <c r="M316" t="n">
        <v>0</v>
      </c>
      <c r="N316" t="n">
        <v>0</v>
      </c>
      <c r="O316" t="n">
        <v>0</v>
      </c>
      <c r="P316" t="n">
        <v>0</v>
      </c>
      <c r="Q316" t="n">
        <v>0</v>
      </c>
      <c r="R316" s="2" t="inlineStr"/>
    </row>
    <row r="317" ht="15" customHeight="1">
      <c r="A317" t="inlineStr">
        <is>
          <t>A 18304-2019</t>
        </is>
      </c>
      <c r="B317" s="1" t="n">
        <v>43558</v>
      </c>
      <c r="C317" s="1" t="n">
        <v>45750</v>
      </c>
      <c r="D317" t="inlineStr">
        <is>
          <t>VÄSTERNORRLANDS LÄN</t>
        </is>
      </c>
      <c r="E317" t="inlineStr">
        <is>
          <t>ÅNGE</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19008-2019</t>
        </is>
      </c>
      <c r="B318" s="1" t="n">
        <v>43563</v>
      </c>
      <c r="C318" s="1" t="n">
        <v>45750</v>
      </c>
      <c r="D318" t="inlineStr">
        <is>
          <t>VÄSTERNORRLANDS LÄN</t>
        </is>
      </c>
      <c r="E318" t="inlineStr">
        <is>
          <t>ÅNGE</t>
        </is>
      </c>
      <c r="G318" t="n">
        <v>5.7</v>
      </c>
      <c r="H318" t="n">
        <v>0</v>
      </c>
      <c r="I318" t="n">
        <v>0</v>
      </c>
      <c r="J318" t="n">
        <v>0</v>
      </c>
      <c r="K318" t="n">
        <v>0</v>
      </c>
      <c r="L318" t="n">
        <v>0</v>
      </c>
      <c r="M318" t="n">
        <v>0</v>
      </c>
      <c r="N318" t="n">
        <v>0</v>
      </c>
      <c r="O318" t="n">
        <v>0</v>
      </c>
      <c r="P318" t="n">
        <v>0</v>
      </c>
      <c r="Q318" t="n">
        <v>0</v>
      </c>
      <c r="R318" s="2" t="inlineStr"/>
    </row>
    <row r="319" ht="15" customHeight="1">
      <c r="A319" t="inlineStr">
        <is>
          <t>A 19273-2019</t>
        </is>
      </c>
      <c r="B319" s="1" t="n">
        <v>43564</v>
      </c>
      <c r="C319" s="1" t="n">
        <v>45750</v>
      </c>
      <c r="D319" t="inlineStr">
        <is>
          <t>VÄSTERNORRLANDS LÄN</t>
        </is>
      </c>
      <c r="E319" t="inlineStr">
        <is>
          <t>ÅNGE</t>
        </is>
      </c>
      <c r="G319" t="n">
        <v>5.3</v>
      </c>
      <c r="H319" t="n">
        <v>0</v>
      </c>
      <c r="I319" t="n">
        <v>0</v>
      </c>
      <c r="J319" t="n">
        <v>0</v>
      </c>
      <c r="K319" t="n">
        <v>0</v>
      </c>
      <c r="L319" t="n">
        <v>0</v>
      </c>
      <c r="M319" t="n">
        <v>0</v>
      </c>
      <c r="N319" t="n">
        <v>0</v>
      </c>
      <c r="O319" t="n">
        <v>0</v>
      </c>
      <c r="P319" t="n">
        <v>0</v>
      </c>
      <c r="Q319" t="n">
        <v>0</v>
      </c>
      <c r="R319" s="2" t="inlineStr"/>
    </row>
    <row r="320" ht="15" customHeight="1">
      <c r="A320" t="inlineStr">
        <is>
          <t>A 19274-2019</t>
        </is>
      </c>
      <c r="B320" s="1" t="n">
        <v>43564</v>
      </c>
      <c r="C320" s="1" t="n">
        <v>45750</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19266-2019</t>
        </is>
      </c>
      <c r="B321" s="1" t="n">
        <v>43564</v>
      </c>
      <c r="C321" s="1" t="n">
        <v>45750</v>
      </c>
      <c r="D321" t="inlineStr">
        <is>
          <t>VÄSTERNORRLANDS LÄN</t>
        </is>
      </c>
      <c r="E321" t="inlineStr">
        <is>
          <t>ÅNGE</t>
        </is>
      </c>
      <c r="G321" t="n">
        <v>4</v>
      </c>
      <c r="H321" t="n">
        <v>0</v>
      </c>
      <c r="I321" t="n">
        <v>0</v>
      </c>
      <c r="J321" t="n">
        <v>0</v>
      </c>
      <c r="K321" t="n">
        <v>0</v>
      </c>
      <c r="L321" t="n">
        <v>0</v>
      </c>
      <c r="M321" t="n">
        <v>0</v>
      </c>
      <c r="N321" t="n">
        <v>0</v>
      </c>
      <c r="O321" t="n">
        <v>0</v>
      </c>
      <c r="P321" t="n">
        <v>0</v>
      </c>
      <c r="Q321" t="n">
        <v>0</v>
      </c>
      <c r="R321" s="2" t="inlineStr"/>
    </row>
    <row r="322" ht="15" customHeight="1">
      <c r="A322" t="inlineStr">
        <is>
          <t>A 19270-2019</t>
        </is>
      </c>
      <c r="B322" s="1" t="n">
        <v>43564</v>
      </c>
      <c r="C322" s="1" t="n">
        <v>45750</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19310-2019</t>
        </is>
      </c>
      <c r="B323" s="1" t="n">
        <v>43565</v>
      </c>
      <c r="C323" s="1" t="n">
        <v>45750</v>
      </c>
      <c r="D323" t="inlineStr">
        <is>
          <t>VÄSTERNORRLANDS LÄN</t>
        </is>
      </c>
      <c r="E323" t="inlineStr">
        <is>
          <t>ÅNGE</t>
        </is>
      </c>
      <c r="G323" t="n">
        <v>1.4</v>
      </c>
      <c r="H323" t="n">
        <v>0</v>
      </c>
      <c r="I323" t="n">
        <v>0</v>
      </c>
      <c r="J323" t="n">
        <v>0</v>
      </c>
      <c r="K323" t="n">
        <v>0</v>
      </c>
      <c r="L323" t="n">
        <v>0</v>
      </c>
      <c r="M323" t="n">
        <v>0</v>
      </c>
      <c r="N323" t="n">
        <v>0</v>
      </c>
      <c r="O323" t="n">
        <v>0</v>
      </c>
      <c r="P323" t="n">
        <v>0</v>
      </c>
      <c r="Q323" t="n">
        <v>0</v>
      </c>
      <c r="R323" s="2" t="inlineStr"/>
    </row>
    <row r="324" ht="15" customHeight="1">
      <c r="A324" t="inlineStr">
        <is>
          <t>A 20062-2019</t>
        </is>
      </c>
      <c r="B324" s="1" t="n">
        <v>43570</v>
      </c>
      <c r="C324" s="1" t="n">
        <v>45750</v>
      </c>
      <c r="D324" t="inlineStr">
        <is>
          <t>VÄSTERNORRLANDS LÄN</t>
        </is>
      </c>
      <c r="E324" t="inlineStr">
        <is>
          <t>ÅNGE</t>
        </is>
      </c>
      <c r="G324" t="n">
        <v>4.3</v>
      </c>
      <c r="H324" t="n">
        <v>0</v>
      </c>
      <c r="I324" t="n">
        <v>0</v>
      </c>
      <c r="J324" t="n">
        <v>0</v>
      </c>
      <c r="K324" t="n">
        <v>0</v>
      </c>
      <c r="L324" t="n">
        <v>0</v>
      </c>
      <c r="M324" t="n">
        <v>0</v>
      </c>
      <c r="N324" t="n">
        <v>0</v>
      </c>
      <c r="O324" t="n">
        <v>0</v>
      </c>
      <c r="P324" t="n">
        <v>0</v>
      </c>
      <c r="Q324" t="n">
        <v>0</v>
      </c>
      <c r="R324" s="2" t="inlineStr"/>
    </row>
    <row r="325" ht="15" customHeight="1">
      <c r="A325" t="inlineStr">
        <is>
          <t>A 20102-2019</t>
        </is>
      </c>
      <c r="B325" s="1" t="n">
        <v>43570</v>
      </c>
      <c r="C325" s="1" t="n">
        <v>45750</v>
      </c>
      <c r="D325" t="inlineStr">
        <is>
          <t>VÄSTERNORRLANDS LÄN</t>
        </is>
      </c>
      <c r="E325" t="inlineStr">
        <is>
          <t>ÅNGE</t>
        </is>
      </c>
      <c r="F325" t="inlineStr">
        <is>
          <t>Övriga Aktiebolag</t>
        </is>
      </c>
      <c r="G325" t="n">
        <v>3.6</v>
      </c>
      <c r="H325" t="n">
        <v>0</v>
      </c>
      <c r="I325" t="n">
        <v>0</v>
      </c>
      <c r="J325" t="n">
        <v>0</v>
      </c>
      <c r="K325" t="n">
        <v>0</v>
      </c>
      <c r="L325" t="n">
        <v>0</v>
      </c>
      <c r="M325" t="n">
        <v>0</v>
      </c>
      <c r="N325" t="n">
        <v>0</v>
      </c>
      <c r="O325" t="n">
        <v>0</v>
      </c>
      <c r="P325" t="n">
        <v>0</v>
      </c>
      <c r="Q325" t="n">
        <v>0</v>
      </c>
      <c r="R325" s="2" t="inlineStr"/>
    </row>
    <row r="326" ht="15" customHeight="1">
      <c r="A326" t="inlineStr">
        <is>
          <t>A 20397-2019</t>
        </is>
      </c>
      <c r="B326" s="1" t="n">
        <v>43571</v>
      </c>
      <c r="C326" s="1" t="n">
        <v>45750</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20400-2019</t>
        </is>
      </c>
      <c r="B327" s="1" t="n">
        <v>43571</v>
      </c>
      <c r="C327" s="1" t="n">
        <v>45750</v>
      </c>
      <c r="D327" t="inlineStr">
        <is>
          <t>VÄSTERNORRLANDS LÄN</t>
        </is>
      </c>
      <c r="E327" t="inlineStr">
        <is>
          <t>ÅNGE</t>
        </is>
      </c>
      <c r="G327" t="n">
        <v>0.2</v>
      </c>
      <c r="H327" t="n">
        <v>0</v>
      </c>
      <c r="I327" t="n">
        <v>0</v>
      </c>
      <c r="J327" t="n">
        <v>0</v>
      </c>
      <c r="K327" t="n">
        <v>0</v>
      </c>
      <c r="L327" t="n">
        <v>0</v>
      </c>
      <c r="M327" t="n">
        <v>0</v>
      </c>
      <c r="N327" t="n">
        <v>0</v>
      </c>
      <c r="O327" t="n">
        <v>0</v>
      </c>
      <c r="P327" t="n">
        <v>0</v>
      </c>
      <c r="Q327" t="n">
        <v>0</v>
      </c>
      <c r="R327" s="2" t="inlineStr"/>
    </row>
    <row r="328" ht="15" customHeight="1">
      <c r="A328" t="inlineStr">
        <is>
          <t>A 20600-2019</t>
        </is>
      </c>
      <c r="B328" s="1" t="n">
        <v>43572</v>
      </c>
      <c r="C328" s="1" t="n">
        <v>45750</v>
      </c>
      <c r="D328" t="inlineStr">
        <is>
          <t>VÄSTERNORRLANDS LÄN</t>
        </is>
      </c>
      <c r="E328" t="inlineStr">
        <is>
          <t>ÅNGE</t>
        </is>
      </c>
      <c r="G328" t="n">
        <v>3.9</v>
      </c>
      <c r="H328" t="n">
        <v>0</v>
      </c>
      <c r="I328" t="n">
        <v>0</v>
      </c>
      <c r="J328" t="n">
        <v>0</v>
      </c>
      <c r="K328" t="n">
        <v>0</v>
      </c>
      <c r="L328" t="n">
        <v>0</v>
      </c>
      <c r="M328" t="n">
        <v>0</v>
      </c>
      <c r="N328" t="n">
        <v>0</v>
      </c>
      <c r="O328" t="n">
        <v>0</v>
      </c>
      <c r="P328" t="n">
        <v>0</v>
      </c>
      <c r="Q328" t="n">
        <v>0</v>
      </c>
      <c r="R328" s="2" t="inlineStr"/>
    </row>
    <row r="329" ht="15" customHeight="1">
      <c r="A329" t="inlineStr">
        <is>
          <t>A 21375-2019</t>
        </is>
      </c>
      <c r="B329" s="1" t="n">
        <v>43579</v>
      </c>
      <c r="C329" s="1" t="n">
        <v>45750</v>
      </c>
      <c r="D329" t="inlineStr">
        <is>
          <t>VÄSTERNORRLANDS LÄN</t>
        </is>
      </c>
      <c r="E329" t="inlineStr">
        <is>
          <t>ÅNGE</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21715-2019</t>
        </is>
      </c>
      <c r="B330" s="1" t="n">
        <v>43581</v>
      </c>
      <c r="C330" s="1" t="n">
        <v>45750</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21726-2019</t>
        </is>
      </c>
      <c r="B331" s="1" t="n">
        <v>43581</v>
      </c>
      <c r="C331" s="1" t="n">
        <v>45750</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21795-2019</t>
        </is>
      </c>
      <c r="B332" s="1" t="n">
        <v>43581</v>
      </c>
      <c r="C332" s="1" t="n">
        <v>45750</v>
      </c>
      <c r="D332" t="inlineStr">
        <is>
          <t>VÄSTERNORRLANDS LÄN</t>
        </is>
      </c>
      <c r="E332" t="inlineStr">
        <is>
          <t>ÅNGE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21633-2019</t>
        </is>
      </c>
      <c r="B333" s="1" t="n">
        <v>43581</v>
      </c>
      <c r="C333" s="1" t="n">
        <v>45750</v>
      </c>
      <c r="D333" t="inlineStr">
        <is>
          <t>VÄSTERNORRLANDS LÄN</t>
        </is>
      </c>
      <c r="E333" t="inlineStr">
        <is>
          <t>ÅNGE</t>
        </is>
      </c>
      <c r="G333" t="n">
        <v>7.1</v>
      </c>
      <c r="H333" t="n">
        <v>0</v>
      </c>
      <c r="I333" t="n">
        <v>0</v>
      </c>
      <c r="J333" t="n">
        <v>0</v>
      </c>
      <c r="K333" t="n">
        <v>0</v>
      </c>
      <c r="L333" t="n">
        <v>0</v>
      </c>
      <c r="M333" t="n">
        <v>0</v>
      </c>
      <c r="N333" t="n">
        <v>0</v>
      </c>
      <c r="O333" t="n">
        <v>0</v>
      </c>
      <c r="P333" t="n">
        <v>0</v>
      </c>
      <c r="Q333" t="n">
        <v>0</v>
      </c>
      <c r="R333" s="2" t="inlineStr"/>
    </row>
    <row r="334" ht="15" customHeight="1">
      <c r="A334" t="inlineStr">
        <is>
          <t>A 22202-2019</t>
        </is>
      </c>
      <c r="B334" s="1" t="n">
        <v>43585</v>
      </c>
      <c r="C334" s="1" t="n">
        <v>45750</v>
      </c>
      <c r="D334" t="inlineStr">
        <is>
          <t>VÄSTERNORRLANDS LÄN</t>
        </is>
      </c>
      <c r="E334" t="inlineStr">
        <is>
          <t>ÅNGE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23403-2019</t>
        </is>
      </c>
      <c r="B335" s="1" t="n">
        <v>43592</v>
      </c>
      <c r="C335" s="1" t="n">
        <v>45750</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23288-2019</t>
        </is>
      </c>
      <c r="B336" s="1" t="n">
        <v>43593</v>
      </c>
      <c r="C336" s="1" t="n">
        <v>45750</v>
      </c>
      <c r="D336" t="inlineStr">
        <is>
          <t>VÄSTERNORRLANDS LÄN</t>
        </is>
      </c>
      <c r="E336" t="inlineStr">
        <is>
          <t>ÅNGE</t>
        </is>
      </c>
      <c r="G336" t="n">
        <v>2.9</v>
      </c>
      <c r="H336" t="n">
        <v>0</v>
      </c>
      <c r="I336" t="n">
        <v>0</v>
      </c>
      <c r="J336" t="n">
        <v>0</v>
      </c>
      <c r="K336" t="n">
        <v>0</v>
      </c>
      <c r="L336" t="n">
        <v>0</v>
      </c>
      <c r="M336" t="n">
        <v>0</v>
      </c>
      <c r="N336" t="n">
        <v>0</v>
      </c>
      <c r="O336" t="n">
        <v>0</v>
      </c>
      <c r="P336" t="n">
        <v>0</v>
      </c>
      <c r="Q336" t="n">
        <v>0</v>
      </c>
      <c r="R336" s="2" t="inlineStr"/>
    </row>
    <row r="337" ht="15" customHeight="1">
      <c r="A337" t="inlineStr">
        <is>
          <t>A 24567-2019</t>
        </is>
      </c>
      <c r="B337" s="1" t="n">
        <v>43600</v>
      </c>
      <c r="C337" s="1" t="n">
        <v>45750</v>
      </c>
      <c r="D337" t="inlineStr">
        <is>
          <t>VÄSTERNORRLANDS LÄN</t>
        </is>
      </c>
      <c r="E337" t="inlineStr">
        <is>
          <t>ÅNGE</t>
        </is>
      </c>
      <c r="G337" t="n">
        <v>2.7</v>
      </c>
      <c r="H337" t="n">
        <v>0</v>
      </c>
      <c r="I337" t="n">
        <v>0</v>
      </c>
      <c r="J337" t="n">
        <v>0</v>
      </c>
      <c r="K337" t="n">
        <v>0</v>
      </c>
      <c r="L337" t="n">
        <v>0</v>
      </c>
      <c r="M337" t="n">
        <v>0</v>
      </c>
      <c r="N337" t="n">
        <v>0</v>
      </c>
      <c r="O337" t="n">
        <v>0</v>
      </c>
      <c r="P337" t="n">
        <v>0</v>
      </c>
      <c r="Q337" t="n">
        <v>0</v>
      </c>
      <c r="R337" s="2" t="inlineStr"/>
    </row>
    <row r="338" ht="15" customHeight="1">
      <c r="A338" t="inlineStr">
        <is>
          <t>A 24568-2019</t>
        </is>
      </c>
      <c r="B338" s="1" t="n">
        <v>43600</v>
      </c>
      <c r="C338" s="1" t="n">
        <v>45750</v>
      </c>
      <c r="D338" t="inlineStr">
        <is>
          <t>VÄSTERNORRLANDS LÄN</t>
        </is>
      </c>
      <c r="E338" t="inlineStr">
        <is>
          <t>ÅNGE</t>
        </is>
      </c>
      <c r="G338" t="n">
        <v>3.2</v>
      </c>
      <c r="H338" t="n">
        <v>0</v>
      </c>
      <c r="I338" t="n">
        <v>0</v>
      </c>
      <c r="J338" t="n">
        <v>0</v>
      </c>
      <c r="K338" t="n">
        <v>0</v>
      </c>
      <c r="L338" t="n">
        <v>0</v>
      </c>
      <c r="M338" t="n">
        <v>0</v>
      </c>
      <c r="N338" t="n">
        <v>0</v>
      </c>
      <c r="O338" t="n">
        <v>0</v>
      </c>
      <c r="P338" t="n">
        <v>0</v>
      </c>
      <c r="Q338" t="n">
        <v>0</v>
      </c>
      <c r="R338" s="2" t="inlineStr"/>
    </row>
    <row r="339" ht="15" customHeight="1">
      <c r="A339" t="inlineStr">
        <is>
          <t>A 24569-2019</t>
        </is>
      </c>
      <c r="B339" s="1" t="n">
        <v>43600</v>
      </c>
      <c r="C339" s="1" t="n">
        <v>45750</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24781-2019</t>
        </is>
      </c>
      <c r="B340" s="1" t="n">
        <v>43601</v>
      </c>
      <c r="C340" s="1" t="n">
        <v>45750</v>
      </c>
      <c r="D340" t="inlineStr">
        <is>
          <t>VÄSTERNORRLANDS LÄN</t>
        </is>
      </c>
      <c r="E340" t="inlineStr">
        <is>
          <t>ÅNGE</t>
        </is>
      </c>
      <c r="F340" t="inlineStr">
        <is>
          <t>SCA</t>
        </is>
      </c>
      <c r="G340" t="n">
        <v>14.6</v>
      </c>
      <c r="H340" t="n">
        <v>0</v>
      </c>
      <c r="I340" t="n">
        <v>0</v>
      </c>
      <c r="J340" t="n">
        <v>0</v>
      </c>
      <c r="K340" t="n">
        <v>0</v>
      </c>
      <c r="L340" t="n">
        <v>0</v>
      </c>
      <c r="M340" t="n">
        <v>0</v>
      </c>
      <c r="N340" t="n">
        <v>0</v>
      </c>
      <c r="O340" t="n">
        <v>0</v>
      </c>
      <c r="P340" t="n">
        <v>0</v>
      </c>
      <c r="Q340" t="n">
        <v>0</v>
      </c>
      <c r="R340" s="2" t="inlineStr"/>
    </row>
    <row r="341" ht="15" customHeight="1">
      <c r="A341" t="inlineStr">
        <is>
          <t>A 25453-2019</t>
        </is>
      </c>
      <c r="B341" s="1" t="n">
        <v>43606</v>
      </c>
      <c r="C341" s="1" t="n">
        <v>45750</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25549-2019</t>
        </is>
      </c>
      <c r="B342" s="1" t="n">
        <v>43607</v>
      </c>
      <c r="C342" s="1" t="n">
        <v>45750</v>
      </c>
      <c r="D342" t="inlineStr">
        <is>
          <t>VÄSTERNORRLANDS LÄN</t>
        </is>
      </c>
      <c r="E342" t="inlineStr">
        <is>
          <t>ÅNGE</t>
        </is>
      </c>
      <c r="G342" t="n">
        <v>2.8</v>
      </c>
      <c r="H342" t="n">
        <v>0</v>
      </c>
      <c r="I342" t="n">
        <v>0</v>
      </c>
      <c r="J342" t="n">
        <v>0</v>
      </c>
      <c r="K342" t="n">
        <v>0</v>
      </c>
      <c r="L342" t="n">
        <v>0</v>
      </c>
      <c r="M342" t="n">
        <v>0</v>
      </c>
      <c r="N342" t="n">
        <v>0</v>
      </c>
      <c r="O342" t="n">
        <v>0</v>
      </c>
      <c r="P342" t="n">
        <v>0</v>
      </c>
      <c r="Q342" t="n">
        <v>0</v>
      </c>
      <c r="R342" s="2" t="inlineStr"/>
    </row>
    <row r="343" ht="15" customHeight="1">
      <c r="A343" t="inlineStr">
        <is>
          <t>A 26545-2019</t>
        </is>
      </c>
      <c r="B343" s="1" t="n">
        <v>43612</v>
      </c>
      <c r="C343" s="1" t="n">
        <v>45750</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27211-2019</t>
        </is>
      </c>
      <c r="B344" s="1" t="n">
        <v>43614</v>
      </c>
      <c r="C344" s="1" t="n">
        <v>45750</v>
      </c>
      <c r="D344" t="inlineStr">
        <is>
          <t>VÄSTERNORRLANDS LÄN</t>
        </is>
      </c>
      <c r="E344" t="inlineStr">
        <is>
          <t>ÅNGE</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27759-2019</t>
        </is>
      </c>
      <c r="B345" s="1" t="n">
        <v>43619</v>
      </c>
      <c r="C345" s="1" t="n">
        <v>45750</v>
      </c>
      <c r="D345" t="inlineStr">
        <is>
          <t>VÄSTERNORRLANDS LÄN</t>
        </is>
      </c>
      <c r="E345" t="inlineStr">
        <is>
          <t>ÅNGE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28856-2019</t>
        </is>
      </c>
      <c r="B346" s="1" t="n">
        <v>43627</v>
      </c>
      <c r="C346" s="1" t="n">
        <v>45750</v>
      </c>
      <c r="D346" t="inlineStr">
        <is>
          <t>VÄSTERNORRLANDS LÄN</t>
        </is>
      </c>
      <c r="E346" t="inlineStr">
        <is>
          <t>ÅNGE</t>
        </is>
      </c>
      <c r="G346" t="n">
        <v>6.9</v>
      </c>
      <c r="H346" t="n">
        <v>0</v>
      </c>
      <c r="I346" t="n">
        <v>0</v>
      </c>
      <c r="J346" t="n">
        <v>0</v>
      </c>
      <c r="K346" t="n">
        <v>0</v>
      </c>
      <c r="L346" t="n">
        <v>0</v>
      </c>
      <c r="M346" t="n">
        <v>0</v>
      </c>
      <c r="N346" t="n">
        <v>0</v>
      </c>
      <c r="O346" t="n">
        <v>0</v>
      </c>
      <c r="P346" t="n">
        <v>0</v>
      </c>
      <c r="Q346" t="n">
        <v>0</v>
      </c>
      <c r="R346" s="2" t="inlineStr"/>
    </row>
    <row r="347" ht="15" customHeight="1">
      <c r="A347" t="inlineStr">
        <is>
          <t>A 28858-2019</t>
        </is>
      </c>
      <c r="B347" s="1" t="n">
        <v>43627</v>
      </c>
      <c r="C347" s="1" t="n">
        <v>45750</v>
      </c>
      <c r="D347" t="inlineStr">
        <is>
          <t>VÄSTERNORRLANDS LÄN</t>
        </is>
      </c>
      <c r="E347" t="inlineStr">
        <is>
          <t>ÅNGE</t>
        </is>
      </c>
      <c r="G347" t="n">
        <v>0.7</v>
      </c>
      <c r="H347" t="n">
        <v>0</v>
      </c>
      <c r="I347" t="n">
        <v>0</v>
      </c>
      <c r="J347" t="n">
        <v>0</v>
      </c>
      <c r="K347" t="n">
        <v>0</v>
      </c>
      <c r="L347" t="n">
        <v>0</v>
      </c>
      <c r="M347" t="n">
        <v>0</v>
      </c>
      <c r="N347" t="n">
        <v>0</v>
      </c>
      <c r="O347" t="n">
        <v>0</v>
      </c>
      <c r="P347" t="n">
        <v>0</v>
      </c>
      <c r="Q347" t="n">
        <v>0</v>
      </c>
      <c r="R347" s="2" t="inlineStr"/>
    </row>
    <row r="348" ht="15" customHeight="1">
      <c r="A348" t="inlineStr">
        <is>
          <t>A 28857-2019</t>
        </is>
      </c>
      <c r="B348" s="1" t="n">
        <v>43627</v>
      </c>
      <c r="C348" s="1" t="n">
        <v>45750</v>
      </c>
      <c r="D348" t="inlineStr">
        <is>
          <t>VÄSTERNORRLANDS LÄN</t>
        </is>
      </c>
      <c r="E348" t="inlineStr">
        <is>
          <t>ÅNGE</t>
        </is>
      </c>
      <c r="G348" t="n">
        <v>4.1</v>
      </c>
      <c r="H348" t="n">
        <v>0</v>
      </c>
      <c r="I348" t="n">
        <v>0</v>
      </c>
      <c r="J348" t="n">
        <v>0</v>
      </c>
      <c r="K348" t="n">
        <v>0</v>
      </c>
      <c r="L348" t="n">
        <v>0</v>
      </c>
      <c r="M348" t="n">
        <v>0</v>
      </c>
      <c r="N348" t="n">
        <v>0</v>
      </c>
      <c r="O348" t="n">
        <v>0</v>
      </c>
      <c r="P348" t="n">
        <v>0</v>
      </c>
      <c r="Q348" t="n">
        <v>0</v>
      </c>
      <c r="R348" s="2" t="inlineStr"/>
    </row>
    <row r="349" ht="15" customHeight="1">
      <c r="A349" t="inlineStr">
        <is>
          <t>A 28855-2019</t>
        </is>
      </c>
      <c r="B349" s="1" t="n">
        <v>43627</v>
      </c>
      <c r="C349" s="1" t="n">
        <v>45750</v>
      </c>
      <c r="D349" t="inlineStr">
        <is>
          <t>VÄSTERNORRLANDS LÄN</t>
        </is>
      </c>
      <c r="E349" t="inlineStr">
        <is>
          <t>ÅNGE</t>
        </is>
      </c>
      <c r="G349" t="n">
        <v>8.6</v>
      </c>
      <c r="H349" t="n">
        <v>0</v>
      </c>
      <c r="I349" t="n">
        <v>0</v>
      </c>
      <c r="J349" t="n">
        <v>0</v>
      </c>
      <c r="K349" t="n">
        <v>0</v>
      </c>
      <c r="L349" t="n">
        <v>0</v>
      </c>
      <c r="M349" t="n">
        <v>0</v>
      </c>
      <c r="N349" t="n">
        <v>0</v>
      </c>
      <c r="O349" t="n">
        <v>0</v>
      </c>
      <c r="P349" t="n">
        <v>0</v>
      </c>
      <c r="Q349" t="n">
        <v>0</v>
      </c>
      <c r="R349" s="2" t="inlineStr"/>
    </row>
    <row r="350" ht="15" customHeight="1">
      <c r="A350" t="inlineStr">
        <is>
          <t>A 29141-2019</t>
        </is>
      </c>
      <c r="B350" s="1" t="n">
        <v>43628</v>
      </c>
      <c r="C350" s="1" t="n">
        <v>45750</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29794-2019</t>
        </is>
      </c>
      <c r="B351" s="1" t="n">
        <v>43633</v>
      </c>
      <c r="C351" s="1" t="n">
        <v>45750</v>
      </c>
      <c r="D351" t="inlineStr">
        <is>
          <t>VÄSTERNORRLANDS LÄN</t>
        </is>
      </c>
      <c r="E351" t="inlineStr">
        <is>
          <t>ÅNGE</t>
        </is>
      </c>
      <c r="G351" t="n">
        <v>0.8</v>
      </c>
      <c r="H351" t="n">
        <v>0</v>
      </c>
      <c r="I351" t="n">
        <v>0</v>
      </c>
      <c r="J351" t="n">
        <v>0</v>
      </c>
      <c r="K351" t="n">
        <v>0</v>
      </c>
      <c r="L351" t="n">
        <v>0</v>
      </c>
      <c r="M351" t="n">
        <v>0</v>
      </c>
      <c r="N351" t="n">
        <v>0</v>
      </c>
      <c r="O351" t="n">
        <v>0</v>
      </c>
      <c r="P351" t="n">
        <v>0</v>
      </c>
      <c r="Q351" t="n">
        <v>0</v>
      </c>
      <c r="R351" s="2" t="inlineStr"/>
    </row>
    <row r="352" ht="15" customHeight="1">
      <c r="A352" t="inlineStr">
        <is>
          <t>A 29786-2019</t>
        </is>
      </c>
      <c r="B352" s="1" t="n">
        <v>43633</v>
      </c>
      <c r="C352" s="1" t="n">
        <v>45750</v>
      </c>
      <c r="D352" t="inlineStr">
        <is>
          <t>VÄSTERNORRLANDS LÄN</t>
        </is>
      </c>
      <c r="E352" t="inlineStr">
        <is>
          <t>ÅNGE</t>
        </is>
      </c>
      <c r="G352" t="n">
        <v>1.8</v>
      </c>
      <c r="H352" t="n">
        <v>0</v>
      </c>
      <c r="I352" t="n">
        <v>0</v>
      </c>
      <c r="J352" t="n">
        <v>0</v>
      </c>
      <c r="K352" t="n">
        <v>0</v>
      </c>
      <c r="L352" t="n">
        <v>0</v>
      </c>
      <c r="M352" t="n">
        <v>0</v>
      </c>
      <c r="N352" t="n">
        <v>0</v>
      </c>
      <c r="O352" t="n">
        <v>0</v>
      </c>
      <c r="P352" t="n">
        <v>0</v>
      </c>
      <c r="Q352" t="n">
        <v>0</v>
      </c>
      <c r="R352" s="2" t="inlineStr"/>
    </row>
    <row r="353" ht="15" customHeight="1">
      <c r="A353" t="inlineStr">
        <is>
          <t>A 31001-2019</t>
        </is>
      </c>
      <c r="B353" s="1" t="n">
        <v>43640</v>
      </c>
      <c r="C353" s="1" t="n">
        <v>45750</v>
      </c>
      <c r="D353" t="inlineStr">
        <is>
          <t>VÄSTERNORRLANDS LÄN</t>
        </is>
      </c>
      <c r="E353" t="inlineStr">
        <is>
          <t>ÅNGE</t>
        </is>
      </c>
      <c r="G353" t="n">
        <v>0.2</v>
      </c>
      <c r="H353" t="n">
        <v>0</v>
      </c>
      <c r="I353" t="n">
        <v>0</v>
      </c>
      <c r="J353" t="n">
        <v>0</v>
      </c>
      <c r="K353" t="n">
        <v>0</v>
      </c>
      <c r="L353" t="n">
        <v>0</v>
      </c>
      <c r="M353" t="n">
        <v>0</v>
      </c>
      <c r="N353" t="n">
        <v>0</v>
      </c>
      <c r="O353" t="n">
        <v>0</v>
      </c>
      <c r="P353" t="n">
        <v>0</v>
      </c>
      <c r="Q353" t="n">
        <v>0</v>
      </c>
      <c r="R353" s="2" t="inlineStr"/>
    </row>
    <row r="354" ht="15" customHeight="1">
      <c r="A354" t="inlineStr">
        <is>
          <t>A 31804-2019</t>
        </is>
      </c>
      <c r="B354" s="1" t="n">
        <v>43642</v>
      </c>
      <c r="C354" s="1" t="n">
        <v>45750</v>
      </c>
      <c r="D354" t="inlineStr">
        <is>
          <t>VÄSTERNORRLANDS LÄN</t>
        </is>
      </c>
      <c r="E354" t="inlineStr">
        <is>
          <t>ÅNGE</t>
        </is>
      </c>
      <c r="G354" t="n">
        <v>10.3</v>
      </c>
      <c r="H354" t="n">
        <v>0</v>
      </c>
      <c r="I354" t="n">
        <v>0</v>
      </c>
      <c r="J354" t="n">
        <v>0</v>
      </c>
      <c r="K354" t="n">
        <v>0</v>
      </c>
      <c r="L354" t="n">
        <v>0</v>
      </c>
      <c r="M354" t="n">
        <v>0</v>
      </c>
      <c r="N354" t="n">
        <v>0</v>
      </c>
      <c r="O354" t="n">
        <v>0</v>
      </c>
      <c r="P354" t="n">
        <v>0</v>
      </c>
      <c r="Q354" t="n">
        <v>0</v>
      </c>
      <c r="R354" s="2" t="inlineStr"/>
    </row>
    <row r="355" ht="15" customHeight="1">
      <c r="A355" t="inlineStr">
        <is>
          <t>A 32740-2019</t>
        </is>
      </c>
      <c r="B355" s="1" t="n">
        <v>43647</v>
      </c>
      <c r="C355" s="1" t="n">
        <v>45750</v>
      </c>
      <c r="D355" t="inlineStr">
        <is>
          <t>VÄSTERNORRLANDS LÄN</t>
        </is>
      </c>
      <c r="E355" t="inlineStr">
        <is>
          <t>ÅNGE</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33471-2019</t>
        </is>
      </c>
      <c r="B356" s="1" t="n">
        <v>43650</v>
      </c>
      <c r="C356" s="1" t="n">
        <v>45750</v>
      </c>
      <c r="D356" t="inlineStr">
        <is>
          <t>VÄSTERNORRLANDS LÄN</t>
        </is>
      </c>
      <c r="E356" t="inlineStr">
        <is>
          <t>ÅNGE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33470-2019</t>
        </is>
      </c>
      <c r="B357" s="1" t="n">
        <v>43650</v>
      </c>
      <c r="C357" s="1" t="n">
        <v>45750</v>
      </c>
      <c r="D357" t="inlineStr">
        <is>
          <t>VÄSTERNORRLANDS LÄN</t>
        </is>
      </c>
      <c r="E357" t="inlineStr">
        <is>
          <t>ÅNGE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34135-2019</t>
        </is>
      </c>
      <c r="B358" s="1" t="n">
        <v>43654</v>
      </c>
      <c r="C358" s="1" t="n">
        <v>45750</v>
      </c>
      <c r="D358" t="inlineStr">
        <is>
          <t>VÄSTERNORRLANDS LÄN</t>
        </is>
      </c>
      <c r="E358" t="inlineStr">
        <is>
          <t>ÅNGE</t>
        </is>
      </c>
      <c r="G358" t="n">
        <v>0.3</v>
      </c>
      <c r="H358" t="n">
        <v>0</v>
      </c>
      <c r="I358" t="n">
        <v>0</v>
      </c>
      <c r="J358" t="n">
        <v>0</v>
      </c>
      <c r="K358" t="n">
        <v>0</v>
      </c>
      <c r="L358" t="n">
        <v>0</v>
      </c>
      <c r="M358" t="n">
        <v>0</v>
      </c>
      <c r="N358" t="n">
        <v>0</v>
      </c>
      <c r="O358" t="n">
        <v>0</v>
      </c>
      <c r="P358" t="n">
        <v>0</v>
      </c>
      <c r="Q358" t="n">
        <v>0</v>
      </c>
      <c r="R358" s="2" t="inlineStr"/>
      <c r="U358">
        <f>HYPERLINK("https://klasma.github.io/Logging_2260/knärot/A 34135-2019 karta knärot.png", "A 34135-2019")</f>
        <v/>
      </c>
      <c r="V358">
        <f>HYPERLINK("https://klasma.github.io/Logging_2260/klagomål/A 34135-2019 FSC-klagomål.docx", "A 34135-2019")</f>
        <v/>
      </c>
      <c r="W358">
        <f>HYPERLINK("https://klasma.github.io/Logging_2260/klagomålsmail/A 34135-2019 FSC-klagomål mail.docx", "A 34135-2019")</f>
        <v/>
      </c>
      <c r="X358">
        <f>HYPERLINK("https://klasma.github.io/Logging_2260/tillsyn/A 34135-2019 tillsynsbegäran.docx", "A 34135-2019")</f>
        <v/>
      </c>
      <c r="Y358">
        <f>HYPERLINK("https://klasma.github.io/Logging_2260/tillsynsmail/A 34135-2019 tillsynsbegäran mail.docx", "A 34135-2019")</f>
        <v/>
      </c>
    </row>
    <row r="359" ht="15" customHeight="1">
      <c r="A359" t="inlineStr">
        <is>
          <t>A 36438-2019</t>
        </is>
      </c>
      <c r="B359" s="1" t="n">
        <v>43664</v>
      </c>
      <c r="C359" s="1" t="n">
        <v>45750</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36311-2019</t>
        </is>
      </c>
      <c r="B360" s="1" t="n">
        <v>43670</v>
      </c>
      <c r="C360" s="1" t="n">
        <v>45750</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37745-2019</t>
        </is>
      </c>
      <c r="B361" s="1" t="n">
        <v>43679</v>
      </c>
      <c r="C361" s="1" t="n">
        <v>45750</v>
      </c>
      <c r="D361" t="inlineStr">
        <is>
          <t>VÄSTERNORRLANDS LÄN</t>
        </is>
      </c>
      <c r="E361" t="inlineStr">
        <is>
          <t>ÅNGE</t>
        </is>
      </c>
      <c r="G361" t="n">
        <v>11.4</v>
      </c>
      <c r="H361" t="n">
        <v>0</v>
      </c>
      <c r="I361" t="n">
        <v>0</v>
      </c>
      <c r="J361" t="n">
        <v>0</v>
      </c>
      <c r="K361" t="n">
        <v>0</v>
      </c>
      <c r="L361" t="n">
        <v>0</v>
      </c>
      <c r="M361" t="n">
        <v>0</v>
      </c>
      <c r="N361" t="n">
        <v>0</v>
      </c>
      <c r="O361" t="n">
        <v>0</v>
      </c>
      <c r="P361" t="n">
        <v>0</v>
      </c>
      <c r="Q361" t="n">
        <v>0</v>
      </c>
      <c r="R361" s="2" t="inlineStr"/>
    </row>
    <row r="362" ht="15" customHeight="1">
      <c r="A362" t="inlineStr">
        <is>
          <t>A 37887-2019</t>
        </is>
      </c>
      <c r="B362" s="1" t="n">
        <v>43682</v>
      </c>
      <c r="C362" s="1" t="n">
        <v>45750</v>
      </c>
      <c r="D362" t="inlineStr">
        <is>
          <t>VÄSTERNORRLANDS LÄN</t>
        </is>
      </c>
      <c r="E362" t="inlineStr">
        <is>
          <t>ÅNGE</t>
        </is>
      </c>
      <c r="G362" t="n">
        <v>3</v>
      </c>
      <c r="H362" t="n">
        <v>0</v>
      </c>
      <c r="I362" t="n">
        <v>0</v>
      </c>
      <c r="J362" t="n">
        <v>0</v>
      </c>
      <c r="K362" t="n">
        <v>0</v>
      </c>
      <c r="L362" t="n">
        <v>0</v>
      </c>
      <c r="M362" t="n">
        <v>0</v>
      </c>
      <c r="N362" t="n">
        <v>0</v>
      </c>
      <c r="O362" t="n">
        <v>0</v>
      </c>
      <c r="P362" t="n">
        <v>0</v>
      </c>
      <c r="Q362" t="n">
        <v>0</v>
      </c>
      <c r="R362" s="2" t="inlineStr"/>
    </row>
    <row r="363" ht="15" customHeight="1">
      <c r="A363" t="inlineStr">
        <is>
          <t>A 37954-2019</t>
        </is>
      </c>
      <c r="B363" s="1" t="n">
        <v>43683</v>
      </c>
      <c r="C363" s="1" t="n">
        <v>45750</v>
      </c>
      <c r="D363" t="inlineStr">
        <is>
          <t>VÄSTERNORRLANDS LÄN</t>
        </is>
      </c>
      <c r="E363" t="inlineStr">
        <is>
          <t>ÅNGE</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38222-2019</t>
        </is>
      </c>
      <c r="B364" s="1" t="n">
        <v>43684</v>
      </c>
      <c r="C364" s="1" t="n">
        <v>45750</v>
      </c>
      <c r="D364" t="inlineStr">
        <is>
          <t>VÄSTERNORRLANDS LÄN</t>
        </is>
      </c>
      <c r="E364" t="inlineStr">
        <is>
          <t>ÅNGE</t>
        </is>
      </c>
      <c r="G364" t="n">
        <v>4.4</v>
      </c>
      <c r="H364" t="n">
        <v>0</v>
      </c>
      <c r="I364" t="n">
        <v>0</v>
      </c>
      <c r="J364" t="n">
        <v>0</v>
      </c>
      <c r="K364" t="n">
        <v>0</v>
      </c>
      <c r="L364" t="n">
        <v>0</v>
      </c>
      <c r="M364" t="n">
        <v>0</v>
      </c>
      <c r="N364" t="n">
        <v>0</v>
      </c>
      <c r="O364" t="n">
        <v>0</v>
      </c>
      <c r="P364" t="n">
        <v>0</v>
      </c>
      <c r="Q364" t="n">
        <v>0</v>
      </c>
      <c r="R364" s="2" t="inlineStr"/>
    </row>
    <row r="365" ht="15" customHeight="1">
      <c r="A365" t="inlineStr">
        <is>
          <t>A 38215-2019</t>
        </is>
      </c>
      <c r="B365" s="1" t="n">
        <v>43684</v>
      </c>
      <c r="C365" s="1" t="n">
        <v>45750</v>
      </c>
      <c r="D365" t="inlineStr">
        <is>
          <t>VÄSTERNORRLANDS LÄN</t>
        </is>
      </c>
      <c r="E365" t="inlineStr">
        <is>
          <t>ÅNGE</t>
        </is>
      </c>
      <c r="G365" t="n">
        <v>5.6</v>
      </c>
      <c r="H365" t="n">
        <v>0</v>
      </c>
      <c r="I365" t="n">
        <v>0</v>
      </c>
      <c r="J365" t="n">
        <v>0</v>
      </c>
      <c r="K365" t="n">
        <v>0</v>
      </c>
      <c r="L365" t="n">
        <v>0</v>
      </c>
      <c r="M365" t="n">
        <v>0</v>
      </c>
      <c r="N365" t="n">
        <v>0</v>
      </c>
      <c r="O365" t="n">
        <v>0</v>
      </c>
      <c r="P365" t="n">
        <v>0</v>
      </c>
      <c r="Q365" t="n">
        <v>0</v>
      </c>
      <c r="R365" s="2" t="inlineStr"/>
    </row>
    <row r="366" ht="15" customHeight="1">
      <c r="A366" t="inlineStr">
        <is>
          <t>A 38310-2019</t>
        </is>
      </c>
      <c r="B366" s="1" t="n">
        <v>43684</v>
      </c>
      <c r="C366" s="1" t="n">
        <v>45750</v>
      </c>
      <c r="D366" t="inlineStr">
        <is>
          <t>VÄSTERNORRLANDS LÄN</t>
        </is>
      </c>
      <c r="E366" t="inlineStr">
        <is>
          <t>ÅNGE</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38573-2019</t>
        </is>
      </c>
      <c r="B367" s="1" t="n">
        <v>43685</v>
      </c>
      <c r="C367" s="1" t="n">
        <v>45750</v>
      </c>
      <c r="D367" t="inlineStr">
        <is>
          <t>VÄSTERNORRLANDS LÄN</t>
        </is>
      </c>
      <c r="E367" t="inlineStr">
        <is>
          <t>ÅNGE</t>
        </is>
      </c>
      <c r="G367" t="n">
        <v>1.7</v>
      </c>
      <c r="H367" t="n">
        <v>0</v>
      </c>
      <c r="I367" t="n">
        <v>0</v>
      </c>
      <c r="J367" t="n">
        <v>0</v>
      </c>
      <c r="K367" t="n">
        <v>0</v>
      </c>
      <c r="L367" t="n">
        <v>0</v>
      </c>
      <c r="M367" t="n">
        <v>0</v>
      </c>
      <c r="N367" t="n">
        <v>0</v>
      </c>
      <c r="O367" t="n">
        <v>0</v>
      </c>
      <c r="P367" t="n">
        <v>0</v>
      </c>
      <c r="Q367" t="n">
        <v>0</v>
      </c>
      <c r="R367" s="2" t="inlineStr"/>
    </row>
    <row r="368" ht="15" customHeight="1">
      <c r="A368" t="inlineStr">
        <is>
          <t>A 39403-2019</t>
        </is>
      </c>
      <c r="B368" s="1" t="n">
        <v>43690</v>
      </c>
      <c r="C368" s="1" t="n">
        <v>45750</v>
      </c>
      <c r="D368" t="inlineStr">
        <is>
          <t>VÄSTERNORRLANDS LÄN</t>
        </is>
      </c>
      <c r="E368" t="inlineStr">
        <is>
          <t>ÅNGE</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41510-2019</t>
        </is>
      </c>
      <c r="B369" s="1" t="n">
        <v>43696</v>
      </c>
      <c r="C369" s="1" t="n">
        <v>45750</v>
      </c>
      <c r="D369" t="inlineStr">
        <is>
          <t>VÄSTERNORRLANDS LÄN</t>
        </is>
      </c>
      <c r="E369" t="inlineStr">
        <is>
          <t>ÅNGE</t>
        </is>
      </c>
      <c r="G369" t="n">
        <v>5.5</v>
      </c>
      <c r="H369" t="n">
        <v>0</v>
      </c>
      <c r="I369" t="n">
        <v>0</v>
      </c>
      <c r="J369" t="n">
        <v>0</v>
      </c>
      <c r="K369" t="n">
        <v>0</v>
      </c>
      <c r="L369" t="n">
        <v>0</v>
      </c>
      <c r="M369" t="n">
        <v>0</v>
      </c>
      <c r="N369" t="n">
        <v>0</v>
      </c>
      <c r="O369" t="n">
        <v>0</v>
      </c>
      <c r="P369" t="n">
        <v>0</v>
      </c>
      <c r="Q369" t="n">
        <v>0</v>
      </c>
      <c r="R369" s="2" t="inlineStr"/>
    </row>
    <row r="370" ht="15" customHeight="1">
      <c r="A370" t="inlineStr">
        <is>
          <t>A 41018-2019</t>
        </is>
      </c>
      <c r="B370" s="1" t="n">
        <v>43697</v>
      </c>
      <c r="C370" s="1" t="n">
        <v>45750</v>
      </c>
      <c r="D370" t="inlineStr">
        <is>
          <t>VÄSTERNORRLANDS LÄN</t>
        </is>
      </c>
      <c r="E370" t="inlineStr">
        <is>
          <t>ÅNGE</t>
        </is>
      </c>
      <c r="G370" t="n">
        <v>4.3</v>
      </c>
      <c r="H370" t="n">
        <v>0</v>
      </c>
      <c r="I370" t="n">
        <v>0</v>
      </c>
      <c r="J370" t="n">
        <v>0</v>
      </c>
      <c r="K370" t="n">
        <v>0</v>
      </c>
      <c r="L370" t="n">
        <v>0</v>
      </c>
      <c r="M370" t="n">
        <v>0</v>
      </c>
      <c r="N370" t="n">
        <v>0</v>
      </c>
      <c r="O370" t="n">
        <v>0</v>
      </c>
      <c r="P370" t="n">
        <v>0</v>
      </c>
      <c r="Q370" t="n">
        <v>0</v>
      </c>
      <c r="R370" s="2" t="inlineStr"/>
    </row>
    <row r="371" ht="15" customHeight="1">
      <c r="A371" t="inlineStr">
        <is>
          <t>A 42066-2019</t>
        </is>
      </c>
      <c r="B371" s="1" t="n">
        <v>43700</v>
      </c>
      <c r="C371" s="1" t="n">
        <v>45750</v>
      </c>
      <c r="D371" t="inlineStr">
        <is>
          <t>VÄSTERNORRLANDS LÄN</t>
        </is>
      </c>
      <c r="E371" t="inlineStr">
        <is>
          <t>ÅNGE</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43240-2019</t>
        </is>
      </c>
      <c r="B372" s="1" t="n">
        <v>43706</v>
      </c>
      <c r="C372" s="1" t="n">
        <v>45750</v>
      </c>
      <c r="D372" t="inlineStr">
        <is>
          <t>VÄSTERNORRLANDS LÄN</t>
        </is>
      </c>
      <c r="E372" t="inlineStr">
        <is>
          <t>ÅNGE</t>
        </is>
      </c>
      <c r="G372" t="n">
        <v>2.5</v>
      </c>
      <c r="H372" t="n">
        <v>0</v>
      </c>
      <c r="I372" t="n">
        <v>0</v>
      </c>
      <c r="J372" t="n">
        <v>0</v>
      </c>
      <c r="K372" t="n">
        <v>0</v>
      </c>
      <c r="L372" t="n">
        <v>0</v>
      </c>
      <c r="M372" t="n">
        <v>0</v>
      </c>
      <c r="N372" t="n">
        <v>0</v>
      </c>
      <c r="O372" t="n">
        <v>0</v>
      </c>
      <c r="P372" t="n">
        <v>0</v>
      </c>
      <c r="Q372" t="n">
        <v>0</v>
      </c>
      <c r="R372" s="2" t="inlineStr"/>
    </row>
    <row r="373" ht="15" customHeight="1">
      <c r="A373" t="inlineStr">
        <is>
          <t>A 43250-2019</t>
        </is>
      </c>
      <c r="B373" s="1" t="n">
        <v>43706</v>
      </c>
      <c r="C373" s="1" t="n">
        <v>45750</v>
      </c>
      <c r="D373" t="inlineStr">
        <is>
          <t>VÄSTERNORRLANDS LÄN</t>
        </is>
      </c>
      <c r="E373" t="inlineStr">
        <is>
          <t>ÅNGE</t>
        </is>
      </c>
      <c r="G373" t="n">
        <v>2</v>
      </c>
      <c r="H373" t="n">
        <v>0</v>
      </c>
      <c r="I373" t="n">
        <v>0</v>
      </c>
      <c r="J373" t="n">
        <v>0</v>
      </c>
      <c r="K373" t="n">
        <v>0</v>
      </c>
      <c r="L373" t="n">
        <v>0</v>
      </c>
      <c r="M373" t="n">
        <v>0</v>
      </c>
      <c r="N373" t="n">
        <v>0</v>
      </c>
      <c r="O373" t="n">
        <v>0</v>
      </c>
      <c r="P373" t="n">
        <v>0</v>
      </c>
      <c r="Q373" t="n">
        <v>0</v>
      </c>
      <c r="R373" s="2" t="inlineStr"/>
    </row>
    <row r="374" ht="15" customHeight="1">
      <c r="A374" t="inlineStr">
        <is>
          <t>A 43236-2019</t>
        </is>
      </c>
      <c r="B374" s="1" t="n">
        <v>43706</v>
      </c>
      <c r="C374" s="1" t="n">
        <v>45750</v>
      </c>
      <c r="D374" t="inlineStr">
        <is>
          <t>VÄSTERNORRLANDS LÄN</t>
        </is>
      </c>
      <c r="E374" t="inlineStr">
        <is>
          <t>ÅNGE</t>
        </is>
      </c>
      <c r="G374" t="n">
        <v>33.1</v>
      </c>
      <c r="H374" t="n">
        <v>0</v>
      </c>
      <c r="I374" t="n">
        <v>0</v>
      </c>
      <c r="J374" t="n">
        <v>0</v>
      </c>
      <c r="K374" t="n">
        <v>0</v>
      </c>
      <c r="L374" t="n">
        <v>0</v>
      </c>
      <c r="M374" t="n">
        <v>0</v>
      </c>
      <c r="N374" t="n">
        <v>0</v>
      </c>
      <c r="O374" t="n">
        <v>0</v>
      </c>
      <c r="P374" t="n">
        <v>0</v>
      </c>
      <c r="Q374" t="n">
        <v>0</v>
      </c>
      <c r="R374" s="2" t="inlineStr"/>
    </row>
    <row r="375" ht="15" customHeight="1">
      <c r="A375" t="inlineStr">
        <is>
          <t>A 43248-2019</t>
        </is>
      </c>
      <c r="B375" s="1" t="n">
        <v>43706</v>
      </c>
      <c r="C375" s="1" t="n">
        <v>45750</v>
      </c>
      <c r="D375" t="inlineStr">
        <is>
          <t>VÄSTERNORRLANDS LÄN</t>
        </is>
      </c>
      <c r="E375" t="inlineStr">
        <is>
          <t>ÅNGE</t>
        </is>
      </c>
      <c r="G375" t="n">
        <v>2</v>
      </c>
      <c r="H375" t="n">
        <v>0</v>
      </c>
      <c r="I375" t="n">
        <v>0</v>
      </c>
      <c r="J375" t="n">
        <v>0</v>
      </c>
      <c r="K375" t="n">
        <v>0</v>
      </c>
      <c r="L375" t="n">
        <v>0</v>
      </c>
      <c r="M375" t="n">
        <v>0</v>
      </c>
      <c r="N375" t="n">
        <v>0</v>
      </c>
      <c r="O375" t="n">
        <v>0</v>
      </c>
      <c r="P375" t="n">
        <v>0</v>
      </c>
      <c r="Q375" t="n">
        <v>0</v>
      </c>
      <c r="R375" s="2" t="inlineStr"/>
    </row>
    <row r="376" ht="15" customHeight="1">
      <c r="A376" t="inlineStr">
        <is>
          <t>A 43241-2019</t>
        </is>
      </c>
      <c r="B376" s="1" t="n">
        <v>43706</v>
      </c>
      <c r="C376" s="1" t="n">
        <v>45750</v>
      </c>
      <c r="D376" t="inlineStr">
        <is>
          <t>VÄSTERNORRLANDS LÄN</t>
        </is>
      </c>
      <c r="E376" t="inlineStr">
        <is>
          <t>ÅNGE</t>
        </is>
      </c>
      <c r="G376" t="n">
        <v>8.1</v>
      </c>
      <c r="H376" t="n">
        <v>0</v>
      </c>
      <c r="I376" t="n">
        <v>0</v>
      </c>
      <c r="J376" t="n">
        <v>0</v>
      </c>
      <c r="K376" t="n">
        <v>0</v>
      </c>
      <c r="L376" t="n">
        <v>0</v>
      </c>
      <c r="M376" t="n">
        <v>0</v>
      </c>
      <c r="N376" t="n">
        <v>0</v>
      </c>
      <c r="O376" t="n">
        <v>0</v>
      </c>
      <c r="P376" t="n">
        <v>0</v>
      </c>
      <c r="Q376" t="n">
        <v>0</v>
      </c>
      <c r="R376" s="2" t="inlineStr"/>
    </row>
    <row r="377" ht="15" customHeight="1">
      <c r="A377" t="inlineStr">
        <is>
          <t>A 43254-2019</t>
        </is>
      </c>
      <c r="B377" s="1" t="n">
        <v>43706</v>
      </c>
      <c r="C377" s="1" t="n">
        <v>45750</v>
      </c>
      <c r="D377" t="inlineStr">
        <is>
          <t>VÄSTERNORRLANDS LÄN</t>
        </is>
      </c>
      <c r="E377" t="inlineStr">
        <is>
          <t>ÅNGE</t>
        </is>
      </c>
      <c r="G377" t="n">
        <v>2.6</v>
      </c>
      <c r="H377" t="n">
        <v>0</v>
      </c>
      <c r="I377" t="n">
        <v>0</v>
      </c>
      <c r="J377" t="n">
        <v>0</v>
      </c>
      <c r="K377" t="n">
        <v>0</v>
      </c>
      <c r="L377" t="n">
        <v>0</v>
      </c>
      <c r="M377" t="n">
        <v>0</v>
      </c>
      <c r="N377" t="n">
        <v>0</v>
      </c>
      <c r="O377" t="n">
        <v>0</v>
      </c>
      <c r="P377" t="n">
        <v>0</v>
      </c>
      <c r="Q377" t="n">
        <v>0</v>
      </c>
      <c r="R377" s="2" t="inlineStr"/>
    </row>
    <row r="378" ht="15" customHeight="1">
      <c r="A378" t="inlineStr">
        <is>
          <t>A 43509-2019</t>
        </is>
      </c>
      <c r="B378" s="1" t="n">
        <v>43706</v>
      </c>
      <c r="C378" s="1" t="n">
        <v>45750</v>
      </c>
      <c r="D378" t="inlineStr">
        <is>
          <t>VÄSTERNORRLANDS LÄN</t>
        </is>
      </c>
      <c r="E378" t="inlineStr">
        <is>
          <t>ÅNGE</t>
        </is>
      </c>
      <c r="G378" t="n">
        <v>4.2</v>
      </c>
      <c r="H378" t="n">
        <v>0</v>
      </c>
      <c r="I378" t="n">
        <v>0</v>
      </c>
      <c r="J378" t="n">
        <v>0</v>
      </c>
      <c r="K378" t="n">
        <v>0</v>
      </c>
      <c r="L378" t="n">
        <v>0</v>
      </c>
      <c r="M378" t="n">
        <v>0</v>
      </c>
      <c r="N378" t="n">
        <v>0</v>
      </c>
      <c r="O378" t="n">
        <v>0</v>
      </c>
      <c r="P378" t="n">
        <v>0</v>
      </c>
      <c r="Q378" t="n">
        <v>0</v>
      </c>
      <c r="R378" s="2" t="inlineStr"/>
    </row>
    <row r="379" ht="15" customHeight="1">
      <c r="A379" t="inlineStr">
        <is>
          <t>A 43517-2019</t>
        </is>
      </c>
      <c r="B379" s="1" t="n">
        <v>43706</v>
      </c>
      <c r="C379" s="1" t="n">
        <v>45750</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43895-2019</t>
        </is>
      </c>
      <c r="B380" s="1" t="n">
        <v>43707</v>
      </c>
      <c r="C380" s="1" t="n">
        <v>45750</v>
      </c>
      <c r="D380" t="inlineStr">
        <is>
          <t>VÄSTERNORRLANDS LÄN</t>
        </is>
      </c>
      <c r="E380" t="inlineStr">
        <is>
          <t>ÅNGE</t>
        </is>
      </c>
      <c r="G380" t="n">
        <v>5.1</v>
      </c>
      <c r="H380" t="n">
        <v>0</v>
      </c>
      <c r="I380" t="n">
        <v>0</v>
      </c>
      <c r="J380" t="n">
        <v>0</v>
      </c>
      <c r="K380" t="n">
        <v>0</v>
      </c>
      <c r="L380" t="n">
        <v>0</v>
      </c>
      <c r="M380" t="n">
        <v>0</v>
      </c>
      <c r="N380" t="n">
        <v>0</v>
      </c>
      <c r="O380" t="n">
        <v>0</v>
      </c>
      <c r="P380" t="n">
        <v>0</v>
      </c>
      <c r="Q380" t="n">
        <v>0</v>
      </c>
      <c r="R380" s="2" t="inlineStr"/>
    </row>
    <row r="381" ht="15" customHeight="1">
      <c r="A381" t="inlineStr">
        <is>
          <t>A 44313-2019</t>
        </is>
      </c>
      <c r="B381" s="1" t="n">
        <v>43710</v>
      </c>
      <c r="C381" s="1" t="n">
        <v>45750</v>
      </c>
      <c r="D381" t="inlineStr">
        <is>
          <t>VÄSTERNORRLANDS LÄN</t>
        </is>
      </c>
      <c r="E381" t="inlineStr">
        <is>
          <t>ÅNGE</t>
        </is>
      </c>
      <c r="F381" t="inlineStr">
        <is>
          <t>SCA</t>
        </is>
      </c>
      <c r="G381" t="n">
        <v>8.9</v>
      </c>
      <c r="H381" t="n">
        <v>0</v>
      </c>
      <c r="I381" t="n">
        <v>0</v>
      </c>
      <c r="J381" t="n">
        <v>0</v>
      </c>
      <c r="K381" t="n">
        <v>0</v>
      </c>
      <c r="L381" t="n">
        <v>0</v>
      </c>
      <c r="M381" t="n">
        <v>0</v>
      </c>
      <c r="N381" t="n">
        <v>0</v>
      </c>
      <c r="O381" t="n">
        <v>0</v>
      </c>
      <c r="P381" t="n">
        <v>0</v>
      </c>
      <c r="Q381" t="n">
        <v>0</v>
      </c>
      <c r="R381" s="2" t="inlineStr"/>
    </row>
    <row r="382" ht="15" customHeight="1">
      <c r="A382" t="inlineStr">
        <is>
          <t>A 45274-2019</t>
        </is>
      </c>
      <c r="B382" s="1" t="n">
        <v>43713</v>
      </c>
      <c r="C382" s="1" t="n">
        <v>45750</v>
      </c>
      <c r="D382" t="inlineStr">
        <is>
          <t>VÄSTERNORRLANDS LÄN</t>
        </is>
      </c>
      <c r="E382" t="inlineStr">
        <is>
          <t>ÅNGE</t>
        </is>
      </c>
      <c r="G382" t="n">
        <v>0.7</v>
      </c>
      <c r="H382" t="n">
        <v>0</v>
      </c>
      <c r="I382" t="n">
        <v>0</v>
      </c>
      <c r="J382" t="n">
        <v>0</v>
      </c>
      <c r="K382" t="n">
        <v>0</v>
      </c>
      <c r="L382" t="n">
        <v>0</v>
      </c>
      <c r="M382" t="n">
        <v>0</v>
      </c>
      <c r="N382" t="n">
        <v>0</v>
      </c>
      <c r="O382" t="n">
        <v>0</v>
      </c>
      <c r="P382" t="n">
        <v>0</v>
      </c>
      <c r="Q382" t="n">
        <v>0</v>
      </c>
      <c r="R382" s="2" t="inlineStr"/>
    </row>
    <row r="383" ht="15" customHeight="1">
      <c r="A383" t="inlineStr">
        <is>
          <t>A 48958-2019</t>
        </is>
      </c>
      <c r="B383" s="1" t="n">
        <v>43728</v>
      </c>
      <c r="C383" s="1" t="n">
        <v>45750</v>
      </c>
      <c r="D383" t="inlineStr">
        <is>
          <t>VÄSTERNORRLANDS LÄN</t>
        </is>
      </c>
      <c r="E383" t="inlineStr">
        <is>
          <t>ÅNGE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50278-2019</t>
        </is>
      </c>
      <c r="B384" s="1" t="n">
        <v>43734</v>
      </c>
      <c r="C384" s="1" t="n">
        <v>45750</v>
      </c>
      <c r="D384" t="inlineStr">
        <is>
          <t>VÄSTERNORRLANDS LÄN</t>
        </is>
      </c>
      <c r="E384" t="inlineStr">
        <is>
          <t>ÅNGE</t>
        </is>
      </c>
      <c r="F384" t="inlineStr">
        <is>
          <t>SCA</t>
        </is>
      </c>
      <c r="G384" t="n">
        <v>8.5</v>
      </c>
      <c r="H384" t="n">
        <v>0</v>
      </c>
      <c r="I384" t="n">
        <v>0</v>
      </c>
      <c r="J384" t="n">
        <v>0</v>
      </c>
      <c r="K384" t="n">
        <v>0</v>
      </c>
      <c r="L384" t="n">
        <v>0</v>
      </c>
      <c r="M384" t="n">
        <v>0</v>
      </c>
      <c r="N384" t="n">
        <v>0</v>
      </c>
      <c r="O384" t="n">
        <v>0</v>
      </c>
      <c r="P384" t="n">
        <v>0</v>
      </c>
      <c r="Q384" t="n">
        <v>0</v>
      </c>
      <c r="R384" s="2" t="inlineStr"/>
    </row>
    <row r="385" ht="15" customHeight="1">
      <c r="A385" t="inlineStr">
        <is>
          <t>A 50280-2019</t>
        </is>
      </c>
      <c r="B385" s="1" t="n">
        <v>43734</v>
      </c>
      <c r="C385" s="1" t="n">
        <v>45750</v>
      </c>
      <c r="D385" t="inlineStr">
        <is>
          <t>VÄSTERNORRLANDS LÄN</t>
        </is>
      </c>
      <c r="E385" t="inlineStr">
        <is>
          <t>ÅNGE</t>
        </is>
      </c>
      <c r="F385" t="inlineStr">
        <is>
          <t>SCA</t>
        </is>
      </c>
      <c r="G385" t="n">
        <v>7.7</v>
      </c>
      <c r="H385" t="n">
        <v>0</v>
      </c>
      <c r="I385" t="n">
        <v>0</v>
      </c>
      <c r="J385" t="n">
        <v>0</v>
      </c>
      <c r="K385" t="n">
        <v>0</v>
      </c>
      <c r="L385" t="n">
        <v>0</v>
      </c>
      <c r="M385" t="n">
        <v>0</v>
      </c>
      <c r="N385" t="n">
        <v>0</v>
      </c>
      <c r="O385" t="n">
        <v>0</v>
      </c>
      <c r="P385" t="n">
        <v>0</v>
      </c>
      <c r="Q385" t="n">
        <v>0</v>
      </c>
      <c r="R385" s="2" t="inlineStr"/>
    </row>
    <row r="386" ht="15" customHeight="1">
      <c r="A386" t="inlineStr">
        <is>
          <t>A 50352-2019</t>
        </is>
      </c>
      <c r="B386" s="1" t="n">
        <v>43735</v>
      </c>
      <c r="C386" s="1" t="n">
        <v>45750</v>
      </c>
      <c r="D386" t="inlineStr">
        <is>
          <t>VÄSTERNORRLANDS LÄN</t>
        </is>
      </c>
      <c r="E386" t="inlineStr">
        <is>
          <t>ÅNGE</t>
        </is>
      </c>
      <c r="G386" t="n">
        <v>1.3</v>
      </c>
      <c r="H386" t="n">
        <v>0</v>
      </c>
      <c r="I386" t="n">
        <v>0</v>
      </c>
      <c r="J386" t="n">
        <v>0</v>
      </c>
      <c r="K386" t="n">
        <v>0</v>
      </c>
      <c r="L386" t="n">
        <v>0</v>
      </c>
      <c r="M386" t="n">
        <v>0</v>
      </c>
      <c r="N386" t="n">
        <v>0</v>
      </c>
      <c r="O386" t="n">
        <v>0</v>
      </c>
      <c r="P386" t="n">
        <v>0</v>
      </c>
      <c r="Q386" t="n">
        <v>0</v>
      </c>
      <c r="R386" s="2" t="inlineStr"/>
    </row>
    <row r="387" ht="15" customHeight="1">
      <c r="A387" t="inlineStr">
        <is>
          <t>A 50997-2019</t>
        </is>
      </c>
      <c r="B387" s="1" t="n">
        <v>43738</v>
      </c>
      <c r="C387" s="1" t="n">
        <v>45750</v>
      </c>
      <c r="D387" t="inlineStr">
        <is>
          <t>VÄSTERNORRLANDS LÄN</t>
        </is>
      </c>
      <c r="E387" t="inlineStr">
        <is>
          <t>ÅNGE</t>
        </is>
      </c>
      <c r="F387" t="inlineStr">
        <is>
          <t>SCA</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52505-2019</t>
        </is>
      </c>
      <c r="B388" s="1" t="n">
        <v>43738</v>
      </c>
      <c r="C388" s="1" t="n">
        <v>45750</v>
      </c>
      <c r="D388" t="inlineStr">
        <is>
          <t>VÄSTERNORRLANDS LÄN</t>
        </is>
      </c>
      <c r="E388" t="inlineStr">
        <is>
          <t>ÅNGE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51321-2019</t>
        </is>
      </c>
      <c r="B389" s="1" t="n">
        <v>43739</v>
      </c>
      <c r="C389" s="1" t="n">
        <v>45750</v>
      </c>
      <c r="D389" t="inlineStr">
        <is>
          <t>VÄSTERNORRLANDS LÄN</t>
        </is>
      </c>
      <c r="E389" t="inlineStr">
        <is>
          <t>ÅNGE</t>
        </is>
      </c>
      <c r="G389" t="n">
        <v>9.4</v>
      </c>
      <c r="H389" t="n">
        <v>0</v>
      </c>
      <c r="I389" t="n">
        <v>0</v>
      </c>
      <c r="J389" t="n">
        <v>0</v>
      </c>
      <c r="K389" t="n">
        <v>0</v>
      </c>
      <c r="L389" t="n">
        <v>0</v>
      </c>
      <c r="M389" t="n">
        <v>0</v>
      </c>
      <c r="N389" t="n">
        <v>0</v>
      </c>
      <c r="O389" t="n">
        <v>0</v>
      </c>
      <c r="P389" t="n">
        <v>0</v>
      </c>
      <c r="Q389" t="n">
        <v>0</v>
      </c>
      <c r="R389" s="2" t="inlineStr"/>
    </row>
    <row r="390" ht="15" customHeight="1">
      <c r="A390" t="inlineStr">
        <is>
          <t>A 51947-2019</t>
        </is>
      </c>
      <c r="B390" s="1" t="n">
        <v>43741</v>
      </c>
      <c r="C390" s="1" t="n">
        <v>45750</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51946-2019</t>
        </is>
      </c>
      <c r="B391" s="1" t="n">
        <v>43741</v>
      </c>
      <c r="C391" s="1" t="n">
        <v>45750</v>
      </c>
      <c r="D391" t="inlineStr">
        <is>
          <t>VÄSTERNORRLANDS LÄN</t>
        </is>
      </c>
      <c r="E391" t="inlineStr">
        <is>
          <t>ÅNGE</t>
        </is>
      </c>
      <c r="G391" t="n">
        <v>1</v>
      </c>
      <c r="H391" t="n">
        <v>0</v>
      </c>
      <c r="I391" t="n">
        <v>0</v>
      </c>
      <c r="J391" t="n">
        <v>0</v>
      </c>
      <c r="K391" t="n">
        <v>0</v>
      </c>
      <c r="L391" t="n">
        <v>0</v>
      </c>
      <c r="M391" t="n">
        <v>0</v>
      </c>
      <c r="N391" t="n">
        <v>0</v>
      </c>
      <c r="O391" t="n">
        <v>0</v>
      </c>
      <c r="P391" t="n">
        <v>0</v>
      </c>
      <c r="Q391" t="n">
        <v>0</v>
      </c>
      <c r="R391" s="2" t="inlineStr"/>
    </row>
    <row r="392" ht="15" customHeight="1">
      <c r="A392" t="inlineStr">
        <is>
          <t>A 52171-2019</t>
        </is>
      </c>
      <c r="B392" s="1" t="n">
        <v>43742</v>
      </c>
      <c r="C392" s="1" t="n">
        <v>45750</v>
      </c>
      <c r="D392" t="inlineStr">
        <is>
          <t>VÄSTERNORRLANDS LÄN</t>
        </is>
      </c>
      <c r="E392" t="inlineStr">
        <is>
          <t>ÅNGE</t>
        </is>
      </c>
      <c r="G392" t="n">
        <v>2.9</v>
      </c>
      <c r="H392" t="n">
        <v>0</v>
      </c>
      <c r="I392" t="n">
        <v>0</v>
      </c>
      <c r="J392" t="n">
        <v>0</v>
      </c>
      <c r="K392" t="n">
        <v>0</v>
      </c>
      <c r="L392" t="n">
        <v>0</v>
      </c>
      <c r="M392" t="n">
        <v>0</v>
      </c>
      <c r="N392" t="n">
        <v>0</v>
      </c>
      <c r="O392" t="n">
        <v>0</v>
      </c>
      <c r="P392" t="n">
        <v>0</v>
      </c>
      <c r="Q392" t="n">
        <v>0</v>
      </c>
      <c r="R392" s="2" t="inlineStr"/>
    </row>
    <row r="393" ht="15" customHeight="1">
      <c r="A393" t="inlineStr">
        <is>
          <t>A 52684-2019</t>
        </is>
      </c>
      <c r="B393" s="1" t="n">
        <v>43746</v>
      </c>
      <c r="C393" s="1" t="n">
        <v>45750</v>
      </c>
      <c r="D393" t="inlineStr">
        <is>
          <t>VÄSTERNORRLANDS LÄN</t>
        </is>
      </c>
      <c r="E393" t="inlineStr">
        <is>
          <t>ÅNGE</t>
        </is>
      </c>
      <c r="G393" t="n">
        <v>1.4</v>
      </c>
      <c r="H393" t="n">
        <v>0</v>
      </c>
      <c r="I393" t="n">
        <v>0</v>
      </c>
      <c r="J393" t="n">
        <v>0</v>
      </c>
      <c r="K393" t="n">
        <v>0</v>
      </c>
      <c r="L393" t="n">
        <v>0</v>
      </c>
      <c r="M393" t="n">
        <v>0</v>
      </c>
      <c r="N393" t="n">
        <v>0</v>
      </c>
      <c r="O393" t="n">
        <v>0</v>
      </c>
      <c r="P393" t="n">
        <v>0</v>
      </c>
      <c r="Q393" t="n">
        <v>0</v>
      </c>
      <c r="R393" s="2" t="inlineStr"/>
    </row>
    <row r="394" ht="15" customHeight="1">
      <c r="A394" t="inlineStr">
        <is>
          <t>A 52660-2019</t>
        </is>
      </c>
      <c r="B394" s="1" t="n">
        <v>43746</v>
      </c>
      <c r="C394" s="1" t="n">
        <v>45750</v>
      </c>
      <c r="D394" t="inlineStr">
        <is>
          <t>VÄSTERNORRLANDS LÄN</t>
        </is>
      </c>
      <c r="E394" t="inlineStr">
        <is>
          <t>ÅNGE</t>
        </is>
      </c>
      <c r="G394" t="n">
        <v>2.3</v>
      </c>
      <c r="H394" t="n">
        <v>0</v>
      </c>
      <c r="I394" t="n">
        <v>0</v>
      </c>
      <c r="J394" t="n">
        <v>0</v>
      </c>
      <c r="K394" t="n">
        <v>0</v>
      </c>
      <c r="L394" t="n">
        <v>0</v>
      </c>
      <c r="M394" t="n">
        <v>0</v>
      </c>
      <c r="N394" t="n">
        <v>0</v>
      </c>
      <c r="O394" t="n">
        <v>0</v>
      </c>
      <c r="P394" t="n">
        <v>0</v>
      </c>
      <c r="Q394" t="n">
        <v>0</v>
      </c>
      <c r="R394" s="2" t="inlineStr"/>
    </row>
    <row r="395" ht="15" customHeight="1">
      <c r="A395" t="inlineStr">
        <is>
          <t>A 53107-2019</t>
        </is>
      </c>
      <c r="B395" s="1" t="n">
        <v>43747</v>
      </c>
      <c r="C395" s="1" t="n">
        <v>45750</v>
      </c>
      <c r="D395" t="inlineStr">
        <is>
          <t>VÄSTERNORRLANDS LÄN</t>
        </is>
      </c>
      <c r="E395" t="inlineStr">
        <is>
          <t>ÅNGE</t>
        </is>
      </c>
      <c r="G395" t="n">
        <v>2.1</v>
      </c>
      <c r="H395" t="n">
        <v>0</v>
      </c>
      <c r="I395" t="n">
        <v>0</v>
      </c>
      <c r="J395" t="n">
        <v>0</v>
      </c>
      <c r="K395" t="n">
        <v>0</v>
      </c>
      <c r="L395" t="n">
        <v>0</v>
      </c>
      <c r="M395" t="n">
        <v>0</v>
      </c>
      <c r="N395" t="n">
        <v>0</v>
      </c>
      <c r="O395" t="n">
        <v>0</v>
      </c>
      <c r="P395" t="n">
        <v>0</v>
      </c>
      <c r="Q395" t="n">
        <v>0</v>
      </c>
      <c r="R395" s="2" t="inlineStr"/>
    </row>
    <row r="396" ht="15" customHeight="1">
      <c r="A396" t="inlineStr">
        <is>
          <t>A 53579-2019</t>
        </is>
      </c>
      <c r="B396" s="1" t="n">
        <v>43749</v>
      </c>
      <c r="C396" s="1" t="n">
        <v>45750</v>
      </c>
      <c r="D396" t="inlineStr">
        <is>
          <t>VÄSTERNORRLANDS LÄN</t>
        </is>
      </c>
      <c r="E396" t="inlineStr">
        <is>
          <t>ÅNGE</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54025-2019</t>
        </is>
      </c>
      <c r="B397" s="1" t="n">
        <v>43752</v>
      </c>
      <c r="C397" s="1" t="n">
        <v>45750</v>
      </c>
      <c r="D397" t="inlineStr">
        <is>
          <t>VÄSTERNORRLANDS LÄN</t>
        </is>
      </c>
      <c r="E397" t="inlineStr">
        <is>
          <t>ÅNGE</t>
        </is>
      </c>
      <c r="G397" t="n">
        <v>1.7</v>
      </c>
      <c r="H397" t="n">
        <v>0</v>
      </c>
      <c r="I397" t="n">
        <v>0</v>
      </c>
      <c r="J397" t="n">
        <v>0</v>
      </c>
      <c r="K397" t="n">
        <v>0</v>
      </c>
      <c r="L397" t="n">
        <v>0</v>
      </c>
      <c r="M397" t="n">
        <v>0</v>
      </c>
      <c r="N397" t="n">
        <v>0</v>
      </c>
      <c r="O397" t="n">
        <v>0</v>
      </c>
      <c r="P397" t="n">
        <v>0</v>
      </c>
      <c r="Q397" t="n">
        <v>0</v>
      </c>
      <c r="R397" s="2" t="inlineStr"/>
    </row>
    <row r="398" ht="15" customHeight="1">
      <c r="A398" t="inlineStr">
        <is>
          <t>A 54027-2019</t>
        </is>
      </c>
      <c r="B398" s="1" t="n">
        <v>43752</v>
      </c>
      <c r="C398" s="1" t="n">
        <v>45750</v>
      </c>
      <c r="D398" t="inlineStr">
        <is>
          <t>VÄSTERNORRLANDS LÄN</t>
        </is>
      </c>
      <c r="E398" t="inlineStr">
        <is>
          <t>ÅNGE</t>
        </is>
      </c>
      <c r="G398" t="n">
        <v>3.8</v>
      </c>
      <c r="H398" t="n">
        <v>0</v>
      </c>
      <c r="I398" t="n">
        <v>0</v>
      </c>
      <c r="J398" t="n">
        <v>0</v>
      </c>
      <c r="K398" t="n">
        <v>0</v>
      </c>
      <c r="L398" t="n">
        <v>0</v>
      </c>
      <c r="M398" t="n">
        <v>0</v>
      </c>
      <c r="N398" t="n">
        <v>0</v>
      </c>
      <c r="O398" t="n">
        <v>0</v>
      </c>
      <c r="P398" t="n">
        <v>0</v>
      </c>
      <c r="Q398" t="n">
        <v>0</v>
      </c>
      <c r="R398" s="2" t="inlineStr"/>
    </row>
    <row r="399" ht="15" customHeight="1">
      <c r="A399" t="inlineStr">
        <is>
          <t>A 55352-2019</t>
        </is>
      </c>
      <c r="B399" s="1" t="n">
        <v>43756</v>
      </c>
      <c r="C399" s="1" t="n">
        <v>45750</v>
      </c>
      <c r="D399" t="inlineStr">
        <is>
          <t>VÄSTERNORRLANDS LÄN</t>
        </is>
      </c>
      <c r="E399" t="inlineStr">
        <is>
          <t>ÅNGE</t>
        </is>
      </c>
      <c r="G399" t="n">
        <v>10.9</v>
      </c>
      <c r="H399" t="n">
        <v>0</v>
      </c>
      <c r="I399" t="n">
        <v>0</v>
      </c>
      <c r="J399" t="n">
        <v>0</v>
      </c>
      <c r="K399" t="n">
        <v>0</v>
      </c>
      <c r="L399" t="n">
        <v>0</v>
      </c>
      <c r="M399" t="n">
        <v>0</v>
      </c>
      <c r="N399" t="n">
        <v>0</v>
      </c>
      <c r="O399" t="n">
        <v>0</v>
      </c>
      <c r="P399" t="n">
        <v>0</v>
      </c>
      <c r="Q399" t="n">
        <v>0</v>
      </c>
      <c r="R399" s="2" t="inlineStr"/>
    </row>
    <row r="400" ht="15" customHeight="1">
      <c r="A400" t="inlineStr">
        <is>
          <t>A 55637-2019</t>
        </is>
      </c>
      <c r="B400" s="1" t="n">
        <v>43760</v>
      </c>
      <c r="C400" s="1" t="n">
        <v>45750</v>
      </c>
      <c r="D400" t="inlineStr">
        <is>
          <t>VÄSTERNORRLANDS LÄN</t>
        </is>
      </c>
      <c r="E400" t="inlineStr">
        <is>
          <t>ÅNGE</t>
        </is>
      </c>
      <c r="G400" t="n">
        <v>0.1</v>
      </c>
      <c r="H400" t="n">
        <v>0</v>
      </c>
      <c r="I400" t="n">
        <v>0</v>
      </c>
      <c r="J400" t="n">
        <v>0</v>
      </c>
      <c r="K400" t="n">
        <v>0</v>
      </c>
      <c r="L400" t="n">
        <v>0</v>
      </c>
      <c r="M400" t="n">
        <v>0</v>
      </c>
      <c r="N400" t="n">
        <v>0</v>
      </c>
      <c r="O400" t="n">
        <v>0</v>
      </c>
      <c r="P400" t="n">
        <v>0</v>
      </c>
      <c r="Q400" t="n">
        <v>0</v>
      </c>
      <c r="R400" s="2" t="inlineStr"/>
    </row>
    <row r="401" ht="15" customHeight="1">
      <c r="A401" t="inlineStr">
        <is>
          <t>A 55634-2019</t>
        </is>
      </c>
      <c r="B401" s="1" t="n">
        <v>43760</v>
      </c>
      <c r="C401" s="1" t="n">
        <v>45750</v>
      </c>
      <c r="D401" t="inlineStr">
        <is>
          <t>VÄSTERNORRLANDS LÄN</t>
        </is>
      </c>
      <c r="E401" t="inlineStr">
        <is>
          <t>ÅNGE</t>
        </is>
      </c>
      <c r="G401" t="n">
        <v>3.1</v>
      </c>
      <c r="H401" t="n">
        <v>0</v>
      </c>
      <c r="I401" t="n">
        <v>0</v>
      </c>
      <c r="J401" t="n">
        <v>0</v>
      </c>
      <c r="K401" t="n">
        <v>0</v>
      </c>
      <c r="L401" t="n">
        <v>0</v>
      </c>
      <c r="M401" t="n">
        <v>0</v>
      </c>
      <c r="N401" t="n">
        <v>0</v>
      </c>
      <c r="O401" t="n">
        <v>0</v>
      </c>
      <c r="P401" t="n">
        <v>0</v>
      </c>
      <c r="Q401" t="n">
        <v>0</v>
      </c>
      <c r="R401" s="2" t="inlineStr"/>
    </row>
    <row r="402" ht="15" customHeight="1">
      <c r="A402" t="inlineStr">
        <is>
          <t>A 55730-2019</t>
        </is>
      </c>
      <c r="B402" s="1" t="n">
        <v>43760</v>
      </c>
      <c r="C402" s="1" t="n">
        <v>45750</v>
      </c>
      <c r="D402" t="inlineStr">
        <is>
          <t>VÄSTERNORRLANDS LÄN</t>
        </is>
      </c>
      <c r="E402" t="inlineStr">
        <is>
          <t>ÅNGE</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55729-2019</t>
        </is>
      </c>
      <c r="B403" s="1" t="n">
        <v>43760</v>
      </c>
      <c r="C403" s="1" t="n">
        <v>45750</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56137-2019</t>
        </is>
      </c>
      <c r="B404" s="1" t="n">
        <v>43761</v>
      </c>
      <c r="C404" s="1" t="n">
        <v>45750</v>
      </c>
      <c r="D404" t="inlineStr">
        <is>
          <t>VÄSTERNORRLANDS LÄN</t>
        </is>
      </c>
      <c r="E404" t="inlineStr">
        <is>
          <t>ÅNGE</t>
        </is>
      </c>
      <c r="F404" t="inlineStr">
        <is>
          <t>Sveaskog</t>
        </is>
      </c>
      <c r="G404" t="n">
        <v>3.4</v>
      </c>
      <c r="H404" t="n">
        <v>0</v>
      </c>
      <c r="I404" t="n">
        <v>0</v>
      </c>
      <c r="J404" t="n">
        <v>0</v>
      </c>
      <c r="K404" t="n">
        <v>0</v>
      </c>
      <c r="L404" t="n">
        <v>0</v>
      </c>
      <c r="M404" t="n">
        <v>0</v>
      </c>
      <c r="N404" t="n">
        <v>0</v>
      </c>
      <c r="O404" t="n">
        <v>0</v>
      </c>
      <c r="P404" t="n">
        <v>0</v>
      </c>
      <c r="Q404" t="n">
        <v>0</v>
      </c>
      <c r="R404" s="2" t="inlineStr"/>
    </row>
    <row r="405" ht="15" customHeight="1">
      <c r="A405" t="inlineStr">
        <is>
          <t>A 56171-2019</t>
        </is>
      </c>
      <c r="B405" s="1" t="n">
        <v>43761</v>
      </c>
      <c r="C405" s="1" t="n">
        <v>45750</v>
      </c>
      <c r="D405" t="inlineStr">
        <is>
          <t>VÄSTERNORRLANDS LÄN</t>
        </is>
      </c>
      <c r="E405" t="inlineStr">
        <is>
          <t>ÅNGE</t>
        </is>
      </c>
      <c r="G405" t="n">
        <v>5.1</v>
      </c>
      <c r="H405" t="n">
        <v>0</v>
      </c>
      <c r="I405" t="n">
        <v>0</v>
      </c>
      <c r="J405" t="n">
        <v>0</v>
      </c>
      <c r="K405" t="n">
        <v>0</v>
      </c>
      <c r="L405" t="n">
        <v>0</v>
      </c>
      <c r="M405" t="n">
        <v>0</v>
      </c>
      <c r="N405" t="n">
        <v>0</v>
      </c>
      <c r="O405" t="n">
        <v>0</v>
      </c>
      <c r="P405" t="n">
        <v>0</v>
      </c>
      <c r="Q405" t="n">
        <v>0</v>
      </c>
      <c r="R405" s="2" t="inlineStr"/>
    </row>
    <row r="406" ht="15" customHeight="1">
      <c r="A406" t="inlineStr">
        <is>
          <t>A 56186-2019</t>
        </is>
      </c>
      <c r="B406" s="1" t="n">
        <v>43761</v>
      </c>
      <c r="C406" s="1" t="n">
        <v>45750</v>
      </c>
      <c r="D406" t="inlineStr">
        <is>
          <t>VÄSTERNORRLANDS LÄN</t>
        </is>
      </c>
      <c r="E406" t="inlineStr">
        <is>
          <t>ÅNGE</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56490-2019</t>
        </is>
      </c>
      <c r="B407" s="1" t="n">
        <v>43762</v>
      </c>
      <c r="C407" s="1" t="n">
        <v>45750</v>
      </c>
      <c r="D407" t="inlineStr">
        <is>
          <t>VÄSTERNORRLANDS LÄN</t>
        </is>
      </c>
      <c r="E407" t="inlineStr">
        <is>
          <t>ÅNGE</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57184-2019</t>
        </is>
      </c>
      <c r="B408" s="1" t="n">
        <v>43766</v>
      </c>
      <c r="C408" s="1" t="n">
        <v>45750</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57183-2019</t>
        </is>
      </c>
      <c r="B409" s="1" t="n">
        <v>43766</v>
      </c>
      <c r="C409" s="1" t="n">
        <v>45750</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58720-2019</t>
        </is>
      </c>
      <c r="B410" s="1" t="n">
        <v>43773</v>
      </c>
      <c r="C410" s="1" t="n">
        <v>45750</v>
      </c>
      <c r="D410" t="inlineStr">
        <is>
          <t>VÄSTERNORRLANDS LÄN</t>
        </is>
      </c>
      <c r="E410" t="inlineStr">
        <is>
          <t>ÅNGE</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58790-2019</t>
        </is>
      </c>
      <c r="B411" s="1" t="n">
        <v>43773</v>
      </c>
      <c r="C411" s="1" t="n">
        <v>45750</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58941-2019</t>
        </is>
      </c>
      <c r="B412" s="1" t="n">
        <v>43774</v>
      </c>
      <c r="C412" s="1" t="n">
        <v>45750</v>
      </c>
      <c r="D412" t="inlineStr">
        <is>
          <t>VÄSTERNORRLANDS LÄN</t>
        </is>
      </c>
      <c r="E412" t="inlineStr">
        <is>
          <t>ÅNGE</t>
        </is>
      </c>
      <c r="G412" t="n">
        <v>4</v>
      </c>
      <c r="H412" t="n">
        <v>0</v>
      </c>
      <c r="I412" t="n">
        <v>0</v>
      </c>
      <c r="J412" t="n">
        <v>0</v>
      </c>
      <c r="K412" t="n">
        <v>0</v>
      </c>
      <c r="L412" t="n">
        <v>0</v>
      </c>
      <c r="M412" t="n">
        <v>0</v>
      </c>
      <c r="N412" t="n">
        <v>0</v>
      </c>
      <c r="O412" t="n">
        <v>0</v>
      </c>
      <c r="P412" t="n">
        <v>0</v>
      </c>
      <c r="Q412" t="n">
        <v>0</v>
      </c>
      <c r="R412" s="2" t="inlineStr"/>
    </row>
    <row r="413" ht="15" customHeight="1">
      <c r="A413" t="inlineStr">
        <is>
          <t>A 58932-2019</t>
        </is>
      </c>
      <c r="B413" s="1" t="n">
        <v>43774</v>
      </c>
      <c r="C413" s="1" t="n">
        <v>45750</v>
      </c>
      <c r="D413" t="inlineStr">
        <is>
          <t>VÄSTERNORRLANDS LÄN</t>
        </is>
      </c>
      <c r="E413" t="inlineStr">
        <is>
          <t>ÅNGE</t>
        </is>
      </c>
      <c r="G413" t="n">
        <v>3.2</v>
      </c>
      <c r="H413" t="n">
        <v>0</v>
      </c>
      <c r="I413" t="n">
        <v>0</v>
      </c>
      <c r="J413" t="n">
        <v>0</v>
      </c>
      <c r="K413" t="n">
        <v>0</v>
      </c>
      <c r="L413" t="n">
        <v>0</v>
      </c>
      <c r="M413" t="n">
        <v>0</v>
      </c>
      <c r="N413" t="n">
        <v>0</v>
      </c>
      <c r="O413" t="n">
        <v>0</v>
      </c>
      <c r="P413" t="n">
        <v>0</v>
      </c>
      <c r="Q413" t="n">
        <v>0</v>
      </c>
      <c r="R413" s="2" t="inlineStr"/>
    </row>
    <row r="414" ht="15" customHeight="1">
      <c r="A414" t="inlineStr">
        <is>
          <t>A 58951-2019</t>
        </is>
      </c>
      <c r="B414" s="1" t="n">
        <v>43774</v>
      </c>
      <c r="C414" s="1" t="n">
        <v>45750</v>
      </c>
      <c r="D414" t="inlineStr">
        <is>
          <t>VÄSTERNORRLANDS LÄN</t>
        </is>
      </c>
      <c r="E414" t="inlineStr">
        <is>
          <t>ÅNGE</t>
        </is>
      </c>
      <c r="G414" t="n">
        <v>6.9</v>
      </c>
      <c r="H414" t="n">
        <v>0</v>
      </c>
      <c r="I414" t="n">
        <v>0</v>
      </c>
      <c r="J414" t="n">
        <v>0</v>
      </c>
      <c r="K414" t="n">
        <v>0</v>
      </c>
      <c r="L414" t="n">
        <v>0</v>
      </c>
      <c r="M414" t="n">
        <v>0</v>
      </c>
      <c r="N414" t="n">
        <v>0</v>
      </c>
      <c r="O414" t="n">
        <v>0</v>
      </c>
      <c r="P414" t="n">
        <v>0</v>
      </c>
      <c r="Q414" t="n">
        <v>0</v>
      </c>
      <c r="R414" s="2" t="inlineStr"/>
    </row>
    <row r="415" ht="15" customHeight="1">
      <c r="A415" t="inlineStr">
        <is>
          <t>A 60577-2019</t>
        </is>
      </c>
      <c r="B415" s="1" t="n">
        <v>43781</v>
      </c>
      <c r="C415" s="1" t="n">
        <v>45750</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60687-2019</t>
        </is>
      </c>
      <c r="B416" s="1" t="n">
        <v>43781</v>
      </c>
      <c r="C416" s="1" t="n">
        <v>45750</v>
      </c>
      <c r="D416" t="inlineStr">
        <is>
          <t>VÄSTERNORRLANDS LÄN</t>
        </is>
      </c>
      <c r="E416" t="inlineStr">
        <is>
          <t>ÅNGE</t>
        </is>
      </c>
      <c r="G416" t="n">
        <v>0.6</v>
      </c>
      <c r="H416" t="n">
        <v>0</v>
      </c>
      <c r="I416" t="n">
        <v>0</v>
      </c>
      <c r="J416" t="n">
        <v>0</v>
      </c>
      <c r="K416" t="n">
        <v>0</v>
      </c>
      <c r="L416" t="n">
        <v>0</v>
      </c>
      <c r="M416" t="n">
        <v>0</v>
      </c>
      <c r="N416" t="n">
        <v>0</v>
      </c>
      <c r="O416" t="n">
        <v>0</v>
      </c>
      <c r="P416" t="n">
        <v>0</v>
      </c>
      <c r="Q416" t="n">
        <v>0</v>
      </c>
      <c r="R416" s="2" t="inlineStr"/>
    </row>
    <row r="417" ht="15" customHeight="1">
      <c r="A417" t="inlineStr">
        <is>
          <t>A 60868-2019</t>
        </is>
      </c>
      <c r="B417" s="1" t="n">
        <v>43781</v>
      </c>
      <c r="C417" s="1" t="n">
        <v>45750</v>
      </c>
      <c r="D417" t="inlineStr">
        <is>
          <t>VÄSTERNORRLANDS LÄN</t>
        </is>
      </c>
      <c r="E417" t="inlineStr">
        <is>
          <t>ÅNGE</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61521-2019</t>
        </is>
      </c>
      <c r="B418" s="1" t="n">
        <v>43783</v>
      </c>
      <c r="C418" s="1" t="n">
        <v>45750</v>
      </c>
      <c r="D418" t="inlineStr">
        <is>
          <t>VÄSTERNORRLANDS LÄN</t>
        </is>
      </c>
      <c r="E418" t="inlineStr">
        <is>
          <t>ÅNGE</t>
        </is>
      </c>
      <c r="F418" t="inlineStr">
        <is>
          <t>SCA</t>
        </is>
      </c>
      <c r="G418" t="n">
        <v>40.5</v>
      </c>
      <c r="H418" t="n">
        <v>0</v>
      </c>
      <c r="I418" t="n">
        <v>0</v>
      </c>
      <c r="J418" t="n">
        <v>0</v>
      </c>
      <c r="K418" t="n">
        <v>0</v>
      </c>
      <c r="L418" t="n">
        <v>0</v>
      </c>
      <c r="M418" t="n">
        <v>0</v>
      </c>
      <c r="N418" t="n">
        <v>0</v>
      </c>
      <c r="O418" t="n">
        <v>0</v>
      </c>
      <c r="P418" t="n">
        <v>0</v>
      </c>
      <c r="Q418" t="n">
        <v>0</v>
      </c>
      <c r="R418" s="2" t="inlineStr"/>
    </row>
    <row r="419" ht="15" customHeight="1">
      <c r="A419" t="inlineStr">
        <is>
          <t>A 61520-2019</t>
        </is>
      </c>
      <c r="B419" s="1" t="n">
        <v>43783</v>
      </c>
      <c r="C419" s="1" t="n">
        <v>45750</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61918-2019</t>
        </is>
      </c>
      <c r="B420" s="1" t="n">
        <v>43787</v>
      </c>
      <c r="C420" s="1" t="n">
        <v>45750</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61862-2019</t>
        </is>
      </c>
      <c r="B421" s="1" t="n">
        <v>43787</v>
      </c>
      <c r="C421" s="1" t="n">
        <v>45750</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62222-2019</t>
        </is>
      </c>
      <c r="B422" s="1" t="n">
        <v>43788</v>
      </c>
      <c r="C422" s="1" t="n">
        <v>45750</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62925-2019</t>
        </is>
      </c>
      <c r="B423" s="1" t="n">
        <v>43790</v>
      </c>
      <c r="C423" s="1" t="n">
        <v>45750</v>
      </c>
      <c r="D423" t="inlineStr">
        <is>
          <t>VÄSTERNORRLANDS LÄN</t>
        </is>
      </c>
      <c r="E423" t="inlineStr">
        <is>
          <t>ÅNGE</t>
        </is>
      </c>
      <c r="G423" t="n">
        <v>1.5</v>
      </c>
      <c r="H423" t="n">
        <v>0</v>
      </c>
      <c r="I423" t="n">
        <v>0</v>
      </c>
      <c r="J423" t="n">
        <v>0</v>
      </c>
      <c r="K423" t="n">
        <v>0</v>
      </c>
      <c r="L423" t="n">
        <v>0</v>
      </c>
      <c r="M423" t="n">
        <v>0</v>
      </c>
      <c r="N423" t="n">
        <v>0</v>
      </c>
      <c r="O423" t="n">
        <v>0</v>
      </c>
      <c r="P423" t="n">
        <v>0</v>
      </c>
      <c r="Q423" t="n">
        <v>0</v>
      </c>
      <c r="R423" s="2" t="inlineStr"/>
    </row>
    <row r="424" ht="15" customHeight="1">
      <c r="A424" t="inlineStr">
        <is>
          <t>A 63300-2019</t>
        </is>
      </c>
      <c r="B424" s="1" t="n">
        <v>43794</v>
      </c>
      <c r="C424" s="1" t="n">
        <v>45750</v>
      </c>
      <c r="D424" t="inlineStr">
        <is>
          <t>VÄSTERNORRLANDS LÄN</t>
        </is>
      </c>
      <c r="E424" t="inlineStr">
        <is>
          <t>ÅNGE</t>
        </is>
      </c>
      <c r="G424" t="n">
        <v>3</v>
      </c>
      <c r="H424" t="n">
        <v>0</v>
      </c>
      <c r="I424" t="n">
        <v>0</v>
      </c>
      <c r="J424" t="n">
        <v>0</v>
      </c>
      <c r="K424" t="n">
        <v>0</v>
      </c>
      <c r="L424" t="n">
        <v>0</v>
      </c>
      <c r="M424" t="n">
        <v>0</v>
      </c>
      <c r="N424" t="n">
        <v>0</v>
      </c>
      <c r="O424" t="n">
        <v>0</v>
      </c>
      <c r="P424" t="n">
        <v>0</v>
      </c>
      <c r="Q424" t="n">
        <v>0</v>
      </c>
      <c r="R424" s="2" t="inlineStr"/>
    </row>
    <row r="425" ht="15" customHeight="1">
      <c r="A425" t="inlineStr">
        <is>
          <t>A 63329-2019</t>
        </is>
      </c>
      <c r="B425" s="1" t="n">
        <v>43794</v>
      </c>
      <c r="C425" s="1" t="n">
        <v>45750</v>
      </c>
      <c r="D425" t="inlineStr">
        <is>
          <t>VÄSTERNORRLANDS LÄN</t>
        </is>
      </c>
      <c r="E425" t="inlineStr">
        <is>
          <t>ÅNGE</t>
        </is>
      </c>
      <c r="G425" t="n">
        <v>1.8</v>
      </c>
      <c r="H425" t="n">
        <v>0</v>
      </c>
      <c r="I425" t="n">
        <v>0</v>
      </c>
      <c r="J425" t="n">
        <v>0</v>
      </c>
      <c r="K425" t="n">
        <v>0</v>
      </c>
      <c r="L425" t="n">
        <v>0</v>
      </c>
      <c r="M425" t="n">
        <v>0</v>
      </c>
      <c r="N425" t="n">
        <v>0</v>
      </c>
      <c r="O425" t="n">
        <v>0</v>
      </c>
      <c r="P425" t="n">
        <v>0</v>
      </c>
      <c r="Q425" t="n">
        <v>0</v>
      </c>
      <c r="R425" s="2" t="inlineStr"/>
    </row>
    <row r="426" ht="15" customHeight="1">
      <c r="A426" t="inlineStr">
        <is>
          <t>A 63453-2019</t>
        </is>
      </c>
      <c r="B426" s="1" t="n">
        <v>43794</v>
      </c>
      <c r="C426" s="1" t="n">
        <v>45750</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63324-2019</t>
        </is>
      </c>
      <c r="B427" s="1" t="n">
        <v>43794</v>
      </c>
      <c r="C427" s="1" t="n">
        <v>45750</v>
      </c>
      <c r="D427" t="inlineStr">
        <is>
          <t>VÄSTERNORRLANDS LÄN</t>
        </is>
      </c>
      <c r="E427" t="inlineStr">
        <is>
          <t>ÅNGE</t>
        </is>
      </c>
      <c r="G427" t="n">
        <v>2.9</v>
      </c>
      <c r="H427" t="n">
        <v>0</v>
      </c>
      <c r="I427" t="n">
        <v>0</v>
      </c>
      <c r="J427" t="n">
        <v>0</v>
      </c>
      <c r="K427" t="n">
        <v>0</v>
      </c>
      <c r="L427" t="n">
        <v>0</v>
      </c>
      <c r="M427" t="n">
        <v>0</v>
      </c>
      <c r="N427" t="n">
        <v>0</v>
      </c>
      <c r="O427" t="n">
        <v>0</v>
      </c>
      <c r="P427" t="n">
        <v>0</v>
      </c>
      <c r="Q427" t="n">
        <v>0</v>
      </c>
      <c r="R427" s="2" t="inlineStr"/>
    </row>
    <row r="428" ht="15" customHeight="1">
      <c r="A428" t="inlineStr">
        <is>
          <t>A 63549-2019</t>
        </is>
      </c>
      <c r="B428" s="1" t="n">
        <v>43794</v>
      </c>
      <c r="C428" s="1" t="n">
        <v>45750</v>
      </c>
      <c r="D428" t="inlineStr">
        <is>
          <t>VÄSTERNORRLANDS LÄN</t>
        </is>
      </c>
      <c r="E428" t="inlineStr">
        <is>
          <t>ÅNGE</t>
        </is>
      </c>
      <c r="F428" t="inlineStr">
        <is>
          <t>SCA</t>
        </is>
      </c>
      <c r="G428" t="n">
        <v>7.5</v>
      </c>
      <c r="H428" t="n">
        <v>0</v>
      </c>
      <c r="I428" t="n">
        <v>0</v>
      </c>
      <c r="J428" t="n">
        <v>0</v>
      </c>
      <c r="K428" t="n">
        <v>0</v>
      </c>
      <c r="L428" t="n">
        <v>0</v>
      </c>
      <c r="M428" t="n">
        <v>0</v>
      </c>
      <c r="N428" t="n">
        <v>0</v>
      </c>
      <c r="O428" t="n">
        <v>0</v>
      </c>
      <c r="P428" t="n">
        <v>0</v>
      </c>
      <c r="Q428" t="n">
        <v>0</v>
      </c>
      <c r="R428" s="2" t="inlineStr"/>
    </row>
    <row r="429" ht="15" customHeight="1">
      <c r="A429" t="inlineStr">
        <is>
          <t>A 63454-2019</t>
        </is>
      </c>
      <c r="B429" s="1" t="n">
        <v>43794</v>
      </c>
      <c r="C429" s="1" t="n">
        <v>45750</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63679-2019</t>
        </is>
      </c>
      <c r="B430" s="1" t="n">
        <v>43795</v>
      </c>
      <c r="C430" s="1" t="n">
        <v>45750</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63677-2019</t>
        </is>
      </c>
      <c r="B431" s="1" t="n">
        <v>43795</v>
      </c>
      <c r="C431" s="1" t="n">
        <v>45750</v>
      </c>
      <c r="D431" t="inlineStr">
        <is>
          <t>VÄSTERNORRLANDS LÄN</t>
        </is>
      </c>
      <c r="E431" t="inlineStr">
        <is>
          <t>ÅNGE</t>
        </is>
      </c>
      <c r="G431" t="n">
        <v>1.7</v>
      </c>
      <c r="H431" t="n">
        <v>0</v>
      </c>
      <c r="I431" t="n">
        <v>0</v>
      </c>
      <c r="J431" t="n">
        <v>0</v>
      </c>
      <c r="K431" t="n">
        <v>0</v>
      </c>
      <c r="L431" t="n">
        <v>0</v>
      </c>
      <c r="M431" t="n">
        <v>0</v>
      </c>
      <c r="N431" t="n">
        <v>0</v>
      </c>
      <c r="O431" t="n">
        <v>0</v>
      </c>
      <c r="P431" t="n">
        <v>0</v>
      </c>
      <c r="Q431" t="n">
        <v>0</v>
      </c>
      <c r="R431" s="2" t="inlineStr"/>
    </row>
    <row r="432" ht="15" customHeight="1">
      <c r="A432" t="inlineStr">
        <is>
          <t>A 63683-2019</t>
        </is>
      </c>
      <c r="B432" s="1" t="n">
        <v>43795</v>
      </c>
      <c r="C432" s="1" t="n">
        <v>45750</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65050-2019</t>
        </is>
      </c>
      <c r="B433" s="1" t="n">
        <v>43801</v>
      </c>
      <c r="C433" s="1" t="n">
        <v>45750</v>
      </c>
      <c r="D433" t="inlineStr">
        <is>
          <t>VÄSTERNORRLANDS LÄN</t>
        </is>
      </c>
      <c r="E433" t="inlineStr">
        <is>
          <t>ÅNGE</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65046-2019</t>
        </is>
      </c>
      <c r="B434" s="1" t="n">
        <v>43801</v>
      </c>
      <c r="C434" s="1" t="n">
        <v>45750</v>
      </c>
      <c r="D434" t="inlineStr">
        <is>
          <t>VÄSTERNORRLANDS LÄN</t>
        </is>
      </c>
      <c r="E434" t="inlineStr">
        <is>
          <t>ÅNGE</t>
        </is>
      </c>
      <c r="G434" t="n">
        <v>17.3</v>
      </c>
      <c r="H434" t="n">
        <v>0</v>
      </c>
      <c r="I434" t="n">
        <v>0</v>
      </c>
      <c r="J434" t="n">
        <v>0</v>
      </c>
      <c r="K434" t="n">
        <v>0</v>
      </c>
      <c r="L434" t="n">
        <v>0</v>
      </c>
      <c r="M434" t="n">
        <v>0</v>
      </c>
      <c r="N434" t="n">
        <v>0</v>
      </c>
      <c r="O434" t="n">
        <v>0</v>
      </c>
      <c r="P434" t="n">
        <v>0</v>
      </c>
      <c r="Q434" t="n">
        <v>0</v>
      </c>
      <c r="R434" s="2" t="inlineStr"/>
    </row>
    <row r="435" ht="15" customHeight="1">
      <c r="A435" t="inlineStr">
        <is>
          <t>A 65049-2019</t>
        </is>
      </c>
      <c r="B435" s="1" t="n">
        <v>43801</v>
      </c>
      <c r="C435" s="1" t="n">
        <v>45750</v>
      </c>
      <c r="D435" t="inlineStr">
        <is>
          <t>VÄSTERNORRLANDS LÄN</t>
        </is>
      </c>
      <c r="E435" t="inlineStr">
        <is>
          <t>ÅNGE</t>
        </is>
      </c>
      <c r="G435" t="n">
        <v>3.3</v>
      </c>
      <c r="H435" t="n">
        <v>0</v>
      </c>
      <c r="I435" t="n">
        <v>0</v>
      </c>
      <c r="J435" t="n">
        <v>0</v>
      </c>
      <c r="K435" t="n">
        <v>0</v>
      </c>
      <c r="L435" t="n">
        <v>0</v>
      </c>
      <c r="M435" t="n">
        <v>0</v>
      </c>
      <c r="N435" t="n">
        <v>0</v>
      </c>
      <c r="O435" t="n">
        <v>0</v>
      </c>
      <c r="P435" t="n">
        <v>0</v>
      </c>
      <c r="Q435" t="n">
        <v>0</v>
      </c>
      <c r="R435" s="2" t="inlineStr"/>
    </row>
    <row r="436" ht="15" customHeight="1">
      <c r="A436" t="inlineStr">
        <is>
          <t>A 65048-2019</t>
        </is>
      </c>
      <c r="B436" s="1" t="n">
        <v>43801</v>
      </c>
      <c r="C436" s="1" t="n">
        <v>45750</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65951-2019</t>
        </is>
      </c>
      <c r="B437" s="1" t="n">
        <v>43805</v>
      </c>
      <c r="C437" s="1" t="n">
        <v>45750</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65909-2019</t>
        </is>
      </c>
      <c r="B438" s="1" t="n">
        <v>43805</v>
      </c>
      <c r="C438" s="1" t="n">
        <v>45750</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66048-2019</t>
        </is>
      </c>
      <c r="B439" s="1" t="n">
        <v>43805</v>
      </c>
      <c r="C439" s="1" t="n">
        <v>45750</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66017-2019</t>
        </is>
      </c>
      <c r="B440" s="1" t="n">
        <v>43805</v>
      </c>
      <c r="C440" s="1" t="n">
        <v>45750</v>
      </c>
      <c r="D440" t="inlineStr">
        <is>
          <t>VÄSTERNORRLANDS LÄN</t>
        </is>
      </c>
      <c r="E440" t="inlineStr">
        <is>
          <t>ÅNGE</t>
        </is>
      </c>
      <c r="G440" t="n">
        <v>2.4</v>
      </c>
      <c r="H440" t="n">
        <v>0</v>
      </c>
      <c r="I440" t="n">
        <v>0</v>
      </c>
      <c r="J440" t="n">
        <v>0</v>
      </c>
      <c r="K440" t="n">
        <v>0</v>
      </c>
      <c r="L440" t="n">
        <v>0</v>
      </c>
      <c r="M440" t="n">
        <v>0</v>
      </c>
      <c r="N440" t="n">
        <v>0</v>
      </c>
      <c r="O440" t="n">
        <v>0</v>
      </c>
      <c r="P440" t="n">
        <v>0</v>
      </c>
      <c r="Q440" t="n">
        <v>0</v>
      </c>
      <c r="R440" s="2" t="inlineStr"/>
    </row>
    <row r="441" ht="15" customHeight="1">
      <c r="A441" t="inlineStr">
        <is>
          <t>A 66013-2019</t>
        </is>
      </c>
      <c r="B441" s="1" t="n">
        <v>43805</v>
      </c>
      <c r="C441" s="1" t="n">
        <v>45750</v>
      </c>
      <c r="D441" t="inlineStr">
        <is>
          <t>VÄSTERNORRLANDS LÄN</t>
        </is>
      </c>
      <c r="E441" t="inlineStr">
        <is>
          <t>ÅNGE</t>
        </is>
      </c>
      <c r="G441" t="n">
        <v>4</v>
      </c>
      <c r="H441" t="n">
        <v>0</v>
      </c>
      <c r="I441" t="n">
        <v>0</v>
      </c>
      <c r="J441" t="n">
        <v>0</v>
      </c>
      <c r="K441" t="n">
        <v>0</v>
      </c>
      <c r="L441" t="n">
        <v>0</v>
      </c>
      <c r="M441" t="n">
        <v>0</v>
      </c>
      <c r="N441" t="n">
        <v>0</v>
      </c>
      <c r="O441" t="n">
        <v>0</v>
      </c>
      <c r="P441" t="n">
        <v>0</v>
      </c>
      <c r="Q441" t="n">
        <v>0</v>
      </c>
      <c r="R441" s="2" t="inlineStr"/>
    </row>
    <row r="442" ht="15" customHeight="1">
      <c r="A442" t="inlineStr">
        <is>
          <t>A 68809-2019</t>
        </is>
      </c>
      <c r="B442" s="1" t="n">
        <v>43815</v>
      </c>
      <c r="C442" s="1" t="n">
        <v>45750</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714-2020</t>
        </is>
      </c>
      <c r="B443" s="1" t="n">
        <v>43818</v>
      </c>
      <c r="C443" s="1" t="n">
        <v>45750</v>
      </c>
      <c r="D443" t="inlineStr">
        <is>
          <t>VÄSTERNORRLANDS LÄN</t>
        </is>
      </c>
      <c r="E443" t="inlineStr">
        <is>
          <t>ÅNGE</t>
        </is>
      </c>
      <c r="G443" t="n">
        <v>0.9</v>
      </c>
      <c r="H443" t="n">
        <v>0</v>
      </c>
      <c r="I443" t="n">
        <v>0</v>
      </c>
      <c r="J443" t="n">
        <v>0</v>
      </c>
      <c r="K443" t="n">
        <v>0</v>
      </c>
      <c r="L443" t="n">
        <v>0</v>
      </c>
      <c r="M443" t="n">
        <v>0</v>
      </c>
      <c r="N443" t="n">
        <v>0</v>
      </c>
      <c r="O443" t="n">
        <v>0</v>
      </c>
      <c r="P443" t="n">
        <v>0</v>
      </c>
      <c r="Q443" t="n">
        <v>0</v>
      </c>
      <c r="R443" s="2" t="inlineStr"/>
    </row>
    <row r="444" ht="15" customHeight="1">
      <c r="A444" t="inlineStr">
        <is>
          <t>A 68807-2019</t>
        </is>
      </c>
      <c r="B444" s="1" t="n">
        <v>43819</v>
      </c>
      <c r="C444" s="1" t="n">
        <v>45750</v>
      </c>
      <c r="D444" t="inlineStr">
        <is>
          <t>VÄSTERNORRLANDS LÄN</t>
        </is>
      </c>
      <c r="E444" t="inlineStr">
        <is>
          <t>ÅNGE</t>
        </is>
      </c>
      <c r="G444" t="n">
        <v>2.1</v>
      </c>
      <c r="H444" t="n">
        <v>0</v>
      </c>
      <c r="I444" t="n">
        <v>0</v>
      </c>
      <c r="J444" t="n">
        <v>0</v>
      </c>
      <c r="K444" t="n">
        <v>0</v>
      </c>
      <c r="L444" t="n">
        <v>0</v>
      </c>
      <c r="M444" t="n">
        <v>0</v>
      </c>
      <c r="N444" t="n">
        <v>0</v>
      </c>
      <c r="O444" t="n">
        <v>0</v>
      </c>
      <c r="P444" t="n">
        <v>0</v>
      </c>
      <c r="Q444" t="n">
        <v>0</v>
      </c>
      <c r="R444" s="2" t="inlineStr"/>
    </row>
    <row r="445" ht="15" customHeight="1">
      <c r="A445" t="inlineStr">
        <is>
          <t>A 69169-2019</t>
        </is>
      </c>
      <c r="B445" s="1" t="n">
        <v>43830</v>
      </c>
      <c r="C445" s="1" t="n">
        <v>45750</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69171-2019</t>
        </is>
      </c>
      <c r="B446" s="1" t="n">
        <v>43830</v>
      </c>
      <c r="C446" s="1" t="n">
        <v>45750</v>
      </c>
      <c r="D446" t="inlineStr">
        <is>
          <t>VÄSTERNORRLANDS LÄN</t>
        </is>
      </c>
      <c r="E446" t="inlineStr">
        <is>
          <t>ÅNGE</t>
        </is>
      </c>
      <c r="G446" t="n">
        <v>3.1</v>
      </c>
      <c r="H446" t="n">
        <v>0</v>
      </c>
      <c r="I446" t="n">
        <v>0</v>
      </c>
      <c r="J446" t="n">
        <v>0</v>
      </c>
      <c r="K446" t="n">
        <v>0</v>
      </c>
      <c r="L446" t="n">
        <v>0</v>
      </c>
      <c r="M446" t="n">
        <v>0</v>
      </c>
      <c r="N446" t="n">
        <v>0</v>
      </c>
      <c r="O446" t="n">
        <v>0</v>
      </c>
      <c r="P446" t="n">
        <v>0</v>
      </c>
      <c r="Q446" t="n">
        <v>0</v>
      </c>
      <c r="R446" s="2" t="inlineStr"/>
    </row>
    <row r="447" ht="15" customHeight="1">
      <c r="A447" t="inlineStr">
        <is>
          <t>A 114-2020</t>
        </is>
      </c>
      <c r="B447" s="1" t="n">
        <v>43832</v>
      </c>
      <c r="C447" s="1" t="n">
        <v>45750</v>
      </c>
      <c r="D447" t="inlineStr">
        <is>
          <t>VÄSTERNORRLANDS LÄN</t>
        </is>
      </c>
      <c r="E447" t="inlineStr">
        <is>
          <t>ÅNGE</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531-2020</t>
        </is>
      </c>
      <c r="B448" s="1" t="n">
        <v>43837</v>
      </c>
      <c r="C448" s="1" t="n">
        <v>45750</v>
      </c>
      <c r="D448" t="inlineStr">
        <is>
          <t>VÄSTERNORRLANDS LÄN</t>
        </is>
      </c>
      <c r="E448" t="inlineStr">
        <is>
          <t>ÅNGE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664-2020</t>
        </is>
      </c>
      <c r="B449" s="1" t="n">
        <v>43838</v>
      </c>
      <c r="C449" s="1" t="n">
        <v>45750</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2650-2020</t>
        </is>
      </c>
      <c r="B450" s="1" t="n">
        <v>43847</v>
      </c>
      <c r="C450" s="1" t="n">
        <v>45750</v>
      </c>
      <c r="D450" t="inlineStr">
        <is>
          <t>VÄSTERNORRLANDS LÄN</t>
        </is>
      </c>
      <c r="E450" t="inlineStr">
        <is>
          <t>ÅNGE</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3658-2020</t>
        </is>
      </c>
      <c r="B451" s="1" t="n">
        <v>43853</v>
      </c>
      <c r="C451" s="1" t="n">
        <v>45750</v>
      </c>
      <c r="D451" t="inlineStr">
        <is>
          <t>VÄSTERNORRLANDS LÄN</t>
        </is>
      </c>
      <c r="E451" t="inlineStr">
        <is>
          <t>ÅNGE</t>
        </is>
      </c>
      <c r="G451" t="n">
        <v>4.4</v>
      </c>
      <c r="H451" t="n">
        <v>0</v>
      </c>
      <c r="I451" t="n">
        <v>0</v>
      </c>
      <c r="J451" t="n">
        <v>0</v>
      </c>
      <c r="K451" t="n">
        <v>0</v>
      </c>
      <c r="L451" t="n">
        <v>0</v>
      </c>
      <c r="M451" t="n">
        <v>0</v>
      </c>
      <c r="N451" t="n">
        <v>0</v>
      </c>
      <c r="O451" t="n">
        <v>0</v>
      </c>
      <c r="P451" t="n">
        <v>0</v>
      </c>
      <c r="Q451" t="n">
        <v>0</v>
      </c>
      <c r="R451" s="2" t="inlineStr"/>
    </row>
    <row r="452" ht="15" customHeight="1">
      <c r="A452" t="inlineStr">
        <is>
          <t>A 3664-2020</t>
        </is>
      </c>
      <c r="B452" s="1" t="n">
        <v>43853</v>
      </c>
      <c r="C452" s="1" t="n">
        <v>45750</v>
      </c>
      <c r="D452" t="inlineStr">
        <is>
          <t>VÄSTERNORRLANDS LÄN</t>
        </is>
      </c>
      <c r="E452" t="inlineStr">
        <is>
          <t>ÅNGE</t>
        </is>
      </c>
      <c r="G452" t="n">
        <v>10.8</v>
      </c>
      <c r="H452" t="n">
        <v>0</v>
      </c>
      <c r="I452" t="n">
        <v>0</v>
      </c>
      <c r="J452" t="n">
        <v>0</v>
      </c>
      <c r="K452" t="n">
        <v>0</v>
      </c>
      <c r="L452" t="n">
        <v>0</v>
      </c>
      <c r="M452" t="n">
        <v>0</v>
      </c>
      <c r="N452" t="n">
        <v>0</v>
      </c>
      <c r="O452" t="n">
        <v>0</v>
      </c>
      <c r="P452" t="n">
        <v>0</v>
      </c>
      <c r="Q452" t="n">
        <v>0</v>
      </c>
      <c r="R452" s="2" t="inlineStr"/>
    </row>
    <row r="453" ht="15" customHeight="1">
      <c r="A453" t="inlineStr">
        <is>
          <t>A 3993-2020</t>
        </is>
      </c>
      <c r="B453" s="1" t="n">
        <v>43856</v>
      </c>
      <c r="C453" s="1" t="n">
        <v>45750</v>
      </c>
      <c r="D453" t="inlineStr">
        <is>
          <t>VÄSTERNORRLANDS LÄN</t>
        </is>
      </c>
      <c r="E453" t="inlineStr">
        <is>
          <t>ÅNGE</t>
        </is>
      </c>
      <c r="G453" t="n">
        <v>1.6</v>
      </c>
      <c r="H453" t="n">
        <v>0</v>
      </c>
      <c r="I453" t="n">
        <v>0</v>
      </c>
      <c r="J453" t="n">
        <v>0</v>
      </c>
      <c r="K453" t="n">
        <v>0</v>
      </c>
      <c r="L453" t="n">
        <v>0</v>
      </c>
      <c r="M453" t="n">
        <v>0</v>
      </c>
      <c r="N453" t="n">
        <v>0</v>
      </c>
      <c r="O453" t="n">
        <v>0</v>
      </c>
      <c r="P453" t="n">
        <v>0</v>
      </c>
      <c r="Q453" t="n">
        <v>0</v>
      </c>
      <c r="R453" s="2" t="inlineStr"/>
    </row>
    <row r="454" ht="15" customHeight="1">
      <c r="A454" t="inlineStr">
        <is>
          <t>A 4365-2020</t>
        </is>
      </c>
      <c r="B454" s="1" t="n">
        <v>43857</v>
      </c>
      <c r="C454" s="1" t="n">
        <v>45750</v>
      </c>
      <c r="D454" t="inlineStr">
        <is>
          <t>VÄSTERNORRLANDS LÄN</t>
        </is>
      </c>
      <c r="E454" t="inlineStr">
        <is>
          <t>ÅNGE</t>
        </is>
      </c>
      <c r="G454" t="n">
        <v>0.3</v>
      </c>
      <c r="H454" t="n">
        <v>0</v>
      </c>
      <c r="I454" t="n">
        <v>0</v>
      </c>
      <c r="J454" t="n">
        <v>0</v>
      </c>
      <c r="K454" t="n">
        <v>0</v>
      </c>
      <c r="L454" t="n">
        <v>0</v>
      </c>
      <c r="M454" t="n">
        <v>0</v>
      </c>
      <c r="N454" t="n">
        <v>0</v>
      </c>
      <c r="O454" t="n">
        <v>0</v>
      </c>
      <c r="P454" t="n">
        <v>0</v>
      </c>
      <c r="Q454" t="n">
        <v>0</v>
      </c>
      <c r="R454" s="2" t="inlineStr"/>
    </row>
    <row r="455" ht="15" customHeight="1">
      <c r="A455" t="inlineStr">
        <is>
          <t>A 4458-2020</t>
        </is>
      </c>
      <c r="B455" s="1" t="n">
        <v>43858</v>
      </c>
      <c r="C455" s="1" t="n">
        <v>45750</v>
      </c>
      <c r="D455" t="inlineStr">
        <is>
          <t>VÄSTERNORRLANDS LÄN</t>
        </is>
      </c>
      <c r="E455" t="inlineStr">
        <is>
          <t>ÅNGE</t>
        </is>
      </c>
      <c r="G455" t="n">
        <v>1.5</v>
      </c>
      <c r="H455" t="n">
        <v>0</v>
      </c>
      <c r="I455" t="n">
        <v>0</v>
      </c>
      <c r="J455" t="n">
        <v>0</v>
      </c>
      <c r="K455" t="n">
        <v>0</v>
      </c>
      <c r="L455" t="n">
        <v>0</v>
      </c>
      <c r="M455" t="n">
        <v>0</v>
      </c>
      <c r="N455" t="n">
        <v>0</v>
      </c>
      <c r="O455" t="n">
        <v>0</v>
      </c>
      <c r="P455" t="n">
        <v>0</v>
      </c>
      <c r="Q455" t="n">
        <v>0</v>
      </c>
      <c r="R455" s="2" t="inlineStr"/>
    </row>
    <row r="456" ht="15" customHeight="1">
      <c r="A456" t="inlineStr">
        <is>
          <t>A 5102-2020</t>
        </is>
      </c>
      <c r="B456" s="1" t="n">
        <v>43859</v>
      </c>
      <c r="C456" s="1" t="n">
        <v>45750</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5975-2020</t>
        </is>
      </c>
      <c r="B457" s="1" t="n">
        <v>43864</v>
      </c>
      <c r="C457" s="1" t="n">
        <v>45750</v>
      </c>
      <c r="D457" t="inlineStr">
        <is>
          <t>VÄSTERNORRLANDS LÄN</t>
        </is>
      </c>
      <c r="E457" t="inlineStr">
        <is>
          <t>ÅNGE</t>
        </is>
      </c>
      <c r="G457" t="n">
        <v>6.5</v>
      </c>
      <c r="H457" t="n">
        <v>0</v>
      </c>
      <c r="I457" t="n">
        <v>0</v>
      </c>
      <c r="J457" t="n">
        <v>0</v>
      </c>
      <c r="K457" t="n">
        <v>0</v>
      </c>
      <c r="L457" t="n">
        <v>0</v>
      </c>
      <c r="M457" t="n">
        <v>0</v>
      </c>
      <c r="N457" t="n">
        <v>0</v>
      </c>
      <c r="O457" t="n">
        <v>0</v>
      </c>
      <c r="P457" t="n">
        <v>0</v>
      </c>
      <c r="Q457" t="n">
        <v>0</v>
      </c>
      <c r="R457" s="2" t="inlineStr"/>
    </row>
    <row r="458" ht="15" customHeight="1">
      <c r="A458" t="inlineStr">
        <is>
          <t>A 6393-2020</t>
        </is>
      </c>
      <c r="B458" s="1" t="n">
        <v>43866</v>
      </c>
      <c r="C458" s="1" t="n">
        <v>45750</v>
      </c>
      <c r="D458" t="inlineStr">
        <is>
          <t>VÄSTERNORRLANDS LÄN</t>
        </is>
      </c>
      <c r="E458" t="inlineStr">
        <is>
          <t>ÅNGE</t>
        </is>
      </c>
      <c r="G458" t="n">
        <v>3.4</v>
      </c>
      <c r="H458" t="n">
        <v>0</v>
      </c>
      <c r="I458" t="n">
        <v>0</v>
      </c>
      <c r="J458" t="n">
        <v>0</v>
      </c>
      <c r="K458" t="n">
        <v>0</v>
      </c>
      <c r="L458" t="n">
        <v>0</v>
      </c>
      <c r="M458" t="n">
        <v>0</v>
      </c>
      <c r="N458" t="n">
        <v>0</v>
      </c>
      <c r="O458" t="n">
        <v>0</v>
      </c>
      <c r="P458" t="n">
        <v>0</v>
      </c>
      <c r="Q458" t="n">
        <v>0</v>
      </c>
      <c r="R458" s="2" t="inlineStr"/>
    </row>
    <row r="459" ht="15" customHeight="1">
      <c r="A459" t="inlineStr">
        <is>
          <t>A 6557-2020</t>
        </is>
      </c>
      <c r="B459" s="1" t="n">
        <v>43867</v>
      </c>
      <c r="C459" s="1" t="n">
        <v>45750</v>
      </c>
      <c r="D459" t="inlineStr">
        <is>
          <t>VÄSTERNORRLANDS LÄN</t>
        </is>
      </c>
      <c r="E459" t="inlineStr">
        <is>
          <t>ÅNGE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6551-2020</t>
        </is>
      </c>
      <c r="B460" s="1" t="n">
        <v>43867</v>
      </c>
      <c r="C460" s="1" t="n">
        <v>45750</v>
      </c>
      <c r="D460" t="inlineStr">
        <is>
          <t>VÄSTERNORRLANDS LÄN</t>
        </is>
      </c>
      <c r="E460" t="inlineStr">
        <is>
          <t>ÅNGE</t>
        </is>
      </c>
      <c r="G460" t="n">
        <v>12.5</v>
      </c>
      <c r="H460" t="n">
        <v>0</v>
      </c>
      <c r="I460" t="n">
        <v>0</v>
      </c>
      <c r="J460" t="n">
        <v>0</v>
      </c>
      <c r="K460" t="n">
        <v>0</v>
      </c>
      <c r="L460" t="n">
        <v>0</v>
      </c>
      <c r="M460" t="n">
        <v>0</v>
      </c>
      <c r="N460" t="n">
        <v>0</v>
      </c>
      <c r="O460" t="n">
        <v>0</v>
      </c>
      <c r="P460" t="n">
        <v>0</v>
      </c>
      <c r="Q460" t="n">
        <v>0</v>
      </c>
      <c r="R460" s="2" t="inlineStr"/>
    </row>
    <row r="461" ht="15" customHeight="1">
      <c r="A461" t="inlineStr">
        <is>
          <t>A 6563-2020</t>
        </is>
      </c>
      <c r="B461" s="1" t="n">
        <v>43867</v>
      </c>
      <c r="C461" s="1" t="n">
        <v>45750</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6555-2020</t>
        </is>
      </c>
      <c r="B462" s="1" t="n">
        <v>43867</v>
      </c>
      <c r="C462" s="1" t="n">
        <v>45750</v>
      </c>
      <c r="D462" t="inlineStr">
        <is>
          <t>VÄSTERNORRLANDS LÄN</t>
        </is>
      </c>
      <c r="E462" t="inlineStr">
        <is>
          <t>ÅNGE</t>
        </is>
      </c>
      <c r="G462" t="n">
        <v>6.7</v>
      </c>
      <c r="H462" t="n">
        <v>0</v>
      </c>
      <c r="I462" t="n">
        <v>0</v>
      </c>
      <c r="J462" t="n">
        <v>0</v>
      </c>
      <c r="K462" t="n">
        <v>0</v>
      </c>
      <c r="L462" t="n">
        <v>0</v>
      </c>
      <c r="M462" t="n">
        <v>0</v>
      </c>
      <c r="N462" t="n">
        <v>0</v>
      </c>
      <c r="O462" t="n">
        <v>0</v>
      </c>
      <c r="P462" t="n">
        <v>0</v>
      </c>
      <c r="Q462" t="n">
        <v>0</v>
      </c>
      <c r="R462" s="2" t="inlineStr"/>
    </row>
    <row r="463" ht="15" customHeight="1">
      <c r="A463" t="inlineStr">
        <is>
          <t>A 6562-2020</t>
        </is>
      </c>
      <c r="B463" s="1" t="n">
        <v>43867</v>
      </c>
      <c r="C463" s="1" t="n">
        <v>45750</v>
      </c>
      <c r="D463" t="inlineStr">
        <is>
          <t>VÄSTERNORRLANDS LÄN</t>
        </is>
      </c>
      <c r="E463" t="inlineStr">
        <is>
          <t>ÅNGE</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6565-2020</t>
        </is>
      </c>
      <c r="B464" s="1" t="n">
        <v>43867</v>
      </c>
      <c r="C464" s="1" t="n">
        <v>45750</v>
      </c>
      <c r="D464" t="inlineStr">
        <is>
          <t>VÄSTERNORRLANDS LÄN</t>
        </is>
      </c>
      <c r="E464" t="inlineStr">
        <is>
          <t>ÅNGE</t>
        </is>
      </c>
      <c r="G464" t="n">
        <v>1</v>
      </c>
      <c r="H464" t="n">
        <v>0</v>
      </c>
      <c r="I464" t="n">
        <v>0</v>
      </c>
      <c r="J464" t="n">
        <v>0</v>
      </c>
      <c r="K464" t="n">
        <v>0</v>
      </c>
      <c r="L464" t="n">
        <v>0</v>
      </c>
      <c r="M464" t="n">
        <v>0</v>
      </c>
      <c r="N464" t="n">
        <v>0</v>
      </c>
      <c r="O464" t="n">
        <v>0</v>
      </c>
      <c r="P464" t="n">
        <v>0</v>
      </c>
      <c r="Q464" t="n">
        <v>0</v>
      </c>
      <c r="R464" s="2" t="inlineStr"/>
    </row>
    <row r="465" ht="15" customHeight="1">
      <c r="A465" t="inlineStr">
        <is>
          <t>A 7787-2020</t>
        </is>
      </c>
      <c r="B465" s="1" t="n">
        <v>43872</v>
      </c>
      <c r="C465" s="1" t="n">
        <v>45750</v>
      </c>
      <c r="D465" t="inlineStr">
        <is>
          <t>VÄSTERNORRLANDS LÄN</t>
        </is>
      </c>
      <c r="E465" t="inlineStr">
        <is>
          <t>ÅNGE</t>
        </is>
      </c>
      <c r="F465" t="inlineStr">
        <is>
          <t>SCA</t>
        </is>
      </c>
      <c r="G465" t="n">
        <v>22.8</v>
      </c>
      <c r="H465" t="n">
        <v>0</v>
      </c>
      <c r="I465" t="n">
        <v>0</v>
      </c>
      <c r="J465" t="n">
        <v>0</v>
      </c>
      <c r="K465" t="n">
        <v>0</v>
      </c>
      <c r="L465" t="n">
        <v>0</v>
      </c>
      <c r="M465" t="n">
        <v>0</v>
      </c>
      <c r="N465" t="n">
        <v>0</v>
      </c>
      <c r="O465" t="n">
        <v>0</v>
      </c>
      <c r="P465" t="n">
        <v>0</v>
      </c>
      <c r="Q465" t="n">
        <v>0</v>
      </c>
      <c r="R465" s="2" t="inlineStr"/>
    </row>
    <row r="466" ht="15" customHeight="1">
      <c r="A466" t="inlineStr">
        <is>
          <t>A 8533-2020</t>
        </is>
      </c>
      <c r="B466" s="1" t="n">
        <v>43875</v>
      </c>
      <c r="C466" s="1" t="n">
        <v>45750</v>
      </c>
      <c r="D466" t="inlineStr">
        <is>
          <t>VÄSTERNORRLANDS LÄN</t>
        </is>
      </c>
      <c r="E466" t="inlineStr">
        <is>
          <t>ÅNGE</t>
        </is>
      </c>
      <c r="F466" t="inlineStr">
        <is>
          <t>SCA</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8534-2020</t>
        </is>
      </c>
      <c r="B467" s="1" t="n">
        <v>43875</v>
      </c>
      <c r="C467" s="1" t="n">
        <v>45750</v>
      </c>
      <c r="D467" t="inlineStr">
        <is>
          <t>VÄSTERNORRLANDS LÄN</t>
        </is>
      </c>
      <c r="E467" t="inlineStr">
        <is>
          <t>ÅNGE</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10144-2020</t>
        </is>
      </c>
      <c r="B468" s="1" t="n">
        <v>43886</v>
      </c>
      <c r="C468" s="1" t="n">
        <v>45750</v>
      </c>
      <c r="D468" t="inlineStr">
        <is>
          <t>VÄSTERNORRLANDS LÄN</t>
        </is>
      </c>
      <c r="E468" t="inlineStr">
        <is>
          <t>ÅNGE</t>
        </is>
      </c>
      <c r="F468" t="inlineStr">
        <is>
          <t>SCA</t>
        </is>
      </c>
      <c r="G468" t="n">
        <v>21.7</v>
      </c>
      <c r="H468" t="n">
        <v>0</v>
      </c>
      <c r="I468" t="n">
        <v>0</v>
      </c>
      <c r="J468" t="n">
        <v>0</v>
      </c>
      <c r="K468" t="n">
        <v>0</v>
      </c>
      <c r="L468" t="n">
        <v>0</v>
      </c>
      <c r="M468" t="n">
        <v>0</v>
      </c>
      <c r="N468" t="n">
        <v>0</v>
      </c>
      <c r="O468" t="n">
        <v>0</v>
      </c>
      <c r="P468" t="n">
        <v>0</v>
      </c>
      <c r="Q468" t="n">
        <v>0</v>
      </c>
      <c r="R468" s="2" t="inlineStr"/>
    </row>
    <row r="469" ht="15" customHeight="1">
      <c r="A469" t="inlineStr">
        <is>
          <t>A 10145-2020</t>
        </is>
      </c>
      <c r="B469" s="1" t="n">
        <v>43886</v>
      </c>
      <c r="C469" s="1" t="n">
        <v>45750</v>
      </c>
      <c r="D469" t="inlineStr">
        <is>
          <t>VÄSTERNORRLANDS LÄN</t>
        </is>
      </c>
      <c r="E469" t="inlineStr">
        <is>
          <t>ÅNGE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11101-2020</t>
        </is>
      </c>
      <c r="B470" s="1" t="n">
        <v>43889</v>
      </c>
      <c r="C470" s="1" t="n">
        <v>45750</v>
      </c>
      <c r="D470" t="inlineStr">
        <is>
          <t>VÄSTERNORRLANDS LÄN</t>
        </is>
      </c>
      <c r="E470" t="inlineStr">
        <is>
          <t>ÅNGE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12866-2020</t>
        </is>
      </c>
      <c r="B471" s="1" t="n">
        <v>43899</v>
      </c>
      <c r="C471" s="1" t="n">
        <v>45750</v>
      </c>
      <c r="D471" t="inlineStr">
        <is>
          <t>VÄSTERNORRLANDS LÄN</t>
        </is>
      </c>
      <c r="E471" t="inlineStr">
        <is>
          <t>ÅNGE</t>
        </is>
      </c>
      <c r="G471" t="n">
        <v>3.2</v>
      </c>
      <c r="H471" t="n">
        <v>0</v>
      </c>
      <c r="I471" t="n">
        <v>0</v>
      </c>
      <c r="J471" t="n">
        <v>0</v>
      </c>
      <c r="K471" t="n">
        <v>0</v>
      </c>
      <c r="L471" t="n">
        <v>0</v>
      </c>
      <c r="M471" t="n">
        <v>0</v>
      </c>
      <c r="N471" t="n">
        <v>0</v>
      </c>
      <c r="O471" t="n">
        <v>0</v>
      </c>
      <c r="P471" t="n">
        <v>0</v>
      </c>
      <c r="Q471" t="n">
        <v>0</v>
      </c>
      <c r="R471" s="2" t="inlineStr"/>
    </row>
    <row r="472" ht="15" customHeight="1">
      <c r="A472" t="inlineStr">
        <is>
          <t>A 12868-2020</t>
        </is>
      </c>
      <c r="B472" s="1" t="n">
        <v>43899</v>
      </c>
      <c r="C472" s="1" t="n">
        <v>45750</v>
      </c>
      <c r="D472" t="inlineStr">
        <is>
          <t>VÄSTERNORRLANDS LÄN</t>
        </is>
      </c>
      <c r="E472" t="inlineStr">
        <is>
          <t>ÅNGE</t>
        </is>
      </c>
      <c r="G472" t="n">
        <v>9.6</v>
      </c>
      <c r="H472" t="n">
        <v>0</v>
      </c>
      <c r="I472" t="n">
        <v>0</v>
      </c>
      <c r="J472" t="n">
        <v>0</v>
      </c>
      <c r="K472" t="n">
        <v>0</v>
      </c>
      <c r="L472" t="n">
        <v>0</v>
      </c>
      <c r="M472" t="n">
        <v>0</v>
      </c>
      <c r="N472" t="n">
        <v>0</v>
      </c>
      <c r="O472" t="n">
        <v>0</v>
      </c>
      <c r="P472" t="n">
        <v>0</v>
      </c>
      <c r="Q472" t="n">
        <v>0</v>
      </c>
      <c r="R472" s="2" t="inlineStr"/>
    </row>
    <row r="473" ht="15" customHeight="1">
      <c r="A473" t="inlineStr">
        <is>
          <t>A 13559-2020</t>
        </is>
      </c>
      <c r="B473" s="1" t="n">
        <v>43902</v>
      </c>
      <c r="C473" s="1" t="n">
        <v>45750</v>
      </c>
      <c r="D473" t="inlineStr">
        <is>
          <t>VÄSTERNORRLANDS LÄN</t>
        </is>
      </c>
      <c r="E473" t="inlineStr">
        <is>
          <t>ÅNGE</t>
        </is>
      </c>
      <c r="F473" t="inlineStr">
        <is>
          <t>SCA</t>
        </is>
      </c>
      <c r="G473" t="n">
        <v>24.5</v>
      </c>
      <c r="H473" t="n">
        <v>0</v>
      </c>
      <c r="I473" t="n">
        <v>0</v>
      </c>
      <c r="J473" t="n">
        <v>0</v>
      </c>
      <c r="K473" t="n">
        <v>0</v>
      </c>
      <c r="L473" t="n">
        <v>0</v>
      </c>
      <c r="M473" t="n">
        <v>0</v>
      </c>
      <c r="N473" t="n">
        <v>0</v>
      </c>
      <c r="O473" t="n">
        <v>0</v>
      </c>
      <c r="P473" t="n">
        <v>0</v>
      </c>
      <c r="Q473" t="n">
        <v>0</v>
      </c>
      <c r="R473" s="2" t="inlineStr"/>
    </row>
    <row r="474" ht="15" customHeight="1">
      <c r="A474" t="inlineStr">
        <is>
          <t>A 14586-2020</t>
        </is>
      </c>
      <c r="B474" s="1" t="n">
        <v>43908</v>
      </c>
      <c r="C474" s="1" t="n">
        <v>45750</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17101-2020</t>
        </is>
      </c>
      <c r="B475" s="1" t="n">
        <v>43914</v>
      </c>
      <c r="C475" s="1" t="n">
        <v>45750</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17098-2020</t>
        </is>
      </c>
      <c r="B476" s="1" t="n">
        <v>43914</v>
      </c>
      <c r="C476" s="1" t="n">
        <v>45750</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17007-2020</t>
        </is>
      </c>
      <c r="B477" s="1" t="n">
        <v>43921</v>
      </c>
      <c r="C477" s="1" t="n">
        <v>45750</v>
      </c>
      <c r="D477" t="inlineStr">
        <is>
          <t>VÄSTERNORRLANDS LÄN</t>
        </is>
      </c>
      <c r="E477" t="inlineStr">
        <is>
          <t>ÅNGE</t>
        </is>
      </c>
      <c r="G477" t="n">
        <v>1.3</v>
      </c>
      <c r="H477" t="n">
        <v>0</v>
      </c>
      <c r="I477" t="n">
        <v>0</v>
      </c>
      <c r="J477" t="n">
        <v>0</v>
      </c>
      <c r="K477" t="n">
        <v>0</v>
      </c>
      <c r="L477" t="n">
        <v>0</v>
      </c>
      <c r="M477" t="n">
        <v>0</v>
      </c>
      <c r="N477" t="n">
        <v>0</v>
      </c>
      <c r="O477" t="n">
        <v>0</v>
      </c>
      <c r="P477" t="n">
        <v>0</v>
      </c>
      <c r="Q477" t="n">
        <v>0</v>
      </c>
      <c r="R477" s="2" t="inlineStr"/>
    </row>
    <row r="478" ht="15" customHeight="1">
      <c r="A478" t="inlineStr">
        <is>
          <t>A 17069-2020</t>
        </is>
      </c>
      <c r="B478" s="1" t="n">
        <v>43921</v>
      </c>
      <c r="C478" s="1" t="n">
        <v>45750</v>
      </c>
      <c r="D478" t="inlineStr">
        <is>
          <t>VÄSTERNORRLANDS LÄN</t>
        </is>
      </c>
      <c r="E478" t="inlineStr">
        <is>
          <t>ÅNGE</t>
        </is>
      </c>
      <c r="F478" t="inlineStr">
        <is>
          <t>SCA</t>
        </is>
      </c>
      <c r="G478" t="n">
        <v>10.1</v>
      </c>
      <c r="H478" t="n">
        <v>0</v>
      </c>
      <c r="I478" t="n">
        <v>0</v>
      </c>
      <c r="J478" t="n">
        <v>0</v>
      </c>
      <c r="K478" t="n">
        <v>0</v>
      </c>
      <c r="L478" t="n">
        <v>0</v>
      </c>
      <c r="M478" t="n">
        <v>0</v>
      </c>
      <c r="N478" t="n">
        <v>0</v>
      </c>
      <c r="O478" t="n">
        <v>0</v>
      </c>
      <c r="P478" t="n">
        <v>0</v>
      </c>
      <c r="Q478" t="n">
        <v>0</v>
      </c>
      <c r="R478" s="2" t="inlineStr"/>
    </row>
    <row r="479" ht="15" customHeight="1">
      <c r="A479" t="inlineStr">
        <is>
          <t>A 19125-2020</t>
        </is>
      </c>
      <c r="B479" s="1" t="n">
        <v>43936</v>
      </c>
      <c r="C479" s="1" t="n">
        <v>45750</v>
      </c>
      <c r="D479" t="inlineStr">
        <is>
          <t>VÄSTERNORRLANDS LÄN</t>
        </is>
      </c>
      <c r="E479" t="inlineStr">
        <is>
          <t>ÅNGE</t>
        </is>
      </c>
      <c r="G479" t="n">
        <v>1.9</v>
      </c>
      <c r="H479" t="n">
        <v>0</v>
      </c>
      <c r="I479" t="n">
        <v>0</v>
      </c>
      <c r="J479" t="n">
        <v>0</v>
      </c>
      <c r="K479" t="n">
        <v>0</v>
      </c>
      <c r="L479" t="n">
        <v>0</v>
      </c>
      <c r="M479" t="n">
        <v>0</v>
      </c>
      <c r="N479" t="n">
        <v>0</v>
      </c>
      <c r="O479" t="n">
        <v>0</v>
      </c>
      <c r="P479" t="n">
        <v>0</v>
      </c>
      <c r="Q479" t="n">
        <v>0</v>
      </c>
      <c r="R479" s="2" t="inlineStr"/>
    </row>
    <row r="480" ht="15" customHeight="1">
      <c r="A480" t="inlineStr">
        <is>
          <t>A 19619-2020</t>
        </is>
      </c>
      <c r="B480" s="1" t="n">
        <v>43941</v>
      </c>
      <c r="C480" s="1" t="n">
        <v>45750</v>
      </c>
      <c r="D480" t="inlineStr">
        <is>
          <t>VÄSTERNORRLANDS LÄN</t>
        </is>
      </c>
      <c r="E480" t="inlineStr">
        <is>
          <t>ÅNGE</t>
        </is>
      </c>
      <c r="G480" t="n">
        <v>4.6</v>
      </c>
      <c r="H480" t="n">
        <v>0</v>
      </c>
      <c r="I480" t="n">
        <v>0</v>
      </c>
      <c r="J480" t="n">
        <v>0</v>
      </c>
      <c r="K480" t="n">
        <v>0</v>
      </c>
      <c r="L480" t="n">
        <v>0</v>
      </c>
      <c r="M480" t="n">
        <v>0</v>
      </c>
      <c r="N480" t="n">
        <v>0</v>
      </c>
      <c r="O480" t="n">
        <v>0</v>
      </c>
      <c r="P480" t="n">
        <v>0</v>
      </c>
      <c r="Q480" t="n">
        <v>0</v>
      </c>
      <c r="R480" s="2" t="inlineStr"/>
    </row>
    <row r="481" ht="15" customHeight="1">
      <c r="A481" t="inlineStr">
        <is>
          <t>A 20079-2020</t>
        </is>
      </c>
      <c r="B481" s="1" t="n">
        <v>43943</v>
      </c>
      <c r="C481" s="1" t="n">
        <v>45750</v>
      </c>
      <c r="D481" t="inlineStr">
        <is>
          <t>VÄSTERNORRLANDS LÄN</t>
        </is>
      </c>
      <c r="E481" t="inlineStr">
        <is>
          <t>ÅNGE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20211-2020</t>
        </is>
      </c>
      <c r="B482" s="1" t="n">
        <v>43944</v>
      </c>
      <c r="C482" s="1" t="n">
        <v>45750</v>
      </c>
      <c r="D482" t="inlineStr">
        <is>
          <t>VÄSTERNORRLANDS LÄN</t>
        </is>
      </c>
      <c r="E482" t="inlineStr">
        <is>
          <t>ÅNGE</t>
        </is>
      </c>
      <c r="G482" t="n">
        <v>1.7</v>
      </c>
      <c r="H482" t="n">
        <v>0</v>
      </c>
      <c r="I482" t="n">
        <v>0</v>
      </c>
      <c r="J482" t="n">
        <v>0</v>
      </c>
      <c r="K482" t="n">
        <v>0</v>
      </c>
      <c r="L482" t="n">
        <v>0</v>
      </c>
      <c r="M482" t="n">
        <v>0</v>
      </c>
      <c r="N482" t="n">
        <v>0</v>
      </c>
      <c r="O482" t="n">
        <v>0</v>
      </c>
      <c r="P482" t="n">
        <v>0</v>
      </c>
      <c r="Q482" t="n">
        <v>0</v>
      </c>
      <c r="R482" s="2" t="inlineStr"/>
    </row>
    <row r="483" ht="15" customHeight="1">
      <c r="A483" t="inlineStr">
        <is>
          <t>A 20192-2020</t>
        </is>
      </c>
      <c r="B483" s="1" t="n">
        <v>43944</v>
      </c>
      <c r="C483" s="1" t="n">
        <v>45750</v>
      </c>
      <c r="D483" t="inlineStr">
        <is>
          <t>VÄSTERNORRLANDS LÄN</t>
        </is>
      </c>
      <c r="E483" t="inlineStr">
        <is>
          <t>ÅNGE</t>
        </is>
      </c>
      <c r="G483" t="n">
        <v>1.5</v>
      </c>
      <c r="H483" t="n">
        <v>0</v>
      </c>
      <c r="I483" t="n">
        <v>0</v>
      </c>
      <c r="J483" t="n">
        <v>0</v>
      </c>
      <c r="K483" t="n">
        <v>0</v>
      </c>
      <c r="L483" t="n">
        <v>0</v>
      </c>
      <c r="M483" t="n">
        <v>0</v>
      </c>
      <c r="N483" t="n">
        <v>0</v>
      </c>
      <c r="O483" t="n">
        <v>0</v>
      </c>
      <c r="P483" t="n">
        <v>0</v>
      </c>
      <c r="Q483" t="n">
        <v>0</v>
      </c>
      <c r="R483" s="2" t="inlineStr"/>
    </row>
    <row r="484" ht="15" customHeight="1">
      <c r="A484" t="inlineStr">
        <is>
          <t>A 20820-2020</t>
        </is>
      </c>
      <c r="B484" s="1" t="n">
        <v>43949</v>
      </c>
      <c r="C484" s="1" t="n">
        <v>45750</v>
      </c>
      <c r="D484" t="inlineStr">
        <is>
          <t>VÄSTERNORRLANDS LÄN</t>
        </is>
      </c>
      <c r="E484" t="inlineStr">
        <is>
          <t>ÅNGE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21207-2020</t>
        </is>
      </c>
      <c r="B485" s="1" t="n">
        <v>43951</v>
      </c>
      <c r="C485" s="1" t="n">
        <v>45750</v>
      </c>
      <c r="D485" t="inlineStr">
        <is>
          <t>VÄSTERNORRLANDS LÄN</t>
        </is>
      </c>
      <c r="E485" t="inlineStr">
        <is>
          <t>ÅNGE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21763-2020</t>
        </is>
      </c>
      <c r="B486" s="1" t="n">
        <v>43957</v>
      </c>
      <c r="C486" s="1" t="n">
        <v>45750</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22041-2020</t>
        </is>
      </c>
      <c r="B487" s="1" t="n">
        <v>43959</v>
      </c>
      <c r="C487" s="1" t="n">
        <v>45750</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22039-2020</t>
        </is>
      </c>
      <c r="B488" s="1" t="n">
        <v>43959</v>
      </c>
      <c r="C488" s="1" t="n">
        <v>45750</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22552-2020</t>
        </is>
      </c>
      <c r="B489" s="1" t="n">
        <v>43963</v>
      </c>
      <c r="C489" s="1" t="n">
        <v>45750</v>
      </c>
      <c r="D489" t="inlineStr">
        <is>
          <t>VÄSTERNORRLANDS LÄN</t>
        </is>
      </c>
      <c r="E489" t="inlineStr">
        <is>
          <t>ÅNGE</t>
        </is>
      </c>
      <c r="G489" t="n">
        <v>0.7</v>
      </c>
      <c r="H489" t="n">
        <v>0</v>
      </c>
      <c r="I489" t="n">
        <v>0</v>
      </c>
      <c r="J489" t="n">
        <v>0</v>
      </c>
      <c r="K489" t="n">
        <v>0</v>
      </c>
      <c r="L489" t="n">
        <v>0</v>
      </c>
      <c r="M489" t="n">
        <v>0</v>
      </c>
      <c r="N489" t="n">
        <v>0</v>
      </c>
      <c r="O489" t="n">
        <v>0</v>
      </c>
      <c r="P489" t="n">
        <v>0</v>
      </c>
      <c r="Q489" t="n">
        <v>0</v>
      </c>
      <c r="R489" s="2" t="inlineStr"/>
    </row>
    <row r="490" ht="15" customHeight="1">
      <c r="A490" t="inlineStr">
        <is>
          <t>A 22690-2020</t>
        </is>
      </c>
      <c r="B490" s="1" t="n">
        <v>43963</v>
      </c>
      <c r="C490" s="1" t="n">
        <v>45750</v>
      </c>
      <c r="D490" t="inlineStr">
        <is>
          <t>VÄSTERNORRLANDS LÄN</t>
        </is>
      </c>
      <c r="E490" t="inlineStr">
        <is>
          <t>ÅNGE</t>
        </is>
      </c>
      <c r="F490" t="inlineStr">
        <is>
          <t>SCA</t>
        </is>
      </c>
      <c r="G490" t="n">
        <v>6</v>
      </c>
      <c r="H490" t="n">
        <v>0</v>
      </c>
      <c r="I490" t="n">
        <v>0</v>
      </c>
      <c r="J490" t="n">
        <v>0</v>
      </c>
      <c r="K490" t="n">
        <v>0</v>
      </c>
      <c r="L490" t="n">
        <v>0</v>
      </c>
      <c r="M490" t="n">
        <v>0</v>
      </c>
      <c r="N490" t="n">
        <v>0</v>
      </c>
      <c r="O490" t="n">
        <v>0</v>
      </c>
      <c r="P490" t="n">
        <v>0</v>
      </c>
      <c r="Q490" t="n">
        <v>0</v>
      </c>
      <c r="R490" s="2" t="inlineStr"/>
    </row>
    <row r="491" ht="15" customHeight="1">
      <c r="A491" t="inlineStr">
        <is>
          <t>A 22911-2020</t>
        </is>
      </c>
      <c r="B491" s="1" t="n">
        <v>43964</v>
      </c>
      <c r="C491" s="1" t="n">
        <v>45750</v>
      </c>
      <c r="D491" t="inlineStr">
        <is>
          <t>VÄSTERNORRLANDS LÄN</t>
        </is>
      </c>
      <c r="E491" t="inlineStr">
        <is>
          <t>ÅNGE</t>
        </is>
      </c>
      <c r="G491" t="n">
        <v>0.9</v>
      </c>
      <c r="H491" t="n">
        <v>0</v>
      </c>
      <c r="I491" t="n">
        <v>0</v>
      </c>
      <c r="J491" t="n">
        <v>0</v>
      </c>
      <c r="K491" t="n">
        <v>0</v>
      </c>
      <c r="L491" t="n">
        <v>0</v>
      </c>
      <c r="M491" t="n">
        <v>0</v>
      </c>
      <c r="N491" t="n">
        <v>0</v>
      </c>
      <c r="O491" t="n">
        <v>0</v>
      </c>
      <c r="P491" t="n">
        <v>0</v>
      </c>
      <c r="Q491" t="n">
        <v>0</v>
      </c>
      <c r="R491" s="2" t="inlineStr"/>
    </row>
    <row r="492" ht="15" customHeight="1">
      <c r="A492" t="inlineStr">
        <is>
          <t>A 22907-2020</t>
        </is>
      </c>
      <c r="B492" s="1" t="n">
        <v>43964</v>
      </c>
      <c r="C492" s="1" t="n">
        <v>45750</v>
      </c>
      <c r="D492" t="inlineStr">
        <is>
          <t>VÄSTERNORRLANDS LÄN</t>
        </is>
      </c>
      <c r="E492" t="inlineStr">
        <is>
          <t>ÅNGE</t>
        </is>
      </c>
      <c r="G492" t="n">
        <v>2.9</v>
      </c>
      <c r="H492" t="n">
        <v>0</v>
      </c>
      <c r="I492" t="n">
        <v>0</v>
      </c>
      <c r="J492" t="n">
        <v>0</v>
      </c>
      <c r="K492" t="n">
        <v>0</v>
      </c>
      <c r="L492" t="n">
        <v>0</v>
      </c>
      <c r="M492" t="n">
        <v>0</v>
      </c>
      <c r="N492" t="n">
        <v>0</v>
      </c>
      <c r="O492" t="n">
        <v>0</v>
      </c>
      <c r="P492" t="n">
        <v>0</v>
      </c>
      <c r="Q492" t="n">
        <v>0</v>
      </c>
      <c r="R492" s="2" t="inlineStr"/>
    </row>
    <row r="493" ht="15" customHeight="1">
      <c r="A493" t="inlineStr">
        <is>
          <t>A 22909-2020</t>
        </is>
      </c>
      <c r="B493" s="1" t="n">
        <v>43964</v>
      </c>
      <c r="C493" s="1" t="n">
        <v>45750</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23352-2020</t>
        </is>
      </c>
      <c r="B494" s="1" t="n">
        <v>43966</v>
      </c>
      <c r="C494" s="1" t="n">
        <v>45750</v>
      </c>
      <c r="D494" t="inlineStr">
        <is>
          <t>VÄSTERNORRLANDS LÄN</t>
        </is>
      </c>
      <c r="E494" t="inlineStr">
        <is>
          <t>ÅNGE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23660-2020</t>
        </is>
      </c>
      <c r="B495" s="1" t="n">
        <v>43969</v>
      </c>
      <c r="C495" s="1" t="n">
        <v>45750</v>
      </c>
      <c r="D495" t="inlineStr">
        <is>
          <t>VÄSTERNORRLANDS LÄN</t>
        </is>
      </c>
      <c r="E495" t="inlineStr">
        <is>
          <t>ÅNGE</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24353-2020</t>
        </is>
      </c>
      <c r="B496" s="1" t="n">
        <v>43976</v>
      </c>
      <c r="C496" s="1" t="n">
        <v>45750</v>
      </c>
      <c r="D496" t="inlineStr">
        <is>
          <t>VÄSTERNORRLANDS LÄN</t>
        </is>
      </c>
      <c r="E496" t="inlineStr">
        <is>
          <t>ÅNGE</t>
        </is>
      </c>
      <c r="G496" t="n">
        <v>3.2</v>
      </c>
      <c r="H496" t="n">
        <v>0</v>
      </c>
      <c r="I496" t="n">
        <v>0</v>
      </c>
      <c r="J496" t="n">
        <v>0</v>
      </c>
      <c r="K496" t="n">
        <v>0</v>
      </c>
      <c r="L496" t="n">
        <v>0</v>
      </c>
      <c r="M496" t="n">
        <v>0</v>
      </c>
      <c r="N496" t="n">
        <v>0</v>
      </c>
      <c r="O496" t="n">
        <v>0</v>
      </c>
      <c r="P496" t="n">
        <v>0</v>
      </c>
      <c r="Q496" t="n">
        <v>0</v>
      </c>
      <c r="R496" s="2" t="inlineStr"/>
    </row>
    <row r="497" ht="15" customHeight="1">
      <c r="A497" t="inlineStr">
        <is>
          <t>A 24411-2020</t>
        </is>
      </c>
      <c r="B497" s="1" t="n">
        <v>43976</v>
      </c>
      <c r="C497" s="1" t="n">
        <v>45750</v>
      </c>
      <c r="D497" t="inlineStr">
        <is>
          <t>VÄSTERNORRLANDS LÄN</t>
        </is>
      </c>
      <c r="E497" t="inlineStr">
        <is>
          <t>ÅNGE</t>
        </is>
      </c>
      <c r="G497" t="n">
        <v>5.6</v>
      </c>
      <c r="H497" t="n">
        <v>0</v>
      </c>
      <c r="I497" t="n">
        <v>0</v>
      </c>
      <c r="J497" t="n">
        <v>0</v>
      </c>
      <c r="K497" t="n">
        <v>0</v>
      </c>
      <c r="L497" t="n">
        <v>0</v>
      </c>
      <c r="M497" t="n">
        <v>0</v>
      </c>
      <c r="N497" t="n">
        <v>0</v>
      </c>
      <c r="O497" t="n">
        <v>0</v>
      </c>
      <c r="P497" t="n">
        <v>0</v>
      </c>
      <c r="Q497" t="n">
        <v>0</v>
      </c>
      <c r="R497" s="2" t="inlineStr"/>
    </row>
    <row r="498" ht="15" customHeight="1">
      <c r="A498" t="inlineStr">
        <is>
          <t>A 24361-2020</t>
        </is>
      </c>
      <c r="B498" s="1" t="n">
        <v>43976</v>
      </c>
      <c r="C498" s="1" t="n">
        <v>45750</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24696-2020</t>
        </is>
      </c>
      <c r="B499" s="1" t="n">
        <v>43978</v>
      </c>
      <c r="C499" s="1" t="n">
        <v>45750</v>
      </c>
      <c r="D499" t="inlineStr">
        <is>
          <t>VÄSTERNORRLANDS LÄN</t>
        </is>
      </c>
      <c r="E499" t="inlineStr">
        <is>
          <t>ÅNGE</t>
        </is>
      </c>
      <c r="G499" t="n">
        <v>1.6</v>
      </c>
      <c r="H499" t="n">
        <v>0</v>
      </c>
      <c r="I499" t="n">
        <v>0</v>
      </c>
      <c r="J499" t="n">
        <v>0</v>
      </c>
      <c r="K499" t="n">
        <v>0</v>
      </c>
      <c r="L499" t="n">
        <v>0</v>
      </c>
      <c r="M499" t="n">
        <v>0</v>
      </c>
      <c r="N499" t="n">
        <v>0</v>
      </c>
      <c r="O499" t="n">
        <v>0</v>
      </c>
      <c r="P499" t="n">
        <v>0</v>
      </c>
      <c r="Q499" t="n">
        <v>0</v>
      </c>
      <c r="R499" s="2" t="inlineStr"/>
    </row>
    <row r="500" ht="15" customHeight="1">
      <c r="A500" t="inlineStr">
        <is>
          <t>A 24857-2020</t>
        </is>
      </c>
      <c r="B500" s="1" t="n">
        <v>43978</v>
      </c>
      <c r="C500" s="1" t="n">
        <v>45750</v>
      </c>
      <c r="D500" t="inlineStr">
        <is>
          <t>VÄSTERNORRLANDS LÄN</t>
        </is>
      </c>
      <c r="E500" t="inlineStr">
        <is>
          <t>ÅNGE</t>
        </is>
      </c>
      <c r="G500" t="n">
        <v>5</v>
      </c>
      <c r="H500" t="n">
        <v>0</v>
      </c>
      <c r="I500" t="n">
        <v>0</v>
      </c>
      <c r="J500" t="n">
        <v>0</v>
      </c>
      <c r="K500" t="n">
        <v>0</v>
      </c>
      <c r="L500" t="n">
        <v>0</v>
      </c>
      <c r="M500" t="n">
        <v>0</v>
      </c>
      <c r="N500" t="n">
        <v>0</v>
      </c>
      <c r="O500" t="n">
        <v>0</v>
      </c>
      <c r="P500" t="n">
        <v>0</v>
      </c>
      <c r="Q500" t="n">
        <v>0</v>
      </c>
      <c r="R500" s="2" t="inlineStr"/>
    </row>
    <row r="501" ht="15" customHeight="1">
      <c r="A501" t="inlineStr">
        <is>
          <t>A 24859-2020</t>
        </is>
      </c>
      <c r="B501" s="1" t="n">
        <v>43978</v>
      </c>
      <c r="C501" s="1" t="n">
        <v>45750</v>
      </c>
      <c r="D501" t="inlineStr">
        <is>
          <t>VÄSTERNORRLANDS LÄN</t>
        </is>
      </c>
      <c r="E501" t="inlineStr">
        <is>
          <t>ÅNGE</t>
        </is>
      </c>
      <c r="G501" t="n">
        <v>3.7</v>
      </c>
      <c r="H501" t="n">
        <v>0</v>
      </c>
      <c r="I501" t="n">
        <v>0</v>
      </c>
      <c r="J501" t="n">
        <v>0</v>
      </c>
      <c r="K501" t="n">
        <v>0</v>
      </c>
      <c r="L501" t="n">
        <v>0</v>
      </c>
      <c r="M501" t="n">
        <v>0</v>
      </c>
      <c r="N501" t="n">
        <v>0</v>
      </c>
      <c r="O501" t="n">
        <v>0</v>
      </c>
      <c r="P501" t="n">
        <v>0</v>
      </c>
      <c r="Q501" t="n">
        <v>0</v>
      </c>
      <c r="R501" s="2" t="inlineStr"/>
    </row>
    <row r="502" ht="15" customHeight="1">
      <c r="A502" t="inlineStr">
        <is>
          <t>A 25370-2020</t>
        </is>
      </c>
      <c r="B502" s="1" t="n">
        <v>43980</v>
      </c>
      <c r="C502" s="1" t="n">
        <v>45750</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26447-2020</t>
        </is>
      </c>
      <c r="B503" s="1" t="n">
        <v>43987</v>
      </c>
      <c r="C503" s="1" t="n">
        <v>45750</v>
      </c>
      <c r="D503" t="inlineStr">
        <is>
          <t>VÄSTERNORRLANDS LÄN</t>
        </is>
      </c>
      <c r="E503" t="inlineStr">
        <is>
          <t>ÅNGE</t>
        </is>
      </c>
      <c r="G503" t="n">
        <v>1.3</v>
      </c>
      <c r="H503" t="n">
        <v>0</v>
      </c>
      <c r="I503" t="n">
        <v>0</v>
      </c>
      <c r="J503" t="n">
        <v>0</v>
      </c>
      <c r="K503" t="n">
        <v>0</v>
      </c>
      <c r="L503" t="n">
        <v>0</v>
      </c>
      <c r="M503" t="n">
        <v>0</v>
      </c>
      <c r="N503" t="n">
        <v>0</v>
      </c>
      <c r="O503" t="n">
        <v>0</v>
      </c>
      <c r="P503" t="n">
        <v>0</v>
      </c>
      <c r="Q503" t="n">
        <v>0</v>
      </c>
      <c r="R503" s="2" t="inlineStr"/>
    </row>
    <row r="504" ht="15" customHeight="1">
      <c r="A504" t="inlineStr">
        <is>
          <t>A 27773-2020</t>
        </is>
      </c>
      <c r="B504" s="1" t="n">
        <v>43992</v>
      </c>
      <c r="C504" s="1" t="n">
        <v>45750</v>
      </c>
      <c r="D504" t="inlineStr">
        <is>
          <t>VÄSTERNORRLANDS LÄN</t>
        </is>
      </c>
      <c r="E504" t="inlineStr">
        <is>
          <t>ÅNGE</t>
        </is>
      </c>
      <c r="G504" t="n">
        <v>7.2</v>
      </c>
      <c r="H504" t="n">
        <v>0</v>
      </c>
      <c r="I504" t="n">
        <v>0</v>
      </c>
      <c r="J504" t="n">
        <v>0</v>
      </c>
      <c r="K504" t="n">
        <v>0</v>
      </c>
      <c r="L504" t="n">
        <v>0</v>
      </c>
      <c r="M504" t="n">
        <v>0</v>
      </c>
      <c r="N504" t="n">
        <v>0</v>
      </c>
      <c r="O504" t="n">
        <v>0</v>
      </c>
      <c r="P504" t="n">
        <v>0</v>
      </c>
      <c r="Q504" t="n">
        <v>0</v>
      </c>
      <c r="R504" s="2" t="inlineStr"/>
    </row>
    <row r="505" ht="15" customHeight="1">
      <c r="A505" t="inlineStr">
        <is>
          <t>A 28064-2020</t>
        </is>
      </c>
      <c r="B505" s="1" t="n">
        <v>43997</v>
      </c>
      <c r="C505" s="1" t="n">
        <v>45750</v>
      </c>
      <c r="D505" t="inlineStr">
        <is>
          <t>VÄSTERNORRLANDS LÄN</t>
        </is>
      </c>
      <c r="E505" t="inlineStr">
        <is>
          <t>ÅNGE</t>
        </is>
      </c>
      <c r="G505" t="n">
        <v>3.7</v>
      </c>
      <c r="H505" t="n">
        <v>0</v>
      </c>
      <c r="I505" t="n">
        <v>0</v>
      </c>
      <c r="J505" t="n">
        <v>0</v>
      </c>
      <c r="K505" t="n">
        <v>0</v>
      </c>
      <c r="L505" t="n">
        <v>0</v>
      </c>
      <c r="M505" t="n">
        <v>0</v>
      </c>
      <c r="N505" t="n">
        <v>0</v>
      </c>
      <c r="O505" t="n">
        <v>0</v>
      </c>
      <c r="P505" t="n">
        <v>0</v>
      </c>
      <c r="Q505" t="n">
        <v>0</v>
      </c>
      <c r="R505" s="2" t="inlineStr"/>
    </row>
    <row r="506" ht="15" customHeight="1">
      <c r="A506" t="inlineStr">
        <is>
          <t>A 28890-2020</t>
        </is>
      </c>
      <c r="B506" s="1" t="n">
        <v>44000</v>
      </c>
      <c r="C506" s="1" t="n">
        <v>45750</v>
      </c>
      <c r="D506" t="inlineStr">
        <is>
          <t>VÄSTERNORRLANDS LÄN</t>
        </is>
      </c>
      <c r="E506" t="inlineStr">
        <is>
          <t>ÅNGE</t>
        </is>
      </c>
      <c r="G506" t="n">
        <v>15.2</v>
      </c>
      <c r="H506" t="n">
        <v>0</v>
      </c>
      <c r="I506" t="n">
        <v>0</v>
      </c>
      <c r="J506" t="n">
        <v>0</v>
      </c>
      <c r="K506" t="n">
        <v>0</v>
      </c>
      <c r="L506" t="n">
        <v>0</v>
      </c>
      <c r="M506" t="n">
        <v>0</v>
      </c>
      <c r="N506" t="n">
        <v>0</v>
      </c>
      <c r="O506" t="n">
        <v>0</v>
      </c>
      <c r="P506" t="n">
        <v>0</v>
      </c>
      <c r="Q506" t="n">
        <v>0</v>
      </c>
      <c r="R506" s="2" t="inlineStr"/>
    </row>
    <row r="507" ht="15" customHeight="1">
      <c r="A507" t="inlineStr">
        <is>
          <t>A 28832-2020</t>
        </is>
      </c>
      <c r="B507" s="1" t="n">
        <v>44000</v>
      </c>
      <c r="C507" s="1" t="n">
        <v>45750</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29950-2020</t>
        </is>
      </c>
      <c r="B508" s="1" t="n">
        <v>44006</v>
      </c>
      <c r="C508" s="1" t="n">
        <v>45750</v>
      </c>
      <c r="D508" t="inlineStr">
        <is>
          <t>VÄSTERNORRLANDS LÄN</t>
        </is>
      </c>
      <c r="E508" t="inlineStr">
        <is>
          <t>ÅNGE</t>
        </is>
      </c>
      <c r="G508" t="n">
        <v>3.9</v>
      </c>
      <c r="H508" t="n">
        <v>0</v>
      </c>
      <c r="I508" t="n">
        <v>0</v>
      </c>
      <c r="J508" t="n">
        <v>0</v>
      </c>
      <c r="K508" t="n">
        <v>0</v>
      </c>
      <c r="L508" t="n">
        <v>0</v>
      </c>
      <c r="M508" t="n">
        <v>0</v>
      </c>
      <c r="N508" t="n">
        <v>0</v>
      </c>
      <c r="O508" t="n">
        <v>0</v>
      </c>
      <c r="P508" t="n">
        <v>0</v>
      </c>
      <c r="Q508" t="n">
        <v>0</v>
      </c>
      <c r="R508" s="2" t="inlineStr"/>
    </row>
    <row r="509" ht="15" customHeight="1">
      <c r="A509" t="inlineStr">
        <is>
          <t>A 31079-2020</t>
        </is>
      </c>
      <c r="B509" s="1" t="n">
        <v>44011</v>
      </c>
      <c r="C509" s="1" t="n">
        <v>45750</v>
      </c>
      <c r="D509" t="inlineStr">
        <is>
          <t>VÄSTERNORRLANDS LÄN</t>
        </is>
      </c>
      <c r="E509" t="inlineStr">
        <is>
          <t>ÅNGE</t>
        </is>
      </c>
      <c r="G509" t="n">
        <v>2.1</v>
      </c>
      <c r="H509" t="n">
        <v>0</v>
      </c>
      <c r="I509" t="n">
        <v>0</v>
      </c>
      <c r="J509" t="n">
        <v>0</v>
      </c>
      <c r="K509" t="n">
        <v>0</v>
      </c>
      <c r="L509" t="n">
        <v>0</v>
      </c>
      <c r="M509" t="n">
        <v>0</v>
      </c>
      <c r="N509" t="n">
        <v>0</v>
      </c>
      <c r="O509" t="n">
        <v>0</v>
      </c>
      <c r="P509" t="n">
        <v>0</v>
      </c>
      <c r="Q509" t="n">
        <v>0</v>
      </c>
      <c r="R509" s="2" t="inlineStr"/>
    </row>
    <row r="510" ht="15" customHeight="1">
      <c r="A510" t="inlineStr">
        <is>
          <t>A 31643-2020</t>
        </is>
      </c>
      <c r="B510" s="1" t="n">
        <v>44013</v>
      </c>
      <c r="C510" s="1" t="n">
        <v>45750</v>
      </c>
      <c r="D510" t="inlineStr">
        <is>
          <t>VÄSTERNORRLANDS LÄN</t>
        </is>
      </c>
      <c r="E510" t="inlineStr">
        <is>
          <t>ÅNGE</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31867-2020</t>
        </is>
      </c>
      <c r="B511" s="1" t="n">
        <v>44014</v>
      </c>
      <c r="C511" s="1" t="n">
        <v>45750</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31926-2020</t>
        </is>
      </c>
      <c r="B512" s="1" t="n">
        <v>44014</v>
      </c>
      <c r="C512" s="1" t="n">
        <v>45750</v>
      </c>
      <c r="D512" t="inlineStr">
        <is>
          <t>VÄSTERNORRLANDS LÄN</t>
        </is>
      </c>
      <c r="E512" t="inlineStr">
        <is>
          <t>ÅNGE</t>
        </is>
      </c>
      <c r="G512" t="n">
        <v>2.3</v>
      </c>
      <c r="H512" t="n">
        <v>0</v>
      </c>
      <c r="I512" t="n">
        <v>0</v>
      </c>
      <c r="J512" t="n">
        <v>0</v>
      </c>
      <c r="K512" t="n">
        <v>0</v>
      </c>
      <c r="L512" t="n">
        <v>0</v>
      </c>
      <c r="M512" t="n">
        <v>0</v>
      </c>
      <c r="N512" t="n">
        <v>0</v>
      </c>
      <c r="O512" t="n">
        <v>0</v>
      </c>
      <c r="P512" t="n">
        <v>0</v>
      </c>
      <c r="Q512" t="n">
        <v>0</v>
      </c>
      <c r="R512" s="2" t="inlineStr"/>
    </row>
    <row r="513" ht="15" customHeight="1">
      <c r="A513" t="inlineStr">
        <is>
          <t>A 32299-2020</t>
        </is>
      </c>
      <c r="B513" s="1" t="n">
        <v>44015</v>
      </c>
      <c r="C513" s="1" t="n">
        <v>45750</v>
      </c>
      <c r="D513" t="inlineStr">
        <is>
          <t>VÄSTERNORRLANDS LÄN</t>
        </is>
      </c>
      <c r="E513" t="inlineStr">
        <is>
          <t>ÅNGE</t>
        </is>
      </c>
      <c r="F513" t="inlineStr">
        <is>
          <t>SCA</t>
        </is>
      </c>
      <c r="G513" t="n">
        <v>3.3</v>
      </c>
      <c r="H513" t="n">
        <v>0</v>
      </c>
      <c r="I513" t="n">
        <v>0</v>
      </c>
      <c r="J513" t="n">
        <v>0</v>
      </c>
      <c r="K513" t="n">
        <v>0</v>
      </c>
      <c r="L513" t="n">
        <v>0</v>
      </c>
      <c r="M513" t="n">
        <v>0</v>
      </c>
      <c r="N513" t="n">
        <v>0</v>
      </c>
      <c r="O513" t="n">
        <v>0</v>
      </c>
      <c r="P513" t="n">
        <v>0</v>
      </c>
      <c r="Q513" t="n">
        <v>0</v>
      </c>
      <c r="R513" s="2" t="inlineStr"/>
    </row>
    <row r="514" ht="15" customHeight="1">
      <c r="A514" t="inlineStr">
        <is>
          <t>A 32303-2020</t>
        </is>
      </c>
      <c r="B514" s="1" t="n">
        <v>44015</v>
      </c>
      <c r="C514" s="1" t="n">
        <v>45750</v>
      </c>
      <c r="D514" t="inlineStr">
        <is>
          <t>VÄSTERNORRLANDS LÄN</t>
        </is>
      </c>
      <c r="E514" t="inlineStr">
        <is>
          <t>ÅNGE</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32760-2020</t>
        </is>
      </c>
      <c r="B515" s="1" t="n">
        <v>44019</v>
      </c>
      <c r="C515" s="1" t="n">
        <v>45750</v>
      </c>
      <c r="D515" t="inlineStr">
        <is>
          <t>VÄSTERNORRLANDS LÄN</t>
        </is>
      </c>
      <c r="E515" t="inlineStr">
        <is>
          <t>ÅNGE</t>
        </is>
      </c>
      <c r="F515" t="inlineStr">
        <is>
          <t>SCA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33442-2020</t>
        </is>
      </c>
      <c r="B516" s="1" t="n">
        <v>44023</v>
      </c>
      <c r="C516" s="1" t="n">
        <v>45750</v>
      </c>
      <c r="D516" t="inlineStr">
        <is>
          <t>VÄSTERNORRLANDS LÄN</t>
        </is>
      </c>
      <c r="E516" t="inlineStr">
        <is>
          <t>ÅNGE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33619-2020</t>
        </is>
      </c>
      <c r="B517" s="1" t="n">
        <v>44026</v>
      </c>
      <c r="C517" s="1" t="n">
        <v>45750</v>
      </c>
      <c r="D517" t="inlineStr">
        <is>
          <t>VÄSTERNORRLANDS LÄN</t>
        </is>
      </c>
      <c r="E517" t="inlineStr">
        <is>
          <t>ÅNGE</t>
        </is>
      </c>
      <c r="G517" t="n">
        <v>1.4</v>
      </c>
      <c r="H517" t="n">
        <v>0</v>
      </c>
      <c r="I517" t="n">
        <v>0</v>
      </c>
      <c r="J517" t="n">
        <v>0</v>
      </c>
      <c r="K517" t="n">
        <v>0</v>
      </c>
      <c r="L517" t="n">
        <v>0</v>
      </c>
      <c r="M517" t="n">
        <v>0</v>
      </c>
      <c r="N517" t="n">
        <v>0</v>
      </c>
      <c r="O517" t="n">
        <v>0</v>
      </c>
      <c r="P517" t="n">
        <v>0</v>
      </c>
      <c r="Q517" t="n">
        <v>0</v>
      </c>
      <c r="R517" s="2" t="inlineStr"/>
    </row>
    <row r="518" ht="15" customHeight="1">
      <c r="A518" t="inlineStr">
        <is>
          <t>A 33524-2020</t>
        </is>
      </c>
      <c r="B518" s="1" t="n">
        <v>44025</v>
      </c>
      <c r="C518" s="1" t="n">
        <v>45750</v>
      </c>
      <c r="D518" t="inlineStr">
        <is>
          <t>VÄSTERNORRLANDS LÄN</t>
        </is>
      </c>
      <c r="E518" t="inlineStr">
        <is>
          <t>ÅNGE</t>
        </is>
      </c>
      <c r="G518" t="n">
        <v>2.8</v>
      </c>
      <c r="H518" t="n">
        <v>0</v>
      </c>
      <c r="I518" t="n">
        <v>0</v>
      </c>
      <c r="J518" t="n">
        <v>0</v>
      </c>
      <c r="K518" t="n">
        <v>0</v>
      </c>
      <c r="L518" t="n">
        <v>0</v>
      </c>
      <c r="M518" t="n">
        <v>0</v>
      </c>
      <c r="N518" t="n">
        <v>0</v>
      </c>
      <c r="O518" t="n">
        <v>0</v>
      </c>
      <c r="P518" t="n">
        <v>0</v>
      </c>
      <c r="Q518" t="n">
        <v>0</v>
      </c>
      <c r="R518" s="2" t="inlineStr"/>
    </row>
    <row r="519" ht="15" customHeight="1">
      <c r="A519" t="inlineStr">
        <is>
          <t>A 34175-2020</t>
        </is>
      </c>
      <c r="B519" s="1" t="n">
        <v>44029</v>
      </c>
      <c r="C519" s="1" t="n">
        <v>45750</v>
      </c>
      <c r="D519" t="inlineStr">
        <is>
          <t>VÄSTERNORRLANDS LÄN</t>
        </is>
      </c>
      <c r="E519" t="inlineStr">
        <is>
          <t>ÅNGE</t>
        </is>
      </c>
      <c r="G519" t="n">
        <v>0.9</v>
      </c>
      <c r="H519" t="n">
        <v>0</v>
      </c>
      <c r="I519" t="n">
        <v>0</v>
      </c>
      <c r="J519" t="n">
        <v>0</v>
      </c>
      <c r="K519" t="n">
        <v>0</v>
      </c>
      <c r="L519" t="n">
        <v>0</v>
      </c>
      <c r="M519" t="n">
        <v>0</v>
      </c>
      <c r="N519" t="n">
        <v>0</v>
      </c>
      <c r="O519" t="n">
        <v>0</v>
      </c>
      <c r="P519" t="n">
        <v>0</v>
      </c>
      <c r="Q519" t="n">
        <v>0</v>
      </c>
      <c r="R519" s="2" t="inlineStr"/>
    </row>
    <row r="520" ht="15" customHeight="1">
      <c r="A520" t="inlineStr">
        <is>
          <t>A 34237-2020</t>
        </is>
      </c>
      <c r="B520" s="1" t="n">
        <v>44029</v>
      </c>
      <c r="C520" s="1" t="n">
        <v>45750</v>
      </c>
      <c r="D520" t="inlineStr">
        <is>
          <t>VÄSTERNORRLANDS LÄN</t>
        </is>
      </c>
      <c r="E520" t="inlineStr">
        <is>
          <t>ÅNGE</t>
        </is>
      </c>
      <c r="G520" t="n">
        <v>5.3</v>
      </c>
      <c r="H520" t="n">
        <v>0</v>
      </c>
      <c r="I520" t="n">
        <v>0</v>
      </c>
      <c r="J520" t="n">
        <v>0</v>
      </c>
      <c r="K520" t="n">
        <v>0</v>
      </c>
      <c r="L520" t="n">
        <v>0</v>
      </c>
      <c r="M520" t="n">
        <v>0</v>
      </c>
      <c r="N520" t="n">
        <v>0</v>
      </c>
      <c r="O520" t="n">
        <v>0</v>
      </c>
      <c r="P520" t="n">
        <v>0</v>
      </c>
      <c r="Q520" t="n">
        <v>0</v>
      </c>
      <c r="R520" s="2" t="inlineStr"/>
    </row>
    <row r="521" ht="15" customHeight="1">
      <c r="A521" t="inlineStr">
        <is>
          <t>A 34420-2020</t>
        </is>
      </c>
      <c r="B521" s="1" t="n">
        <v>44032</v>
      </c>
      <c r="C521" s="1" t="n">
        <v>45750</v>
      </c>
      <c r="D521" t="inlineStr">
        <is>
          <t>VÄSTERNORRLANDS LÄN</t>
        </is>
      </c>
      <c r="E521" t="inlineStr">
        <is>
          <t>ÅNGE</t>
        </is>
      </c>
      <c r="G521" t="n">
        <v>13.9</v>
      </c>
      <c r="H521" t="n">
        <v>0</v>
      </c>
      <c r="I521" t="n">
        <v>0</v>
      </c>
      <c r="J521" t="n">
        <v>0</v>
      </c>
      <c r="K521" t="n">
        <v>0</v>
      </c>
      <c r="L521" t="n">
        <v>0</v>
      </c>
      <c r="M521" t="n">
        <v>0</v>
      </c>
      <c r="N521" t="n">
        <v>0</v>
      </c>
      <c r="O521" t="n">
        <v>0</v>
      </c>
      <c r="P521" t="n">
        <v>0</v>
      </c>
      <c r="Q521" t="n">
        <v>0</v>
      </c>
      <c r="R521" s="2" t="inlineStr"/>
    </row>
    <row r="522" ht="15" customHeight="1">
      <c r="A522" t="inlineStr">
        <is>
          <t>A 34400-2020</t>
        </is>
      </c>
      <c r="B522" s="1" t="n">
        <v>44032</v>
      </c>
      <c r="C522" s="1" t="n">
        <v>45750</v>
      </c>
      <c r="D522" t="inlineStr">
        <is>
          <t>VÄSTERNORRLANDS LÄN</t>
        </is>
      </c>
      <c r="E522" t="inlineStr">
        <is>
          <t>ÅNGE</t>
        </is>
      </c>
      <c r="G522" t="n">
        <v>3.8</v>
      </c>
      <c r="H522" t="n">
        <v>0</v>
      </c>
      <c r="I522" t="n">
        <v>0</v>
      </c>
      <c r="J522" t="n">
        <v>0</v>
      </c>
      <c r="K522" t="n">
        <v>0</v>
      </c>
      <c r="L522" t="n">
        <v>0</v>
      </c>
      <c r="M522" t="n">
        <v>0</v>
      </c>
      <c r="N522" t="n">
        <v>0</v>
      </c>
      <c r="O522" t="n">
        <v>0</v>
      </c>
      <c r="P522" t="n">
        <v>0</v>
      </c>
      <c r="Q522" t="n">
        <v>0</v>
      </c>
      <c r="R522" s="2" t="inlineStr"/>
    </row>
    <row r="523" ht="15" customHeight="1">
      <c r="A523" t="inlineStr">
        <is>
          <t>A 34677-2020</t>
        </is>
      </c>
      <c r="B523" s="1" t="n">
        <v>44035</v>
      </c>
      <c r="C523" s="1" t="n">
        <v>45750</v>
      </c>
      <c r="D523" t="inlineStr">
        <is>
          <t>VÄSTERNORRLANDS LÄN</t>
        </is>
      </c>
      <c r="E523" t="inlineStr">
        <is>
          <t>ÅNGE</t>
        </is>
      </c>
      <c r="G523" t="n">
        <v>6.5</v>
      </c>
      <c r="H523" t="n">
        <v>0</v>
      </c>
      <c r="I523" t="n">
        <v>0</v>
      </c>
      <c r="J523" t="n">
        <v>0</v>
      </c>
      <c r="K523" t="n">
        <v>0</v>
      </c>
      <c r="L523" t="n">
        <v>0</v>
      </c>
      <c r="M523" t="n">
        <v>0</v>
      </c>
      <c r="N523" t="n">
        <v>0</v>
      </c>
      <c r="O523" t="n">
        <v>0</v>
      </c>
      <c r="P523" t="n">
        <v>0</v>
      </c>
      <c r="Q523" t="n">
        <v>0</v>
      </c>
      <c r="R523" s="2" t="inlineStr"/>
    </row>
    <row r="524" ht="15" customHeight="1">
      <c r="A524" t="inlineStr">
        <is>
          <t>A 34777-2020</t>
        </is>
      </c>
      <c r="B524" s="1" t="n">
        <v>44035</v>
      </c>
      <c r="C524" s="1" t="n">
        <v>45750</v>
      </c>
      <c r="D524" t="inlineStr">
        <is>
          <t>VÄSTERNORRLANDS LÄN</t>
        </is>
      </c>
      <c r="E524" t="inlineStr">
        <is>
          <t>ÅNGE</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34928-2020</t>
        </is>
      </c>
      <c r="B525" s="1" t="n">
        <v>44036</v>
      </c>
      <c r="C525" s="1" t="n">
        <v>45750</v>
      </c>
      <c r="D525" t="inlineStr">
        <is>
          <t>VÄSTERNORRLANDS LÄN</t>
        </is>
      </c>
      <c r="E525" t="inlineStr">
        <is>
          <t>ÅNGE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34974-2020</t>
        </is>
      </c>
      <c r="B526" s="1" t="n">
        <v>44039</v>
      </c>
      <c r="C526" s="1" t="n">
        <v>45750</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35419-2020</t>
        </is>
      </c>
      <c r="B527" s="1" t="n">
        <v>44042</v>
      </c>
      <c r="C527" s="1" t="n">
        <v>45750</v>
      </c>
      <c r="D527" t="inlineStr">
        <is>
          <t>VÄSTERNORRLANDS LÄN</t>
        </is>
      </c>
      <c r="E527" t="inlineStr">
        <is>
          <t>ÅNGE</t>
        </is>
      </c>
      <c r="F527" t="inlineStr">
        <is>
          <t>Holmen skog AB</t>
        </is>
      </c>
      <c r="G527" t="n">
        <v>7.8</v>
      </c>
      <c r="H527" t="n">
        <v>0</v>
      </c>
      <c r="I527" t="n">
        <v>0</v>
      </c>
      <c r="J527" t="n">
        <v>0</v>
      </c>
      <c r="K527" t="n">
        <v>0</v>
      </c>
      <c r="L527" t="n">
        <v>0</v>
      </c>
      <c r="M527" t="n">
        <v>0</v>
      </c>
      <c r="N527" t="n">
        <v>0</v>
      </c>
      <c r="O527" t="n">
        <v>0</v>
      </c>
      <c r="P527" t="n">
        <v>0</v>
      </c>
      <c r="Q527" t="n">
        <v>0</v>
      </c>
      <c r="R527" s="2" t="inlineStr"/>
    </row>
    <row r="528" ht="15" customHeight="1">
      <c r="A528" t="inlineStr">
        <is>
          <t>A 38871-2020</t>
        </is>
      </c>
      <c r="B528" s="1" t="n">
        <v>44062</v>
      </c>
      <c r="C528" s="1" t="n">
        <v>45750</v>
      </c>
      <c r="D528" t="inlineStr">
        <is>
          <t>VÄSTERNORRLANDS LÄN</t>
        </is>
      </c>
      <c r="E528" t="inlineStr">
        <is>
          <t>ÅNGE</t>
        </is>
      </c>
      <c r="G528" t="n">
        <v>1.7</v>
      </c>
      <c r="H528" t="n">
        <v>0</v>
      </c>
      <c r="I528" t="n">
        <v>0</v>
      </c>
      <c r="J528" t="n">
        <v>0</v>
      </c>
      <c r="K528" t="n">
        <v>0</v>
      </c>
      <c r="L528" t="n">
        <v>0</v>
      </c>
      <c r="M528" t="n">
        <v>0</v>
      </c>
      <c r="N528" t="n">
        <v>0</v>
      </c>
      <c r="O528" t="n">
        <v>0</v>
      </c>
      <c r="P528" t="n">
        <v>0</v>
      </c>
      <c r="Q528" t="n">
        <v>0</v>
      </c>
      <c r="R528" s="2" t="inlineStr"/>
    </row>
    <row r="529" ht="15" customHeight="1">
      <c r="A529" t="inlineStr">
        <is>
          <t>A 38894-2020</t>
        </is>
      </c>
      <c r="B529" s="1" t="n">
        <v>44062</v>
      </c>
      <c r="C529" s="1" t="n">
        <v>45750</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39919-2020</t>
        </is>
      </c>
      <c r="B530" s="1" t="n">
        <v>44063</v>
      </c>
      <c r="C530" s="1" t="n">
        <v>45750</v>
      </c>
      <c r="D530" t="inlineStr">
        <is>
          <t>VÄSTERNORRLANDS LÄN</t>
        </is>
      </c>
      <c r="E530" t="inlineStr">
        <is>
          <t>ÅNGE</t>
        </is>
      </c>
      <c r="G530" t="n">
        <v>4.9</v>
      </c>
      <c r="H530" t="n">
        <v>0</v>
      </c>
      <c r="I530" t="n">
        <v>0</v>
      </c>
      <c r="J530" t="n">
        <v>0</v>
      </c>
      <c r="K530" t="n">
        <v>0</v>
      </c>
      <c r="L530" t="n">
        <v>0</v>
      </c>
      <c r="M530" t="n">
        <v>0</v>
      </c>
      <c r="N530" t="n">
        <v>0</v>
      </c>
      <c r="O530" t="n">
        <v>0</v>
      </c>
      <c r="P530" t="n">
        <v>0</v>
      </c>
      <c r="Q530" t="n">
        <v>0</v>
      </c>
      <c r="R530" s="2" t="inlineStr"/>
    </row>
    <row r="531" ht="15" customHeight="1">
      <c r="A531" t="inlineStr">
        <is>
          <t>A 39561-2020</t>
        </is>
      </c>
      <c r="B531" s="1" t="n">
        <v>44064</v>
      </c>
      <c r="C531" s="1" t="n">
        <v>45750</v>
      </c>
      <c r="D531" t="inlineStr">
        <is>
          <t>VÄSTERNORRLANDS LÄN</t>
        </is>
      </c>
      <c r="E531" t="inlineStr">
        <is>
          <t>ÅNGE</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41366-2020</t>
        </is>
      </c>
      <c r="B532" s="1" t="n">
        <v>44071</v>
      </c>
      <c r="C532" s="1" t="n">
        <v>45750</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42296-2020</t>
        </is>
      </c>
      <c r="B533" s="1" t="n">
        <v>44076</v>
      </c>
      <c r="C533" s="1" t="n">
        <v>45750</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42289-2020</t>
        </is>
      </c>
      <c r="B534" s="1" t="n">
        <v>44076</v>
      </c>
      <c r="C534" s="1" t="n">
        <v>45750</v>
      </c>
      <c r="D534" t="inlineStr">
        <is>
          <t>VÄSTERNORRLANDS LÄN</t>
        </is>
      </c>
      <c r="E534" t="inlineStr">
        <is>
          <t>ÅNGE</t>
        </is>
      </c>
      <c r="G534" t="n">
        <v>16.7</v>
      </c>
      <c r="H534" t="n">
        <v>0</v>
      </c>
      <c r="I534" t="n">
        <v>0</v>
      </c>
      <c r="J534" t="n">
        <v>0</v>
      </c>
      <c r="K534" t="n">
        <v>0</v>
      </c>
      <c r="L534" t="n">
        <v>0</v>
      </c>
      <c r="M534" t="n">
        <v>0</v>
      </c>
      <c r="N534" t="n">
        <v>0</v>
      </c>
      <c r="O534" t="n">
        <v>0</v>
      </c>
      <c r="P534" t="n">
        <v>0</v>
      </c>
      <c r="Q534" t="n">
        <v>0</v>
      </c>
      <c r="R534" s="2" t="inlineStr"/>
    </row>
    <row r="535" ht="15" customHeight="1">
      <c r="A535" t="inlineStr">
        <is>
          <t>A 42299-2020</t>
        </is>
      </c>
      <c r="B535" s="1" t="n">
        <v>44076</v>
      </c>
      <c r="C535" s="1" t="n">
        <v>45750</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42751-2020</t>
        </is>
      </c>
      <c r="B536" s="1" t="n">
        <v>44077</v>
      </c>
      <c r="C536" s="1" t="n">
        <v>45750</v>
      </c>
      <c r="D536" t="inlineStr">
        <is>
          <t>VÄSTERNORRLANDS LÄN</t>
        </is>
      </c>
      <c r="E536" t="inlineStr">
        <is>
          <t>ÅNGE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43093-2020</t>
        </is>
      </c>
      <c r="B537" s="1" t="n">
        <v>44078</v>
      </c>
      <c r="C537" s="1" t="n">
        <v>45750</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45808-2020</t>
        </is>
      </c>
      <c r="B538" s="1" t="n">
        <v>44090</v>
      </c>
      <c r="C538" s="1" t="n">
        <v>45750</v>
      </c>
      <c r="D538" t="inlineStr">
        <is>
          <t>VÄSTERNORRLANDS LÄN</t>
        </is>
      </c>
      <c r="E538" t="inlineStr">
        <is>
          <t>ÅNGE</t>
        </is>
      </c>
      <c r="G538" t="n">
        <v>0.3</v>
      </c>
      <c r="H538" t="n">
        <v>0</v>
      </c>
      <c r="I538" t="n">
        <v>0</v>
      </c>
      <c r="J538" t="n">
        <v>0</v>
      </c>
      <c r="K538" t="n">
        <v>0</v>
      </c>
      <c r="L538" t="n">
        <v>0</v>
      </c>
      <c r="M538" t="n">
        <v>0</v>
      </c>
      <c r="N538" t="n">
        <v>0</v>
      </c>
      <c r="O538" t="n">
        <v>0</v>
      </c>
      <c r="P538" t="n">
        <v>0</v>
      </c>
      <c r="Q538" t="n">
        <v>0</v>
      </c>
      <c r="R538" s="2" t="inlineStr"/>
    </row>
    <row r="539" ht="15" customHeight="1">
      <c r="A539" t="inlineStr">
        <is>
          <t>A 45813-2020</t>
        </is>
      </c>
      <c r="B539" s="1" t="n">
        <v>44090</v>
      </c>
      <c r="C539" s="1" t="n">
        <v>45750</v>
      </c>
      <c r="D539" t="inlineStr">
        <is>
          <t>VÄSTERNORRLANDS LÄN</t>
        </is>
      </c>
      <c r="E539" t="inlineStr">
        <is>
          <t>ÅNGE</t>
        </is>
      </c>
      <c r="G539" t="n">
        <v>0.4</v>
      </c>
      <c r="H539" t="n">
        <v>0</v>
      </c>
      <c r="I539" t="n">
        <v>0</v>
      </c>
      <c r="J539" t="n">
        <v>0</v>
      </c>
      <c r="K539" t="n">
        <v>0</v>
      </c>
      <c r="L539" t="n">
        <v>0</v>
      </c>
      <c r="M539" t="n">
        <v>0</v>
      </c>
      <c r="N539" t="n">
        <v>0</v>
      </c>
      <c r="O539" t="n">
        <v>0</v>
      </c>
      <c r="P539" t="n">
        <v>0</v>
      </c>
      <c r="Q539" t="n">
        <v>0</v>
      </c>
      <c r="R539" s="2" t="inlineStr"/>
    </row>
    <row r="540" ht="15" customHeight="1">
      <c r="A540" t="inlineStr">
        <is>
          <t>A 45812-2020</t>
        </is>
      </c>
      <c r="B540" s="1" t="n">
        <v>44090</v>
      </c>
      <c r="C540" s="1" t="n">
        <v>45750</v>
      </c>
      <c r="D540" t="inlineStr">
        <is>
          <t>VÄSTERNORRLANDS LÄN</t>
        </is>
      </c>
      <c r="E540" t="inlineStr">
        <is>
          <t>ÅNGE</t>
        </is>
      </c>
      <c r="G540" t="n">
        <v>0.1</v>
      </c>
      <c r="H540" t="n">
        <v>0</v>
      </c>
      <c r="I540" t="n">
        <v>0</v>
      </c>
      <c r="J540" t="n">
        <v>0</v>
      </c>
      <c r="K540" t="n">
        <v>0</v>
      </c>
      <c r="L540" t="n">
        <v>0</v>
      </c>
      <c r="M540" t="n">
        <v>0</v>
      </c>
      <c r="N540" t="n">
        <v>0</v>
      </c>
      <c r="O540" t="n">
        <v>0</v>
      </c>
      <c r="P540" t="n">
        <v>0</v>
      </c>
      <c r="Q540" t="n">
        <v>0</v>
      </c>
      <c r="R540" s="2" t="inlineStr"/>
    </row>
    <row r="541" ht="15" customHeight="1">
      <c r="A541" t="inlineStr">
        <is>
          <t>A 45810-2020</t>
        </is>
      </c>
      <c r="B541" s="1" t="n">
        <v>44090</v>
      </c>
      <c r="C541" s="1" t="n">
        <v>45750</v>
      </c>
      <c r="D541" t="inlineStr">
        <is>
          <t>VÄSTERNORRLANDS LÄN</t>
        </is>
      </c>
      <c r="E541" t="inlineStr">
        <is>
          <t>ÅNGE</t>
        </is>
      </c>
      <c r="G541" t="n">
        <v>0.2</v>
      </c>
      <c r="H541" t="n">
        <v>0</v>
      </c>
      <c r="I541" t="n">
        <v>0</v>
      </c>
      <c r="J541" t="n">
        <v>0</v>
      </c>
      <c r="K541" t="n">
        <v>0</v>
      </c>
      <c r="L541" t="n">
        <v>0</v>
      </c>
      <c r="M541" t="n">
        <v>0</v>
      </c>
      <c r="N541" t="n">
        <v>0</v>
      </c>
      <c r="O541" t="n">
        <v>0</v>
      </c>
      <c r="P541" t="n">
        <v>0</v>
      </c>
      <c r="Q541" t="n">
        <v>0</v>
      </c>
      <c r="R541" s="2" t="inlineStr"/>
    </row>
    <row r="542" ht="15" customHeight="1">
      <c r="A542" t="inlineStr">
        <is>
          <t>A 47041-2020</t>
        </is>
      </c>
      <c r="B542" s="1" t="n">
        <v>44091</v>
      </c>
      <c r="C542" s="1" t="n">
        <v>45750</v>
      </c>
      <c r="D542" t="inlineStr">
        <is>
          <t>VÄSTERNORRLANDS LÄN</t>
        </is>
      </c>
      <c r="E542" t="inlineStr">
        <is>
          <t>ÅNGE</t>
        </is>
      </c>
      <c r="G542" t="n">
        <v>2.2</v>
      </c>
      <c r="H542" t="n">
        <v>0</v>
      </c>
      <c r="I542" t="n">
        <v>0</v>
      </c>
      <c r="J542" t="n">
        <v>0</v>
      </c>
      <c r="K542" t="n">
        <v>0</v>
      </c>
      <c r="L542" t="n">
        <v>0</v>
      </c>
      <c r="M542" t="n">
        <v>0</v>
      </c>
      <c r="N542" t="n">
        <v>0</v>
      </c>
      <c r="O542" t="n">
        <v>0</v>
      </c>
      <c r="P542" t="n">
        <v>0</v>
      </c>
      <c r="Q542" t="n">
        <v>0</v>
      </c>
      <c r="R542" s="2" t="inlineStr"/>
    </row>
    <row r="543" ht="15" customHeight="1">
      <c r="A543" t="inlineStr">
        <is>
          <t>A 46518-2020</t>
        </is>
      </c>
      <c r="B543" s="1" t="n">
        <v>44095</v>
      </c>
      <c r="C543" s="1" t="n">
        <v>45750</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47411-2020</t>
        </is>
      </c>
      <c r="B544" s="1" t="n">
        <v>44095</v>
      </c>
      <c r="C544" s="1" t="n">
        <v>45750</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47127-2020</t>
        </is>
      </c>
      <c r="B545" s="1" t="n">
        <v>44096</v>
      </c>
      <c r="C545" s="1" t="n">
        <v>45750</v>
      </c>
      <c r="D545" t="inlineStr">
        <is>
          <t>VÄSTERNORRLANDS LÄN</t>
        </is>
      </c>
      <c r="E545" t="inlineStr">
        <is>
          <t>ÅNGE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48238-2020</t>
        </is>
      </c>
      <c r="B546" s="1" t="n">
        <v>44097</v>
      </c>
      <c r="C546" s="1" t="n">
        <v>45750</v>
      </c>
      <c r="D546" t="inlineStr">
        <is>
          <t>VÄSTERNORRLANDS LÄN</t>
        </is>
      </c>
      <c r="E546" t="inlineStr">
        <is>
          <t>ÅNGE</t>
        </is>
      </c>
      <c r="G546" t="n">
        <v>5.1</v>
      </c>
      <c r="H546" t="n">
        <v>0</v>
      </c>
      <c r="I546" t="n">
        <v>0</v>
      </c>
      <c r="J546" t="n">
        <v>0</v>
      </c>
      <c r="K546" t="n">
        <v>0</v>
      </c>
      <c r="L546" t="n">
        <v>0</v>
      </c>
      <c r="M546" t="n">
        <v>0</v>
      </c>
      <c r="N546" t="n">
        <v>0</v>
      </c>
      <c r="O546" t="n">
        <v>0</v>
      </c>
      <c r="P546" t="n">
        <v>0</v>
      </c>
      <c r="Q546" t="n">
        <v>0</v>
      </c>
      <c r="R546" s="2" t="inlineStr"/>
    </row>
    <row r="547" ht="15" customHeight="1">
      <c r="A547" t="inlineStr">
        <is>
          <t>A 48810-2020</t>
        </is>
      </c>
      <c r="B547" s="1" t="n">
        <v>44103</v>
      </c>
      <c r="C547" s="1" t="n">
        <v>45750</v>
      </c>
      <c r="D547" t="inlineStr">
        <is>
          <t>VÄSTERNORRLANDS LÄN</t>
        </is>
      </c>
      <c r="E547" t="inlineStr">
        <is>
          <t>ÅNGE</t>
        </is>
      </c>
      <c r="F547" t="inlineStr">
        <is>
          <t>SCA</t>
        </is>
      </c>
      <c r="G547" t="n">
        <v>1.8</v>
      </c>
      <c r="H547" t="n">
        <v>0</v>
      </c>
      <c r="I547" t="n">
        <v>0</v>
      </c>
      <c r="J547" t="n">
        <v>0</v>
      </c>
      <c r="K547" t="n">
        <v>0</v>
      </c>
      <c r="L547" t="n">
        <v>0</v>
      </c>
      <c r="M547" t="n">
        <v>0</v>
      </c>
      <c r="N547" t="n">
        <v>0</v>
      </c>
      <c r="O547" t="n">
        <v>0</v>
      </c>
      <c r="P547" t="n">
        <v>0</v>
      </c>
      <c r="Q547" t="n">
        <v>0</v>
      </c>
      <c r="R547" s="2" t="inlineStr"/>
      <c r="U547">
        <f>HYPERLINK("https://klasma.github.io/Logging_2260/knärot/A 48810-2020 karta knärot.png", "A 48810-2020")</f>
        <v/>
      </c>
      <c r="V547">
        <f>HYPERLINK("https://klasma.github.io/Logging_2260/klagomål/A 48810-2020 FSC-klagomål.docx", "A 48810-2020")</f>
        <v/>
      </c>
      <c r="W547">
        <f>HYPERLINK("https://klasma.github.io/Logging_2260/klagomålsmail/A 48810-2020 FSC-klagomål mail.docx", "A 48810-2020")</f>
        <v/>
      </c>
      <c r="X547">
        <f>HYPERLINK("https://klasma.github.io/Logging_2260/tillsyn/A 48810-2020 tillsynsbegäran.docx", "A 48810-2020")</f>
        <v/>
      </c>
      <c r="Y547">
        <f>HYPERLINK("https://klasma.github.io/Logging_2260/tillsynsmail/A 48810-2020 tillsynsbegäran mail.docx", "A 48810-2020")</f>
        <v/>
      </c>
    </row>
    <row r="548" ht="15" customHeight="1">
      <c r="A548" t="inlineStr">
        <is>
          <t>A 49343-2020</t>
        </is>
      </c>
      <c r="B548" s="1" t="n">
        <v>44105</v>
      </c>
      <c r="C548" s="1" t="n">
        <v>45750</v>
      </c>
      <c r="D548" t="inlineStr">
        <is>
          <t>VÄSTERNORRLANDS LÄN</t>
        </is>
      </c>
      <c r="E548" t="inlineStr">
        <is>
          <t>ÅNGE</t>
        </is>
      </c>
      <c r="G548" t="n">
        <v>1.2</v>
      </c>
      <c r="H548" t="n">
        <v>0</v>
      </c>
      <c r="I548" t="n">
        <v>0</v>
      </c>
      <c r="J548" t="n">
        <v>0</v>
      </c>
      <c r="K548" t="n">
        <v>0</v>
      </c>
      <c r="L548" t="n">
        <v>0</v>
      </c>
      <c r="M548" t="n">
        <v>0</v>
      </c>
      <c r="N548" t="n">
        <v>0</v>
      </c>
      <c r="O548" t="n">
        <v>0</v>
      </c>
      <c r="P548" t="n">
        <v>0</v>
      </c>
      <c r="Q548" t="n">
        <v>0</v>
      </c>
      <c r="R548" s="2" t="inlineStr"/>
    </row>
    <row r="549" ht="15" customHeight="1">
      <c r="A549" t="inlineStr">
        <is>
          <t>A 49346-2020</t>
        </is>
      </c>
      <c r="B549" s="1" t="n">
        <v>44105</v>
      </c>
      <c r="C549" s="1" t="n">
        <v>45750</v>
      </c>
      <c r="D549" t="inlineStr">
        <is>
          <t>VÄSTERNORRLANDS LÄN</t>
        </is>
      </c>
      <c r="E549" t="inlineStr">
        <is>
          <t>ÅNGE</t>
        </is>
      </c>
      <c r="G549" t="n">
        <v>1.9</v>
      </c>
      <c r="H549" t="n">
        <v>0</v>
      </c>
      <c r="I549" t="n">
        <v>0</v>
      </c>
      <c r="J549" t="n">
        <v>0</v>
      </c>
      <c r="K549" t="n">
        <v>0</v>
      </c>
      <c r="L549" t="n">
        <v>0</v>
      </c>
      <c r="M549" t="n">
        <v>0</v>
      </c>
      <c r="N549" t="n">
        <v>0</v>
      </c>
      <c r="O549" t="n">
        <v>0</v>
      </c>
      <c r="P549" t="n">
        <v>0</v>
      </c>
      <c r="Q549" t="n">
        <v>0</v>
      </c>
      <c r="R549" s="2" t="inlineStr"/>
    </row>
    <row r="550" ht="15" customHeight="1">
      <c r="A550" t="inlineStr">
        <is>
          <t>A 49656-2020</t>
        </is>
      </c>
      <c r="B550" s="1" t="n">
        <v>44106</v>
      </c>
      <c r="C550" s="1" t="n">
        <v>45750</v>
      </c>
      <c r="D550" t="inlineStr">
        <is>
          <t>VÄSTERNORRLANDS LÄN</t>
        </is>
      </c>
      <c r="E550" t="inlineStr">
        <is>
          <t>ÅNGE</t>
        </is>
      </c>
      <c r="G550" t="n">
        <v>2.6</v>
      </c>
      <c r="H550" t="n">
        <v>0</v>
      </c>
      <c r="I550" t="n">
        <v>0</v>
      </c>
      <c r="J550" t="n">
        <v>0</v>
      </c>
      <c r="K550" t="n">
        <v>0</v>
      </c>
      <c r="L550" t="n">
        <v>0</v>
      </c>
      <c r="M550" t="n">
        <v>0</v>
      </c>
      <c r="N550" t="n">
        <v>0</v>
      </c>
      <c r="O550" t="n">
        <v>0</v>
      </c>
      <c r="P550" t="n">
        <v>0</v>
      </c>
      <c r="Q550" t="n">
        <v>0</v>
      </c>
      <c r="R550" s="2" t="inlineStr"/>
    </row>
    <row r="551" ht="15" customHeight="1">
      <c r="A551" t="inlineStr">
        <is>
          <t>A 49838-2020</t>
        </is>
      </c>
      <c r="B551" s="1" t="n">
        <v>44106</v>
      </c>
      <c r="C551" s="1" t="n">
        <v>45750</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50265-2020</t>
        </is>
      </c>
      <c r="B552" s="1" t="n">
        <v>44109</v>
      </c>
      <c r="C552" s="1" t="n">
        <v>45750</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50259-2020</t>
        </is>
      </c>
      <c r="B553" s="1" t="n">
        <v>44109</v>
      </c>
      <c r="C553" s="1" t="n">
        <v>45750</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50260-2020</t>
        </is>
      </c>
      <c r="B554" s="1" t="n">
        <v>44109</v>
      </c>
      <c r="C554" s="1" t="n">
        <v>45750</v>
      </c>
      <c r="D554" t="inlineStr">
        <is>
          <t>VÄSTERNORRLANDS LÄN</t>
        </is>
      </c>
      <c r="E554" t="inlineStr">
        <is>
          <t>ÅNGE</t>
        </is>
      </c>
      <c r="G554" t="n">
        <v>3.9</v>
      </c>
      <c r="H554" t="n">
        <v>0</v>
      </c>
      <c r="I554" t="n">
        <v>0</v>
      </c>
      <c r="J554" t="n">
        <v>0</v>
      </c>
      <c r="K554" t="n">
        <v>0</v>
      </c>
      <c r="L554" t="n">
        <v>0</v>
      </c>
      <c r="M554" t="n">
        <v>0</v>
      </c>
      <c r="N554" t="n">
        <v>0</v>
      </c>
      <c r="O554" t="n">
        <v>0</v>
      </c>
      <c r="P554" t="n">
        <v>0</v>
      </c>
      <c r="Q554" t="n">
        <v>0</v>
      </c>
      <c r="R554" s="2" t="inlineStr"/>
    </row>
    <row r="555" ht="15" customHeight="1">
      <c r="A555" t="inlineStr">
        <is>
          <t>A 50258-2020</t>
        </is>
      </c>
      <c r="B555" s="1" t="n">
        <v>44109</v>
      </c>
      <c r="C555" s="1" t="n">
        <v>45750</v>
      </c>
      <c r="D555" t="inlineStr">
        <is>
          <t>VÄSTERNORRLANDS LÄN</t>
        </is>
      </c>
      <c r="E555" t="inlineStr">
        <is>
          <t>ÅNGE</t>
        </is>
      </c>
      <c r="G555" t="n">
        <v>1.6</v>
      </c>
      <c r="H555" t="n">
        <v>0</v>
      </c>
      <c r="I555" t="n">
        <v>0</v>
      </c>
      <c r="J555" t="n">
        <v>0</v>
      </c>
      <c r="K555" t="n">
        <v>0</v>
      </c>
      <c r="L555" t="n">
        <v>0</v>
      </c>
      <c r="M555" t="n">
        <v>0</v>
      </c>
      <c r="N555" t="n">
        <v>0</v>
      </c>
      <c r="O555" t="n">
        <v>0</v>
      </c>
      <c r="P555" t="n">
        <v>0</v>
      </c>
      <c r="Q555" t="n">
        <v>0</v>
      </c>
      <c r="R555" s="2" t="inlineStr"/>
    </row>
    <row r="556" ht="15" customHeight="1">
      <c r="A556" t="inlineStr">
        <is>
          <t>A 50268-2020</t>
        </is>
      </c>
      <c r="B556" s="1" t="n">
        <v>44109</v>
      </c>
      <c r="C556" s="1" t="n">
        <v>45750</v>
      </c>
      <c r="D556" t="inlineStr">
        <is>
          <t>VÄSTERNORRLANDS LÄN</t>
        </is>
      </c>
      <c r="E556" t="inlineStr">
        <is>
          <t>ÅNGE</t>
        </is>
      </c>
      <c r="G556" t="n">
        <v>1.3</v>
      </c>
      <c r="H556" t="n">
        <v>0</v>
      </c>
      <c r="I556" t="n">
        <v>0</v>
      </c>
      <c r="J556" t="n">
        <v>0</v>
      </c>
      <c r="K556" t="n">
        <v>0</v>
      </c>
      <c r="L556" t="n">
        <v>0</v>
      </c>
      <c r="M556" t="n">
        <v>0</v>
      </c>
      <c r="N556" t="n">
        <v>0</v>
      </c>
      <c r="O556" t="n">
        <v>0</v>
      </c>
      <c r="P556" t="n">
        <v>0</v>
      </c>
      <c r="Q556" t="n">
        <v>0</v>
      </c>
      <c r="R556" s="2" t="inlineStr"/>
    </row>
    <row r="557" ht="15" customHeight="1">
      <c r="A557" t="inlineStr">
        <is>
          <t>A 52232-2020</t>
        </is>
      </c>
      <c r="B557" s="1" t="n">
        <v>44111</v>
      </c>
      <c r="C557" s="1" t="n">
        <v>45750</v>
      </c>
      <c r="D557" t="inlineStr">
        <is>
          <t>VÄSTERNORRLANDS LÄN</t>
        </is>
      </c>
      <c r="E557" t="inlineStr">
        <is>
          <t>ÅNGE</t>
        </is>
      </c>
      <c r="G557" t="n">
        <v>1.1</v>
      </c>
      <c r="H557" t="n">
        <v>0</v>
      </c>
      <c r="I557" t="n">
        <v>0</v>
      </c>
      <c r="J557" t="n">
        <v>0</v>
      </c>
      <c r="K557" t="n">
        <v>0</v>
      </c>
      <c r="L557" t="n">
        <v>0</v>
      </c>
      <c r="M557" t="n">
        <v>0</v>
      </c>
      <c r="N557" t="n">
        <v>0</v>
      </c>
      <c r="O557" t="n">
        <v>0</v>
      </c>
      <c r="P557" t="n">
        <v>0</v>
      </c>
      <c r="Q557" t="n">
        <v>0</v>
      </c>
      <c r="R557" s="2" t="inlineStr"/>
    </row>
    <row r="558" ht="15" customHeight="1">
      <c r="A558" t="inlineStr">
        <is>
          <t>A 51610-2020</t>
        </is>
      </c>
      <c r="B558" s="1" t="n">
        <v>44113</v>
      </c>
      <c r="C558" s="1" t="n">
        <v>45750</v>
      </c>
      <c r="D558" t="inlineStr">
        <is>
          <t>VÄSTERNORRLANDS LÄN</t>
        </is>
      </c>
      <c r="E558" t="inlineStr">
        <is>
          <t>ÅNGE</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52504-2020</t>
        </is>
      </c>
      <c r="B559" s="1" t="n">
        <v>44113</v>
      </c>
      <c r="C559" s="1" t="n">
        <v>45750</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51755-2020</t>
        </is>
      </c>
      <c r="B560" s="1" t="n">
        <v>44114</v>
      </c>
      <c r="C560" s="1" t="n">
        <v>45750</v>
      </c>
      <c r="D560" t="inlineStr">
        <is>
          <t>VÄSTERNORRLANDS LÄN</t>
        </is>
      </c>
      <c r="E560" t="inlineStr">
        <is>
          <t>ÅNGE</t>
        </is>
      </c>
      <c r="G560" t="n">
        <v>6.4</v>
      </c>
      <c r="H560" t="n">
        <v>0</v>
      </c>
      <c r="I560" t="n">
        <v>0</v>
      </c>
      <c r="J560" t="n">
        <v>0</v>
      </c>
      <c r="K560" t="n">
        <v>0</v>
      </c>
      <c r="L560" t="n">
        <v>0</v>
      </c>
      <c r="M560" t="n">
        <v>0</v>
      </c>
      <c r="N560" t="n">
        <v>0</v>
      </c>
      <c r="O560" t="n">
        <v>0</v>
      </c>
      <c r="P560" t="n">
        <v>0</v>
      </c>
      <c r="Q560" t="n">
        <v>0</v>
      </c>
      <c r="R560" s="2" t="inlineStr"/>
    </row>
    <row r="561" ht="15" customHeight="1">
      <c r="A561" t="inlineStr">
        <is>
          <t>A 52637-2020</t>
        </is>
      </c>
      <c r="B561" s="1" t="n">
        <v>44118</v>
      </c>
      <c r="C561" s="1" t="n">
        <v>45750</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52629-2020</t>
        </is>
      </c>
      <c r="B562" s="1" t="n">
        <v>44118</v>
      </c>
      <c r="C562" s="1" t="n">
        <v>45750</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52633-2020</t>
        </is>
      </c>
      <c r="B563" s="1" t="n">
        <v>44118</v>
      </c>
      <c r="C563" s="1" t="n">
        <v>45750</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52627-2020</t>
        </is>
      </c>
      <c r="B564" s="1" t="n">
        <v>44118</v>
      </c>
      <c r="C564" s="1" t="n">
        <v>45750</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53171-2020</t>
        </is>
      </c>
      <c r="B565" s="1" t="n">
        <v>44120</v>
      </c>
      <c r="C565" s="1" t="n">
        <v>45750</v>
      </c>
      <c r="D565" t="inlineStr">
        <is>
          <t>VÄSTERNORRLANDS LÄN</t>
        </is>
      </c>
      <c r="E565" t="inlineStr">
        <is>
          <t>ÅNGE</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53173-2020</t>
        </is>
      </c>
      <c r="B566" s="1" t="n">
        <v>44120</v>
      </c>
      <c r="C566" s="1" t="n">
        <v>45750</v>
      </c>
      <c r="D566" t="inlineStr">
        <is>
          <t>VÄSTERNORRLANDS LÄN</t>
        </is>
      </c>
      <c r="E566" t="inlineStr">
        <is>
          <t>ÅNGE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53170-2020</t>
        </is>
      </c>
      <c r="B567" s="1" t="n">
        <v>44120</v>
      </c>
      <c r="C567" s="1" t="n">
        <v>45750</v>
      </c>
      <c r="D567" t="inlineStr">
        <is>
          <t>VÄSTERNORRLANDS LÄN</t>
        </is>
      </c>
      <c r="E567" t="inlineStr">
        <is>
          <t>ÅNGE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53175-2020</t>
        </is>
      </c>
      <c r="B568" s="1" t="n">
        <v>44120</v>
      </c>
      <c r="C568" s="1" t="n">
        <v>45750</v>
      </c>
      <c r="D568" t="inlineStr">
        <is>
          <t>VÄSTERNORRLANDS LÄN</t>
        </is>
      </c>
      <c r="E568" t="inlineStr">
        <is>
          <t>ÅNGE</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53174-2020</t>
        </is>
      </c>
      <c r="B569" s="1" t="n">
        <v>44120</v>
      </c>
      <c r="C569" s="1" t="n">
        <v>45750</v>
      </c>
      <c r="D569" t="inlineStr">
        <is>
          <t>VÄSTERNORRLANDS LÄN</t>
        </is>
      </c>
      <c r="E569" t="inlineStr">
        <is>
          <t>ÅNGE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53474-2020</t>
        </is>
      </c>
      <c r="B570" s="1" t="n">
        <v>44123</v>
      </c>
      <c r="C570" s="1" t="n">
        <v>45750</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53660-2020</t>
        </is>
      </c>
      <c r="B571" s="1" t="n">
        <v>44124</v>
      </c>
      <c r="C571" s="1" t="n">
        <v>45750</v>
      </c>
      <c r="D571" t="inlineStr">
        <is>
          <t>VÄSTERNORRLANDS LÄN</t>
        </is>
      </c>
      <c r="E571" t="inlineStr">
        <is>
          <t>ÅNGE</t>
        </is>
      </c>
      <c r="G571" t="n">
        <v>5.4</v>
      </c>
      <c r="H571" t="n">
        <v>0</v>
      </c>
      <c r="I571" t="n">
        <v>0</v>
      </c>
      <c r="J571" t="n">
        <v>0</v>
      </c>
      <c r="K571" t="n">
        <v>0</v>
      </c>
      <c r="L571" t="n">
        <v>0</v>
      </c>
      <c r="M571" t="n">
        <v>0</v>
      </c>
      <c r="N571" t="n">
        <v>0</v>
      </c>
      <c r="O571" t="n">
        <v>0</v>
      </c>
      <c r="P571" t="n">
        <v>0</v>
      </c>
      <c r="Q571" t="n">
        <v>0</v>
      </c>
      <c r="R571" s="2" t="inlineStr"/>
    </row>
    <row r="572" ht="15" customHeight="1">
      <c r="A572" t="inlineStr">
        <is>
          <t>A 53661-2020</t>
        </is>
      </c>
      <c r="B572" s="1" t="n">
        <v>44124</v>
      </c>
      <c r="C572" s="1" t="n">
        <v>45750</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53962-2020</t>
        </is>
      </c>
      <c r="B573" s="1" t="n">
        <v>44125</v>
      </c>
      <c r="C573" s="1" t="n">
        <v>45750</v>
      </c>
      <c r="D573" t="inlineStr">
        <is>
          <t>VÄSTERNORRLANDS LÄN</t>
        </is>
      </c>
      <c r="E573" t="inlineStr">
        <is>
          <t>ÅNGE</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54471-2020</t>
        </is>
      </c>
      <c r="B574" s="1" t="n">
        <v>44126</v>
      </c>
      <c r="C574" s="1" t="n">
        <v>45750</v>
      </c>
      <c r="D574" t="inlineStr">
        <is>
          <t>VÄSTERNORRLANDS LÄN</t>
        </is>
      </c>
      <c r="E574" t="inlineStr">
        <is>
          <t>ÅNGE</t>
        </is>
      </c>
      <c r="G574" t="n">
        <v>3.1</v>
      </c>
      <c r="H574" t="n">
        <v>0</v>
      </c>
      <c r="I574" t="n">
        <v>0</v>
      </c>
      <c r="J574" t="n">
        <v>0</v>
      </c>
      <c r="K574" t="n">
        <v>0</v>
      </c>
      <c r="L574" t="n">
        <v>0</v>
      </c>
      <c r="M574" t="n">
        <v>0</v>
      </c>
      <c r="N574" t="n">
        <v>0</v>
      </c>
      <c r="O574" t="n">
        <v>0</v>
      </c>
      <c r="P574" t="n">
        <v>0</v>
      </c>
      <c r="Q574" t="n">
        <v>0</v>
      </c>
      <c r="R574" s="2" t="inlineStr"/>
    </row>
    <row r="575" ht="15" customHeight="1">
      <c r="A575" t="inlineStr">
        <is>
          <t>A 54469-2020</t>
        </is>
      </c>
      <c r="B575" s="1" t="n">
        <v>44126</v>
      </c>
      <c r="C575" s="1" t="n">
        <v>45750</v>
      </c>
      <c r="D575" t="inlineStr">
        <is>
          <t>VÄSTERNORRLANDS LÄN</t>
        </is>
      </c>
      <c r="E575" t="inlineStr">
        <is>
          <t>ÅNGE</t>
        </is>
      </c>
      <c r="G575" t="n">
        <v>4</v>
      </c>
      <c r="H575" t="n">
        <v>0</v>
      </c>
      <c r="I575" t="n">
        <v>0</v>
      </c>
      <c r="J575" t="n">
        <v>0</v>
      </c>
      <c r="K575" t="n">
        <v>0</v>
      </c>
      <c r="L575" t="n">
        <v>0</v>
      </c>
      <c r="M575" t="n">
        <v>0</v>
      </c>
      <c r="N575" t="n">
        <v>0</v>
      </c>
      <c r="O575" t="n">
        <v>0</v>
      </c>
      <c r="P575" t="n">
        <v>0</v>
      </c>
      <c r="Q575" t="n">
        <v>0</v>
      </c>
      <c r="R575" s="2" t="inlineStr"/>
    </row>
    <row r="576" ht="15" customHeight="1">
      <c r="A576" t="inlineStr">
        <is>
          <t>A 55317-2020</t>
        </is>
      </c>
      <c r="B576" s="1" t="n">
        <v>44130</v>
      </c>
      <c r="C576" s="1" t="n">
        <v>45750</v>
      </c>
      <c r="D576" t="inlineStr">
        <is>
          <t>VÄSTERNORRLANDS LÄN</t>
        </is>
      </c>
      <c r="E576" t="inlineStr">
        <is>
          <t>ÅNGE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57111-2020</t>
        </is>
      </c>
      <c r="B577" s="1" t="n">
        <v>44139</v>
      </c>
      <c r="C577" s="1" t="n">
        <v>45750</v>
      </c>
      <c r="D577" t="inlineStr">
        <is>
          <t>VÄSTERNORRLANDS LÄN</t>
        </is>
      </c>
      <c r="E577" t="inlineStr">
        <is>
          <t>ÅNGE</t>
        </is>
      </c>
      <c r="G577" t="n">
        <v>0.5</v>
      </c>
      <c r="H577" t="n">
        <v>0</v>
      </c>
      <c r="I577" t="n">
        <v>0</v>
      </c>
      <c r="J577" t="n">
        <v>0</v>
      </c>
      <c r="K577" t="n">
        <v>0</v>
      </c>
      <c r="L577" t="n">
        <v>0</v>
      </c>
      <c r="M577" t="n">
        <v>0</v>
      </c>
      <c r="N577" t="n">
        <v>0</v>
      </c>
      <c r="O577" t="n">
        <v>0</v>
      </c>
      <c r="P577" t="n">
        <v>0</v>
      </c>
      <c r="Q577" t="n">
        <v>0</v>
      </c>
      <c r="R577" s="2" t="inlineStr"/>
    </row>
    <row r="578" ht="15" customHeight="1">
      <c r="A578" t="inlineStr">
        <is>
          <t>A 59222-2020</t>
        </is>
      </c>
      <c r="B578" s="1" t="n">
        <v>44147</v>
      </c>
      <c r="C578" s="1" t="n">
        <v>45750</v>
      </c>
      <c r="D578" t="inlineStr">
        <is>
          <t>VÄSTERNORRLANDS LÄN</t>
        </is>
      </c>
      <c r="E578" t="inlineStr">
        <is>
          <t>ÅNGE</t>
        </is>
      </c>
      <c r="G578" t="n">
        <v>7.6</v>
      </c>
      <c r="H578" t="n">
        <v>0</v>
      </c>
      <c r="I578" t="n">
        <v>0</v>
      </c>
      <c r="J578" t="n">
        <v>0</v>
      </c>
      <c r="K578" t="n">
        <v>0</v>
      </c>
      <c r="L578" t="n">
        <v>0</v>
      </c>
      <c r="M578" t="n">
        <v>0</v>
      </c>
      <c r="N578" t="n">
        <v>0</v>
      </c>
      <c r="O578" t="n">
        <v>0</v>
      </c>
      <c r="P578" t="n">
        <v>0</v>
      </c>
      <c r="Q578" t="n">
        <v>0</v>
      </c>
      <c r="R578" s="2" t="inlineStr"/>
    </row>
    <row r="579" ht="15" customHeight="1">
      <c r="A579" t="inlineStr">
        <is>
          <t>A 60064-2020</t>
        </is>
      </c>
      <c r="B579" s="1" t="n">
        <v>44151</v>
      </c>
      <c r="C579" s="1" t="n">
        <v>45750</v>
      </c>
      <c r="D579" t="inlineStr">
        <is>
          <t>VÄSTERNORRLANDS LÄN</t>
        </is>
      </c>
      <c r="E579" t="inlineStr">
        <is>
          <t>ÅNGE</t>
        </is>
      </c>
      <c r="G579" t="n">
        <v>1.8</v>
      </c>
      <c r="H579" t="n">
        <v>0</v>
      </c>
      <c r="I579" t="n">
        <v>0</v>
      </c>
      <c r="J579" t="n">
        <v>0</v>
      </c>
      <c r="K579" t="n">
        <v>0</v>
      </c>
      <c r="L579" t="n">
        <v>0</v>
      </c>
      <c r="M579" t="n">
        <v>0</v>
      </c>
      <c r="N579" t="n">
        <v>0</v>
      </c>
      <c r="O579" t="n">
        <v>0</v>
      </c>
      <c r="P579" t="n">
        <v>0</v>
      </c>
      <c r="Q579" t="n">
        <v>0</v>
      </c>
      <c r="R579" s="2" t="inlineStr"/>
    </row>
    <row r="580" ht="15" customHeight="1">
      <c r="A580" t="inlineStr">
        <is>
          <t>A 60401-2020</t>
        </is>
      </c>
      <c r="B580" s="1" t="n">
        <v>44152</v>
      </c>
      <c r="C580" s="1" t="n">
        <v>45750</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63497-2020</t>
        </is>
      </c>
      <c r="B581" s="1" t="n">
        <v>44161</v>
      </c>
      <c r="C581" s="1" t="n">
        <v>45750</v>
      </c>
      <c r="D581" t="inlineStr">
        <is>
          <t>VÄSTERNORRLANDS LÄN</t>
        </is>
      </c>
      <c r="E581" t="inlineStr">
        <is>
          <t>ÅNGE</t>
        </is>
      </c>
      <c r="G581" t="n">
        <v>6.9</v>
      </c>
      <c r="H581" t="n">
        <v>0</v>
      </c>
      <c r="I581" t="n">
        <v>0</v>
      </c>
      <c r="J581" t="n">
        <v>0</v>
      </c>
      <c r="K581" t="n">
        <v>0</v>
      </c>
      <c r="L581" t="n">
        <v>0</v>
      </c>
      <c r="M581" t="n">
        <v>0</v>
      </c>
      <c r="N581" t="n">
        <v>0</v>
      </c>
      <c r="O581" t="n">
        <v>0</v>
      </c>
      <c r="P581" t="n">
        <v>0</v>
      </c>
      <c r="Q581" t="n">
        <v>0</v>
      </c>
      <c r="R581" s="2" t="inlineStr"/>
    </row>
    <row r="582" ht="15" customHeight="1">
      <c r="A582" t="inlineStr">
        <is>
          <t>A 64612-2020</t>
        </is>
      </c>
      <c r="B582" s="1" t="n">
        <v>44169</v>
      </c>
      <c r="C582" s="1" t="n">
        <v>45750</v>
      </c>
      <c r="D582" t="inlineStr">
        <is>
          <t>VÄSTERNORRLANDS LÄN</t>
        </is>
      </c>
      <c r="E582" t="inlineStr">
        <is>
          <t>ÅNGE</t>
        </is>
      </c>
      <c r="G582" t="n">
        <v>2</v>
      </c>
      <c r="H582" t="n">
        <v>0</v>
      </c>
      <c r="I582" t="n">
        <v>0</v>
      </c>
      <c r="J582" t="n">
        <v>0</v>
      </c>
      <c r="K582" t="n">
        <v>0</v>
      </c>
      <c r="L582" t="n">
        <v>0</v>
      </c>
      <c r="M582" t="n">
        <v>0</v>
      </c>
      <c r="N582" t="n">
        <v>0</v>
      </c>
      <c r="O582" t="n">
        <v>0</v>
      </c>
      <c r="P582" t="n">
        <v>0</v>
      </c>
      <c r="Q582" t="n">
        <v>0</v>
      </c>
      <c r="R582" s="2" t="inlineStr"/>
    </row>
    <row r="583" ht="15" customHeight="1">
      <c r="A583" t="inlineStr">
        <is>
          <t>A 65277-2020</t>
        </is>
      </c>
      <c r="B583" s="1" t="n">
        <v>44172</v>
      </c>
      <c r="C583" s="1" t="n">
        <v>45750</v>
      </c>
      <c r="D583" t="inlineStr">
        <is>
          <t>VÄSTERNORRLANDS LÄN</t>
        </is>
      </c>
      <c r="E583" t="inlineStr">
        <is>
          <t>ÅNGE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65149-2020</t>
        </is>
      </c>
      <c r="B584" s="1" t="n">
        <v>44172</v>
      </c>
      <c r="C584" s="1" t="n">
        <v>45750</v>
      </c>
      <c r="D584" t="inlineStr">
        <is>
          <t>VÄSTERNORRLANDS LÄN</t>
        </is>
      </c>
      <c r="E584" t="inlineStr">
        <is>
          <t>ÅNGE</t>
        </is>
      </c>
      <c r="G584" t="n">
        <v>9.5</v>
      </c>
      <c r="H584" t="n">
        <v>0</v>
      </c>
      <c r="I584" t="n">
        <v>0</v>
      </c>
      <c r="J584" t="n">
        <v>0</v>
      </c>
      <c r="K584" t="n">
        <v>0</v>
      </c>
      <c r="L584" t="n">
        <v>0</v>
      </c>
      <c r="M584" t="n">
        <v>0</v>
      </c>
      <c r="N584" t="n">
        <v>0</v>
      </c>
      <c r="O584" t="n">
        <v>0</v>
      </c>
      <c r="P584" t="n">
        <v>0</v>
      </c>
      <c r="Q584" t="n">
        <v>0</v>
      </c>
      <c r="R584" s="2" t="inlineStr"/>
    </row>
    <row r="585" ht="15" customHeight="1">
      <c r="A585" t="inlineStr">
        <is>
          <t>A 65272-2020</t>
        </is>
      </c>
      <c r="B585" s="1" t="n">
        <v>44172</v>
      </c>
      <c r="C585" s="1" t="n">
        <v>45750</v>
      </c>
      <c r="D585" t="inlineStr">
        <is>
          <t>VÄSTERNORRLANDS LÄN</t>
        </is>
      </c>
      <c r="E585" t="inlineStr">
        <is>
          <t>ÅNGE</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65280-2020</t>
        </is>
      </c>
      <c r="B586" s="1" t="n">
        <v>44172</v>
      </c>
      <c r="C586" s="1" t="n">
        <v>45750</v>
      </c>
      <c r="D586" t="inlineStr">
        <is>
          <t>VÄSTERNORRLANDS LÄN</t>
        </is>
      </c>
      <c r="E586" t="inlineStr">
        <is>
          <t>ÅNGE</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65594-2020</t>
        </is>
      </c>
      <c r="B587" s="1" t="n">
        <v>44173</v>
      </c>
      <c r="C587" s="1" t="n">
        <v>45750</v>
      </c>
      <c r="D587" t="inlineStr">
        <is>
          <t>VÄSTERNORRLANDS LÄN</t>
        </is>
      </c>
      <c r="E587" t="inlineStr">
        <is>
          <t>ÅNGE</t>
        </is>
      </c>
      <c r="G587" t="n">
        <v>5.9</v>
      </c>
      <c r="H587" t="n">
        <v>0</v>
      </c>
      <c r="I587" t="n">
        <v>0</v>
      </c>
      <c r="J587" t="n">
        <v>0</v>
      </c>
      <c r="K587" t="n">
        <v>0</v>
      </c>
      <c r="L587" t="n">
        <v>0</v>
      </c>
      <c r="M587" t="n">
        <v>0</v>
      </c>
      <c r="N587" t="n">
        <v>0</v>
      </c>
      <c r="O587" t="n">
        <v>0</v>
      </c>
      <c r="P587" t="n">
        <v>0</v>
      </c>
      <c r="Q587" t="n">
        <v>0</v>
      </c>
      <c r="R587" s="2" t="inlineStr"/>
    </row>
    <row r="588" ht="15" customHeight="1">
      <c r="A588" t="inlineStr">
        <is>
          <t>A 65593-2020</t>
        </is>
      </c>
      <c r="B588" s="1" t="n">
        <v>44173</v>
      </c>
      <c r="C588" s="1" t="n">
        <v>45750</v>
      </c>
      <c r="D588" t="inlineStr">
        <is>
          <t>VÄSTERNORRLANDS LÄN</t>
        </is>
      </c>
      <c r="E588" t="inlineStr">
        <is>
          <t>ÅNGE</t>
        </is>
      </c>
      <c r="G588" t="n">
        <v>4</v>
      </c>
      <c r="H588" t="n">
        <v>0</v>
      </c>
      <c r="I588" t="n">
        <v>0</v>
      </c>
      <c r="J588" t="n">
        <v>0</v>
      </c>
      <c r="K588" t="n">
        <v>0</v>
      </c>
      <c r="L588" t="n">
        <v>0</v>
      </c>
      <c r="M588" t="n">
        <v>0</v>
      </c>
      <c r="N588" t="n">
        <v>0</v>
      </c>
      <c r="O588" t="n">
        <v>0</v>
      </c>
      <c r="P588" t="n">
        <v>0</v>
      </c>
      <c r="Q588" t="n">
        <v>0</v>
      </c>
      <c r="R588" s="2" t="inlineStr"/>
    </row>
    <row r="589" ht="15" customHeight="1">
      <c r="A589" t="inlineStr">
        <is>
          <t>A 65770-2020</t>
        </is>
      </c>
      <c r="B589" s="1" t="n">
        <v>44174</v>
      </c>
      <c r="C589" s="1" t="n">
        <v>45750</v>
      </c>
      <c r="D589" t="inlineStr">
        <is>
          <t>VÄSTERNORRLANDS LÄN</t>
        </is>
      </c>
      <c r="E589" t="inlineStr">
        <is>
          <t>ÅNGE</t>
        </is>
      </c>
      <c r="G589" t="n">
        <v>1</v>
      </c>
      <c r="H589" t="n">
        <v>0</v>
      </c>
      <c r="I589" t="n">
        <v>0</v>
      </c>
      <c r="J589" t="n">
        <v>0</v>
      </c>
      <c r="K589" t="n">
        <v>0</v>
      </c>
      <c r="L589" t="n">
        <v>0</v>
      </c>
      <c r="M589" t="n">
        <v>0</v>
      </c>
      <c r="N589" t="n">
        <v>0</v>
      </c>
      <c r="O589" t="n">
        <v>0</v>
      </c>
      <c r="P589" t="n">
        <v>0</v>
      </c>
      <c r="Q589" t="n">
        <v>0</v>
      </c>
      <c r="R589" s="2" t="inlineStr"/>
    </row>
    <row r="590" ht="15" customHeight="1">
      <c r="A590" t="inlineStr">
        <is>
          <t>A 66601-2020</t>
        </is>
      </c>
      <c r="B590" s="1" t="n">
        <v>44175</v>
      </c>
      <c r="C590" s="1" t="n">
        <v>45750</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68378-2020</t>
        </is>
      </c>
      <c r="B591" s="1" t="n">
        <v>44186</v>
      </c>
      <c r="C591" s="1" t="n">
        <v>45750</v>
      </c>
      <c r="D591" t="inlineStr">
        <is>
          <t>VÄSTERNORRLANDS LÄN</t>
        </is>
      </c>
      <c r="E591" t="inlineStr">
        <is>
          <t>ÅNGE</t>
        </is>
      </c>
      <c r="G591" t="n">
        <v>0.9</v>
      </c>
      <c r="H591" t="n">
        <v>0</v>
      </c>
      <c r="I591" t="n">
        <v>0</v>
      </c>
      <c r="J591" t="n">
        <v>0</v>
      </c>
      <c r="K591" t="n">
        <v>0</v>
      </c>
      <c r="L591" t="n">
        <v>0</v>
      </c>
      <c r="M591" t="n">
        <v>0</v>
      </c>
      <c r="N591" t="n">
        <v>0</v>
      </c>
      <c r="O591" t="n">
        <v>0</v>
      </c>
      <c r="P591" t="n">
        <v>0</v>
      </c>
      <c r="Q591" t="n">
        <v>0</v>
      </c>
      <c r="R591" s="2" t="inlineStr"/>
    </row>
    <row r="592" ht="15" customHeight="1">
      <c r="A592" t="inlineStr">
        <is>
          <t>A 68715-2020</t>
        </is>
      </c>
      <c r="B592" s="1" t="n">
        <v>44187</v>
      </c>
      <c r="C592" s="1" t="n">
        <v>45750</v>
      </c>
      <c r="D592" t="inlineStr">
        <is>
          <t>VÄSTERNORRLANDS LÄN</t>
        </is>
      </c>
      <c r="E592" t="inlineStr">
        <is>
          <t>ÅNGE</t>
        </is>
      </c>
      <c r="G592" t="n">
        <v>19.1</v>
      </c>
      <c r="H592" t="n">
        <v>0</v>
      </c>
      <c r="I592" t="n">
        <v>0</v>
      </c>
      <c r="J592" t="n">
        <v>0</v>
      </c>
      <c r="K592" t="n">
        <v>0</v>
      </c>
      <c r="L592" t="n">
        <v>0</v>
      </c>
      <c r="M592" t="n">
        <v>0</v>
      </c>
      <c r="N592" t="n">
        <v>0</v>
      </c>
      <c r="O592" t="n">
        <v>0</v>
      </c>
      <c r="P592" t="n">
        <v>0</v>
      </c>
      <c r="Q592" t="n">
        <v>0</v>
      </c>
      <c r="R592" s="2" t="inlineStr"/>
    </row>
    <row r="593" ht="15" customHeight="1">
      <c r="A593" t="inlineStr">
        <is>
          <t>A 68812-2020</t>
        </is>
      </c>
      <c r="B593" s="1" t="n">
        <v>44187</v>
      </c>
      <c r="C593" s="1" t="n">
        <v>45750</v>
      </c>
      <c r="D593" t="inlineStr">
        <is>
          <t>VÄSTERNORRLANDS LÄN</t>
        </is>
      </c>
      <c r="E593" t="inlineStr">
        <is>
          <t>ÅNGE</t>
        </is>
      </c>
      <c r="G593" t="n">
        <v>1.6</v>
      </c>
      <c r="H593" t="n">
        <v>0</v>
      </c>
      <c r="I593" t="n">
        <v>0</v>
      </c>
      <c r="J593" t="n">
        <v>0</v>
      </c>
      <c r="K593" t="n">
        <v>0</v>
      </c>
      <c r="L593" t="n">
        <v>0</v>
      </c>
      <c r="M593" t="n">
        <v>0</v>
      </c>
      <c r="N593" t="n">
        <v>0</v>
      </c>
      <c r="O593" t="n">
        <v>0</v>
      </c>
      <c r="P593" t="n">
        <v>0</v>
      </c>
      <c r="Q593" t="n">
        <v>0</v>
      </c>
      <c r="R593" s="2" t="inlineStr"/>
    </row>
    <row r="594" ht="15" customHeight="1">
      <c r="A594" t="inlineStr">
        <is>
          <t>A 69271-2020</t>
        </is>
      </c>
      <c r="B594" s="1" t="n">
        <v>44193</v>
      </c>
      <c r="C594" s="1" t="n">
        <v>45750</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2327-2021</t>
        </is>
      </c>
      <c r="B595" s="1" t="n">
        <v>44214</v>
      </c>
      <c r="C595" s="1" t="n">
        <v>45750</v>
      </c>
      <c r="D595" t="inlineStr">
        <is>
          <t>VÄSTERNORRLANDS LÄN</t>
        </is>
      </c>
      <c r="E595" t="inlineStr">
        <is>
          <t>ÅNGE</t>
        </is>
      </c>
      <c r="G595" t="n">
        <v>6.7</v>
      </c>
      <c r="H595" t="n">
        <v>0</v>
      </c>
      <c r="I595" t="n">
        <v>0</v>
      </c>
      <c r="J595" t="n">
        <v>0</v>
      </c>
      <c r="K595" t="n">
        <v>0</v>
      </c>
      <c r="L595" t="n">
        <v>0</v>
      </c>
      <c r="M595" t="n">
        <v>0</v>
      </c>
      <c r="N595" t="n">
        <v>0</v>
      </c>
      <c r="O595" t="n">
        <v>0</v>
      </c>
      <c r="P595" t="n">
        <v>0</v>
      </c>
      <c r="Q595" t="n">
        <v>0</v>
      </c>
      <c r="R595" s="2" t="inlineStr"/>
    </row>
    <row r="596" ht="15" customHeight="1">
      <c r="A596" t="inlineStr">
        <is>
          <t>A 3352-2021</t>
        </is>
      </c>
      <c r="B596" s="1" t="n">
        <v>44217</v>
      </c>
      <c r="C596" s="1" t="n">
        <v>45750</v>
      </c>
      <c r="D596" t="inlineStr">
        <is>
          <t>VÄSTERNORRLANDS LÄN</t>
        </is>
      </c>
      <c r="E596" t="inlineStr">
        <is>
          <t>ÅNGE</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5822-2021</t>
        </is>
      </c>
      <c r="B597" s="1" t="n">
        <v>44230</v>
      </c>
      <c r="C597" s="1" t="n">
        <v>45750</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6487-2021</t>
        </is>
      </c>
      <c r="B598" s="1" t="n">
        <v>44235</v>
      </c>
      <c r="C598" s="1" t="n">
        <v>45750</v>
      </c>
      <c r="D598" t="inlineStr">
        <is>
          <t>VÄSTERNORRLANDS LÄN</t>
        </is>
      </c>
      <c r="E598" t="inlineStr">
        <is>
          <t>ÅNGE</t>
        </is>
      </c>
      <c r="G598" t="n">
        <v>2.1</v>
      </c>
      <c r="H598" t="n">
        <v>0</v>
      </c>
      <c r="I598" t="n">
        <v>0</v>
      </c>
      <c r="J598" t="n">
        <v>0</v>
      </c>
      <c r="K598" t="n">
        <v>0</v>
      </c>
      <c r="L598" t="n">
        <v>0</v>
      </c>
      <c r="M598" t="n">
        <v>0</v>
      </c>
      <c r="N598" t="n">
        <v>0</v>
      </c>
      <c r="O598" t="n">
        <v>0</v>
      </c>
      <c r="P598" t="n">
        <v>0</v>
      </c>
      <c r="Q598" t="n">
        <v>0</v>
      </c>
      <c r="R598" s="2" t="inlineStr"/>
    </row>
    <row r="599" ht="15" customHeight="1">
      <c r="A599" t="inlineStr">
        <is>
          <t>A 6805-2021</t>
        </is>
      </c>
      <c r="B599" s="1" t="n">
        <v>44236</v>
      </c>
      <c r="C599" s="1" t="n">
        <v>45750</v>
      </c>
      <c r="D599" t="inlineStr">
        <is>
          <t>VÄSTERNORRLANDS LÄN</t>
        </is>
      </c>
      <c r="E599" t="inlineStr">
        <is>
          <t>ÅNGE</t>
        </is>
      </c>
      <c r="G599" t="n">
        <v>0.6</v>
      </c>
      <c r="H599" t="n">
        <v>0</v>
      </c>
      <c r="I599" t="n">
        <v>0</v>
      </c>
      <c r="J599" t="n">
        <v>0</v>
      </c>
      <c r="K599" t="n">
        <v>0</v>
      </c>
      <c r="L599" t="n">
        <v>0</v>
      </c>
      <c r="M599" t="n">
        <v>0</v>
      </c>
      <c r="N599" t="n">
        <v>0</v>
      </c>
      <c r="O599" t="n">
        <v>0</v>
      </c>
      <c r="P599" t="n">
        <v>0</v>
      </c>
      <c r="Q599" t="n">
        <v>0</v>
      </c>
      <c r="R599" s="2" t="inlineStr"/>
    </row>
    <row r="600" ht="15" customHeight="1">
      <c r="A600" t="inlineStr">
        <is>
          <t>A 8057-2021</t>
        </is>
      </c>
      <c r="B600" s="1" t="n">
        <v>44238</v>
      </c>
      <c r="C600" s="1" t="n">
        <v>45750</v>
      </c>
      <c r="D600" t="inlineStr">
        <is>
          <t>VÄSTERNORRLANDS LÄN</t>
        </is>
      </c>
      <c r="E600" t="inlineStr">
        <is>
          <t>ÅNGE</t>
        </is>
      </c>
      <c r="G600" t="n">
        <v>1.2</v>
      </c>
      <c r="H600" t="n">
        <v>0</v>
      </c>
      <c r="I600" t="n">
        <v>0</v>
      </c>
      <c r="J600" t="n">
        <v>0</v>
      </c>
      <c r="K600" t="n">
        <v>0</v>
      </c>
      <c r="L600" t="n">
        <v>0</v>
      </c>
      <c r="M600" t="n">
        <v>0</v>
      </c>
      <c r="N600" t="n">
        <v>0</v>
      </c>
      <c r="O600" t="n">
        <v>0</v>
      </c>
      <c r="P600" t="n">
        <v>0</v>
      </c>
      <c r="Q600" t="n">
        <v>0</v>
      </c>
      <c r="R600" s="2" t="inlineStr"/>
    </row>
    <row r="601" ht="15" customHeight="1">
      <c r="A601" t="inlineStr">
        <is>
          <t>A 7857-2021</t>
        </is>
      </c>
      <c r="B601" s="1" t="n">
        <v>44242</v>
      </c>
      <c r="C601" s="1" t="n">
        <v>45750</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9619-2021</t>
        </is>
      </c>
      <c r="B602" s="1" t="n">
        <v>44251</v>
      </c>
      <c r="C602" s="1" t="n">
        <v>45750</v>
      </c>
      <c r="D602" t="inlineStr">
        <is>
          <t>VÄSTERNORRLANDS LÄN</t>
        </is>
      </c>
      <c r="E602" t="inlineStr">
        <is>
          <t>ÅNGE</t>
        </is>
      </c>
      <c r="G602" t="n">
        <v>10.4</v>
      </c>
      <c r="H602" t="n">
        <v>0</v>
      </c>
      <c r="I602" t="n">
        <v>0</v>
      </c>
      <c r="J602" t="n">
        <v>0</v>
      </c>
      <c r="K602" t="n">
        <v>0</v>
      </c>
      <c r="L602" t="n">
        <v>0</v>
      </c>
      <c r="M602" t="n">
        <v>0</v>
      </c>
      <c r="N602" t="n">
        <v>0</v>
      </c>
      <c r="O602" t="n">
        <v>0</v>
      </c>
      <c r="P602" t="n">
        <v>0</v>
      </c>
      <c r="Q602" t="n">
        <v>0</v>
      </c>
      <c r="R602" s="2" t="inlineStr"/>
    </row>
    <row r="603" ht="15" customHeight="1">
      <c r="A603" t="inlineStr">
        <is>
          <t>A 10342-2021</t>
        </is>
      </c>
      <c r="B603" s="1" t="n">
        <v>44257</v>
      </c>
      <c r="C603" s="1" t="n">
        <v>45750</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11763-2021</t>
        </is>
      </c>
      <c r="B604" s="1" t="n">
        <v>44265</v>
      </c>
      <c r="C604" s="1" t="n">
        <v>45750</v>
      </c>
      <c r="D604" t="inlineStr">
        <is>
          <t>VÄSTERNORRLANDS LÄN</t>
        </is>
      </c>
      <c r="E604" t="inlineStr">
        <is>
          <t>ÅNGE</t>
        </is>
      </c>
      <c r="G604" t="n">
        <v>2.2</v>
      </c>
      <c r="H604" t="n">
        <v>0</v>
      </c>
      <c r="I604" t="n">
        <v>0</v>
      </c>
      <c r="J604" t="n">
        <v>0</v>
      </c>
      <c r="K604" t="n">
        <v>0</v>
      </c>
      <c r="L604" t="n">
        <v>0</v>
      </c>
      <c r="M604" t="n">
        <v>0</v>
      </c>
      <c r="N604" t="n">
        <v>0</v>
      </c>
      <c r="O604" t="n">
        <v>0</v>
      </c>
      <c r="P604" t="n">
        <v>0</v>
      </c>
      <c r="Q604" t="n">
        <v>0</v>
      </c>
      <c r="R604" s="2" t="inlineStr"/>
    </row>
    <row r="605" ht="15" customHeight="1">
      <c r="A605" t="inlineStr">
        <is>
          <t>A 12799-2021</t>
        </is>
      </c>
      <c r="B605" s="1" t="n">
        <v>44270</v>
      </c>
      <c r="C605" s="1" t="n">
        <v>45750</v>
      </c>
      <c r="D605" t="inlineStr">
        <is>
          <t>VÄSTERNORRLANDS LÄN</t>
        </is>
      </c>
      <c r="E605" t="inlineStr">
        <is>
          <t>ÅNGE</t>
        </is>
      </c>
      <c r="G605" t="n">
        <v>2</v>
      </c>
      <c r="H605" t="n">
        <v>0</v>
      </c>
      <c r="I605" t="n">
        <v>0</v>
      </c>
      <c r="J605" t="n">
        <v>0</v>
      </c>
      <c r="K605" t="n">
        <v>0</v>
      </c>
      <c r="L605" t="n">
        <v>0</v>
      </c>
      <c r="M605" t="n">
        <v>0</v>
      </c>
      <c r="N605" t="n">
        <v>0</v>
      </c>
      <c r="O605" t="n">
        <v>0</v>
      </c>
      <c r="P605" t="n">
        <v>0</v>
      </c>
      <c r="Q605" t="n">
        <v>0</v>
      </c>
      <c r="R605" s="2" t="inlineStr"/>
    </row>
    <row r="606" ht="15" customHeight="1">
      <c r="A606" t="inlineStr">
        <is>
          <t>A 12800-2021</t>
        </is>
      </c>
      <c r="B606" s="1" t="n">
        <v>44270</v>
      </c>
      <c r="C606" s="1" t="n">
        <v>45750</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13149-2021</t>
        </is>
      </c>
      <c r="B607" s="1" t="n">
        <v>44272</v>
      </c>
      <c r="C607" s="1" t="n">
        <v>45750</v>
      </c>
      <c r="D607" t="inlineStr">
        <is>
          <t>VÄSTERNORRLANDS LÄN</t>
        </is>
      </c>
      <c r="E607" t="inlineStr">
        <is>
          <t>ÅNGE</t>
        </is>
      </c>
      <c r="G607" t="n">
        <v>3.4</v>
      </c>
      <c r="H607" t="n">
        <v>0</v>
      </c>
      <c r="I607" t="n">
        <v>0</v>
      </c>
      <c r="J607" t="n">
        <v>0</v>
      </c>
      <c r="K607" t="n">
        <v>0</v>
      </c>
      <c r="L607" t="n">
        <v>0</v>
      </c>
      <c r="M607" t="n">
        <v>0</v>
      </c>
      <c r="N607" t="n">
        <v>0</v>
      </c>
      <c r="O607" t="n">
        <v>0</v>
      </c>
      <c r="P607" t="n">
        <v>0</v>
      </c>
      <c r="Q607" t="n">
        <v>0</v>
      </c>
      <c r="R607" s="2" t="inlineStr"/>
    </row>
    <row r="608" ht="15" customHeight="1">
      <c r="A608" t="inlineStr">
        <is>
          <t>A 13501-2021</t>
        </is>
      </c>
      <c r="B608" s="1" t="n">
        <v>44273</v>
      </c>
      <c r="C608" s="1" t="n">
        <v>45750</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13510-2021</t>
        </is>
      </c>
      <c r="B609" s="1" t="n">
        <v>44273</v>
      </c>
      <c r="C609" s="1" t="n">
        <v>45750</v>
      </c>
      <c r="D609" t="inlineStr">
        <is>
          <t>VÄSTERNORRLANDS LÄN</t>
        </is>
      </c>
      <c r="E609" t="inlineStr">
        <is>
          <t>ÅNGE</t>
        </is>
      </c>
      <c r="G609" t="n">
        <v>0.4</v>
      </c>
      <c r="H609" t="n">
        <v>0</v>
      </c>
      <c r="I609" t="n">
        <v>0</v>
      </c>
      <c r="J609" t="n">
        <v>0</v>
      </c>
      <c r="K609" t="n">
        <v>0</v>
      </c>
      <c r="L609" t="n">
        <v>0</v>
      </c>
      <c r="M609" t="n">
        <v>0</v>
      </c>
      <c r="N609" t="n">
        <v>0</v>
      </c>
      <c r="O609" t="n">
        <v>0</v>
      </c>
      <c r="P609" t="n">
        <v>0</v>
      </c>
      <c r="Q609" t="n">
        <v>0</v>
      </c>
      <c r="R609" s="2" t="inlineStr"/>
    </row>
    <row r="610" ht="15" customHeight="1">
      <c r="A610" t="inlineStr">
        <is>
          <t>A 13522-2021</t>
        </is>
      </c>
      <c r="B610" s="1" t="n">
        <v>44273</v>
      </c>
      <c r="C610" s="1" t="n">
        <v>45750</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13479-2021</t>
        </is>
      </c>
      <c r="B611" s="1" t="n">
        <v>44273</v>
      </c>
      <c r="C611" s="1" t="n">
        <v>45750</v>
      </c>
      <c r="D611" t="inlineStr">
        <is>
          <t>VÄSTERNORRLANDS LÄN</t>
        </is>
      </c>
      <c r="E611" t="inlineStr">
        <is>
          <t>ÅNGE</t>
        </is>
      </c>
      <c r="G611" t="n">
        <v>0.1</v>
      </c>
      <c r="H611" t="n">
        <v>0</v>
      </c>
      <c r="I611" t="n">
        <v>0</v>
      </c>
      <c r="J611" t="n">
        <v>0</v>
      </c>
      <c r="K611" t="n">
        <v>0</v>
      </c>
      <c r="L611" t="n">
        <v>0</v>
      </c>
      <c r="M611" t="n">
        <v>0</v>
      </c>
      <c r="N611" t="n">
        <v>0</v>
      </c>
      <c r="O611" t="n">
        <v>0</v>
      </c>
      <c r="P611" t="n">
        <v>0</v>
      </c>
      <c r="Q611" t="n">
        <v>0</v>
      </c>
      <c r="R611" s="2" t="inlineStr"/>
    </row>
    <row r="612" ht="15" customHeight="1">
      <c r="A612" t="inlineStr">
        <is>
          <t>A 13792-2021</t>
        </is>
      </c>
      <c r="B612" s="1" t="n">
        <v>44274</v>
      </c>
      <c r="C612" s="1" t="n">
        <v>45750</v>
      </c>
      <c r="D612" t="inlineStr">
        <is>
          <t>VÄSTERNORRLANDS LÄN</t>
        </is>
      </c>
      <c r="E612" t="inlineStr">
        <is>
          <t>ÅNGE</t>
        </is>
      </c>
      <c r="G612" t="n">
        <v>0.7</v>
      </c>
      <c r="H612" t="n">
        <v>0</v>
      </c>
      <c r="I612" t="n">
        <v>0</v>
      </c>
      <c r="J612" t="n">
        <v>0</v>
      </c>
      <c r="K612" t="n">
        <v>0</v>
      </c>
      <c r="L612" t="n">
        <v>0</v>
      </c>
      <c r="M612" t="n">
        <v>0</v>
      </c>
      <c r="N612" t="n">
        <v>0</v>
      </c>
      <c r="O612" t="n">
        <v>0</v>
      </c>
      <c r="P612" t="n">
        <v>0</v>
      </c>
      <c r="Q612" t="n">
        <v>0</v>
      </c>
      <c r="R612" s="2" t="inlineStr"/>
    </row>
    <row r="613" ht="15" customHeight="1">
      <c r="A613" t="inlineStr">
        <is>
          <t>A 14587-2021</t>
        </is>
      </c>
      <c r="B613" s="1" t="n">
        <v>44279</v>
      </c>
      <c r="C613" s="1" t="n">
        <v>45750</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14812-2021</t>
        </is>
      </c>
      <c r="B614" s="1" t="n">
        <v>44280</v>
      </c>
      <c r="C614" s="1" t="n">
        <v>45750</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16389-2021</t>
        </is>
      </c>
      <c r="B615" s="1" t="n">
        <v>44293</v>
      </c>
      <c r="C615" s="1" t="n">
        <v>45750</v>
      </c>
      <c r="D615" t="inlineStr">
        <is>
          <t>VÄSTERNORRLANDS LÄN</t>
        </is>
      </c>
      <c r="E615" t="inlineStr">
        <is>
          <t>ÅNGE</t>
        </is>
      </c>
      <c r="G615" t="n">
        <v>16.9</v>
      </c>
      <c r="H615" t="n">
        <v>0</v>
      </c>
      <c r="I615" t="n">
        <v>0</v>
      </c>
      <c r="J615" t="n">
        <v>0</v>
      </c>
      <c r="K615" t="n">
        <v>0</v>
      </c>
      <c r="L615" t="n">
        <v>0</v>
      </c>
      <c r="M615" t="n">
        <v>0</v>
      </c>
      <c r="N615" t="n">
        <v>0</v>
      </c>
      <c r="O615" t="n">
        <v>0</v>
      </c>
      <c r="P615" t="n">
        <v>0</v>
      </c>
      <c r="Q615" t="n">
        <v>0</v>
      </c>
      <c r="R615" s="2" t="inlineStr"/>
    </row>
    <row r="616" ht="15" customHeight="1">
      <c r="A616" t="inlineStr">
        <is>
          <t>A 17594-2021</t>
        </is>
      </c>
      <c r="B616" s="1" t="n">
        <v>44299</v>
      </c>
      <c r="C616" s="1" t="n">
        <v>45750</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17844-2021</t>
        </is>
      </c>
      <c r="B617" s="1" t="n">
        <v>44301</v>
      </c>
      <c r="C617" s="1" t="n">
        <v>45750</v>
      </c>
      <c r="D617" t="inlineStr">
        <is>
          <t>VÄSTERNORRLANDS LÄN</t>
        </is>
      </c>
      <c r="E617" t="inlineStr">
        <is>
          <t>ÅNGE</t>
        </is>
      </c>
      <c r="G617" t="n">
        <v>3.3</v>
      </c>
      <c r="H617" t="n">
        <v>0</v>
      </c>
      <c r="I617" t="n">
        <v>0</v>
      </c>
      <c r="J617" t="n">
        <v>0</v>
      </c>
      <c r="K617" t="n">
        <v>0</v>
      </c>
      <c r="L617" t="n">
        <v>0</v>
      </c>
      <c r="M617" t="n">
        <v>0</v>
      </c>
      <c r="N617" t="n">
        <v>0</v>
      </c>
      <c r="O617" t="n">
        <v>0</v>
      </c>
      <c r="P617" t="n">
        <v>0</v>
      </c>
      <c r="Q617" t="n">
        <v>0</v>
      </c>
      <c r="R617" s="2" t="inlineStr"/>
    </row>
    <row r="618" ht="15" customHeight="1">
      <c r="A618" t="inlineStr">
        <is>
          <t>A 18368-2021</t>
        </is>
      </c>
      <c r="B618" s="1" t="n">
        <v>44305</v>
      </c>
      <c r="C618" s="1" t="n">
        <v>45750</v>
      </c>
      <c r="D618" t="inlineStr">
        <is>
          <t>VÄSTERNORRLANDS LÄN</t>
        </is>
      </c>
      <c r="E618" t="inlineStr">
        <is>
          <t>ÅNGE</t>
        </is>
      </c>
      <c r="G618" t="n">
        <v>7.8</v>
      </c>
      <c r="H618" t="n">
        <v>0</v>
      </c>
      <c r="I618" t="n">
        <v>0</v>
      </c>
      <c r="J618" t="n">
        <v>0</v>
      </c>
      <c r="K618" t="n">
        <v>0</v>
      </c>
      <c r="L618" t="n">
        <v>0</v>
      </c>
      <c r="M618" t="n">
        <v>0</v>
      </c>
      <c r="N618" t="n">
        <v>0</v>
      </c>
      <c r="O618" t="n">
        <v>0</v>
      </c>
      <c r="P618" t="n">
        <v>0</v>
      </c>
      <c r="Q618" t="n">
        <v>0</v>
      </c>
      <c r="R618" s="2" t="inlineStr"/>
    </row>
    <row r="619" ht="15" customHeight="1">
      <c r="A619" t="inlineStr">
        <is>
          <t>A 18379-2021</t>
        </is>
      </c>
      <c r="B619" s="1" t="n">
        <v>44305</v>
      </c>
      <c r="C619" s="1" t="n">
        <v>45750</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18422-2021</t>
        </is>
      </c>
      <c r="B620" s="1" t="n">
        <v>44305</v>
      </c>
      <c r="C620" s="1" t="n">
        <v>45750</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19102-2021</t>
        </is>
      </c>
      <c r="B621" s="1" t="n">
        <v>44308</v>
      </c>
      <c r="C621" s="1" t="n">
        <v>45750</v>
      </c>
      <c r="D621" t="inlineStr">
        <is>
          <t>VÄSTERNORRLANDS LÄN</t>
        </is>
      </c>
      <c r="E621" t="inlineStr">
        <is>
          <t>ÅNGE</t>
        </is>
      </c>
      <c r="G621" t="n">
        <v>3.3</v>
      </c>
      <c r="H621" t="n">
        <v>0</v>
      </c>
      <c r="I621" t="n">
        <v>0</v>
      </c>
      <c r="J621" t="n">
        <v>0</v>
      </c>
      <c r="K621" t="n">
        <v>0</v>
      </c>
      <c r="L621" t="n">
        <v>0</v>
      </c>
      <c r="M621" t="n">
        <v>0</v>
      </c>
      <c r="N621" t="n">
        <v>0</v>
      </c>
      <c r="O621" t="n">
        <v>0</v>
      </c>
      <c r="P621" t="n">
        <v>0</v>
      </c>
      <c r="Q621" t="n">
        <v>0</v>
      </c>
      <c r="R621" s="2" t="inlineStr"/>
    </row>
    <row r="622" ht="15" customHeight="1">
      <c r="A622" t="inlineStr">
        <is>
          <t>A 20354-2021</t>
        </is>
      </c>
      <c r="B622" s="1" t="n">
        <v>44312</v>
      </c>
      <c r="C622" s="1" t="n">
        <v>45750</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19970-2021</t>
        </is>
      </c>
      <c r="B623" s="1" t="n">
        <v>44313</v>
      </c>
      <c r="C623" s="1" t="n">
        <v>45750</v>
      </c>
      <c r="D623" t="inlineStr">
        <is>
          <t>VÄSTERNORRLANDS LÄN</t>
        </is>
      </c>
      <c r="E623" t="inlineStr">
        <is>
          <t>ÅNGE</t>
        </is>
      </c>
      <c r="F623" t="inlineStr">
        <is>
          <t>Holmen skog AB</t>
        </is>
      </c>
      <c r="G623" t="n">
        <v>0.4</v>
      </c>
      <c r="H623" t="n">
        <v>0</v>
      </c>
      <c r="I623" t="n">
        <v>0</v>
      </c>
      <c r="J623" t="n">
        <v>0</v>
      </c>
      <c r="K623" t="n">
        <v>0</v>
      </c>
      <c r="L623" t="n">
        <v>0</v>
      </c>
      <c r="M623" t="n">
        <v>0</v>
      </c>
      <c r="N623" t="n">
        <v>0</v>
      </c>
      <c r="O623" t="n">
        <v>0</v>
      </c>
      <c r="P623" t="n">
        <v>0</v>
      </c>
      <c r="Q623" t="n">
        <v>0</v>
      </c>
      <c r="R623" s="2" t="inlineStr"/>
    </row>
    <row r="624" ht="15" customHeight="1">
      <c r="A624" t="inlineStr">
        <is>
          <t>A 20576-2021</t>
        </is>
      </c>
      <c r="B624" s="1" t="n">
        <v>44316</v>
      </c>
      <c r="C624" s="1" t="n">
        <v>45750</v>
      </c>
      <c r="D624" t="inlineStr">
        <is>
          <t>VÄSTERNORRLANDS LÄN</t>
        </is>
      </c>
      <c r="E624" t="inlineStr">
        <is>
          <t>ÅNGE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20807-2021</t>
        </is>
      </c>
      <c r="B625" s="1" t="n">
        <v>44317</v>
      </c>
      <c r="C625" s="1" t="n">
        <v>45750</v>
      </c>
      <c r="D625" t="inlineStr">
        <is>
          <t>VÄSTERNORRLANDS LÄN</t>
        </is>
      </c>
      <c r="E625" t="inlineStr">
        <is>
          <t>ÅNGE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21189-2021</t>
        </is>
      </c>
      <c r="B626" s="1" t="n">
        <v>44320</v>
      </c>
      <c r="C626" s="1" t="n">
        <v>45750</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21642-2021</t>
        </is>
      </c>
      <c r="B627" s="1" t="n">
        <v>44322</v>
      </c>
      <c r="C627" s="1" t="n">
        <v>45750</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21625-2021</t>
        </is>
      </c>
      <c r="B628" s="1" t="n">
        <v>44322</v>
      </c>
      <c r="C628" s="1" t="n">
        <v>45750</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21960-2021</t>
        </is>
      </c>
      <c r="B629" s="1" t="n">
        <v>44323</v>
      </c>
      <c r="C629" s="1" t="n">
        <v>45750</v>
      </c>
      <c r="D629" t="inlineStr">
        <is>
          <t>VÄSTERNORRLANDS LÄN</t>
        </is>
      </c>
      <c r="E629" t="inlineStr">
        <is>
          <t>ÅNGE</t>
        </is>
      </c>
      <c r="F629" t="inlineStr">
        <is>
          <t>Holmen skog AB</t>
        </is>
      </c>
      <c r="G629" t="n">
        <v>6.8</v>
      </c>
      <c r="H629" t="n">
        <v>0</v>
      </c>
      <c r="I629" t="n">
        <v>0</v>
      </c>
      <c r="J629" t="n">
        <v>0</v>
      </c>
      <c r="K629" t="n">
        <v>0</v>
      </c>
      <c r="L629" t="n">
        <v>0</v>
      </c>
      <c r="M629" t="n">
        <v>0</v>
      </c>
      <c r="N629" t="n">
        <v>0</v>
      </c>
      <c r="O629" t="n">
        <v>0</v>
      </c>
      <c r="P629" t="n">
        <v>0</v>
      </c>
      <c r="Q629" t="n">
        <v>0</v>
      </c>
      <c r="R629" s="2" t="inlineStr"/>
    </row>
    <row r="630" ht="15" customHeight="1">
      <c r="A630" t="inlineStr">
        <is>
          <t>A 22237-2021</t>
        </is>
      </c>
      <c r="B630" s="1" t="n">
        <v>44326</v>
      </c>
      <c r="C630" s="1" t="n">
        <v>45750</v>
      </c>
      <c r="D630" t="inlineStr">
        <is>
          <t>VÄSTERNORRLANDS LÄN</t>
        </is>
      </c>
      <c r="E630" t="inlineStr">
        <is>
          <t>ÅNGE</t>
        </is>
      </c>
      <c r="G630" t="n">
        <v>3.7</v>
      </c>
      <c r="H630" t="n">
        <v>0</v>
      </c>
      <c r="I630" t="n">
        <v>0</v>
      </c>
      <c r="J630" t="n">
        <v>0</v>
      </c>
      <c r="K630" t="n">
        <v>0</v>
      </c>
      <c r="L630" t="n">
        <v>0</v>
      </c>
      <c r="M630" t="n">
        <v>0</v>
      </c>
      <c r="N630" t="n">
        <v>0</v>
      </c>
      <c r="O630" t="n">
        <v>0</v>
      </c>
      <c r="P630" t="n">
        <v>0</v>
      </c>
      <c r="Q630" t="n">
        <v>0</v>
      </c>
      <c r="R630" s="2" t="inlineStr"/>
    </row>
    <row r="631" ht="15" customHeight="1">
      <c r="A631" t="inlineStr">
        <is>
          <t>A 22597-2021</t>
        </is>
      </c>
      <c r="B631" s="1" t="n">
        <v>44326</v>
      </c>
      <c r="C631" s="1" t="n">
        <v>45750</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23018-2021</t>
        </is>
      </c>
      <c r="B632" s="1" t="n">
        <v>44328</v>
      </c>
      <c r="C632" s="1" t="n">
        <v>45750</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23017-2021</t>
        </is>
      </c>
      <c r="B633" s="1" t="n">
        <v>44329</v>
      </c>
      <c r="C633" s="1" t="n">
        <v>45750</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23016-2021</t>
        </is>
      </c>
      <c r="B634" s="1" t="n">
        <v>44329</v>
      </c>
      <c r="C634" s="1" t="n">
        <v>45750</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24233-2021</t>
        </is>
      </c>
      <c r="B635" s="1" t="n">
        <v>44336</v>
      </c>
      <c r="C635" s="1" t="n">
        <v>45750</v>
      </c>
      <c r="D635" t="inlineStr">
        <is>
          <t>VÄSTERNORRLANDS LÄN</t>
        </is>
      </c>
      <c r="E635" t="inlineStr">
        <is>
          <t>ÅNGE</t>
        </is>
      </c>
      <c r="G635" t="n">
        <v>3.2</v>
      </c>
      <c r="H635" t="n">
        <v>0</v>
      </c>
      <c r="I635" t="n">
        <v>0</v>
      </c>
      <c r="J635" t="n">
        <v>0</v>
      </c>
      <c r="K635" t="n">
        <v>0</v>
      </c>
      <c r="L635" t="n">
        <v>0</v>
      </c>
      <c r="M635" t="n">
        <v>0</v>
      </c>
      <c r="N635" t="n">
        <v>0</v>
      </c>
      <c r="O635" t="n">
        <v>0</v>
      </c>
      <c r="P635" t="n">
        <v>0</v>
      </c>
      <c r="Q635" t="n">
        <v>0</v>
      </c>
      <c r="R635" s="2" t="inlineStr"/>
    </row>
    <row r="636" ht="15" customHeight="1">
      <c r="A636" t="inlineStr">
        <is>
          <t>A 24819-2021</t>
        </is>
      </c>
      <c r="B636" s="1" t="n">
        <v>44340</v>
      </c>
      <c r="C636" s="1" t="n">
        <v>45750</v>
      </c>
      <c r="D636" t="inlineStr">
        <is>
          <t>VÄSTERNORRLANDS LÄN</t>
        </is>
      </c>
      <c r="E636" t="inlineStr">
        <is>
          <t>ÅNGE</t>
        </is>
      </c>
      <c r="G636" t="n">
        <v>1.5</v>
      </c>
      <c r="H636" t="n">
        <v>0</v>
      </c>
      <c r="I636" t="n">
        <v>0</v>
      </c>
      <c r="J636" t="n">
        <v>0</v>
      </c>
      <c r="K636" t="n">
        <v>0</v>
      </c>
      <c r="L636" t="n">
        <v>0</v>
      </c>
      <c r="M636" t="n">
        <v>0</v>
      </c>
      <c r="N636" t="n">
        <v>0</v>
      </c>
      <c r="O636" t="n">
        <v>0</v>
      </c>
      <c r="P636" t="n">
        <v>0</v>
      </c>
      <c r="Q636" t="n">
        <v>0</v>
      </c>
      <c r="R636" s="2" t="inlineStr"/>
    </row>
    <row r="637" ht="15" customHeight="1">
      <c r="A637" t="inlineStr">
        <is>
          <t>A 24831-2021</t>
        </is>
      </c>
      <c r="B637" s="1" t="n">
        <v>44340</v>
      </c>
      <c r="C637" s="1" t="n">
        <v>45750</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25020-2021</t>
        </is>
      </c>
      <c r="B638" s="1" t="n">
        <v>44341</v>
      </c>
      <c r="C638" s="1" t="n">
        <v>45750</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24953-2021</t>
        </is>
      </c>
      <c r="B639" s="1" t="n">
        <v>44341</v>
      </c>
      <c r="C639" s="1" t="n">
        <v>45750</v>
      </c>
      <c r="D639" t="inlineStr">
        <is>
          <t>VÄSTERNORRLANDS LÄN</t>
        </is>
      </c>
      <c r="E639" t="inlineStr">
        <is>
          <t>ÅNGE</t>
        </is>
      </c>
      <c r="G639" t="n">
        <v>6.1</v>
      </c>
      <c r="H639" t="n">
        <v>0</v>
      </c>
      <c r="I639" t="n">
        <v>0</v>
      </c>
      <c r="J639" t="n">
        <v>0</v>
      </c>
      <c r="K639" t="n">
        <v>0</v>
      </c>
      <c r="L639" t="n">
        <v>0</v>
      </c>
      <c r="M639" t="n">
        <v>0</v>
      </c>
      <c r="N639" t="n">
        <v>0</v>
      </c>
      <c r="O639" t="n">
        <v>0</v>
      </c>
      <c r="P639" t="n">
        <v>0</v>
      </c>
      <c r="Q639" t="n">
        <v>0</v>
      </c>
      <c r="R639" s="2" t="inlineStr"/>
    </row>
    <row r="640" ht="15" customHeight="1">
      <c r="A640" t="inlineStr">
        <is>
          <t>A 24977-2021</t>
        </is>
      </c>
      <c r="B640" s="1" t="n">
        <v>44341</v>
      </c>
      <c r="C640" s="1" t="n">
        <v>45750</v>
      </c>
      <c r="D640" t="inlineStr">
        <is>
          <t>VÄSTERNORRLANDS LÄN</t>
        </is>
      </c>
      <c r="E640" t="inlineStr">
        <is>
          <t>ÅNGE</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26088-2021</t>
        </is>
      </c>
      <c r="B641" s="1" t="n">
        <v>44345</v>
      </c>
      <c r="C641" s="1" t="n">
        <v>45750</v>
      </c>
      <c r="D641" t="inlineStr">
        <is>
          <t>VÄSTERNORRLANDS LÄN</t>
        </is>
      </c>
      <c r="E641" t="inlineStr">
        <is>
          <t>ÅNGE</t>
        </is>
      </c>
      <c r="G641" t="n">
        <v>1.8</v>
      </c>
      <c r="H641" t="n">
        <v>0</v>
      </c>
      <c r="I641" t="n">
        <v>0</v>
      </c>
      <c r="J641" t="n">
        <v>0</v>
      </c>
      <c r="K641" t="n">
        <v>0</v>
      </c>
      <c r="L641" t="n">
        <v>0</v>
      </c>
      <c r="M641" t="n">
        <v>0</v>
      </c>
      <c r="N641" t="n">
        <v>0</v>
      </c>
      <c r="O641" t="n">
        <v>0</v>
      </c>
      <c r="P641" t="n">
        <v>0</v>
      </c>
      <c r="Q641" t="n">
        <v>0</v>
      </c>
      <c r="R641" s="2" t="inlineStr"/>
    </row>
    <row r="642" ht="15" customHeight="1">
      <c r="A642" t="inlineStr">
        <is>
          <t>A 26193-2021</t>
        </is>
      </c>
      <c r="B642" s="1" t="n">
        <v>44347</v>
      </c>
      <c r="C642" s="1" t="n">
        <v>45750</v>
      </c>
      <c r="D642" t="inlineStr">
        <is>
          <t>VÄSTERNORRLANDS LÄN</t>
        </is>
      </c>
      <c r="E642" t="inlineStr">
        <is>
          <t>ÅNGE</t>
        </is>
      </c>
      <c r="G642" t="n">
        <v>1.2</v>
      </c>
      <c r="H642" t="n">
        <v>0</v>
      </c>
      <c r="I642" t="n">
        <v>0</v>
      </c>
      <c r="J642" t="n">
        <v>0</v>
      </c>
      <c r="K642" t="n">
        <v>0</v>
      </c>
      <c r="L642" t="n">
        <v>0</v>
      </c>
      <c r="M642" t="n">
        <v>0</v>
      </c>
      <c r="N642" t="n">
        <v>0</v>
      </c>
      <c r="O642" t="n">
        <v>0</v>
      </c>
      <c r="P642" t="n">
        <v>0</v>
      </c>
      <c r="Q642" t="n">
        <v>0</v>
      </c>
      <c r="R642" s="2" t="inlineStr"/>
    </row>
    <row r="643" ht="15" customHeight="1">
      <c r="A643" t="inlineStr">
        <is>
          <t>A 26966-2021</t>
        </is>
      </c>
      <c r="B643" s="1" t="n">
        <v>44350</v>
      </c>
      <c r="C643" s="1" t="n">
        <v>45750</v>
      </c>
      <c r="D643" t="inlineStr">
        <is>
          <t>VÄSTERNORRLANDS LÄN</t>
        </is>
      </c>
      <c r="E643" t="inlineStr">
        <is>
          <t>ÅNGE</t>
        </is>
      </c>
      <c r="F643" t="inlineStr">
        <is>
          <t>SCA</t>
        </is>
      </c>
      <c r="G643" t="n">
        <v>5</v>
      </c>
      <c r="H643" t="n">
        <v>0</v>
      </c>
      <c r="I643" t="n">
        <v>0</v>
      </c>
      <c r="J643" t="n">
        <v>0</v>
      </c>
      <c r="K643" t="n">
        <v>0</v>
      </c>
      <c r="L643" t="n">
        <v>0</v>
      </c>
      <c r="M643" t="n">
        <v>0</v>
      </c>
      <c r="N643" t="n">
        <v>0</v>
      </c>
      <c r="O643" t="n">
        <v>0</v>
      </c>
      <c r="P643" t="n">
        <v>0</v>
      </c>
      <c r="Q643" t="n">
        <v>0</v>
      </c>
      <c r="R643" s="2" t="inlineStr"/>
    </row>
    <row r="644" ht="15" customHeight="1">
      <c r="A644" t="inlineStr">
        <is>
          <t>A 26969-2021</t>
        </is>
      </c>
      <c r="B644" s="1" t="n">
        <v>44350</v>
      </c>
      <c r="C644" s="1" t="n">
        <v>45750</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27951-2021</t>
        </is>
      </c>
      <c r="B645" s="1" t="n">
        <v>44354</v>
      </c>
      <c r="C645" s="1" t="n">
        <v>45750</v>
      </c>
      <c r="D645" t="inlineStr">
        <is>
          <t>VÄSTERNORRLANDS LÄN</t>
        </is>
      </c>
      <c r="E645" t="inlineStr">
        <is>
          <t>ÅNGE</t>
        </is>
      </c>
      <c r="G645" t="n">
        <v>3</v>
      </c>
      <c r="H645" t="n">
        <v>0</v>
      </c>
      <c r="I645" t="n">
        <v>0</v>
      </c>
      <c r="J645" t="n">
        <v>0</v>
      </c>
      <c r="K645" t="n">
        <v>0</v>
      </c>
      <c r="L645" t="n">
        <v>0</v>
      </c>
      <c r="M645" t="n">
        <v>0</v>
      </c>
      <c r="N645" t="n">
        <v>0</v>
      </c>
      <c r="O645" t="n">
        <v>0</v>
      </c>
      <c r="P645" t="n">
        <v>0</v>
      </c>
      <c r="Q645" t="n">
        <v>0</v>
      </c>
      <c r="R645" s="2" t="inlineStr"/>
    </row>
    <row r="646" ht="15" customHeight="1">
      <c r="A646" t="inlineStr">
        <is>
          <t>A 27953-2021</t>
        </is>
      </c>
      <c r="B646" s="1" t="n">
        <v>44355</v>
      </c>
      <c r="C646" s="1" t="n">
        <v>45750</v>
      </c>
      <c r="D646" t="inlineStr">
        <is>
          <t>VÄSTERNORRLANDS LÄN</t>
        </is>
      </c>
      <c r="E646" t="inlineStr">
        <is>
          <t>ÅNGE</t>
        </is>
      </c>
      <c r="G646" t="n">
        <v>2.9</v>
      </c>
      <c r="H646" t="n">
        <v>0</v>
      </c>
      <c r="I646" t="n">
        <v>0</v>
      </c>
      <c r="J646" t="n">
        <v>0</v>
      </c>
      <c r="K646" t="n">
        <v>0</v>
      </c>
      <c r="L646" t="n">
        <v>0</v>
      </c>
      <c r="M646" t="n">
        <v>0</v>
      </c>
      <c r="N646" t="n">
        <v>0</v>
      </c>
      <c r="O646" t="n">
        <v>0</v>
      </c>
      <c r="P646" t="n">
        <v>0</v>
      </c>
      <c r="Q646" t="n">
        <v>0</v>
      </c>
      <c r="R646" s="2" t="inlineStr"/>
    </row>
    <row r="647" ht="15" customHeight="1">
      <c r="A647" t="inlineStr">
        <is>
          <t>A 27957-2021</t>
        </is>
      </c>
      <c r="B647" s="1" t="n">
        <v>44354</v>
      </c>
      <c r="C647" s="1" t="n">
        <v>45750</v>
      </c>
      <c r="D647" t="inlineStr">
        <is>
          <t>VÄSTERNORRLANDS LÄN</t>
        </is>
      </c>
      <c r="E647" t="inlineStr">
        <is>
          <t>ÅNGE</t>
        </is>
      </c>
      <c r="G647" t="n">
        <v>13.5</v>
      </c>
      <c r="H647" t="n">
        <v>0</v>
      </c>
      <c r="I647" t="n">
        <v>0</v>
      </c>
      <c r="J647" t="n">
        <v>0</v>
      </c>
      <c r="K647" t="n">
        <v>0</v>
      </c>
      <c r="L647" t="n">
        <v>0</v>
      </c>
      <c r="M647" t="n">
        <v>0</v>
      </c>
      <c r="N647" t="n">
        <v>0</v>
      </c>
      <c r="O647" t="n">
        <v>0</v>
      </c>
      <c r="P647" t="n">
        <v>0</v>
      </c>
      <c r="Q647" t="n">
        <v>0</v>
      </c>
      <c r="R647" s="2" t="inlineStr"/>
    </row>
    <row r="648" ht="15" customHeight="1">
      <c r="A648" t="inlineStr">
        <is>
          <t>A 29048-2021</t>
        </is>
      </c>
      <c r="B648" s="1" t="n">
        <v>44358</v>
      </c>
      <c r="C648" s="1" t="n">
        <v>45750</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29180-2021</t>
        </is>
      </c>
      <c r="B649" s="1" t="n">
        <v>44358</v>
      </c>
      <c r="C649" s="1" t="n">
        <v>45750</v>
      </c>
      <c r="D649" t="inlineStr">
        <is>
          <t>VÄSTERNORRLANDS LÄN</t>
        </is>
      </c>
      <c r="E649" t="inlineStr">
        <is>
          <t>ÅNGE</t>
        </is>
      </c>
      <c r="G649" t="n">
        <v>5.3</v>
      </c>
      <c r="H649" t="n">
        <v>0</v>
      </c>
      <c r="I649" t="n">
        <v>0</v>
      </c>
      <c r="J649" t="n">
        <v>0</v>
      </c>
      <c r="K649" t="n">
        <v>0</v>
      </c>
      <c r="L649" t="n">
        <v>0</v>
      </c>
      <c r="M649" t="n">
        <v>0</v>
      </c>
      <c r="N649" t="n">
        <v>0</v>
      </c>
      <c r="O649" t="n">
        <v>0</v>
      </c>
      <c r="P649" t="n">
        <v>0</v>
      </c>
      <c r="Q649" t="n">
        <v>0</v>
      </c>
      <c r="R649" s="2" t="inlineStr"/>
    </row>
    <row r="650" ht="15" customHeight="1">
      <c r="A650" t="inlineStr">
        <is>
          <t>A 29187-2021</t>
        </is>
      </c>
      <c r="B650" s="1" t="n">
        <v>44358</v>
      </c>
      <c r="C650" s="1" t="n">
        <v>45750</v>
      </c>
      <c r="D650" t="inlineStr">
        <is>
          <t>VÄSTERNORRLANDS LÄN</t>
        </is>
      </c>
      <c r="E650" t="inlineStr">
        <is>
          <t>ÅNGE</t>
        </is>
      </c>
      <c r="G650" t="n">
        <v>0.3</v>
      </c>
      <c r="H650" t="n">
        <v>0</v>
      </c>
      <c r="I650" t="n">
        <v>0</v>
      </c>
      <c r="J650" t="n">
        <v>0</v>
      </c>
      <c r="K650" t="n">
        <v>0</v>
      </c>
      <c r="L650" t="n">
        <v>0</v>
      </c>
      <c r="M650" t="n">
        <v>0</v>
      </c>
      <c r="N650" t="n">
        <v>0</v>
      </c>
      <c r="O650" t="n">
        <v>0</v>
      </c>
      <c r="P650" t="n">
        <v>0</v>
      </c>
      <c r="Q650" t="n">
        <v>0</v>
      </c>
      <c r="R650" s="2" t="inlineStr"/>
    </row>
    <row r="651" ht="15" customHeight="1">
      <c r="A651" t="inlineStr">
        <is>
          <t>A 29191-2021</t>
        </is>
      </c>
      <c r="B651" s="1" t="n">
        <v>44358</v>
      </c>
      <c r="C651" s="1" t="n">
        <v>45750</v>
      </c>
      <c r="D651" t="inlineStr">
        <is>
          <t>VÄSTERNORRLANDS LÄN</t>
        </is>
      </c>
      <c r="E651" t="inlineStr">
        <is>
          <t>ÅNGE</t>
        </is>
      </c>
      <c r="G651" t="n">
        <v>1.7</v>
      </c>
      <c r="H651" t="n">
        <v>0</v>
      </c>
      <c r="I651" t="n">
        <v>0</v>
      </c>
      <c r="J651" t="n">
        <v>0</v>
      </c>
      <c r="K651" t="n">
        <v>0</v>
      </c>
      <c r="L651" t="n">
        <v>0</v>
      </c>
      <c r="M651" t="n">
        <v>0</v>
      </c>
      <c r="N651" t="n">
        <v>0</v>
      </c>
      <c r="O651" t="n">
        <v>0</v>
      </c>
      <c r="P651" t="n">
        <v>0</v>
      </c>
      <c r="Q651" t="n">
        <v>0</v>
      </c>
      <c r="R651" s="2" t="inlineStr"/>
    </row>
    <row r="652" ht="15" customHeight="1">
      <c r="A652" t="inlineStr">
        <is>
          <t>A 29390-2021</t>
        </is>
      </c>
      <c r="B652" s="1" t="n">
        <v>44361</v>
      </c>
      <c r="C652" s="1" t="n">
        <v>45750</v>
      </c>
      <c r="D652" t="inlineStr">
        <is>
          <t>VÄSTERNORRLANDS LÄN</t>
        </is>
      </c>
      <c r="E652" t="inlineStr">
        <is>
          <t>ÅNGE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29509-2021</t>
        </is>
      </c>
      <c r="B653" s="1" t="n">
        <v>44361</v>
      </c>
      <c r="C653" s="1" t="n">
        <v>45750</v>
      </c>
      <c r="D653" t="inlineStr">
        <is>
          <t>VÄSTERNORRLANDS LÄN</t>
        </is>
      </c>
      <c r="E653" t="inlineStr">
        <is>
          <t>ÅNGE</t>
        </is>
      </c>
      <c r="G653" t="n">
        <v>3.6</v>
      </c>
      <c r="H653" t="n">
        <v>0</v>
      </c>
      <c r="I653" t="n">
        <v>0</v>
      </c>
      <c r="J653" t="n">
        <v>0</v>
      </c>
      <c r="K653" t="n">
        <v>0</v>
      </c>
      <c r="L653" t="n">
        <v>0</v>
      </c>
      <c r="M653" t="n">
        <v>0</v>
      </c>
      <c r="N653" t="n">
        <v>0</v>
      </c>
      <c r="O653" t="n">
        <v>0</v>
      </c>
      <c r="P653" t="n">
        <v>0</v>
      </c>
      <c r="Q653" t="n">
        <v>0</v>
      </c>
      <c r="R653" s="2" t="inlineStr"/>
    </row>
    <row r="654" ht="15" customHeight="1">
      <c r="A654" t="inlineStr">
        <is>
          <t>A 30286-2021</t>
        </is>
      </c>
      <c r="B654" s="1" t="n">
        <v>44363</v>
      </c>
      <c r="C654" s="1" t="n">
        <v>45750</v>
      </c>
      <c r="D654" t="inlineStr">
        <is>
          <t>VÄSTERNORRLANDS LÄN</t>
        </is>
      </c>
      <c r="E654" t="inlineStr">
        <is>
          <t>ÅNGE</t>
        </is>
      </c>
      <c r="G654" t="n">
        <v>1.2</v>
      </c>
      <c r="H654" t="n">
        <v>0</v>
      </c>
      <c r="I654" t="n">
        <v>0</v>
      </c>
      <c r="J654" t="n">
        <v>0</v>
      </c>
      <c r="K654" t="n">
        <v>0</v>
      </c>
      <c r="L654" t="n">
        <v>0</v>
      </c>
      <c r="M654" t="n">
        <v>0</v>
      </c>
      <c r="N654" t="n">
        <v>0</v>
      </c>
      <c r="O654" t="n">
        <v>0</v>
      </c>
      <c r="P654" t="n">
        <v>0</v>
      </c>
      <c r="Q654" t="n">
        <v>0</v>
      </c>
      <c r="R654" s="2" t="inlineStr"/>
    </row>
    <row r="655" ht="15" customHeight="1">
      <c r="A655" t="inlineStr">
        <is>
          <t>A 30339-2021</t>
        </is>
      </c>
      <c r="B655" s="1" t="n">
        <v>44364</v>
      </c>
      <c r="C655" s="1" t="n">
        <v>45750</v>
      </c>
      <c r="D655" t="inlineStr">
        <is>
          <t>VÄSTERNORRLANDS LÄN</t>
        </is>
      </c>
      <c r="E655" t="inlineStr">
        <is>
          <t>ÅNGE</t>
        </is>
      </c>
      <c r="G655" t="n">
        <v>23.8</v>
      </c>
      <c r="H655" t="n">
        <v>0</v>
      </c>
      <c r="I655" t="n">
        <v>0</v>
      </c>
      <c r="J655" t="n">
        <v>0</v>
      </c>
      <c r="K655" t="n">
        <v>0</v>
      </c>
      <c r="L655" t="n">
        <v>0</v>
      </c>
      <c r="M655" t="n">
        <v>0</v>
      </c>
      <c r="N655" t="n">
        <v>0</v>
      </c>
      <c r="O655" t="n">
        <v>0</v>
      </c>
      <c r="P655" t="n">
        <v>0</v>
      </c>
      <c r="Q655" t="n">
        <v>0</v>
      </c>
      <c r="R655" s="2" t="inlineStr"/>
    </row>
    <row r="656" ht="15" customHeight="1">
      <c r="A656" t="inlineStr">
        <is>
          <t>A 30345-2021</t>
        </is>
      </c>
      <c r="B656" s="1" t="n">
        <v>44364</v>
      </c>
      <c r="C656" s="1" t="n">
        <v>45750</v>
      </c>
      <c r="D656" t="inlineStr">
        <is>
          <t>VÄSTERNORRLANDS LÄN</t>
        </is>
      </c>
      <c r="E656" t="inlineStr">
        <is>
          <t>ÅNGE</t>
        </is>
      </c>
      <c r="G656" t="n">
        <v>7.7</v>
      </c>
      <c r="H656" t="n">
        <v>0</v>
      </c>
      <c r="I656" t="n">
        <v>0</v>
      </c>
      <c r="J656" t="n">
        <v>0</v>
      </c>
      <c r="K656" t="n">
        <v>0</v>
      </c>
      <c r="L656" t="n">
        <v>0</v>
      </c>
      <c r="M656" t="n">
        <v>0</v>
      </c>
      <c r="N656" t="n">
        <v>0</v>
      </c>
      <c r="O656" t="n">
        <v>0</v>
      </c>
      <c r="P656" t="n">
        <v>0</v>
      </c>
      <c r="Q656" t="n">
        <v>0</v>
      </c>
      <c r="R656" s="2" t="inlineStr"/>
    </row>
    <row r="657" ht="15" customHeight="1">
      <c r="A657" t="inlineStr">
        <is>
          <t>A 30365-2021</t>
        </is>
      </c>
      <c r="B657" s="1" t="n">
        <v>44364</v>
      </c>
      <c r="C657" s="1" t="n">
        <v>45750</v>
      </c>
      <c r="D657" t="inlineStr">
        <is>
          <t>VÄSTERNORRLANDS LÄN</t>
        </is>
      </c>
      <c r="E657" t="inlineStr">
        <is>
          <t>ÅNGE</t>
        </is>
      </c>
      <c r="G657" t="n">
        <v>3.9</v>
      </c>
      <c r="H657" t="n">
        <v>0</v>
      </c>
      <c r="I657" t="n">
        <v>0</v>
      </c>
      <c r="J657" t="n">
        <v>0</v>
      </c>
      <c r="K657" t="n">
        <v>0</v>
      </c>
      <c r="L657" t="n">
        <v>0</v>
      </c>
      <c r="M657" t="n">
        <v>0</v>
      </c>
      <c r="N657" t="n">
        <v>0</v>
      </c>
      <c r="O657" t="n">
        <v>0</v>
      </c>
      <c r="P657" t="n">
        <v>0</v>
      </c>
      <c r="Q657" t="n">
        <v>0</v>
      </c>
      <c r="R657" s="2" t="inlineStr"/>
    </row>
    <row r="658" ht="15" customHeight="1">
      <c r="A658" t="inlineStr">
        <is>
          <t>A 31191-2021</t>
        </is>
      </c>
      <c r="B658" s="1" t="n">
        <v>44368</v>
      </c>
      <c r="C658" s="1" t="n">
        <v>45750</v>
      </c>
      <c r="D658" t="inlineStr">
        <is>
          <t>VÄSTERNORRLANDS LÄN</t>
        </is>
      </c>
      <c r="E658" t="inlineStr">
        <is>
          <t>ÅNGE</t>
        </is>
      </c>
      <c r="F658" t="inlineStr">
        <is>
          <t>Sveaskog</t>
        </is>
      </c>
      <c r="G658" t="n">
        <v>21.6</v>
      </c>
      <c r="H658" t="n">
        <v>0</v>
      </c>
      <c r="I658" t="n">
        <v>0</v>
      </c>
      <c r="J658" t="n">
        <v>0</v>
      </c>
      <c r="K658" t="n">
        <v>0</v>
      </c>
      <c r="L658" t="n">
        <v>0</v>
      </c>
      <c r="M658" t="n">
        <v>0</v>
      </c>
      <c r="N658" t="n">
        <v>0</v>
      </c>
      <c r="O658" t="n">
        <v>0</v>
      </c>
      <c r="P658" t="n">
        <v>0</v>
      </c>
      <c r="Q658" t="n">
        <v>0</v>
      </c>
      <c r="R658" s="2" t="inlineStr"/>
    </row>
    <row r="659" ht="15" customHeight="1">
      <c r="A659" t="inlineStr">
        <is>
          <t>A 31668-2021</t>
        </is>
      </c>
      <c r="B659" s="1" t="n">
        <v>44369</v>
      </c>
      <c r="C659" s="1" t="n">
        <v>45750</v>
      </c>
      <c r="D659" t="inlineStr">
        <is>
          <t>VÄSTERNORRLANDS LÄN</t>
        </is>
      </c>
      <c r="E659" t="inlineStr">
        <is>
          <t>ÅNGE</t>
        </is>
      </c>
      <c r="F659" t="inlineStr">
        <is>
          <t>Kyrkan</t>
        </is>
      </c>
      <c r="G659" t="n">
        <v>3.6</v>
      </c>
      <c r="H659" t="n">
        <v>0</v>
      </c>
      <c r="I659" t="n">
        <v>0</v>
      </c>
      <c r="J659" t="n">
        <v>0</v>
      </c>
      <c r="K659" t="n">
        <v>0</v>
      </c>
      <c r="L659" t="n">
        <v>0</v>
      </c>
      <c r="M659" t="n">
        <v>0</v>
      </c>
      <c r="N659" t="n">
        <v>0</v>
      </c>
      <c r="O659" t="n">
        <v>0</v>
      </c>
      <c r="P659" t="n">
        <v>0</v>
      </c>
      <c r="Q659" t="n">
        <v>0</v>
      </c>
      <c r="R659" s="2" t="inlineStr"/>
    </row>
    <row r="660" ht="15" customHeight="1">
      <c r="A660" t="inlineStr">
        <is>
          <t>A 32328-2021</t>
        </is>
      </c>
      <c r="B660" s="1" t="n">
        <v>44371</v>
      </c>
      <c r="C660" s="1" t="n">
        <v>45750</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33408-2021</t>
        </is>
      </c>
      <c r="B661" s="1" t="n">
        <v>44377</v>
      </c>
      <c r="C661" s="1" t="n">
        <v>45750</v>
      </c>
      <c r="D661" t="inlineStr">
        <is>
          <t>VÄSTERNORRLANDS LÄN</t>
        </is>
      </c>
      <c r="E661" t="inlineStr">
        <is>
          <t>ÅNGE</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34315-2021</t>
        </is>
      </c>
      <c r="B662" s="1" t="n">
        <v>44379</v>
      </c>
      <c r="C662" s="1" t="n">
        <v>45750</v>
      </c>
      <c r="D662" t="inlineStr">
        <is>
          <t>VÄSTERNORRLANDS LÄN</t>
        </is>
      </c>
      <c r="E662" t="inlineStr">
        <is>
          <t>ÅNGE</t>
        </is>
      </c>
      <c r="G662" t="n">
        <v>16.4</v>
      </c>
      <c r="H662" t="n">
        <v>0</v>
      </c>
      <c r="I662" t="n">
        <v>0</v>
      </c>
      <c r="J662" t="n">
        <v>0</v>
      </c>
      <c r="K662" t="n">
        <v>0</v>
      </c>
      <c r="L662" t="n">
        <v>0</v>
      </c>
      <c r="M662" t="n">
        <v>0</v>
      </c>
      <c r="N662" t="n">
        <v>0</v>
      </c>
      <c r="O662" t="n">
        <v>0</v>
      </c>
      <c r="P662" t="n">
        <v>0</v>
      </c>
      <c r="Q662" t="n">
        <v>0</v>
      </c>
      <c r="R662" s="2" t="inlineStr"/>
    </row>
    <row r="663" ht="15" customHeight="1">
      <c r="A663" t="inlineStr">
        <is>
          <t>A 34320-2021</t>
        </is>
      </c>
      <c r="B663" s="1" t="n">
        <v>44379</v>
      </c>
      <c r="C663" s="1" t="n">
        <v>45750</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34783-2021</t>
        </is>
      </c>
      <c r="B664" s="1" t="n">
        <v>44382</v>
      </c>
      <c r="C664" s="1" t="n">
        <v>45750</v>
      </c>
      <c r="D664" t="inlineStr">
        <is>
          <t>VÄSTERNORRLANDS LÄN</t>
        </is>
      </c>
      <c r="E664" t="inlineStr">
        <is>
          <t>ÅNGE</t>
        </is>
      </c>
      <c r="F664" t="inlineStr">
        <is>
          <t>SCA</t>
        </is>
      </c>
      <c r="G664" t="n">
        <v>8.5</v>
      </c>
      <c r="H664" t="n">
        <v>0</v>
      </c>
      <c r="I664" t="n">
        <v>0</v>
      </c>
      <c r="J664" t="n">
        <v>0</v>
      </c>
      <c r="K664" t="n">
        <v>0</v>
      </c>
      <c r="L664" t="n">
        <v>0</v>
      </c>
      <c r="M664" t="n">
        <v>0</v>
      </c>
      <c r="N664" t="n">
        <v>0</v>
      </c>
      <c r="O664" t="n">
        <v>0</v>
      </c>
      <c r="P664" t="n">
        <v>0</v>
      </c>
      <c r="Q664" t="n">
        <v>0</v>
      </c>
      <c r="R664" s="2" t="inlineStr"/>
    </row>
    <row r="665" ht="15" customHeight="1">
      <c r="A665" t="inlineStr">
        <is>
          <t>A 35058-2021</t>
        </is>
      </c>
      <c r="B665" s="1" t="n">
        <v>44383</v>
      </c>
      <c r="C665" s="1" t="n">
        <v>45750</v>
      </c>
      <c r="D665" t="inlineStr">
        <is>
          <t>VÄSTERNORRLANDS LÄN</t>
        </is>
      </c>
      <c r="E665" t="inlineStr">
        <is>
          <t>ÅNGE</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35079-2021</t>
        </is>
      </c>
      <c r="B666" s="1" t="n">
        <v>44383</v>
      </c>
      <c r="C666" s="1" t="n">
        <v>45750</v>
      </c>
      <c r="D666" t="inlineStr">
        <is>
          <t>VÄSTERNORRLANDS LÄN</t>
        </is>
      </c>
      <c r="E666" t="inlineStr">
        <is>
          <t>ÅNGE</t>
        </is>
      </c>
      <c r="G666" t="n">
        <v>2.8</v>
      </c>
      <c r="H666" t="n">
        <v>0</v>
      </c>
      <c r="I666" t="n">
        <v>0</v>
      </c>
      <c r="J666" t="n">
        <v>0</v>
      </c>
      <c r="K666" t="n">
        <v>0</v>
      </c>
      <c r="L666" t="n">
        <v>0</v>
      </c>
      <c r="M666" t="n">
        <v>0</v>
      </c>
      <c r="N666" t="n">
        <v>0</v>
      </c>
      <c r="O666" t="n">
        <v>0</v>
      </c>
      <c r="P666" t="n">
        <v>0</v>
      </c>
      <c r="Q666" t="n">
        <v>0</v>
      </c>
      <c r="R666" s="2" t="inlineStr"/>
    </row>
    <row r="667" ht="15" customHeight="1">
      <c r="A667" t="inlineStr">
        <is>
          <t>A 35339-2021</t>
        </is>
      </c>
      <c r="B667" s="1" t="n">
        <v>44384</v>
      </c>
      <c r="C667" s="1" t="n">
        <v>45750</v>
      </c>
      <c r="D667" t="inlineStr">
        <is>
          <t>VÄSTERNORRLANDS LÄN</t>
        </is>
      </c>
      <c r="E667" t="inlineStr">
        <is>
          <t>ÅNGE</t>
        </is>
      </c>
      <c r="G667" t="n">
        <v>1.4</v>
      </c>
      <c r="H667" t="n">
        <v>0</v>
      </c>
      <c r="I667" t="n">
        <v>0</v>
      </c>
      <c r="J667" t="n">
        <v>0</v>
      </c>
      <c r="K667" t="n">
        <v>0</v>
      </c>
      <c r="L667" t="n">
        <v>0</v>
      </c>
      <c r="M667" t="n">
        <v>0</v>
      </c>
      <c r="N667" t="n">
        <v>0</v>
      </c>
      <c r="O667" t="n">
        <v>0</v>
      </c>
      <c r="P667" t="n">
        <v>0</v>
      </c>
      <c r="Q667" t="n">
        <v>0</v>
      </c>
      <c r="R667" s="2" t="inlineStr"/>
    </row>
    <row r="668" ht="15" customHeight="1">
      <c r="A668" t="inlineStr">
        <is>
          <t>A 35359-2021</t>
        </is>
      </c>
      <c r="B668" s="1" t="n">
        <v>44385</v>
      </c>
      <c r="C668" s="1" t="n">
        <v>45750</v>
      </c>
      <c r="D668" t="inlineStr">
        <is>
          <t>VÄSTERNORRLANDS LÄN</t>
        </is>
      </c>
      <c r="E668" t="inlineStr">
        <is>
          <t>ÅNGE</t>
        </is>
      </c>
      <c r="F668" t="inlineStr">
        <is>
          <t>SCA</t>
        </is>
      </c>
      <c r="G668" t="n">
        <v>10.1</v>
      </c>
      <c r="H668" t="n">
        <v>0</v>
      </c>
      <c r="I668" t="n">
        <v>0</v>
      </c>
      <c r="J668" t="n">
        <v>0</v>
      </c>
      <c r="K668" t="n">
        <v>0</v>
      </c>
      <c r="L668" t="n">
        <v>0</v>
      </c>
      <c r="M668" t="n">
        <v>0</v>
      </c>
      <c r="N668" t="n">
        <v>0</v>
      </c>
      <c r="O668" t="n">
        <v>0</v>
      </c>
      <c r="P668" t="n">
        <v>0</v>
      </c>
      <c r="Q668" t="n">
        <v>0</v>
      </c>
      <c r="R668" s="2" t="inlineStr"/>
    </row>
    <row r="669" ht="15" customHeight="1">
      <c r="A669" t="inlineStr">
        <is>
          <t>A 36457-2021</t>
        </is>
      </c>
      <c r="B669" s="1" t="n">
        <v>44391</v>
      </c>
      <c r="C669" s="1" t="n">
        <v>45750</v>
      </c>
      <c r="D669" t="inlineStr">
        <is>
          <t>VÄSTERNORRLANDS LÄN</t>
        </is>
      </c>
      <c r="E669" t="inlineStr">
        <is>
          <t>ÅNGE</t>
        </is>
      </c>
      <c r="G669" t="n">
        <v>1.6</v>
      </c>
      <c r="H669" t="n">
        <v>0</v>
      </c>
      <c r="I669" t="n">
        <v>0</v>
      </c>
      <c r="J669" t="n">
        <v>0</v>
      </c>
      <c r="K669" t="n">
        <v>0</v>
      </c>
      <c r="L669" t="n">
        <v>0</v>
      </c>
      <c r="M669" t="n">
        <v>0</v>
      </c>
      <c r="N669" t="n">
        <v>0</v>
      </c>
      <c r="O669" t="n">
        <v>0</v>
      </c>
      <c r="P669" t="n">
        <v>0</v>
      </c>
      <c r="Q669" t="n">
        <v>0</v>
      </c>
      <c r="R669" s="2" t="inlineStr"/>
    </row>
    <row r="670" ht="15" customHeight="1">
      <c r="A670" t="inlineStr">
        <is>
          <t>A 37010-2021</t>
        </is>
      </c>
      <c r="B670" s="1" t="n">
        <v>44393</v>
      </c>
      <c r="C670" s="1" t="n">
        <v>45750</v>
      </c>
      <c r="D670" t="inlineStr">
        <is>
          <t>VÄSTERNORRLANDS LÄN</t>
        </is>
      </c>
      <c r="E670" t="inlineStr">
        <is>
          <t>ÅNGE</t>
        </is>
      </c>
      <c r="F670" t="inlineStr">
        <is>
          <t>Kyrkan</t>
        </is>
      </c>
      <c r="G670" t="n">
        <v>16.8</v>
      </c>
      <c r="H670" t="n">
        <v>0</v>
      </c>
      <c r="I670" t="n">
        <v>0</v>
      </c>
      <c r="J670" t="n">
        <v>0</v>
      </c>
      <c r="K670" t="n">
        <v>0</v>
      </c>
      <c r="L670" t="n">
        <v>0</v>
      </c>
      <c r="M670" t="n">
        <v>0</v>
      </c>
      <c r="N670" t="n">
        <v>0</v>
      </c>
      <c r="O670" t="n">
        <v>0</v>
      </c>
      <c r="P670" t="n">
        <v>0</v>
      </c>
      <c r="Q670" t="n">
        <v>0</v>
      </c>
      <c r="R670" s="2" t="inlineStr"/>
    </row>
    <row r="671" ht="15" customHeight="1">
      <c r="A671" t="inlineStr">
        <is>
          <t>A 37051-2021</t>
        </is>
      </c>
      <c r="B671" s="1" t="n">
        <v>44393</v>
      </c>
      <c r="C671" s="1" t="n">
        <v>45750</v>
      </c>
      <c r="D671" t="inlineStr">
        <is>
          <t>VÄSTERNORRLANDS LÄN</t>
        </is>
      </c>
      <c r="E671" t="inlineStr">
        <is>
          <t>ÅNGE</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37013-2021</t>
        </is>
      </c>
      <c r="B672" s="1" t="n">
        <v>44393</v>
      </c>
      <c r="C672" s="1" t="n">
        <v>45750</v>
      </c>
      <c r="D672" t="inlineStr">
        <is>
          <t>VÄSTERNORRLANDS LÄN</t>
        </is>
      </c>
      <c r="E672" t="inlineStr">
        <is>
          <t>ÅNGE</t>
        </is>
      </c>
      <c r="G672" t="n">
        <v>8.6</v>
      </c>
      <c r="H672" t="n">
        <v>0</v>
      </c>
      <c r="I672" t="n">
        <v>0</v>
      </c>
      <c r="J672" t="n">
        <v>0</v>
      </c>
      <c r="K672" t="n">
        <v>0</v>
      </c>
      <c r="L672" t="n">
        <v>0</v>
      </c>
      <c r="M672" t="n">
        <v>0</v>
      </c>
      <c r="N672" t="n">
        <v>0</v>
      </c>
      <c r="O672" t="n">
        <v>0</v>
      </c>
      <c r="P672" t="n">
        <v>0</v>
      </c>
      <c r="Q672" t="n">
        <v>0</v>
      </c>
      <c r="R672" s="2" t="inlineStr"/>
    </row>
    <row r="673" ht="15" customHeight="1">
      <c r="A673" t="inlineStr">
        <is>
          <t>A 37382-2021</t>
        </is>
      </c>
      <c r="B673" s="1" t="n">
        <v>44397</v>
      </c>
      <c r="C673" s="1" t="n">
        <v>45750</v>
      </c>
      <c r="D673" t="inlineStr">
        <is>
          <t>VÄSTERNORRLANDS LÄN</t>
        </is>
      </c>
      <c r="E673" t="inlineStr">
        <is>
          <t>ÅNGE</t>
        </is>
      </c>
      <c r="G673" t="n">
        <v>2.4</v>
      </c>
      <c r="H673" t="n">
        <v>0</v>
      </c>
      <c r="I673" t="n">
        <v>0</v>
      </c>
      <c r="J673" t="n">
        <v>0</v>
      </c>
      <c r="K673" t="n">
        <v>0</v>
      </c>
      <c r="L673" t="n">
        <v>0</v>
      </c>
      <c r="M673" t="n">
        <v>0</v>
      </c>
      <c r="N673" t="n">
        <v>0</v>
      </c>
      <c r="O673" t="n">
        <v>0</v>
      </c>
      <c r="P673" t="n">
        <v>0</v>
      </c>
      <c r="Q673" t="n">
        <v>0</v>
      </c>
      <c r="R673" s="2" t="inlineStr"/>
    </row>
    <row r="674" ht="15" customHeight="1">
      <c r="A674" t="inlineStr">
        <is>
          <t>A 37605-2021</t>
        </is>
      </c>
      <c r="B674" s="1" t="n">
        <v>44399</v>
      </c>
      <c r="C674" s="1" t="n">
        <v>45750</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37620-2021</t>
        </is>
      </c>
      <c r="B675" s="1" t="n">
        <v>44399</v>
      </c>
      <c r="C675" s="1" t="n">
        <v>45750</v>
      </c>
      <c r="D675" t="inlineStr">
        <is>
          <t>VÄSTERNORRLANDS LÄN</t>
        </is>
      </c>
      <c r="E675" t="inlineStr">
        <is>
          <t>ÅNGE</t>
        </is>
      </c>
      <c r="G675" t="n">
        <v>4.3</v>
      </c>
      <c r="H675" t="n">
        <v>0</v>
      </c>
      <c r="I675" t="n">
        <v>0</v>
      </c>
      <c r="J675" t="n">
        <v>0</v>
      </c>
      <c r="K675" t="n">
        <v>0</v>
      </c>
      <c r="L675" t="n">
        <v>0</v>
      </c>
      <c r="M675" t="n">
        <v>0</v>
      </c>
      <c r="N675" t="n">
        <v>0</v>
      </c>
      <c r="O675" t="n">
        <v>0</v>
      </c>
      <c r="P675" t="n">
        <v>0</v>
      </c>
      <c r="Q675" t="n">
        <v>0</v>
      </c>
      <c r="R675" s="2" t="inlineStr"/>
    </row>
    <row r="676" ht="15" customHeight="1">
      <c r="A676" t="inlineStr">
        <is>
          <t>A 37624-2021</t>
        </is>
      </c>
      <c r="B676" s="1" t="n">
        <v>44399</v>
      </c>
      <c r="C676" s="1" t="n">
        <v>45750</v>
      </c>
      <c r="D676" t="inlineStr">
        <is>
          <t>VÄSTERNORRLANDS LÄN</t>
        </is>
      </c>
      <c r="E676" t="inlineStr">
        <is>
          <t>ÅNGE</t>
        </is>
      </c>
      <c r="G676" t="n">
        <v>4.1</v>
      </c>
      <c r="H676" t="n">
        <v>0</v>
      </c>
      <c r="I676" t="n">
        <v>0</v>
      </c>
      <c r="J676" t="n">
        <v>0</v>
      </c>
      <c r="K676" t="n">
        <v>0</v>
      </c>
      <c r="L676" t="n">
        <v>0</v>
      </c>
      <c r="M676" t="n">
        <v>0</v>
      </c>
      <c r="N676" t="n">
        <v>0</v>
      </c>
      <c r="O676" t="n">
        <v>0</v>
      </c>
      <c r="P676" t="n">
        <v>0</v>
      </c>
      <c r="Q676" t="n">
        <v>0</v>
      </c>
      <c r="R676" s="2" t="inlineStr"/>
    </row>
    <row r="677" ht="15" customHeight="1">
      <c r="A677" t="inlineStr">
        <is>
          <t>A 37621-2021</t>
        </is>
      </c>
      <c r="B677" s="1" t="n">
        <v>44399</v>
      </c>
      <c r="C677" s="1" t="n">
        <v>45750</v>
      </c>
      <c r="D677" t="inlineStr">
        <is>
          <t>VÄSTERNORRLANDS LÄN</t>
        </is>
      </c>
      <c r="E677" t="inlineStr">
        <is>
          <t>ÅNGE</t>
        </is>
      </c>
      <c r="G677" t="n">
        <v>2.5</v>
      </c>
      <c r="H677" t="n">
        <v>0</v>
      </c>
      <c r="I677" t="n">
        <v>0</v>
      </c>
      <c r="J677" t="n">
        <v>0</v>
      </c>
      <c r="K677" t="n">
        <v>0</v>
      </c>
      <c r="L677" t="n">
        <v>0</v>
      </c>
      <c r="M677" t="n">
        <v>0</v>
      </c>
      <c r="N677" t="n">
        <v>0</v>
      </c>
      <c r="O677" t="n">
        <v>0</v>
      </c>
      <c r="P677" t="n">
        <v>0</v>
      </c>
      <c r="Q677" t="n">
        <v>0</v>
      </c>
      <c r="R677" s="2" t="inlineStr"/>
    </row>
    <row r="678" ht="15" customHeight="1">
      <c r="A678" t="inlineStr">
        <is>
          <t>A 38237-2021</t>
        </is>
      </c>
      <c r="B678" s="1" t="n">
        <v>44405</v>
      </c>
      <c r="C678" s="1" t="n">
        <v>45750</v>
      </c>
      <c r="D678" t="inlineStr">
        <is>
          <t>VÄSTERNORRLANDS LÄN</t>
        </is>
      </c>
      <c r="E678" t="inlineStr">
        <is>
          <t>ÅNGE</t>
        </is>
      </c>
      <c r="F678" t="inlineStr">
        <is>
          <t>Sveaskog</t>
        </is>
      </c>
      <c r="G678" t="n">
        <v>5</v>
      </c>
      <c r="H678" t="n">
        <v>0</v>
      </c>
      <c r="I678" t="n">
        <v>0</v>
      </c>
      <c r="J678" t="n">
        <v>0</v>
      </c>
      <c r="K678" t="n">
        <v>0</v>
      </c>
      <c r="L678" t="n">
        <v>0</v>
      </c>
      <c r="M678" t="n">
        <v>0</v>
      </c>
      <c r="N678" t="n">
        <v>0</v>
      </c>
      <c r="O678" t="n">
        <v>0</v>
      </c>
      <c r="P678" t="n">
        <v>0</v>
      </c>
      <c r="Q678" t="n">
        <v>0</v>
      </c>
      <c r="R678" s="2" t="inlineStr"/>
    </row>
    <row r="679" ht="15" customHeight="1">
      <c r="A679" t="inlineStr">
        <is>
          <t>A 38369-2021</t>
        </is>
      </c>
      <c r="B679" s="1" t="n">
        <v>44406</v>
      </c>
      <c r="C679" s="1" t="n">
        <v>45750</v>
      </c>
      <c r="D679" t="inlineStr">
        <is>
          <t>VÄSTERNORRLANDS LÄN</t>
        </is>
      </c>
      <c r="E679" t="inlineStr">
        <is>
          <t>ÅNGE</t>
        </is>
      </c>
      <c r="G679" t="n">
        <v>5.6</v>
      </c>
      <c r="H679" t="n">
        <v>0</v>
      </c>
      <c r="I679" t="n">
        <v>0</v>
      </c>
      <c r="J679" t="n">
        <v>0</v>
      </c>
      <c r="K679" t="n">
        <v>0</v>
      </c>
      <c r="L679" t="n">
        <v>0</v>
      </c>
      <c r="M679" t="n">
        <v>0</v>
      </c>
      <c r="N679" t="n">
        <v>0</v>
      </c>
      <c r="O679" t="n">
        <v>0</v>
      </c>
      <c r="P679" t="n">
        <v>0</v>
      </c>
      <c r="Q679" t="n">
        <v>0</v>
      </c>
      <c r="R679" s="2" t="inlineStr"/>
    </row>
    <row r="680" ht="15" customHeight="1">
      <c r="A680" t="inlineStr">
        <is>
          <t>A 38432-2021</t>
        </is>
      </c>
      <c r="B680" s="1" t="n">
        <v>44406</v>
      </c>
      <c r="C680" s="1" t="n">
        <v>45750</v>
      </c>
      <c r="D680" t="inlineStr">
        <is>
          <t>VÄSTERNORRLANDS LÄN</t>
        </is>
      </c>
      <c r="E680" t="inlineStr">
        <is>
          <t>ÅNGE</t>
        </is>
      </c>
      <c r="G680" t="n">
        <v>0.4</v>
      </c>
      <c r="H680" t="n">
        <v>0</v>
      </c>
      <c r="I680" t="n">
        <v>0</v>
      </c>
      <c r="J680" t="n">
        <v>0</v>
      </c>
      <c r="K680" t="n">
        <v>0</v>
      </c>
      <c r="L680" t="n">
        <v>0</v>
      </c>
      <c r="M680" t="n">
        <v>0</v>
      </c>
      <c r="N680" t="n">
        <v>0</v>
      </c>
      <c r="O680" t="n">
        <v>0</v>
      </c>
      <c r="P680" t="n">
        <v>0</v>
      </c>
      <c r="Q680" t="n">
        <v>0</v>
      </c>
      <c r="R680" s="2" t="inlineStr"/>
    </row>
    <row r="681" ht="15" customHeight="1">
      <c r="A681" t="inlineStr">
        <is>
          <t>A 38960-2021</t>
        </is>
      </c>
      <c r="B681" s="1" t="n">
        <v>44411</v>
      </c>
      <c r="C681" s="1" t="n">
        <v>45750</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39729-2021</t>
        </is>
      </c>
      <c r="B682" s="1" t="n">
        <v>44417</v>
      </c>
      <c r="C682" s="1" t="n">
        <v>45750</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39744-2021</t>
        </is>
      </c>
      <c r="B683" s="1" t="n">
        <v>44417</v>
      </c>
      <c r="C683" s="1" t="n">
        <v>45750</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41070-2021</t>
        </is>
      </c>
      <c r="B684" s="1" t="n">
        <v>44422</v>
      </c>
      <c r="C684" s="1" t="n">
        <v>45750</v>
      </c>
      <c r="D684" t="inlineStr">
        <is>
          <t>VÄSTERNORRLANDS LÄN</t>
        </is>
      </c>
      <c r="E684" t="inlineStr">
        <is>
          <t>ÅNGE</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41831-2021</t>
        </is>
      </c>
      <c r="B685" s="1" t="n">
        <v>44426</v>
      </c>
      <c r="C685" s="1" t="n">
        <v>45750</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44426</v>
      </c>
      <c r="C686" s="1" t="n">
        <v>45750</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43076-2021</t>
        </is>
      </c>
      <c r="B687" s="1" t="n">
        <v>44431</v>
      </c>
      <c r="C687" s="1" t="n">
        <v>45750</v>
      </c>
      <c r="D687" t="inlineStr">
        <is>
          <t>VÄSTERNORRLANDS LÄN</t>
        </is>
      </c>
      <c r="E687" t="inlineStr">
        <is>
          <t>ÅNGE</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42881-2021</t>
        </is>
      </c>
      <c r="B688" s="1" t="n">
        <v>44431</v>
      </c>
      <c r="C688" s="1" t="n">
        <v>45750</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43849-2021</t>
        </is>
      </c>
      <c r="B689" s="1" t="n">
        <v>44433</v>
      </c>
      <c r="C689" s="1" t="n">
        <v>45750</v>
      </c>
      <c r="D689" t="inlineStr">
        <is>
          <t>VÄSTERNORRLANDS LÄN</t>
        </is>
      </c>
      <c r="E689" t="inlineStr">
        <is>
          <t>ÅNGE</t>
        </is>
      </c>
      <c r="F689" t="inlineStr">
        <is>
          <t>SCA</t>
        </is>
      </c>
      <c r="G689" t="n">
        <v>5.4</v>
      </c>
      <c r="H689" t="n">
        <v>0</v>
      </c>
      <c r="I689" t="n">
        <v>0</v>
      </c>
      <c r="J689" t="n">
        <v>0</v>
      </c>
      <c r="K689" t="n">
        <v>0</v>
      </c>
      <c r="L689" t="n">
        <v>0</v>
      </c>
      <c r="M689" t="n">
        <v>0</v>
      </c>
      <c r="N689" t="n">
        <v>0</v>
      </c>
      <c r="O689" t="n">
        <v>0</v>
      </c>
      <c r="P689" t="n">
        <v>0</v>
      </c>
      <c r="Q689" t="n">
        <v>0</v>
      </c>
      <c r="R689" s="2" t="inlineStr"/>
    </row>
    <row r="690" ht="15" customHeight="1">
      <c r="A690" t="inlineStr">
        <is>
          <t>A 44415-2021</t>
        </is>
      </c>
      <c r="B690" s="1" t="n">
        <v>44435</v>
      </c>
      <c r="C690" s="1" t="n">
        <v>45750</v>
      </c>
      <c r="D690" t="inlineStr">
        <is>
          <t>VÄSTERNORRLANDS LÄN</t>
        </is>
      </c>
      <c r="E690" t="inlineStr">
        <is>
          <t>ÅNGE</t>
        </is>
      </c>
      <c r="G690" t="n">
        <v>5.2</v>
      </c>
      <c r="H690" t="n">
        <v>0</v>
      </c>
      <c r="I690" t="n">
        <v>0</v>
      </c>
      <c r="J690" t="n">
        <v>0</v>
      </c>
      <c r="K690" t="n">
        <v>0</v>
      </c>
      <c r="L690" t="n">
        <v>0</v>
      </c>
      <c r="M690" t="n">
        <v>0</v>
      </c>
      <c r="N690" t="n">
        <v>0</v>
      </c>
      <c r="O690" t="n">
        <v>0</v>
      </c>
      <c r="P690" t="n">
        <v>0</v>
      </c>
      <c r="Q690" t="n">
        <v>0</v>
      </c>
      <c r="R690" s="2" t="inlineStr"/>
    </row>
    <row r="691" ht="15" customHeight="1">
      <c r="A691" t="inlineStr">
        <is>
          <t>A 44608-2021</t>
        </is>
      </c>
      <c r="B691" s="1" t="n">
        <v>44436</v>
      </c>
      <c r="C691" s="1" t="n">
        <v>45750</v>
      </c>
      <c r="D691" t="inlineStr">
        <is>
          <t>VÄSTERNORRLANDS LÄN</t>
        </is>
      </c>
      <c r="E691" t="inlineStr">
        <is>
          <t>ÅNGE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45145-2021</t>
        </is>
      </c>
      <c r="B692" s="1" t="n">
        <v>44439</v>
      </c>
      <c r="C692" s="1" t="n">
        <v>45750</v>
      </c>
      <c r="D692" t="inlineStr">
        <is>
          <t>VÄSTERNORRLANDS LÄN</t>
        </is>
      </c>
      <c r="E692" t="inlineStr">
        <is>
          <t>ÅNGE</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45353-2021</t>
        </is>
      </c>
      <c r="B693" s="1" t="n">
        <v>44439</v>
      </c>
      <c r="C693" s="1" t="n">
        <v>45750</v>
      </c>
      <c r="D693" t="inlineStr">
        <is>
          <t>VÄSTERNORRLANDS LÄN</t>
        </is>
      </c>
      <c r="E693" t="inlineStr">
        <is>
          <t>ÅNGE</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45631-2021</t>
        </is>
      </c>
      <c r="B694" s="1" t="n">
        <v>44441</v>
      </c>
      <c r="C694" s="1" t="n">
        <v>45750</v>
      </c>
      <c r="D694" t="inlineStr">
        <is>
          <t>VÄSTERNORRLANDS LÄN</t>
        </is>
      </c>
      <c r="E694" t="inlineStr">
        <is>
          <t>ÅNGE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45735-2021</t>
        </is>
      </c>
      <c r="B695" s="1" t="n">
        <v>44441</v>
      </c>
      <c r="C695" s="1" t="n">
        <v>45750</v>
      </c>
      <c r="D695" t="inlineStr">
        <is>
          <t>VÄSTERNORRLANDS LÄN</t>
        </is>
      </c>
      <c r="E695" t="inlineStr">
        <is>
          <t>ÅNGE</t>
        </is>
      </c>
      <c r="F695" t="inlineStr">
        <is>
          <t>Sveaskog</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45890-2021</t>
        </is>
      </c>
      <c r="B696" s="1" t="n">
        <v>44441</v>
      </c>
      <c r="C696" s="1" t="n">
        <v>45750</v>
      </c>
      <c r="D696" t="inlineStr">
        <is>
          <t>VÄSTERNORRLANDS LÄN</t>
        </is>
      </c>
      <c r="E696" t="inlineStr">
        <is>
          <t>ÅNGE</t>
        </is>
      </c>
      <c r="G696" t="n">
        <v>0.9</v>
      </c>
      <c r="H696" t="n">
        <v>0</v>
      </c>
      <c r="I696" t="n">
        <v>0</v>
      </c>
      <c r="J696" t="n">
        <v>0</v>
      </c>
      <c r="K696" t="n">
        <v>0</v>
      </c>
      <c r="L696" t="n">
        <v>0</v>
      </c>
      <c r="M696" t="n">
        <v>0</v>
      </c>
      <c r="N696" t="n">
        <v>0</v>
      </c>
      <c r="O696" t="n">
        <v>0</v>
      </c>
      <c r="P696" t="n">
        <v>0</v>
      </c>
      <c r="Q696" t="n">
        <v>0</v>
      </c>
      <c r="R696" s="2" t="inlineStr"/>
    </row>
    <row r="697" ht="15" customHeight="1">
      <c r="A697" t="inlineStr">
        <is>
          <t>A 46053-2021</t>
        </is>
      </c>
      <c r="B697" s="1" t="n">
        <v>44441</v>
      </c>
      <c r="C697" s="1" t="n">
        <v>45750</v>
      </c>
      <c r="D697" t="inlineStr">
        <is>
          <t>VÄSTERNORRLANDS LÄN</t>
        </is>
      </c>
      <c r="E697" t="inlineStr">
        <is>
          <t>ÅNGE</t>
        </is>
      </c>
      <c r="F697" t="inlineStr">
        <is>
          <t>SCA</t>
        </is>
      </c>
      <c r="G697" t="n">
        <v>0.2</v>
      </c>
      <c r="H697" t="n">
        <v>0</v>
      </c>
      <c r="I697" t="n">
        <v>0</v>
      </c>
      <c r="J697" t="n">
        <v>0</v>
      </c>
      <c r="K697" t="n">
        <v>0</v>
      </c>
      <c r="L697" t="n">
        <v>0</v>
      </c>
      <c r="M697" t="n">
        <v>0</v>
      </c>
      <c r="N697" t="n">
        <v>0</v>
      </c>
      <c r="O697" t="n">
        <v>0</v>
      </c>
      <c r="P697" t="n">
        <v>0</v>
      </c>
      <c r="Q697" t="n">
        <v>0</v>
      </c>
      <c r="R697" s="2" t="inlineStr"/>
    </row>
    <row r="698" ht="15" customHeight="1">
      <c r="A698" t="inlineStr">
        <is>
          <t>A 46865-2021</t>
        </is>
      </c>
      <c r="B698" s="1" t="n">
        <v>44446</v>
      </c>
      <c r="C698" s="1" t="n">
        <v>45750</v>
      </c>
      <c r="D698" t="inlineStr">
        <is>
          <t>VÄSTERNORRLANDS LÄN</t>
        </is>
      </c>
      <c r="E698" t="inlineStr">
        <is>
          <t>ÅNGE</t>
        </is>
      </c>
      <c r="G698" t="n">
        <v>1.6</v>
      </c>
      <c r="H698" t="n">
        <v>0</v>
      </c>
      <c r="I698" t="n">
        <v>0</v>
      </c>
      <c r="J698" t="n">
        <v>0</v>
      </c>
      <c r="K698" t="n">
        <v>0</v>
      </c>
      <c r="L698" t="n">
        <v>0</v>
      </c>
      <c r="M698" t="n">
        <v>0</v>
      </c>
      <c r="N698" t="n">
        <v>0</v>
      </c>
      <c r="O698" t="n">
        <v>0</v>
      </c>
      <c r="P698" t="n">
        <v>0</v>
      </c>
      <c r="Q698" t="n">
        <v>0</v>
      </c>
      <c r="R698" s="2" t="inlineStr"/>
    </row>
    <row r="699" ht="15" customHeight="1">
      <c r="A699" t="inlineStr">
        <is>
          <t>A 46824-2021</t>
        </is>
      </c>
      <c r="B699" s="1" t="n">
        <v>44446</v>
      </c>
      <c r="C699" s="1" t="n">
        <v>45750</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48876-2021</t>
        </is>
      </c>
      <c r="B700" s="1" t="n">
        <v>44452</v>
      </c>
      <c r="C700" s="1" t="n">
        <v>45750</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48990-2021</t>
        </is>
      </c>
      <c r="B701" s="1" t="n">
        <v>44453</v>
      </c>
      <c r="C701" s="1" t="n">
        <v>45750</v>
      </c>
      <c r="D701" t="inlineStr">
        <is>
          <t>VÄSTERNORRLANDS LÄN</t>
        </is>
      </c>
      <c r="E701" t="inlineStr">
        <is>
          <t>ÅNGE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48988-2021</t>
        </is>
      </c>
      <c r="B702" s="1" t="n">
        <v>44453</v>
      </c>
      <c r="C702" s="1" t="n">
        <v>45750</v>
      </c>
      <c r="D702" t="inlineStr">
        <is>
          <t>VÄSTERNORRLANDS LÄN</t>
        </is>
      </c>
      <c r="E702" t="inlineStr">
        <is>
          <t>ÅNGE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49137-2021</t>
        </is>
      </c>
      <c r="B703" s="1" t="n">
        <v>44453</v>
      </c>
      <c r="C703" s="1" t="n">
        <v>45750</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50333-2021</t>
        </is>
      </c>
      <c r="B704" s="1" t="n">
        <v>44454</v>
      </c>
      <c r="C704" s="1" t="n">
        <v>45750</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50125-2021</t>
        </is>
      </c>
      <c r="B705" s="1" t="n">
        <v>44456</v>
      </c>
      <c r="C705" s="1" t="n">
        <v>45750</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50196-2021</t>
        </is>
      </c>
      <c r="B706" s="1" t="n">
        <v>44457</v>
      </c>
      <c r="C706" s="1" t="n">
        <v>45750</v>
      </c>
      <c r="D706" t="inlineStr">
        <is>
          <t>VÄSTERNORRLANDS LÄN</t>
        </is>
      </c>
      <c r="E706" t="inlineStr">
        <is>
          <t>ÅNGE</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50186-2021</t>
        </is>
      </c>
      <c r="B707" s="1" t="n">
        <v>44456</v>
      </c>
      <c r="C707" s="1" t="n">
        <v>45750</v>
      </c>
      <c r="D707" t="inlineStr">
        <is>
          <t>VÄSTERNORRLANDS LÄN</t>
        </is>
      </c>
      <c r="E707" t="inlineStr">
        <is>
          <t>ÅNGE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50234-2021</t>
        </is>
      </c>
      <c r="B708" s="1" t="n">
        <v>44458</v>
      </c>
      <c r="C708" s="1" t="n">
        <v>45750</v>
      </c>
      <c r="D708" t="inlineStr">
        <is>
          <t>VÄSTERNORRLANDS LÄN</t>
        </is>
      </c>
      <c r="E708" t="inlineStr">
        <is>
          <t>ÅNGE</t>
        </is>
      </c>
      <c r="G708" t="n">
        <v>2.9</v>
      </c>
      <c r="H708" t="n">
        <v>0</v>
      </c>
      <c r="I708" t="n">
        <v>0</v>
      </c>
      <c r="J708" t="n">
        <v>0</v>
      </c>
      <c r="K708" t="n">
        <v>0</v>
      </c>
      <c r="L708" t="n">
        <v>0</v>
      </c>
      <c r="M708" t="n">
        <v>0</v>
      </c>
      <c r="N708" t="n">
        <v>0</v>
      </c>
      <c r="O708" t="n">
        <v>0</v>
      </c>
      <c r="P708" t="n">
        <v>0</v>
      </c>
      <c r="Q708" t="n">
        <v>0</v>
      </c>
      <c r="R708" s="2" t="inlineStr"/>
    </row>
    <row r="709" ht="15" customHeight="1">
      <c r="A709" t="inlineStr">
        <is>
          <t>A 50235-2021</t>
        </is>
      </c>
      <c r="B709" s="1" t="n">
        <v>44457</v>
      </c>
      <c r="C709" s="1" t="n">
        <v>45750</v>
      </c>
      <c r="D709" t="inlineStr">
        <is>
          <t>VÄSTERNORRLANDS LÄN</t>
        </is>
      </c>
      <c r="E709" t="inlineStr">
        <is>
          <t>ÅNGE</t>
        </is>
      </c>
      <c r="G709" t="n">
        <v>3.8</v>
      </c>
      <c r="H709" t="n">
        <v>0</v>
      </c>
      <c r="I709" t="n">
        <v>0</v>
      </c>
      <c r="J709" t="n">
        <v>0</v>
      </c>
      <c r="K709" t="n">
        <v>0</v>
      </c>
      <c r="L709" t="n">
        <v>0</v>
      </c>
      <c r="M709" t="n">
        <v>0</v>
      </c>
      <c r="N709" t="n">
        <v>0</v>
      </c>
      <c r="O709" t="n">
        <v>0</v>
      </c>
      <c r="P709" t="n">
        <v>0</v>
      </c>
      <c r="Q709" t="n">
        <v>0</v>
      </c>
      <c r="R709" s="2" t="inlineStr"/>
    </row>
    <row r="710" ht="15" customHeight="1">
      <c r="A710" t="inlineStr">
        <is>
          <t>A 50651-2021</t>
        </is>
      </c>
      <c r="B710" s="1" t="n">
        <v>44459</v>
      </c>
      <c r="C710" s="1" t="n">
        <v>45750</v>
      </c>
      <c r="D710" t="inlineStr">
        <is>
          <t>VÄSTERNORRLANDS LÄN</t>
        </is>
      </c>
      <c r="E710" t="inlineStr">
        <is>
          <t>ÅNGE</t>
        </is>
      </c>
      <c r="G710" t="n">
        <v>20.6</v>
      </c>
      <c r="H710" t="n">
        <v>0</v>
      </c>
      <c r="I710" t="n">
        <v>0</v>
      </c>
      <c r="J710" t="n">
        <v>0</v>
      </c>
      <c r="K710" t="n">
        <v>0</v>
      </c>
      <c r="L710" t="n">
        <v>0</v>
      </c>
      <c r="M710" t="n">
        <v>0</v>
      </c>
      <c r="N710" t="n">
        <v>0</v>
      </c>
      <c r="O710" t="n">
        <v>0</v>
      </c>
      <c r="P710" t="n">
        <v>0</v>
      </c>
      <c r="Q710" t="n">
        <v>0</v>
      </c>
      <c r="R710" s="2" t="inlineStr"/>
    </row>
    <row r="711" ht="15" customHeight="1">
      <c r="A711" t="inlineStr">
        <is>
          <t>A 50733-2021</t>
        </is>
      </c>
      <c r="B711" s="1" t="n">
        <v>44460</v>
      </c>
      <c r="C711" s="1" t="n">
        <v>45750</v>
      </c>
      <c r="D711" t="inlineStr">
        <is>
          <t>VÄSTERNORRLANDS LÄN</t>
        </is>
      </c>
      <c r="E711" t="inlineStr">
        <is>
          <t>ÅNGE</t>
        </is>
      </c>
      <c r="G711" t="n">
        <v>2.1</v>
      </c>
      <c r="H711" t="n">
        <v>0</v>
      </c>
      <c r="I711" t="n">
        <v>0</v>
      </c>
      <c r="J711" t="n">
        <v>0</v>
      </c>
      <c r="K711" t="n">
        <v>0</v>
      </c>
      <c r="L711" t="n">
        <v>0</v>
      </c>
      <c r="M711" t="n">
        <v>0</v>
      </c>
      <c r="N711" t="n">
        <v>0</v>
      </c>
      <c r="O711" t="n">
        <v>0</v>
      </c>
      <c r="P711" t="n">
        <v>0</v>
      </c>
      <c r="Q711" t="n">
        <v>0</v>
      </c>
      <c r="R711" s="2" t="inlineStr"/>
    </row>
    <row r="712" ht="15" customHeight="1">
      <c r="A712" t="inlineStr">
        <is>
          <t>A 50960-2021</t>
        </is>
      </c>
      <c r="B712" s="1" t="n">
        <v>44460</v>
      </c>
      <c r="C712" s="1" t="n">
        <v>45750</v>
      </c>
      <c r="D712" t="inlineStr">
        <is>
          <t>VÄSTERNORRLANDS LÄN</t>
        </is>
      </c>
      <c r="E712" t="inlineStr">
        <is>
          <t>ÅNGE</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51179-2021</t>
        </is>
      </c>
      <c r="B713" s="1" t="n">
        <v>44461</v>
      </c>
      <c r="C713" s="1" t="n">
        <v>45750</v>
      </c>
      <c r="D713" t="inlineStr">
        <is>
          <t>VÄSTERNORRLANDS LÄN</t>
        </is>
      </c>
      <c r="E713" t="inlineStr">
        <is>
          <t>ÅNGE</t>
        </is>
      </c>
      <c r="G713" t="n">
        <v>3.2</v>
      </c>
      <c r="H713" t="n">
        <v>0</v>
      </c>
      <c r="I713" t="n">
        <v>0</v>
      </c>
      <c r="J713" t="n">
        <v>0</v>
      </c>
      <c r="K713" t="n">
        <v>0</v>
      </c>
      <c r="L713" t="n">
        <v>0</v>
      </c>
      <c r="M713" t="n">
        <v>0</v>
      </c>
      <c r="N713" t="n">
        <v>0</v>
      </c>
      <c r="O713" t="n">
        <v>0</v>
      </c>
      <c r="P713" t="n">
        <v>0</v>
      </c>
      <c r="Q713" t="n">
        <v>0</v>
      </c>
      <c r="R713" s="2" t="inlineStr"/>
    </row>
    <row r="714" ht="15" customHeight="1">
      <c r="A714" t="inlineStr">
        <is>
          <t>A 51163-2021</t>
        </is>
      </c>
      <c r="B714" s="1" t="n">
        <v>44461</v>
      </c>
      <c r="C714" s="1" t="n">
        <v>45750</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51428-2021</t>
        </is>
      </c>
      <c r="B715" s="1" t="n">
        <v>44461</v>
      </c>
      <c r="C715" s="1" t="n">
        <v>45750</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51427-2021</t>
        </is>
      </c>
      <c r="B716" s="1" t="n">
        <v>44461</v>
      </c>
      <c r="C716" s="1" t="n">
        <v>45750</v>
      </c>
      <c r="D716" t="inlineStr">
        <is>
          <t>VÄSTERNORRLANDS LÄN</t>
        </is>
      </c>
      <c r="E716" t="inlineStr">
        <is>
          <t>ÅNGE</t>
        </is>
      </c>
      <c r="G716" t="n">
        <v>3.2</v>
      </c>
      <c r="H716" t="n">
        <v>0</v>
      </c>
      <c r="I716" t="n">
        <v>0</v>
      </c>
      <c r="J716" t="n">
        <v>0</v>
      </c>
      <c r="K716" t="n">
        <v>0</v>
      </c>
      <c r="L716" t="n">
        <v>0</v>
      </c>
      <c r="M716" t="n">
        <v>0</v>
      </c>
      <c r="N716" t="n">
        <v>0</v>
      </c>
      <c r="O716" t="n">
        <v>0</v>
      </c>
      <c r="P716" t="n">
        <v>0</v>
      </c>
      <c r="Q716" t="n">
        <v>0</v>
      </c>
      <c r="R716" s="2" t="inlineStr"/>
    </row>
    <row r="717" ht="15" customHeight="1">
      <c r="A717" t="inlineStr">
        <is>
          <t>A 52705-2021</t>
        </is>
      </c>
      <c r="B717" s="1" t="n">
        <v>44466</v>
      </c>
      <c r="C717" s="1" t="n">
        <v>45750</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52726-2021</t>
        </is>
      </c>
      <c r="B718" s="1" t="n">
        <v>44466</v>
      </c>
      <c r="C718" s="1" t="n">
        <v>45750</v>
      </c>
      <c r="D718" t="inlineStr">
        <is>
          <t>VÄSTERNORRLANDS LÄN</t>
        </is>
      </c>
      <c r="E718" t="inlineStr">
        <is>
          <t>ÅNGE</t>
        </is>
      </c>
      <c r="F718" t="inlineStr">
        <is>
          <t>SCA</t>
        </is>
      </c>
      <c r="G718" t="n">
        <v>9.5</v>
      </c>
      <c r="H718" t="n">
        <v>0</v>
      </c>
      <c r="I718" t="n">
        <v>0</v>
      </c>
      <c r="J718" t="n">
        <v>0</v>
      </c>
      <c r="K718" t="n">
        <v>0</v>
      </c>
      <c r="L718" t="n">
        <v>0</v>
      </c>
      <c r="M718" t="n">
        <v>0</v>
      </c>
      <c r="N718" t="n">
        <v>0</v>
      </c>
      <c r="O718" t="n">
        <v>0</v>
      </c>
      <c r="P718" t="n">
        <v>0</v>
      </c>
      <c r="Q718" t="n">
        <v>0</v>
      </c>
      <c r="R718" s="2" t="inlineStr"/>
    </row>
    <row r="719" ht="15" customHeight="1">
      <c r="A719" t="inlineStr">
        <is>
          <t>A 53970-2021</t>
        </is>
      </c>
      <c r="B719" s="1" t="n">
        <v>44469</v>
      </c>
      <c r="C719" s="1" t="n">
        <v>45750</v>
      </c>
      <c r="D719" t="inlineStr">
        <is>
          <t>VÄSTERNORRLANDS LÄN</t>
        </is>
      </c>
      <c r="E719" t="inlineStr">
        <is>
          <t>ÅNGE</t>
        </is>
      </c>
      <c r="G719" t="n">
        <v>3.4</v>
      </c>
      <c r="H719" t="n">
        <v>0</v>
      </c>
      <c r="I719" t="n">
        <v>0</v>
      </c>
      <c r="J719" t="n">
        <v>0</v>
      </c>
      <c r="K719" t="n">
        <v>0</v>
      </c>
      <c r="L719" t="n">
        <v>0</v>
      </c>
      <c r="M719" t="n">
        <v>0</v>
      </c>
      <c r="N719" t="n">
        <v>0</v>
      </c>
      <c r="O719" t="n">
        <v>0</v>
      </c>
      <c r="P719" t="n">
        <v>0</v>
      </c>
      <c r="Q719" t="n">
        <v>0</v>
      </c>
      <c r="R719" s="2" t="inlineStr"/>
    </row>
    <row r="720" ht="15" customHeight="1">
      <c r="A720" t="inlineStr">
        <is>
          <t>A 53969-2021</t>
        </is>
      </c>
      <c r="B720" s="1" t="n">
        <v>44469</v>
      </c>
      <c r="C720" s="1" t="n">
        <v>45750</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54750-2021</t>
        </is>
      </c>
      <c r="B721" s="1" t="n">
        <v>44473</v>
      </c>
      <c r="C721" s="1" t="n">
        <v>45750</v>
      </c>
      <c r="D721" t="inlineStr">
        <is>
          <t>VÄSTERNORRLANDS LÄN</t>
        </is>
      </c>
      <c r="E721" t="inlineStr">
        <is>
          <t>ÅNGE</t>
        </is>
      </c>
      <c r="G721" t="n">
        <v>4.8</v>
      </c>
      <c r="H721" t="n">
        <v>0</v>
      </c>
      <c r="I721" t="n">
        <v>0</v>
      </c>
      <c r="J721" t="n">
        <v>0</v>
      </c>
      <c r="K721" t="n">
        <v>0</v>
      </c>
      <c r="L721" t="n">
        <v>0</v>
      </c>
      <c r="M721" t="n">
        <v>0</v>
      </c>
      <c r="N721" t="n">
        <v>0</v>
      </c>
      <c r="O721" t="n">
        <v>0</v>
      </c>
      <c r="P721" t="n">
        <v>0</v>
      </c>
      <c r="Q721" t="n">
        <v>0</v>
      </c>
      <c r="R721" s="2" t="inlineStr"/>
    </row>
    <row r="722" ht="15" customHeight="1">
      <c r="A722" t="inlineStr">
        <is>
          <t>A 54800-2021</t>
        </is>
      </c>
      <c r="B722" s="1" t="n">
        <v>44474</v>
      </c>
      <c r="C722" s="1" t="n">
        <v>45750</v>
      </c>
      <c r="D722" t="inlineStr">
        <is>
          <t>VÄSTERNORRLANDS LÄN</t>
        </is>
      </c>
      <c r="E722" t="inlineStr">
        <is>
          <t>ÅNGE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54908-2021</t>
        </is>
      </c>
      <c r="B723" s="1" t="n">
        <v>44474</v>
      </c>
      <c r="C723" s="1" t="n">
        <v>45750</v>
      </c>
      <c r="D723" t="inlineStr">
        <is>
          <t>VÄSTERNORRLANDS LÄN</t>
        </is>
      </c>
      <c r="E723" t="inlineStr">
        <is>
          <t>ÅNGE</t>
        </is>
      </c>
      <c r="G723" t="n">
        <v>7.8</v>
      </c>
      <c r="H723" t="n">
        <v>0</v>
      </c>
      <c r="I723" t="n">
        <v>0</v>
      </c>
      <c r="J723" t="n">
        <v>0</v>
      </c>
      <c r="K723" t="n">
        <v>0</v>
      </c>
      <c r="L723" t="n">
        <v>0</v>
      </c>
      <c r="M723" t="n">
        <v>0</v>
      </c>
      <c r="N723" t="n">
        <v>0</v>
      </c>
      <c r="O723" t="n">
        <v>0</v>
      </c>
      <c r="P723" t="n">
        <v>0</v>
      </c>
      <c r="Q723" t="n">
        <v>0</v>
      </c>
      <c r="R723" s="2" t="inlineStr"/>
    </row>
    <row r="724" ht="15" customHeight="1">
      <c r="A724" t="inlineStr">
        <is>
          <t>A 54946-2021</t>
        </is>
      </c>
      <c r="B724" s="1" t="n">
        <v>44474</v>
      </c>
      <c r="C724" s="1" t="n">
        <v>45750</v>
      </c>
      <c r="D724" t="inlineStr">
        <is>
          <t>VÄSTERNORRLANDS LÄN</t>
        </is>
      </c>
      <c r="E724" t="inlineStr">
        <is>
          <t>ÅNGE</t>
        </is>
      </c>
      <c r="G724" t="n">
        <v>5.4</v>
      </c>
      <c r="H724" t="n">
        <v>0</v>
      </c>
      <c r="I724" t="n">
        <v>0</v>
      </c>
      <c r="J724" t="n">
        <v>0</v>
      </c>
      <c r="K724" t="n">
        <v>0</v>
      </c>
      <c r="L724" t="n">
        <v>0</v>
      </c>
      <c r="M724" t="n">
        <v>0</v>
      </c>
      <c r="N724" t="n">
        <v>0</v>
      </c>
      <c r="O724" t="n">
        <v>0</v>
      </c>
      <c r="P724" t="n">
        <v>0</v>
      </c>
      <c r="Q724" t="n">
        <v>0</v>
      </c>
      <c r="R724" s="2" t="inlineStr"/>
    </row>
    <row r="725" ht="15" customHeight="1">
      <c r="A725" t="inlineStr">
        <is>
          <t>A 55316-2021</t>
        </is>
      </c>
      <c r="B725" s="1" t="n">
        <v>44475</v>
      </c>
      <c r="C725" s="1" t="n">
        <v>45750</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55593-2021</t>
        </is>
      </c>
      <c r="B726" s="1" t="n">
        <v>44476</v>
      </c>
      <c r="C726" s="1" t="n">
        <v>45750</v>
      </c>
      <c r="D726" t="inlineStr">
        <is>
          <t>VÄSTERNORRLANDS LÄN</t>
        </is>
      </c>
      <c r="E726" t="inlineStr">
        <is>
          <t>ÅNGE</t>
        </is>
      </c>
      <c r="G726" t="n">
        <v>1.6</v>
      </c>
      <c r="H726" t="n">
        <v>0</v>
      </c>
      <c r="I726" t="n">
        <v>0</v>
      </c>
      <c r="J726" t="n">
        <v>0</v>
      </c>
      <c r="K726" t="n">
        <v>0</v>
      </c>
      <c r="L726" t="n">
        <v>0</v>
      </c>
      <c r="M726" t="n">
        <v>0</v>
      </c>
      <c r="N726" t="n">
        <v>0</v>
      </c>
      <c r="O726" t="n">
        <v>0</v>
      </c>
      <c r="P726" t="n">
        <v>0</v>
      </c>
      <c r="Q726" t="n">
        <v>0</v>
      </c>
      <c r="R726" s="2" t="inlineStr"/>
    </row>
    <row r="727" ht="15" customHeight="1">
      <c r="A727" t="inlineStr">
        <is>
          <t>A 55905-2021</t>
        </is>
      </c>
      <c r="B727" s="1" t="n">
        <v>44477</v>
      </c>
      <c r="C727" s="1" t="n">
        <v>45750</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55912-2021</t>
        </is>
      </c>
      <c r="B728" s="1" t="n">
        <v>44477</v>
      </c>
      <c r="C728" s="1" t="n">
        <v>45750</v>
      </c>
      <c r="D728" t="inlineStr">
        <is>
          <t>VÄSTERNORRLANDS LÄN</t>
        </is>
      </c>
      <c r="E728" t="inlineStr">
        <is>
          <t>ÅNGE</t>
        </is>
      </c>
      <c r="G728" t="n">
        <v>0.6</v>
      </c>
      <c r="H728" t="n">
        <v>0</v>
      </c>
      <c r="I728" t="n">
        <v>0</v>
      </c>
      <c r="J728" t="n">
        <v>0</v>
      </c>
      <c r="K728" t="n">
        <v>0</v>
      </c>
      <c r="L728" t="n">
        <v>0</v>
      </c>
      <c r="M728" t="n">
        <v>0</v>
      </c>
      <c r="N728" t="n">
        <v>0</v>
      </c>
      <c r="O728" t="n">
        <v>0</v>
      </c>
      <c r="P728" t="n">
        <v>0</v>
      </c>
      <c r="Q728" t="n">
        <v>0</v>
      </c>
      <c r="R728" s="2" t="inlineStr"/>
    </row>
    <row r="729" ht="15" customHeight="1">
      <c r="A729" t="inlineStr">
        <is>
          <t>A 56434-2021</t>
        </is>
      </c>
      <c r="B729" s="1" t="n">
        <v>44477</v>
      </c>
      <c r="C729" s="1" t="n">
        <v>45750</v>
      </c>
      <c r="D729" t="inlineStr">
        <is>
          <t>VÄSTERNORRLANDS LÄN</t>
        </is>
      </c>
      <c r="E729" t="inlineStr">
        <is>
          <t>ÅNGE</t>
        </is>
      </c>
      <c r="G729" t="n">
        <v>2.7</v>
      </c>
      <c r="H729" t="n">
        <v>0</v>
      </c>
      <c r="I729" t="n">
        <v>0</v>
      </c>
      <c r="J729" t="n">
        <v>0</v>
      </c>
      <c r="K729" t="n">
        <v>0</v>
      </c>
      <c r="L729" t="n">
        <v>0</v>
      </c>
      <c r="M729" t="n">
        <v>0</v>
      </c>
      <c r="N729" t="n">
        <v>0</v>
      </c>
      <c r="O729" t="n">
        <v>0</v>
      </c>
      <c r="P729" t="n">
        <v>0</v>
      </c>
      <c r="Q729" t="n">
        <v>0</v>
      </c>
      <c r="R729" s="2" t="inlineStr"/>
    </row>
    <row r="730" ht="15" customHeight="1">
      <c r="A730" t="inlineStr">
        <is>
          <t>A 56437-2021</t>
        </is>
      </c>
      <c r="B730" s="1" t="n">
        <v>44477</v>
      </c>
      <c r="C730" s="1" t="n">
        <v>45750</v>
      </c>
      <c r="D730" t="inlineStr">
        <is>
          <t>VÄSTERNORRLANDS LÄN</t>
        </is>
      </c>
      <c r="E730" t="inlineStr">
        <is>
          <t>ÅNGE</t>
        </is>
      </c>
      <c r="G730" t="n">
        <v>18.7</v>
      </c>
      <c r="H730" t="n">
        <v>0</v>
      </c>
      <c r="I730" t="n">
        <v>0</v>
      </c>
      <c r="J730" t="n">
        <v>0</v>
      </c>
      <c r="K730" t="n">
        <v>0</v>
      </c>
      <c r="L730" t="n">
        <v>0</v>
      </c>
      <c r="M730" t="n">
        <v>0</v>
      </c>
      <c r="N730" t="n">
        <v>0</v>
      </c>
      <c r="O730" t="n">
        <v>0</v>
      </c>
      <c r="P730" t="n">
        <v>0</v>
      </c>
      <c r="Q730" t="n">
        <v>0</v>
      </c>
      <c r="R730" s="2" t="inlineStr"/>
    </row>
    <row r="731" ht="15" customHeight="1">
      <c r="A731" t="inlineStr">
        <is>
          <t>A 56907-2021</t>
        </is>
      </c>
      <c r="B731" s="1" t="n">
        <v>44482</v>
      </c>
      <c r="C731" s="1" t="n">
        <v>45750</v>
      </c>
      <c r="D731" t="inlineStr">
        <is>
          <t>VÄSTERNORRLANDS LÄN</t>
        </is>
      </c>
      <c r="E731" t="inlineStr">
        <is>
          <t>ÅNGE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56908-2021</t>
        </is>
      </c>
      <c r="B732" s="1" t="n">
        <v>44482</v>
      </c>
      <c r="C732" s="1" t="n">
        <v>45750</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57162-2021</t>
        </is>
      </c>
      <c r="B733" s="1" t="n">
        <v>44482</v>
      </c>
      <c r="C733" s="1" t="n">
        <v>45750</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57418-2021</t>
        </is>
      </c>
      <c r="B734" s="1" t="n">
        <v>44483</v>
      </c>
      <c r="C734" s="1" t="n">
        <v>45750</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58939-2021</t>
        </is>
      </c>
      <c r="B735" s="1" t="n">
        <v>44489</v>
      </c>
      <c r="C735" s="1" t="n">
        <v>45750</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58941-2021</t>
        </is>
      </c>
      <c r="B736" s="1" t="n">
        <v>44490</v>
      </c>
      <c r="C736" s="1" t="n">
        <v>45750</v>
      </c>
      <c r="D736" t="inlineStr">
        <is>
          <t>VÄSTERNORRLANDS LÄN</t>
        </is>
      </c>
      <c r="E736" t="inlineStr">
        <is>
          <t>ÅNGE</t>
        </is>
      </c>
      <c r="G736" t="n">
        <v>6.7</v>
      </c>
      <c r="H736" t="n">
        <v>0</v>
      </c>
      <c r="I736" t="n">
        <v>0</v>
      </c>
      <c r="J736" t="n">
        <v>0</v>
      </c>
      <c r="K736" t="n">
        <v>0</v>
      </c>
      <c r="L736" t="n">
        <v>0</v>
      </c>
      <c r="M736" t="n">
        <v>0</v>
      </c>
      <c r="N736" t="n">
        <v>0</v>
      </c>
      <c r="O736" t="n">
        <v>0</v>
      </c>
      <c r="P736" t="n">
        <v>0</v>
      </c>
      <c r="Q736" t="n">
        <v>0</v>
      </c>
      <c r="R736" s="2" t="inlineStr"/>
    </row>
    <row r="737" ht="15" customHeight="1">
      <c r="A737" t="inlineStr">
        <is>
          <t>A 58942-2021</t>
        </is>
      </c>
      <c r="B737" s="1" t="n">
        <v>44490</v>
      </c>
      <c r="C737" s="1" t="n">
        <v>45750</v>
      </c>
      <c r="D737" t="inlineStr">
        <is>
          <t>VÄSTERNORRLANDS LÄN</t>
        </is>
      </c>
      <c r="E737" t="inlineStr">
        <is>
          <t>ÅNGE</t>
        </is>
      </c>
      <c r="G737" t="n">
        <v>5.6</v>
      </c>
      <c r="H737" t="n">
        <v>0</v>
      </c>
      <c r="I737" t="n">
        <v>0</v>
      </c>
      <c r="J737" t="n">
        <v>0</v>
      </c>
      <c r="K737" t="n">
        <v>0</v>
      </c>
      <c r="L737" t="n">
        <v>0</v>
      </c>
      <c r="M737" t="n">
        <v>0</v>
      </c>
      <c r="N737" t="n">
        <v>0</v>
      </c>
      <c r="O737" t="n">
        <v>0</v>
      </c>
      <c r="P737" t="n">
        <v>0</v>
      </c>
      <c r="Q737" t="n">
        <v>0</v>
      </c>
      <c r="R737" s="2" t="inlineStr"/>
    </row>
    <row r="738" ht="15" customHeight="1">
      <c r="A738" t="inlineStr">
        <is>
          <t>A 59982-2021</t>
        </is>
      </c>
      <c r="B738" s="1" t="n">
        <v>44495</v>
      </c>
      <c r="C738" s="1" t="n">
        <v>45750</v>
      </c>
      <c r="D738" t="inlineStr">
        <is>
          <t>VÄSTERNORRLANDS LÄN</t>
        </is>
      </c>
      <c r="E738" t="inlineStr">
        <is>
          <t>ÅNGE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59972-2021</t>
        </is>
      </c>
      <c r="B739" s="1" t="n">
        <v>44495</v>
      </c>
      <c r="C739" s="1" t="n">
        <v>45750</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59979-2021</t>
        </is>
      </c>
      <c r="B740" s="1" t="n">
        <v>44494</v>
      </c>
      <c r="C740" s="1" t="n">
        <v>45750</v>
      </c>
      <c r="D740" t="inlineStr">
        <is>
          <t>VÄSTERNORRLANDS LÄN</t>
        </is>
      </c>
      <c r="E740" t="inlineStr">
        <is>
          <t>ÅNGE</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59986-2021</t>
        </is>
      </c>
      <c r="B741" s="1" t="n">
        <v>44494</v>
      </c>
      <c r="C741" s="1" t="n">
        <v>45750</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60296-2021</t>
        </is>
      </c>
      <c r="B742" s="1" t="n">
        <v>44495</v>
      </c>
      <c r="C742" s="1" t="n">
        <v>45750</v>
      </c>
      <c r="D742" t="inlineStr">
        <is>
          <t>VÄSTERNORRLANDS LÄN</t>
        </is>
      </c>
      <c r="E742" t="inlineStr">
        <is>
          <t>ÅNGE</t>
        </is>
      </c>
      <c r="G742" t="n">
        <v>0.4</v>
      </c>
      <c r="H742" t="n">
        <v>0</v>
      </c>
      <c r="I742" t="n">
        <v>0</v>
      </c>
      <c r="J742" t="n">
        <v>0</v>
      </c>
      <c r="K742" t="n">
        <v>0</v>
      </c>
      <c r="L742" t="n">
        <v>0</v>
      </c>
      <c r="M742" t="n">
        <v>0</v>
      </c>
      <c r="N742" t="n">
        <v>0</v>
      </c>
      <c r="O742" t="n">
        <v>0</v>
      </c>
      <c r="P742" t="n">
        <v>0</v>
      </c>
      <c r="Q742" t="n">
        <v>0</v>
      </c>
      <c r="R742" s="2" t="inlineStr"/>
    </row>
    <row r="743" ht="15" customHeight="1">
      <c r="A743" t="inlineStr">
        <is>
          <t>A 61404-2021</t>
        </is>
      </c>
      <c r="B743" s="1" t="n">
        <v>44500</v>
      </c>
      <c r="C743" s="1" t="n">
        <v>45750</v>
      </c>
      <c r="D743" t="inlineStr">
        <is>
          <t>VÄSTERNORRLANDS LÄN</t>
        </is>
      </c>
      <c r="E743" t="inlineStr">
        <is>
          <t>ÅNGE</t>
        </is>
      </c>
      <c r="G743" t="n">
        <v>6.1</v>
      </c>
      <c r="H743" t="n">
        <v>0</v>
      </c>
      <c r="I743" t="n">
        <v>0</v>
      </c>
      <c r="J743" t="n">
        <v>0</v>
      </c>
      <c r="K743" t="n">
        <v>0</v>
      </c>
      <c r="L743" t="n">
        <v>0</v>
      </c>
      <c r="M743" t="n">
        <v>0</v>
      </c>
      <c r="N743" t="n">
        <v>0</v>
      </c>
      <c r="O743" t="n">
        <v>0</v>
      </c>
      <c r="P743" t="n">
        <v>0</v>
      </c>
      <c r="Q743" t="n">
        <v>0</v>
      </c>
      <c r="R743" s="2" t="inlineStr"/>
    </row>
    <row r="744" ht="15" customHeight="1">
      <c r="A744" t="inlineStr">
        <is>
          <t>A 61761-2021</t>
        </is>
      </c>
      <c r="B744" s="1" t="n">
        <v>44501</v>
      </c>
      <c r="C744" s="1" t="n">
        <v>45750</v>
      </c>
      <c r="D744" t="inlineStr">
        <is>
          <t>VÄSTERNORRLANDS LÄN</t>
        </is>
      </c>
      <c r="E744" t="inlineStr">
        <is>
          <t>ÅNGE</t>
        </is>
      </c>
      <c r="G744" t="n">
        <v>0.3</v>
      </c>
      <c r="H744" t="n">
        <v>0</v>
      </c>
      <c r="I744" t="n">
        <v>0</v>
      </c>
      <c r="J744" t="n">
        <v>0</v>
      </c>
      <c r="K744" t="n">
        <v>0</v>
      </c>
      <c r="L744" t="n">
        <v>0</v>
      </c>
      <c r="M744" t="n">
        <v>0</v>
      </c>
      <c r="N744" t="n">
        <v>0</v>
      </c>
      <c r="O744" t="n">
        <v>0</v>
      </c>
      <c r="P744" t="n">
        <v>0</v>
      </c>
      <c r="Q744" t="n">
        <v>0</v>
      </c>
      <c r="R744" s="2" t="inlineStr"/>
    </row>
    <row r="745" ht="15" customHeight="1">
      <c r="A745" t="inlineStr">
        <is>
          <t>A 61909-2021</t>
        </is>
      </c>
      <c r="B745" s="1" t="n">
        <v>44502</v>
      </c>
      <c r="C745" s="1" t="n">
        <v>45750</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61928-2021</t>
        </is>
      </c>
      <c r="B746" s="1" t="n">
        <v>44502</v>
      </c>
      <c r="C746" s="1" t="n">
        <v>45750</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62069-2021</t>
        </is>
      </c>
      <c r="B747" s="1" t="n">
        <v>44502</v>
      </c>
      <c r="C747" s="1" t="n">
        <v>45750</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62127-2021</t>
        </is>
      </c>
      <c r="B748" s="1" t="n">
        <v>44502</v>
      </c>
      <c r="C748" s="1" t="n">
        <v>45750</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62834-2021</t>
        </is>
      </c>
      <c r="B749" s="1" t="n">
        <v>44503</v>
      </c>
      <c r="C749" s="1" t="n">
        <v>45750</v>
      </c>
      <c r="D749" t="inlineStr">
        <is>
          <t>VÄSTERNORRLANDS LÄN</t>
        </is>
      </c>
      <c r="E749" t="inlineStr">
        <is>
          <t>ÅNGE</t>
        </is>
      </c>
      <c r="F749" t="inlineStr">
        <is>
          <t>Övriga statliga verk och myndigheter</t>
        </is>
      </c>
      <c r="G749" t="n">
        <v>2.6</v>
      </c>
      <c r="H749" t="n">
        <v>0</v>
      </c>
      <c r="I749" t="n">
        <v>0</v>
      </c>
      <c r="J749" t="n">
        <v>0</v>
      </c>
      <c r="K749" t="n">
        <v>0</v>
      </c>
      <c r="L749" t="n">
        <v>0</v>
      </c>
      <c r="M749" t="n">
        <v>0</v>
      </c>
      <c r="N749" t="n">
        <v>0</v>
      </c>
      <c r="O749" t="n">
        <v>0</v>
      </c>
      <c r="P749" t="n">
        <v>0</v>
      </c>
      <c r="Q749" t="n">
        <v>0</v>
      </c>
      <c r="R749" s="2" t="inlineStr"/>
    </row>
    <row r="750" ht="15" customHeight="1">
      <c r="A750" t="inlineStr">
        <is>
          <t>A 62870-2021</t>
        </is>
      </c>
      <c r="B750" s="1" t="n">
        <v>44503</v>
      </c>
      <c r="C750" s="1" t="n">
        <v>45750</v>
      </c>
      <c r="D750" t="inlineStr">
        <is>
          <t>VÄSTERNORRLANDS LÄN</t>
        </is>
      </c>
      <c r="E750" t="inlineStr">
        <is>
          <t>ÅNGE</t>
        </is>
      </c>
      <c r="F750" t="inlineStr">
        <is>
          <t>Övriga statliga verk och myndigheter</t>
        </is>
      </c>
      <c r="G750" t="n">
        <v>3</v>
      </c>
      <c r="H750" t="n">
        <v>0</v>
      </c>
      <c r="I750" t="n">
        <v>0</v>
      </c>
      <c r="J750" t="n">
        <v>0</v>
      </c>
      <c r="K750" t="n">
        <v>0</v>
      </c>
      <c r="L750" t="n">
        <v>0</v>
      </c>
      <c r="M750" t="n">
        <v>0</v>
      </c>
      <c r="N750" t="n">
        <v>0</v>
      </c>
      <c r="O750" t="n">
        <v>0</v>
      </c>
      <c r="P750" t="n">
        <v>0</v>
      </c>
      <c r="Q750" t="n">
        <v>0</v>
      </c>
      <c r="R750" s="2" t="inlineStr"/>
    </row>
    <row r="751" ht="15" customHeight="1">
      <c r="A751" t="inlineStr">
        <is>
          <t>A 63148-2021</t>
        </is>
      </c>
      <c r="B751" s="1" t="n">
        <v>44505</v>
      </c>
      <c r="C751" s="1" t="n">
        <v>45750</v>
      </c>
      <c r="D751" t="inlineStr">
        <is>
          <t>VÄSTERNORRLANDS LÄN</t>
        </is>
      </c>
      <c r="E751" t="inlineStr">
        <is>
          <t>ÅNGE</t>
        </is>
      </c>
      <c r="G751" t="n">
        <v>0.8</v>
      </c>
      <c r="H751" t="n">
        <v>0</v>
      </c>
      <c r="I751" t="n">
        <v>0</v>
      </c>
      <c r="J751" t="n">
        <v>0</v>
      </c>
      <c r="K751" t="n">
        <v>0</v>
      </c>
      <c r="L751" t="n">
        <v>0</v>
      </c>
      <c r="M751" t="n">
        <v>0</v>
      </c>
      <c r="N751" t="n">
        <v>0</v>
      </c>
      <c r="O751" t="n">
        <v>0</v>
      </c>
      <c r="P751" t="n">
        <v>0</v>
      </c>
      <c r="Q751" t="n">
        <v>0</v>
      </c>
      <c r="R751" s="2" t="inlineStr"/>
    </row>
    <row r="752" ht="15" customHeight="1">
      <c r="A752" t="inlineStr">
        <is>
          <t>A 63550-2021</t>
        </is>
      </c>
      <c r="B752" s="1" t="n">
        <v>44508</v>
      </c>
      <c r="C752" s="1" t="n">
        <v>45750</v>
      </c>
      <c r="D752" t="inlineStr">
        <is>
          <t>VÄSTERNORRLANDS LÄN</t>
        </is>
      </c>
      <c r="E752" t="inlineStr">
        <is>
          <t>ÅNGE</t>
        </is>
      </c>
      <c r="G752" t="n">
        <v>2.8</v>
      </c>
      <c r="H752" t="n">
        <v>0</v>
      </c>
      <c r="I752" t="n">
        <v>0</v>
      </c>
      <c r="J752" t="n">
        <v>0</v>
      </c>
      <c r="K752" t="n">
        <v>0</v>
      </c>
      <c r="L752" t="n">
        <v>0</v>
      </c>
      <c r="M752" t="n">
        <v>0</v>
      </c>
      <c r="N752" t="n">
        <v>0</v>
      </c>
      <c r="O752" t="n">
        <v>0</v>
      </c>
      <c r="P752" t="n">
        <v>0</v>
      </c>
      <c r="Q752" t="n">
        <v>0</v>
      </c>
      <c r="R752" s="2" t="inlineStr"/>
    </row>
    <row r="753" ht="15" customHeight="1">
      <c r="A753" t="inlineStr">
        <is>
          <t>A 63597-2021</t>
        </is>
      </c>
      <c r="B753" s="1" t="n">
        <v>44508</v>
      </c>
      <c r="C753" s="1" t="n">
        <v>45750</v>
      </c>
      <c r="D753" t="inlineStr">
        <is>
          <t>VÄSTERNORRLANDS LÄN</t>
        </is>
      </c>
      <c r="E753" t="inlineStr">
        <is>
          <t>ÅNGE</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63522-2021</t>
        </is>
      </c>
      <c r="B754" s="1" t="n">
        <v>44508</v>
      </c>
      <c r="C754" s="1" t="n">
        <v>45750</v>
      </c>
      <c r="D754" t="inlineStr">
        <is>
          <t>VÄSTERNORRLANDS LÄN</t>
        </is>
      </c>
      <c r="E754" t="inlineStr">
        <is>
          <t>ÅNGE</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63556-2021</t>
        </is>
      </c>
      <c r="B755" s="1" t="n">
        <v>44508</v>
      </c>
      <c r="C755" s="1" t="n">
        <v>45750</v>
      </c>
      <c r="D755" t="inlineStr">
        <is>
          <t>VÄSTERNORRLANDS LÄN</t>
        </is>
      </c>
      <c r="E755" t="inlineStr">
        <is>
          <t>ÅNGE</t>
        </is>
      </c>
      <c r="G755" t="n">
        <v>4.2</v>
      </c>
      <c r="H755" t="n">
        <v>0</v>
      </c>
      <c r="I755" t="n">
        <v>0</v>
      </c>
      <c r="J755" t="n">
        <v>0</v>
      </c>
      <c r="K755" t="n">
        <v>0</v>
      </c>
      <c r="L755" t="n">
        <v>0</v>
      </c>
      <c r="M755" t="n">
        <v>0</v>
      </c>
      <c r="N755" t="n">
        <v>0</v>
      </c>
      <c r="O755" t="n">
        <v>0</v>
      </c>
      <c r="P755" t="n">
        <v>0</v>
      </c>
      <c r="Q755" t="n">
        <v>0</v>
      </c>
      <c r="R755" s="2" t="inlineStr"/>
    </row>
    <row r="756" ht="15" customHeight="1">
      <c r="A756" t="inlineStr">
        <is>
          <t>A 63598-2021</t>
        </is>
      </c>
      <c r="B756" s="1" t="n">
        <v>44508</v>
      </c>
      <c r="C756" s="1" t="n">
        <v>45750</v>
      </c>
      <c r="D756" t="inlineStr">
        <is>
          <t>VÄSTERNORRLANDS LÄN</t>
        </is>
      </c>
      <c r="E756" t="inlineStr">
        <is>
          <t>ÅNGE</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63607-2021</t>
        </is>
      </c>
      <c r="B757" s="1" t="n">
        <v>44508</v>
      </c>
      <c r="C757" s="1" t="n">
        <v>45750</v>
      </c>
      <c r="D757" t="inlineStr">
        <is>
          <t>VÄSTERNORRLANDS LÄN</t>
        </is>
      </c>
      <c r="E757" t="inlineStr">
        <is>
          <t>ÅNGE</t>
        </is>
      </c>
      <c r="F757" t="inlineStr">
        <is>
          <t>SCA</t>
        </is>
      </c>
      <c r="G757" t="n">
        <v>6.7</v>
      </c>
      <c r="H757" t="n">
        <v>0</v>
      </c>
      <c r="I757" t="n">
        <v>0</v>
      </c>
      <c r="J757" t="n">
        <v>0</v>
      </c>
      <c r="K757" t="n">
        <v>0</v>
      </c>
      <c r="L757" t="n">
        <v>0</v>
      </c>
      <c r="M757" t="n">
        <v>0</v>
      </c>
      <c r="N757" t="n">
        <v>0</v>
      </c>
      <c r="O757" t="n">
        <v>0</v>
      </c>
      <c r="P757" t="n">
        <v>0</v>
      </c>
      <c r="Q757" t="n">
        <v>0</v>
      </c>
      <c r="R757" s="2" t="inlineStr"/>
    </row>
    <row r="758" ht="15" customHeight="1">
      <c r="A758" t="inlineStr">
        <is>
          <t>A 63599-2021</t>
        </is>
      </c>
      <c r="B758" s="1" t="n">
        <v>44508</v>
      </c>
      <c r="C758" s="1" t="n">
        <v>45750</v>
      </c>
      <c r="D758" t="inlineStr">
        <is>
          <t>VÄSTERNORRLANDS LÄN</t>
        </is>
      </c>
      <c r="E758" t="inlineStr">
        <is>
          <t>ÅNGE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63608-2021</t>
        </is>
      </c>
      <c r="B759" s="1" t="n">
        <v>44508</v>
      </c>
      <c r="C759" s="1" t="n">
        <v>45750</v>
      </c>
      <c r="D759" t="inlineStr">
        <is>
          <t>VÄSTERNORRLANDS LÄN</t>
        </is>
      </c>
      <c r="E759" t="inlineStr">
        <is>
          <t>ÅNGE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63609-2021</t>
        </is>
      </c>
      <c r="B760" s="1" t="n">
        <v>44508</v>
      </c>
      <c r="C760" s="1" t="n">
        <v>45750</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63836-2021</t>
        </is>
      </c>
      <c r="B761" s="1" t="n">
        <v>44509</v>
      </c>
      <c r="C761" s="1" t="n">
        <v>45750</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63897-2021</t>
        </is>
      </c>
      <c r="B762" s="1" t="n">
        <v>44509</v>
      </c>
      <c r="C762" s="1" t="n">
        <v>45750</v>
      </c>
      <c r="D762" t="inlineStr">
        <is>
          <t>VÄSTERNORRLANDS LÄN</t>
        </is>
      </c>
      <c r="E762" t="inlineStr">
        <is>
          <t>ÅNGE</t>
        </is>
      </c>
      <c r="G762" t="n">
        <v>4.1</v>
      </c>
      <c r="H762" t="n">
        <v>0</v>
      </c>
      <c r="I762" t="n">
        <v>0</v>
      </c>
      <c r="J762" t="n">
        <v>0</v>
      </c>
      <c r="K762" t="n">
        <v>0</v>
      </c>
      <c r="L762" t="n">
        <v>0</v>
      </c>
      <c r="M762" t="n">
        <v>0</v>
      </c>
      <c r="N762" t="n">
        <v>0</v>
      </c>
      <c r="O762" t="n">
        <v>0</v>
      </c>
      <c r="P762" t="n">
        <v>0</v>
      </c>
      <c r="Q762" t="n">
        <v>0</v>
      </c>
      <c r="R762" s="2" t="inlineStr"/>
    </row>
    <row r="763" ht="15" customHeight="1">
      <c r="A763" t="inlineStr">
        <is>
          <t>A 64121-2021</t>
        </is>
      </c>
      <c r="B763" s="1" t="n">
        <v>44510</v>
      </c>
      <c r="C763" s="1" t="n">
        <v>45750</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64962-2021</t>
        </is>
      </c>
      <c r="B764" s="1" t="n">
        <v>44512</v>
      </c>
      <c r="C764" s="1" t="n">
        <v>45750</v>
      </c>
      <c r="D764" t="inlineStr">
        <is>
          <t>VÄSTERNORRLANDS LÄN</t>
        </is>
      </c>
      <c r="E764" t="inlineStr">
        <is>
          <t>ÅNGE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65229-2021</t>
        </is>
      </c>
      <c r="B765" s="1" t="n">
        <v>44515</v>
      </c>
      <c r="C765" s="1" t="n">
        <v>45750</v>
      </c>
      <c r="D765" t="inlineStr">
        <is>
          <t>VÄSTERNORRLANDS LÄN</t>
        </is>
      </c>
      <c r="E765" t="inlineStr">
        <is>
          <t>ÅNGE</t>
        </is>
      </c>
      <c r="G765" t="n">
        <v>12.1</v>
      </c>
      <c r="H765" t="n">
        <v>0</v>
      </c>
      <c r="I765" t="n">
        <v>0</v>
      </c>
      <c r="J765" t="n">
        <v>0</v>
      </c>
      <c r="K765" t="n">
        <v>0</v>
      </c>
      <c r="L765" t="n">
        <v>0</v>
      </c>
      <c r="M765" t="n">
        <v>0</v>
      </c>
      <c r="N765" t="n">
        <v>0</v>
      </c>
      <c r="O765" t="n">
        <v>0</v>
      </c>
      <c r="P765" t="n">
        <v>0</v>
      </c>
      <c r="Q765" t="n">
        <v>0</v>
      </c>
      <c r="R765" s="2" t="inlineStr"/>
    </row>
    <row r="766" ht="15" customHeight="1">
      <c r="A766" t="inlineStr">
        <is>
          <t>A 65425-2021</t>
        </is>
      </c>
      <c r="B766" s="1" t="n">
        <v>44515</v>
      </c>
      <c r="C766" s="1" t="n">
        <v>45750</v>
      </c>
      <c r="D766" t="inlineStr">
        <is>
          <t>VÄSTERNORRLANDS LÄN</t>
        </is>
      </c>
      <c r="E766" t="inlineStr">
        <is>
          <t>ÅNGE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65435-2021</t>
        </is>
      </c>
      <c r="B767" s="1" t="n">
        <v>44515</v>
      </c>
      <c r="C767" s="1" t="n">
        <v>45750</v>
      </c>
      <c r="D767" t="inlineStr">
        <is>
          <t>VÄSTERNORRLANDS LÄN</t>
        </is>
      </c>
      <c r="E767" t="inlineStr">
        <is>
          <t>ÅNGE</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65437-2021</t>
        </is>
      </c>
      <c r="B768" s="1" t="n">
        <v>44515</v>
      </c>
      <c r="C768" s="1" t="n">
        <v>45750</v>
      </c>
      <c r="D768" t="inlineStr">
        <is>
          <t>VÄSTERNORRLANDS LÄN</t>
        </is>
      </c>
      <c r="E768" t="inlineStr">
        <is>
          <t>ÅNGE</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65633-2021</t>
        </is>
      </c>
      <c r="B769" s="1" t="n">
        <v>44516</v>
      </c>
      <c r="C769" s="1" t="n">
        <v>45750</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65790-2021</t>
        </is>
      </c>
      <c r="B770" s="1" t="n">
        <v>44516</v>
      </c>
      <c r="C770" s="1" t="n">
        <v>45750</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66229-2021</t>
        </is>
      </c>
      <c r="B771" s="1" t="n">
        <v>44518</v>
      </c>
      <c r="C771" s="1" t="n">
        <v>45750</v>
      </c>
      <c r="D771" t="inlineStr">
        <is>
          <t>VÄSTERNORRLANDS LÄN</t>
        </is>
      </c>
      <c r="E771" t="inlineStr">
        <is>
          <t>ÅNGE</t>
        </is>
      </c>
      <c r="G771" t="n">
        <v>3.5</v>
      </c>
      <c r="H771" t="n">
        <v>0</v>
      </c>
      <c r="I771" t="n">
        <v>0</v>
      </c>
      <c r="J771" t="n">
        <v>0</v>
      </c>
      <c r="K771" t="n">
        <v>0</v>
      </c>
      <c r="L771" t="n">
        <v>0</v>
      </c>
      <c r="M771" t="n">
        <v>0</v>
      </c>
      <c r="N771" t="n">
        <v>0</v>
      </c>
      <c r="O771" t="n">
        <v>0</v>
      </c>
      <c r="P771" t="n">
        <v>0</v>
      </c>
      <c r="Q771" t="n">
        <v>0</v>
      </c>
      <c r="R771" s="2" t="inlineStr"/>
    </row>
    <row r="772" ht="15" customHeight="1">
      <c r="A772" t="inlineStr">
        <is>
          <t>A 66233-2021</t>
        </is>
      </c>
      <c r="B772" s="1" t="n">
        <v>44518</v>
      </c>
      <c r="C772" s="1" t="n">
        <v>45750</v>
      </c>
      <c r="D772" t="inlineStr">
        <is>
          <t>VÄSTERNORRLANDS LÄN</t>
        </is>
      </c>
      <c r="E772" t="inlineStr">
        <is>
          <t>ÅNGE</t>
        </is>
      </c>
      <c r="G772" t="n">
        <v>3.1</v>
      </c>
      <c r="H772" t="n">
        <v>0</v>
      </c>
      <c r="I772" t="n">
        <v>0</v>
      </c>
      <c r="J772" t="n">
        <v>0</v>
      </c>
      <c r="K772" t="n">
        <v>0</v>
      </c>
      <c r="L772" t="n">
        <v>0</v>
      </c>
      <c r="M772" t="n">
        <v>0</v>
      </c>
      <c r="N772" t="n">
        <v>0</v>
      </c>
      <c r="O772" t="n">
        <v>0</v>
      </c>
      <c r="P772" t="n">
        <v>0</v>
      </c>
      <c r="Q772" t="n">
        <v>0</v>
      </c>
      <c r="R772" s="2" t="inlineStr"/>
    </row>
    <row r="773" ht="15" customHeight="1">
      <c r="A773" t="inlineStr">
        <is>
          <t>A 66262-2021</t>
        </is>
      </c>
      <c r="B773" s="1" t="n">
        <v>44518</v>
      </c>
      <c r="C773" s="1" t="n">
        <v>45750</v>
      </c>
      <c r="D773" t="inlineStr">
        <is>
          <t>VÄSTERNORRLANDS LÄN</t>
        </is>
      </c>
      <c r="E773" t="inlineStr">
        <is>
          <t>ÅNGE</t>
        </is>
      </c>
      <c r="G773" t="n">
        <v>4.9</v>
      </c>
      <c r="H773" t="n">
        <v>0</v>
      </c>
      <c r="I773" t="n">
        <v>0</v>
      </c>
      <c r="J773" t="n">
        <v>0</v>
      </c>
      <c r="K773" t="n">
        <v>0</v>
      </c>
      <c r="L773" t="n">
        <v>0</v>
      </c>
      <c r="M773" t="n">
        <v>0</v>
      </c>
      <c r="N773" t="n">
        <v>0</v>
      </c>
      <c r="O773" t="n">
        <v>0</v>
      </c>
      <c r="P773" t="n">
        <v>0</v>
      </c>
      <c r="Q773" t="n">
        <v>0</v>
      </c>
      <c r="R773" s="2" t="inlineStr"/>
    </row>
    <row r="774" ht="15" customHeight="1">
      <c r="A774" t="inlineStr">
        <is>
          <t>A 66265-2021</t>
        </is>
      </c>
      <c r="B774" s="1" t="n">
        <v>44518</v>
      </c>
      <c r="C774" s="1" t="n">
        <v>45750</v>
      </c>
      <c r="D774" t="inlineStr">
        <is>
          <t>VÄSTERNORRLANDS LÄN</t>
        </is>
      </c>
      <c r="E774" t="inlineStr">
        <is>
          <t>ÅNGE</t>
        </is>
      </c>
      <c r="G774" t="n">
        <v>6</v>
      </c>
      <c r="H774" t="n">
        <v>0</v>
      </c>
      <c r="I774" t="n">
        <v>0</v>
      </c>
      <c r="J774" t="n">
        <v>0</v>
      </c>
      <c r="K774" t="n">
        <v>0</v>
      </c>
      <c r="L774" t="n">
        <v>0</v>
      </c>
      <c r="M774" t="n">
        <v>0</v>
      </c>
      <c r="N774" t="n">
        <v>0</v>
      </c>
      <c r="O774" t="n">
        <v>0</v>
      </c>
      <c r="P774" t="n">
        <v>0</v>
      </c>
      <c r="Q774" t="n">
        <v>0</v>
      </c>
      <c r="R774" s="2" t="inlineStr"/>
    </row>
    <row r="775" ht="15" customHeight="1">
      <c r="A775" t="inlineStr">
        <is>
          <t>A 66560-2021</t>
        </is>
      </c>
      <c r="B775" s="1" t="n">
        <v>44519</v>
      </c>
      <c r="C775" s="1" t="n">
        <v>45750</v>
      </c>
      <c r="D775" t="inlineStr">
        <is>
          <t>VÄSTERNORRLANDS LÄN</t>
        </is>
      </c>
      <c r="E775" t="inlineStr">
        <is>
          <t>ÅNGE</t>
        </is>
      </c>
      <c r="G775" t="n">
        <v>2.6</v>
      </c>
      <c r="H775" t="n">
        <v>0</v>
      </c>
      <c r="I775" t="n">
        <v>0</v>
      </c>
      <c r="J775" t="n">
        <v>0</v>
      </c>
      <c r="K775" t="n">
        <v>0</v>
      </c>
      <c r="L775" t="n">
        <v>0</v>
      </c>
      <c r="M775" t="n">
        <v>0</v>
      </c>
      <c r="N775" t="n">
        <v>0</v>
      </c>
      <c r="O775" t="n">
        <v>0</v>
      </c>
      <c r="P775" t="n">
        <v>0</v>
      </c>
      <c r="Q775" t="n">
        <v>0</v>
      </c>
      <c r="R775" s="2" t="inlineStr"/>
    </row>
    <row r="776" ht="15" customHeight="1">
      <c r="A776" t="inlineStr">
        <is>
          <t>A 67396-2021</t>
        </is>
      </c>
      <c r="B776" s="1" t="n">
        <v>44523</v>
      </c>
      <c r="C776" s="1" t="n">
        <v>45750</v>
      </c>
      <c r="D776" t="inlineStr">
        <is>
          <t>VÄSTERNORRLANDS LÄN</t>
        </is>
      </c>
      <c r="E776" t="inlineStr">
        <is>
          <t>ÅNGE</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67546-2021</t>
        </is>
      </c>
      <c r="B777" s="1" t="n">
        <v>44524</v>
      </c>
      <c r="C777" s="1" t="n">
        <v>45750</v>
      </c>
      <c r="D777" t="inlineStr">
        <is>
          <t>VÄSTERNORRLANDS LÄN</t>
        </is>
      </c>
      <c r="E777" t="inlineStr">
        <is>
          <t>ÅNGE</t>
        </is>
      </c>
      <c r="G777" t="n">
        <v>0.5</v>
      </c>
      <c r="H777" t="n">
        <v>0</v>
      </c>
      <c r="I777" t="n">
        <v>0</v>
      </c>
      <c r="J777" t="n">
        <v>0</v>
      </c>
      <c r="K777" t="n">
        <v>0</v>
      </c>
      <c r="L777" t="n">
        <v>0</v>
      </c>
      <c r="M777" t="n">
        <v>0</v>
      </c>
      <c r="N777" t="n">
        <v>0</v>
      </c>
      <c r="O777" t="n">
        <v>0</v>
      </c>
      <c r="P777" t="n">
        <v>0</v>
      </c>
      <c r="Q777" t="n">
        <v>0</v>
      </c>
      <c r="R777" s="2" t="inlineStr"/>
    </row>
    <row r="778" ht="15" customHeight="1">
      <c r="A778" t="inlineStr">
        <is>
          <t>A 67708-2021</t>
        </is>
      </c>
      <c r="B778" s="1" t="n">
        <v>44524</v>
      </c>
      <c r="C778" s="1" t="n">
        <v>45750</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67712-2021</t>
        </is>
      </c>
      <c r="B779" s="1" t="n">
        <v>44524</v>
      </c>
      <c r="C779" s="1" t="n">
        <v>45750</v>
      </c>
      <c r="D779" t="inlineStr">
        <is>
          <t>VÄSTERNORRLANDS LÄN</t>
        </is>
      </c>
      <c r="E779" t="inlineStr">
        <is>
          <t>ÅNGE</t>
        </is>
      </c>
      <c r="G779" t="n">
        <v>3</v>
      </c>
      <c r="H779" t="n">
        <v>0</v>
      </c>
      <c r="I779" t="n">
        <v>0</v>
      </c>
      <c r="J779" t="n">
        <v>0</v>
      </c>
      <c r="K779" t="n">
        <v>0</v>
      </c>
      <c r="L779" t="n">
        <v>0</v>
      </c>
      <c r="M779" t="n">
        <v>0</v>
      </c>
      <c r="N779" t="n">
        <v>0</v>
      </c>
      <c r="O779" t="n">
        <v>0</v>
      </c>
      <c r="P779" t="n">
        <v>0</v>
      </c>
      <c r="Q779" t="n">
        <v>0</v>
      </c>
      <c r="R779" s="2" t="inlineStr"/>
    </row>
    <row r="780" ht="15" customHeight="1">
      <c r="A780" t="inlineStr">
        <is>
          <t>A 68743-2021</t>
        </is>
      </c>
      <c r="B780" s="1" t="n">
        <v>44529</v>
      </c>
      <c r="C780" s="1" t="n">
        <v>45750</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69736-2021</t>
        </is>
      </c>
      <c r="B781" s="1" t="n">
        <v>44532</v>
      </c>
      <c r="C781" s="1" t="n">
        <v>45750</v>
      </c>
      <c r="D781" t="inlineStr">
        <is>
          <t>VÄSTERNORRLANDS LÄN</t>
        </is>
      </c>
      <c r="E781" t="inlineStr">
        <is>
          <t>ÅNGE</t>
        </is>
      </c>
      <c r="G781" t="n">
        <v>5</v>
      </c>
      <c r="H781" t="n">
        <v>0</v>
      </c>
      <c r="I781" t="n">
        <v>0</v>
      </c>
      <c r="J781" t="n">
        <v>0</v>
      </c>
      <c r="K781" t="n">
        <v>0</v>
      </c>
      <c r="L781" t="n">
        <v>0</v>
      </c>
      <c r="M781" t="n">
        <v>0</v>
      </c>
      <c r="N781" t="n">
        <v>0</v>
      </c>
      <c r="O781" t="n">
        <v>0</v>
      </c>
      <c r="P781" t="n">
        <v>0</v>
      </c>
      <c r="Q781" t="n">
        <v>0</v>
      </c>
      <c r="R781" s="2" t="inlineStr"/>
    </row>
    <row r="782" ht="15" customHeight="1">
      <c r="A782" t="inlineStr">
        <is>
          <t>A 69790-2021</t>
        </is>
      </c>
      <c r="B782" s="1" t="n">
        <v>44532</v>
      </c>
      <c r="C782" s="1" t="n">
        <v>45750</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70809-2021</t>
        </is>
      </c>
      <c r="B783" s="1" t="n">
        <v>44537</v>
      </c>
      <c r="C783" s="1" t="n">
        <v>45750</v>
      </c>
      <c r="D783" t="inlineStr">
        <is>
          <t>VÄSTERNORRLANDS LÄN</t>
        </is>
      </c>
      <c r="E783" t="inlineStr">
        <is>
          <t>ÅNGE</t>
        </is>
      </c>
      <c r="G783" t="n">
        <v>2.4</v>
      </c>
      <c r="H783" t="n">
        <v>0</v>
      </c>
      <c r="I783" t="n">
        <v>0</v>
      </c>
      <c r="J783" t="n">
        <v>0</v>
      </c>
      <c r="K783" t="n">
        <v>0</v>
      </c>
      <c r="L783" t="n">
        <v>0</v>
      </c>
      <c r="M783" t="n">
        <v>0</v>
      </c>
      <c r="N783" t="n">
        <v>0</v>
      </c>
      <c r="O783" t="n">
        <v>0</v>
      </c>
      <c r="P783" t="n">
        <v>0</v>
      </c>
      <c r="Q783" t="n">
        <v>0</v>
      </c>
      <c r="R783" s="2" t="inlineStr"/>
    </row>
    <row r="784" ht="15" customHeight="1">
      <c r="A784" t="inlineStr">
        <is>
          <t>A 70899-2021</t>
        </is>
      </c>
      <c r="B784" s="1" t="n">
        <v>44537</v>
      </c>
      <c r="C784" s="1" t="n">
        <v>45750</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70893-2021</t>
        </is>
      </c>
      <c r="B785" s="1" t="n">
        <v>44538</v>
      </c>
      <c r="C785" s="1" t="n">
        <v>45750</v>
      </c>
      <c r="D785" t="inlineStr">
        <is>
          <t>VÄSTERNORRLANDS LÄN</t>
        </is>
      </c>
      <c r="E785" t="inlineStr">
        <is>
          <t>ÅNGE</t>
        </is>
      </c>
      <c r="G785" t="n">
        <v>6.2</v>
      </c>
      <c r="H785" t="n">
        <v>0</v>
      </c>
      <c r="I785" t="n">
        <v>0</v>
      </c>
      <c r="J785" t="n">
        <v>0</v>
      </c>
      <c r="K785" t="n">
        <v>0</v>
      </c>
      <c r="L785" t="n">
        <v>0</v>
      </c>
      <c r="M785" t="n">
        <v>0</v>
      </c>
      <c r="N785" t="n">
        <v>0</v>
      </c>
      <c r="O785" t="n">
        <v>0</v>
      </c>
      <c r="P785" t="n">
        <v>0</v>
      </c>
      <c r="Q785" t="n">
        <v>0</v>
      </c>
      <c r="R785" s="2" t="inlineStr"/>
    </row>
    <row r="786" ht="15" customHeight="1">
      <c r="A786" t="inlineStr">
        <is>
          <t>A 71651-2021</t>
        </is>
      </c>
      <c r="B786" s="1" t="n">
        <v>44538</v>
      </c>
      <c r="C786" s="1" t="n">
        <v>45750</v>
      </c>
      <c r="D786" t="inlineStr">
        <is>
          <t>VÄSTERNORRLANDS LÄN</t>
        </is>
      </c>
      <c r="E786" t="inlineStr">
        <is>
          <t>ÅNGE</t>
        </is>
      </c>
      <c r="G786" t="n">
        <v>4.4</v>
      </c>
      <c r="H786" t="n">
        <v>0</v>
      </c>
      <c r="I786" t="n">
        <v>0</v>
      </c>
      <c r="J786" t="n">
        <v>0</v>
      </c>
      <c r="K786" t="n">
        <v>0</v>
      </c>
      <c r="L786" t="n">
        <v>0</v>
      </c>
      <c r="M786" t="n">
        <v>0</v>
      </c>
      <c r="N786" t="n">
        <v>0</v>
      </c>
      <c r="O786" t="n">
        <v>0</v>
      </c>
      <c r="P786" t="n">
        <v>0</v>
      </c>
      <c r="Q786" t="n">
        <v>0</v>
      </c>
      <c r="R786" s="2" t="inlineStr"/>
    </row>
    <row r="787" ht="15" customHeight="1">
      <c r="A787" t="inlineStr">
        <is>
          <t>A 71669-2021</t>
        </is>
      </c>
      <c r="B787" s="1" t="n">
        <v>44538</v>
      </c>
      <c r="C787" s="1" t="n">
        <v>45750</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71302-2021</t>
        </is>
      </c>
      <c r="B788" s="1" t="n">
        <v>44539</v>
      </c>
      <c r="C788" s="1" t="n">
        <v>45750</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71357-2021</t>
        </is>
      </c>
      <c r="B789" s="1" t="n">
        <v>44539</v>
      </c>
      <c r="C789" s="1" t="n">
        <v>45750</v>
      </c>
      <c r="D789" t="inlineStr">
        <is>
          <t>VÄSTERNORRLANDS LÄN</t>
        </is>
      </c>
      <c r="E789" t="inlineStr">
        <is>
          <t>ÅNGE</t>
        </is>
      </c>
      <c r="G789" t="n">
        <v>5.4</v>
      </c>
      <c r="H789" t="n">
        <v>0</v>
      </c>
      <c r="I789" t="n">
        <v>0</v>
      </c>
      <c r="J789" t="n">
        <v>0</v>
      </c>
      <c r="K789" t="n">
        <v>0</v>
      </c>
      <c r="L789" t="n">
        <v>0</v>
      </c>
      <c r="M789" t="n">
        <v>0</v>
      </c>
      <c r="N789" t="n">
        <v>0</v>
      </c>
      <c r="O789" t="n">
        <v>0</v>
      </c>
      <c r="P789" t="n">
        <v>0</v>
      </c>
      <c r="Q789" t="n">
        <v>0</v>
      </c>
      <c r="R789" s="2" t="inlineStr"/>
    </row>
    <row r="790" ht="15" customHeight="1">
      <c r="A790" t="inlineStr">
        <is>
          <t>A 71396-2021</t>
        </is>
      </c>
      <c r="B790" s="1" t="n">
        <v>44540</v>
      </c>
      <c r="C790" s="1" t="n">
        <v>45750</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71449-2021</t>
        </is>
      </c>
      <c r="B791" s="1" t="n">
        <v>44540</v>
      </c>
      <c r="C791" s="1" t="n">
        <v>45750</v>
      </c>
      <c r="D791" t="inlineStr">
        <is>
          <t>VÄSTERNORRLANDS LÄN</t>
        </is>
      </c>
      <c r="E791" t="inlineStr">
        <is>
          <t>ÅNGE</t>
        </is>
      </c>
      <c r="G791" t="n">
        <v>1</v>
      </c>
      <c r="H791" t="n">
        <v>0</v>
      </c>
      <c r="I791" t="n">
        <v>0</v>
      </c>
      <c r="J791" t="n">
        <v>0</v>
      </c>
      <c r="K791" t="n">
        <v>0</v>
      </c>
      <c r="L791" t="n">
        <v>0</v>
      </c>
      <c r="M791" t="n">
        <v>0</v>
      </c>
      <c r="N791" t="n">
        <v>0</v>
      </c>
      <c r="O791" t="n">
        <v>0</v>
      </c>
      <c r="P791" t="n">
        <v>0</v>
      </c>
      <c r="Q791" t="n">
        <v>0</v>
      </c>
      <c r="R791" s="2" t="inlineStr"/>
    </row>
    <row r="792" ht="15" customHeight="1">
      <c r="A792" t="inlineStr">
        <is>
          <t>A 71965-2021</t>
        </is>
      </c>
      <c r="B792" s="1" t="n">
        <v>44544</v>
      </c>
      <c r="C792" s="1" t="n">
        <v>45750</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72239-2021</t>
        </is>
      </c>
      <c r="B793" s="1" t="n">
        <v>44544</v>
      </c>
      <c r="C793" s="1" t="n">
        <v>45750</v>
      </c>
      <c r="D793" t="inlineStr">
        <is>
          <t>VÄSTERNORRLANDS LÄN</t>
        </is>
      </c>
      <c r="E793" t="inlineStr">
        <is>
          <t>ÅNGE</t>
        </is>
      </c>
      <c r="G793" t="n">
        <v>1.2</v>
      </c>
      <c r="H793" t="n">
        <v>0</v>
      </c>
      <c r="I793" t="n">
        <v>0</v>
      </c>
      <c r="J793" t="n">
        <v>0</v>
      </c>
      <c r="K793" t="n">
        <v>0</v>
      </c>
      <c r="L793" t="n">
        <v>0</v>
      </c>
      <c r="M793" t="n">
        <v>0</v>
      </c>
      <c r="N793" t="n">
        <v>0</v>
      </c>
      <c r="O793" t="n">
        <v>0</v>
      </c>
      <c r="P793" t="n">
        <v>0</v>
      </c>
      <c r="Q793" t="n">
        <v>0</v>
      </c>
      <c r="R793" s="2" t="inlineStr"/>
    </row>
    <row r="794" ht="15" customHeight="1">
      <c r="A794" t="inlineStr">
        <is>
          <t>A 74088-2021</t>
        </is>
      </c>
      <c r="B794" s="1" t="n">
        <v>44557</v>
      </c>
      <c r="C794" s="1" t="n">
        <v>45750</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74109-2021</t>
        </is>
      </c>
      <c r="B795" s="1" t="n">
        <v>44557</v>
      </c>
      <c r="C795" s="1" t="n">
        <v>45750</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74194-2021</t>
        </is>
      </c>
      <c r="B796" s="1" t="n">
        <v>44558</v>
      </c>
      <c r="C796" s="1" t="n">
        <v>45750</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1081-2022</t>
        </is>
      </c>
      <c r="B797" s="1" t="n">
        <v>44571</v>
      </c>
      <c r="C797" s="1" t="n">
        <v>45750</v>
      </c>
      <c r="D797" t="inlineStr">
        <is>
          <t>VÄSTERNORRLANDS LÄN</t>
        </is>
      </c>
      <c r="E797" t="inlineStr">
        <is>
          <t>ÅNGE</t>
        </is>
      </c>
      <c r="G797" t="n">
        <v>2.2</v>
      </c>
      <c r="H797" t="n">
        <v>0</v>
      </c>
      <c r="I797" t="n">
        <v>0</v>
      </c>
      <c r="J797" t="n">
        <v>0</v>
      </c>
      <c r="K797" t="n">
        <v>0</v>
      </c>
      <c r="L797" t="n">
        <v>0</v>
      </c>
      <c r="M797" t="n">
        <v>0</v>
      </c>
      <c r="N797" t="n">
        <v>0</v>
      </c>
      <c r="O797" t="n">
        <v>0</v>
      </c>
      <c r="P797" t="n">
        <v>0</v>
      </c>
      <c r="Q797" t="n">
        <v>0</v>
      </c>
      <c r="R797" s="2" t="inlineStr"/>
    </row>
    <row r="798" ht="15" customHeight="1">
      <c r="A798" t="inlineStr">
        <is>
          <t>A 1297-2022</t>
        </is>
      </c>
      <c r="B798" s="1" t="n">
        <v>44572</v>
      </c>
      <c r="C798" s="1" t="n">
        <v>45750</v>
      </c>
      <c r="D798" t="inlineStr">
        <is>
          <t>VÄSTERNORRLANDS LÄN</t>
        </is>
      </c>
      <c r="E798" t="inlineStr">
        <is>
          <t>ÅNGE</t>
        </is>
      </c>
      <c r="G798" t="n">
        <v>2.3</v>
      </c>
      <c r="H798" t="n">
        <v>0</v>
      </c>
      <c r="I798" t="n">
        <v>0</v>
      </c>
      <c r="J798" t="n">
        <v>0</v>
      </c>
      <c r="K798" t="n">
        <v>0</v>
      </c>
      <c r="L798" t="n">
        <v>0</v>
      </c>
      <c r="M798" t="n">
        <v>0</v>
      </c>
      <c r="N798" t="n">
        <v>0</v>
      </c>
      <c r="O798" t="n">
        <v>0</v>
      </c>
      <c r="P798" t="n">
        <v>0</v>
      </c>
      <c r="Q798" t="n">
        <v>0</v>
      </c>
      <c r="R798" s="2" t="inlineStr"/>
    </row>
    <row r="799" ht="15" customHeight="1">
      <c r="A799" t="inlineStr">
        <is>
          <t>A 1869-2022</t>
        </is>
      </c>
      <c r="B799" s="1" t="n">
        <v>44574</v>
      </c>
      <c r="C799" s="1" t="n">
        <v>45750</v>
      </c>
      <c r="D799" t="inlineStr">
        <is>
          <t>VÄSTERNORRLANDS LÄN</t>
        </is>
      </c>
      <c r="E799" t="inlineStr">
        <is>
          <t>ÅNGE</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1964-2022</t>
        </is>
      </c>
      <c r="B800" s="1" t="n">
        <v>44575</v>
      </c>
      <c r="C800" s="1" t="n">
        <v>45750</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4651-2022</t>
        </is>
      </c>
      <c r="B801" s="1" t="n">
        <v>44592</v>
      </c>
      <c r="C801" s="1" t="n">
        <v>45750</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4939-2022</t>
        </is>
      </c>
      <c r="B802" s="1" t="n">
        <v>44593</v>
      </c>
      <c r="C802" s="1" t="n">
        <v>45750</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5113-2022</t>
        </is>
      </c>
      <c r="B803" s="1" t="n">
        <v>44593</v>
      </c>
      <c r="C803" s="1" t="n">
        <v>45750</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5112-2022</t>
        </is>
      </c>
      <c r="B804" s="1" t="n">
        <v>44593</v>
      </c>
      <c r="C804" s="1" t="n">
        <v>45750</v>
      </c>
      <c r="D804" t="inlineStr">
        <is>
          <t>VÄSTERNORRLANDS LÄN</t>
        </is>
      </c>
      <c r="E804" t="inlineStr">
        <is>
          <t>ÅNGE</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5279-2022</t>
        </is>
      </c>
      <c r="B805" s="1" t="n">
        <v>44594</v>
      </c>
      <c r="C805" s="1" t="n">
        <v>45750</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5369-2022</t>
        </is>
      </c>
      <c r="B806" s="1" t="n">
        <v>44594</v>
      </c>
      <c r="C806" s="1" t="n">
        <v>45750</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5381-2022</t>
        </is>
      </c>
      <c r="B807" s="1" t="n">
        <v>44594</v>
      </c>
      <c r="C807" s="1" t="n">
        <v>45750</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5367-2022</t>
        </is>
      </c>
      <c r="B808" s="1" t="n">
        <v>44594</v>
      </c>
      <c r="C808" s="1" t="n">
        <v>45750</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5366-2022</t>
        </is>
      </c>
      <c r="B809" s="1" t="n">
        <v>44594</v>
      </c>
      <c r="C809" s="1" t="n">
        <v>45750</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5520-2022</t>
        </is>
      </c>
      <c r="B810" s="1" t="n">
        <v>44595</v>
      </c>
      <c r="C810" s="1" t="n">
        <v>45750</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5552-2022</t>
        </is>
      </c>
      <c r="B811" s="1" t="n">
        <v>44595</v>
      </c>
      <c r="C811" s="1" t="n">
        <v>45750</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5565-2022</t>
        </is>
      </c>
      <c r="B812" s="1" t="n">
        <v>44595</v>
      </c>
      <c r="C812" s="1" t="n">
        <v>45750</v>
      </c>
      <c r="D812" t="inlineStr">
        <is>
          <t>VÄSTERNORRLANDS LÄN</t>
        </is>
      </c>
      <c r="E812" t="inlineStr">
        <is>
          <t>ÅNGE</t>
        </is>
      </c>
      <c r="G812" t="n">
        <v>0.3</v>
      </c>
      <c r="H812" t="n">
        <v>0</v>
      </c>
      <c r="I812" t="n">
        <v>0</v>
      </c>
      <c r="J812" t="n">
        <v>0</v>
      </c>
      <c r="K812" t="n">
        <v>0</v>
      </c>
      <c r="L812" t="n">
        <v>0</v>
      </c>
      <c r="M812" t="n">
        <v>0</v>
      </c>
      <c r="N812" t="n">
        <v>0</v>
      </c>
      <c r="O812" t="n">
        <v>0</v>
      </c>
      <c r="P812" t="n">
        <v>0</v>
      </c>
      <c r="Q812" t="n">
        <v>0</v>
      </c>
      <c r="R812" s="2" t="inlineStr"/>
    </row>
    <row r="813" ht="15" customHeight="1">
      <c r="A813" t="inlineStr">
        <is>
          <t>A 6113-2022</t>
        </is>
      </c>
      <c r="B813" s="1" t="n">
        <v>44599</v>
      </c>
      <c r="C813" s="1" t="n">
        <v>45750</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6112-2022</t>
        </is>
      </c>
      <c r="B814" s="1" t="n">
        <v>44599</v>
      </c>
      <c r="C814" s="1" t="n">
        <v>45750</v>
      </c>
      <c r="D814" t="inlineStr">
        <is>
          <t>VÄSTERNORRLANDS LÄN</t>
        </is>
      </c>
      <c r="E814" t="inlineStr">
        <is>
          <t>ÅNGE</t>
        </is>
      </c>
      <c r="G814" t="n">
        <v>5.6</v>
      </c>
      <c r="H814" t="n">
        <v>0</v>
      </c>
      <c r="I814" t="n">
        <v>0</v>
      </c>
      <c r="J814" t="n">
        <v>0</v>
      </c>
      <c r="K814" t="n">
        <v>0</v>
      </c>
      <c r="L814" t="n">
        <v>0</v>
      </c>
      <c r="M814" t="n">
        <v>0</v>
      </c>
      <c r="N814" t="n">
        <v>0</v>
      </c>
      <c r="O814" t="n">
        <v>0</v>
      </c>
      <c r="P814" t="n">
        <v>0</v>
      </c>
      <c r="Q814" t="n">
        <v>0</v>
      </c>
      <c r="R814" s="2" t="inlineStr"/>
    </row>
    <row r="815" ht="15" customHeight="1">
      <c r="A815" t="inlineStr">
        <is>
          <t>A 6115-2022</t>
        </is>
      </c>
      <c r="B815" s="1" t="n">
        <v>44599</v>
      </c>
      <c r="C815" s="1" t="n">
        <v>45750</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6263-2022</t>
        </is>
      </c>
      <c r="B816" s="1" t="n">
        <v>44600</v>
      </c>
      <c r="C816" s="1" t="n">
        <v>45750</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6443-2022</t>
        </is>
      </c>
      <c r="B817" s="1" t="n">
        <v>44601</v>
      </c>
      <c r="C817" s="1" t="n">
        <v>45750</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6677-2022</t>
        </is>
      </c>
      <c r="B818" s="1" t="n">
        <v>44602</v>
      </c>
      <c r="C818" s="1" t="n">
        <v>45750</v>
      </c>
      <c r="D818" t="inlineStr">
        <is>
          <t>VÄSTERNORRLANDS LÄN</t>
        </is>
      </c>
      <c r="E818" t="inlineStr">
        <is>
          <t>ÅNGE</t>
        </is>
      </c>
      <c r="G818" t="n">
        <v>2.7</v>
      </c>
      <c r="H818" t="n">
        <v>0</v>
      </c>
      <c r="I818" t="n">
        <v>0</v>
      </c>
      <c r="J818" t="n">
        <v>0</v>
      </c>
      <c r="K818" t="n">
        <v>0</v>
      </c>
      <c r="L818" t="n">
        <v>0</v>
      </c>
      <c r="M818" t="n">
        <v>0</v>
      </c>
      <c r="N818" t="n">
        <v>0</v>
      </c>
      <c r="O818" t="n">
        <v>0</v>
      </c>
      <c r="P818" t="n">
        <v>0</v>
      </c>
      <c r="Q818" t="n">
        <v>0</v>
      </c>
      <c r="R818" s="2" t="inlineStr"/>
    </row>
    <row r="819" ht="15" customHeight="1">
      <c r="A819" t="inlineStr">
        <is>
          <t>A 6732-2022</t>
        </is>
      </c>
      <c r="B819" s="1" t="n">
        <v>44602</v>
      </c>
      <c r="C819" s="1" t="n">
        <v>45750</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6899-2022</t>
        </is>
      </c>
      <c r="B820" s="1" t="n">
        <v>44602</v>
      </c>
      <c r="C820" s="1" t="n">
        <v>45750</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6898-2022</t>
        </is>
      </c>
      <c r="B821" s="1" t="n">
        <v>44602</v>
      </c>
      <c r="C821" s="1" t="n">
        <v>45750</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7158-2022</t>
        </is>
      </c>
      <c r="B822" s="1" t="n">
        <v>44604</v>
      </c>
      <c r="C822" s="1" t="n">
        <v>45750</v>
      </c>
      <c r="D822" t="inlineStr">
        <is>
          <t>VÄSTERNORRLANDS LÄN</t>
        </is>
      </c>
      <c r="E822" t="inlineStr">
        <is>
          <t>ÅNGE</t>
        </is>
      </c>
      <c r="G822" t="n">
        <v>0.4</v>
      </c>
      <c r="H822" t="n">
        <v>0</v>
      </c>
      <c r="I822" t="n">
        <v>0</v>
      </c>
      <c r="J822" t="n">
        <v>0</v>
      </c>
      <c r="K822" t="n">
        <v>0</v>
      </c>
      <c r="L822" t="n">
        <v>0</v>
      </c>
      <c r="M822" t="n">
        <v>0</v>
      </c>
      <c r="N822" t="n">
        <v>0</v>
      </c>
      <c r="O822" t="n">
        <v>0</v>
      </c>
      <c r="P822" t="n">
        <v>0</v>
      </c>
      <c r="Q822" t="n">
        <v>0</v>
      </c>
      <c r="R822" s="2" t="inlineStr"/>
    </row>
    <row r="823" ht="15" customHeight="1">
      <c r="A823" t="inlineStr">
        <is>
          <t>A 7205-2022</t>
        </is>
      </c>
      <c r="B823" s="1" t="n">
        <v>44606</v>
      </c>
      <c r="C823" s="1" t="n">
        <v>45750</v>
      </c>
      <c r="D823" t="inlineStr">
        <is>
          <t>VÄSTERNORRLANDS LÄN</t>
        </is>
      </c>
      <c r="E823" t="inlineStr">
        <is>
          <t>ÅNGE</t>
        </is>
      </c>
      <c r="G823" t="n">
        <v>20.5</v>
      </c>
      <c r="H823" t="n">
        <v>0</v>
      </c>
      <c r="I823" t="n">
        <v>0</v>
      </c>
      <c r="J823" t="n">
        <v>0</v>
      </c>
      <c r="K823" t="n">
        <v>0</v>
      </c>
      <c r="L823" t="n">
        <v>0</v>
      </c>
      <c r="M823" t="n">
        <v>0</v>
      </c>
      <c r="N823" t="n">
        <v>0</v>
      </c>
      <c r="O823" t="n">
        <v>0</v>
      </c>
      <c r="P823" t="n">
        <v>0</v>
      </c>
      <c r="Q823" t="n">
        <v>0</v>
      </c>
      <c r="R823" s="2" t="inlineStr"/>
    </row>
    <row r="824" ht="15" customHeight="1">
      <c r="A824" t="inlineStr">
        <is>
          <t>A 7298-2022</t>
        </is>
      </c>
      <c r="B824" s="1" t="n">
        <v>44606</v>
      </c>
      <c r="C824" s="1" t="n">
        <v>45750</v>
      </c>
      <c r="D824" t="inlineStr">
        <is>
          <t>VÄSTERNORRLANDS LÄN</t>
        </is>
      </c>
      <c r="E824" t="inlineStr">
        <is>
          <t>ÅNGE</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7633-2022</t>
        </is>
      </c>
      <c r="B825" s="1" t="n">
        <v>44607</v>
      </c>
      <c r="C825" s="1" t="n">
        <v>45750</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7649-2022</t>
        </is>
      </c>
      <c r="B826" s="1" t="n">
        <v>44607</v>
      </c>
      <c r="C826" s="1" t="n">
        <v>45750</v>
      </c>
      <c r="D826" t="inlineStr">
        <is>
          <t>VÄSTERNORRLANDS LÄN</t>
        </is>
      </c>
      <c r="E826" t="inlineStr">
        <is>
          <t>ÅNGE</t>
        </is>
      </c>
      <c r="G826" t="n">
        <v>1.9</v>
      </c>
      <c r="H826" t="n">
        <v>0</v>
      </c>
      <c r="I826" t="n">
        <v>0</v>
      </c>
      <c r="J826" t="n">
        <v>0</v>
      </c>
      <c r="K826" t="n">
        <v>0</v>
      </c>
      <c r="L826" t="n">
        <v>0</v>
      </c>
      <c r="M826" t="n">
        <v>0</v>
      </c>
      <c r="N826" t="n">
        <v>0</v>
      </c>
      <c r="O826" t="n">
        <v>0</v>
      </c>
      <c r="P826" t="n">
        <v>0</v>
      </c>
      <c r="Q826" t="n">
        <v>0</v>
      </c>
      <c r="R826" s="2" t="inlineStr"/>
    </row>
    <row r="827" ht="15" customHeight="1">
      <c r="A827" t="inlineStr">
        <is>
          <t>A 8070-2022</t>
        </is>
      </c>
      <c r="B827" s="1" t="n">
        <v>44609</v>
      </c>
      <c r="C827" s="1" t="n">
        <v>45750</v>
      </c>
      <c r="D827" t="inlineStr">
        <is>
          <t>VÄSTERNORRLANDS LÄN</t>
        </is>
      </c>
      <c r="E827" t="inlineStr">
        <is>
          <t>ÅNGE</t>
        </is>
      </c>
      <c r="G827" t="n">
        <v>3.5</v>
      </c>
      <c r="H827" t="n">
        <v>0</v>
      </c>
      <c r="I827" t="n">
        <v>0</v>
      </c>
      <c r="J827" t="n">
        <v>0</v>
      </c>
      <c r="K827" t="n">
        <v>0</v>
      </c>
      <c r="L827" t="n">
        <v>0</v>
      </c>
      <c r="M827" t="n">
        <v>0</v>
      </c>
      <c r="N827" t="n">
        <v>0</v>
      </c>
      <c r="O827" t="n">
        <v>0</v>
      </c>
      <c r="P827" t="n">
        <v>0</v>
      </c>
      <c r="Q827" t="n">
        <v>0</v>
      </c>
      <c r="R827" s="2" t="inlineStr"/>
    </row>
    <row r="828" ht="15" customHeight="1">
      <c r="A828" t="inlineStr">
        <is>
          <t>A 8755-2022</t>
        </is>
      </c>
      <c r="B828" s="1" t="n">
        <v>44614</v>
      </c>
      <c r="C828" s="1" t="n">
        <v>45750</v>
      </c>
      <c r="D828" t="inlineStr">
        <is>
          <t>VÄSTERNORRLANDS LÄN</t>
        </is>
      </c>
      <c r="E828" t="inlineStr">
        <is>
          <t>ÅNGE</t>
        </is>
      </c>
      <c r="G828" t="n">
        <v>2</v>
      </c>
      <c r="H828" t="n">
        <v>0</v>
      </c>
      <c r="I828" t="n">
        <v>0</v>
      </c>
      <c r="J828" t="n">
        <v>0</v>
      </c>
      <c r="K828" t="n">
        <v>0</v>
      </c>
      <c r="L828" t="n">
        <v>0</v>
      </c>
      <c r="M828" t="n">
        <v>0</v>
      </c>
      <c r="N828" t="n">
        <v>0</v>
      </c>
      <c r="O828" t="n">
        <v>0</v>
      </c>
      <c r="P828" t="n">
        <v>0</v>
      </c>
      <c r="Q828" t="n">
        <v>0</v>
      </c>
      <c r="R828" s="2" t="inlineStr"/>
    </row>
    <row r="829" ht="15" customHeight="1">
      <c r="A829" t="inlineStr">
        <is>
          <t>A 8747-2022</t>
        </is>
      </c>
      <c r="B829" s="1" t="n">
        <v>44614</v>
      </c>
      <c r="C829" s="1" t="n">
        <v>45750</v>
      </c>
      <c r="D829" t="inlineStr">
        <is>
          <t>VÄSTERNORRLANDS LÄN</t>
        </is>
      </c>
      <c r="E829" t="inlineStr">
        <is>
          <t>ÅNGE</t>
        </is>
      </c>
      <c r="G829" t="n">
        <v>1.5</v>
      </c>
      <c r="H829" t="n">
        <v>0</v>
      </c>
      <c r="I829" t="n">
        <v>0</v>
      </c>
      <c r="J829" t="n">
        <v>0</v>
      </c>
      <c r="K829" t="n">
        <v>0</v>
      </c>
      <c r="L829" t="n">
        <v>0</v>
      </c>
      <c r="M829" t="n">
        <v>0</v>
      </c>
      <c r="N829" t="n">
        <v>0</v>
      </c>
      <c r="O829" t="n">
        <v>0</v>
      </c>
      <c r="P829" t="n">
        <v>0</v>
      </c>
      <c r="Q829" t="n">
        <v>0</v>
      </c>
      <c r="R829" s="2" t="inlineStr"/>
    </row>
    <row r="830" ht="15" customHeight="1">
      <c r="A830" t="inlineStr">
        <is>
          <t>A 9480-2022</t>
        </is>
      </c>
      <c r="B830" s="1" t="n">
        <v>44616</v>
      </c>
      <c r="C830" s="1" t="n">
        <v>45750</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9544-2022</t>
        </is>
      </c>
      <c r="B831" s="1" t="n">
        <v>44617</v>
      </c>
      <c r="C831" s="1" t="n">
        <v>45750</v>
      </c>
      <c r="D831" t="inlineStr">
        <is>
          <t>VÄSTERNORRLANDS LÄN</t>
        </is>
      </c>
      <c r="E831" t="inlineStr">
        <is>
          <t>ÅNGE</t>
        </is>
      </c>
      <c r="G831" t="n">
        <v>2.4</v>
      </c>
      <c r="H831" t="n">
        <v>0</v>
      </c>
      <c r="I831" t="n">
        <v>0</v>
      </c>
      <c r="J831" t="n">
        <v>0</v>
      </c>
      <c r="K831" t="n">
        <v>0</v>
      </c>
      <c r="L831" t="n">
        <v>0</v>
      </c>
      <c r="M831" t="n">
        <v>0</v>
      </c>
      <c r="N831" t="n">
        <v>0</v>
      </c>
      <c r="O831" t="n">
        <v>0</v>
      </c>
      <c r="P831" t="n">
        <v>0</v>
      </c>
      <c r="Q831" t="n">
        <v>0</v>
      </c>
      <c r="R831" s="2" t="inlineStr"/>
    </row>
    <row r="832" ht="15" customHeight="1">
      <c r="A832" t="inlineStr">
        <is>
          <t>A 9911-2022</t>
        </is>
      </c>
      <c r="B832" s="1" t="n">
        <v>44620</v>
      </c>
      <c r="C832" s="1" t="n">
        <v>45750</v>
      </c>
      <c r="D832" t="inlineStr">
        <is>
          <t>VÄSTERNORRLANDS LÄN</t>
        </is>
      </c>
      <c r="E832" t="inlineStr">
        <is>
          <t>ÅNGE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9998-2022</t>
        </is>
      </c>
      <c r="B833" s="1" t="n">
        <v>44621</v>
      </c>
      <c r="C833" s="1" t="n">
        <v>45750</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10113-2022</t>
        </is>
      </c>
      <c r="B834" s="1" t="n">
        <v>44621</v>
      </c>
      <c r="C834" s="1" t="n">
        <v>45750</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10313-2022</t>
        </is>
      </c>
      <c r="B835" s="1" t="n">
        <v>44622</v>
      </c>
      <c r="C835" s="1" t="n">
        <v>45750</v>
      </c>
      <c r="D835" t="inlineStr">
        <is>
          <t>VÄSTERNORRLANDS LÄN</t>
        </is>
      </c>
      <c r="E835" t="inlineStr">
        <is>
          <t>ÅNGE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10331-2022</t>
        </is>
      </c>
      <c r="B836" s="1" t="n">
        <v>44622</v>
      </c>
      <c r="C836" s="1" t="n">
        <v>45750</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10680-2022</t>
        </is>
      </c>
      <c r="B837" s="1" t="n">
        <v>44624</v>
      </c>
      <c r="C837" s="1" t="n">
        <v>45750</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10686-2022</t>
        </is>
      </c>
      <c r="B838" s="1" t="n">
        <v>44624</v>
      </c>
      <c r="C838" s="1" t="n">
        <v>45750</v>
      </c>
      <c r="D838" t="inlineStr">
        <is>
          <t>VÄSTERNORRLANDS LÄN</t>
        </is>
      </c>
      <c r="E838" t="inlineStr">
        <is>
          <t>ÅNGE</t>
        </is>
      </c>
      <c r="G838" t="n">
        <v>1.2</v>
      </c>
      <c r="H838" t="n">
        <v>0</v>
      </c>
      <c r="I838" t="n">
        <v>0</v>
      </c>
      <c r="J838" t="n">
        <v>0</v>
      </c>
      <c r="K838" t="n">
        <v>0</v>
      </c>
      <c r="L838" t="n">
        <v>0</v>
      </c>
      <c r="M838" t="n">
        <v>0</v>
      </c>
      <c r="N838" t="n">
        <v>0</v>
      </c>
      <c r="O838" t="n">
        <v>0</v>
      </c>
      <c r="P838" t="n">
        <v>0</v>
      </c>
      <c r="Q838" t="n">
        <v>0</v>
      </c>
      <c r="R838" s="2" t="inlineStr"/>
    </row>
    <row r="839" ht="15" customHeight="1">
      <c r="A839" t="inlineStr">
        <is>
          <t>A 10687-2022</t>
        </is>
      </c>
      <c r="B839" s="1" t="n">
        <v>44624</v>
      </c>
      <c r="C839" s="1" t="n">
        <v>45750</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10933-2022</t>
        </is>
      </c>
      <c r="B840" s="1" t="n">
        <v>44627</v>
      </c>
      <c r="C840" s="1" t="n">
        <v>45750</v>
      </c>
      <c r="D840" t="inlineStr">
        <is>
          <t>VÄSTERNORRLANDS LÄN</t>
        </is>
      </c>
      <c r="E840" t="inlineStr">
        <is>
          <t>ÅNGE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11098-2022</t>
        </is>
      </c>
      <c r="B841" s="1" t="n">
        <v>44628</v>
      </c>
      <c r="C841" s="1" t="n">
        <v>45750</v>
      </c>
      <c r="D841" t="inlineStr">
        <is>
          <t>VÄSTERNORRLANDS LÄN</t>
        </is>
      </c>
      <c r="E841" t="inlineStr">
        <is>
          <t>ÅNGE</t>
        </is>
      </c>
      <c r="G841" t="n">
        <v>8.9</v>
      </c>
      <c r="H841" t="n">
        <v>0</v>
      </c>
      <c r="I841" t="n">
        <v>0</v>
      </c>
      <c r="J841" t="n">
        <v>0</v>
      </c>
      <c r="K841" t="n">
        <v>0</v>
      </c>
      <c r="L841" t="n">
        <v>0</v>
      </c>
      <c r="M841" t="n">
        <v>0</v>
      </c>
      <c r="N841" t="n">
        <v>0</v>
      </c>
      <c r="O841" t="n">
        <v>0</v>
      </c>
      <c r="P841" t="n">
        <v>0</v>
      </c>
      <c r="Q841" t="n">
        <v>0</v>
      </c>
      <c r="R841" s="2" t="inlineStr"/>
    </row>
    <row r="842" ht="15" customHeight="1">
      <c r="A842" t="inlineStr">
        <is>
          <t>A 11306-2022</t>
        </is>
      </c>
      <c r="B842" s="1" t="n">
        <v>44629</v>
      </c>
      <c r="C842" s="1" t="n">
        <v>45750</v>
      </c>
      <c r="D842" t="inlineStr">
        <is>
          <t>VÄSTERNORRLANDS LÄN</t>
        </is>
      </c>
      <c r="E842" t="inlineStr">
        <is>
          <t>ÅNGE</t>
        </is>
      </c>
      <c r="F842" t="inlineStr">
        <is>
          <t>SCA</t>
        </is>
      </c>
      <c r="G842" t="n">
        <v>15.6</v>
      </c>
      <c r="H842" t="n">
        <v>0</v>
      </c>
      <c r="I842" t="n">
        <v>0</v>
      </c>
      <c r="J842" t="n">
        <v>0</v>
      </c>
      <c r="K842" t="n">
        <v>0</v>
      </c>
      <c r="L842" t="n">
        <v>0</v>
      </c>
      <c r="M842" t="n">
        <v>0</v>
      </c>
      <c r="N842" t="n">
        <v>0</v>
      </c>
      <c r="O842" t="n">
        <v>0</v>
      </c>
      <c r="P842" t="n">
        <v>0</v>
      </c>
      <c r="Q842" t="n">
        <v>0</v>
      </c>
      <c r="R842" s="2" t="inlineStr"/>
    </row>
    <row r="843" ht="15" customHeight="1">
      <c r="A843" t="inlineStr">
        <is>
          <t>A 11843-2022</t>
        </is>
      </c>
      <c r="B843" s="1" t="n">
        <v>44634</v>
      </c>
      <c r="C843" s="1" t="n">
        <v>45750</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12021-2022</t>
        </is>
      </c>
      <c r="B844" s="1" t="n">
        <v>44635</v>
      </c>
      <c r="C844" s="1" t="n">
        <v>45750</v>
      </c>
      <c r="D844" t="inlineStr">
        <is>
          <t>VÄSTERNORRLANDS LÄN</t>
        </is>
      </c>
      <c r="E844" t="inlineStr">
        <is>
          <t>ÅNGE</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12797-2022</t>
        </is>
      </c>
      <c r="B845" s="1" t="n">
        <v>44641</v>
      </c>
      <c r="C845" s="1" t="n">
        <v>45750</v>
      </c>
      <c r="D845" t="inlineStr">
        <is>
          <t>VÄSTERNORRLANDS LÄN</t>
        </is>
      </c>
      <c r="E845" t="inlineStr">
        <is>
          <t>ÅNGE</t>
        </is>
      </c>
      <c r="G845" t="n">
        <v>7.1</v>
      </c>
      <c r="H845" t="n">
        <v>0</v>
      </c>
      <c r="I845" t="n">
        <v>0</v>
      </c>
      <c r="J845" t="n">
        <v>0</v>
      </c>
      <c r="K845" t="n">
        <v>0</v>
      </c>
      <c r="L845" t="n">
        <v>0</v>
      </c>
      <c r="M845" t="n">
        <v>0</v>
      </c>
      <c r="N845" t="n">
        <v>0</v>
      </c>
      <c r="O845" t="n">
        <v>0</v>
      </c>
      <c r="P845" t="n">
        <v>0</v>
      </c>
      <c r="Q845" t="n">
        <v>0</v>
      </c>
      <c r="R845" s="2" t="inlineStr"/>
    </row>
    <row r="846" ht="15" customHeight="1">
      <c r="A846" t="inlineStr">
        <is>
          <t>A 12948-2022</t>
        </is>
      </c>
      <c r="B846" s="1" t="n">
        <v>44642</v>
      </c>
      <c r="C846" s="1" t="n">
        <v>45750</v>
      </c>
      <c r="D846" t="inlineStr">
        <is>
          <t>VÄSTERNORRLANDS LÄN</t>
        </is>
      </c>
      <c r="E846" t="inlineStr">
        <is>
          <t>ÅNGE</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13164-2022</t>
        </is>
      </c>
      <c r="B847" s="1" t="n">
        <v>44644</v>
      </c>
      <c r="C847" s="1" t="n">
        <v>45750</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13628-2022</t>
        </is>
      </c>
      <c r="B848" s="1" t="n">
        <v>44648</v>
      </c>
      <c r="C848" s="1" t="n">
        <v>45750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13648-2022</t>
        </is>
      </c>
      <c r="B849" s="1" t="n">
        <v>44648</v>
      </c>
      <c r="C849" s="1" t="n">
        <v>45750</v>
      </c>
      <c r="D849" t="inlineStr">
        <is>
          <t>VÄSTERNORRLANDS LÄN</t>
        </is>
      </c>
      <c r="E849" t="inlineStr">
        <is>
          <t>ÅNGE</t>
        </is>
      </c>
      <c r="G849" t="n">
        <v>0.9</v>
      </c>
      <c r="H849" t="n">
        <v>0</v>
      </c>
      <c r="I849" t="n">
        <v>0</v>
      </c>
      <c r="J849" t="n">
        <v>0</v>
      </c>
      <c r="K849" t="n">
        <v>0</v>
      </c>
      <c r="L849" t="n">
        <v>0</v>
      </c>
      <c r="M849" t="n">
        <v>0</v>
      </c>
      <c r="N849" t="n">
        <v>0</v>
      </c>
      <c r="O849" t="n">
        <v>0</v>
      </c>
      <c r="P849" t="n">
        <v>0</v>
      </c>
      <c r="Q849" t="n">
        <v>0</v>
      </c>
      <c r="R849" s="2" t="inlineStr"/>
    </row>
    <row r="850" ht="15" customHeight="1">
      <c r="A850" t="inlineStr">
        <is>
          <t>A 13641-2022</t>
        </is>
      </c>
      <c r="B850" s="1" t="n">
        <v>44648</v>
      </c>
      <c r="C850" s="1" t="n">
        <v>45750</v>
      </c>
      <c r="D850" t="inlineStr">
        <is>
          <t>VÄSTERNORRLANDS LÄN</t>
        </is>
      </c>
      <c r="E850" t="inlineStr">
        <is>
          <t>ÅNGE</t>
        </is>
      </c>
      <c r="G850" t="n">
        <v>4.9</v>
      </c>
      <c r="H850" t="n">
        <v>0</v>
      </c>
      <c r="I850" t="n">
        <v>0</v>
      </c>
      <c r="J850" t="n">
        <v>0</v>
      </c>
      <c r="K850" t="n">
        <v>0</v>
      </c>
      <c r="L850" t="n">
        <v>0</v>
      </c>
      <c r="M850" t="n">
        <v>0</v>
      </c>
      <c r="N850" t="n">
        <v>0</v>
      </c>
      <c r="O850" t="n">
        <v>0</v>
      </c>
      <c r="P850" t="n">
        <v>0</v>
      </c>
      <c r="Q850" t="n">
        <v>0</v>
      </c>
      <c r="R850" s="2" t="inlineStr"/>
    </row>
    <row r="851" ht="15" customHeight="1">
      <c r="A851" t="inlineStr">
        <is>
          <t>A 13680-2022</t>
        </is>
      </c>
      <c r="B851" s="1" t="n">
        <v>44648</v>
      </c>
      <c r="C851" s="1" t="n">
        <v>45750</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13872-2022</t>
        </is>
      </c>
      <c r="B852" s="1" t="n">
        <v>44650</v>
      </c>
      <c r="C852" s="1" t="n">
        <v>45750</v>
      </c>
      <c r="D852" t="inlineStr">
        <is>
          <t>VÄSTERNORRLANDS LÄN</t>
        </is>
      </c>
      <c r="E852" t="inlineStr">
        <is>
          <t>ÅNGE</t>
        </is>
      </c>
      <c r="G852" t="n">
        <v>10.3</v>
      </c>
      <c r="H852" t="n">
        <v>0</v>
      </c>
      <c r="I852" t="n">
        <v>0</v>
      </c>
      <c r="J852" t="n">
        <v>0</v>
      </c>
      <c r="K852" t="n">
        <v>0</v>
      </c>
      <c r="L852" t="n">
        <v>0</v>
      </c>
      <c r="M852" t="n">
        <v>0</v>
      </c>
      <c r="N852" t="n">
        <v>0</v>
      </c>
      <c r="O852" t="n">
        <v>0</v>
      </c>
      <c r="P852" t="n">
        <v>0</v>
      </c>
      <c r="Q852" t="n">
        <v>0</v>
      </c>
      <c r="R852" s="2" t="inlineStr"/>
    </row>
    <row r="853" ht="15" customHeight="1">
      <c r="A853" t="inlineStr">
        <is>
          <t>A 13874-2022</t>
        </is>
      </c>
      <c r="B853" s="1" t="n">
        <v>44649</v>
      </c>
      <c r="C853" s="1" t="n">
        <v>45750</v>
      </c>
      <c r="D853" t="inlineStr">
        <is>
          <t>VÄSTERNORRLANDS LÄN</t>
        </is>
      </c>
      <c r="E853" t="inlineStr">
        <is>
          <t>ÅNGE</t>
        </is>
      </c>
      <c r="G853" t="n">
        <v>3.9</v>
      </c>
      <c r="H853" t="n">
        <v>0</v>
      </c>
      <c r="I853" t="n">
        <v>0</v>
      </c>
      <c r="J853" t="n">
        <v>0</v>
      </c>
      <c r="K853" t="n">
        <v>0</v>
      </c>
      <c r="L853" t="n">
        <v>0</v>
      </c>
      <c r="M853" t="n">
        <v>0</v>
      </c>
      <c r="N853" t="n">
        <v>0</v>
      </c>
      <c r="O853" t="n">
        <v>0</v>
      </c>
      <c r="P853" t="n">
        <v>0</v>
      </c>
      <c r="Q853" t="n">
        <v>0</v>
      </c>
      <c r="R853" s="2" t="inlineStr"/>
    </row>
    <row r="854" ht="15" customHeight="1">
      <c r="A854" t="inlineStr">
        <is>
          <t>A 13875-2022</t>
        </is>
      </c>
      <c r="B854" s="1" t="n">
        <v>44649</v>
      </c>
      <c r="C854" s="1" t="n">
        <v>45750</v>
      </c>
      <c r="D854" t="inlineStr">
        <is>
          <t>VÄSTERNORRLANDS LÄN</t>
        </is>
      </c>
      <c r="E854" t="inlineStr">
        <is>
          <t>ÅNGE</t>
        </is>
      </c>
      <c r="G854" t="n">
        <v>1.3</v>
      </c>
      <c r="H854" t="n">
        <v>0</v>
      </c>
      <c r="I854" t="n">
        <v>0</v>
      </c>
      <c r="J854" t="n">
        <v>0</v>
      </c>
      <c r="K854" t="n">
        <v>0</v>
      </c>
      <c r="L854" t="n">
        <v>0</v>
      </c>
      <c r="M854" t="n">
        <v>0</v>
      </c>
      <c r="N854" t="n">
        <v>0</v>
      </c>
      <c r="O854" t="n">
        <v>0</v>
      </c>
      <c r="P854" t="n">
        <v>0</v>
      </c>
      <c r="Q854" t="n">
        <v>0</v>
      </c>
      <c r="R854" s="2" t="inlineStr"/>
    </row>
    <row r="855" ht="15" customHeight="1">
      <c r="A855" t="inlineStr">
        <is>
          <t>A 14091-2022</t>
        </is>
      </c>
      <c r="B855" s="1" t="n">
        <v>44651</v>
      </c>
      <c r="C855" s="1" t="n">
        <v>45750</v>
      </c>
      <c r="D855" t="inlineStr">
        <is>
          <t>VÄSTERNORRLANDS LÄN</t>
        </is>
      </c>
      <c r="E855" t="inlineStr">
        <is>
          <t>ÅNGE</t>
        </is>
      </c>
      <c r="G855" t="n">
        <v>2.4</v>
      </c>
      <c r="H855" t="n">
        <v>0</v>
      </c>
      <c r="I855" t="n">
        <v>0</v>
      </c>
      <c r="J855" t="n">
        <v>0</v>
      </c>
      <c r="K855" t="n">
        <v>0</v>
      </c>
      <c r="L855" t="n">
        <v>0</v>
      </c>
      <c r="M855" t="n">
        <v>0</v>
      </c>
      <c r="N855" t="n">
        <v>0</v>
      </c>
      <c r="O855" t="n">
        <v>0</v>
      </c>
      <c r="P855" t="n">
        <v>0</v>
      </c>
      <c r="Q855" t="n">
        <v>0</v>
      </c>
      <c r="R855" s="2" t="inlineStr"/>
    </row>
    <row r="856" ht="15" customHeight="1">
      <c r="A856" t="inlineStr">
        <is>
          <t>A 14097-2022</t>
        </is>
      </c>
      <c r="B856" s="1" t="n">
        <v>44651</v>
      </c>
      <c r="C856" s="1" t="n">
        <v>45750</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14084-2022</t>
        </is>
      </c>
      <c r="B857" s="1" t="n">
        <v>44651</v>
      </c>
      <c r="C857" s="1" t="n">
        <v>45750</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14433-2022</t>
        </is>
      </c>
      <c r="B858" s="1" t="n">
        <v>44652</v>
      </c>
      <c r="C858" s="1" t="n">
        <v>45750</v>
      </c>
      <c r="D858" t="inlineStr">
        <is>
          <t>VÄSTERNORRLANDS LÄN</t>
        </is>
      </c>
      <c r="E858" t="inlineStr">
        <is>
          <t>ÅNGE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14813-2022</t>
        </is>
      </c>
      <c r="B859" s="1" t="n">
        <v>44656</v>
      </c>
      <c r="C859" s="1" t="n">
        <v>45750</v>
      </c>
      <c r="D859" t="inlineStr">
        <is>
          <t>VÄSTERNORRLANDS LÄN</t>
        </is>
      </c>
      <c r="E859" t="inlineStr">
        <is>
          <t>ÅNGE</t>
        </is>
      </c>
      <c r="G859" t="n">
        <v>2.2</v>
      </c>
      <c r="H859" t="n">
        <v>0</v>
      </c>
      <c r="I859" t="n">
        <v>0</v>
      </c>
      <c r="J859" t="n">
        <v>0</v>
      </c>
      <c r="K859" t="n">
        <v>0</v>
      </c>
      <c r="L859" t="n">
        <v>0</v>
      </c>
      <c r="M859" t="n">
        <v>0</v>
      </c>
      <c r="N859" t="n">
        <v>0</v>
      </c>
      <c r="O859" t="n">
        <v>0</v>
      </c>
      <c r="P859" t="n">
        <v>0</v>
      </c>
      <c r="Q859" t="n">
        <v>0</v>
      </c>
      <c r="R859" s="2" t="inlineStr"/>
    </row>
    <row r="860" ht="15" customHeight="1">
      <c r="A860" t="inlineStr">
        <is>
          <t>A 14888-2022</t>
        </is>
      </c>
      <c r="B860" s="1" t="n">
        <v>44656</v>
      </c>
      <c r="C860" s="1" t="n">
        <v>45750</v>
      </c>
      <c r="D860" t="inlineStr">
        <is>
          <t>VÄSTERNORRLANDS LÄN</t>
        </is>
      </c>
      <c r="E860" t="inlineStr">
        <is>
          <t>ÅNGE</t>
        </is>
      </c>
      <c r="G860" t="n">
        <v>6.2</v>
      </c>
      <c r="H860" t="n">
        <v>0</v>
      </c>
      <c r="I860" t="n">
        <v>0</v>
      </c>
      <c r="J860" t="n">
        <v>0</v>
      </c>
      <c r="K860" t="n">
        <v>0</v>
      </c>
      <c r="L860" t="n">
        <v>0</v>
      </c>
      <c r="M860" t="n">
        <v>0</v>
      </c>
      <c r="N860" t="n">
        <v>0</v>
      </c>
      <c r="O860" t="n">
        <v>0</v>
      </c>
      <c r="P860" t="n">
        <v>0</v>
      </c>
      <c r="Q860" t="n">
        <v>0</v>
      </c>
      <c r="R860" s="2" t="inlineStr"/>
    </row>
    <row r="861" ht="15" customHeight="1">
      <c r="A861" t="inlineStr">
        <is>
          <t>A 14885-2022</t>
        </is>
      </c>
      <c r="B861" s="1" t="n">
        <v>44656</v>
      </c>
      <c r="C861" s="1" t="n">
        <v>45750</v>
      </c>
      <c r="D861" t="inlineStr">
        <is>
          <t>VÄSTERNORRLANDS LÄN</t>
        </is>
      </c>
      <c r="E861" t="inlineStr">
        <is>
          <t>ÅNGE</t>
        </is>
      </c>
      <c r="G861" t="n">
        <v>4</v>
      </c>
      <c r="H861" t="n">
        <v>0</v>
      </c>
      <c r="I861" t="n">
        <v>0</v>
      </c>
      <c r="J861" t="n">
        <v>0</v>
      </c>
      <c r="K861" t="n">
        <v>0</v>
      </c>
      <c r="L861" t="n">
        <v>0</v>
      </c>
      <c r="M861" t="n">
        <v>0</v>
      </c>
      <c r="N861" t="n">
        <v>0</v>
      </c>
      <c r="O861" t="n">
        <v>0</v>
      </c>
      <c r="P861" t="n">
        <v>0</v>
      </c>
      <c r="Q861" t="n">
        <v>0</v>
      </c>
      <c r="R861" s="2" t="inlineStr"/>
    </row>
    <row r="862" ht="15" customHeight="1">
      <c r="A862" t="inlineStr">
        <is>
          <t>A 14889-2022</t>
        </is>
      </c>
      <c r="B862" s="1" t="n">
        <v>44656</v>
      </c>
      <c r="C862" s="1" t="n">
        <v>45750</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14949-2022</t>
        </is>
      </c>
      <c r="B863" s="1" t="n">
        <v>44657</v>
      </c>
      <c r="C863" s="1" t="n">
        <v>45750</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15863-2022</t>
        </is>
      </c>
      <c r="B864" s="1" t="n">
        <v>44664</v>
      </c>
      <c r="C864" s="1" t="n">
        <v>45750</v>
      </c>
      <c r="D864" t="inlineStr">
        <is>
          <t>VÄSTERNORRLANDS LÄN</t>
        </is>
      </c>
      <c r="E864" t="inlineStr">
        <is>
          <t>ÅNGE</t>
        </is>
      </c>
      <c r="G864" t="n">
        <v>3.6</v>
      </c>
      <c r="H864" t="n">
        <v>0</v>
      </c>
      <c r="I864" t="n">
        <v>0</v>
      </c>
      <c r="J864" t="n">
        <v>0</v>
      </c>
      <c r="K864" t="n">
        <v>0</v>
      </c>
      <c r="L864" t="n">
        <v>0</v>
      </c>
      <c r="M864" t="n">
        <v>0</v>
      </c>
      <c r="N864" t="n">
        <v>0</v>
      </c>
      <c r="O864" t="n">
        <v>0</v>
      </c>
      <c r="P864" t="n">
        <v>0</v>
      </c>
      <c r="Q864" t="n">
        <v>0</v>
      </c>
      <c r="R864" s="2" t="inlineStr"/>
    </row>
    <row r="865" ht="15" customHeight="1">
      <c r="A865" t="inlineStr">
        <is>
          <t>A 16038-2022</t>
        </is>
      </c>
      <c r="B865" s="1" t="n">
        <v>44665</v>
      </c>
      <c r="C865" s="1" t="n">
        <v>45750</v>
      </c>
      <c r="D865" t="inlineStr">
        <is>
          <t>VÄSTERNORRLANDS LÄN</t>
        </is>
      </c>
      <c r="E865" t="inlineStr">
        <is>
          <t>ÅNGE</t>
        </is>
      </c>
      <c r="G865" t="n">
        <v>2.9</v>
      </c>
      <c r="H865" t="n">
        <v>0</v>
      </c>
      <c r="I865" t="n">
        <v>0</v>
      </c>
      <c r="J865" t="n">
        <v>0</v>
      </c>
      <c r="K865" t="n">
        <v>0</v>
      </c>
      <c r="L865" t="n">
        <v>0</v>
      </c>
      <c r="M865" t="n">
        <v>0</v>
      </c>
      <c r="N865" t="n">
        <v>0</v>
      </c>
      <c r="O865" t="n">
        <v>0</v>
      </c>
      <c r="P865" t="n">
        <v>0</v>
      </c>
      <c r="Q865" t="n">
        <v>0</v>
      </c>
      <c r="R865" s="2" t="inlineStr"/>
    </row>
    <row r="866" ht="15" customHeight="1">
      <c r="A866" t="inlineStr">
        <is>
          <t>A 16058-2022</t>
        </is>
      </c>
      <c r="B866" s="1" t="n">
        <v>44665</v>
      </c>
      <c r="C866" s="1" t="n">
        <v>45750</v>
      </c>
      <c r="D866" t="inlineStr">
        <is>
          <t>VÄSTERNORRLANDS LÄN</t>
        </is>
      </c>
      <c r="E866" t="inlineStr">
        <is>
          <t>ÅNGE</t>
        </is>
      </c>
      <c r="G866" t="n">
        <v>2.8</v>
      </c>
      <c r="H866" t="n">
        <v>0</v>
      </c>
      <c r="I866" t="n">
        <v>0</v>
      </c>
      <c r="J866" t="n">
        <v>0</v>
      </c>
      <c r="K866" t="n">
        <v>0</v>
      </c>
      <c r="L866" t="n">
        <v>0</v>
      </c>
      <c r="M866" t="n">
        <v>0</v>
      </c>
      <c r="N866" t="n">
        <v>0</v>
      </c>
      <c r="O866" t="n">
        <v>0</v>
      </c>
      <c r="P866" t="n">
        <v>0</v>
      </c>
      <c r="Q866" t="n">
        <v>0</v>
      </c>
      <c r="R866" s="2" t="inlineStr"/>
    </row>
    <row r="867" ht="15" customHeight="1">
      <c r="A867" t="inlineStr">
        <is>
          <t>A 17047-2022</t>
        </is>
      </c>
      <c r="B867" s="1" t="n">
        <v>44677</v>
      </c>
      <c r="C867" s="1" t="n">
        <v>45750</v>
      </c>
      <c r="D867" t="inlineStr">
        <is>
          <t>VÄSTERNORRLANDS LÄN</t>
        </is>
      </c>
      <c r="E867" t="inlineStr">
        <is>
          <t>ÅNGE</t>
        </is>
      </c>
      <c r="G867" t="n">
        <v>4.2</v>
      </c>
      <c r="H867" t="n">
        <v>0</v>
      </c>
      <c r="I867" t="n">
        <v>0</v>
      </c>
      <c r="J867" t="n">
        <v>0</v>
      </c>
      <c r="K867" t="n">
        <v>0</v>
      </c>
      <c r="L867" t="n">
        <v>0</v>
      </c>
      <c r="M867" t="n">
        <v>0</v>
      </c>
      <c r="N867" t="n">
        <v>0</v>
      </c>
      <c r="O867" t="n">
        <v>0</v>
      </c>
      <c r="P867" t="n">
        <v>0</v>
      </c>
      <c r="Q867" t="n">
        <v>0</v>
      </c>
      <c r="R867" s="2" t="inlineStr"/>
    </row>
    <row r="868" ht="15" customHeight="1">
      <c r="A868" t="inlineStr">
        <is>
          <t>A 17044-2022</t>
        </is>
      </c>
      <c r="B868" s="1" t="n">
        <v>44676</v>
      </c>
      <c r="C868" s="1" t="n">
        <v>45750</v>
      </c>
      <c r="D868" t="inlineStr">
        <is>
          <t>VÄSTERNORRLANDS LÄN</t>
        </is>
      </c>
      <c r="E868" t="inlineStr">
        <is>
          <t>ÅNGE</t>
        </is>
      </c>
      <c r="F868" t="inlineStr">
        <is>
          <t>Övriga Aktiebolag</t>
        </is>
      </c>
      <c r="G868" t="n">
        <v>0.8</v>
      </c>
      <c r="H868" t="n">
        <v>0</v>
      </c>
      <c r="I868" t="n">
        <v>0</v>
      </c>
      <c r="J868" t="n">
        <v>0</v>
      </c>
      <c r="K868" t="n">
        <v>0</v>
      </c>
      <c r="L868" t="n">
        <v>0</v>
      </c>
      <c r="M868" t="n">
        <v>0</v>
      </c>
      <c r="N868" t="n">
        <v>0</v>
      </c>
      <c r="O868" t="n">
        <v>0</v>
      </c>
      <c r="P868" t="n">
        <v>0</v>
      </c>
      <c r="Q868" t="n">
        <v>0</v>
      </c>
      <c r="R868" s="2" t="inlineStr"/>
    </row>
    <row r="869" ht="15" customHeight="1">
      <c r="A869" t="inlineStr">
        <is>
          <t>A 17144-2022</t>
        </is>
      </c>
      <c r="B869" s="1" t="n">
        <v>44677</v>
      </c>
      <c r="C869" s="1" t="n">
        <v>45750</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17210-2022</t>
        </is>
      </c>
      <c r="B870" s="1" t="n">
        <v>44678</v>
      </c>
      <c r="C870" s="1" t="n">
        <v>45750</v>
      </c>
      <c r="D870" t="inlineStr">
        <is>
          <t>VÄSTERNORRLANDS LÄN</t>
        </is>
      </c>
      <c r="E870" t="inlineStr">
        <is>
          <t>ÅNGE</t>
        </is>
      </c>
      <c r="G870" t="n">
        <v>1.8</v>
      </c>
      <c r="H870" t="n">
        <v>0</v>
      </c>
      <c r="I870" t="n">
        <v>0</v>
      </c>
      <c r="J870" t="n">
        <v>0</v>
      </c>
      <c r="K870" t="n">
        <v>0</v>
      </c>
      <c r="L870" t="n">
        <v>0</v>
      </c>
      <c r="M870" t="n">
        <v>0</v>
      </c>
      <c r="N870" t="n">
        <v>0</v>
      </c>
      <c r="O870" t="n">
        <v>0</v>
      </c>
      <c r="P870" t="n">
        <v>0</v>
      </c>
      <c r="Q870" t="n">
        <v>0</v>
      </c>
      <c r="R870" s="2" t="inlineStr"/>
    </row>
    <row r="871" ht="15" customHeight="1">
      <c r="A871" t="inlineStr">
        <is>
          <t>A 17220-2022</t>
        </is>
      </c>
      <c r="B871" s="1" t="n">
        <v>44678</v>
      </c>
      <c r="C871" s="1" t="n">
        <v>45750</v>
      </c>
      <c r="D871" t="inlineStr">
        <is>
          <t>VÄSTERNORRLANDS LÄN</t>
        </is>
      </c>
      <c r="E871" t="inlineStr">
        <is>
          <t>ÅNGE</t>
        </is>
      </c>
      <c r="F871" t="inlineStr">
        <is>
          <t>SCA</t>
        </is>
      </c>
      <c r="G871" t="n">
        <v>19.7</v>
      </c>
      <c r="H871" t="n">
        <v>0</v>
      </c>
      <c r="I871" t="n">
        <v>0</v>
      </c>
      <c r="J871" t="n">
        <v>0</v>
      </c>
      <c r="K871" t="n">
        <v>0</v>
      </c>
      <c r="L871" t="n">
        <v>0</v>
      </c>
      <c r="M871" t="n">
        <v>0</v>
      </c>
      <c r="N871" t="n">
        <v>0</v>
      </c>
      <c r="O871" t="n">
        <v>0</v>
      </c>
      <c r="P871" t="n">
        <v>0</v>
      </c>
      <c r="Q871" t="n">
        <v>0</v>
      </c>
      <c r="R871" s="2" t="inlineStr"/>
    </row>
    <row r="872" ht="15" customHeight="1">
      <c r="A872" t="inlineStr">
        <is>
          <t>A 17242-2022</t>
        </is>
      </c>
      <c r="B872" s="1" t="n">
        <v>44679</v>
      </c>
      <c r="C872" s="1" t="n">
        <v>45750</v>
      </c>
      <c r="D872" t="inlineStr">
        <is>
          <t>VÄSTERNORRLANDS LÄN</t>
        </is>
      </c>
      <c r="E872" t="inlineStr">
        <is>
          <t>ÅNGE</t>
        </is>
      </c>
      <c r="G872" t="n">
        <v>1.4</v>
      </c>
      <c r="H872" t="n">
        <v>0</v>
      </c>
      <c r="I872" t="n">
        <v>0</v>
      </c>
      <c r="J872" t="n">
        <v>0</v>
      </c>
      <c r="K872" t="n">
        <v>0</v>
      </c>
      <c r="L872" t="n">
        <v>0</v>
      </c>
      <c r="M872" t="n">
        <v>0</v>
      </c>
      <c r="N872" t="n">
        <v>0</v>
      </c>
      <c r="O872" t="n">
        <v>0</v>
      </c>
      <c r="P872" t="n">
        <v>0</v>
      </c>
      <c r="Q872" t="n">
        <v>0</v>
      </c>
      <c r="R872" s="2" t="inlineStr"/>
    </row>
    <row r="873" ht="15" customHeight="1">
      <c r="A873" t="inlineStr">
        <is>
          <t>A 17580-2022</t>
        </is>
      </c>
      <c r="B873" s="1" t="n">
        <v>44679</v>
      </c>
      <c r="C873" s="1" t="n">
        <v>45750</v>
      </c>
      <c r="D873" t="inlineStr">
        <is>
          <t>VÄSTERNORRLANDS LÄN</t>
        </is>
      </c>
      <c r="E873" t="inlineStr">
        <is>
          <t>ÅNGE</t>
        </is>
      </c>
      <c r="G873" t="n">
        <v>0.6</v>
      </c>
      <c r="H873" t="n">
        <v>0</v>
      </c>
      <c r="I873" t="n">
        <v>0</v>
      </c>
      <c r="J873" t="n">
        <v>0</v>
      </c>
      <c r="K873" t="n">
        <v>0</v>
      </c>
      <c r="L873" t="n">
        <v>0</v>
      </c>
      <c r="M873" t="n">
        <v>0</v>
      </c>
      <c r="N873" t="n">
        <v>0</v>
      </c>
      <c r="O873" t="n">
        <v>0</v>
      </c>
      <c r="P873" t="n">
        <v>0</v>
      </c>
      <c r="Q873" t="n">
        <v>0</v>
      </c>
      <c r="R873" s="2" t="inlineStr"/>
    </row>
    <row r="874" ht="15" customHeight="1">
      <c r="A874" t="inlineStr">
        <is>
          <t>A 18020-2022</t>
        </is>
      </c>
      <c r="B874" s="1" t="n">
        <v>44684</v>
      </c>
      <c r="C874" s="1" t="n">
        <v>45750</v>
      </c>
      <c r="D874" t="inlineStr">
        <is>
          <t>VÄSTERNORRLANDS LÄN</t>
        </is>
      </c>
      <c r="E874" t="inlineStr">
        <is>
          <t>ÅNGE</t>
        </is>
      </c>
      <c r="F874" t="inlineStr">
        <is>
          <t>SCA</t>
        </is>
      </c>
      <c r="G874" t="n">
        <v>28.8</v>
      </c>
      <c r="H874" t="n">
        <v>0</v>
      </c>
      <c r="I874" t="n">
        <v>0</v>
      </c>
      <c r="J874" t="n">
        <v>0</v>
      </c>
      <c r="K874" t="n">
        <v>0</v>
      </c>
      <c r="L874" t="n">
        <v>0</v>
      </c>
      <c r="M874" t="n">
        <v>0</v>
      </c>
      <c r="N874" t="n">
        <v>0</v>
      </c>
      <c r="O874" t="n">
        <v>0</v>
      </c>
      <c r="P874" t="n">
        <v>0</v>
      </c>
      <c r="Q874" t="n">
        <v>0</v>
      </c>
      <c r="R874" s="2" t="inlineStr"/>
    </row>
    <row r="875" ht="15" customHeight="1">
      <c r="A875" t="inlineStr">
        <is>
          <t>A 18024-2022</t>
        </is>
      </c>
      <c r="B875" s="1" t="n">
        <v>44684</v>
      </c>
      <c r="C875" s="1" t="n">
        <v>45750</v>
      </c>
      <c r="D875" t="inlineStr">
        <is>
          <t>VÄSTERNORRLANDS LÄN</t>
        </is>
      </c>
      <c r="E875" t="inlineStr">
        <is>
          <t>ÅNGE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17963-2022</t>
        </is>
      </c>
      <c r="B876" s="1" t="n">
        <v>44683</v>
      </c>
      <c r="C876" s="1" t="n">
        <v>45750</v>
      </c>
      <c r="D876" t="inlineStr">
        <is>
          <t>VÄSTERNORRLANDS LÄN</t>
        </is>
      </c>
      <c r="E876" t="inlineStr">
        <is>
          <t>ÅNGE</t>
        </is>
      </c>
      <c r="G876" t="n">
        <v>0.2</v>
      </c>
      <c r="H876" t="n">
        <v>0</v>
      </c>
      <c r="I876" t="n">
        <v>0</v>
      </c>
      <c r="J876" t="n">
        <v>0</v>
      </c>
      <c r="K876" t="n">
        <v>0</v>
      </c>
      <c r="L876" t="n">
        <v>0</v>
      </c>
      <c r="M876" t="n">
        <v>0</v>
      </c>
      <c r="N876" t="n">
        <v>0</v>
      </c>
      <c r="O876" t="n">
        <v>0</v>
      </c>
      <c r="P876" t="n">
        <v>0</v>
      </c>
      <c r="Q876" t="n">
        <v>0</v>
      </c>
      <c r="R876" s="2" t="inlineStr"/>
    </row>
    <row r="877" ht="15" customHeight="1">
      <c r="A877" t="inlineStr">
        <is>
          <t>A 18562-2022</t>
        </is>
      </c>
      <c r="B877" s="1" t="n">
        <v>44686</v>
      </c>
      <c r="C877" s="1" t="n">
        <v>45750</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18542-2022</t>
        </is>
      </c>
      <c r="B878" s="1" t="n">
        <v>44686</v>
      </c>
      <c r="C878" s="1" t="n">
        <v>45750</v>
      </c>
      <c r="D878" t="inlineStr">
        <is>
          <t>VÄSTERNORRLANDS LÄN</t>
        </is>
      </c>
      <c r="E878" t="inlineStr">
        <is>
          <t>ÅNGE</t>
        </is>
      </c>
      <c r="G878" t="n">
        <v>0.2</v>
      </c>
      <c r="H878" t="n">
        <v>0</v>
      </c>
      <c r="I878" t="n">
        <v>0</v>
      </c>
      <c r="J878" t="n">
        <v>0</v>
      </c>
      <c r="K878" t="n">
        <v>0</v>
      </c>
      <c r="L878" t="n">
        <v>0</v>
      </c>
      <c r="M878" t="n">
        <v>0</v>
      </c>
      <c r="N878" t="n">
        <v>0</v>
      </c>
      <c r="O878" t="n">
        <v>0</v>
      </c>
      <c r="P878" t="n">
        <v>0</v>
      </c>
      <c r="Q878" t="n">
        <v>0</v>
      </c>
      <c r="R878" s="2" t="inlineStr"/>
    </row>
    <row r="879" ht="15" customHeight="1">
      <c r="A879" t="inlineStr">
        <is>
          <t>A 18989-2022</t>
        </is>
      </c>
      <c r="B879" s="1" t="n">
        <v>44690</v>
      </c>
      <c r="C879" s="1" t="n">
        <v>45750</v>
      </c>
      <c r="D879" t="inlineStr">
        <is>
          <t>VÄSTERNORRLANDS LÄN</t>
        </is>
      </c>
      <c r="E879" t="inlineStr">
        <is>
          <t>ÅNGE</t>
        </is>
      </c>
      <c r="F879" t="inlineStr">
        <is>
          <t>SCA</t>
        </is>
      </c>
      <c r="G879" t="n">
        <v>37.8</v>
      </c>
      <c r="H879" t="n">
        <v>0</v>
      </c>
      <c r="I879" t="n">
        <v>0</v>
      </c>
      <c r="J879" t="n">
        <v>0</v>
      </c>
      <c r="K879" t="n">
        <v>0</v>
      </c>
      <c r="L879" t="n">
        <v>0</v>
      </c>
      <c r="M879" t="n">
        <v>0</v>
      </c>
      <c r="N879" t="n">
        <v>0</v>
      </c>
      <c r="O879" t="n">
        <v>0</v>
      </c>
      <c r="P879" t="n">
        <v>0</v>
      </c>
      <c r="Q879" t="n">
        <v>0</v>
      </c>
      <c r="R879" s="2" t="inlineStr"/>
      <c r="U879">
        <f>HYPERLINK("https://klasma.github.io/Logging_2260/knärot/A 18989-2022 karta knärot.png", "A 18989-2022")</f>
        <v/>
      </c>
      <c r="V879">
        <f>HYPERLINK("https://klasma.github.io/Logging_2260/klagomål/A 18989-2022 FSC-klagomål.docx", "A 18989-2022")</f>
        <v/>
      </c>
      <c r="W879">
        <f>HYPERLINK("https://klasma.github.io/Logging_2260/klagomålsmail/A 18989-2022 FSC-klagomål mail.docx", "A 18989-2022")</f>
        <v/>
      </c>
      <c r="X879">
        <f>HYPERLINK("https://klasma.github.io/Logging_2260/tillsyn/A 18989-2022 tillsynsbegäran.docx", "A 18989-2022")</f>
        <v/>
      </c>
      <c r="Y879">
        <f>HYPERLINK("https://klasma.github.io/Logging_2260/tillsynsmail/A 18989-2022 tillsynsbegäran mail.docx", "A 18989-2022")</f>
        <v/>
      </c>
    </row>
    <row r="880" ht="15" customHeight="1">
      <c r="A880" t="inlineStr">
        <is>
          <t>A 19166-2022</t>
        </is>
      </c>
      <c r="B880" s="1" t="n">
        <v>44691</v>
      </c>
      <c r="C880" s="1" t="n">
        <v>45750</v>
      </c>
      <c r="D880" t="inlineStr">
        <is>
          <t>VÄSTERNORRLANDS LÄN</t>
        </is>
      </c>
      <c r="E880" t="inlineStr">
        <is>
          <t>ÅNGE</t>
        </is>
      </c>
      <c r="F880" t="inlineStr">
        <is>
          <t>Holmen skog AB</t>
        </is>
      </c>
      <c r="G880" t="n">
        <v>5.4</v>
      </c>
      <c r="H880" t="n">
        <v>0</v>
      </c>
      <c r="I880" t="n">
        <v>0</v>
      </c>
      <c r="J880" t="n">
        <v>0</v>
      </c>
      <c r="K880" t="n">
        <v>0</v>
      </c>
      <c r="L880" t="n">
        <v>0</v>
      </c>
      <c r="M880" t="n">
        <v>0</v>
      </c>
      <c r="N880" t="n">
        <v>0</v>
      </c>
      <c r="O880" t="n">
        <v>0</v>
      </c>
      <c r="P880" t="n">
        <v>0</v>
      </c>
      <c r="Q880" t="n">
        <v>0</v>
      </c>
      <c r="R880" s="2" t="inlineStr"/>
    </row>
    <row r="881" ht="15" customHeight="1">
      <c r="A881" t="inlineStr">
        <is>
          <t>A 19035-2022</t>
        </is>
      </c>
      <c r="B881" s="1" t="n">
        <v>44691</v>
      </c>
      <c r="C881" s="1" t="n">
        <v>45750</v>
      </c>
      <c r="D881" t="inlineStr">
        <is>
          <t>VÄSTERNORRLANDS LÄN</t>
        </is>
      </c>
      <c r="E881" t="inlineStr">
        <is>
          <t>ÅNGE</t>
        </is>
      </c>
      <c r="G881" t="n">
        <v>1.9</v>
      </c>
      <c r="H881" t="n">
        <v>0</v>
      </c>
      <c r="I881" t="n">
        <v>0</v>
      </c>
      <c r="J881" t="n">
        <v>0</v>
      </c>
      <c r="K881" t="n">
        <v>0</v>
      </c>
      <c r="L881" t="n">
        <v>0</v>
      </c>
      <c r="M881" t="n">
        <v>0</v>
      </c>
      <c r="N881" t="n">
        <v>0</v>
      </c>
      <c r="O881" t="n">
        <v>0</v>
      </c>
      <c r="P881" t="n">
        <v>0</v>
      </c>
      <c r="Q881" t="n">
        <v>0</v>
      </c>
      <c r="R881" s="2" t="inlineStr"/>
    </row>
    <row r="882" ht="15" customHeight="1">
      <c r="A882" t="inlineStr">
        <is>
          <t>A 19236-2022</t>
        </is>
      </c>
      <c r="B882" s="1" t="n">
        <v>44692</v>
      </c>
      <c r="C882" s="1" t="n">
        <v>45750</v>
      </c>
      <c r="D882" t="inlineStr">
        <is>
          <t>VÄSTERNORRLANDS LÄN</t>
        </is>
      </c>
      <c r="E882" t="inlineStr">
        <is>
          <t>ÅNGE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19592-2022</t>
        </is>
      </c>
      <c r="B883" s="1" t="n">
        <v>44694</v>
      </c>
      <c r="C883" s="1" t="n">
        <v>45750</v>
      </c>
      <c r="D883" t="inlineStr">
        <is>
          <t>VÄSTERNORRLANDS LÄN</t>
        </is>
      </c>
      <c r="E883" t="inlineStr">
        <is>
          <t>ÅNGE</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20231-2022</t>
        </is>
      </c>
      <c r="B884" s="1" t="n">
        <v>44698</v>
      </c>
      <c r="C884" s="1" t="n">
        <v>45750</v>
      </c>
      <c r="D884" t="inlineStr">
        <is>
          <t>VÄSTERNORRLANDS LÄN</t>
        </is>
      </c>
      <c r="E884" t="inlineStr">
        <is>
          <t>ÅNGE</t>
        </is>
      </c>
      <c r="G884" t="n">
        <v>4.2</v>
      </c>
      <c r="H884" t="n">
        <v>0</v>
      </c>
      <c r="I884" t="n">
        <v>0</v>
      </c>
      <c r="J884" t="n">
        <v>0</v>
      </c>
      <c r="K884" t="n">
        <v>0</v>
      </c>
      <c r="L884" t="n">
        <v>0</v>
      </c>
      <c r="M884" t="n">
        <v>0</v>
      </c>
      <c r="N884" t="n">
        <v>0</v>
      </c>
      <c r="O884" t="n">
        <v>0</v>
      </c>
      <c r="P884" t="n">
        <v>0</v>
      </c>
      <c r="Q884" t="n">
        <v>0</v>
      </c>
      <c r="R884" s="2" t="inlineStr"/>
    </row>
    <row r="885" ht="15" customHeight="1">
      <c r="A885" t="inlineStr">
        <is>
          <t>A 20229-2022</t>
        </is>
      </c>
      <c r="B885" s="1" t="n">
        <v>44698</v>
      </c>
      <c r="C885" s="1" t="n">
        <v>45750</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20369-2022</t>
        </is>
      </c>
      <c r="B886" s="1" t="n">
        <v>44699</v>
      </c>
      <c r="C886" s="1" t="n">
        <v>45750</v>
      </c>
      <c r="D886" t="inlineStr">
        <is>
          <t>VÄSTERNORRLANDS LÄN</t>
        </is>
      </c>
      <c r="E886" t="inlineStr">
        <is>
          <t>ÅNGE</t>
        </is>
      </c>
      <c r="G886" t="n">
        <v>5.5</v>
      </c>
      <c r="H886" t="n">
        <v>0</v>
      </c>
      <c r="I886" t="n">
        <v>0</v>
      </c>
      <c r="J886" t="n">
        <v>0</v>
      </c>
      <c r="K886" t="n">
        <v>0</v>
      </c>
      <c r="L886" t="n">
        <v>0</v>
      </c>
      <c r="M886" t="n">
        <v>0</v>
      </c>
      <c r="N886" t="n">
        <v>0</v>
      </c>
      <c r="O886" t="n">
        <v>0</v>
      </c>
      <c r="P886" t="n">
        <v>0</v>
      </c>
      <c r="Q886" t="n">
        <v>0</v>
      </c>
      <c r="R886" s="2" t="inlineStr"/>
    </row>
    <row r="887" ht="15" customHeight="1">
      <c r="A887" t="inlineStr">
        <is>
          <t>A 20393-2022</t>
        </is>
      </c>
      <c r="B887" s="1" t="n">
        <v>44699</v>
      </c>
      <c r="C887" s="1" t="n">
        <v>45750</v>
      </c>
      <c r="D887" t="inlineStr">
        <is>
          <t>VÄSTERNORRLANDS LÄN</t>
        </is>
      </c>
      <c r="E887" t="inlineStr">
        <is>
          <t>ÅNGE</t>
        </is>
      </c>
      <c r="G887" t="n">
        <v>6.9</v>
      </c>
      <c r="H887" t="n">
        <v>0</v>
      </c>
      <c r="I887" t="n">
        <v>0</v>
      </c>
      <c r="J887" t="n">
        <v>0</v>
      </c>
      <c r="K887" t="n">
        <v>0</v>
      </c>
      <c r="L887" t="n">
        <v>0</v>
      </c>
      <c r="M887" t="n">
        <v>0</v>
      </c>
      <c r="N887" t="n">
        <v>0</v>
      </c>
      <c r="O887" t="n">
        <v>0</v>
      </c>
      <c r="P887" t="n">
        <v>0</v>
      </c>
      <c r="Q887" t="n">
        <v>0</v>
      </c>
      <c r="R887" s="2" t="inlineStr"/>
    </row>
    <row r="888" ht="15" customHeight="1">
      <c r="A888" t="inlineStr">
        <is>
          <t>A 20943-2022</t>
        </is>
      </c>
      <c r="B888" s="1" t="n">
        <v>44701</v>
      </c>
      <c r="C888" s="1" t="n">
        <v>45750</v>
      </c>
      <c r="D888" t="inlineStr">
        <is>
          <t>VÄSTERNORRLANDS LÄN</t>
        </is>
      </c>
      <c r="E888" t="inlineStr">
        <is>
          <t>ÅNGE</t>
        </is>
      </c>
      <c r="G888" t="n">
        <v>0.5</v>
      </c>
      <c r="H888" t="n">
        <v>0</v>
      </c>
      <c r="I888" t="n">
        <v>0</v>
      </c>
      <c r="J888" t="n">
        <v>0</v>
      </c>
      <c r="K888" t="n">
        <v>0</v>
      </c>
      <c r="L888" t="n">
        <v>0</v>
      </c>
      <c r="M888" t="n">
        <v>0</v>
      </c>
      <c r="N888" t="n">
        <v>0</v>
      </c>
      <c r="O888" t="n">
        <v>0</v>
      </c>
      <c r="P888" t="n">
        <v>0</v>
      </c>
      <c r="Q888" t="n">
        <v>0</v>
      </c>
      <c r="R888" s="2" t="inlineStr"/>
    </row>
    <row r="889" ht="15" customHeight="1">
      <c r="A889" t="inlineStr">
        <is>
          <t>A 21412-2022</t>
        </is>
      </c>
      <c r="B889" s="1" t="n">
        <v>44705</v>
      </c>
      <c r="C889" s="1" t="n">
        <v>45750</v>
      </c>
      <c r="D889" t="inlineStr">
        <is>
          <t>VÄSTERNORRLANDS LÄN</t>
        </is>
      </c>
      <c r="E889" t="inlineStr">
        <is>
          <t>ÅNGE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21406-2022</t>
        </is>
      </c>
      <c r="B890" s="1" t="n">
        <v>44706</v>
      </c>
      <c r="C890" s="1" t="n">
        <v>45750</v>
      </c>
      <c r="D890" t="inlineStr">
        <is>
          <t>VÄSTERNORRLANDS LÄN</t>
        </is>
      </c>
      <c r="E890" t="inlineStr">
        <is>
          <t>ÅNGE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21409-2022</t>
        </is>
      </c>
      <c r="B891" s="1" t="n">
        <v>44706</v>
      </c>
      <c r="C891" s="1" t="n">
        <v>45750</v>
      </c>
      <c r="D891" t="inlineStr">
        <is>
          <t>VÄSTERNORRLANDS LÄN</t>
        </is>
      </c>
      <c r="E891" t="inlineStr">
        <is>
          <t>ÅNGE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21740-2022</t>
        </is>
      </c>
      <c r="B892" s="1" t="n">
        <v>44708</v>
      </c>
      <c r="C892" s="1" t="n">
        <v>45750</v>
      </c>
      <c r="D892" t="inlineStr">
        <is>
          <t>VÄSTERNORRLANDS LÄN</t>
        </is>
      </c>
      <c r="E892" t="inlineStr">
        <is>
          <t>ÅNGE</t>
        </is>
      </c>
      <c r="G892" t="n">
        <v>2</v>
      </c>
      <c r="H892" t="n">
        <v>0</v>
      </c>
      <c r="I892" t="n">
        <v>0</v>
      </c>
      <c r="J892" t="n">
        <v>0</v>
      </c>
      <c r="K892" t="n">
        <v>0</v>
      </c>
      <c r="L892" t="n">
        <v>0</v>
      </c>
      <c r="M892" t="n">
        <v>0</v>
      </c>
      <c r="N892" t="n">
        <v>0</v>
      </c>
      <c r="O892" t="n">
        <v>0</v>
      </c>
      <c r="P892" t="n">
        <v>0</v>
      </c>
      <c r="Q892" t="n">
        <v>0</v>
      </c>
      <c r="R892" s="2" t="inlineStr"/>
    </row>
    <row r="893" ht="15" customHeight="1">
      <c r="A893" t="inlineStr">
        <is>
          <t>A 21744-2022</t>
        </is>
      </c>
      <c r="B893" s="1" t="n">
        <v>44708</v>
      </c>
      <c r="C893" s="1" t="n">
        <v>45750</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23999-2022</t>
        </is>
      </c>
      <c r="B894" s="1" t="n">
        <v>44723</v>
      </c>
      <c r="C894" s="1" t="n">
        <v>45750</v>
      </c>
      <c r="D894" t="inlineStr">
        <is>
          <t>VÄSTERNORRLANDS LÄN</t>
        </is>
      </c>
      <c r="E894" t="inlineStr">
        <is>
          <t>ÅNGE</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24324-2022</t>
        </is>
      </c>
      <c r="B895" s="1" t="n">
        <v>44726</v>
      </c>
      <c r="C895" s="1" t="n">
        <v>45750</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24325-2022</t>
        </is>
      </c>
      <c r="B896" s="1" t="n">
        <v>44726</v>
      </c>
      <c r="C896" s="1" t="n">
        <v>45750</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24355-2022</t>
        </is>
      </c>
      <c r="B897" s="1" t="n">
        <v>44726</v>
      </c>
      <c r="C897" s="1" t="n">
        <v>45750</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24353-2022</t>
        </is>
      </c>
      <c r="B898" s="1" t="n">
        <v>44726</v>
      </c>
      <c r="C898" s="1" t="n">
        <v>45750</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24527-2022</t>
        </is>
      </c>
      <c r="B899" s="1" t="n">
        <v>44726</v>
      </c>
      <c r="C899" s="1" t="n">
        <v>45750</v>
      </c>
      <c r="D899" t="inlineStr">
        <is>
          <t>VÄSTERNORRLANDS LÄN</t>
        </is>
      </c>
      <c r="E899" t="inlineStr">
        <is>
          <t>ÅNGE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25023-2022</t>
        </is>
      </c>
      <c r="B900" s="1" t="n">
        <v>44728</v>
      </c>
      <c r="C900" s="1" t="n">
        <v>45750</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25903-2022</t>
        </is>
      </c>
      <c r="B901" s="1" t="n">
        <v>44733</v>
      </c>
      <c r="C901" s="1" t="n">
        <v>45750</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25900-2022</t>
        </is>
      </c>
      <c r="B902" s="1" t="n">
        <v>44734</v>
      </c>
      <c r="C902" s="1" t="n">
        <v>45750</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25973-2022</t>
        </is>
      </c>
      <c r="B903" s="1" t="n">
        <v>44734</v>
      </c>
      <c r="C903" s="1" t="n">
        <v>45750</v>
      </c>
      <c r="D903" t="inlineStr">
        <is>
          <t>VÄSTERNORRLANDS LÄN</t>
        </is>
      </c>
      <c r="E903" t="inlineStr">
        <is>
          <t>ÅNGE</t>
        </is>
      </c>
      <c r="G903" t="n">
        <v>4.1</v>
      </c>
      <c r="H903" t="n">
        <v>0</v>
      </c>
      <c r="I903" t="n">
        <v>0</v>
      </c>
      <c r="J903" t="n">
        <v>0</v>
      </c>
      <c r="K903" t="n">
        <v>0</v>
      </c>
      <c r="L903" t="n">
        <v>0</v>
      </c>
      <c r="M903" t="n">
        <v>0</v>
      </c>
      <c r="N903" t="n">
        <v>0</v>
      </c>
      <c r="O903" t="n">
        <v>0</v>
      </c>
      <c r="P903" t="n">
        <v>0</v>
      </c>
      <c r="Q903" t="n">
        <v>0</v>
      </c>
      <c r="R903" s="2" t="inlineStr"/>
    </row>
    <row r="904" ht="15" customHeight="1">
      <c r="A904" t="inlineStr">
        <is>
          <t>A 26489-2022</t>
        </is>
      </c>
      <c r="B904" s="1" t="n">
        <v>44739</v>
      </c>
      <c r="C904" s="1" t="n">
        <v>45750</v>
      </c>
      <c r="D904" t="inlineStr">
        <is>
          <t>VÄSTERNORRLANDS LÄN</t>
        </is>
      </c>
      <c r="E904" t="inlineStr">
        <is>
          <t>ÅNGE</t>
        </is>
      </c>
      <c r="F904" t="inlineStr">
        <is>
          <t>Sveaskog</t>
        </is>
      </c>
      <c r="G904" t="n">
        <v>18.5</v>
      </c>
      <c r="H904" t="n">
        <v>0</v>
      </c>
      <c r="I904" t="n">
        <v>0</v>
      </c>
      <c r="J904" t="n">
        <v>0</v>
      </c>
      <c r="K904" t="n">
        <v>0</v>
      </c>
      <c r="L904" t="n">
        <v>0</v>
      </c>
      <c r="M904" t="n">
        <v>0</v>
      </c>
      <c r="N904" t="n">
        <v>0</v>
      </c>
      <c r="O904" t="n">
        <v>0</v>
      </c>
      <c r="P904" t="n">
        <v>0</v>
      </c>
      <c r="Q904" t="n">
        <v>0</v>
      </c>
      <c r="R904" s="2" t="inlineStr"/>
    </row>
    <row r="905" ht="15" customHeight="1">
      <c r="A905" t="inlineStr">
        <is>
          <t>A 26676-2022</t>
        </is>
      </c>
      <c r="B905" s="1" t="n">
        <v>44739</v>
      </c>
      <c r="C905" s="1" t="n">
        <v>45750</v>
      </c>
      <c r="D905" t="inlineStr">
        <is>
          <t>VÄSTERNORRLANDS LÄN</t>
        </is>
      </c>
      <c r="E905" t="inlineStr">
        <is>
          <t>ÅNGE</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26498-2022</t>
        </is>
      </c>
      <c r="B906" s="1" t="n">
        <v>44739</v>
      </c>
      <c r="C906" s="1" t="n">
        <v>45750</v>
      </c>
      <c r="D906" t="inlineStr">
        <is>
          <t>VÄSTERNORRLANDS LÄN</t>
        </is>
      </c>
      <c r="E906" t="inlineStr">
        <is>
          <t>ÅNGE</t>
        </is>
      </c>
      <c r="F906" t="inlineStr">
        <is>
          <t>Sveaskog</t>
        </is>
      </c>
      <c r="G906" t="n">
        <v>6.9</v>
      </c>
      <c r="H906" t="n">
        <v>0</v>
      </c>
      <c r="I906" t="n">
        <v>0</v>
      </c>
      <c r="J906" t="n">
        <v>0</v>
      </c>
      <c r="K906" t="n">
        <v>0</v>
      </c>
      <c r="L906" t="n">
        <v>0</v>
      </c>
      <c r="M906" t="n">
        <v>0</v>
      </c>
      <c r="N906" t="n">
        <v>0</v>
      </c>
      <c r="O906" t="n">
        <v>0</v>
      </c>
      <c r="P906" t="n">
        <v>0</v>
      </c>
      <c r="Q906" t="n">
        <v>0</v>
      </c>
      <c r="R906" s="2" t="inlineStr"/>
    </row>
    <row r="907" ht="15" customHeight="1">
      <c r="A907" t="inlineStr">
        <is>
          <t>A 27357-2022</t>
        </is>
      </c>
      <c r="B907" s="1" t="n">
        <v>44742</v>
      </c>
      <c r="C907" s="1" t="n">
        <v>45750</v>
      </c>
      <c r="D907" t="inlineStr">
        <is>
          <t>VÄSTERNORRLANDS LÄN</t>
        </is>
      </c>
      <c r="E907" t="inlineStr">
        <is>
          <t>ÅNGE</t>
        </is>
      </c>
      <c r="F907" t="inlineStr">
        <is>
          <t>Holmen skog AB</t>
        </is>
      </c>
      <c r="G907" t="n">
        <v>8</v>
      </c>
      <c r="H907" t="n">
        <v>0</v>
      </c>
      <c r="I907" t="n">
        <v>0</v>
      </c>
      <c r="J907" t="n">
        <v>0</v>
      </c>
      <c r="K907" t="n">
        <v>0</v>
      </c>
      <c r="L907" t="n">
        <v>0</v>
      </c>
      <c r="M907" t="n">
        <v>0</v>
      </c>
      <c r="N907" t="n">
        <v>0</v>
      </c>
      <c r="O907" t="n">
        <v>0</v>
      </c>
      <c r="P907" t="n">
        <v>0</v>
      </c>
      <c r="Q907" t="n">
        <v>0</v>
      </c>
      <c r="R907" s="2" t="inlineStr"/>
    </row>
    <row r="908" ht="15" customHeight="1">
      <c r="A908" t="inlineStr">
        <is>
          <t>A 27588-2022</t>
        </is>
      </c>
      <c r="B908" s="1" t="n">
        <v>44743</v>
      </c>
      <c r="C908" s="1" t="n">
        <v>45750</v>
      </c>
      <c r="D908" t="inlineStr">
        <is>
          <t>VÄSTERNORRLANDS LÄN</t>
        </is>
      </c>
      <c r="E908" t="inlineStr">
        <is>
          <t>ÅNGE</t>
        </is>
      </c>
      <c r="F908" t="inlineStr">
        <is>
          <t>SCA</t>
        </is>
      </c>
      <c r="G908" t="n">
        <v>17.2</v>
      </c>
      <c r="H908" t="n">
        <v>0</v>
      </c>
      <c r="I908" t="n">
        <v>0</v>
      </c>
      <c r="J908" t="n">
        <v>0</v>
      </c>
      <c r="K908" t="n">
        <v>0</v>
      </c>
      <c r="L908" t="n">
        <v>0</v>
      </c>
      <c r="M908" t="n">
        <v>0</v>
      </c>
      <c r="N908" t="n">
        <v>0</v>
      </c>
      <c r="O908" t="n">
        <v>0</v>
      </c>
      <c r="P908" t="n">
        <v>0</v>
      </c>
      <c r="Q908" t="n">
        <v>0</v>
      </c>
      <c r="R908" s="2" t="inlineStr"/>
    </row>
    <row r="909" ht="15" customHeight="1">
      <c r="A909" t="inlineStr">
        <is>
          <t>A 29221-2022</t>
        </is>
      </c>
      <c r="B909" s="1" t="n">
        <v>44750</v>
      </c>
      <c r="C909" s="1" t="n">
        <v>45750</v>
      </c>
      <c r="D909" t="inlineStr">
        <is>
          <t>VÄSTERNORRLANDS LÄN</t>
        </is>
      </c>
      <c r="E909" t="inlineStr">
        <is>
          <t>ÅNGE</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29216-2022</t>
        </is>
      </c>
      <c r="B910" s="1" t="n">
        <v>44750</v>
      </c>
      <c r="C910" s="1" t="n">
        <v>45750</v>
      </c>
      <c r="D910" t="inlineStr">
        <is>
          <t>VÄSTERNORRLANDS LÄN</t>
        </is>
      </c>
      <c r="E910" t="inlineStr">
        <is>
          <t>ÅNGE</t>
        </is>
      </c>
      <c r="G910" t="n">
        <v>0.7</v>
      </c>
      <c r="H910" t="n">
        <v>0</v>
      </c>
      <c r="I910" t="n">
        <v>0</v>
      </c>
      <c r="J910" t="n">
        <v>0</v>
      </c>
      <c r="K910" t="n">
        <v>0</v>
      </c>
      <c r="L910" t="n">
        <v>0</v>
      </c>
      <c r="M910" t="n">
        <v>0</v>
      </c>
      <c r="N910" t="n">
        <v>0</v>
      </c>
      <c r="O910" t="n">
        <v>0</v>
      </c>
      <c r="P910" t="n">
        <v>0</v>
      </c>
      <c r="Q910" t="n">
        <v>0</v>
      </c>
      <c r="R910" s="2" t="inlineStr"/>
    </row>
    <row r="911" ht="15" customHeight="1">
      <c r="A911" t="inlineStr">
        <is>
          <t>A 29500-2022</t>
        </is>
      </c>
      <c r="B911" s="1" t="n">
        <v>44753</v>
      </c>
      <c r="C911" s="1" t="n">
        <v>45750</v>
      </c>
      <c r="D911" t="inlineStr">
        <is>
          <t>VÄSTERNORRLANDS LÄN</t>
        </is>
      </c>
      <c r="E911" t="inlineStr">
        <is>
          <t>ÅNGE</t>
        </is>
      </c>
      <c r="F911" t="inlineStr">
        <is>
          <t>Sveaskog</t>
        </is>
      </c>
      <c r="G911" t="n">
        <v>5.5</v>
      </c>
      <c r="H911" t="n">
        <v>0</v>
      </c>
      <c r="I911" t="n">
        <v>0</v>
      </c>
      <c r="J911" t="n">
        <v>0</v>
      </c>
      <c r="K911" t="n">
        <v>0</v>
      </c>
      <c r="L911" t="n">
        <v>0</v>
      </c>
      <c r="M911" t="n">
        <v>0</v>
      </c>
      <c r="N911" t="n">
        <v>0</v>
      </c>
      <c r="O911" t="n">
        <v>0</v>
      </c>
      <c r="P911" t="n">
        <v>0</v>
      </c>
      <c r="Q911" t="n">
        <v>0</v>
      </c>
      <c r="R911" s="2" t="inlineStr"/>
    </row>
    <row r="912" ht="15" customHeight="1">
      <c r="A912" t="inlineStr">
        <is>
          <t>A 29824-2022</t>
        </is>
      </c>
      <c r="B912" s="1" t="n">
        <v>44756</v>
      </c>
      <c r="C912" s="1" t="n">
        <v>45750</v>
      </c>
      <c r="D912" t="inlineStr">
        <is>
          <t>VÄSTERNORRLANDS LÄN</t>
        </is>
      </c>
      <c r="E912" t="inlineStr">
        <is>
          <t>ÅNGE</t>
        </is>
      </c>
      <c r="F912" t="inlineStr">
        <is>
          <t>SCA</t>
        </is>
      </c>
      <c r="G912" t="n">
        <v>4.8</v>
      </c>
      <c r="H912" t="n">
        <v>0</v>
      </c>
      <c r="I912" t="n">
        <v>0</v>
      </c>
      <c r="J912" t="n">
        <v>0</v>
      </c>
      <c r="K912" t="n">
        <v>0</v>
      </c>
      <c r="L912" t="n">
        <v>0</v>
      </c>
      <c r="M912" t="n">
        <v>0</v>
      </c>
      <c r="N912" t="n">
        <v>0</v>
      </c>
      <c r="O912" t="n">
        <v>0</v>
      </c>
      <c r="P912" t="n">
        <v>0</v>
      </c>
      <c r="Q912" t="n">
        <v>0</v>
      </c>
      <c r="R912" s="2" t="inlineStr"/>
    </row>
    <row r="913" ht="15" customHeight="1">
      <c r="A913" t="inlineStr">
        <is>
          <t>A 29831-2022</t>
        </is>
      </c>
      <c r="B913" s="1" t="n">
        <v>44756</v>
      </c>
      <c r="C913" s="1" t="n">
        <v>45750</v>
      </c>
      <c r="D913" t="inlineStr">
        <is>
          <t>VÄSTERNORRLANDS LÄN</t>
        </is>
      </c>
      <c r="E913" t="inlineStr">
        <is>
          <t>ÅNGE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29832-2022</t>
        </is>
      </c>
      <c r="B914" s="1" t="n">
        <v>44756</v>
      </c>
      <c r="C914" s="1" t="n">
        <v>45750</v>
      </c>
      <c r="D914" t="inlineStr">
        <is>
          <t>VÄSTERNORRLANDS LÄN</t>
        </is>
      </c>
      <c r="E914" t="inlineStr">
        <is>
          <t>ÅNGE</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30221-2022</t>
        </is>
      </c>
      <c r="B915" s="1" t="n">
        <v>44757</v>
      </c>
      <c r="C915" s="1" t="n">
        <v>45750</v>
      </c>
      <c r="D915" t="inlineStr">
        <is>
          <t>VÄSTERNORRLANDS LÄN</t>
        </is>
      </c>
      <c r="E915" t="inlineStr">
        <is>
          <t>ÅNGE</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30358-2022</t>
        </is>
      </c>
      <c r="B916" s="1" t="n">
        <v>44760</v>
      </c>
      <c r="C916" s="1" t="n">
        <v>45750</v>
      </c>
      <c r="D916" t="inlineStr">
        <is>
          <t>VÄSTERNORRLANDS LÄN</t>
        </is>
      </c>
      <c r="E916" t="inlineStr">
        <is>
          <t>ÅNGE</t>
        </is>
      </c>
      <c r="G916" t="n">
        <v>3.8</v>
      </c>
      <c r="H916" t="n">
        <v>0</v>
      </c>
      <c r="I916" t="n">
        <v>0</v>
      </c>
      <c r="J916" t="n">
        <v>0</v>
      </c>
      <c r="K916" t="n">
        <v>0</v>
      </c>
      <c r="L916" t="n">
        <v>0</v>
      </c>
      <c r="M916" t="n">
        <v>0</v>
      </c>
      <c r="N916" t="n">
        <v>0</v>
      </c>
      <c r="O916" t="n">
        <v>0</v>
      </c>
      <c r="P916" t="n">
        <v>0</v>
      </c>
      <c r="Q916" t="n">
        <v>0</v>
      </c>
      <c r="R916" s="2" t="inlineStr"/>
    </row>
    <row r="917" ht="15" customHeight="1">
      <c r="A917" t="inlineStr">
        <is>
          <t>A 30495-2022</t>
        </is>
      </c>
      <c r="B917" s="1" t="n">
        <v>44762</v>
      </c>
      <c r="C917" s="1" t="n">
        <v>45750</v>
      </c>
      <c r="D917" t="inlineStr">
        <is>
          <t>VÄSTERNORRLANDS LÄN</t>
        </is>
      </c>
      <c r="E917" t="inlineStr">
        <is>
          <t>ÅNGE</t>
        </is>
      </c>
      <c r="F917" t="inlineStr">
        <is>
          <t>SCA</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30768-2022</t>
        </is>
      </c>
      <c r="B918" s="1" t="n">
        <v>44764</v>
      </c>
      <c r="C918" s="1" t="n">
        <v>45750</v>
      </c>
      <c r="D918" t="inlineStr">
        <is>
          <t>VÄSTERNORRLANDS LÄN</t>
        </is>
      </c>
      <c r="E918" t="inlineStr">
        <is>
          <t>ÅNGE</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30803-2022</t>
        </is>
      </c>
      <c r="B919" s="1" t="n">
        <v>44764</v>
      </c>
      <c r="C919" s="1" t="n">
        <v>45750</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30804-2022</t>
        </is>
      </c>
      <c r="B920" s="1" t="n">
        <v>44765</v>
      </c>
      <c r="C920" s="1" t="n">
        <v>45750</v>
      </c>
      <c r="D920" t="inlineStr">
        <is>
          <t>VÄSTERNORRLANDS LÄN</t>
        </is>
      </c>
      <c r="E920" t="inlineStr">
        <is>
          <t>ÅNGE</t>
        </is>
      </c>
      <c r="G920" t="n">
        <v>2.3</v>
      </c>
      <c r="H920" t="n">
        <v>0</v>
      </c>
      <c r="I920" t="n">
        <v>0</v>
      </c>
      <c r="J920" t="n">
        <v>0</v>
      </c>
      <c r="K920" t="n">
        <v>0</v>
      </c>
      <c r="L920" t="n">
        <v>0</v>
      </c>
      <c r="M920" t="n">
        <v>0</v>
      </c>
      <c r="N920" t="n">
        <v>0</v>
      </c>
      <c r="O920" t="n">
        <v>0</v>
      </c>
      <c r="P920" t="n">
        <v>0</v>
      </c>
      <c r="Q920" t="n">
        <v>0</v>
      </c>
      <c r="R920" s="2" t="inlineStr"/>
    </row>
    <row r="921" ht="15" customHeight="1">
      <c r="A921" t="inlineStr">
        <is>
          <t>A 31136-2022</t>
        </is>
      </c>
      <c r="B921" s="1" t="n">
        <v>44770</v>
      </c>
      <c r="C921" s="1" t="n">
        <v>45750</v>
      </c>
      <c r="D921" t="inlineStr">
        <is>
          <t>VÄSTERNORRLANDS LÄN</t>
        </is>
      </c>
      <c r="E921" t="inlineStr">
        <is>
          <t>ÅNGE</t>
        </is>
      </c>
      <c r="F921" t="inlineStr">
        <is>
          <t>Övriga Aktiebolag</t>
        </is>
      </c>
      <c r="G921" t="n">
        <v>4.4</v>
      </c>
      <c r="H921" t="n">
        <v>0</v>
      </c>
      <c r="I921" t="n">
        <v>0</v>
      </c>
      <c r="J921" t="n">
        <v>0</v>
      </c>
      <c r="K921" t="n">
        <v>0</v>
      </c>
      <c r="L921" t="n">
        <v>0</v>
      </c>
      <c r="M921" t="n">
        <v>0</v>
      </c>
      <c r="N921" t="n">
        <v>0</v>
      </c>
      <c r="O921" t="n">
        <v>0</v>
      </c>
      <c r="P921" t="n">
        <v>0</v>
      </c>
      <c r="Q921" t="n">
        <v>0</v>
      </c>
      <c r="R921" s="2" t="inlineStr"/>
    </row>
    <row r="922" ht="15" customHeight="1">
      <c r="A922" t="inlineStr">
        <is>
          <t>A 31325-2022</t>
        </is>
      </c>
      <c r="B922" s="1" t="n">
        <v>44774</v>
      </c>
      <c r="C922" s="1" t="n">
        <v>45750</v>
      </c>
      <c r="D922" t="inlineStr">
        <is>
          <t>VÄSTERNORRLANDS LÄN</t>
        </is>
      </c>
      <c r="E922" t="inlineStr">
        <is>
          <t>ÅNGE</t>
        </is>
      </c>
      <c r="G922" t="n">
        <v>6.3</v>
      </c>
      <c r="H922" t="n">
        <v>0</v>
      </c>
      <c r="I922" t="n">
        <v>0</v>
      </c>
      <c r="J922" t="n">
        <v>0</v>
      </c>
      <c r="K922" t="n">
        <v>0</v>
      </c>
      <c r="L922" t="n">
        <v>0</v>
      </c>
      <c r="M922" t="n">
        <v>0</v>
      </c>
      <c r="N922" t="n">
        <v>0</v>
      </c>
      <c r="O922" t="n">
        <v>0</v>
      </c>
      <c r="P922" t="n">
        <v>0</v>
      </c>
      <c r="Q922" t="n">
        <v>0</v>
      </c>
      <c r="R922" s="2" t="inlineStr"/>
    </row>
    <row r="923" ht="15" customHeight="1">
      <c r="A923" t="inlineStr">
        <is>
          <t>A 31366-2022</t>
        </is>
      </c>
      <c r="B923" s="1" t="n">
        <v>44774</v>
      </c>
      <c r="C923" s="1" t="n">
        <v>45750</v>
      </c>
      <c r="D923" t="inlineStr">
        <is>
          <t>VÄSTERNORRLANDS LÄN</t>
        </is>
      </c>
      <c r="E923" t="inlineStr">
        <is>
          <t>ÅNGE</t>
        </is>
      </c>
      <c r="F923" t="inlineStr">
        <is>
          <t>Sveaskog</t>
        </is>
      </c>
      <c r="G923" t="n">
        <v>1.8</v>
      </c>
      <c r="H923" t="n">
        <v>0</v>
      </c>
      <c r="I923" t="n">
        <v>0</v>
      </c>
      <c r="J923" t="n">
        <v>0</v>
      </c>
      <c r="K923" t="n">
        <v>0</v>
      </c>
      <c r="L923" t="n">
        <v>0</v>
      </c>
      <c r="M923" t="n">
        <v>0</v>
      </c>
      <c r="N923" t="n">
        <v>0</v>
      </c>
      <c r="O923" t="n">
        <v>0</v>
      </c>
      <c r="P923" t="n">
        <v>0</v>
      </c>
      <c r="Q923" t="n">
        <v>0</v>
      </c>
      <c r="R923" s="2" t="inlineStr"/>
    </row>
    <row r="924" ht="15" customHeight="1">
      <c r="A924" t="inlineStr">
        <is>
          <t>A 31368-2022</t>
        </is>
      </c>
      <c r="B924" s="1" t="n">
        <v>44774</v>
      </c>
      <c r="C924" s="1" t="n">
        <v>45750</v>
      </c>
      <c r="D924" t="inlineStr">
        <is>
          <t>VÄSTERNORRLANDS LÄN</t>
        </is>
      </c>
      <c r="E924" t="inlineStr">
        <is>
          <t>ÅNGE</t>
        </is>
      </c>
      <c r="F924" t="inlineStr">
        <is>
          <t>Sveaskog</t>
        </is>
      </c>
      <c r="G924" t="n">
        <v>3.8</v>
      </c>
      <c r="H924" t="n">
        <v>0</v>
      </c>
      <c r="I924" t="n">
        <v>0</v>
      </c>
      <c r="J924" t="n">
        <v>0</v>
      </c>
      <c r="K924" t="n">
        <v>0</v>
      </c>
      <c r="L924" t="n">
        <v>0</v>
      </c>
      <c r="M924" t="n">
        <v>0</v>
      </c>
      <c r="N924" t="n">
        <v>0</v>
      </c>
      <c r="O924" t="n">
        <v>0</v>
      </c>
      <c r="P924" t="n">
        <v>0</v>
      </c>
      <c r="Q924" t="n">
        <v>0</v>
      </c>
      <c r="R924" s="2" t="inlineStr"/>
    </row>
    <row r="925" ht="15" customHeight="1">
      <c r="A925" t="inlineStr">
        <is>
          <t>A 31647-2022</t>
        </is>
      </c>
      <c r="B925" s="1" t="n">
        <v>44776</v>
      </c>
      <c r="C925" s="1" t="n">
        <v>45750</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31649-2022</t>
        </is>
      </c>
      <c r="B926" s="1" t="n">
        <v>44776</v>
      </c>
      <c r="C926" s="1" t="n">
        <v>45750</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31696-2022</t>
        </is>
      </c>
      <c r="B927" s="1" t="n">
        <v>44776</v>
      </c>
      <c r="C927" s="1" t="n">
        <v>45750</v>
      </c>
      <c r="D927" t="inlineStr">
        <is>
          <t>VÄSTERNORRLANDS LÄN</t>
        </is>
      </c>
      <c r="E927" t="inlineStr">
        <is>
          <t>ÅNGE</t>
        </is>
      </c>
      <c r="G927" t="n">
        <v>1.8</v>
      </c>
      <c r="H927" t="n">
        <v>0</v>
      </c>
      <c r="I927" t="n">
        <v>0</v>
      </c>
      <c r="J927" t="n">
        <v>0</v>
      </c>
      <c r="K927" t="n">
        <v>0</v>
      </c>
      <c r="L927" t="n">
        <v>0</v>
      </c>
      <c r="M927" t="n">
        <v>0</v>
      </c>
      <c r="N927" t="n">
        <v>0</v>
      </c>
      <c r="O927" t="n">
        <v>0</v>
      </c>
      <c r="P927" t="n">
        <v>0</v>
      </c>
      <c r="Q927" t="n">
        <v>0</v>
      </c>
      <c r="R927" s="2" t="inlineStr"/>
    </row>
    <row r="928" ht="15" customHeight="1">
      <c r="A928" t="inlineStr">
        <is>
          <t>A 31845-2022</t>
        </is>
      </c>
      <c r="B928" s="1" t="n">
        <v>44777</v>
      </c>
      <c r="C928" s="1" t="n">
        <v>45750</v>
      </c>
      <c r="D928" t="inlineStr">
        <is>
          <t>VÄSTERNORRLANDS LÄN</t>
        </is>
      </c>
      <c r="E928" t="inlineStr">
        <is>
          <t>ÅNGE</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32535-2022</t>
        </is>
      </c>
      <c r="B929" s="1" t="n">
        <v>44783</v>
      </c>
      <c r="C929" s="1" t="n">
        <v>45750</v>
      </c>
      <c r="D929" t="inlineStr">
        <is>
          <t>VÄSTERNORRLANDS LÄN</t>
        </is>
      </c>
      <c r="E929" t="inlineStr">
        <is>
          <t>ÅNGE</t>
        </is>
      </c>
      <c r="G929" t="n">
        <v>10.3</v>
      </c>
      <c r="H929" t="n">
        <v>0</v>
      </c>
      <c r="I929" t="n">
        <v>0</v>
      </c>
      <c r="J929" t="n">
        <v>0</v>
      </c>
      <c r="K929" t="n">
        <v>0</v>
      </c>
      <c r="L929" t="n">
        <v>0</v>
      </c>
      <c r="M929" t="n">
        <v>0</v>
      </c>
      <c r="N929" t="n">
        <v>0</v>
      </c>
      <c r="O929" t="n">
        <v>0</v>
      </c>
      <c r="P929" t="n">
        <v>0</v>
      </c>
      <c r="Q929" t="n">
        <v>0</v>
      </c>
      <c r="R929" s="2" t="inlineStr"/>
    </row>
    <row r="930" ht="15" customHeight="1">
      <c r="A930" t="inlineStr">
        <is>
          <t>A 32536-2022</t>
        </is>
      </c>
      <c r="B930" s="1" t="n">
        <v>44783</v>
      </c>
      <c r="C930" s="1" t="n">
        <v>45750</v>
      </c>
      <c r="D930" t="inlineStr">
        <is>
          <t>VÄSTERNORRLANDS LÄN</t>
        </is>
      </c>
      <c r="E930" t="inlineStr">
        <is>
          <t>ÅNGE</t>
        </is>
      </c>
      <c r="G930" t="n">
        <v>0.4</v>
      </c>
      <c r="H930" t="n">
        <v>0</v>
      </c>
      <c r="I930" t="n">
        <v>0</v>
      </c>
      <c r="J930" t="n">
        <v>0</v>
      </c>
      <c r="K930" t="n">
        <v>0</v>
      </c>
      <c r="L930" t="n">
        <v>0</v>
      </c>
      <c r="M930" t="n">
        <v>0</v>
      </c>
      <c r="N930" t="n">
        <v>0</v>
      </c>
      <c r="O930" t="n">
        <v>0</v>
      </c>
      <c r="P930" t="n">
        <v>0</v>
      </c>
      <c r="Q930" t="n">
        <v>0</v>
      </c>
      <c r="R930" s="2" t="inlineStr"/>
    </row>
    <row r="931" ht="15" customHeight="1">
      <c r="A931" t="inlineStr">
        <is>
          <t>A 32538-2022</t>
        </is>
      </c>
      <c r="B931" s="1" t="n">
        <v>44783</v>
      </c>
      <c r="C931" s="1" t="n">
        <v>45750</v>
      </c>
      <c r="D931" t="inlineStr">
        <is>
          <t>VÄSTERNORRLANDS LÄN</t>
        </is>
      </c>
      <c r="E931" t="inlineStr">
        <is>
          <t>ÅNGE</t>
        </is>
      </c>
      <c r="G931" t="n">
        <v>2.4</v>
      </c>
      <c r="H931" t="n">
        <v>0</v>
      </c>
      <c r="I931" t="n">
        <v>0</v>
      </c>
      <c r="J931" t="n">
        <v>0</v>
      </c>
      <c r="K931" t="n">
        <v>0</v>
      </c>
      <c r="L931" t="n">
        <v>0</v>
      </c>
      <c r="M931" t="n">
        <v>0</v>
      </c>
      <c r="N931" t="n">
        <v>0</v>
      </c>
      <c r="O931" t="n">
        <v>0</v>
      </c>
      <c r="P931" t="n">
        <v>0</v>
      </c>
      <c r="Q931" t="n">
        <v>0</v>
      </c>
      <c r="R931" s="2" t="inlineStr"/>
    </row>
    <row r="932" ht="15" customHeight="1">
      <c r="A932" t="inlineStr">
        <is>
          <t>A 32631-2022</t>
        </is>
      </c>
      <c r="B932" s="1" t="n">
        <v>44783</v>
      </c>
      <c r="C932" s="1" t="n">
        <v>45750</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32776-2022</t>
        </is>
      </c>
      <c r="B933" s="1" t="n">
        <v>44784</v>
      </c>
      <c r="C933" s="1" t="n">
        <v>45750</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33112-2022</t>
        </is>
      </c>
      <c r="B934" s="1" t="n">
        <v>44785</v>
      </c>
      <c r="C934" s="1" t="n">
        <v>45750</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33062-2022</t>
        </is>
      </c>
      <c r="B935" s="1" t="n">
        <v>44785</v>
      </c>
      <c r="C935" s="1" t="n">
        <v>45750</v>
      </c>
      <c r="D935" t="inlineStr">
        <is>
          <t>VÄSTERNORRLANDS LÄN</t>
        </is>
      </c>
      <c r="E935" t="inlineStr">
        <is>
          <t>ÅNGE</t>
        </is>
      </c>
      <c r="G935" t="n">
        <v>0.5</v>
      </c>
      <c r="H935" t="n">
        <v>0</v>
      </c>
      <c r="I935" t="n">
        <v>0</v>
      </c>
      <c r="J935" t="n">
        <v>0</v>
      </c>
      <c r="K935" t="n">
        <v>0</v>
      </c>
      <c r="L935" t="n">
        <v>0</v>
      </c>
      <c r="M935" t="n">
        <v>0</v>
      </c>
      <c r="N935" t="n">
        <v>0</v>
      </c>
      <c r="O935" t="n">
        <v>0</v>
      </c>
      <c r="P935" t="n">
        <v>0</v>
      </c>
      <c r="Q935" t="n">
        <v>0</v>
      </c>
      <c r="R935" s="2" t="inlineStr"/>
    </row>
    <row r="936" ht="15" customHeight="1">
      <c r="A936" t="inlineStr">
        <is>
          <t>A 33229-2022</t>
        </is>
      </c>
      <c r="B936" s="1" t="n">
        <v>44785</v>
      </c>
      <c r="C936" s="1" t="n">
        <v>45750</v>
      </c>
      <c r="D936" t="inlineStr">
        <is>
          <t>VÄSTERNORRLANDS LÄN</t>
        </is>
      </c>
      <c r="E936" t="inlineStr">
        <is>
          <t>ÅNGE</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33274-2022</t>
        </is>
      </c>
      <c r="B937" s="1" t="n">
        <v>44788</v>
      </c>
      <c r="C937" s="1" t="n">
        <v>45750</v>
      </c>
      <c r="D937" t="inlineStr">
        <is>
          <t>VÄSTERNORRLANDS LÄN</t>
        </is>
      </c>
      <c r="E937" t="inlineStr">
        <is>
          <t>ÅNGE</t>
        </is>
      </c>
      <c r="G937" t="n">
        <v>1.1</v>
      </c>
      <c r="H937" t="n">
        <v>0</v>
      </c>
      <c r="I937" t="n">
        <v>0</v>
      </c>
      <c r="J937" t="n">
        <v>0</v>
      </c>
      <c r="K937" t="n">
        <v>0</v>
      </c>
      <c r="L937" t="n">
        <v>0</v>
      </c>
      <c r="M937" t="n">
        <v>0</v>
      </c>
      <c r="N937" t="n">
        <v>0</v>
      </c>
      <c r="O937" t="n">
        <v>0</v>
      </c>
      <c r="P937" t="n">
        <v>0</v>
      </c>
      <c r="Q937" t="n">
        <v>0</v>
      </c>
      <c r="R937" s="2" t="inlineStr"/>
    </row>
    <row r="938" ht="15" customHeight="1">
      <c r="A938" t="inlineStr">
        <is>
          <t>A 34091-2022</t>
        </is>
      </c>
      <c r="B938" s="1" t="n">
        <v>44791</v>
      </c>
      <c r="C938" s="1" t="n">
        <v>45750</v>
      </c>
      <c r="D938" t="inlineStr">
        <is>
          <t>VÄSTERNORRLANDS LÄN</t>
        </is>
      </c>
      <c r="E938" t="inlineStr">
        <is>
          <t>ÅNGE</t>
        </is>
      </c>
      <c r="G938" t="n">
        <v>10.1</v>
      </c>
      <c r="H938" t="n">
        <v>0</v>
      </c>
      <c r="I938" t="n">
        <v>0</v>
      </c>
      <c r="J938" t="n">
        <v>0</v>
      </c>
      <c r="K938" t="n">
        <v>0</v>
      </c>
      <c r="L938" t="n">
        <v>0</v>
      </c>
      <c r="M938" t="n">
        <v>0</v>
      </c>
      <c r="N938" t="n">
        <v>0</v>
      </c>
      <c r="O938" t="n">
        <v>0</v>
      </c>
      <c r="P938" t="n">
        <v>0</v>
      </c>
      <c r="Q938" t="n">
        <v>0</v>
      </c>
      <c r="R938" s="2" t="inlineStr"/>
    </row>
    <row r="939" ht="15" customHeight="1">
      <c r="A939" t="inlineStr">
        <is>
          <t>A 35002-2022</t>
        </is>
      </c>
      <c r="B939" s="1" t="n">
        <v>44796</v>
      </c>
      <c r="C939" s="1" t="n">
        <v>45750</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35026-2022</t>
        </is>
      </c>
      <c r="B940" s="1" t="n">
        <v>44796</v>
      </c>
      <c r="C940" s="1" t="n">
        <v>45750</v>
      </c>
      <c r="D940" t="inlineStr">
        <is>
          <t>VÄSTERNORRLANDS LÄN</t>
        </is>
      </c>
      <c r="E940" t="inlineStr">
        <is>
          <t>ÅNGE</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35283-2022</t>
        </is>
      </c>
      <c r="B941" s="1" t="n">
        <v>44798</v>
      </c>
      <c r="C941" s="1" t="n">
        <v>45750</v>
      </c>
      <c r="D941" t="inlineStr">
        <is>
          <t>VÄSTERNORRLANDS LÄN</t>
        </is>
      </c>
      <c r="E941" t="inlineStr">
        <is>
          <t>ÅNGE</t>
        </is>
      </c>
      <c r="G941" t="n">
        <v>4.5</v>
      </c>
      <c r="H941" t="n">
        <v>0</v>
      </c>
      <c r="I941" t="n">
        <v>0</v>
      </c>
      <c r="J941" t="n">
        <v>0</v>
      </c>
      <c r="K941" t="n">
        <v>0</v>
      </c>
      <c r="L941" t="n">
        <v>0</v>
      </c>
      <c r="M941" t="n">
        <v>0</v>
      </c>
      <c r="N941" t="n">
        <v>0</v>
      </c>
      <c r="O941" t="n">
        <v>0</v>
      </c>
      <c r="P941" t="n">
        <v>0</v>
      </c>
      <c r="Q941" t="n">
        <v>0</v>
      </c>
      <c r="R941" s="2" t="inlineStr"/>
    </row>
    <row r="942" ht="15" customHeight="1">
      <c r="A942" t="inlineStr">
        <is>
          <t>A 35276-2022</t>
        </is>
      </c>
      <c r="B942" s="1" t="n">
        <v>44798</v>
      </c>
      <c r="C942" s="1" t="n">
        <v>45750</v>
      </c>
      <c r="D942" t="inlineStr">
        <is>
          <t>VÄSTERNORRLANDS LÄN</t>
        </is>
      </c>
      <c r="E942" t="inlineStr">
        <is>
          <t>ÅNGE</t>
        </is>
      </c>
      <c r="G942" t="n">
        <v>15.2</v>
      </c>
      <c r="H942" t="n">
        <v>0</v>
      </c>
      <c r="I942" t="n">
        <v>0</v>
      </c>
      <c r="J942" t="n">
        <v>0</v>
      </c>
      <c r="K942" t="n">
        <v>0</v>
      </c>
      <c r="L942" t="n">
        <v>0</v>
      </c>
      <c r="M942" t="n">
        <v>0</v>
      </c>
      <c r="N942" t="n">
        <v>0</v>
      </c>
      <c r="O942" t="n">
        <v>0</v>
      </c>
      <c r="P942" t="n">
        <v>0</v>
      </c>
      <c r="Q942" t="n">
        <v>0</v>
      </c>
      <c r="R942" s="2" t="inlineStr"/>
    </row>
    <row r="943" ht="15" customHeight="1">
      <c r="A943" t="inlineStr">
        <is>
          <t>A 35497-2022</t>
        </is>
      </c>
      <c r="B943" s="1" t="n">
        <v>44798</v>
      </c>
      <c r="C943" s="1" t="n">
        <v>45750</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35496-2022</t>
        </is>
      </c>
      <c r="B944" s="1" t="n">
        <v>44798</v>
      </c>
      <c r="C944" s="1" t="n">
        <v>45750</v>
      </c>
      <c r="D944" t="inlineStr">
        <is>
          <t>VÄSTERNORRLANDS LÄN</t>
        </is>
      </c>
      <c r="E944" t="inlineStr">
        <is>
          <t>ÅNGE</t>
        </is>
      </c>
      <c r="F944" t="inlineStr">
        <is>
          <t>SCA</t>
        </is>
      </c>
      <c r="G944" t="n">
        <v>15.6</v>
      </c>
      <c r="H944" t="n">
        <v>0</v>
      </c>
      <c r="I944" t="n">
        <v>0</v>
      </c>
      <c r="J944" t="n">
        <v>0</v>
      </c>
      <c r="K944" t="n">
        <v>0</v>
      </c>
      <c r="L944" t="n">
        <v>0</v>
      </c>
      <c r="M944" t="n">
        <v>0</v>
      </c>
      <c r="N944" t="n">
        <v>0</v>
      </c>
      <c r="O944" t="n">
        <v>0</v>
      </c>
      <c r="P944" t="n">
        <v>0</v>
      </c>
      <c r="Q944" t="n">
        <v>0</v>
      </c>
      <c r="R944" s="2" t="inlineStr"/>
    </row>
    <row r="945" ht="15" customHeight="1">
      <c r="A945" t="inlineStr">
        <is>
          <t>A 35509-2022</t>
        </is>
      </c>
      <c r="B945" s="1" t="n">
        <v>44798</v>
      </c>
      <c r="C945" s="1" t="n">
        <v>45750</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35507-2022</t>
        </is>
      </c>
      <c r="B946" s="1" t="n">
        <v>44798</v>
      </c>
      <c r="C946" s="1" t="n">
        <v>45750</v>
      </c>
      <c r="D946" t="inlineStr">
        <is>
          <t>VÄSTERNORRLANDS LÄN</t>
        </is>
      </c>
      <c r="E946" t="inlineStr">
        <is>
          <t>ÅNGE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35498-2022</t>
        </is>
      </c>
      <c r="B947" s="1" t="n">
        <v>44799</v>
      </c>
      <c r="C947" s="1" t="n">
        <v>45750</v>
      </c>
      <c r="D947" t="inlineStr">
        <is>
          <t>VÄSTERNORRLANDS LÄN</t>
        </is>
      </c>
      <c r="E947" t="inlineStr">
        <is>
          <t>ÅNGE</t>
        </is>
      </c>
      <c r="F947" t="inlineStr">
        <is>
          <t>SCA</t>
        </is>
      </c>
      <c r="G947" t="n">
        <v>3</v>
      </c>
      <c r="H947" t="n">
        <v>0</v>
      </c>
      <c r="I947" t="n">
        <v>0</v>
      </c>
      <c r="J947" t="n">
        <v>0</v>
      </c>
      <c r="K947" t="n">
        <v>0</v>
      </c>
      <c r="L947" t="n">
        <v>0</v>
      </c>
      <c r="M947" t="n">
        <v>0</v>
      </c>
      <c r="N947" t="n">
        <v>0</v>
      </c>
      <c r="O947" t="n">
        <v>0</v>
      </c>
      <c r="P947" t="n">
        <v>0</v>
      </c>
      <c r="Q947" t="n">
        <v>0</v>
      </c>
      <c r="R947" s="2" t="inlineStr"/>
    </row>
    <row r="948" ht="15" customHeight="1">
      <c r="A948" t="inlineStr">
        <is>
          <t>A 35508-2022</t>
        </is>
      </c>
      <c r="B948" s="1" t="n">
        <v>44798</v>
      </c>
      <c r="C948" s="1" t="n">
        <v>45750</v>
      </c>
      <c r="D948" t="inlineStr">
        <is>
          <t>VÄSTERNORRLANDS LÄN</t>
        </is>
      </c>
      <c r="E948" t="inlineStr">
        <is>
          <t>ÅNGE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36937-2022</t>
        </is>
      </c>
      <c r="B949" s="1" t="n">
        <v>44806</v>
      </c>
      <c r="C949" s="1" t="n">
        <v>45750</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36924-2022</t>
        </is>
      </c>
      <c r="B950" s="1" t="n">
        <v>44805</v>
      </c>
      <c r="C950" s="1" t="n">
        <v>45750</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36936-2022</t>
        </is>
      </c>
      <c r="B951" s="1" t="n">
        <v>44805</v>
      </c>
      <c r="C951" s="1" t="n">
        <v>45750</v>
      </c>
      <c r="D951" t="inlineStr">
        <is>
          <t>VÄSTERNORRLANDS LÄN</t>
        </is>
      </c>
      <c r="E951" t="inlineStr">
        <is>
          <t>ÅNGE</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38284-2022</t>
        </is>
      </c>
      <c r="B952" s="1" t="n">
        <v>44812</v>
      </c>
      <c r="C952" s="1" t="n">
        <v>45750</v>
      </c>
      <c r="D952" t="inlineStr">
        <is>
          <t>VÄSTERNORRLANDS LÄN</t>
        </is>
      </c>
      <c r="E952" t="inlineStr">
        <is>
          <t>ÅNGE</t>
        </is>
      </c>
      <c r="G952" t="n">
        <v>2.4</v>
      </c>
      <c r="H952" t="n">
        <v>0</v>
      </c>
      <c r="I952" t="n">
        <v>0</v>
      </c>
      <c r="J952" t="n">
        <v>0</v>
      </c>
      <c r="K952" t="n">
        <v>0</v>
      </c>
      <c r="L952" t="n">
        <v>0</v>
      </c>
      <c r="M952" t="n">
        <v>0</v>
      </c>
      <c r="N952" t="n">
        <v>0</v>
      </c>
      <c r="O952" t="n">
        <v>0</v>
      </c>
      <c r="P952" t="n">
        <v>0</v>
      </c>
      <c r="Q952" t="n">
        <v>0</v>
      </c>
      <c r="R952" s="2" t="inlineStr"/>
    </row>
    <row r="953" ht="15" customHeight="1">
      <c r="A953" t="inlineStr">
        <is>
          <t>A 38680-2022</t>
        </is>
      </c>
      <c r="B953" s="1" t="n">
        <v>44813</v>
      </c>
      <c r="C953" s="1" t="n">
        <v>45750</v>
      </c>
      <c r="D953" t="inlineStr">
        <is>
          <t>VÄSTERNORRLANDS LÄN</t>
        </is>
      </c>
      <c r="E953" t="inlineStr">
        <is>
          <t>ÅNGE</t>
        </is>
      </c>
      <c r="F953" t="inlineStr">
        <is>
          <t>SCA</t>
        </is>
      </c>
      <c r="G953" t="n">
        <v>12.3</v>
      </c>
      <c r="H953" t="n">
        <v>0</v>
      </c>
      <c r="I953" t="n">
        <v>0</v>
      </c>
      <c r="J953" t="n">
        <v>0</v>
      </c>
      <c r="K953" t="n">
        <v>0</v>
      </c>
      <c r="L953" t="n">
        <v>0</v>
      </c>
      <c r="M953" t="n">
        <v>0</v>
      </c>
      <c r="N953" t="n">
        <v>0</v>
      </c>
      <c r="O953" t="n">
        <v>0</v>
      </c>
      <c r="P953" t="n">
        <v>0</v>
      </c>
      <c r="Q953" t="n">
        <v>0</v>
      </c>
      <c r="R953" s="2" t="inlineStr"/>
    </row>
    <row r="954" ht="15" customHeight="1">
      <c r="A954" t="inlineStr">
        <is>
          <t>A 39374-2022</t>
        </is>
      </c>
      <c r="B954" s="1" t="n">
        <v>44817</v>
      </c>
      <c r="C954" s="1" t="n">
        <v>45750</v>
      </c>
      <c r="D954" t="inlineStr">
        <is>
          <t>VÄSTERNORRLANDS LÄN</t>
        </is>
      </c>
      <c r="E954" t="inlineStr">
        <is>
          <t>ÅNGE</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39594-2022</t>
        </is>
      </c>
      <c r="B955" s="1" t="n">
        <v>44818</v>
      </c>
      <c r="C955" s="1" t="n">
        <v>45750</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39681-2022</t>
        </is>
      </c>
      <c r="B956" s="1" t="n">
        <v>44818</v>
      </c>
      <c r="C956" s="1" t="n">
        <v>45750</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39589-2022</t>
        </is>
      </c>
      <c r="B957" s="1" t="n">
        <v>44818</v>
      </c>
      <c r="C957" s="1" t="n">
        <v>45750</v>
      </c>
      <c r="D957" t="inlineStr">
        <is>
          <t>VÄSTERNORRLANDS LÄN</t>
        </is>
      </c>
      <c r="E957" t="inlineStr">
        <is>
          <t>ÅNGE</t>
        </is>
      </c>
      <c r="G957" t="n">
        <v>4.8</v>
      </c>
      <c r="H957" t="n">
        <v>0</v>
      </c>
      <c r="I957" t="n">
        <v>0</v>
      </c>
      <c r="J957" t="n">
        <v>0</v>
      </c>
      <c r="K957" t="n">
        <v>0</v>
      </c>
      <c r="L957" t="n">
        <v>0</v>
      </c>
      <c r="M957" t="n">
        <v>0</v>
      </c>
      <c r="N957" t="n">
        <v>0</v>
      </c>
      <c r="O957" t="n">
        <v>0</v>
      </c>
      <c r="P957" t="n">
        <v>0</v>
      </c>
      <c r="Q957" t="n">
        <v>0</v>
      </c>
      <c r="R957" s="2" t="inlineStr"/>
    </row>
    <row r="958" ht="15" customHeight="1">
      <c r="A958" t="inlineStr">
        <is>
          <t>A 39685-2022</t>
        </is>
      </c>
      <c r="B958" s="1" t="n">
        <v>44818</v>
      </c>
      <c r="C958" s="1" t="n">
        <v>45750</v>
      </c>
      <c r="D958" t="inlineStr">
        <is>
          <t>VÄSTERNORRLANDS LÄN</t>
        </is>
      </c>
      <c r="E958" t="inlineStr">
        <is>
          <t>ÅNGE</t>
        </is>
      </c>
      <c r="F958" t="inlineStr">
        <is>
          <t>SCA</t>
        </is>
      </c>
      <c r="G958" t="n">
        <v>7.2</v>
      </c>
      <c r="H958" t="n">
        <v>0</v>
      </c>
      <c r="I958" t="n">
        <v>0</v>
      </c>
      <c r="J958" t="n">
        <v>0</v>
      </c>
      <c r="K958" t="n">
        <v>0</v>
      </c>
      <c r="L958" t="n">
        <v>0</v>
      </c>
      <c r="M958" t="n">
        <v>0</v>
      </c>
      <c r="N958" t="n">
        <v>0</v>
      </c>
      <c r="O958" t="n">
        <v>0</v>
      </c>
      <c r="P958" t="n">
        <v>0</v>
      </c>
      <c r="Q958" t="n">
        <v>0</v>
      </c>
      <c r="R958" s="2" t="inlineStr"/>
    </row>
    <row r="959" ht="15" customHeight="1">
      <c r="A959" t="inlineStr">
        <is>
          <t>A 40475-2022</t>
        </is>
      </c>
      <c r="B959" s="1" t="n">
        <v>44823</v>
      </c>
      <c r="C959" s="1" t="n">
        <v>45750</v>
      </c>
      <c r="D959" t="inlineStr">
        <is>
          <t>VÄSTERNORRLANDS LÄN</t>
        </is>
      </c>
      <c r="E959" t="inlineStr">
        <is>
          <t>ÅNGE</t>
        </is>
      </c>
      <c r="G959" t="n">
        <v>1.1</v>
      </c>
      <c r="H959" t="n">
        <v>0</v>
      </c>
      <c r="I959" t="n">
        <v>0</v>
      </c>
      <c r="J959" t="n">
        <v>0</v>
      </c>
      <c r="K959" t="n">
        <v>0</v>
      </c>
      <c r="L959" t="n">
        <v>0</v>
      </c>
      <c r="M959" t="n">
        <v>0</v>
      </c>
      <c r="N959" t="n">
        <v>0</v>
      </c>
      <c r="O959" t="n">
        <v>0</v>
      </c>
      <c r="P959" t="n">
        <v>0</v>
      </c>
      <c r="Q959" t="n">
        <v>0</v>
      </c>
      <c r="R959" s="2" t="inlineStr"/>
    </row>
    <row r="960" ht="15" customHeight="1">
      <c r="A960" t="inlineStr">
        <is>
          <t>A 40476-2022</t>
        </is>
      </c>
      <c r="B960" s="1" t="n">
        <v>44823</v>
      </c>
      <c r="C960" s="1" t="n">
        <v>45750</v>
      </c>
      <c r="D960" t="inlineStr">
        <is>
          <t>VÄSTERNORRLANDS LÄN</t>
        </is>
      </c>
      <c r="E960" t="inlineStr">
        <is>
          <t>ÅNGE</t>
        </is>
      </c>
      <c r="G960" t="n">
        <v>0.5</v>
      </c>
      <c r="H960" t="n">
        <v>0</v>
      </c>
      <c r="I960" t="n">
        <v>0</v>
      </c>
      <c r="J960" t="n">
        <v>0</v>
      </c>
      <c r="K960" t="n">
        <v>0</v>
      </c>
      <c r="L960" t="n">
        <v>0</v>
      </c>
      <c r="M960" t="n">
        <v>0</v>
      </c>
      <c r="N960" t="n">
        <v>0</v>
      </c>
      <c r="O960" t="n">
        <v>0</v>
      </c>
      <c r="P960" t="n">
        <v>0</v>
      </c>
      <c r="Q960" t="n">
        <v>0</v>
      </c>
      <c r="R960" s="2" t="inlineStr"/>
    </row>
    <row r="961" ht="15" customHeight="1">
      <c r="A961" t="inlineStr">
        <is>
          <t>A 41261-2022</t>
        </is>
      </c>
      <c r="B961" s="1" t="n">
        <v>44825</v>
      </c>
      <c r="C961" s="1" t="n">
        <v>45750</v>
      </c>
      <c r="D961" t="inlineStr">
        <is>
          <t>VÄSTERNORRLANDS LÄN</t>
        </is>
      </c>
      <c r="E961" t="inlineStr">
        <is>
          <t>ÅNGE</t>
        </is>
      </c>
      <c r="G961" t="n">
        <v>0.8</v>
      </c>
      <c r="H961" t="n">
        <v>0</v>
      </c>
      <c r="I961" t="n">
        <v>0</v>
      </c>
      <c r="J961" t="n">
        <v>0</v>
      </c>
      <c r="K961" t="n">
        <v>0</v>
      </c>
      <c r="L961" t="n">
        <v>0</v>
      </c>
      <c r="M961" t="n">
        <v>0</v>
      </c>
      <c r="N961" t="n">
        <v>0</v>
      </c>
      <c r="O961" t="n">
        <v>0</v>
      </c>
      <c r="P961" t="n">
        <v>0</v>
      </c>
      <c r="Q961" t="n">
        <v>0</v>
      </c>
      <c r="R961" s="2" t="inlineStr"/>
    </row>
    <row r="962" ht="15" customHeight="1">
      <c r="A962" t="inlineStr">
        <is>
          <t>A 41464-2022</t>
        </is>
      </c>
      <c r="B962" s="1" t="n">
        <v>44827</v>
      </c>
      <c r="C962" s="1" t="n">
        <v>45750</v>
      </c>
      <c r="D962" t="inlineStr">
        <is>
          <t>VÄSTERNORRLANDS LÄN</t>
        </is>
      </c>
      <c r="E962" t="inlineStr">
        <is>
          <t>ÅNGE</t>
        </is>
      </c>
      <c r="F962" t="inlineStr">
        <is>
          <t>SCA</t>
        </is>
      </c>
      <c r="G962" t="n">
        <v>32.2</v>
      </c>
      <c r="H962" t="n">
        <v>0</v>
      </c>
      <c r="I962" t="n">
        <v>0</v>
      </c>
      <c r="J962" t="n">
        <v>0</v>
      </c>
      <c r="K962" t="n">
        <v>0</v>
      </c>
      <c r="L962" t="n">
        <v>0</v>
      </c>
      <c r="M962" t="n">
        <v>0</v>
      </c>
      <c r="N962" t="n">
        <v>0</v>
      </c>
      <c r="O962" t="n">
        <v>0</v>
      </c>
      <c r="P962" t="n">
        <v>0</v>
      </c>
      <c r="Q962" t="n">
        <v>0</v>
      </c>
      <c r="R962" s="2" t="inlineStr"/>
    </row>
    <row r="963" ht="15" customHeight="1">
      <c r="A963" t="inlineStr">
        <is>
          <t>A 41825-2022</t>
        </is>
      </c>
      <c r="B963" s="1" t="n">
        <v>44827</v>
      </c>
      <c r="C963" s="1" t="n">
        <v>45750</v>
      </c>
      <c r="D963" t="inlineStr">
        <is>
          <t>VÄSTERNORRLANDS LÄN</t>
        </is>
      </c>
      <c r="E963" t="inlineStr">
        <is>
          <t>ÅNGE</t>
        </is>
      </c>
      <c r="F963" t="inlineStr">
        <is>
          <t>SCA</t>
        </is>
      </c>
      <c r="G963" t="n">
        <v>3.3</v>
      </c>
      <c r="H963" t="n">
        <v>0</v>
      </c>
      <c r="I963" t="n">
        <v>0</v>
      </c>
      <c r="J963" t="n">
        <v>0</v>
      </c>
      <c r="K963" t="n">
        <v>0</v>
      </c>
      <c r="L963" t="n">
        <v>0</v>
      </c>
      <c r="M963" t="n">
        <v>0</v>
      </c>
      <c r="N963" t="n">
        <v>0</v>
      </c>
      <c r="O963" t="n">
        <v>0</v>
      </c>
      <c r="P963" t="n">
        <v>0</v>
      </c>
      <c r="Q963" t="n">
        <v>0</v>
      </c>
      <c r="R963" s="2" t="inlineStr"/>
      <c r="U963">
        <f>HYPERLINK("https://klasma.github.io/Logging_2260/knärot/A 41825-2022 karta knärot.png", "A 41825-2022")</f>
        <v/>
      </c>
      <c r="V963">
        <f>HYPERLINK("https://klasma.github.io/Logging_2260/klagomål/A 41825-2022 FSC-klagomål.docx", "A 41825-2022")</f>
        <v/>
      </c>
      <c r="W963">
        <f>HYPERLINK("https://klasma.github.io/Logging_2260/klagomålsmail/A 41825-2022 FSC-klagomål mail.docx", "A 41825-2022")</f>
        <v/>
      </c>
      <c r="X963">
        <f>HYPERLINK("https://klasma.github.io/Logging_2260/tillsyn/A 41825-2022 tillsynsbegäran.docx", "A 41825-2022")</f>
        <v/>
      </c>
      <c r="Y963">
        <f>HYPERLINK("https://klasma.github.io/Logging_2260/tillsynsmail/A 41825-2022 tillsynsbegäran mail.docx", "A 41825-2022")</f>
        <v/>
      </c>
    </row>
    <row r="964" ht="15" customHeight="1">
      <c r="A964" t="inlineStr">
        <is>
          <t>A 42857-2022</t>
        </is>
      </c>
      <c r="B964" s="1" t="n">
        <v>44832</v>
      </c>
      <c r="C964" s="1" t="n">
        <v>45750</v>
      </c>
      <c r="D964" t="inlineStr">
        <is>
          <t>VÄSTERNORRLANDS LÄN</t>
        </is>
      </c>
      <c r="E964" t="inlineStr">
        <is>
          <t>ÅNGE</t>
        </is>
      </c>
      <c r="G964" t="n">
        <v>3.4</v>
      </c>
      <c r="H964" t="n">
        <v>0</v>
      </c>
      <c r="I964" t="n">
        <v>0</v>
      </c>
      <c r="J964" t="n">
        <v>0</v>
      </c>
      <c r="K964" t="n">
        <v>0</v>
      </c>
      <c r="L964" t="n">
        <v>0</v>
      </c>
      <c r="M964" t="n">
        <v>0</v>
      </c>
      <c r="N964" t="n">
        <v>0</v>
      </c>
      <c r="O964" t="n">
        <v>0</v>
      </c>
      <c r="P964" t="n">
        <v>0</v>
      </c>
      <c r="Q964" t="n">
        <v>0</v>
      </c>
      <c r="R964" s="2" t="inlineStr"/>
    </row>
    <row r="965" ht="15" customHeight="1">
      <c r="A965" t="inlineStr">
        <is>
          <t>A 43066-2022</t>
        </is>
      </c>
      <c r="B965" s="1" t="n">
        <v>44833</v>
      </c>
      <c r="C965" s="1" t="n">
        <v>45750</v>
      </c>
      <c r="D965" t="inlineStr">
        <is>
          <t>VÄSTERNORRLANDS LÄN</t>
        </is>
      </c>
      <c r="E965" t="inlineStr">
        <is>
          <t>ÅNGE</t>
        </is>
      </c>
      <c r="G965" t="n">
        <v>1.2</v>
      </c>
      <c r="H965" t="n">
        <v>0</v>
      </c>
      <c r="I965" t="n">
        <v>0</v>
      </c>
      <c r="J965" t="n">
        <v>0</v>
      </c>
      <c r="K965" t="n">
        <v>0</v>
      </c>
      <c r="L965" t="n">
        <v>0</v>
      </c>
      <c r="M965" t="n">
        <v>0</v>
      </c>
      <c r="N965" t="n">
        <v>0</v>
      </c>
      <c r="O965" t="n">
        <v>0</v>
      </c>
      <c r="P965" t="n">
        <v>0</v>
      </c>
      <c r="Q965" t="n">
        <v>0</v>
      </c>
      <c r="R965" s="2" t="inlineStr"/>
    </row>
    <row r="966" ht="15" customHeight="1">
      <c r="A966" t="inlineStr">
        <is>
          <t>A 43775-2022</t>
        </is>
      </c>
      <c r="B966" s="1" t="n">
        <v>44838</v>
      </c>
      <c r="C966" s="1" t="n">
        <v>45750</v>
      </c>
      <c r="D966" t="inlineStr">
        <is>
          <t>VÄSTERNORRLANDS LÄN</t>
        </is>
      </c>
      <c r="E966" t="inlineStr">
        <is>
          <t>ÅNGE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43788-2022</t>
        </is>
      </c>
      <c r="B967" s="1" t="n">
        <v>44837</v>
      </c>
      <c r="C967" s="1" t="n">
        <v>45750</v>
      </c>
      <c r="D967" t="inlineStr">
        <is>
          <t>VÄSTERNORRLANDS LÄN</t>
        </is>
      </c>
      <c r="E967" t="inlineStr">
        <is>
          <t>ÅNGE</t>
        </is>
      </c>
      <c r="F967" t="inlineStr">
        <is>
          <t>SCA</t>
        </is>
      </c>
      <c r="G967" t="n">
        <v>7.7</v>
      </c>
      <c r="H967" t="n">
        <v>0</v>
      </c>
      <c r="I967" t="n">
        <v>0</v>
      </c>
      <c r="J967" t="n">
        <v>0</v>
      </c>
      <c r="K967" t="n">
        <v>0</v>
      </c>
      <c r="L967" t="n">
        <v>0</v>
      </c>
      <c r="M967" t="n">
        <v>0</v>
      </c>
      <c r="N967" t="n">
        <v>0</v>
      </c>
      <c r="O967" t="n">
        <v>0</v>
      </c>
      <c r="P967" t="n">
        <v>0</v>
      </c>
      <c r="Q967" t="n">
        <v>0</v>
      </c>
      <c r="R967" s="2" t="inlineStr"/>
    </row>
    <row r="968" ht="15" customHeight="1">
      <c r="A968" t="inlineStr">
        <is>
          <t>A 44412-2022</t>
        </is>
      </c>
      <c r="B968" s="1" t="n">
        <v>44840</v>
      </c>
      <c r="C968" s="1" t="n">
        <v>45750</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44414-2022</t>
        </is>
      </c>
      <c r="B969" s="1" t="n">
        <v>44840</v>
      </c>
      <c r="C969" s="1" t="n">
        <v>45750</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44413-2022</t>
        </is>
      </c>
      <c r="B970" s="1" t="n">
        <v>44840</v>
      </c>
      <c r="C970" s="1" t="n">
        <v>45750</v>
      </c>
      <c r="D970" t="inlineStr">
        <is>
          <t>VÄSTERNORRLANDS LÄN</t>
        </is>
      </c>
      <c r="E970" t="inlineStr">
        <is>
          <t>ÅNGE</t>
        </is>
      </c>
      <c r="G970" t="n">
        <v>0.7</v>
      </c>
      <c r="H970" t="n">
        <v>0</v>
      </c>
      <c r="I970" t="n">
        <v>0</v>
      </c>
      <c r="J970" t="n">
        <v>0</v>
      </c>
      <c r="K970" t="n">
        <v>0</v>
      </c>
      <c r="L970" t="n">
        <v>0</v>
      </c>
      <c r="M970" t="n">
        <v>0</v>
      </c>
      <c r="N970" t="n">
        <v>0</v>
      </c>
      <c r="O970" t="n">
        <v>0</v>
      </c>
      <c r="P970" t="n">
        <v>0</v>
      </c>
      <c r="Q970" t="n">
        <v>0</v>
      </c>
      <c r="R970" s="2" t="inlineStr"/>
    </row>
    <row r="971" ht="15" customHeight="1">
      <c r="A971" t="inlineStr">
        <is>
          <t>A 45086-2022</t>
        </is>
      </c>
      <c r="B971" s="1" t="n">
        <v>44841</v>
      </c>
      <c r="C971" s="1" t="n">
        <v>45750</v>
      </c>
      <c r="D971" t="inlineStr">
        <is>
          <t>VÄSTERNORRLANDS LÄN</t>
        </is>
      </c>
      <c r="E971" t="inlineStr">
        <is>
          <t>ÅNGE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45087-2022</t>
        </is>
      </c>
      <c r="B972" s="1" t="n">
        <v>44841</v>
      </c>
      <c r="C972" s="1" t="n">
        <v>45750</v>
      </c>
      <c r="D972" t="inlineStr">
        <is>
          <t>VÄSTERNORRLANDS LÄN</t>
        </is>
      </c>
      <c r="E972" t="inlineStr">
        <is>
          <t>ÅNGE</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45128-2022</t>
        </is>
      </c>
      <c r="B973" s="1" t="n">
        <v>44844</v>
      </c>
      <c r="C973" s="1" t="n">
        <v>45750</v>
      </c>
      <c r="D973" t="inlineStr">
        <is>
          <t>VÄSTERNORRLANDS LÄN</t>
        </is>
      </c>
      <c r="E973" t="inlineStr">
        <is>
          <t>ÅNGE</t>
        </is>
      </c>
      <c r="G973" t="n">
        <v>4.1</v>
      </c>
      <c r="H973" t="n">
        <v>0</v>
      </c>
      <c r="I973" t="n">
        <v>0</v>
      </c>
      <c r="J973" t="n">
        <v>0</v>
      </c>
      <c r="K973" t="n">
        <v>0</v>
      </c>
      <c r="L973" t="n">
        <v>0</v>
      </c>
      <c r="M973" t="n">
        <v>0</v>
      </c>
      <c r="N973" t="n">
        <v>0</v>
      </c>
      <c r="O973" t="n">
        <v>0</v>
      </c>
      <c r="P973" t="n">
        <v>0</v>
      </c>
      <c r="Q973" t="n">
        <v>0</v>
      </c>
      <c r="R973" s="2" t="inlineStr"/>
    </row>
    <row r="974" ht="15" customHeight="1">
      <c r="A974" t="inlineStr">
        <is>
          <t>A 45432-2022</t>
        </is>
      </c>
      <c r="B974" s="1" t="n">
        <v>44844</v>
      </c>
      <c r="C974" s="1" t="n">
        <v>45750</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45459-2022</t>
        </is>
      </c>
      <c r="B975" s="1" t="n">
        <v>44845</v>
      </c>
      <c r="C975" s="1" t="n">
        <v>45750</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45703-2022</t>
        </is>
      </c>
      <c r="B976" s="1" t="n">
        <v>44845</v>
      </c>
      <c r="C976" s="1" t="n">
        <v>45750</v>
      </c>
      <c r="D976" t="inlineStr">
        <is>
          <t>VÄSTERNORRLANDS LÄN</t>
        </is>
      </c>
      <c r="E976" t="inlineStr">
        <is>
          <t>ÅNGE</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45931-2022</t>
        </is>
      </c>
      <c r="B977" s="1" t="n">
        <v>44846</v>
      </c>
      <c r="C977" s="1" t="n">
        <v>45750</v>
      </c>
      <c r="D977" t="inlineStr">
        <is>
          <t>VÄSTERNORRLANDS LÄN</t>
        </is>
      </c>
      <c r="E977" t="inlineStr">
        <is>
          <t>ÅNGE</t>
        </is>
      </c>
      <c r="G977" t="n">
        <v>27.6</v>
      </c>
      <c r="H977" t="n">
        <v>0</v>
      </c>
      <c r="I977" t="n">
        <v>0</v>
      </c>
      <c r="J977" t="n">
        <v>0</v>
      </c>
      <c r="K977" t="n">
        <v>0</v>
      </c>
      <c r="L977" t="n">
        <v>0</v>
      </c>
      <c r="M977" t="n">
        <v>0</v>
      </c>
      <c r="N977" t="n">
        <v>0</v>
      </c>
      <c r="O977" t="n">
        <v>0</v>
      </c>
      <c r="P977" t="n">
        <v>0</v>
      </c>
      <c r="Q977" t="n">
        <v>0</v>
      </c>
      <c r="R977" s="2" t="inlineStr"/>
    </row>
    <row r="978" ht="15" customHeight="1">
      <c r="A978" t="inlineStr">
        <is>
          <t>A 46334-2022</t>
        </is>
      </c>
      <c r="B978" s="1" t="n">
        <v>44848</v>
      </c>
      <c r="C978" s="1" t="n">
        <v>45750</v>
      </c>
      <c r="D978" t="inlineStr">
        <is>
          <t>VÄSTERNORRLANDS LÄN</t>
        </is>
      </c>
      <c r="E978" t="inlineStr">
        <is>
          <t>ÅNGE</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46352-2022</t>
        </is>
      </c>
      <c r="B979" s="1" t="n">
        <v>44848</v>
      </c>
      <c r="C979" s="1" t="n">
        <v>45750</v>
      </c>
      <c r="D979" t="inlineStr">
        <is>
          <t>VÄSTERNORRLANDS LÄN</t>
        </is>
      </c>
      <c r="E979" t="inlineStr">
        <is>
          <t>ÅNGE</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46351-2022</t>
        </is>
      </c>
      <c r="B980" s="1" t="n">
        <v>44847</v>
      </c>
      <c r="C980" s="1" t="n">
        <v>45750</v>
      </c>
      <c r="D980" t="inlineStr">
        <is>
          <t>VÄSTERNORRLANDS LÄN</t>
        </is>
      </c>
      <c r="E980" t="inlineStr">
        <is>
          <t>ÅNGE</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46350-2022</t>
        </is>
      </c>
      <c r="B981" s="1" t="n">
        <v>44848</v>
      </c>
      <c r="C981" s="1" t="n">
        <v>45750</v>
      </c>
      <c r="D981" t="inlineStr">
        <is>
          <t>VÄSTERNORRLANDS LÄN</t>
        </is>
      </c>
      <c r="E981" t="inlineStr">
        <is>
          <t>ÅNGE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47282-2022</t>
        </is>
      </c>
      <c r="B982" s="1" t="n">
        <v>44853</v>
      </c>
      <c r="C982" s="1" t="n">
        <v>45750</v>
      </c>
      <c r="D982" t="inlineStr">
        <is>
          <t>VÄSTERNORRLANDS LÄN</t>
        </is>
      </c>
      <c r="E982" t="inlineStr">
        <is>
          <t>ÅNGE</t>
        </is>
      </c>
      <c r="F982" t="inlineStr">
        <is>
          <t>SCA</t>
        </is>
      </c>
      <c r="G982" t="n">
        <v>0.4</v>
      </c>
      <c r="H982" t="n">
        <v>0</v>
      </c>
      <c r="I982" t="n">
        <v>0</v>
      </c>
      <c r="J982" t="n">
        <v>0</v>
      </c>
      <c r="K982" t="n">
        <v>0</v>
      </c>
      <c r="L982" t="n">
        <v>0</v>
      </c>
      <c r="M982" t="n">
        <v>0</v>
      </c>
      <c r="N982" t="n">
        <v>0</v>
      </c>
      <c r="O982" t="n">
        <v>0</v>
      </c>
      <c r="P982" t="n">
        <v>0</v>
      </c>
      <c r="Q982" t="n">
        <v>0</v>
      </c>
      <c r="R982" s="2" t="inlineStr"/>
    </row>
    <row r="983" ht="15" customHeight="1">
      <c r="A983" t="inlineStr">
        <is>
          <t>A 47106-2022</t>
        </is>
      </c>
      <c r="B983" s="1" t="n">
        <v>44852</v>
      </c>
      <c r="C983" s="1" t="n">
        <v>45750</v>
      </c>
      <c r="D983" t="inlineStr">
        <is>
          <t>VÄSTERNORRLANDS LÄN</t>
        </is>
      </c>
      <c r="E983" t="inlineStr">
        <is>
          <t>ÅNGE</t>
        </is>
      </c>
      <c r="G983" t="n">
        <v>11.9</v>
      </c>
      <c r="H983" t="n">
        <v>0</v>
      </c>
      <c r="I983" t="n">
        <v>0</v>
      </c>
      <c r="J983" t="n">
        <v>0</v>
      </c>
      <c r="K983" t="n">
        <v>0</v>
      </c>
      <c r="L983" t="n">
        <v>0</v>
      </c>
      <c r="M983" t="n">
        <v>0</v>
      </c>
      <c r="N983" t="n">
        <v>0</v>
      </c>
      <c r="O983" t="n">
        <v>0</v>
      </c>
      <c r="P983" t="n">
        <v>0</v>
      </c>
      <c r="Q983" t="n">
        <v>0</v>
      </c>
      <c r="R983" s="2" t="inlineStr"/>
    </row>
    <row r="984" ht="15" customHeight="1">
      <c r="A984" t="inlineStr">
        <is>
          <t>A 47443-2022</t>
        </is>
      </c>
      <c r="B984" s="1" t="n">
        <v>44853</v>
      </c>
      <c r="C984" s="1" t="n">
        <v>45750</v>
      </c>
      <c r="D984" t="inlineStr">
        <is>
          <t>VÄSTERNORRLANDS LÄN</t>
        </is>
      </c>
      <c r="E984" t="inlineStr">
        <is>
          <t>ÅNGE</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47576-2022</t>
        </is>
      </c>
      <c r="B985" s="1" t="n">
        <v>44854</v>
      </c>
      <c r="C985" s="1" t="n">
        <v>45750</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47605-2022</t>
        </is>
      </c>
      <c r="B986" s="1" t="n">
        <v>44854</v>
      </c>
      <c r="C986" s="1" t="n">
        <v>45750</v>
      </c>
      <c r="D986" t="inlineStr">
        <is>
          <t>VÄSTERNORRLANDS LÄN</t>
        </is>
      </c>
      <c r="E986" t="inlineStr">
        <is>
          <t>ÅNGE</t>
        </is>
      </c>
      <c r="F986" t="inlineStr">
        <is>
          <t>Holmen skog AB</t>
        </is>
      </c>
      <c r="G986" t="n">
        <v>4.5</v>
      </c>
      <c r="H986" t="n">
        <v>0</v>
      </c>
      <c r="I986" t="n">
        <v>0</v>
      </c>
      <c r="J986" t="n">
        <v>0</v>
      </c>
      <c r="K986" t="n">
        <v>0</v>
      </c>
      <c r="L986" t="n">
        <v>0</v>
      </c>
      <c r="M986" t="n">
        <v>0</v>
      </c>
      <c r="N986" t="n">
        <v>0</v>
      </c>
      <c r="O986" t="n">
        <v>0</v>
      </c>
      <c r="P986" t="n">
        <v>0</v>
      </c>
      <c r="Q986" t="n">
        <v>0</v>
      </c>
      <c r="R986" s="2" t="inlineStr"/>
    </row>
    <row r="987" ht="15" customHeight="1">
      <c r="A987" t="inlineStr">
        <is>
          <t>A 47660-2022</t>
        </is>
      </c>
      <c r="B987" s="1" t="n">
        <v>44854</v>
      </c>
      <c r="C987" s="1" t="n">
        <v>45750</v>
      </c>
      <c r="D987" t="inlineStr">
        <is>
          <t>VÄSTERNORRLANDS LÄN</t>
        </is>
      </c>
      <c r="E987" t="inlineStr">
        <is>
          <t>ÅNGE</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47654-2022</t>
        </is>
      </c>
      <c r="B988" s="1" t="n">
        <v>44854</v>
      </c>
      <c r="C988" s="1" t="n">
        <v>45750</v>
      </c>
      <c r="D988" t="inlineStr">
        <is>
          <t>VÄSTERNORRLANDS LÄN</t>
        </is>
      </c>
      <c r="E988" t="inlineStr">
        <is>
          <t>ÅNGE</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47785-2022</t>
        </is>
      </c>
      <c r="B989" s="1" t="n">
        <v>44855</v>
      </c>
      <c r="C989" s="1" t="n">
        <v>45750</v>
      </c>
      <c r="D989" t="inlineStr">
        <is>
          <t>VÄSTERNORRLANDS LÄN</t>
        </is>
      </c>
      <c r="E989" t="inlineStr">
        <is>
          <t>ÅNGE</t>
        </is>
      </c>
      <c r="F989" t="inlineStr">
        <is>
          <t>SCA</t>
        </is>
      </c>
      <c r="G989" t="n">
        <v>12.6</v>
      </c>
      <c r="H989" t="n">
        <v>0</v>
      </c>
      <c r="I989" t="n">
        <v>0</v>
      </c>
      <c r="J989" t="n">
        <v>0</v>
      </c>
      <c r="K989" t="n">
        <v>0</v>
      </c>
      <c r="L989" t="n">
        <v>0</v>
      </c>
      <c r="M989" t="n">
        <v>0</v>
      </c>
      <c r="N989" t="n">
        <v>0</v>
      </c>
      <c r="O989" t="n">
        <v>0</v>
      </c>
      <c r="P989" t="n">
        <v>0</v>
      </c>
      <c r="Q989" t="n">
        <v>0</v>
      </c>
      <c r="R989" s="2" t="inlineStr"/>
    </row>
    <row r="990" ht="15" customHeight="1">
      <c r="A990" t="inlineStr">
        <is>
          <t>A 47792-2022</t>
        </is>
      </c>
      <c r="B990" s="1" t="n">
        <v>44855</v>
      </c>
      <c r="C990" s="1" t="n">
        <v>45750</v>
      </c>
      <c r="D990" t="inlineStr">
        <is>
          <t>VÄSTERNORRLANDS LÄN</t>
        </is>
      </c>
      <c r="E990" t="inlineStr">
        <is>
          <t>ÅNGE</t>
        </is>
      </c>
      <c r="F990" t="inlineStr">
        <is>
          <t>SCA</t>
        </is>
      </c>
      <c r="G990" t="n">
        <v>10.9</v>
      </c>
      <c r="H990" t="n">
        <v>0</v>
      </c>
      <c r="I990" t="n">
        <v>0</v>
      </c>
      <c r="J990" t="n">
        <v>0</v>
      </c>
      <c r="K990" t="n">
        <v>0</v>
      </c>
      <c r="L990" t="n">
        <v>0</v>
      </c>
      <c r="M990" t="n">
        <v>0</v>
      </c>
      <c r="N990" t="n">
        <v>0</v>
      </c>
      <c r="O990" t="n">
        <v>0</v>
      </c>
      <c r="P990" t="n">
        <v>0</v>
      </c>
      <c r="Q990" t="n">
        <v>0</v>
      </c>
      <c r="R990" s="2" t="inlineStr"/>
    </row>
    <row r="991" ht="15" customHeight="1">
      <c r="A991" t="inlineStr">
        <is>
          <t>A 47791-2022</t>
        </is>
      </c>
      <c r="B991" s="1" t="n">
        <v>44855</v>
      </c>
      <c r="C991" s="1" t="n">
        <v>45750</v>
      </c>
      <c r="D991" t="inlineStr">
        <is>
          <t>VÄSTERNORRLANDS LÄN</t>
        </is>
      </c>
      <c r="E991" t="inlineStr">
        <is>
          <t>ÅNGE</t>
        </is>
      </c>
      <c r="F991" t="inlineStr">
        <is>
          <t>SCA</t>
        </is>
      </c>
      <c r="G991" t="n">
        <v>15.2</v>
      </c>
      <c r="H991" t="n">
        <v>0</v>
      </c>
      <c r="I991" t="n">
        <v>0</v>
      </c>
      <c r="J991" t="n">
        <v>0</v>
      </c>
      <c r="K991" t="n">
        <v>0</v>
      </c>
      <c r="L991" t="n">
        <v>0</v>
      </c>
      <c r="M991" t="n">
        <v>0</v>
      </c>
      <c r="N991" t="n">
        <v>0</v>
      </c>
      <c r="O991" t="n">
        <v>0</v>
      </c>
      <c r="P991" t="n">
        <v>0</v>
      </c>
      <c r="Q991" t="n">
        <v>0</v>
      </c>
      <c r="R991" s="2" t="inlineStr"/>
    </row>
    <row r="992" ht="15" customHeight="1">
      <c r="A992" t="inlineStr">
        <is>
          <t>A 48521-2022</t>
        </is>
      </c>
      <c r="B992" s="1" t="n">
        <v>44858</v>
      </c>
      <c r="C992" s="1" t="n">
        <v>45750</v>
      </c>
      <c r="D992" t="inlineStr">
        <is>
          <t>VÄSTERNORRLANDS LÄN</t>
        </is>
      </c>
      <c r="E992" t="inlineStr">
        <is>
          <t>ÅNGE</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50357-2022</t>
        </is>
      </c>
      <c r="B993" s="1" t="n">
        <v>44860</v>
      </c>
      <c r="C993" s="1" t="n">
        <v>45750</v>
      </c>
      <c r="D993" t="inlineStr">
        <is>
          <t>VÄSTERNORRLANDS LÄN</t>
        </is>
      </c>
      <c r="E993" t="inlineStr">
        <is>
          <t>ÅNGE</t>
        </is>
      </c>
      <c r="G993" t="n">
        <v>11</v>
      </c>
      <c r="H993" t="n">
        <v>0</v>
      </c>
      <c r="I993" t="n">
        <v>0</v>
      </c>
      <c r="J993" t="n">
        <v>0</v>
      </c>
      <c r="K993" t="n">
        <v>0</v>
      </c>
      <c r="L993" t="n">
        <v>0</v>
      </c>
      <c r="M993" t="n">
        <v>0</v>
      </c>
      <c r="N993" t="n">
        <v>0</v>
      </c>
      <c r="O993" t="n">
        <v>0</v>
      </c>
      <c r="P993" t="n">
        <v>0</v>
      </c>
      <c r="Q993" t="n">
        <v>0</v>
      </c>
      <c r="R993" s="2" t="inlineStr"/>
    </row>
    <row r="994" ht="15" customHeight="1">
      <c r="A994" t="inlineStr">
        <is>
          <t>A 49503-2022</t>
        </is>
      </c>
      <c r="B994" s="1" t="n">
        <v>44862</v>
      </c>
      <c r="C994" s="1" t="n">
        <v>45750</v>
      </c>
      <c r="D994" t="inlineStr">
        <is>
          <t>VÄSTERNORRLANDS LÄN</t>
        </is>
      </c>
      <c r="E994" t="inlineStr">
        <is>
          <t>ÅNGE</t>
        </is>
      </c>
      <c r="G994" t="n">
        <v>0.7</v>
      </c>
      <c r="H994" t="n">
        <v>0</v>
      </c>
      <c r="I994" t="n">
        <v>0</v>
      </c>
      <c r="J994" t="n">
        <v>0</v>
      </c>
      <c r="K994" t="n">
        <v>0</v>
      </c>
      <c r="L994" t="n">
        <v>0</v>
      </c>
      <c r="M994" t="n">
        <v>0</v>
      </c>
      <c r="N994" t="n">
        <v>0</v>
      </c>
      <c r="O994" t="n">
        <v>0</v>
      </c>
      <c r="P994" t="n">
        <v>0</v>
      </c>
      <c r="Q994" t="n">
        <v>0</v>
      </c>
      <c r="R994" s="2" t="inlineStr"/>
    </row>
    <row r="995" ht="15" customHeight="1">
      <c r="A995" t="inlineStr">
        <is>
          <t>A 49502-2022</t>
        </is>
      </c>
      <c r="B995" s="1" t="n">
        <v>44862</v>
      </c>
      <c r="C995" s="1" t="n">
        <v>45750</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50419-2022</t>
        </is>
      </c>
      <c r="B996" s="1" t="n">
        <v>44861</v>
      </c>
      <c r="C996" s="1" t="n">
        <v>45750</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49865-2022</t>
        </is>
      </c>
      <c r="B997" s="1" t="n">
        <v>44863</v>
      </c>
      <c r="C997" s="1" t="n">
        <v>45750</v>
      </c>
      <c r="D997" t="inlineStr">
        <is>
          <t>VÄSTERNORRLANDS LÄN</t>
        </is>
      </c>
      <c r="E997" t="inlineStr">
        <is>
          <t>ÅNGE</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50332-2022</t>
        </is>
      </c>
      <c r="B998" s="1" t="n">
        <v>44865</v>
      </c>
      <c r="C998" s="1" t="n">
        <v>45750</v>
      </c>
      <c r="D998" t="inlineStr">
        <is>
          <t>VÄSTERNORRLANDS LÄN</t>
        </is>
      </c>
      <c r="E998" t="inlineStr">
        <is>
          <t>ÅNGE</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50643-2022</t>
        </is>
      </c>
      <c r="B999" s="1" t="n">
        <v>44866</v>
      </c>
      <c r="C999" s="1" t="n">
        <v>45750</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50640-2022</t>
        </is>
      </c>
      <c r="B1000" s="1" t="n">
        <v>44866</v>
      </c>
      <c r="C1000" s="1" t="n">
        <v>45750</v>
      </c>
      <c r="D1000" t="inlineStr">
        <is>
          <t>VÄSTERNORRLANDS LÄN</t>
        </is>
      </c>
      <c r="E1000" t="inlineStr">
        <is>
          <t>ÅNGE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50665-2022</t>
        </is>
      </c>
      <c r="B1001" s="1" t="n">
        <v>44866</v>
      </c>
      <c r="C1001" s="1" t="n">
        <v>45750</v>
      </c>
      <c r="D1001" t="inlineStr">
        <is>
          <t>VÄSTERNORRLANDS LÄN</t>
        </is>
      </c>
      <c r="E1001" t="inlineStr">
        <is>
          <t>ÅNGE</t>
        </is>
      </c>
      <c r="F1001" t="inlineStr">
        <is>
          <t>SCA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51383-2022</t>
        </is>
      </c>
      <c r="B1002" s="1" t="n">
        <v>44866</v>
      </c>
      <c r="C1002" s="1" t="n">
        <v>45750</v>
      </c>
      <c r="D1002" t="inlineStr">
        <is>
          <t>VÄSTERNORRLANDS LÄN</t>
        </is>
      </c>
      <c r="E1002" t="inlineStr">
        <is>
          <t>ÅNGE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51131-2022</t>
        </is>
      </c>
      <c r="B1003" s="1" t="n">
        <v>44868</v>
      </c>
      <c r="C1003" s="1" t="n">
        <v>45750</v>
      </c>
      <c r="D1003" t="inlineStr">
        <is>
          <t>VÄSTERNORRLANDS LÄN</t>
        </is>
      </c>
      <c r="E1003" t="inlineStr">
        <is>
          <t>ÅNGE</t>
        </is>
      </c>
      <c r="G1003" t="n">
        <v>11.1</v>
      </c>
      <c r="H1003" t="n">
        <v>0</v>
      </c>
      <c r="I1003" t="n">
        <v>0</v>
      </c>
      <c r="J1003" t="n">
        <v>0</v>
      </c>
      <c r="K1003" t="n">
        <v>0</v>
      </c>
      <c r="L1003" t="n">
        <v>0</v>
      </c>
      <c r="M1003" t="n">
        <v>0</v>
      </c>
      <c r="N1003" t="n">
        <v>0</v>
      </c>
      <c r="O1003" t="n">
        <v>0</v>
      </c>
      <c r="P1003" t="n">
        <v>0</v>
      </c>
      <c r="Q1003" t="n">
        <v>0</v>
      </c>
      <c r="R1003" s="2" t="inlineStr"/>
    </row>
    <row r="1004" ht="15" customHeight="1">
      <c r="A1004" t="inlineStr">
        <is>
          <t>A 51263-2022</t>
        </is>
      </c>
      <c r="B1004" s="1" t="n">
        <v>44868</v>
      </c>
      <c r="C1004" s="1" t="n">
        <v>45750</v>
      </c>
      <c r="D1004" t="inlineStr">
        <is>
          <t>VÄSTERNORRLANDS LÄN</t>
        </is>
      </c>
      <c r="E1004" t="inlineStr">
        <is>
          <t>ÅNGE</t>
        </is>
      </c>
      <c r="F1004" t="inlineStr">
        <is>
          <t>Holmen skog AB</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51311-2022</t>
        </is>
      </c>
      <c r="B1005" s="1" t="n">
        <v>44868</v>
      </c>
      <c r="C1005" s="1" t="n">
        <v>45750</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51261-2022</t>
        </is>
      </c>
      <c r="B1006" s="1" t="n">
        <v>44868</v>
      </c>
      <c r="C1006" s="1" t="n">
        <v>45750</v>
      </c>
      <c r="D1006" t="inlineStr">
        <is>
          <t>VÄSTERNORRLANDS LÄN</t>
        </is>
      </c>
      <c r="E1006" t="inlineStr">
        <is>
          <t>ÅNGE</t>
        </is>
      </c>
      <c r="F1006" t="inlineStr">
        <is>
          <t>Holmen skog AB</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51313-2022</t>
        </is>
      </c>
      <c r="B1007" s="1" t="n">
        <v>44868</v>
      </c>
      <c r="C1007" s="1" t="n">
        <v>45750</v>
      </c>
      <c r="D1007" t="inlineStr">
        <is>
          <t>VÄSTERNORRLANDS LÄN</t>
        </is>
      </c>
      <c r="E1007" t="inlineStr">
        <is>
          <t>ÅNGE</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51393-2022</t>
        </is>
      </c>
      <c r="B1008" s="1" t="n">
        <v>44869</v>
      </c>
      <c r="C1008" s="1" t="n">
        <v>45750</v>
      </c>
      <c r="D1008" t="inlineStr">
        <is>
          <t>VÄSTERNORRLANDS LÄN</t>
        </is>
      </c>
      <c r="E1008" t="inlineStr">
        <is>
          <t>ÅNGE</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51542-2022</t>
        </is>
      </c>
      <c r="B1009" s="1" t="n">
        <v>44869</v>
      </c>
      <c r="C1009" s="1" t="n">
        <v>45750</v>
      </c>
      <c r="D1009" t="inlineStr">
        <is>
          <t>VÄSTERNORRLANDS LÄN</t>
        </is>
      </c>
      <c r="E1009" t="inlineStr">
        <is>
          <t>ÅNGE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51555-2022</t>
        </is>
      </c>
      <c r="B1010" s="1" t="n">
        <v>44869</v>
      </c>
      <c r="C1010" s="1" t="n">
        <v>45750</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51494-2022</t>
        </is>
      </c>
      <c r="B1011" s="1" t="n">
        <v>44869</v>
      </c>
      <c r="C1011" s="1" t="n">
        <v>45750</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51997-2022</t>
        </is>
      </c>
      <c r="B1012" s="1" t="n">
        <v>44872</v>
      </c>
      <c r="C1012" s="1" t="n">
        <v>45750</v>
      </c>
      <c r="D1012" t="inlineStr">
        <is>
          <t>VÄSTERNORRLANDS LÄN</t>
        </is>
      </c>
      <c r="E1012" t="inlineStr">
        <is>
          <t>ÅNGE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51996-2022</t>
        </is>
      </c>
      <c r="B1013" s="1" t="n">
        <v>44872</v>
      </c>
      <c r="C1013" s="1" t="n">
        <v>45750</v>
      </c>
      <c r="D1013" t="inlineStr">
        <is>
          <t>VÄSTERNORRLANDS LÄN</t>
        </is>
      </c>
      <c r="E1013" t="inlineStr">
        <is>
          <t>ÅNGE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52015-2022</t>
        </is>
      </c>
      <c r="B1014" s="1" t="n">
        <v>44872</v>
      </c>
      <c r="C1014" s="1" t="n">
        <v>45750</v>
      </c>
      <c r="D1014" t="inlineStr">
        <is>
          <t>VÄSTERNORRLANDS LÄN</t>
        </is>
      </c>
      <c r="E1014" t="inlineStr">
        <is>
          <t>ÅNGE</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52182-2022</t>
        </is>
      </c>
      <c r="B1015" s="1" t="n">
        <v>44873</v>
      </c>
      <c r="C1015" s="1" t="n">
        <v>45750</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52179-2022</t>
        </is>
      </c>
      <c r="B1016" s="1" t="n">
        <v>44873</v>
      </c>
      <c r="C1016" s="1" t="n">
        <v>45750</v>
      </c>
      <c r="D1016" t="inlineStr">
        <is>
          <t>VÄSTERNORRLANDS LÄN</t>
        </is>
      </c>
      <c r="E1016" t="inlineStr">
        <is>
          <t>ÅNGE</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52347-2022</t>
        </is>
      </c>
      <c r="B1017" s="1" t="n">
        <v>44873</v>
      </c>
      <c r="C1017" s="1" t="n">
        <v>45750</v>
      </c>
      <c r="D1017" t="inlineStr">
        <is>
          <t>VÄSTERNORRLANDS LÄN</t>
        </is>
      </c>
      <c r="E1017" t="inlineStr">
        <is>
          <t>ÅNGE</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52346-2022</t>
        </is>
      </c>
      <c r="B1018" s="1" t="n">
        <v>44873</v>
      </c>
      <c r="C1018" s="1" t="n">
        <v>45750</v>
      </c>
      <c r="D1018" t="inlineStr">
        <is>
          <t>VÄSTERNORRLANDS LÄN</t>
        </is>
      </c>
      <c r="E1018" t="inlineStr">
        <is>
          <t>ÅNGE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53010-2022</t>
        </is>
      </c>
      <c r="B1019" s="1" t="n">
        <v>44875</v>
      </c>
      <c r="C1019" s="1" t="n">
        <v>45750</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53304-2022</t>
        </is>
      </c>
      <c r="B1020" s="1" t="n">
        <v>44878</v>
      </c>
      <c r="C1020" s="1" t="n">
        <v>45750</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53439-2022</t>
        </is>
      </c>
      <c r="B1021" s="1" t="n">
        <v>44879</v>
      </c>
      <c r="C1021" s="1" t="n">
        <v>45750</v>
      </c>
      <c r="D1021" t="inlineStr">
        <is>
          <t>VÄSTERNORRLANDS LÄN</t>
        </is>
      </c>
      <c r="E1021" t="inlineStr">
        <is>
          <t>ÅNGE</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53663-2022</t>
        </is>
      </c>
      <c r="B1022" s="1" t="n">
        <v>44879</v>
      </c>
      <c r="C1022" s="1" t="n">
        <v>45750</v>
      </c>
      <c r="D1022" t="inlineStr">
        <is>
          <t>VÄSTERNORRLANDS LÄN</t>
        </is>
      </c>
      <c r="E1022" t="inlineStr">
        <is>
          <t>ÅNGE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53664-2022</t>
        </is>
      </c>
      <c r="B1023" s="1" t="n">
        <v>44879</v>
      </c>
      <c r="C1023" s="1" t="n">
        <v>45750</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53854-2022</t>
        </is>
      </c>
      <c r="B1024" s="1" t="n">
        <v>44880</v>
      </c>
      <c r="C1024" s="1" t="n">
        <v>45750</v>
      </c>
      <c r="D1024" t="inlineStr">
        <is>
          <t>VÄSTERNORRLANDS LÄN</t>
        </is>
      </c>
      <c r="E1024" t="inlineStr">
        <is>
          <t>ÅNGE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53950-2022</t>
        </is>
      </c>
      <c r="B1025" s="1" t="n">
        <v>44880</v>
      </c>
      <c r="C1025" s="1" t="n">
        <v>45750</v>
      </c>
      <c r="D1025" t="inlineStr">
        <is>
          <t>VÄSTERNORRLANDS LÄN</t>
        </is>
      </c>
      <c r="E1025" t="inlineStr">
        <is>
          <t>ÅNGE</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54027-2022</t>
        </is>
      </c>
      <c r="B1026" s="1" t="n">
        <v>44881</v>
      </c>
      <c r="C1026" s="1" t="n">
        <v>45750</v>
      </c>
      <c r="D1026" t="inlineStr">
        <is>
          <t>VÄSTERNORRLANDS LÄN</t>
        </is>
      </c>
      <c r="E1026" t="inlineStr">
        <is>
          <t>ÅNGE</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54250-2022</t>
        </is>
      </c>
      <c r="B1027" s="1" t="n">
        <v>44881</v>
      </c>
      <c r="C1027" s="1" t="n">
        <v>45750</v>
      </c>
      <c r="D1027" t="inlineStr">
        <is>
          <t>VÄSTERNORRLANDS LÄN</t>
        </is>
      </c>
      <c r="E1027" t="inlineStr">
        <is>
          <t>ÅNGE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55007-2022</t>
        </is>
      </c>
      <c r="B1028" s="1" t="n">
        <v>44881</v>
      </c>
      <c r="C1028" s="1" t="n">
        <v>45750</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54453-2022</t>
        </is>
      </c>
      <c r="B1029" s="1" t="n">
        <v>44882</v>
      </c>
      <c r="C1029" s="1" t="n">
        <v>45750</v>
      </c>
      <c r="D1029" t="inlineStr">
        <is>
          <t>VÄSTERNORRLANDS LÄN</t>
        </is>
      </c>
      <c r="E1029" t="inlineStr">
        <is>
          <t>ÅNGE</t>
        </is>
      </c>
      <c r="G1029" t="n">
        <v>22.3</v>
      </c>
      <c r="H1029" t="n">
        <v>0</v>
      </c>
      <c r="I1029" t="n">
        <v>0</v>
      </c>
      <c r="J1029" t="n">
        <v>0</v>
      </c>
      <c r="K1029" t="n">
        <v>0</v>
      </c>
      <c r="L1029" t="n">
        <v>0</v>
      </c>
      <c r="M1029" t="n">
        <v>0</v>
      </c>
      <c r="N1029" t="n">
        <v>0</v>
      </c>
      <c r="O1029" t="n">
        <v>0</v>
      </c>
      <c r="P1029" t="n">
        <v>0</v>
      </c>
      <c r="Q1029" t="n">
        <v>0</v>
      </c>
      <c r="R1029" s="2" t="inlineStr"/>
    </row>
    <row r="1030" ht="15" customHeight="1">
      <c r="A1030" t="inlineStr">
        <is>
          <t>A 54575-2022</t>
        </is>
      </c>
      <c r="B1030" s="1" t="n">
        <v>44882</v>
      </c>
      <c r="C1030" s="1" t="n">
        <v>45750</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54579-2022</t>
        </is>
      </c>
      <c r="B1031" s="1" t="n">
        <v>44882</v>
      </c>
      <c r="C1031" s="1" t="n">
        <v>45750</v>
      </c>
      <c r="D1031" t="inlineStr">
        <is>
          <t>VÄSTERNORRLANDS LÄN</t>
        </is>
      </c>
      <c r="E1031" t="inlineStr">
        <is>
          <t>ÅNGE</t>
        </is>
      </c>
      <c r="F1031" t="inlineStr">
        <is>
          <t>SCA</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54821-2022</t>
        </is>
      </c>
      <c r="B1032" s="1" t="n">
        <v>44883</v>
      </c>
      <c r="C1032" s="1" t="n">
        <v>45750</v>
      </c>
      <c r="D1032" t="inlineStr">
        <is>
          <t>VÄSTERNORRLANDS LÄN</t>
        </is>
      </c>
      <c r="E1032" t="inlineStr">
        <is>
          <t>ÅNGE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55197-2022</t>
        </is>
      </c>
      <c r="B1033" s="1" t="n">
        <v>44886</v>
      </c>
      <c r="C1033" s="1" t="n">
        <v>45750</v>
      </c>
      <c r="D1033" t="inlineStr">
        <is>
          <t>VÄSTERNORRLANDS LÄN</t>
        </is>
      </c>
      <c r="E1033" t="inlineStr">
        <is>
          <t>ÅNGE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55112-2022</t>
        </is>
      </c>
      <c r="B1034" s="1" t="n">
        <v>44886</v>
      </c>
      <c r="C1034" s="1" t="n">
        <v>45750</v>
      </c>
      <c r="D1034" t="inlineStr">
        <is>
          <t>VÄSTERNORRLANDS LÄN</t>
        </is>
      </c>
      <c r="E1034" t="inlineStr">
        <is>
          <t>ÅNGE</t>
        </is>
      </c>
      <c r="F1034" t="inlineStr">
        <is>
          <t>Holmen skog AB</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55213-2022</t>
        </is>
      </c>
      <c r="B1035" s="1" t="n">
        <v>44887</v>
      </c>
      <c r="C1035" s="1" t="n">
        <v>45750</v>
      </c>
      <c r="D1035" t="inlineStr">
        <is>
          <t>VÄSTERNORRLANDS LÄN</t>
        </is>
      </c>
      <c r="E1035" t="inlineStr">
        <is>
          <t>ÅNGE</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55212-2022</t>
        </is>
      </c>
      <c r="B1036" s="1" t="n">
        <v>44886</v>
      </c>
      <c r="C1036" s="1" t="n">
        <v>45750</v>
      </c>
      <c r="D1036" t="inlineStr">
        <is>
          <t>VÄSTERNORRLANDS LÄN</t>
        </is>
      </c>
      <c r="E1036" t="inlineStr">
        <is>
          <t>ÅNGE</t>
        </is>
      </c>
      <c r="F1036" t="inlineStr">
        <is>
          <t>SCA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55361-2022</t>
        </is>
      </c>
      <c r="B1037" s="1" t="n">
        <v>44887</v>
      </c>
      <c r="C1037" s="1" t="n">
        <v>45750</v>
      </c>
      <c r="D1037" t="inlineStr">
        <is>
          <t>VÄSTERNORRLANDS LÄN</t>
        </is>
      </c>
      <c r="E1037" t="inlineStr">
        <is>
          <t>ÅNGE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55526-2022</t>
        </is>
      </c>
      <c r="B1038" s="1" t="n">
        <v>44887</v>
      </c>
      <c r="C1038" s="1" t="n">
        <v>45750</v>
      </c>
      <c r="D1038" t="inlineStr">
        <is>
          <t>VÄSTERNORRLANDS LÄN</t>
        </is>
      </c>
      <c r="E1038" t="inlineStr">
        <is>
          <t>ÅNGE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55474-2022</t>
        </is>
      </c>
      <c r="B1039" s="1" t="n">
        <v>44887</v>
      </c>
      <c r="C1039" s="1" t="n">
        <v>45750</v>
      </c>
      <c r="D1039" t="inlineStr">
        <is>
          <t>VÄSTERNORRLANDS LÄN</t>
        </is>
      </c>
      <c r="E1039" t="inlineStr">
        <is>
          <t>ÅNGE</t>
        </is>
      </c>
      <c r="F1039" t="inlineStr">
        <is>
          <t>Holmen skog AB</t>
        </is>
      </c>
      <c r="G1039" t="n">
        <v>17.9</v>
      </c>
      <c r="H1039" t="n">
        <v>0</v>
      </c>
      <c r="I1039" t="n">
        <v>0</v>
      </c>
      <c r="J1039" t="n">
        <v>0</v>
      </c>
      <c r="K1039" t="n">
        <v>0</v>
      </c>
      <c r="L1039" t="n">
        <v>0</v>
      </c>
      <c r="M1039" t="n">
        <v>0</v>
      </c>
      <c r="N1039" t="n">
        <v>0</v>
      </c>
      <c r="O1039" t="n">
        <v>0</v>
      </c>
      <c r="P1039" t="n">
        <v>0</v>
      </c>
      <c r="Q1039" t="n">
        <v>0</v>
      </c>
      <c r="R1039" s="2" t="inlineStr"/>
    </row>
    <row r="1040" ht="15" customHeight="1">
      <c r="A1040" t="inlineStr">
        <is>
          <t>A 55527-2022</t>
        </is>
      </c>
      <c r="B1040" s="1" t="n">
        <v>44887</v>
      </c>
      <c r="C1040" s="1" t="n">
        <v>45750</v>
      </c>
      <c r="D1040" t="inlineStr">
        <is>
          <t>VÄSTERNORRLANDS LÄN</t>
        </is>
      </c>
      <c r="E1040" t="inlineStr">
        <is>
          <t>ÅNGE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55729-2022</t>
        </is>
      </c>
      <c r="B1041" s="1" t="n">
        <v>44888</v>
      </c>
      <c r="C1041" s="1" t="n">
        <v>45750</v>
      </c>
      <c r="D1041" t="inlineStr">
        <is>
          <t>VÄSTERNORRLANDS LÄN</t>
        </is>
      </c>
      <c r="E1041" t="inlineStr">
        <is>
          <t>ÅNGE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55754-2022</t>
        </is>
      </c>
      <c r="B1042" s="1" t="n">
        <v>44888</v>
      </c>
      <c r="C1042" s="1" t="n">
        <v>45750</v>
      </c>
      <c r="D1042" t="inlineStr">
        <is>
          <t>VÄSTERNORRLANDS LÄN</t>
        </is>
      </c>
      <c r="E1042" t="inlineStr">
        <is>
          <t>ÅNGE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55816-2022</t>
        </is>
      </c>
      <c r="B1043" s="1" t="n">
        <v>44888</v>
      </c>
      <c r="C1043" s="1" t="n">
        <v>45750</v>
      </c>
      <c r="D1043" t="inlineStr">
        <is>
          <t>VÄSTERNORRLANDS LÄN</t>
        </is>
      </c>
      <c r="E1043" t="inlineStr">
        <is>
          <t>ÅNGE</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55883-2022</t>
        </is>
      </c>
      <c r="B1044" s="1" t="n">
        <v>44888</v>
      </c>
      <c r="C1044" s="1" t="n">
        <v>45750</v>
      </c>
      <c r="D1044" t="inlineStr">
        <is>
          <t>VÄSTERNORRLANDS LÄN</t>
        </is>
      </c>
      <c r="E1044" t="inlineStr">
        <is>
          <t>ÅNGE</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55882-2022</t>
        </is>
      </c>
      <c r="B1045" s="1" t="n">
        <v>44888</v>
      </c>
      <c r="C1045" s="1" t="n">
        <v>45750</v>
      </c>
      <c r="D1045" t="inlineStr">
        <is>
          <t>VÄSTERNORRLANDS LÄN</t>
        </is>
      </c>
      <c r="E1045" t="inlineStr">
        <is>
          <t>ÅNGE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55907-2022</t>
        </is>
      </c>
      <c r="B1046" s="1" t="n">
        <v>44888</v>
      </c>
      <c r="C1046" s="1" t="n">
        <v>45750</v>
      </c>
      <c r="D1046" t="inlineStr">
        <is>
          <t>VÄSTERNORRLANDS LÄN</t>
        </is>
      </c>
      <c r="E1046" t="inlineStr">
        <is>
          <t>ÅNGE</t>
        </is>
      </c>
      <c r="F1046" t="inlineStr">
        <is>
          <t>SCA</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55906-2022</t>
        </is>
      </c>
      <c r="B1047" s="1" t="n">
        <v>44888</v>
      </c>
      <c r="C1047" s="1" t="n">
        <v>45750</v>
      </c>
      <c r="D1047" t="inlineStr">
        <is>
          <t>VÄSTERNORRLANDS LÄN</t>
        </is>
      </c>
      <c r="E1047" t="inlineStr">
        <is>
          <t>ÅNGE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56181-2022</t>
        </is>
      </c>
      <c r="B1048" s="1" t="n">
        <v>44889</v>
      </c>
      <c r="C1048" s="1" t="n">
        <v>45750</v>
      </c>
      <c r="D1048" t="inlineStr">
        <is>
          <t>VÄSTERNORRLANDS LÄN</t>
        </is>
      </c>
      <c r="E1048" t="inlineStr">
        <is>
          <t>ÅNGE</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55934-2022</t>
        </is>
      </c>
      <c r="B1049" s="1" t="n">
        <v>44889</v>
      </c>
      <c r="C1049" s="1" t="n">
        <v>45750</v>
      </c>
      <c r="D1049" t="inlineStr">
        <is>
          <t>VÄSTERNORRLANDS LÄN</t>
        </is>
      </c>
      <c r="E1049" t="inlineStr">
        <is>
          <t>ÅNGE</t>
        </is>
      </c>
      <c r="F1049" t="inlineStr">
        <is>
          <t>Holmen skog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56399-2022</t>
        </is>
      </c>
      <c r="B1050" s="1" t="n">
        <v>44890</v>
      </c>
      <c r="C1050" s="1" t="n">
        <v>45750</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56403-2022</t>
        </is>
      </c>
      <c r="B1051" s="1" t="n">
        <v>44890</v>
      </c>
      <c r="C1051" s="1" t="n">
        <v>45750</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56400-2022</t>
        </is>
      </c>
      <c r="B1052" s="1" t="n">
        <v>44890</v>
      </c>
      <c r="C1052" s="1" t="n">
        <v>45750</v>
      </c>
      <c r="D1052" t="inlineStr">
        <is>
          <t>VÄSTERNORRLANDS LÄN</t>
        </is>
      </c>
      <c r="E1052" t="inlineStr">
        <is>
          <t>ÅNGE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56401-2022</t>
        </is>
      </c>
      <c r="B1053" s="1" t="n">
        <v>44890</v>
      </c>
      <c r="C1053" s="1" t="n">
        <v>45750</v>
      </c>
      <c r="D1053" t="inlineStr">
        <is>
          <t>VÄSTERNORRLANDS LÄN</t>
        </is>
      </c>
      <c r="E1053" t="inlineStr">
        <is>
          <t>ÅNGE</t>
        </is>
      </c>
      <c r="F1053" t="inlineStr">
        <is>
          <t>SCA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56591-2022</t>
        </is>
      </c>
      <c r="B1054" s="1" t="n">
        <v>44893</v>
      </c>
      <c r="C1054" s="1" t="n">
        <v>45750</v>
      </c>
      <c r="D1054" t="inlineStr">
        <is>
          <t>VÄSTERNORRLANDS LÄN</t>
        </is>
      </c>
      <c r="E1054" t="inlineStr">
        <is>
          <t>ÅNGE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56666-2022</t>
        </is>
      </c>
      <c r="B1055" s="1" t="n">
        <v>44893</v>
      </c>
      <c r="C1055" s="1" t="n">
        <v>45750</v>
      </c>
      <c r="D1055" t="inlineStr">
        <is>
          <t>VÄSTERNORRLANDS LÄN</t>
        </is>
      </c>
      <c r="E1055" t="inlineStr">
        <is>
          <t>ÅNGE</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56731-2022</t>
        </is>
      </c>
      <c r="B1056" s="1" t="n">
        <v>44893</v>
      </c>
      <c r="C1056" s="1" t="n">
        <v>45750</v>
      </c>
      <c r="D1056" t="inlineStr">
        <is>
          <t>VÄSTERNORRLANDS LÄN</t>
        </is>
      </c>
      <c r="E1056" t="inlineStr">
        <is>
          <t>ÅNGE</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56775-2022</t>
        </is>
      </c>
      <c r="B1057" s="1" t="n">
        <v>44894</v>
      </c>
      <c r="C1057" s="1" t="n">
        <v>45750</v>
      </c>
      <c r="D1057" t="inlineStr">
        <is>
          <t>VÄSTERNORRLANDS LÄN</t>
        </is>
      </c>
      <c r="E1057" t="inlineStr">
        <is>
          <t>ÅNGE</t>
        </is>
      </c>
      <c r="F1057" t="inlineStr">
        <is>
          <t>Holmen skog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56946-2022</t>
        </is>
      </c>
      <c r="B1058" s="1" t="n">
        <v>44894</v>
      </c>
      <c r="C1058" s="1" t="n">
        <v>45750</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56956-2022</t>
        </is>
      </c>
      <c r="B1059" s="1" t="n">
        <v>44894</v>
      </c>
      <c r="C1059" s="1" t="n">
        <v>45750</v>
      </c>
      <c r="D1059" t="inlineStr">
        <is>
          <t>VÄSTERNORRLANDS LÄN</t>
        </is>
      </c>
      <c r="E1059" t="inlineStr">
        <is>
          <t>ÅNGE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57289-2022</t>
        </is>
      </c>
      <c r="B1060" s="1" t="n">
        <v>44895</v>
      </c>
      <c r="C1060" s="1" t="n">
        <v>45750</v>
      </c>
      <c r="D1060" t="inlineStr">
        <is>
          <t>VÄSTERNORRLANDS LÄN</t>
        </is>
      </c>
      <c r="E1060" t="inlineStr">
        <is>
          <t>ÅNGE</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57250-2022</t>
        </is>
      </c>
      <c r="B1061" s="1" t="n">
        <v>44895</v>
      </c>
      <c r="C1061" s="1" t="n">
        <v>45750</v>
      </c>
      <c r="D1061" t="inlineStr">
        <is>
          <t>VÄSTERNORRLANDS LÄN</t>
        </is>
      </c>
      <c r="E1061" t="inlineStr">
        <is>
          <t>ÅNGE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57287-2022</t>
        </is>
      </c>
      <c r="B1062" s="1" t="n">
        <v>44895</v>
      </c>
      <c r="C1062" s="1" t="n">
        <v>45750</v>
      </c>
      <c r="D1062" t="inlineStr">
        <is>
          <t>VÄSTERNORRLANDS LÄN</t>
        </is>
      </c>
      <c r="E1062" t="inlineStr">
        <is>
          <t>ÅNGE</t>
        </is>
      </c>
      <c r="F1062" t="inlineStr">
        <is>
          <t>SCA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57286-2022</t>
        </is>
      </c>
      <c r="B1063" s="1" t="n">
        <v>44895</v>
      </c>
      <c r="C1063" s="1" t="n">
        <v>45750</v>
      </c>
      <c r="D1063" t="inlineStr">
        <is>
          <t>VÄSTERNORRLANDS LÄN</t>
        </is>
      </c>
      <c r="E1063" t="inlineStr">
        <is>
          <t>ÅNGE</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57291-2022</t>
        </is>
      </c>
      <c r="B1064" s="1" t="n">
        <v>44895</v>
      </c>
      <c r="C1064" s="1" t="n">
        <v>45750</v>
      </c>
      <c r="D1064" t="inlineStr">
        <is>
          <t>VÄSTERNORRLANDS LÄN</t>
        </is>
      </c>
      <c r="E1064" t="inlineStr">
        <is>
          <t>ÅNGE</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57288-2022</t>
        </is>
      </c>
      <c r="B1065" s="1" t="n">
        <v>44895</v>
      </c>
      <c r="C1065" s="1" t="n">
        <v>45750</v>
      </c>
      <c r="D1065" t="inlineStr">
        <is>
          <t>VÄSTERNORRLANDS LÄN</t>
        </is>
      </c>
      <c r="E1065" t="inlineStr">
        <is>
          <t>ÅNGE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57592-2022</t>
        </is>
      </c>
      <c r="B1066" s="1" t="n">
        <v>44897</v>
      </c>
      <c r="C1066" s="1" t="n">
        <v>45750</v>
      </c>
      <c r="D1066" t="inlineStr">
        <is>
          <t>VÄSTERNORRLANDS LÄN</t>
        </is>
      </c>
      <c r="E1066" t="inlineStr">
        <is>
          <t>ÅNGE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57596-2022</t>
        </is>
      </c>
      <c r="B1067" s="1" t="n">
        <v>44897</v>
      </c>
      <c r="C1067" s="1" t="n">
        <v>45750</v>
      </c>
      <c r="D1067" t="inlineStr">
        <is>
          <t>VÄSTERNORRLANDS LÄN</t>
        </is>
      </c>
      <c r="E1067" t="inlineStr">
        <is>
          <t>ÅNGE</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57601-2022</t>
        </is>
      </c>
      <c r="B1068" s="1" t="n">
        <v>44896</v>
      </c>
      <c r="C1068" s="1" t="n">
        <v>45750</v>
      </c>
      <c r="D1068" t="inlineStr">
        <is>
          <t>VÄSTERNORRLANDS LÄN</t>
        </is>
      </c>
      <c r="E1068" t="inlineStr">
        <is>
          <t>ÅNGE</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57593-2022</t>
        </is>
      </c>
      <c r="B1069" s="1" t="n">
        <v>44897</v>
      </c>
      <c r="C1069" s="1" t="n">
        <v>45750</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57602-2022</t>
        </is>
      </c>
      <c r="B1070" s="1" t="n">
        <v>44896</v>
      </c>
      <c r="C1070" s="1" t="n">
        <v>45750</v>
      </c>
      <c r="D1070" t="inlineStr">
        <is>
          <t>VÄSTERNORRLANDS LÄN</t>
        </is>
      </c>
      <c r="E1070" t="inlineStr">
        <is>
          <t>ÅNGE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57591-2022</t>
        </is>
      </c>
      <c r="B1071" s="1" t="n">
        <v>44897</v>
      </c>
      <c r="C1071" s="1" t="n">
        <v>45750</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57595-2022</t>
        </is>
      </c>
      <c r="B1072" s="1" t="n">
        <v>44897</v>
      </c>
      <c r="C1072" s="1" t="n">
        <v>45750</v>
      </c>
      <c r="D1072" t="inlineStr">
        <is>
          <t>VÄSTERNORRLANDS LÄN</t>
        </is>
      </c>
      <c r="E1072" t="inlineStr">
        <is>
          <t>ÅNGE</t>
        </is>
      </c>
      <c r="F1072" t="inlineStr">
        <is>
          <t>SCA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57598-2022</t>
        </is>
      </c>
      <c r="B1073" s="1" t="n">
        <v>44896</v>
      </c>
      <c r="C1073" s="1" t="n">
        <v>45750</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57636-2022</t>
        </is>
      </c>
      <c r="B1074" s="1" t="n">
        <v>44897</v>
      </c>
      <c r="C1074" s="1" t="n">
        <v>45750</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57846-2022</t>
        </is>
      </c>
      <c r="B1075" s="1" t="n">
        <v>44897</v>
      </c>
      <c r="C1075" s="1" t="n">
        <v>45750</v>
      </c>
      <c r="D1075" t="inlineStr">
        <is>
          <t>VÄSTERNORRLANDS LÄN</t>
        </is>
      </c>
      <c r="E1075" t="inlineStr">
        <is>
          <t>ÅNGE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58275-2022</t>
        </is>
      </c>
      <c r="B1076" s="1" t="n">
        <v>44901</v>
      </c>
      <c r="C1076" s="1" t="n">
        <v>45750</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58445-2022</t>
        </is>
      </c>
      <c r="B1077" s="1" t="n">
        <v>44901</v>
      </c>
      <c r="C1077" s="1" t="n">
        <v>45750</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58444-2022</t>
        </is>
      </c>
      <c r="B1078" s="1" t="n">
        <v>44901</v>
      </c>
      <c r="C1078" s="1" t="n">
        <v>45750</v>
      </c>
      <c r="D1078" t="inlineStr">
        <is>
          <t>VÄSTERNORRLANDS LÄN</t>
        </is>
      </c>
      <c r="E1078" t="inlineStr">
        <is>
          <t>ÅNGE</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58469-2022</t>
        </is>
      </c>
      <c r="B1079" s="1" t="n">
        <v>44902</v>
      </c>
      <c r="C1079" s="1" t="n">
        <v>45750</v>
      </c>
      <c r="D1079" t="inlineStr">
        <is>
          <t>VÄSTERNORRLANDS LÄN</t>
        </is>
      </c>
      <c r="E1079" t="inlineStr">
        <is>
          <t>ÅNGE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58943-2022</t>
        </is>
      </c>
      <c r="B1080" s="1" t="n">
        <v>44903</v>
      </c>
      <c r="C1080" s="1" t="n">
        <v>45750</v>
      </c>
      <c r="D1080" t="inlineStr">
        <is>
          <t>VÄSTERNORRLANDS LÄN</t>
        </is>
      </c>
      <c r="E1080" t="inlineStr">
        <is>
          <t>ÅNGE</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59520-2022</t>
        </is>
      </c>
      <c r="B1081" s="1" t="n">
        <v>44907</v>
      </c>
      <c r="C1081" s="1" t="n">
        <v>45750</v>
      </c>
      <c r="D1081" t="inlineStr">
        <is>
          <t>VÄSTERNORRLANDS LÄN</t>
        </is>
      </c>
      <c r="E1081" t="inlineStr">
        <is>
          <t>ÅNGE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59626-2022</t>
        </is>
      </c>
      <c r="B1082" s="1" t="n">
        <v>44907</v>
      </c>
      <c r="C1082" s="1" t="n">
        <v>45750</v>
      </c>
      <c r="D1082" t="inlineStr">
        <is>
          <t>VÄSTERNORRLANDS LÄN</t>
        </is>
      </c>
      <c r="E1082" t="inlineStr">
        <is>
          <t>ÅNGE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60369-2022</t>
        </is>
      </c>
      <c r="B1083" s="1" t="n">
        <v>44910</v>
      </c>
      <c r="C1083" s="1" t="n">
        <v>45750</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60658-2022</t>
        </is>
      </c>
      <c r="B1084" s="1" t="n">
        <v>44911</v>
      </c>
      <c r="C1084" s="1" t="n">
        <v>45750</v>
      </c>
      <c r="D1084" t="inlineStr">
        <is>
          <t>VÄSTERNORRLANDS LÄN</t>
        </is>
      </c>
      <c r="E1084" t="inlineStr">
        <is>
          <t>ÅNGE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60770-2022</t>
        </is>
      </c>
      <c r="B1085" s="1" t="n">
        <v>44914</v>
      </c>
      <c r="C1085" s="1" t="n">
        <v>45750</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60860-2022</t>
        </is>
      </c>
      <c r="B1086" s="1" t="n">
        <v>44914</v>
      </c>
      <c r="C1086" s="1" t="n">
        <v>45750</v>
      </c>
      <c r="D1086" t="inlineStr">
        <is>
          <t>VÄSTERNORRLANDS LÄN</t>
        </is>
      </c>
      <c r="E1086" t="inlineStr">
        <is>
          <t>ÅNGE</t>
        </is>
      </c>
      <c r="F1086" t="inlineStr">
        <is>
          <t>Holmen skog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61585-2022</t>
        </is>
      </c>
      <c r="B1087" s="1" t="n">
        <v>44916</v>
      </c>
      <c r="C1087" s="1" t="n">
        <v>45750</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62261-2022</t>
        </is>
      </c>
      <c r="B1088" s="1" t="n">
        <v>44922</v>
      </c>
      <c r="C1088" s="1" t="n">
        <v>45750</v>
      </c>
      <c r="D1088" t="inlineStr">
        <is>
          <t>VÄSTERNORRLANDS LÄN</t>
        </is>
      </c>
      <c r="E1088" t="inlineStr">
        <is>
          <t>ÅNGE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62290-2022</t>
        </is>
      </c>
      <c r="B1089" s="1" t="n">
        <v>44923</v>
      </c>
      <c r="C1089" s="1" t="n">
        <v>45750</v>
      </c>
      <c r="D1089" t="inlineStr">
        <is>
          <t>VÄSTERNORRLANDS LÄN</t>
        </is>
      </c>
      <c r="E1089" t="inlineStr">
        <is>
          <t>ÅNGE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62441-2022</t>
        </is>
      </c>
      <c r="B1090" s="1" t="n">
        <v>44924</v>
      </c>
      <c r="C1090" s="1" t="n">
        <v>45750</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62438-2022</t>
        </is>
      </c>
      <c r="B1091" s="1" t="n">
        <v>44924</v>
      </c>
      <c r="C1091" s="1" t="n">
        <v>45750</v>
      </c>
      <c r="D1091" t="inlineStr">
        <is>
          <t>VÄSTERNORRLANDS LÄN</t>
        </is>
      </c>
      <c r="E1091" t="inlineStr">
        <is>
          <t>ÅNGE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1116-2023</t>
        </is>
      </c>
      <c r="B1092" s="1" t="n">
        <v>44929</v>
      </c>
      <c r="C1092" s="1" t="n">
        <v>45750</v>
      </c>
      <c r="D1092" t="inlineStr">
        <is>
          <t>VÄSTERNORRLANDS LÄN</t>
        </is>
      </c>
      <c r="E1092" t="inlineStr">
        <is>
          <t>ÅNGE</t>
        </is>
      </c>
      <c r="G1092" t="n">
        <v>17.2</v>
      </c>
      <c r="H1092" t="n">
        <v>0</v>
      </c>
      <c r="I1092" t="n">
        <v>0</v>
      </c>
      <c r="J1092" t="n">
        <v>0</v>
      </c>
      <c r="K1092" t="n">
        <v>0</v>
      </c>
      <c r="L1092" t="n">
        <v>0</v>
      </c>
      <c r="M1092" t="n">
        <v>0</v>
      </c>
      <c r="N1092" t="n">
        <v>0</v>
      </c>
      <c r="O1092" t="n">
        <v>0</v>
      </c>
      <c r="P1092" t="n">
        <v>0</v>
      </c>
      <c r="Q1092" t="n">
        <v>0</v>
      </c>
      <c r="R1092" s="2" t="inlineStr"/>
    </row>
    <row r="1093" ht="15" customHeight="1">
      <c r="A1093" t="inlineStr">
        <is>
          <t>A 1103-2023</t>
        </is>
      </c>
      <c r="B1093" s="1" t="n">
        <v>44929</v>
      </c>
      <c r="C1093" s="1" t="n">
        <v>45750</v>
      </c>
      <c r="D1093" t="inlineStr">
        <is>
          <t>VÄSTERNORRLANDS LÄN</t>
        </is>
      </c>
      <c r="E1093" t="inlineStr">
        <is>
          <t>ÅNGE</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1090-2023</t>
        </is>
      </c>
      <c r="B1094" s="1" t="n">
        <v>44929</v>
      </c>
      <c r="C1094" s="1" t="n">
        <v>45750</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482-2023</t>
        </is>
      </c>
      <c r="B1095" s="1" t="n">
        <v>44929</v>
      </c>
      <c r="C1095" s="1" t="n">
        <v>45750</v>
      </c>
      <c r="D1095" t="inlineStr">
        <is>
          <t>VÄSTERNORRLANDS LÄN</t>
        </is>
      </c>
      <c r="E1095" t="inlineStr">
        <is>
          <t>ÅNGE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1127-2023</t>
        </is>
      </c>
      <c r="B1096" s="1" t="n">
        <v>44929</v>
      </c>
      <c r="C1096" s="1" t="n">
        <v>45750</v>
      </c>
      <c r="D1096" t="inlineStr">
        <is>
          <t>VÄSTERNORRLANDS LÄN</t>
        </is>
      </c>
      <c r="E1096" t="inlineStr">
        <is>
          <t>ÅNGE</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1095-2023</t>
        </is>
      </c>
      <c r="B1097" s="1" t="n">
        <v>44929</v>
      </c>
      <c r="C1097" s="1" t="n">
        <v>45750</v>
      </c>
      <c r="D1097" t="inlineStr">
        <is>
          <t>VÄSTERNORRLANDS LÄN</t>
        </is>
      </c>
      <c r="E1097" t="inlineStr">
        <is>
          <t>ÅNGE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723-2023</t>
        </is>
      </c>
      <c r="B1098" s="1" t="n">
        <v>44930</v>
      </c>
      <c r="C1098" s="1" t="n">
        <v>45750</v>
      </c>
      <c r="D1098" t="inlineStr">
        <is>
          <t>VÄSTERNORRLANDS LÄN</t>
        </is>
      </c>
      <c r="E1098" t="inlineStr">
        <is>
          <t>ÅNGE</t>
        </is>
      </c>
      <c r="F1098" t="inlineStr">
        <is>
          <t>SCA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721-2023</t>
        </is>
      </c>
      <c r="B1099" s="1" t="n">
        <v>44930</v>
      </c>
      <c r="C1099" s="1" t="n">
        <v>45750</v>
      </c>
      <c r="D1099" t="inlineStr">
        <is>
          <t>VÄSTERNORRLANDS LÄN</t>
        </is>
      </c>
      <c r="E1099" t="inlineStr">
        <is>
          <t>ÅNGE</t>
        </is>
      </c>
      <c r="F1099" t="inlineStr">
        <is>
          <t>SCA</t>
        </is>
      </c>
      <c r="G1099" t="n">
        <v>23.6</v>
      </c>
      <c r="H1099" t="n">
        <v>0</v>
      </c>
      <c r="I1099" t="n">
        <v>0</v>
      </c>
      <c r="J1099" t="n">
        <v>0</v>
      </c>
      <c r="K1099" t="n">
        <v>0</v>
      </c>
      <c r="L1099" t="n">
        <v>0</v>
      </c>
      <c r="M1099" t="n">
        <v>0</v>
      </c>
      <c r="N1099" t="n">
        <v>0</v>
      </c>
      <c r="O1099" t="n">
        <v>0</v>
      </c>
      <c r="P1099" t="n">
        <v>0</v>
      </c>
      <c r="Q1099" t="n">
        <v>0</v>
      </c>
      <c r="R1099" s="2" t="inlineStr"/>
    </row>
    <row r="1100" ht="15" customHeight="1">
      <c r="A1100" t="inlineStr">
        <is>
          <t>A 722-2023</t>
        </is>
      </c>
      <c r="B1100" s="1" t="n">
        <v>44930</v>
      </c>
      <c r="C1100" s="1" t="n">
        <v>45750</v>
      </c>
      <c r="D1100" t="inlineStr">
        <is>
          <t>VÄSTERNORRLANDS LÄN</t>
        </is>
      </c>
      <c r="E1100" t="inlineStr">
        <is>
          <t>ÅNGE</t>
        </is>
      </c>
      <c r="F1100" t="inlineStr">
        <is>
          <t>SCA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720-2023</t>
        </is>
      </c>
      <c r="B1101" s="1" t="n">
        <v>44930</v>
      </c>
      <c r="C1101" s="1" t="n">
        <v>45750</v>
      </c>
      <c r="D1101" t="inlineStr">
        <is>
          <t>VÄSTERNORRLANDS LÄN</t>
        </is>
      </c>
      <c r="E1101" t="inlineStr">
        <is>
          <t>ÅNGE</t>
        </is>
      </c>
      <c r="F1101" t="inlineStr">
        <is>
          <t>SCA</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732-2023</t>
        </is>
      </c>
      <c r="B1102" s="1" t="n">
        <v>44931</v>
      </c>
      <c r="C1102" s="1" t="n">
        <v>45750</v>
      </c>
      <c r="D1102" t="inlineStr">
        <is>
          <t>VÄSTERNORRLANDS LÄN</t>
        </is>
      </c>
      <c r="E1102" t="inlineStr">
        <is>
          <t>ÅNGE</t>
        </is>
      </c>
      <c r="F1102" t="inlineStr">
        <is>
          <t>Sveaskog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1235-2023</t>
        </is>
      </c>
      <c r="B1103" s="1" t="n">
        <v>44935</v>
      </c>
      <c r="C1103" s="1" t="n">
        <v>45750</v>
      </c>
      <c r="D1103" t="inlineStr">
        <is>
          <t>VÄSTERNORRLANDS LÄN</t>
        </is>
      </c>
      <c r="E1103" t="inlineStr">
        <is>
          <t>ÅNGE</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1412-2023</t>
        </is>
      </c>
      <c r="B1104" s="1" t="n">
        <v>44936</v>
      </c>
      <c r="C1104" s="1" t="n">
        <v>45750</v>
      </c>
      <c r="D1104" t="inlineStr">
        <is>
          <t>VÄSTERNORRLANDS LÄN</t>
        </is>
      </c>
      <c r="E1104" t="inlineStr">
        <is>
          <t>ÅNGE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1420-2023</t>
        </is>
      </c>
      <c r="B1105" s="1" t="n">
        <v>44936</v>
      </c>
      <c r="C1105" s="1" t="n">
        <v>45750</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1769-2023</t>
        </is>
      </c>
      <c r="B1106" s="1" t="n">
        <v>44938</v>
      </c>
      <c r="C1106" s="1" t="n">
        <v>45750</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1775-2023</t>
        </is>
      </c>
      <c r="B1107" s="1" t="n">
        <v>44938</v>
      </c>
      <c r="C1107" s="1" t="n">
        <v>45750</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2140-2023</t>
        </is>
      </c>
      <c r="B1108" s="1" t="n">
        <v>44940</v>
      </c>
      <c r="C1108" s="1" t="n">
        <v>45750</v>
      </c>
      <c r="D1108" t="inlineStr">
        <is>
          <t>VÄSTERNORRLANDS LÄN</t>
        </is>
      </c>
      <c r="E1108" t="inlineStr">
        <is>
          <t>ÅNGE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3022-2023</t>
        </is>
      </c>
      <c r="B1109" s="1" t="n">
        <v>44945</v>
      </c>
      <c r="C1109" s="1" t="n">
        <v>45750</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3023-2023</t>
        </is>
      </c>
      <c r="B1110" s="1" t="n">
        <v>44945</v>
      </c>
      <c r="C1110" s="1" t="n">
        <v>45750</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3025-2023</t>
        </is>
      </c>
      <c r="B1111" s="1" t="n">
        <v>44945</v>
      </c>
      <c r="C1111" s="1" t="n">
        <v>45750</v>
      </c>
      <c r="D1111" t="inlineStr">
        <is>
          <t>VÄSTERNORRLANDS LÄN</t>
        </is>
      </c>
      <c r="E1111" t="inlineStr">
        <is>
          <t>ÅNGE</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3323-2023</t>
        </is>
      </c>
      <c r="B1112" s="1" t="n">
        <v>44945</v>
      </c>
      <c r="C1112" s="1" t="n">
        <v>45750</v>
      </c>
      <c r="D1112" t="inlineStr">
        <is>
          <t>VÄSTERNORRLANDS LÄN</t>
        </is>
      </c>
      <c r="E1112" t="inlineStr">
        <is>
          <t>ÅNGE</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3362-2023</t>
        </is>
      </c>
      <c r="B1113" s="1" t="n">
        <v>44945</v>
      </c>
      <c r="C1113" s="1" t="n">
        <v>45750</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3631-2023</t>
        </is>
      </c>
      <c r="B1114" s="1" t="n">
        <v>44950</v>
      </c>
      <c r="C1114" s="1" t="n">
        <v>45750</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3629-2023</t>
        </is>
      </c>
      <c r="B1115" s="1" t="n">
        <v>44950</v>
      </c>
      <c r="C1115" s="1" t="n">
        <v>45750</v>
      </c>
      <c r="D1115" t="inlineStr">
        <is>
          <t>VÄSTERNORRLANDS LÄN</t>
        </is>
      </c>
      <c r="E1115" t="inlineStr">
        <is>
          <t>ÅNGE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3686-2023</t>
        </is>
      </c>
      <c r="B1116" s="1" t="n">
        <v>44950</v>
      </c>
      <c r="C1116" s="1" t="n">
        <v>45750</v>
      </c>
      <c r="D1116" t="inlineStr">
        <is>
          <t>VÄSTERNORRLANDS LÄN</t>
        </is>
      </c>
      <c r="E1116" t="inlineStr">
        <is>
          <t>ÅNGE</t>
        </is>
      </c>
      <c r="F1116" t="inlineStr">
        <is>
          <t>SCA</t>
        </is>
      </c>
      <c r="G1116" t="n">
        <v>11.5</v>
      </c>
      <c r="H1116" t="n">
        <v>0</v>
      </c>
      <c r="I1116" t="n">
        <v>0</v>
      </c>
      <c r="J1116" t="n">
        <v>0</v>
      </c>
      <c r="K1116" t="n">
        <v>0</v>
      </c>
      <c r="L1116" t="n">
        <v>0</v>
      </c>
      <c r="M1116" t="n">
        <v>0</v>
      </c>
      <c r="N1116" t="n">
        <v>0</v>
      </c>
      <c r="O1116" t="n">
        <v>0</v>
      </c>
      <c r="P1116" t="n">
        <v>0</v>
      </c>
      <c r="Q1116" t="n">
        <v>0</v>
      </c>
      <c r="R1116" s="2" t="inlineStr"/>
    </row>
    <row r="1117" ht="15" customHeight="1">
      <c r="A1117" t="inlineStr">
        <is>
          <t>A 4095-2023</t>
        </is>
      </c>
      <c r="B1117" s="1" t="n">
        <v>44952</v>
      </c>
      <c r="C1117" s="1" t="n">
        <v>45750</v>
      </c>
      <c r="D1117" t="inlineStr">
        <is>
          <t>VÄSTERNORRLANDS LÄN</t>
        </is>
      </c>
      <c r="E1117" t="inlineStr">
        <is>
          <t>ÅNGE</t>
        </is>
      </c>
      <c r="G1117" t="n">
        <v>13.4</v>
      </c>
      <c r="H1117" t="n">
        <v>0</v>
      </c>
      <c r="I1117" t="n">
        <v>0</v>
      </c>
      <c r="J1117" t="n">
        <v>0</v>
      </c>
      <c r="K1117" t="n">
        <v>0</v>
      </c>
      <c r="L1117" t="n">
        <v>0</v>
      </c>
      <c r="M1117" t="n">
        <v>0</v>
      </c>
      <c r="N1117" t="n">
        <v>0</v>
      </c>
      <c r="O1117" t="n">
        <v>0</v>
      </c>
      <c r="P1117" t="n">
        <v>0</v>
      </c>
      <c r="Q1117" t="n">
        <v>0</v>
      </c>
      <c r="R1117" s="2" t="inlineStr"/>
    </row>
    <row r="1118" ht="15" customHeight="1">
      <c r="A1118" t="inlineStr">
        <is>
          <t>A 4727-2023</t>
        </is>
      </c>
      <c r="B1118" s="1" t="n">
        <v>44953</v>
      </c>
      <c r="C1118" s="1" t="n">
        <v>45750</v>
      </c>
      <c r="D1118" t="inlineStr">
        <is>
          <t>VÄSTERNORRLANDS LÄN</t>
        </is>
      </c>
      <c r="E1118" t="inlineStr">
        <is>
          <t>ÅNGE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4876-2023</t>
        </is>
      </c>
      <c r="B1119" s="1" t="n">
        <v>44957</v>
      </c>
      <c r="C1119" s="1" t="n">
        <v>45750</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4877-2023</t>
        </is>
      </c>
      <c r="B1120" s="1" t="n">
        <v>44957</v>
      </c>
      <c r="C1120" s="1" t="n">
        <v>45750</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4883-2023</t>
        </is>
      </c>
      <c r="B1121" s="1" t="n">
        <v>44957</v>
      </c>
      <c r="C1121" s="1" t="n">
        <v>45750</v>
      </c>
      <c r="D1121" t="inlineStr">
        <is>
          <t>VÄSTERNORRLANDS LÄN</t>
        </is>
      </c>
      <c r="E1121" t="inlineStr">
        <is>
          <t>ÅNGE</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5083-2023</t>
        </is>
      </c>
      <c r="B1122" s="1" t="n">
        <v>44958</v>
      </c>
      <c r="C1122" s="1" t="n">
        <v>45750</v>
      </c>
      <c r="D1122" t="inlineStr">
        <is>
          <t>VÄSTERNORRLANDS LÄN</t>
        </is>
      </c>
      <c r="E1122" t="inlineStr">
        <is>
          <t>ÅNGE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5455-2023</t>
        </is>
      </c>
      <c r="B1123" s="1" t="n">
        <v>44959</v>
      </c>
      <c r="C1123" s="1" t="n">
        <v>45750</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5868-2023</t>
        </is>
      </c>
      <c r="B1124" s="1" t="n">
        <v>44963</v>
      </c>
      <c r="C1124" s="1" t="n">
        <v>45750</v>
      </c>
      <c r="D1124" t="inlineStr">
        <is>
          <t>VÄSTERNORRLANDS LÄN</t>
        </is>
      </c>
      <c r="E1124" t="inlineStr">
        <is>
          <t>ÅNGE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6179-2023</t>
        </is>
      </c>
      <c r="B1125" s="1" t="n">
        <v>44964</v>
      </c>
      <c r="C1125" s="1" t="n">
        <v>45750</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6186-2023</t>
        </is>
      </c>
      <c r="B1126" s="1" t="n">
        <v>44964</v>
      </c>
      <c r="C1126" s="1" t="n">
        <v>45750</v>
      </c>
      <c r="D1126" t="inlineStr">
        <is>
          <t>VÄSTERNORRLANDS LÄN</t>
        </is>
      </c>
      <c r="E1126" t="inlineStr">
        <is>
          <t>ÅNGE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6790-2023</t>
        </is>
      </c>
      <c r="B1127" s="1" t="n">
        <v>44966</v>
      </c>
      <c r="C1127" s="1" t="n">
        <v>45750</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6789-2023</t>
        </is>
      </c>
      <c r="B1128" s="1" t="n">
        <v>44966</v>
      </c>
      <c r="C1128" s="1" t="n">
        <v>45750</v>
      </c>
      <c r="D1128" t="inlineStr">
        <is>
          <t>VÄSTERNORRLANDS LÄN</t>
        </is>
      </c>
      <c r="E1128" t="inlineStr">
        <is>
          <t>ÅNGE</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6791-2023</t>
        </is>
      </c>
      <c r="B1129" s="1" t="n">
        <v>44966</v>
      </c>
      <c r="C1129" s="1" t="n">
        <v>45750</v>
      </c>
      <c r="D1129" t="inlineStr">
        <is>
          <t>VÄSTERNORRLANDS LÄN</t>
        </is>
      </c>
      <c r="E1129" t="inlineStr">
        <is>
          <t>ÅNGE</t>
        </is>
      </c>
      <c r="F1129" t="inlineStr">
        <is>
          <t>SCA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6799-2023</t>
        </is>
      </c>
      <c r="B1130" s="1" t="n">
        <v>44966</v>
      </c>
      <c r="C1130" s="1" t="n">
        <v>45750</v>
      </c>
      <c r="D1130" t="inlineStr">
        <is>
          <t>VÄSTERNORRLANDS LÄN</t>
        </is>
      </c>
      <c r="E1130" t="inlineStr">
        <is>
          <t>ÅNGE</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6787-2023</t>
        </is>
      </c>
      <c r="B1131" s="1" t="n">
        <v>44966</v>
      </c>
      <c r="C1131" s="1" t="n">
        <v>45750</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7025-2023</t>
        </is>
      </c>
      <c r="B1132" s="1" t="n">
        <v>44968</v>
      </c>
      <c r="C1132" s="1" t="n">
        <v>45750</v>
      </c>
      <c r="D1132" t="inlineStr">
        <is>
          <t>VÄSTERNORRLANDS LÄN</t>
        </is>
      </c>
      <c r="E1132" t="inlineStr">
        <is>
          <t>ÅNGE</t>
        </is>
      </c>
      <c r="F1132" t="inlineStr">
        <is>
          <t>SCA</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7528-2023</t>
        </is>
      </c>
      <c r="B1133" s="1" t="n">
        <v>44972</v>
      </c>
      <c r="C1133" s="1" t="n">
        <v>45750</v>
      </c>
      <c r="D1133" t="inlineStr">
        <is>
          <t>VÄSTERNORRLANDS LÄN</t>
        </is>
      </c>
      <c r="E1133" t="inlineStr">
        <is>
          <t>ÅNGE</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7529-2023</t>
        </is>
      </c>
      <c r="B1134" s="1" t="n">
        <v>44972</v>
      </c>
      <c r="C1134" s="1" t="n">
        <v>45750</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7527-2023</t>
        </is>
      </c>
      <c r="B1135" s="1" t="n">
        <v>44971</v>
      </c>
      <c r="C1135" s="1" t="n">
        <v>45750</v>
      </c>
      <c r="D1135" t="inlineStr">
        <is>
          <t>VÄSTERNORRLANDS LÄN</t>
        </is>
      </c>
      <c r="E1135" t="inlineStr">
        <is>
          <t>ÅNGE</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7535-2023</t>
        </is>
      </c>
      <c r="B1136" s="1" t="n">
        <v>44971</v>
      </c>
      <c r="C1136" s="1" t="n">
        <v>45750</v>
      </c>
      <c r="D1136" t="inlineStr">
        <is>
          <t>VÄSTERNORRLANDS LÄN</t>
        </is>
      </c>
      <c r="E1136" t="inlineStr">
        <is>
          <t>ÅNGE</t>
        </is>
      </c>
      <c r="F1136" t="inlineStr">
        <is>
          <t>SCA</t>
        </is>
      </c>
      <c r="G1136" t="n">
        <v>14.6</v>
      </c>
      <c r="H1136" t="n">
        <v>0</v>
      </c>
      <c r="I1136" t="n">
        <v>0</v>
      </c>
      <c r="J1136" t="n">
        <v>0</v>
      </c>
      <c r="K1136" t="n">
        <v>0</v>
      </c>
      <c r="L1136" t="n">
        <v>0</v>
      </c>
      <c r="M1136" t="n">
        <v>0</v>
      </c>
      <c r="N1136" t="n">
        <v>0</v>
      </c>
      <c r="O1136" t="n">
        <v>0</v>
      </c>
      <c r="P1136" t="n">
        <v>0</v>
      </c>
      <c r="Q1136" t="n">
        <v>0</v>
      </c>
      <c r="R1136" s="2" t="inlineStr"/>
    </row>
    <row r="1137" ht="15" customHeight="1">
      <c r="A1137" t="inlineStr">
        <is>
          <t>A 7526-2023</t>
        </is>
      </c>
      <c r="B1137" s="1" t="n">
        <v>44972</v>
      </c>
      <c r="C1137" s="1" t="n">
        <v>45750</v>
      </c>
      <c r="D1137" t="inlineStr">
        <is>
          <t>VÄSTERNORRLANDS LÄN</t>
        </is>
      </c>
      <c r="E1137" t="inlineStr">
        <is>
          <t>ÅNGE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8406-2023</t>
        </is>
      </c>
      <c r="B1138" s="1" t="n">
        <v>44971</v>
      </c>
      <c r="C1138" s="1" t="n">
        <v>45750</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8418-2023</t>
        </is>
      </c>
      <c r="B1139" s="1" t="n">
        <v>44971</v>
      </c>
      <c r="C1139" s="1" t="n">
        <v>45750</v>
      </c>
      <c r="D1139" t="inlineStr">
        <is>
          <t>VÄSTERNORRLANDS LÄN</t>
        </is>
      </c>
      <c r="E1139" t="inlineStr">
        <is>
          <t>ÅNGE</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7720-2023</t>
        </is>
      </c>
      <c r="B1140" s="1" t="n">
        <v>44972</v>
      </c>
      <c r="C1140" s="1" t="n">
        <v>45750</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7723-2023</t>
        </is>
      </c>
      <c r="B1141" s="1" t="n">
        <v>44972</v>
      </c>
      <c r="C1141" s="1" t="n">
        <v>45750</v>
      </c>
      <c r="D1141" t="inlineStr">
        <is>
          <t>VÄSTERNORRLANDS LÄN</t>
        </is>
      </c>
      <c r="E1141" t="inlineStr">
        <is>
          <t>ÅNGE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8627-2023</t>
        </is>
      </c>
      <c r="B1142" s="1" t="n">
        <v>44977</v>
      </c>
      <c r="C1142" s="1" t="n">
        <v>45750</v>
      </c>
      <c r="D1142" t="inlineStr">
        <is>
          <t>VÄSTERNORRLANDS LÄN</t>
        </is>
      </c>
      <c r="E1142" t="inlineStr">
        <is>
          <t>ÅNGE</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8666-2023</t>
        </is>
      </c>
      <c r="B1143" s="1" t="n">
        <v>44977</v>
      </c>
      <c r="C1143" s="1" t="n">
        <v>45750</v>
      </c>
      <c r="D1143" t="inlineStr">
        <is>
          <t>VÄSTERNORRLANDS LÄN</t>
        </is>
      </c>
      <c r="E1143" t="inlineStr">
        <is>
          <t>ÅNGE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8869-2023</t>
        </is>
      </c>
      <c r="B1144" s="1" t="n">
        <v>44978</v>
      </c>
      <c r="C1144" s="1" t="n">
        <v>45750</v>
      </c>
      <c r="D1144" t="inlineStr">
        <is>
          <t>VÄSTERNORRLANDS LÄN</t>
        </is>
      </c>
      <c r="E1144" t="inlineStr">
        <is>
          <t>ÅNGE</t>
        </is>
      </c>
      <c r="F1144" t="inlineStr">
        <is>
          <t>SCA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8868-2023</t>
        </is>
      </c>
      <c r="B1145" s="1" t="n">
        <v>44978</v>
      </c>
      <c r="C1145" s="1" t="n">
        <v>45750</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8867-2023</t>
        </is>
      </c>
      <c r="B1146" s="1" t="n">
        <v>44978</v>
      </c>
      <c r="C1146" s="1" t="n">
        <v>45750</v>
      </c>
      <c r="D1146" t="inlineStr">
        <is>
          <t>VÄSTERNORRLANDS LÄN</t>
        </is>
      </c>
      <c r="E1146" t="inlineStr">
        <is>
          <t>ÅNGE</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9211-2023</t>
        </is>
      </c>
      <c r="B1147" s="1" t="n">
        <v>44980</v>
      </c>
      <c r="C1147" s="1" t="n">
        <v>45750</v>
      </c>
      <c r="D1147" t="inlineStr">
        <is>
          <t>VÄSTERNORRLANDS LÄN</t>
        </is>
      </c>
      <c r="E1147" t="inlineStr">
        <is>
          <t>ÅNGE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9215-2023</t>
        </is>
      </c>
      <c r="B1148" s="1" t="n">
        <v>44980</v>
      </c>
      <c r="C1148" s="1" t="n">
        <v>45750</v>
      </c>
      <c r="D1148" t="inlineStr">
        <is>
          <t>VÄSTERNORRLANDS LÄN</t>
        </is>
      </c>
      <c r="E1148" t="inlineStr">
        <is>
          <t>ÅNGE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9861-2023</t>
        </is>
      </c>
      <c r="B1149" s="1" t="n">
        <v>44984</v>
      </c>
      <c r="C1149" s="1" t="n">
        <v>45750</v>
      </c>
      <c r="D1149" t="inlineStr">
        <is>
          <t>VÄSTERNORRLANDS LÄN</t>
        </is>
      </c>
      <c r="E1149" t="inlineStr">
        <is>
          <t>ÅNGE</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10067-2023</t>
        </is>
      </c>
      <c r="B1150" s="1" t="n">
        <v>44985</v>
      </c>
      <c r="C1150" s="1" t="n">
        <v>45750</v>
      </c>
      <c r="D1150" t="inlineStr">
        <is>
          <t>VÄSTERNORRLANDS LÄN</t>
        </is>
      </c>
      <c r="E1150" t="inlineStr">
        <is>
          <t>ÅNGE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10071-2023</t>
        </is>
      </c>
      <c r="B1151" s="1" t="n">
        <v>44985</v>
      </c>
      <c r="C1151" s="1" t="n">
        <v>45750</v>
      </c>
      <c r="D1151" t="inlineStr">
        <is>
          <t>VÄSTERNORRLANDS LÄN</t>
        </is>
      </c>
      <c r="E1151" t="inlineStr">
        <is>
          <t>ÅNGE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10084-2023</t>
        </is>
      </c>
      <c r="B1152" s="1" t="n">
        <v>44985</v>
      </c>
      <c r="C1152" s="1" t="n">
        <v>45750</v>
      </c>
      <c r="D1152" t="inlineStr">
        <is>
          <t>VÄSTERNORRLANDS LÄN</t>
        </is>
      </c>
      <c r="E1152" t="inlineStr">
        <is>
          <t>ÅNGE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10089-2023</t>
        </is>
      </c>
      <c r="B1153" s="1" t="n">
        <v>44985</v>
      </c>
      <c r="C1153" s="1" t="n">
        <v>45750</v>
      </c>
      <c r="D1153" t="inlineStr">
        <is>
          <t>VÄSTERNORRLANDS LÄN</t>
        </is>
      </c>
      <c r="E1153" t="inlineStr">
        <is>
          <t>ÅNGE</t>
        </is>
      </c>
      <c r="F1153" t="inlineStr">
        <is>
          <t>SCA</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10068-2023</t>
        </is>
      </c>
      <c r="B1154" s="1" t="n">
        <v>44985</v>
      </c>
      <c r="C1154" s="1" t="n">
        <v>45750</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10090-2023</t>
        </is>
      </c>
      <c r="B1155" s="1" t="n">
        <v>44985</v>
      </c>
      <c r="C1155" s="1" t="n">
        <v>45750</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10070-2023</t>
        </is>
      </c>
      <c r="B1156" s="1" t="n">
        <v>44985</v>
      </c>
      <c r="C1156" s="1" t="n">
        <v>45750</v>
      </c>
      <c r="D1156" t="inlineStr">
        <is>
          <t>VÄSTERNORRLANDS LÄN</t>
        </is>
      </c>
      <c r="E1156" t="inlineStr">
        <is>
          <t>ÅNGE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10087-2023</t>
        </is>
      </c>
      <c r="B1157" s="1" t="n">
        <v>44985</v>
      </c>
      <c r="C1157" s="1" t="n">
        <v>45750</v>
      </c>
      <c r="D1157" t="inlineStr">
        <is>
          <t>VÄSTERNORRLANDS LÄN</t>
        </is>
      </c>
      <c r="E1157" t="inlineStr">
        <is>
          <t>ÅNGE</t>
        </is>
      </c>
      <c r="F1157" t="inlineStr">
        <is>
          <t>SCA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10558-2023</t>
        </is>
      </c>
      <c r="B1158" s="1" t="n">
        <v>44987</v>
      </c>
      <c r="C1158" s="1" t="n">
        <v>45750</v>
      </c>
      <c r="D1158" t="inlineStr">
        <is>
          <t>VÄSTERNORRLANDS LÄN</t>
        </is>
      </c>
      <c r="E1158" t="inlineStr">
        <is>
          <t>ÅNGE</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10557-2023</t>
        </is>
      </c>
      <c r="B1159" s="1" t="n">
        <v>44987</v>
      </c>
      <c r="C1159" s="1" t="n">
        <v>45750</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10778-2023</t>
        </is>
      </c>
      <c r="B1160" s="1" t="n">
        <v>44988</v>
      </c>
      <c r="C1160" s="1" t="n">
        <v>45750</v>
      </c>
      <c r="D1160" t="inlineStr">
        <is>
          <t>VÄSTERNORRLANDS LÄN</t>
        </is>
      </c>
      <c r="E1160" t="inlineStr">
        <is>
          <t>ÅNGE</t>
        </is>
      </c>
      <c r="F1160" t="inlineStr">
        <is>
          <t>SCA</t>
        </is>
      </c>
      <c r="G1160" t="n">
        <v>46.4</v>
      </c>
      <c r="H1160" t="n">
        <v>0</v>
      </c>
      <c r="I1160" t="n">
        <v>0</v>
      </c>
      <c r="J1160" t="n">
        <v>0</v>
      </c>
      <c r="K1160" t="n">
        <v>0</v>
      </c>
      <c r="L1160" t="n">
        <v>0</v>
      </c>
      <c r="M1160" t="n">
        <v>0</v>
      </c>
      <c r="N1160" t="n">
        <v>0</v>
      </c>
      <c r="O1160" t="n">
        <v>0</v>
      </c>
      <c r="P1160" t="n">
        <v>0</v>
      </c>
      <c r="Q1160" t="n">
        <v>0</v>
      </c>
      <c r="R1160" s="2" t="inlineStr"/>
    </row>
    <row r="1161" ht="15" customHeight="1">
      <c r="A1161" t="inlineStr">
        <is>
          <t>A 11300-2023</t>
        </is>
      </c>
      <c r="B1161" s="1" t="n">
        <v>44993</v>
      </c>
      <c r="C1161" s="1" t="n">
        <v>45750</v>
      </c>
      <c r="D1161" t="inlineStr">
        <is>
          <t>VÄSTERNORRLANDS LÄN</t>
        </is>
      </c>
      <c r="E1161" t="inlineStr">
        <is>
          <t>ÅNGE</t>
        </is>
      </c>
      <c r="F1161" t="inlineStr">
        <is>
          <t>SCA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11309-2023</t>
        </is>
      </c>
      <c r="B1162" s="1" t="n">
        <v>44993</v>
      </c>
      <c r="C1162" s="1" t="n">
        <v>45750</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11529-2023</t>
        </is>
      </c>
      <c r="B1163" s="1" t="n">
        <v>44993</v>
      </c>
      <c r="C1163" s="1" t="n">
        <v>45750</v>
      </c>
      <c r="D1163" t="inlineStr">
        <is>
          <t>VÄSTERNORRLANDS LÄN</t>
        </is>
      </c>
      <c r="E1163" t="inlineStr">
        <is>
          <t>ÅNGE</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11299-2023</t>
        </is>
      </c>
      <c r="B1164" s="1" t="n">
        <v>44993</v>
      </c>
      <c r="C1164" s="1" t="n">
        <v>45750</v>
      </c>
      <c r="D1164" t="inlineStr">
        <is>
          <t>VÄSTERNORRLANDS LÄN</t>
        </is>
      </c>
      <c r="E1164" t="inlineStr">
        <is>
          <t>ÅNGE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11310-2023</t>
        </is>
      </c>
      <c r="B1165" s="1" t="n">
        <v>44993</v>
      </c>
      <c r="C1165" s="1" t="n">
        <v>45750</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11531-2023</t>
        </is>
      </c>
      <c r="B1166" s="1" t="n">
        <v>44993</v>
      </c>
      <c r="C1166" s="1" t="n">
        <v>45750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11532-2023</t>
        </is>
      </c>
      <c r="B1167" s="1" t="n">
        <v>44993</v>
      </c>
      <c r="C1167" s="1" t="n">
        <v>45750</v>
      </c>
      <c r="D1167" t="inlineStr">
        <is>
          <t>VÄSTERNORRLANDS LÄN</t>
        </is>
      </c>
      <c r="E1167" t="inlineStr">
        <is>
          <t>ÅNGE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12749-2023</t>
        </is>
      </c>
      <c r="B1168" s="1" t="n">
        <v>45000</v>
      </c>
      <c r="C1168" s="1" t="n">
        <v>45750</v>
      </c>
      <c r="D1168" t="inlineStr">
        <is>
          <t>VÄSTERNORRLANDS LÄN</t>
        </is>
      </c>
      <c r="E1168" t="inlineStr">
        <is>
          <t>ÅNGE</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12748-2023</t>
        </is>
      </c>
      <c r="B1169" s="1" t="n">
        <v>45000</v>
      </c>
      <c r="C1169" s="1" t="n">
        <v>45750</v>
      </c>
      <c r="D1169" t="inlineStr">
        <is>
          <t>VÄSTERNORRLANDS LÄN</t>
        </is>
      </c>
      <c r="E1169" t="inlineStr">
        <is>
          <t>ÅNGE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12742-2023</t>
        </is>
      </c>
      <c r="B1170" s="1" t="n">
        <v>45000</v>
      </c>
      <c r="C1170" s="1" t="n">
        <v>45750</v>
      </c>
      <c r="D1170" t="inlineStr">
        <is>
          <t>VÄSTERNORRLANDS LÄN</t>
        </is>
      </c>
      <c r="E1170" t="inlineStr">
        <is>
          <t>ÅNGE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12997-2023</t>
        </is>
      </c>
      <c r="B1171" s="1" t="n">
        <v>45002</v>
      </c>
      <c r="C1171" s="1" t="n">
        <v>45750</v>
      </c>
      <c r="D1171" t="inlineStr">
        <is>
          <t>VÄSTERNORRLANDS LÄN</t>
        </is>
      </c>
      <c r="E1171" t="inlineStr">
        <is>
          <t>ÅNGE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12987-2023</t>
        </is>
      </c>
      <c r="B1172" s="1" t="n">
        <v>45002</v>
      </c>
      <c r="C1172" s="1" t="n">
        <v>45750</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12999-2023</t>
        </is>
      </c>
      <c r="B1173" s="1" t="n">
        <v>45002</v>
      </c>
      <c r="C1173" s="1" t="n">
        <v>45750</v>
      </c>
      <c r="D1173" t="inlineStr">
        <is>
          <t>VÄSTERNORRLANDS LÄN</t>
        </is>
      </c>
      <c r="E1173" t="inlineStr">
        <is>
          <t>ÅNGE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12998-2023</t>
        </is>
      </c>
      <c r="B1174" s="1" t="n">
        <v>45002</v>
      </c>
      <c r="C1174" s="1" t="n">
        <v>45750</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13485-2023</t>
        </is>
      </c>
      <c r="B1175" s="1" t="n">
        <v>45005</v>
      </c>
      <c r="C1175" s="1" t="n">
        <v>45750</v>
      </c>
      <c r="D1175" t="inlineStr">
        <is>
          <t>VÄSTERNORRLANDS LÄN</t>
        </is>
      </c>
      <c r="E1175" t="inlineStr">
        <is>
          <t>ÅNGE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13491-2023</t>
        </is>
      </c>
      <c r="B1176" s="1" t="n">
        <v>45005</v>
      </c>
      <c r="C1176" s="1" t="n">
        <v>45750</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13705-2023</t>
        </is>
      </c>
      <c r="B1177" s="1" t="n">
        <v>45006</v>
      </c>
      <c r="C1177" s="1" t="n">
        <v>45750</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13704-2023</t>
        </is>
      </c>
      <c r="B1178" s="1" t="n">
        <v>45006</v>
      </c>
      <c r="C1178" s="1" t="n">
        <v>45750</v>
      </c>
      <c r="D1178" t="inlineStr">
        <is>
          <t>VÄSTERNORRLANDS LÄN</t>
        </is>
      </c>
      <c r="E1178" t="inlineStr">
        <is>
          <t>ÅNGE</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13706-2023</t>
        </is>
      </c>
      <c r="B1179" s="1" t="n">
        <v>45006</v>
      </c>
      <c r="C1179" s="1" t="n">
        <v>45750</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14183-2023</t>
        </is>
      </c>
      <c r="B1180" s="1" t="n">
        <v>45009</v>
      </c>
      <c r="C1180" s="1" t="n">
        <v>45750</v>
      </c>
      <c r="D1180" t="inlineStr">
        <is>
          <t>VÄSTERNORRLANDS LÄN</t>
        </is>
      </c>
      <c r="E1180" t="inlineStr">
        <is>
          <t>ÅNGE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14257-2023</t>
        </is>
      </c>
      <c r="B1181" s="1" t="n">
        <v>45009</v>
      </c>
      <c r="C1181" s="1" t="n">
        <v>45750</v>
      </c>
      <c r="D1181" t="inlineStr">
        <is>
          <t>VÄSTERNORRLANDS LÄN</t>
        </is>
      </c>
      <c r="E1181" t="inlineStr">
        <is>
          <t>ÅNGE</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14258-2023</t>
        </is>
      </c>
      <c r="B1182" s="1" t="n">
        <v>45009</v>
      </c>
      <c r="C1182" s="1" t="n">
        <v>45750</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14260-2023</t>
        </is>
      </c>
      <c r="B1183" s="1" t="n">
        <v>45009</v>
      </c>
      <c r="C1183" s="1" t="n">
        <v>45750</v>
      </c>
      <c r="D1183" t="inlineStr">
        <is>
          <t>VÄSTERNORRLANDS LÄN</t>
        </is>
      </c>
      <c r="E1183" t="inlineStr">
        <is>
          <t>ÅNGE</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14527-2023</t>
        </is>
      </c>
      <c r="B1184" s="1" t="n">
        <v>45013</v>
      </c>
      <c r="C1184" s="1" t="n">
        <v>45750</v>
      </c>
      <c r="D1184" t="inlineStr">
        <is>
          <t>VÄSTERNORRLANDS LÄN</t>
        </is>
      </c>
      <c r="E1184" t="inlineStr">
        <is>
          <t>ÅNGE</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14667-2023</t>
        </is>
      </c>
      <c r="B1185" s="1" t="n">
        <v>45013</v>
      </c>
      <c r="C1185" s="1" t="n">
        <v>45750</v>
      </c>
      <c r="D1185" t="inlineStr">
        <is>
          <t>VÄSTERNORRLANDS LÄN</t>
        </is>
      </c>
      <c r="E1185" t="inlineStr">
        <is>
          <t>ÅNGE</t>
        </is>
      </c>
      <c r="F1185" t="inlineStr">
        <is>
          <t>SCA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14676-2023</t>
        </is>
      </c>
      <c r="B1186" s="1" t="n">
        <v>45013</v>
      </c>
      <c r="C1186" s="1" t="n">
        <v>45750</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14879-2023</t>
        </is>
      </c>
      <c r="B1187" s="1" t="n">
        <v>45015</v>
      </c>
      <c r="C1187" s="1" t="n">
        <v>45750</v>
      </c>
      <c r="D1187" t="inlineStr">
        <is>
          <t>VÄSTERNORRLANDS LÄN</t>
        </is>
      </c>
      <c r="E1187" t="inlineStr">
        <is>
          <t>ÅNGE</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14885-2023</t>
        </is>
      </c>
      <c r="B1188" s="1" t="n">
        <v>45015</v>
      </c>
      <c r="C1188" s="1" t="n">
        <v>45750</v>
      </c>
      <c r="D1188" t="inlineStr">
        <is>
          <t>VÄSTERNORRLANDS LÄN</t>
        </is>
      </c>
      <c r="E1188" t="inlineStr">
        <is>
          <t>ÅNGE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14870-2023</t>
        </is>
      </c>
      <c r="B1189" s="1" t="n">
        <v>45015</v>
      </c>
      <c r="C1189" s="1" t="n">
        <v>45750</v>
      </c>
      <c r="D1189" t="inlineStr">
        <is>
          <t>VÄSTERNORRLANDS LÄN</t>
        </is>
      </c>
      <c r="E1189" t="inlineStr">
        <is>
          <t>ÅNGE</t>
        </is>
      </c>
      <c r="F1189" t="inlineStr">
        <is>
          <t>SCA</t>
        </is>
      </c>
      <c r="G1189" t="n">
        <v>30.5</v>
      </c>
      <c r="H1189" t="n">
        <v>0</v>
      </c>
      <c r="I1189" t="n">
        <v>0</v>
      </c>
      <c r="J1189" t="n">
        <v>0</v>
      </c>
      <c r="K1189" t="n">
        <v>0</v>
      </c>
      <c r="L1189" t="n">
        <v>0</v>
      </c>
      <c r="M1189" t="n">
        <v>0</v>
      </c>
      <c r="N1189" t="n">
        <v>0</v>
      </c>
      <c r="O1189" t="n">
        <v>0</v>
      </c>
      <c r="P1189" t="n">
        <v>0</v>
      </c>
      <c r="Q1189" t="n">
        <v>0</v>
      </c>
      <c r="R1189" s="2" t="inlineStr"/>
    </row>
    <row r="1190" ht="15" customHeight="1">
      <c r="A1190" t="inlineStr">
        <is>
          <t>A 16192-2023</t>
        </is>
      </c>
      <c r="B1190" s="1" t="n">
        <v>45028</v>
      </c>
      <c r="C1190" s="1" t="n">
        <v>45750</v>
      </c>
      <c r="D1190" t="inlineStr">
        <is>
          <t>VÄSTERNORRLANDS LÄN</t>
        </is>
      </c>
      <c r="E1190" t="inlineStr">
        <is>
          <t>ÅNGE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16191-2023</t>
        </is>
      </c>
      <c r="B1191" s="1" t="n">
        <v>45028</v>
      </c>
      <c r="C1191" s="1" t="n">
        <v>45750</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16361-2023</t>
        </is>
      </c>
      <c r="B1192" s="1" t="n">
        <v>45029</v>
      </c>
      <c r="C1192" s="1" t="n">
        <v>45750</v>
      </c>
      <c r="D1192" t="inlineStr">
        <is>
          <t>VÄSTERNORRLANDS LÄN</t>
        </is>
      </c>
      <c r="E1192" t="inlineStr">
        <is>
          <t>ÅNGE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16365-2023</t>
        </is>
      </c>
      <c r="B1193" s="1" t="n">
        <v>45028</v>
      </c>
      <c r="C1193" s="1" t="n">
        <v>45750</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16281-2023</t>
        </is>
      </c>
      <c r="B1194" s="1" t="n">
        <v>45028</v>
      </c>
      <c r="C1194" s="1" t="n">
        <v>45750</v>
      </c>
      <c r="D1194" t="inlineStr">
        <is>
          <t>VÄSTERNORRLANDS LÄN</t>
        </is>
      </c>
      <c r="E1194" t="inlineStr">
        <is>
          <t>ÅNGE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16362-2023</t>
        </is>
      </c>
      <c r="B1195" s="1" t="n">
        <v>45029</v>
      </c>
      <c r="C1195" s="1" t="n">
        <v>45750</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16360-2023</t>
        </is>
      </c>
      <c r="B1196" s="1" t="n">
        <v>45029</v>
      </c>
      <c r="C1196" s="1" t="n">
        <v>45750</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16378-2023</t>
        </is>
      </c>
      <c r="B1197" s="1" t="n">
        <v>45028</v>
      </c>
      <c r="C1197" s="1" t="n">
        <v>45750</v>
      </c>
      <c r="D1197" t="inlineStr">
        <is>
          <t>VÄSTERNORRLANDS LÄN</t>
        </is>
      </c>
      <c r="E1197" t="inlineStr">
        <is>
          <t>ÅNGE</t>
        </is>
      </c>
      <c r="F1197" t="inlineStr">
        <is>
          <t>SCA</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16380-2023</t>
        </is>
      </c>
      <c r="B1198" s="1" t="n">
        <v>45028</v>
      </c>
      <c r="C1198" s="1" t="n">
        <v>45750</v>
      </c>
      <c r="D1198" t="inlineStr">
        <is>
          <t>VÄSTERNORRLANDS LÄN</t>
        </is>
      </c>
      <c r="E1198" t="inlineStr">
        <is>
          <t>ÅNGE</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16571-2023</t>
        </is>
      </c>
      <c r="B1199" s="1" t="n">
        <v>45030</v>
      </c>
      <c r="C1199" s="1" t="n">
        <v>45750</v>
      </c>
      <c r="D1199" t="inlineStr">
        <is>
          <t>VÄSTERNORRLANDS LÄN</t>
        </is>
      </c>
      <c r="E1199" t="inlineStr">
        <is>
          <t>ÅNGE</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16572-2023</t>
        </is>
      </c>
      <c r="B1200" s="1" t="n">
        <v>45030</v>
      </c>
      <c r="C1200" s="1" t="n">
        <v>45750</v>
      </c>
      <c r="D1200" t="inlineStr">
        <is>
          <t>VÄSTERNORRLANDS LÄN</t>
        </is>
      </c>
      <c r="E1200" t="inlineStr">
        <is>
          <t>ÅNGE</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16576-2023</t>
        </is>
      </c>
      <c r="B1201" s="1" t="n">
        <v>45030</v>
      </c>
      <c r="C1201" s="1" t="n">
        <v>45750</v>
      </c>
      <c r="D1201" t="inlineStr">
        <is>
          <t>VÄSTERNORRLANDS LÄN</t>
        </is>
      </c>
      <c r="E1201" t="inlineStr">
        <is>
          <t>ÅNGE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16600-2023</t>
        </is>
      </c>
      <c r="B1202" s="1" t="n">
        <v>45030</v>
      </c>
      <c r="C1202" s="1" t="n">
        <v>45750</v>
      </c>
      <c r="D1202" t="inlineStr">
        <is>
          <t>VÄSTERNORRLANDS LÄN</t>
        </is>
      </c>
      <c r="E1202" t="inlineStr">
        <is>
          <t>ÅNGE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16606-2023</t>
        </is>
      </c>
      <c r="B1203" s="1" t="n">
        <v>45030</v>
      </c>
      <c r="C1203" s="1" t="n">
        <v>45750</v>
      </c>
      <c r="D1203" t="inlineStr">
        <is>
          <t>VÄSTERNORRLANDS LÄN</t>
        </is>
      </c>
      <c r="E1203" t="inlineStr">
        <is>
          <t>ÅNGE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16763-2023</t>
        </is>
      </c>
      <c r="B1204" s="1" t="n">
        <v>45030</v>
      </c>
      <c r="C1204" s="1" t="n">
        <v>45750</v>
      </c>
      <c r="D1204" t="inlineStr">
        <is>
          <t>VÄSTERNORRLANDS LÄN</t>
        </is>
      </c>
      <c r="E1204" t="inlineStr">
        <is>
          <t>ÅNGE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16593-2023</t>
        </is>
      </c>
      <c r="B1205" s="1" t="n">
        <v>45030</v>
      </c>
      <c r="C1205" s="1" t="n">
        <v>45750</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16762-2023</t>
        </is>
      </c>
      <c r="B1206" s="1" t="n">
        <v>45030</v>
      </c>
      <c r="C1206" s="1" t="n">
        <v>45750</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16815-2023</t>
        </is>
      </c>
      <c r="B1207" s="1" t="n">
        <v>45033</v>
      </c>
      <c r="C1207" s="1" t="n">
        <v>45750</v>
      </c>
      <c r="D1207" t="inlineStr">
        <is>
          <t>VÄSTERNORRLANDS LÄN</t>
        </is>
      </c>
      <c r="E1207" t="inlineStr">
        <is>
          <t>ÅNGE</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16812-2023</t>
        </is>
      </c>
      <c r="B1208" s="1" t="n">
        <v>45033</v>
      </c>
      <c r="C1208" s="1" t="n">
        <v>45750</v>
      </c>
      <c r="D1208" t="inlineStr">
        <is>
          <t>VÄSTERNORRLANDS LÄN</t>
        </is>
      </c>
      <c r="E1208" t="inlineStr">
        <is>
          <t>ÅNGE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16853-2023</t>
        </is>
      </c>
      <c r="B1209" s="1" t="n">
        <v>45033</v>
      </c>
      <c r="C1209" s="1" t="n">
        <v>45750</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17009-2023</t>
        </is>
      </c>
      <c r="B1210" s="1" t="n">
        <v>45034</v>
      </c>
      <c r="C1210" s="1" t="n">
        <v>45750</v>
      </c>
      <c r="D1210" t="inlineStr">
        <is>
          <t>VÄSTERNORRLANDS LÄN</t>
        </is>
      </c>
      <c r="E1210" t="inlineStr">
        <is>
          <t>ÅNGE</t>
        </is>
      </c>
      <c r="F1210" t="inlineStr">
        <is>
          <t>SCA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17044-2023</t>
        </is>
      </c>
      <c r="B1211" s="1" t="n">
        <v>45034</v>
      </c>
      <c r="C1211" s="1" t="n">
        <v>45750</v>
      </c>
      <c r="D1211" t="inlineStr">
        <is>
          <t>VÄSTERNORRLANDS LÄN</t>
        </is>
      </c>
      <c r="E1211" t="inlineStr">
        <is>
          <t>ÅNGE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17103-2023</t>
        </is>
      </c>
      <c r="B1212" s="1" t="n">
        <v>45034</v>
      </c>
      <c r="C1212" s="1" t="n">
        <v>45750</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17668-2023</t>
        </is>
      </c>
      <c r="B1213" s="1" t="n">
        <v>45036</v>
      </c>
      <c r="C1213" s="1" t="n">
        <v>45750</v>
      </c>
      <c r="D1213" t="inlineStr">
        <is>
          <t>VÄSTERNORRLANDS LÄN</t>
        </is>
      </c>
      <c r="E1213" t="inlineStr">
        <is>
          <t>ÅNGE</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17669-2023</t>
        </is>
      </c>
      <c r="B1214" s="1" t="n">
        <v>45037</v>
      </c>
      <c r="C1214" s="1" t="n">
        <v>45750</v>
      </c>
      <c r="D1214" t="inlineStr">
        <is>
          <t>VÄSTERNORRLANDS LÄN</t>
        </is>
      </c>
      <c r="E1214" t="inlineStr">
        <is>
          <t>ÅNGE</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17670-2023</t>
        </is>
      </c>
      <c r="B1215" s="1" t="n">
        <v>45036</v>
      </c>
      <c r="C1215" s="1" t="n">
        <v>45750</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17934-2023</t>
        </is>
      </c>
      <c r="B1216" s="1" t="n">
        <v>45037</v>
      </c>
      <c r="C1216" s="1" t="n">
        <v>45750</v>
      </c>
      <c r="D1216" t="inlineStr">
        <is>
          <t>VÄSTERNORRLANDS LÄN</t>
        </is>
      </c>
      <c r="E1216" t="inlineStr">
        <is>
          <t>ÅNGE</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18033-2023</t>
        </is>
      </c>
      <c r="B1217" s="1" t="n">
        <v>45037</v>
      </c>
      <c r="C1217" s="1" t="n">
        <v>45750</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17860-2023</t>
        </is>
      </c>
      <c r="B1218" s="1" t="n">
        <v>45038</v>
      </c>
      <c r="C1218" s="1" t="n">
        <v>45750</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18061-2023</t>
        </is>
      </c>
      <c r="B1219" s="1" t="n">
        <v>45037</v>
      </c>
      <c r="C1219" s="1" t="n">
        <v>45750</v>
      </c>
      <c r="D1219" t="inlineStr">
        <is>
          <t>VÄSTERNORRLANDS LÄN</t>
        </is>
      </c>
      <c r="E1219" t="inlineStr">
        <is>
          <t>ÅNGE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18168-2023</t>
        </is>
      </c>
      <c r="B1220" s="1" t="n">
        <v>45040</v>
      </c>
      <c r="C1220" s="1" t="n">
        <v>45750</v>
      </c>
      <c r="D1220" t="inlineStr">
        <is>
          <t>VÄSTERNORRLANDS LÄN</t>
        </is>
      </c>
      <c r="E1220" t="inlineStr">
        <is>
          <t>ÅNGE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18169-2023</t>
        </is>
      </c>
      <c r="B1221" s="1" t="n">
        <v>45040</v>
      </c>
      <c r="C1221" s="1" t="n">
        <v>45750</v>
      </c>
      <c r="D1221" t="inlineStr">
        <is>
          <t>VÄSTERNORRLANDS LÄN</t>
        </is>
      </c>
      <c r="E1221" t="inlineStr">
        <is>
          <t>ÅNGE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18170-2023</t>
        </is>
      </c>
      <c r="B1222" s="1" t="n">
        <v>45040</v>
      </c>
      <c r="C1222" s="1" t="n">
        <v>45750</v>
      </c>
      <c r="D1222" t="inlineStr">
        <is>
          <t>VÄSTERNORRLANDS LÄN</t>
        </is>
      </c>
      <c r="E1222" t="inlineStr">
        <is>
          <t>ÅNGE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18305-2023</t>
        </is>
      </c>
      <c r="B1223" s="1" t="n">
        <v>45041</v>
      </c>
      <c r="C1223" s="1" t="n">
        <v>45750</v>
      </c>
      <c r="D1223" t="inlineStr">
        <is>
          <t>VÄSTERNORRLANDS LÄN</t>
        </is>
      </c>
      <c r="E1223" t="inlineStr">
        <is>
          <t>ÅNGE</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18370-2023</t>
        </is>
      </c>
      <c r="B1224" s="1" t="n">
        <v>45041</v>
      </c>
      <c r="C1224" s="1" t="n">
        <v>45750</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18487-2023</t>
        </is>
      </c>
      <c r="B1225" s="1" t="n">
        <v>45042</v>
      </c>
      <c r="C1225" s="1" t="n">
        <v>45750</v>
      </c>
      <c r="D1225" t="inlineStr">
        <is>
          <t>VÄSTERNORRLANDS LÄN</t>
        </is>
      </c>
      <c r="E1225" t="inlineStr">
        <is>
          <t>ÅNGE</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18560-2023</t>
        </is>
      </c>
      <c r="B1226" s="1" t="n">
        <v>45042</v>
      </c>
      <c r="C1226" s="1" t="n">
        <v>45750</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18668-2023</t>
        </is>
      </c>
      <c r="B1227" s="1" t="n">
        <v>45043</v>
      </c>
      <c r="C1227" s="1" t="n">
        <v>45750</v>
      </c>
      <c r="D1227" t="inlineStr">
        <is>
          <t>VÄSTERNORRLANDS LÄN</t>
        </is>
      </c>
      <c r="E1227" t="inlineStr">
        <is>
          <t>ÅNGE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19231-2023</t>
        </is>
      </c>
      <c r="B1228" s="1" t="n">
        <v>45048</v>
      </c>
      <c r="C1228" s="1" t="n">
        <v>45750</v>
      </c>
      <c r="D1228" t="inlineStr">
        <is>
          <t>VÄSTERNORRLANDS LÄN</t>
        </is>
      </c>
      <c r="E1228" t="inlineStr">
        <is>
          <t>ÅNGE</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19624-2023</t>
        </is>
      </c>
      <c r="B1229" s="1" t="n">
        <v>45051</v>
      </c>
      <c r="C1229" s="1" t="n">
        <v>45750</v>
      </c>
      <c r="D1229" t="inlineStr">
        <is>
          <t>VÄSTERNORRLANDS LÄN</t>
        </is>
      </c>
      <c r="E1229" t="inlineStr">
        <is>
          <t>ÅNGE</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19622-2023</t>
        </is>
      </c>
      <c r="B1230" s="1" t="n">
        <v>45051</v>
      </c>
      <c r="C1230" s="1" t="n">
        <v>45750</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19811-2023</t>
        </is>
      </c>
      <c r="B1231" s="1" t="n">
        <v>45052</v>
      </c>
      <c r="C1231" s="1" t="n">
        <v>45750</v>
      </c>
      <c r="D1231" t="inlineStr">
        <is>
          <t>VÄSTERNORRLANDS LÄN</t>
        </is>
      </c>
      <c r="E1231" t="inlineStr">
        <is>
          <t>ÅNGE</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19810-2023</t>
        </is>
      </c>
      <c r="B1232" s="1" t="n">
        <v>45052</v>
      </c>
      <c r="C1232" s="1" t="n">
        <v>45750</v>
      </c>
      <c r="D1232" t="inlineStr">
        <is>
          <t>VÄSTERNORRLANDS LÄN</t>
        </is>
      </c>
      <c r="E1232" t="inlineStr">
        <is>
          <t>ÅNGE</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19827-2023</t>
        </is>
      </c>
      <c r="B1233" s="1" t="n">
        <v>45052</v>
      </c>
      <c r="C1233" s="1" t="n">
        <v>45750</v>
      </c>
      <c r="D1233" t="inlineStr">
        <is>
          <t>VÄSTERNORRLANDS LÄN</t>
        </is>
      </c>
      <c r="E1233" t="inlineStr">
        <is>
          <t>ÅNGE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20009-2023</t>
        </is>
      </c>
      <c r="B1234" s="1" t="n">
        <v>45051</v>
      </c>
      <c r="C1234" s="1" t="n">
        <v>45750</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20110-2023</t>
        </is>
      </c>
      <c r="B1235" s="1" t="n">
        <v>45051</v>
      </c>
      <c r="C1235" s="1" t="n">
        <v>45750</v>
      </c>
      <c r="D1235" t="inlineStr">
        <is>
          <t>VÄSTERNORRLANDS LÄN</t>
        </is>
      </c>
      <c r="E1235" t="inlineStr">
        <is>
          <t>ÅNGE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20024-2023</t>
        </is>
      </c>
      <c r="B1236" s="1" t="n">
        <v>45051</v>
      </c>
      <c r="C1236" s="1" t="n">
        <v>45750</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19997-2023</t>
        </is>
      </c>
      <c r="B1237" s="1" t="n">
        <v>45054</v>
      </c>
      <c r="C1237" s="1" t="n">
        <v>45750</v>
      </c>
      <c r="D1237" t="inlineStr">
        <is>
          <t>VÄSTERNORRLANDS LÄN</t>
        </is>
      </c>
      <c r="E1237" t="inlineStr">
        <is>
          <t>ÅNGE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20099-2023</t>
        </is>
      </c>
      <c r="B1238" s="1" t="n">
        <v>45055</v>
      </c>
      <c r="C1238" s="1" t="n">
        <v>45750</v>
      </c>
      <c r="D1238" t="inlineStr">
        <is>
          <t>VÄSTERNORRLANDS LÄN</t>
        </is>
      </c>
      <c r="E1238" t="inlineStr">
        <is>
          <t>ÅNGE</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20255-2023</t>
        </is>
      </c>
      <c r="B1239" s="1" t="n">
        <v>45055</v>
      </c>
      <c r="C1239" s="1" t="n">
        <v>45750</v>
      </c>
      <c r="D1239" t="inlineStr">
        <is>
          <t>VÄSTERNORRLANDS LÄN</t>
        </is>
      </c>
      <c r="E1239" t="inlineStr">
        <is>
          <t>ÅNGE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20256-2023</t>
        </is>
      </c>
      <c r="B1240" s="1" t="n">
        <v>45055</v>
      </c>
      <c r="C1240" s="1" t="n">
        <v>45750</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20453-2023</t>
        </is>
      </c>
      <c r="B1241" s="1" t="n">
        <v>45057</v>
      </c>
      <c r="C1241" s="1" t="n">
        <v>45750</v>
      </c>
      <c r="D1241" t="inlineStr">
        <is>
          <t>VÄSTERNORRLANDS LÄN</t>
        </is>
      </c>
      <c r="E1241" t="inlineStr">
        <is>
          <t>ÅNGE</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20627-2023</t>
        </is>
      </c>
      <c r="B1242" s="1" t="n">
        <v>45057</v>
      </c>
      <c r="C1242" s="1" t="n">
        <v>45750</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20853-2023</t>
        </is>
      </c>
      <c r="B1243" s="1" t="n">
        <v>45058</v>
      </c>
      <c r="C1243" s="1" t="n">
        <v>45750</v>
      </c>
      <c r="D1243" t="inlineStr">
        <is>
          <t>VÄSTERNORRLANDS LÄN</t>
        </is>
      </c>
      <c r="E1243" t="inlineStr">
        <is>
          <t>ÅNGE</t>
        </is>
      </c>
      <c r="F1243" t="inlineStr">
        <is>
          <t>Holmen skog AB</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20881-2023</t>
        </is>
      </c>
      <c r="B1244" s="1" t="n">
        <v>45059</v>
      </c>
      <c r="C1244" s="1" t="n">
        <v>45750</v>
      </c>
      <c r="D1244" t="inlineStr">
        <is>
          <t>VÄSTERNORRLANDS LÄN</t>
        </is>
      </c>
      <c r="E1244" t="inlineStr">
        <is>
          <t>ÅNGE</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20885-2023</t>
        </is>
      </c>
      <c r="B1245" s="1" t="n">
        <v>45058</v>
      </c>
      <c r="C1245" s="1" t="n">
        <v>45750</v>
      </c>
      <c r="D1245" t="inlineStr">
        <is>
          <t>VÄSTERNORRLANDS LÄN</t>
        </is>
      </c>
      <c r="E1245" t="inlineStr">
        <is>
          <t>ÅNGE</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20883-2023</t>
        </is>
      </c>
      <c r="B1246" s="1" t="n">
        <v>45059</v>
      </c>
      <c r="C1246" s="1" t="n">
        <v>45750</v>
      </c>
      <c r="D1246" t="inlineStr">
        <is>
          <t>VÄSTERNORRLANDS LÄN</t>
        </is>
      </c>
      <c r="E1246" t="inlineStr">
        <is>
          <t>ÅNGE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20890-2023</t>
        </is>
      </c>
      <c r="B1247" s="1" t="n">
        <v>45058</v>
      </c>
      <c r="C1247" s="1" t="n">
        <v>45750</v>
      </c>
      <c r="D1247" t="inlineStr">
        <is>
          <t>VÄSTERNORRLANDS LÄN</t>
        </is>
      </c>
      <c r="E1247" t="inlineStr">
        <is>
          <t>ÅNGE</t>
        </is>
      </c>
      <c r="F1247" t="inlineStr">
        <is>
          <t>SCA</t>
        </is>
      </c>
      <c r="G1247" t="n">
        <v>17.3</v>
      </c>
      <c r="H1247" t="n">
        <v>0</v>
      </c>
      <c r="I1247" t="n">
        <v>0</v>
      </c>
      <c r="J1247" t="n">
        <v>0</v>
      </c>
      <c r="K1247" t="n">
        <v>0</v>
      </c>
      <c r="L1247" t="n">
        <v>0</v>
      </c>
      <c r="M1247" t="n">
        <v>0</v>
      </c>
      <c r="N1247" t="n">
        <v>0</v>
      </c>
      <c r="O1247" t="n">
        <v>0</v>
      </c>
      <c r="P1247" t="n">
        <v>0</v>
      </c>
      <c r="Q1247" t="n">
        <v>0</v>
      </c>
      <c r="R1247" s="2" t="inlineStr"/>
    </row>
    <row r="1248" ht="15" customHeight="1">
      <c r="A1248" t="inlineStr">
        <is>
          <t>A 20884-2023</t>
        </is>
      </c>
      <c r="B1248" s="1" t="n">
        <v>45059</v>
      </c>
      <c r="C1248" s="1" t="n">
        <v>45750</v>
      </c>
      <c r="D1248" t="inlineStr">
        <is>
          <t>VÄSTERNORRLANDS LÄN</t>
        </is>
      </c>
      <c r="E1248" t="inlineStr">
        <is>
          <t>ÅNGE</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21354-2023</t>
        </is>
      </c>
      <c r="B1249" s="1" t="n">
        <v>45063</v>
      </c>
      <c r="C1249" s="1" t="n">
        <v>45750</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21352-2023</t>
        </is>
      </c>
      <c r="B1250" s="1" t="n">
        <v>45062</v>
      </c>
      <c r="C1250" s="1" t="n">
        <v>45750</v>
      </c>
      <c r="D1250" t="inlineStr">
        <is>
          <t>VÄSTERNORRLANDS LÄN</t>
        </is>
      </c>
      <c r="E1250" t="inlineStr">
        <is>
          <t>ÅNGE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21355-2023</t>
        </is>
      </c>
      <c r="B1251" s="1" t="n">
        <v>45063</v>
      </c>
      <c r="C1251" s="1" t="n">
        <v>45750</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21694-2023</t>
        </is>
      </c>
      <c r="B1252" s="1" t="n">
        <v>45063</v>
      </c>
      <c r="C1252" s="1" t="n">
        <v>45750</v>
      </c>
      <c r="D1252" t="inlineStr">
        <is>
          <t>VÄSTERNORRLANDS LÄN</t>
        </is>
      </c>
      <c r="E1252" t="inlineStr">
        <is>
          <t>ÅNGE</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21681-2023</t>
        </is>
      </c>
      <c r="B1253" s="1" t="n">
        <v>45064</v>
      </c>
      <c r="C1253" s="1" t="n">
        <v>45750</v>
      </c>
      <c r="D1253" t="inlineStr">
        <is>
          <t>VÄSTERNORRLANDS LÄN</t>
        </is>
      </c>
      <c r="E1253" t="inlineStr">
        <is>
          <t>ÅNGE</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21691-2023</t>
        </is>
      </c>
      <c r="B1254" s="1" t="n">
        <v>45063</v>
      </c>
      <c r="C1254" s="1" t="n">
        <v>45750</v>
      </c>
      <c r="D1254" t="inlineStr">
        <is>
          <t>VÄSTERNORRLANDS LÄN</t>
        </is>
      </c>
      <c r="E1254" t="inlineStr">
        <is>
          <t>ÅNGE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21695-2023</t>
        </is>
      </c>
      <c r="B1255" s="1" t="n">
        <v>45063</v>
      </c>
      <c r="C1255" s="1" t="n">
        <v>45750</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21668-2023</t>
        </is>
      </c>
      <c r="B1256" s="1" t="n">
        <v>45064</v>
      </c>
      <c r="C1256" s="1" t="n">
        <v>45750</v>
      </c>
      <c r="D1256" t="inlineStr">
        <is>
          <t>VÄSTERNORRLANDS LÄN</t>
        </is>
      </c>
      <c r="E1256" t="inlineStr">
        <is>
          <t>ÅNGE</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21692-2023</t>
        </is>
      </c>
      <c r="B1257" s="1" t="n">
        <v>45063</v>
      </c>
      <c r="C1257" s="1" t="n">
        <v>45750</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21680-2023</t>
        </is>
      </c>
      <c r="B1258" s="1" t="n">
        <v>45064</v>
      </c>
      <c r="C1258" s="1" t="n">
        <v>45750</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21693-2023</t>
        </is>
      </c>
      <c r="B1259" s="1" t="n">
        <v>45063</v>
      </c>
      <c r="C1259" s="1" t="n">
        <v>45750</v>
      </c>
      <c r="D1259" t="inlineStr">
        <is>
          <t>VÄSTERNORRLANDS LÄN</t>
        </is>
      </c>
      <c r="E1259" t="inlineStr">
        <is>
          <t>ÅNGE</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22005-2023</t>
        </is>
      </c>
      <c r="B1260" s="1" t="n">
        <v>45069</v>
      </c>
      <c r="C1260" s="1" t="n">
        <v>45750</v>
      </c>
      <c r="D1260" t="inlineStr">
        <is>
          <t>VÄSTERNORRLANDS LÄN</t>
        </is>
      </c>
      <c r="E1260" t="inlineStr">
        <is>
          <t>ÅNGE</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22013-2023</t>
        </is>
      </c>
      <c r="B1261" s="1" t="n">
        <v>45069</v>
      </c>
      <c r="C1261" s="1" t="n">
        <v>45750</v>
      </c>
      <c r="D1261" t="inlineStr">
        <is>
          <t>VÄSTERNORRLANDS LÄN</t>
        </is>
      </c>
      <c r="E1261" t="inlineStr">
        <is>
          <t>ÅNGE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22248-2023</t>
        </is>
      </c>
      <c r="B1262" s="1" t="n">
        <v>45070</v>
      </c>
      <c r="C1262" s="1" t="n">
        <v>45750</v>
      </c>
      <c r="D1262" t="inlineStr">
        <is>
          <t>VÄSTERNORRLANDS LÄN</t>
        </is>
      </c>
      <c r="E1262" t="inlineStr">
        <is>
          <t>ÅNGE</t>
        </is>
      </c>
      <c r="F1262" t="inlineStr">
        <is>
          <t>Sveaskog</t>
        </is>
      </c>
      <c r="G1262" t="n">
        <v>7.3</v>
      </c>
      <c r="H1262" t="n">
        <v>0</v>
      </c>
      <c r="I1262" t="n">
        <v>0</v>
      </c>
      <c r="J1262" t="n">
        <v>0</v>
      </c>
      <c r="K1262" t="n">
        <v>0</v>
      </c>
      <c r="L1262" t="n">
        <v>0</v>
      </c>
      <c r="M1262" t="n">
        <v>0</v>
      </c>
      <c r="N1262" t="n">
        <v>0</v>
      </c>
      <c r="O1262" t="n">
        <v>0</v>
      </c>
      <c r="P1262" t="n">
        <v>0</v>
      </c>
      <c r="Q1262" t="n">
        <v>0</v>
      </c>
      <c r="R1262" s="2" t="inlineStr"/>
    </row>
    <row r="1263" ht="15" customHeight="1">
      <c r="A1263" t="inlineStr">
        <is>
          <t>A 22411-2023</t>
        </is>
      </c>
      <c r="B1263" s="1" t="n">
        <v>45070</v>
      </c>
      <c r="C1263" s="1" t="n">
        <v>45750</v>
      </c>
      <c r="D1263" t="inlineStr">
        <is>
          <t>VÄSTERNORRLANDS LÄN</t>
        </is>
      </c>
      <c r="E1263" t="inlineStr">
        <is>
          <t>ÅNGE</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22740-2023</t>
        </is>
      </c>
      <c r="B1264" s="1" t="n">
        <v>45072</v>
      </c>
      <c r="C1264" s="1" t="n">
        <v>45750</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22755-2023</t>
        </is>
      </c>
      <c r="B1265" s="1" t="n">
        <v>45072</v>
      </c>
      <c r="C1265" s="1" t="n">
        <v>45750</v>
      </c>
      <c r="D1265" t="inlineStr">
        <is>
          <t>VÄSTERNORRLANDS LÄN</t>
        </is>
      </c>
      <c r="E1265" t="inlineStr">
        <is>
          <t>ÅNGE</t>
        </is>
      </c>
      <c r="F1265" t="inlineStr">
        <is>
          <t>SCA</t>
        </is>
      </c>
      <c r="G1265" t="n">
        <v>12.6</v>
      </c>
      <c r="H1265" t="n">
        <v>0</v>
      </c>
      <c r="I1265" t="n">
        <v>0</v>
      </c>
      <c r="J1265" t="n">
        <v>0</v>
      </c>
      <c r="K1265" t="n">
        <v>0</v>
      </c>
      <c r="L1265" t="n">
        <v>0</v>
      </c>
      <c r="M1265" t="n">
        <v>0</v>
      </c>
      <c r="N1265" t="n">
        <v>0</v>
      </c>
      <c r="O1265" t="n">
        <v>0</v>
      </c>
      <c r="P1265" t="n">
        <v>0</v>
      </c>
      <c r="Q1265" t="n">
        <v>0</v>
      </c>
      <c r="R1265" s="2" t="inlineStr"/>
    </row>
    <row r="1266" ht="15" customHeight="1">
      <c r="A1266" t="inlineStr">
        <is>
          <t>A 22752-2023</t>
        </is>
      </c>
      <c r="B1266" s="1" t="n">
        <v>45072</v>
      </c>
      <c r="C1266" s="1" t="n">
        <v>45750</v>
      </c>
      <c r="D1266" t="inlineStr">
        <is>
          <t>VÄSTERNORRLANDS LÄN</t>
        </is>
      </c>
      <c r="E1266" t="inlineStr">
        <is>
          <t>ÅNGE</t>
        </is>
      </c>
      <c r="F1266" t="inlineStr">
        <is>
          <t>SCA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22756-2023</t>
        </is>
      </c>
      <c r="B1267" s="1" t="n">
        <v>45072</v>
      </c>
      <c r="C1267" s="1" t="n">
        <v>45750</v>
      </c>
      <c r="D1267" t="inlineStr">
        <is>
          <t>VÄSTERNORRLANDS LÄN</t>
        </is>
      </c>
      <c r="E1267" t="inlineStr">
        <is>
          <t>ÅNGE</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22753-2023</t>
        </is>
      </c>
      <c r="B1268" s="1" t="n">
        <v>45072</v>
      </c>
      <c r="C1268" s="1" t="n">
        <v>45750</v>
      </c>
      <c r="D1268" t="inlineStr">
        <is>
          <t>VÄSTERNORRLANDS LÄN</t>
        </is>
      </c>
      <c r="E1268" t="inlineStr">
        <is>
          <t>ÅNGE</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22987-2023</t>
        </is>
      </c>
      <c r="B1269" s="1" t="n">
        <v>45072</v>
      </c>
      <c r="C1269" s="1" t="n">
        <v>45750</v>
      </c>
      <c r="D1269" t="inlineStr">
        <is>
          <t>VÄSTERNORRLANDS LÄN</t>
        </is>
      </c>
      <c r="E1269" t="inlineStr">
        <is>
          <t>ÅNGE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22997-2023</t>
        </is>
      </c>
      <c r="B1270" s="1" t="n">
        <v>45073</v>
      </c>
      <c r="C1270" s="1" t="n">
        <v>45750</v>
      </c>
      <c r="D1270" t="inlineStr">
        <is>
          <t>VÄSTERNORRLANDS LÄN</t>
        </is>
      </c>
      <c r="E1270" t="inlineStr">
        <is>
          <t>ÅNGE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23308-2023</t>
        </is>
      </c>
      <c r="B1271" s="1" t="n">
        <v>45075</v>
      </c>
      <c r="C1271" s="1" t="n">
        <v>45750</v>
      </c>
      <c r="D1271" t="inlineStr">
        <is>
          <t>VÄSTERNORRLANDS LÄN</t>
        </is>
      </c>
      <c r="E1271" t="inlineStr">
        <is>
          <t>ÅNGE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23307-2023</t>
        </is>
      </c>
      <c r="B1272" s="1" t="n">
        <v>45075</v>
      </c>
      <c r="C1272" s="1" t="n">
        <v>45750</v>
      </c>
      <c r="D1272" t="inlineStr">
        <is>
          <t>VÄSTERNORRLANDS LÄN</t>
        </is>
      </c>
      <c r="E1272" t="inlineStr">
        <is>
          <t>ÅNGE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23520-2023</t>
        </is>
      </c>
      <c r="B1273" s="1" t="n">
        <v>45077</v>
      </c>
      <c r="C1273" s="1" t="n">
        <v>45750</v>
      </c>
      <c r="D1273" t="inlineStr">
        <is>
          <t>VÄSTERNORRLANDS LÄN</t>
        </is>
      </c>
      <c r="E1273" t="inlineStr">
        <is>
          <t>ÅNGE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23671-2023</t>
        </is>
      </c>
      <c r="B1274" s="1" t="n">
        <v>45077</v>
      </c>
      <c r="C1274" s="1" t="n">
        <v>45750</v>
      </c>
      <c r="D1274" t="inlineStr">
        <is>
          <t>VÄSTERNORRLANDS LÄN</t>
        </is>
      </c>
      <c r="E1274" t="inlineStr">
        <is>
          <t>ÅNGE</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23746-2023</t>
        </is>
      </c>
      <c r="B1275" s="1" t="n">
        <v>45077</v>
      </c>
      <c r="C1275" s="1" t="n">
        <v>45750</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24037-2023</t>
        </is>
      </c>
      <c r="B1276" s="1" t="n">
        <v>45078</v>
      </c>
      <c r="C1276" s="1" t="n">
        <v>45750</v>
      </c>
      <c r="D1276" t="inlineStr">
        <is>
          <t>VÄSTERNORRLANDS LÄN</t>
        </is>
      </c>
      <c r="E1276" t="inlineStr">
        <is>
          <t>ÅNGE</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24058-2023</t>
        </is>
      </c>
      <c r="B1277" s="1" t="n">
        <v>45079</v>
      </c>
      <c r="C1277" s="1" t="n">
        <v>45750</v>
      </c>
      <c r="D1277" t="inlineStr">
        <is>
          <t>VÄSTERNORRLANDS LÄN</t>
        </is>
      </c>
      <c r="E1277" t="inlineStr">
        <is>
          <t>ÅNGE</t>
        </is>
      </c>
      <c r="F1277" t="inlineStr">
        <is>
          <t>SCA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24060-2023</t>
        </is>
      </c>
      <c r="B1278" s="1" t="n">
        <v>45079</v>
      </c>
      <c r="C1278" s="1" t="n">
        <v>45750</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24061-2023</t>
        </is>
      </c>
      <c r="B1279" s="1" t="n">
        <v>45079</v>
      </c>
      <c r="C1279" s="1" t="n">
        <v>45750</v>
      </c>
      <c r="D1279" t="inlineStr">
        <is>
          <t>VÄSTERNORRLANDS LÄN</t>
        </is>
      </c>
      <c r="E1279" t="inlineStr">
        <is>
          <t>ÅNGE</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24059-2023</t>
        </is>
      </c>
      <c r="B1280" s="1" t="n">
        <v>45079</v>
      </c>
      <c r="C1280" s="1" t="n">
        <v>45750</v>
      </c>
      <c r="D1280" t="inlineStr">
        <is>
          <t>VÄSTERNORRLANDS LÄN</t>
        </is>
      </c>
      <c r="E1280" t="inlineStr">
        <is>
          <t>ÅNGE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24063-2023</t>
        </is>
      </c>
      <c r="B1281" s="1" t="n">
        <v>45079</v>
      </c>
      <c r="C1281" s="1" t="n">
        <v>45750</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24062-2023</t>
        </is>
      </c>
      <c r="B1282" s="1" t="n">
        <v>45079</v>
      </c>
      <c r="C1282" s="1" t="n">
        <v>45750</v>
      </c>
      <c r="D1282" t="inlineStr">
        <is>
          <t>VÄSTERNORRLANDS LÄN</t>
        </is>
      </c>
      <c r="E1282" t="inlineStr">
        <is>
          <t>ÅNGE</t>
        </is>
      </c>
      <c r="F1282" t="inlineStr">
        <is>
          <t>SCA</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24066-2023</t>
        </is>
      </c>
      <c r="B1283" s="1" t="n">
        <v>45078</v>
      </c>
      <c r="C1283" s="1" t="n">
        <v>45750</v>
      </c>
      <c r="D1283" t="inlineStr">
        <is>
          <t>VÄSTERNORRLANDS LÄN</t>
        </is>
      </c>
      <c r="E1283" t="inlineStr">
        <is>
          <t>ÅNGE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24064-2023</t>
        </is>
      </c>
      <c r="B1284" s="1" t="n">
        <v>45078</v>
      </c>
      <c r="C1284" s="1" t="n">
        <v>45750</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24068-2023</t>
        </is>
      </c>
      <c r="B1285" s="1" t="n">
        <v>45078</v>
      </c>
      <c r="C1285" s="1" t="n">
        <v>45750</v>
      </c>
      <c r="D1285" t="inlineStr">
        <is>
          <t>VÄSTERNORRLANDS LÄN</t>
        </is>
      </c>
      <c r="E1285" t="inlineStr">
        <is>
          <t>ÅNGE</t>
        </is>
      </c>
      <c r="G1285" t="n">
        <v>10.4</v>
      </c>
      <c r="H1285" t="n">
        <v>0</v>
      </c>
      <c r="I1285" t="n">
        <v>0</v>
      </c>
      <c r="J1285" t="n">
        <v>0</v>
      </c>
      <c r="K1285" t="n">
        <v>0</v>
      </c>
      <c r="L1285" t="n">
        <v>0</v>
      </c>
      <c r="M1285" t="n">
        <v>0</v>
      </c>
      <c r="N1285" t="n">
        <v>0</v>
      </c>
      <c r="O1285" t="n">
        <v>0</v>
      </c>
      <c r="P1285" t="n">
        <v>0</v>
      </c>
      <c r="Q1285" t="n">
        <v>0</v>
      </c>
      <c r="R1285" s="2" t="inlineStr"/>
    </row>
    <row r="1286" ht="15" customHeight="1">
      <c r="A1286" t="inlineStr">
        <is>
          <t>A 24995-2023</t>
        </is>
      </c>
      <c r="B1286" s="1" t="n">
        <v>45078</v>
      </c>
      <c r="C1286" s="1" t="n">
        <v>45750</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24971-2023</t>
        </is>
      </c>
      <c r="B1287" s="1" t="n">
        <v>45078</v>
      </c>
      <c r="C1287" s="1" t="n">
        <v>45750</v>
      </c>
      <c r="D1287" t="inlineStr">
        <is>
          <t>VÄSTERNORRLANDS LÄN</t>
        </is>
      </c>
      <c r="E1287" t="inlineStr">
        <is>
          <t>ÅNGE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24290-2023</t>
        </is>
      </c>
      <c r="B1288" s="1" t="n">
        <v>45080</v>
      </c>
      <c r="C1288" s="1" t="n">
        <v>45750</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24293-2023</t>
        </is>
      </c>
      <c r="B1289" s="1" t="n">
        <v>45080</v>
      </c>
      <c r="C1289" s="1" t="n">
        <v>45750</v>
      </c>
      <c r="D1289" t="inlineStr">
        <is>
          <t>VÄSTERNORRLANDS LÄN</t>
        </is>
      </c>
      <c r="E1289" t="inlineStr">
        <is>
          <t>ÅNGE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25266-2023</t>
        </is>
      </c>
      <c r="B1290" s="1" t="n">
        <v>45079</v>
      </c>
      <c r="C1290" s="1" t="n">
        <v>45750</v>
      </c>
      <c r="D1290" t="inlineStr">
        <is>
          <t>VÄSTERNORRLANDS LÄN</t>
        </is>
      </c>
      <c r="E1290" t="inlineStr">
        <is>
          <t>ÅNGE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24552-2023</t>
        </is>
      </c>
      <c r="B1291" s="1" t="n">
        <v>45083</v>
      </c>
      <c r="C1291" s="1" t="n">
        <v>45750</v>
      </c>
      <c r="D1291" t="inlineStr">
        <is>
          <t>VÄSTERNORRLANDS LÄN</t>
        </is>
      </c>
      <c r="E1291" t="inlineStr">
        <is>
          <t>ÅNGE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24554-2023</t>
        </is>
      </c>
      <c r="B1292" s="1" t="n">
        <v>45083</v>
      </c>
      <c r="C1292" s="1" t="n">
        <v>45750</v>
      </c>
      <c r="D1292" t="inlineStr">
        <is>
          <t>VÄSTERNORRLANDS LÄN</t>
        </is>
      </c>
      <c r="E1292" t="inlineStr">
        <is>
          <t>ÅNGE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24541-2023</t>
        </is>
      </c>
      <c r="B1293" s="1" t="n">
        <v>45083</v>
      </c>
      <c r="C1293" s="1" t="n">
        <v>45750</v>
      </c>
      <c r="D1293" t="inlineStr">
        <is>
          <t>VÄSTERNORRLANDS LÄN</t>
        </is>
      </c>
      <c r="E1293" t="inlineStr">
        <is>
          <t>ÅNGE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24553-2023</t>
        </is>
      </c>
      <c r="B1294" s="1" t="n">
        <v>45083</v>
      </c>
      <c r="C1294" s="1" t="n">
        <v>45750</v>
      </c>
      <c r="D1294" t="inlineStr">
        <is>
          <t>VÄSTERNORRLANDS LÄN</t>
        </is>
      </c>
      <c r="E1294" t="inlineStr">
        <is>
          <t>ÅNGE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24614-2023</t>
        </is>
      </c>
      <c r="B1295" s="1" t="n">
        <v>45084</v>
      </c>
      <c r="C1295" s="1" t="n">
        <v>45750</v>
      </c>
      <c r="D1295" t="inlineStr">
        <is>
          <t>VÄSTERNORRLANDS LÄN</t>
        </is>
      </c>
      <c r="E1295" t="inlineStr">
        <is>
          <t>ÅNGE</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24817-2023</t>
        </is>
      </c>
      <c r="B1296" s="1" t="n">
        <v>45084</v>
      </c>
      <c r="C1296" s="1" t="n">
        <v>45750</v>
      </c>
      <c r="D1296" t="inlineStr">
        <is>
          <t>VÄSTERNORRLANDS LÄN</t>
        </is>
      </c>
      <c r="E1296" t="inlineStr">
        <is>
          <t>ÅNGE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24904-2023</t>
        </is>
      </c>
      <c r="B1297" s="1" t="n">
        <v>45085</v>
      </c>
      <c r="C1297" s="1" t="n">
        <v>45750</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25035-2023</t>
        </is>
      </c>
      <c r="B1298" s="1" t="n">
        <v>45085</v>
      </c>
      <c r="C1298" s="1" t="n">
        <v>45750</v>
      </c>
      <c r="D1298" t="inlineStr">
        <is>
          <t>VÄSTERNORRLANDS LÄN</t>
        </is>
      </c>
      <c r="E1298" t="inlineStr">
        <is>
          <t>ÅNGE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25047-2023</t>
        </is>
      </c>
      <c r="B1299" s="1" t="n">
        <v>45086</v>
      </c>
      <c r="C1299" s="1" t="n">
        <v>45750</v>
      </c>
      <c r="D1299" t="inlineStr">
        <is>
          <t>VÄSTERNORRLANDS LÄN</t>
        </is>
      </c>
      <c r="E1299" t="inlineStr">
        <is>
          <t>ÅNGE</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25063-2023</t>
        </is>
      </c>
      <c r="B1300" s="1" t="n">
        <v>45086</v>
      </c>
      <c r="C1300" s="1" t="n">
        <v>45750</v>
      </c>
      <c r="D1300" t="inlineStr">
        <is>
          <t>VÄSTERNORRLANDS LÄN</t>
        </is>
      </c>
      <c r="E1300" t="inlineStr">
        <is>
          <t>ÅNGE</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25034-2023</t>
        </is>
      </c>
      <c r="B1301" s="1" t="n">
        <v>45085</v>
      </c>
      <c r="C1301" s="1" t="n">
        <v>45750</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25311-2023</t>
        </is>
      </c>
      <c r="B1302" s="1" t="n">
        <v>45087</v>
      </c>
      <c r="C1302" s="1" t="n">
        <v>45750</v>
      </c>
      <c r="D1302" t="inlineStr">
        <is>
          <t>VÄSTERNORRLANDS LÄN</t>
        </is>
      </c>
      <c r="E1302" t="inlineStr">
        <is>
          <t>ÅNGE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25320-2023</t>
        </is>
      </c>
      <c r="B1303" s="1" t="n">
        <v>45087</v>
      </c>
      <c r="C1303" s="1" t="n">
        <v>45750</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25324-2023</t>
        </is>
      </c>
      <c r="B1304" s="1" t="n">
        <v>45087</v>
      </c>
      <c r="C1304" s="1" t="n">
        <v>45750</v>
      </c>
      <c r="D1304" t="inlineStr">
        <is>
          <t>VÄSTERNORRLANDS LÄN</t>
        </is>
      </c>
      <c r="E1304" t="inlineStr">
        <is>
          <t>ÅNGE</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25312-2023</t>
        </is>
      </c>
      <c r="B1305" s="1" t="n">
        <v>45087</v>
      </c>
      <c r="C1305" s="1" t="n">
        <v>45750</v>
      </c>
      <c r="D1305" t="inlineStr">
        <is>
          <t>VÄSTERNORRLANDS LÄN</t>
        </is>
      </c>
      <c r="E1305" t="inlineStr">
        <is>
          <t>ÅNGE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25321-2023</t>
        </is>
      </c>
      <c r="B1306" s="1" t="n">
        <v>45087</v>
      </c>
      <c r="C1306" s="1" t="n">
        <v>45750</v>
      </c>
      <c r="D1306" t="inlineStr">
        <is>
          <t>VÄSTERNORRLANDS LÄN</t>
        </is>
      </c>
      <c r="E1306" t="inlineStr">
        <is>
          <t>ÅNGE</t>
        </is>
      </c>
      <c r="F1306" t="inlineStr">
        <is>
          <t>SCA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25325-2023</t>
        </is>
      </c>
      <c r="B1307" s="1" t="n">
        <v>45087</v>
      </c>
      <c r="C1307" s="1" t="n">
        <v>45750</v>
      </c>
      <c r="D1307" t="inlineStr">
        <is>
          <t>VÄSTERNORRLANDS LÄN</t>
        </is>
      </c>
      <c r="E1307" t="inlineStr">
        <is>
          <t>ÅNGE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25680-2023</t>
        </is>
      </c>
      <c r="B1308" s="1" t="n">
        <v>45089</v>
      </c>
      <c r="C1308" s="1" t="n">
        <v>45750</v>
      </c>
      <c r="D1308" t="inlineStr">
        <is>
          <t>VÄSTERNORRLANDS LÄN</t>
        </is>
      </c>
      <c r="E1308" t="inlineStr">
        <is>
          <t>ÅNGE</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25779-2023</t>
        </is>
      </c>
      <c r="B1309" s="1" t="n">
        <v>45090</v>
      </c>
      <c r="C1309" s="1" t="n">
        <v>45750</v>
      </c>
      <c r="D1309" t="inlineStr">
        <is>
          <t>VÄSTERNORRLANDS LÄN</t>
        </is>
      </c>
      <c r="E1309" t="inlineStr">
        <is>
          <t>ÅNGE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25771-2023</t>
        </is>
      </c>
      <c r="B1310" s="1" t="n">
        <v>45090</v>
      </c>
      <c r="C1310" s="1" t="n">
        <v>45750</v>
      </c>
      <c r="D1310" t="inlineStr">
        <is>
          <t>VÄSTERNORRLANDS LÄN</t>
        </is>
      </c>
      <c r="E1310" t="inlineStr">
        <is>
          <t>ÅNGE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26014-2023</t>
        </is>
      </c>
      <c r="B1311" s="1" t="n">
        <v>45091</v>
      </c>
      <c r="C1311" s="1" t="n">
        <v>45750</v>
      </c>
      <c r="D1311" t="inlineStr">
        <is>
          <t>VÄSTERNORRLANDS LÄN</t>
        </is>
      </c>
      <c r="E1311" t="inlineStr">
        <is>
          <t>ÅNGE</t>
        </is>
      </c>
      <c r="F1311" t="inlineStr">
        <is>
          <t>SCA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26371-2023</t>
        </is>
      </c>
      <c r="B1312" s="1" t="n">
        <v>45092</v>
      </c>
      <c r="C1312" s="1" t="n">
        <v>45750</v>
      </c>
      <c r="D1312" t="inlineStr">
        <is>
          <t>VÄSTERNORRLANDS LÄN</t>
        </is>
      </c>
      <c r="E1312" t="inlineStr">
        <is>
          <t>ÅNGE</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26365-2023</t>
        </is>
      </c>
      <c r="B1313" s="1" t="n">
        <v>45092</v>
      </c>
      <c r="C1313" s="1" t="n">
        <v>45750</v>
      </c>
      <c r="D1313" t="inlineStr">
        <is>
          <t>VÄSTERNORRLANDS LÄN</t>
        </is>
      </c>
      <c r="E1313" t="inlineStr">
        <is>
          <t>ÅNGE</t>
        </is>
      </c>
      <c r="F1313" t="inlineStr">
        <is>
          <t>SCA</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26364-2023</t>
        </is>
      </c>
      <c r="B1314" s="1" t="n">
        <v>45092</v>
      </c>
      <c r="C1314" s="1" t="n">
        <v>45750</v>
      </c>
      <c r="D1314" t="inlineStr">
        <is>
          <t>VÄSTERNORRLANDS LÄN</t>
        </is>
      </c>
      <c r="E1314" t="inlineStr">
        <is>
          <t>ÅNGE</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26360-2023</t>
        </is>
      </c>
      <c r="B1315" s="1" t="n">
        <v>45092</v>
      </c>
      <c r="C1315" s="1" t="n">
        <v>45750</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26513-2023</t>
        </is>
      </c>
      <c r="B1316" s="1" t="n">
        <v>45092</v>
      </c>
      <c r="C1316" s="1" t="n">
        <v>45750</v>
      </c>
      <c r="D1316" t="inlineStr">
        <is>
          <t>VÄSTERNORRLANDS LÄN</t>
        </is>
      </c>
      <c r="E1316" t="inlineStr">
        <is>
          <t>ÅNGE</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27260-2023</t>
        </is>
      </c>
      <c r="B1317" s="1" t="n">
        <v>45092</v>
      </c>
      <c r="C1317" s="1" t="n">
        <v>45750</v>
      </c>
      <c r="D1317" t="inlineStr">
        <is>
          <t>VÄSTERNORRLANDS LÄN</t>
        </is>
      </c>
      <c r="E1317" t="inlineStr">
        <is>
          <t>ÅNGE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26898-2023</t>
        </is>
      </c>
      <c r="B1318" s="1" t="n">
        <v>45093</v>
      </c>
      <c r="C1318" s="1" t="n">
        <v>45750</v>
      </c>
      <c r="D1318" t="inlineStr">
        <is>
          <t>VÄSTERNORRLANDS LÄN</t>
        </is>
      </c>
      <c r="E1318" t="inlineStr">
        <is>
          <t>ÅNGE</t>
        </is>
      </c>
      <c r="F1318" t="inlineStr">
        <is>
          <t>Holmen skog AB</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26865-2023</t>
        </is>
      </c>
      <c r="B1319" s="1" t="n">
        <v>45093</v>
      </c>
      <c r="C1319" s="1" t="n">
        <v>45750</v>
      </c>
      <c r="D1319" t="inlineStr">
        <is>
          <t>VÄSTERNORRLANDS LÄN</t>
        </is>
      </c>
      <c r="E1319" t="inlineStr">
        <is>
          <t>ÅNGE</t>
        </is>
      </c>
      <c r="F1319" t="inlineStr">
        <is>
          <t>Holmen skog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27002-2023</t>
        </is>
      </c>
      <c r="B1320" s="1" t="n">
        <v>45093</v>
      </c>
      <c r="C1320" s="1" t="n">
        <v>45750</v>
      </c>
      <c r="D1320" t="inlineStr">
        <is>
          <t>VÄSTERNORRLANDS LÄN</t>
        </is>
      </c>
      <c r="E1320" t="inlineStr">
        <is>
          <t>ÅNGE</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27016-2023</t>
        </is>
      </c>
      <c r="B1321" s="1" t="n">
        <v>45094</v>
      </c>
      <c r="C1321" s="1" t="n">
        <v>45750</v>
      </c>
      <c r="D1321" t="inlineStr">
        <is>
          <t>VÄSTERNORRLANDS LÄN</t>
        </is>
      </c>
      <c r="E1321" t="inlineStr">
        <is>
          <t>ÅNGE</t>
        </is>
      </c>
      <c r="F1321" t="inlineStr">
        <is>
          <t>Holmen skog AB</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27356-2023</t>
        </is>
      </c>
      <c r="B1322" s="1" t="n">
        <v>45097</v>
      </c>
      <c r="C1322" s="1" t="n">
        <v>45750</v>
      </c>
      <c r="D1322" t="inlineStr">
        <is>
          <t>VÄSTERNORRLANDS LÄN</t>
        </is>
      </c>
      <c r="E1322" t="inlineStr">
        <is>
          <t>ÅNGE</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27645-2023</t>
        </is>
      </c>
      <c r="B1323" s="1" t="n">
        <v>45097</v>
      </c>
      <c r="C1323" s="1" t="n">
        <v>45750</v>
      </c>
      <c r="D1323" t="inlineStr">
        <is>
          <t>VÄSTERNORRLANDS LÄN</t>
        </is>
      </c>
      <c r="E1323" t="inlineStr">
        <is>
          <t>ÅNGE</t>
        </is>
      </c>
      <c r="F1323" t="inlineStr">
        <is>
          <t>Holmen skog AB</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27682-2023</t>
        </is>
      </c>
      <c r="B1324" s="1" t="n">
        <v>45098</v>
      </c>
      <c r="C1324" s="1" t="n">
        <v>45750</v>
      </c>
      <c r="D1324" t="inlineStr">
        <is>
          <t>VÄSTERNORRLANDS LÄN</t>
        </is>
      </c>
      <c r="E1324" t="inlineStr">
        <is>
          <t>ÅNGE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28367-2023</t>
        </is>
      </c>
      <c r="B1325" s="1" t="n">
        <v>45099</v>
      </c>
      <c r="C1325" s="1" t="n">
        <v>45750</v>
      </c>
      <c r="D1325" t="inlineStr">
        <is>
          <t>VÄSTERNORRLANDS LÄN</t>
        </is>
      </c>
      <c r="E1325" t="inlineStr">
        <is>
          <t>ÅNGE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30273-2023</t>
        </is>
      </c>
      <c r="B1326" s="1" t="n">
        <v>45099</v>
      </c>
      <c r="C1326" s="1" t="n">
        <v>45750</v>
      </c>
      <c r="D1326" t="inlineStr">
        <is>
          <t>VÄSTERNORRLANDS LÄN</t>
        </is>
      </c>
      <c r="E1326" t="inlineStr">
        <is>
          <t>ÅNGE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28427-2023</t>
        </is>
      </c>
      <c r="B1327" s="1" t="n">
        <v>45102</v>
      </c>
      <c r="C1327" s="1" t="n">
        <v>45750</v>
      </c>
      <c r="D1327" t="inlineStr">
        <is>
          <t>VÄSTERNORRLANDS LÄN</t>
        </is>
      </c>
      <c r="E1327" t="inlineStr">
        <is>
          <t>ÅNGE</t>
        </is>
      </c>
      <c r="F1327" t="inlineStr">
        <is>
          <t>Kyrkan</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28435-2023</t>
        </is>
      </c>
      <c r="B1328" s="1" t="n">
        <v>45102</v>
      </c>
      <c r="C1328" s="1" t="n">
        <v>45750</v>
      </c>
      <c r="D1328" t="inlineStr">
        <is>
          <t>VÄSTERNORRLANDS LÄN</t>
        </is>
      </c>
      <c r="E1328" t="inlineStr">
        <is>
          <t>ÅNGE</t>
        </is>
      </c>
      <c r="F1328" t="inlineStr">
        <is>
          <t>Kyrkan</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28428-2023</t>
        </is>
      </c>
      <c r="B1329" s="1" t="n">
        <v>45102</v>
      </c>
      <c r="C1329" s="1" t="n">
        <v>45750</v>
      </c>
      <c r="D1329" t="inlineStr">
        <is>
          <t>VÄSTERNORRLANDS LÄN</t>
        </is>
      </c>
      <c r="E1329" t="inlineStr">
        <is>
          <t>ÅNGE</t>
        </is>
      </c>
      <c r="F1329" t="inlineStr">
        <is>
          <t>Kyrkan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28699-2023</t>
        </is>
      </c>
      <c r="B1330" s="1" t="n">
        <v>45103</v>
      </c>
      <c r="C1330" s="1" t="n">
        <v>45750</v>
      </c>
      <c r="D1330" t="inlineStr">
        <is>
          <t>VÄSTERNORRLANDS LÄN</t>
        </is>
      </c>
      <c r="E1330" t="inlineStr">
        <is>
          <t>ÅNGE</t>
        </is>
      </c>
      <c r="F1330" t="inlineStr">
        <is>
          <t>Holmen skog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28707-2023</t>
        </is>
      </c>
      <c r="B1331" s="1" t="n">
        <v>45103</v>
      </c>
      <c r="C1331" s="1" t="n">
        <v>45750</v>
      </c>
      <c r="D1331" t="inlineStr">
        <is>
          <t>VÄSTERNORRLANDS LÄN</t>
        </is>
      </c>
      <c r="E1331" t="inlineStr">
        <is>
          <t>ÅNGE</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28784-2023</t>
        </is>
      </c>
      <c r="B1332" s="1" t="n">
        <v>45104</v>
      </c>
      <c r="C1332" s="1" t="n">
        <v>45750</v>
      </c>
      <c r="D1332" t="inlineStr">
        <is>
          <t>VÄSTERNORRLANDS LÄN</t>
        </is>
      </c>
      <c r="E1332" t="inlineStr">
        <is>
          <t>ÅNGE</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28779-2023</t>
        </is>
      </c>
      <c r="B1333" s="1" t="n">
        <v>45104</v>
      </c>
      <c r="C1333" s="1" t="n">
        <v>45750</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28821-2023</t>
        </is>
      </c>
      <c r="B1334" s="1" t="n">
        <v>45104</v>
      </c>
      <c r="C1334" s="1" t="n">
        <v>45750</v>
      </c>
      <c r="D1334" t="inlineStr">
        <is>
          <t>VÄSTERNORRLANDS LÄN</t>
        </is>
      </c>
      <c r="E1334" t="inlineStr">
        <is>
          <t>ÅNGE</t>
        </is>
      </c>
      <c r="F1334" t="inlineStr">
        <is>
          <t>Holmen skog AB</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29063-2023</t>
        </is>
      </c>
      <c r="B1335" s="1" t="n">
        <v>45105</v>
      </c>
      <c r="C1335" s="1" t="n">
        <v>45750</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29321-2023</t>
        </is>
      </c>
      <c r="B1336" s="1" t="n">
        <v>45106</v>
      </c>
      <c r="C1336" s="1" t="n">
        <v>45750</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29330-2023</t>
        </is>
      </c>
      <c r="B1337" s="1" t="n">
        <v>45105</v>
      </c>
      <c r="C1337" s="1" t="n">
        <v>45750</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29342-2023</t>
        </is>
      </c>
      <c r="B1338" s="1" t="n">
        <v>45105</v>
      </c>
      <c r="C1338" s="1" t="n">
        <v>45750</v>
      </c>
      <c r="D1338" t="inlineStr">
        <is>
          <t>VÄSTERNORRLANDS LÄN</t>
        </is>
      </c>
      <c r="E1338" t="inlineStr">
        <is>
          <t>ÅNGE</t>
        </is>
      </c>
      <c r="F1338" t="inlineStr">
        <is>
          <t>SCA</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29320-2023</t>
        </is>
      </c>
      <c r="B1339" s="1" t="n">
        <v>45106</v>
      </c>
      <c r="C1339" s="1" t="n">
        <v>45750</v>
      </c>
      <c r="D1339" t="inlineStr">
        <is>
          <t>VÄSTERNORRLANDS LÄN</t>
        </is>
      </c>
      <c r="E1339" t="inlineStr">
        <is>
          <t>ÅNGE</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29331-2023</t>
        </is>
      </c>
      <c r="B1340" s="1" t="n">
        <v>45105</v>
      </c>
      <c r="C1340" s="1" t="n">
        <v>45750</v>
      </c>
      <c r="D1340" t="inlineStr">
        <is>
          <t>VÄSTERNORRLANDS LÄN</t>
        </is>
      </c>
      <c r="E1340" t="inlineStr">
        <is>
          <t>ÅNGE</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29395-2023</t>
        </is>
      </c>
      <c r="B1341" s="1" t="n">
        <v>45106</v>
      </c>
      <c r="C1341" s="1" t="n">
        <v>45750</v>
      </c>
      <c r="D1341" t="inlineStr">
        <is>
          <t>VÄSTERNORRLANDS LÄN</t>
        </is>
      </c>
      <c r="E1341" t="inlineStr">
        <is>
          <t>ÅNGE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29610-2023</t>
        </is>
      </c>
      <c r="B1342" s="1" t="n">
        <v>45106</v>
      </c>
      <c r="C1342" s="1" t="n">
        <v>45750</v>
      </c>
      <c r="D1342" t="inlineStr">
        <is>
          <t>VÄSTERNORRLANDS LÄN</t>
        </is>
      </c>
      <c r="E1342" t="inlineStr">
        <is>
          <t>ÅNGE</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29618-2023</t>
        </is>
      </c>
      <c r="B1343" s="1" t="n">
        <v>45107</v>
      </c>
      <c r="C1343" s="1" t="n">
        <v>45750</v>
      </c>
      <c r="D1343" t="inlineStr">
        <is>
          <t>VÄSTERNORRLANDS LÄN</t>
        </is>
      </c>
      <c r="E1343" t="inlineStr">
        <is>
          <t>ÅNGE</t>
        </is>
      </c>
      <c r="F1343" t="inlineStr">
        <is>
          <t>SCA</t>
        </is>
      </c>
      <c r="G1343" t="n">
        <v>26.8</v>
      </c>
      <c r="H1343" t="n">
        <v>0</v>
      </c>
      <c r="I1343" t="n">
        <v>0</v>
      </c>
      <c r="J1343" t="n">
        <v>0</v>
      </c>
      <c r="K1343" t="n">
        <v>0</v>
      </c>
      <c r="L1343" t="n">
        <v>0</v>
      </c>
      <c r="M1343" t="n">
        <v>0</v>
      </c>
      <c r="N1343" t="n">
        <v>0</v>
      </c>
      <c r="O1343" t="n">
        <v>0</v>
      </c>
      <c r="P1343" t="n">
        <v>0</v>
      </c>
      <c r="Q1343" t="n">
        <v>0</v>
      </c>
      <c r="R1343" s="2" t="inlineStr"/>
    </row>
    <row r="1344" ht="15" customHeight="1">
      <c r="A1344" t="inlineStr">
        <is>
          <t>A 29609-2023</t>
        </is>
      </c>
      <c r="B1344" s="1" t="n">
        <v>45107</v>
      </c>
      <c r="C1344" s="1" t="n">
        <v>45750</v>
      </c>
      <c r="D1344" t="inlineStr">
        <is>
          <t>VÄSTERNORRLANDS LÄN</t>
        </is>
      </c>
      <c r="E1344" t="inlineStr">
        <is>
          <t>ÅNGE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29945-2023</t>
        </is>
      </c>
      <c r="B1345" s="1" t="n">
        <v>45108</v>
      </c>
      <c r="C1345" s="1" t="n">
        <v>45750</v>
      </c>
      <c r="D1345" t="inlineStr">
        <is>
          <t>VÄSTERNORRLANDS LÄN</t>
        </is>
      </c>
      <c r="E1345" t="inlineStr">
        <is>
          <t>ÅNGE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32069-2023</t>
        </is>
      </c>
      <c r="B1346" s="1" t="n">
        <v>45107</v>
      </c>
      <c r="C1346" s="1" t="n">
        <v>45750</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30304-2023</t>
        </is>
      </c>
      <c r="B1347" s="1" t="n">
        <v>45111</v>
      </c>
      <c r="C1347" s="1" t="n">
        <v>45750</v>
      </c>
      <c r="D1347" t="inlineStr">
        <is>
          <t>VÄSTERNORRLANDS LÄN</t>
        </is>
      </c>
      <c r="E1347" t="inlineStr">
        <is>
          <t>ÅNGE</t>
        </is>
      </c>
      <c r="F1347" t="inlineStr">
        <is>
          <t>SCA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30303-2023</t>
        </is>
      </c>
      <c r="B1348" s="1" t="n">
        <v>45111</v>
      </c>
      <c r="C1348" s="1" t="n">
        <v>45750</v>
      </c>
      <c r="D1348" t="inlineStr">
        <is>
          <t>VÄSTERNORRLANDS LÄN</t>
        </is>
      </c>
      <c r="E1348" t="inlineStr">
        <is>
          <t>ÅNGE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30556-2023</t>
        </is>
      </c>
      <c r="B1349" s="1" t="n">
        <v>45111</v>
      </c>
      <c r="C1349" s="1" t="n">
        <v>45750</v>
      </c>
      <c r="D1349" t="inlineStr">
        <is>
          <t>VÄSTERNORRLANDS LÄN</t>
        </is>
      </c>
      <c r="E1349" t="inlineStr">
        <is>
          <t>ÅNGE</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30558-2023</t>
        </is>
      </c>
      <c r="B1350" s="1" t="n">
        <v>45111</v>
      </c>
      <c r="C1350" s="1" t="n">
        <v>45750</v>
      </c>
      <c r="D1350" t="inlineStr">
        <is>
          <t>VÄSTERNORRLANDS LÄN</t>
        </is>
      </c>
      <c r="E1350" t="inlineStr">
        <is>
          <t>ÅNGE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30817-2023</t>
        </is>
      </c>
      <c r="B1351" s="1" t="n">
        <v>45112</v>
      </c>
      <c r="C1351" s="1" t="n">
        <v>45750</v>
      </c>
      <c r="D1351" t="inlineStr">
        <is>
          <t>VÄSTERNORRLANDS LÄN</t>
        </is>
      </c>
      <c r="E1351" t="inlineStr">
        <is>
          <t>ÅNGE</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30853-2023</t>
        </is>
      </c>
      <c r="B1352" s="1" t="n">
        <v>45113</v>
      </c>
      <c r="C1352" s="1" t="n">
        <v>45750</v>
      </c>
      <c r="D1352" t="inlineStr">
        <is>
          <t>VÄSTERNORRLANDS LÄN</t>
        </is>
      </c>
      <c r="E1352" t="inlineStr">
        <is>
          <t>ÅNGE</t>
        </is>
      </c>
      <c r="F1352" t="inlineStr">
        <is>
          <t>SCA</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30844-2023</t>
        </is>
      </c>
      <c r="B1353" s="1" t="n">
        <v>45112</v>
      </c>
      <c r="C1353" s="1" t="n">
        <v>45750</v>
      </c>
      <c r="D1353" t="inlineStr">
        <is>
          <t>VÄSTERNORRLANDS LÄN</t>
        </is>
      </c>
      <c r="E1353" t="inlineStr">
        <is>
          <t>ÅNGE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30852-2023</t>
        </is>
      </c>
      <c r="B1354" s="1" t="n">
        <v>45113</v>
      </c>
      <c r="C1354" s="1" t="n">
        <v>45750</v>
      </c>
      <c r="D1354" t="inlineStr">
        <is>
          <t>VÄSTERNORRLANDS LÄN</t>
        </is>
      </c>
      <c r="E1354" t="inlineStr">
        <is>
          <t>ÅNGE</t>
        </is>
      </c>
      <c r="F1354" t="inlineStr">
        <is>
          <t>SCA</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31224-2023</t>
        </is>
      </c>
      <c r="B1355" s="1" t="n">
        <v>45114</v>
      </c>
      <c r="C1355" s="1" t="n">
        <v>45750</v>
      </c>
      <c r="D1355" t="inlineStr">
        <is>
          <t>VÄSTERNORRLANDS LÄN</t>
        </is>
      </c>
      <c r="E1355" t="inlineStr">
        <is>
          <t>ÅNGE</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31225-2023</t>
        </is>
      </c>
      <c r="B1356" s="1" t="n">
        <v>45114</v>
      </c>
      <c r="C1356" s="1" t="n">
        <v>45750</v>
      </c>
      <c r="D1356" t="inlineStr">
        <is>
          <t>VÄSTERNORRLANDS LÄN</t>
        </is>
      </c>
      <c r="E1356" t="inlineStr">
        <is>
          <t>ÅNGE</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31229-2023</t>
        </is>
      </c>
      <c r="B1357" s="1" t="n">
        <v>45114</v>
      </c>
      <c r="C1357" s="1" t="n">
        <v>45750</v>
      </c>
      <c r="D1357" t="inlineStr">
        <is>
          <t>VÄSTERNORRLANDS LÄN</t>
        </is>
      </c>
      <c r="E1357" t="inlineStr">
        <is>
          <t>ÅNGE</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31740-2023</t>
        </is>
      </c>
      <c r="B1358" s="1" t="n">
        <v>45118</v>
      </c>
      <c r="C1358" s="1" t="n">
        <v>45750</v>
      </c>
      <c r="D1358" t="inlineStr">
        <is>
          <t>VÄSTERNORRLANDS LÄN</t>
        </is>
      </c>
      <c r="E1358" t="inlineStr">
        <is>
          <t>ÅNGE</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31735-2023</t>
        </is>
      </c>
      <c r="B1359" s="1" t="n">
        <v>45117</v>
      </c>
      <c r="C1359" s="1" t="n">
        <v>45750</v>
      </c>
      <c r="D1359" t="inlineStr">
        <is>
          <t>VÄSTERNORRLANDS LÄN</t>
        </is>
      </c>
      <c r="E1359" t="inlineStr">
        <is>
          <t>ÅNGE</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32227-2023</t>
        </is>
      </c>
      <c r="B1360" s="1" t="n">
        <v>45120</v>
      </c>
      <c r="C1360" s="1" t="n">
        <v>45750</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32587-2023</t>
        </is>
      </c>
      <c r="B1361" s="1" t="n">
        <v>45121</v>
      </c>
      <c r="C1361" s="1" t="n">
        <v>45750</v>
      </c>
      <c r="D1361" t="inlineStr">
        <is>
          <t>VÄSTERNORRLANDS LÄN</t>
        </is>
      </c>
      <c r="E1361" t="inlineStr">
        <is>
          <t>ÅNGE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32901-2023</t>
        </is>
      </c>
      <c r="B1362" s="1" t="n">
        <v>45125</v>
      </c>
      <c r="C1362" s="1" t="n">
        <v>45750</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33429-2023</t>
        </is>
      </c>
      <c r="B1363" s="1" t="n">
        <v>45129</v>
      </c>
      <c r="C1363" s="1" t="n">
        <v>45750</v>
      </c>
      <c r="D1363" t="inlineStr">
        <is>
          <t>VÄSTERNORRLANDS LÄN</t>
        </is>
      </c>
      <c r="E1363" t="inlineStr">
        <is>
          <t>ÅNGE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33428-2023</t>
        </is>
      </c>
      <c r="B1364" s="1" t="n">
        <v>45129</v>
      </c>
      <c r="C1364" s="1" t="n">
        <v>45750</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33586-2023</t>
        </is>
      </c>
      <c r="B1365" s="1" t="n">
        <v>45132</v>
      </c>
      <c r="C1365" s="1" t="n">
        <v>45750</v>
      </c>
      <c r="D1365" t="inlineStr">
        <is>
          <t>VÄSTERNORRLANDS LÄN</t>
        </is>
      </c>
      <c r="E1365" t="inlineStr">
        <is>
          <t>ÅNGE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33587-2023</t>
        </is>
      </c>
      <c r="B1366" s="1" t="n">
        <v>45132</v>
      </c>
      <c r="C1366" s="1" t="n">
        <v>45750</v>
      </c>
      <c r="D1366" t="inlineStr">
        <is>
          <t>VÄSTERNORRLANDS LÄN</t>
        </is>
      </c>
      <c r="E1366" t="inlineStr">
        <is>
          <t>ÅNGE</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34355-2023</t>
        </is>
      </c>
      <c r="B1367" s="1" t="n">
        <v>45131</v>
      </c>
      <c r="C1367" s="1" t="n">
        <v>45750</v>
      </c>
      <c r="D1367" t="inlineStr">
        <is>
          <t>VÄSTERNORRLANDS LÄN</t>
        </is>
      </c>
      <c r="E1367" t="inlineStr">
        <is>
          <t>ÅNGE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33864-2023</t>
        </is>
      </c>
      <c r="B1368" s="1" t="n">
        <v>45133</v>
      </c>
      <c r="C1368" s="1" t="n">
        <v>45750</v>
      </c>
      <c r="D1368" t="inlineStr">
        <is>
          <t>VÄSTERNORRLANDS LÄN</t>
        </is>
      </c>
      <c r="E1368" t="inlineStr">
        <is>
          <t>ÅNGE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33866-2023</t>
        </is>
      </c>
      <c r="B1369" s="1" t="n">
        <v>45133</v>
      </c>
      <c r="C1369" s="1" t="n">
        <v>45750</v>
      </c>
      <c r="D1369" t="inlineStr">
        <is>
          <t>VÄSTERNORRLANDS LÄN</t>
        </is>
      </c>
      <c r="E1369" t="inlineStr">
        <is>
          <t>ÅNGE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33936-2023</t>
        </is>
      </c>
      <c r="B1370" s="1" t="n">
        <v>45134</v>
      </c>
      <c r="C1370" s="1" t="n">
        <v>45750</v>
      </c>
      <c r="D1370" t="inlineStr">
        <is>
          <t>VÄSTERNORRLANDS LÄN</t>
        </is>
      </c>
      <c r="E1370" t="inlineStr">
        <is>
          <t>ÅNGE</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34318-2023</t>
        </is>
      </c>
      <c r="B1371" s="1" t="n">
        <v>45138</v>
      </c>
      <c r="C1371" s="1" t="n">
        <v>45750</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34316-2023</t>
        </is>
      </c>
      <c r="B1372" s="1" t="n">
        <v>45138</v>
      </c>
      <c r="C1372" s="1" t="n">
        <v>45750</v>
      </c>
      <c r="D1372" t="inlineStr">
        <is>
          <t>VÄSTERNORRLANDS LÄN</t>
        </is>
      </c>
      <c r="E1372" t="inlineStr">
        <is>
          <t>ÅNGE</t>
        </is>
      </c>
      <c r="F1372" t="inlineStr">
        <is>
          <t>SCA</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34317-2023</t>
        </is>
      </c>
      <c r="B1373" s="1" t="n">
        <v>45138</v>
      </c>
      <c r="C1373" s="1" t="n">
        <v>45750</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34620-2023</t>
        </is>
      </c>
      <c r="B1374" s="1" t="n">
        <v>45138</v>
      </c>
      <c r="C1374" s="1" t="n">
        <v>45750</v>
      </c>
      <c r="D1374" t="inlineStr">
        <is>
          <t>VÄSTERNORRLANDS LÄN</t>
        </is>
      </c>
      <c r="E1374" t="inlineStr">
        <is>
          <t>ÅNGE</t>
        </is>
      </c>
      <c r="F1374" t="inlineStr">
        <is>
          <t>SCA</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34269-2023</t>
        </is>
      </c>
      <c r="B1375" s="1" t="n">
        <v>45138</v>
      </c>
      <c r="C1375" s="1" t="n">
        <v>45750</v>
      </c>
      <c r="D1375" t="inlineStr">
        <is>
          <t>VÄSTERNORRLANDS LÄN</t>
        </is>
      </c>
      <c r="E1375" t="inlineStr">
        <is>
          <t>ÅNGE</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34315-2023</t>
        </is>
      </c>
      <c r="B1376" s="1" t="n">
        <v>45138</v>
      </c>
      <c r="C1376" s="1" t="n">
        <v>45750</v>
      </c>
      <c r="D1376" t="inlineStr">
        <is>
          <t>VÄSTERNORRLANDS LÄN</t>
        </is>
      </c>
      <c r="E1376" t="inlineStr">
        <is>
          <t>ÅNGE</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34319-2023</t>
        </is>
      </c>
      <c r="B1377" s="1" t="n">
        <v>45138</v>
      </c>
      <c r="C1377" s="1" t="n">
        <v>45750</v>
      </c>
      <c r="D1377" t="inlineStr">
        <is>
          <t>VÄSTERNORRLANDS LÄN</t>
        </is>
      </c>
      <c r="E1377" t="inlineStr">
        <is>
          <t>ÅNGE</t>
        </is>
      </c>
      <c r="F1377" t="inlineStr">
        <is>
          <t>SCA</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34491-2023</t>
        </is>
      </c>
      <c r="B1378" s="1" t="n">
        <v>45140</v>
      </c>
      <c r="C1378" s="1" t="n">
        <v>45750</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34755-2023</t>
        </is>
      </c>
      <c r="B1379" s="1" t="n">
        <v>45139</v>
      </c>
      <c r="C1379" s="1" t="n">
        <v>45750</v>
      </c>
      <c r="D1379" t="inlineStr">
        <is>
          <t>VÄSTERNORRLANDS LÄN</t>
        </is>
      </c>
      <c r="E1379" t="inlineStr">
        <is>
          <t>ÅNGE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34490-2023</t>
        </is>
      </c>
      <c r="B1380" s="1" t="n">
        <v>45139</v>
      </c>
      <c r="C1380" s="1" t="n">
        <v>45750</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34750-2023</t>
        </is>
      </c>
      <c r="B1381" s="1" t="n">
        <v>45139</v>
      </c>
      <c r="C1381" s="1" t="n">
        <v>45750</v>
      </c>
      <c r="D1381" t="inlineStr">
        <is>
          <t>VÄSTERNORRLANDS LÄN</t>
        </is>
      </c>
      <c r="E1381" t="inlineStr">
        <is>
          <t>ÅNGE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34754-2023</t>
        </is>
      </c>
      <c r="B1382" s="1" t="n">
        <v>45139</v>
      </c>
      <c r="C1382" s="1" t="n">
        <v>45750</v>
      </c>
      <c r="D1382" t="inlineStr">
        <is>
          <t>VÄSTERNORRLANDS LÄN</t>
        </is>
      </c>
      <c r="E1382" t="inlineStr">
        <is>
          <t>ÅNGE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34705-2023</t>
        </is>
      </c>
      <c r="B1383" s="1" t="n">
        <v>45141</v>
      </c>
      <c r="C1383" s="1" t="n">
        <v>45750</v>
      </c>
      <c r="D1383" t="inlineStr">
        <is>
          <t>VÄSTERNORRLANDS LÄN</t>
        </is>
      </c>
      <c r="E1383" t="inlineStr">
        <is>
          <t>ÅNGE</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34703-2023</t>
        </is>
      </c>
      <c r="B1384" s="1" t="n">
        <v>45141</v>
      </c>
      <c r="C1384" s="1" t="n">
        <v>45750</v>
      </c>
      <c r="D1384" t="inlineStr">
        <is>
          <t>VÄSTERNORRLANDS LÄN</t>
        </is>
      </c>
      <c r="E1384" t="inlineStr">
        <is>
          <t>ÅNGE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34690-2023</t>
        </is>
      </c>
      <c r="B1385" s="1" t="n">
        <v>45141</v>
      </c>
      <c r="C1385" s="1" t="n">
        <v>45750</v>
      </c>
      <c r="D1385" t="inlineStr">
        <is>
          <t>VÄSTERNORRLANDS LÄN</t>
        </is>
      </c>
      <c r="E1385" t="inlineStr">
        <is>
          <t>ÅNGE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34698-2023</t>
        </is>
      </c>
      <c r="B1386" s="1" t="n">
        <v>45140</v>
      </c>
      <c r="C1386" s="1" t="n">
        <v>45750</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34692-2023</t>
        </is>
      </c>
      <c r="B1387" s="1" t="n">
        <v>45140</v>
      </c>
      <c r="C1387" s="1" t="n">
        <v>45750</v>
      </c>
      <c r="D1387" t="inlineStr">
        <is>
          <t>VÄSTERNORRLANDS LÄN</t>
        </is>
      </c>
      <c r="E1387" t="inlineStr">
        <is>
          <t>ÅNGE</t>
        </is>
      </c>
      <c r="F1387" t="inlineStr">
        <is>
          <t>SCA</t>
        </is>
      </c>
      <c r="G1387" t="n">
        <v>12.8</v>
      </c>
      <c r="H1387" t="n">
        <v>0</v>
      </c>
      <c r="I1387" t="n">
        <v>0</v>
      </c>
      <c r="J1387" t="n">
        <v>0</v>
      </c>
      <c r="K1387" t="n">
        <v>0</v>
      </c>
      <c r="L1387" t="n">
        <v>0</v>
      </c>
      <c r="M1387" t="n">
        <v>0</v>
      </c>
      <c r="N1387" t="n">
        <v>0</v>
      </c>
      <c r="O1387" t="n">
        <v>0</v>
      </c>
      <c r="P1387" t="n">
        <v>0</v>
      </c>
      <c r="Q1387" t="n">
        <v>0</v>
      </c>
      <c r="R1387" s="2" t="inlineStr"/>
    </row>
    <row r="1388" ht="15" customHeight="1">
      <c r="A1388" t="inlineStr">
        <is>
          <t>A 34851-2023</t>
        </is>
      </c>
      <c r="B1388" s="1" t="n">
        <v>45141</v>
      </c>
      <c r="C1388" s="1" t="n">
        <v>45750</v>
      </c>
      <c r="D1388" t="inlineStr">
        <is>
          <t>VÄSTERNORRLANDS LÄN</t>
        </is>
      </c>
      <c r="E1388" t="inlineStr">
        <is>
          <t>ÅNGE</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34850-2023</t>
        </is>
      </c>
      <c r="B1389" s="1" t="n">
        <v>45141</v>
      </c>
      <c r="C1389" s="1" t="n">
        <v>45750</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34852-2023</t>
        </is>
      </c>
      <c r="B1390" s="1" t="n">
        <v>45141</v>
      </c>
      <c r="C1390" s="1" t="n">
        <v>45750</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34959-2023</t>
        </is>
      </c>
      <c r="B1391" s="1" t="n">
        <v>45142</v>
      </c>
      <c r="C1391" s="1" t="n">
        <v>45750</v>
      </c>
      <c r="D1391" t="inlineStr">
        <is>
          <t>VÄSTERNORRLANDS LÄN</t>
        </is>
      </c>
      <c r="E1391" t="inlineStr">
        <is>
          <t>ÅNGE</t>
        </is>
      </c>
      <c r="F1391" t="inlineStr">
        <is>
          <t>Sveaskog</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34965-2023</t>
        </is>
      </c>
      <c r="B1392" s="1" t="n">
        <v>45142</v>
      </c>
      <c r="C1392" s="1" t="n">
        <v>45750</v>
      </c>
      <c r="D1392" t="inlineStr">
        <is>
          <t>VÄSTERNORRLANDS LÄN</t>
        </is>
      </c>
      <c r="E1392" t="inlineStr">
        <is>
          <t>ÅNGE</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34971-2023</t>
        </is>
      </c>
      <c r="B1393" s="1" t="n">
        <v>45142</v>
      </c>
      <c r="C1393" s="1" t="n">
        <v>45750</v>
      </c>
      <c r="D1393" t="inlineStr">
        <is>
          <t>VÄSTERNORRLANDS LÄN</t>
        </is>
      </c>
      <c r="E1393" t="inlineStr">
        <is>
          <t>ÅNGE</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34954-2023</t>
        </is>
      </c>
      <c r="B1394" s="1" t="n">
        <v>45142</v>
      </c>
      <c r="C1394" s="1" t="n">
        <v>45750</v>
      </c>
      <c r="D1394" t="inlineStr">
        <is>
          <t>VÄSTERNORRLANDS LÄN</t>
        </is>
      </c>
      <c r="E1394" t="inlineStr">
        <is>
          <t>ÅNGE</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34962-2023</t>
        </is>
      </c>
      <c r="B1395" s="1" t="n">
        <v>45142</v>
      </c>
      <c r="C1395" s="1" t="n">
        <v>45750</v>
      </c>
      <c r="D1395" t="inlineStr">
        <is>
          <t>VÄSTERNORRLANDS LÄN</t>
        </is>
      </c>
      <c r="E1395" t="inlineStr">
        <is>
          <t>ÅNGE</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35100-2023</t>
        </is>
      </c>
      <c r="B1396" s="1" t="n">
        <v>45142</v>
      </c>
      <c r="C1396" s="1" t="n">
        <v>45750</v>
      </c>
      <c r="D1396" t="inlineStr">
        <is>
          <t>VÄSTERNORRLANDS LÄN</t>
        </is>
      </c>
      <c r="E1396" t="inlineStr">
        <is>
          <t>ÅNGE</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35259-2023</t>
        </is>
      </c>
      <c r="B1397" s="1" t="n">
        <v>45145</v>
      </c>
      <c r="C1397" s="1" t="n">
        <v>45750</v>
      </c>
      <c r="D1397" t="inlineStr">
        <is>
          <t>VÄSTERNORRLANDS LÄN</t>
        </is>
      </c>
      <c r="E1397" t="inlineStr">
        <is>
          <t>ÅNGE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35260-2023</t>
        </is>
      </c>
      <c r="B1398" s="1" t="n">
        <v>45145</v>
      </c>
      <c r="C1398" s="1" t="n">
        <v>45750</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35261-2023</t>
        </is>
      </c>
      <c r="B1399" s="1" t="n">
        <v>45145</v>
      </c>
      <c r="C1399" s="1" t="n">
        <v>45750</v>
      </c>
      <c r="D1399" t="inlineStr">
        <is>
          <t>VÄSTERNORRLANDS LÄN</t>
        </is>
      </c>
      <c r="E1399" t="inlineStr">
        <is>
          <t>ÅNGE</t>
        </is>
      </c>
      <c r="F1399" t="inlineStr">
        <is>
          <t>SCA</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35328-2023</t>
        </is>
      </c>
      <c r="B1400" s="1" t="n">
        <v>45145</v>
      </c>
      <c r="C1400" s="1" t="n">
        <v>45750</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35366-2023</t>
        </is>
      </c>
      <c r="B1401" s="1" t="n">
        <v>45145</v>
      </c>
      <c r="C1401" s="1" t="n">
        <v>45750</v>
      </c>
      <c r="D1401" t="inlineStr">
        <is>
          <t>VÄSTERNORRLANDS LÄN</t>
        </is>
      </c>
      <c r="E1401" t="inlineStr">
        <is>
          <t>ÅNGE</t>
        </is>
      </c>
      <c r="F1401" t="inlineStr">
        <is>
          <t>SCA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35258-2023</t>
        </is>
      </c>
      <c r="B1402" s="1" t="n">
        <v>45145</v>
      </c>
      <c r="C1402" s="1" t="n">
        <v>45750</v>
      </c>
      <c r="D1402" t="inlineStr">
        <is>
          <t>VÄSTERNORRLANDS LÄN</t>
        </is>
      </c>
      <c r="E1402" t="inlineStr">
        <is>
          <t>ÅNGE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35762-2023</t>
        </is>
      </c>
      <c r="B1403" s="1" t="n">
        <v>45147</v>
      </c>
      <c r="C1403" s="1" t="n">
        <v>45750</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35747-2023</t>
        </is>
      </c>
      <c r="B1404" s="1" t="n">
        <v>45147</v>
      </c>
      <c r="C1404" s="1" t="n">
        <v>45750</v>
      </c>
      <c r="D1404" t="inlineStr">
        <is>
          <t>VÄSTERNORRLANDS LÄN</t>
        </is>
      </c>
      <c r="E1404" t="inlineStr">
        <is>
          <t>ÅNGE</t>
        </is>
      </c>
      <c r="F1404" t="inlineStr">
        <is>
          <t>SCA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35748-2023</t>
        </is>
      </c>
      <c r="B1405" s="1" t="n">
        <v>45148</v>
      </c>
      <c r="C1405" s="1" t="n">
        <v>45750</v>
      </c>
      <c r="D1405" t="inlineStr">
        <is>
          <t>VÄSTERNORRLANDS LÄN</t>
        </is>
      </c>
      <c r="E1405" t="inlineStr">
        <is>
          <t>ÅNGE</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35749-2023</t>
        </is>
      </c>
      <c r="B1406" s="1" t="n">
        <v>45147</v>
      </c>
      <c r="C1406" s="1" t="n">
        <v>45750</v>
      </c>
      <c r="D1406" t="inlineStr">
        <is>
          <t>VÄSTERNORRLANDS LÄN</t>
        </is>
      </c>
      <c r="E1406" t="inlineStr">
        <is>
          <t>ÅNGE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35979-2023</t>
        </is>
      </c>
      <c r="B1407" s="1" t="n">
        <v>45148</v>
      </c>
      <c r="C1407" s="1" t="n">
        <v>45750</v>
      </c>
      <c r="D1407" t="inlineStr">
        <is>
          <t>VÄSTERNORRLANDS LÄN</t>
        </is>
      </c>
      <c r="E1407" t="inlineStr">
        <is>
          <t>ÅNGE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35970-2023</t>
        </is>
      </c>
      <c r="B1408" s="1" t="n">
        <v>45148</v>
      </c>
      <c r="C1408" s="1" t="n">
        <v>45750</v>
      </c>
      <c r="D1408" t="inlineStr">
        <is>
          <t>VÄSTERNORRLANDS LÄN</t>
        </is>
      </c>
      <c r="E1408" t="inlineStr">
        <is>
          <t>ÅNGE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36210-2023</t>
        </is>
      </c>
      <c r="B1409" s="1" t="n">
        <v>45149</v>
      </c>
      <c r="C1409" s="1" t="n">
        <v>45750</v>
      </c>
      <c r="D1409" t="inlineStr">
        <is>
          <t>VÄSTERNORRLANDS LÄN</t>
        </is>
      </c>
      <c r="E1409" t="inlineStr">
        <is>
          <t>ÅNGE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36290-2023</t>
        </is>
      </c>
      <c r="B1410" s="1" t="n">
        <v>45152</v>
      </c>
      <c r="C1410" s="1" t="n">
        <v>45750</v>
      </c>
      <c r="D1410" t="inlineStr">
        <is>
          <t>VÄSTERNORRLANDS LÄN</t>
        </is>
      </c>
      <c r="E1410" t="inlineStr">
        <is>
          <t>ÅNGE</t>
        </is>
      </c>
      <c r="F1410" t="inlineStr">
        <is>
          <t>Övriga Aktiebolag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36494-2023</t>
        </is>
      </c>
      <c r="B1411" s="1" t="n">
        <v>45153</v>
      </c>
      <c r="C1411" s="1" t="n">
        <v>45750</v>
      </c>
      <c r="D1411" t="inlineStr">
        <is>
          <t>VÄSTERNORRLANDS LÄN</t>
        </is>
      </c>
      <c r="E1411" t="inlineStr">
        <is>
          <t>ÅNGE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36492-2023</t>
        </is>
      </c>
      <c r="B1412" s="1" t="n">
        <v>45153</v>
      </c>
      <c r="C1412" s="1" t="n">
        <v>45750</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36766-2023</t>
        </is>
      </c>
      <c r="B1413" s="1" t="n">
        <v>45153</v>
      </c>
      <c r="C1413" s="1" t="n">
        <v>45750</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36760-2023</t>
        </is>
      </c>
      <c r="B1414" s="1" t="n">
        <v>45153</v>
      </c>
      <c r="C1414" s="1" t="n">
        <v>45750</v>
      </c>
      <c r="D1414" t="inlineStr">
        <is>
          <t>VÄSTERNORRLANDS LÄN</t>
        </is>
      </c>
      <c r="E1414" t="inlineStr">
        <is>
          <t>ÅNGE</t>
        </is>
      </c>
      <c r="F1414" t="inlineStr">
        <is>
          <t>SCA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36801-2023</t>
        </is>
      </c>
      <c r="B1415" s="1" t="n">
        <v>45153</v>
      </c>
      <c r="C1415" s="1" t="n">
        <v>45750</v>
      </c>
      <c r="D1415" t="inlineStr">
        <is>
          <t>VÄSTERNORRLANDS LÄN</t>
        </is>
      </c>
      <c r="E1415" t="inlineStr">
        <is>
          <t>ÅNGE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36790-2023</t>
        </is>
      </c>
      <c r="B1416" s="1" t="n">
        <v>45154</v>
      </c>
      <c r="C1416" s="1" t="n">
        <v>45750</v>
      </c>
      <c r="D1416" t="inlineStr">
        <is>
          <t>VÄSTERNORRLANDS LÄN</t>
        </is>
      </c>
      <c r="E1416" t="inlineStr">
        <is>
          <t>ÅNGE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36973-2023</t>
        </is>
      </c>
      <c r="B1417" s="1" t="n">
        <v>45154</v>
      </c>
      <c r="C1417" s="1" t="n">
        <v>45750</v>
      </c>
      <c r="D1417" t="inlineStr">
        <is>
          <t>VÄSTERNORRLANDS LÄN</t>
        </is>
      </c>
      <c r="E1417" t="inlineStr">
        <is>
          <t>ÅNGE</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36987-2023</t>
        </is>
      </c>
      <c r="B1418" s="1" t="n">
        <v>45155</v>
      </c>
      <c r="C1418" s="1" t="n">
        <v>45750</v>
      </c>
      <c r="D1418" t="inlineStr">
        <is>
          <t>VÄSTERNORRLANDS LÄN</t>
        </is>
      </c>
      <c r="E1418" t="inlineStr">
        <is>
          <t>ÅNGE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37252-2023</t>
        </is>
      </c>
      <c r="B1419" s="1" t="n">
        <v>45155</v>
      </c>
      <c r="C1419" s="1" t="n">
        <v>45750</v>
      </c>
      <c r="D1419" t="inlineStr">
        <is>
          <t>VÄSTERNORRLANDS LÄN</t>
        </is>
      </c>
      <c r="E1419" t="inlineStr">
        <is>
          <t>ÅNGE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37471-2023</t>
        </is>
      </c>
      <c r="B1420" s="1" t="n">
        <v>45157</v>
      </c>
      <c r="C1420" s="1" t="n">
        <v>45750</v>
      </c>
      <c r="D1420" t="inlineStr">
        <is>
          <t>VÄSTERNORRLANDS LÄN</t>
        </is>
      </c>
      <c r="E1420" t="inlineStr">
        <is>
          <t>ÅNGE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37503-2023</t>
        </is>
      </c>
      <c r="B1421" s="1" t="n">
        <v>45157</v>
      </c>
      <c r="C1421" s="1" t="n">
        <v>45750</v>
      </c>
      <c r="D1421" t="inlineStr">
        <is>
          <t>VÄSTERNORRLANDS LÄN</t>
        </is>
      </c>
      <c r="E1421" t="inlineStr">
        <is>
          <t>ÅNGE</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37800-2023</t>
        </is>
      </c>
      <c r="B1422" s="1" t="n">
        <v>45159</v>
      </c>
      <c r="C1422" s="1" t="n">
        <v>45750</v>
      </c>
      <c r="D1422" t="inlineStr">
        <is>
          <t>VÄSTERNORRLANDS LÄN</t>
        </is>
      </c>
      <c r="E1422" t="inlineStr">
        <is>
          <t>ÅNGE</t>
        </is>
      </c>
      <c r="F1422" t="inlineStr">
        <is>
          <t>SCA</t>
        </is>
      </c>
      <c r="G1422" t="n">
        <v>15.3</v>
      </c>
      <c r="H1422" t="n">
        <v>0</v>
      </c>
      <c r="I1422" t="n">
        <v>0</v>
      </c>
      <c r="J1422" t="n">
        <v>0</v>
      </c>
      <c r="K1422" t="n">
        <v>0</v>
      </c>
      <c r="L1422" t="n">
        <v>0</v>
      </c>
      <c r="M1422" t="n">
        <v>0</v>
      </c>
      <c r="N1422" t="n">
        <v>0</v>
      </c>
      <c r="O1422" t="n">
        <v>0</v>
      </c>
      <c r="P1422" t="n">
        <v>0</v>
      </c>
      <c r="Q1422" t="n">
        <v>0</v>
      </c>
      <c r="R1422" s="2" t="inlineStr"/>
    </row>
    <row r="1423" ht="15" customHeight="1">
      <c r="A1423" t="inlineStr">
        <is>
          <t>A 37558-2023</t>
        </is>
      </c>
      <c r="B1423" s="1" t="n">
        <v>45159</v>
      </c>
      <c r="C1423" s="1" t="n">
        <v>45750</v>
      </c>
      <c r="D1423" t="inlineStr">
        <is>
          <t>VÄSTERNORRLANDS LÄN</t>
        </is>
      </c>
      <c r="E1423" t="inlineStr">
        <is>
          <t>ÅNGE</t>
        </is>
      </c>
      <c r="F1423" t="inlineStr">
        <is>
          <t>Kyrkan</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37801-2023</t>
        </is>
      </c>
      <c r="B1424" s="1" t="n">
        <v>45159</v>
      </c>
      <c r="C1424" s="1" t="n">
        <v>45750</v>
      </c>
      <c r="D1424" t="inlineStr">
        <is>
          <t>VÄSTERNORRLANDS LÄN</t>
        </is>
      </c>
      <c r="E1424" t="inlineStr">
        <is>
          <t>ÅNGE</t>
        </is>
      </c>
      <c r="F1424" t="inlineStr">
        <is>
          <t>SCA</t>
        </is>
      </c>
      <c r="G1424" t="n">
        <v>33.4</v>
      </c>
      <c r="H1424" t="n">
        <v>0</v>
      </c>
      <c r="I1424" t="n">
        <v>0</v>
      </c>
      <c r="J1424" t="n">
        <v>0</v>
      </c>
      <c r="K1424" t="n">
        <v>0</v>
      </c>
      <c r="L1424" t="n">
        <v>0</v>
      </c>
      <c r="M1424" t="n">
        <v>0</v>
      </c>
      <c r="N1424" t="n">
        <v>0</v>
      </c>
      <c r="O1424" t="n">
        <v>0</v>
      </c>
      <c r="P1424" t="n">
        <v>0</v>
      </c>
      <c r="Q1424" t="n">
        <v>0</v>
      </c>
      <c r="R1424" s="2" t="inlineStr"/>
    </row>
    <row r="1425" ht="15" customHeight="1">
      <c r="A1425" t="inlineStr">
        <is>
          <t>A 38090-2023</t>
        </is>
      </c>
      <c r="B1425" s="1" t="n">
        <v>45161</v>
      </c>
      <c r="C1425" s="1" t="n">
        <v>45750</v>
      </c>
      <c r="D1425" t="inlineStr">
        <is>
          <t>VÄSTERNORRLANDS LÄN</t>
        </is>
      </c>
      <c r="E1425" t="inlineStr">
        <is>
          <t>ÅNGE</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39245-2023</t>
        </is>
      </c>
      <c r="B1426" s="1" t="n">
        <v>45162</v>
      </c>
      <c r="C1426" s="1" t="n">
        <v>45750</v>
      </c>
      <c r="D1426" t="inlineStr">
        <is>
          <t>VÄSTERNORRLANDS LÄN</t>
        </is>
      </c>
      <c r="E1426" t="inlineStr">
        <is>
          <t>ÅNGE</t>
        </is>
      </c>
      <c r="F1426" t="inlineStr">
        <is>
          <t>SCA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38886-2023</t>
        </is>
      </c>
      <c r="B1427" s="1" t="n">
        <v>45162</v>
      </c>
      <c r="C1427" s="1" t="n">
        <v>45750</v>
      </c>
      <c r="D1427" t="inlineStr">
        <is>
          <t>VÄSTERNORRLANDS LÄN</t>
        </is>
      </c>
      <c r="E1427" t="inlineStr">
        <is>
          <t>ÅNGE</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38871-2023</t>
        </is>
      </c>
      <c r="B1428" s="1" t="n">
        <v>45162</v>
      </c>
      <c r="C1428" s="1" t="n">
        <v>45750</v>
      </c>
      <c r="D1428" t="inlineStr">
        <is>
          <t>VÄSTERNORRLANDS LÄN</t>
        </is>
      </c>
      <c r="E1428" t="inlineStr">
        <is>
          <t>ÅNGE</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39206-2023</t>
        </is>
      </c>
      <c r="B1429" s="1" t="n">
        <v>45162</v>
      </c>
      <c r="C1429" s="1" t="n">
        <v>45750</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39261-2023</t>
        </is>
      </c>
      <c r="B1430" s="1" t="n">
        <v>45162</v>
      </c>
      <c r="C1430" s="1" t="n">
        <v>45750</v>
      </c>
      <c r="D1430" t="inlineStr">
        <is>
          <t>VÄSTERNORRLANDS LÄN</t>
        </is>
      </c>
      <c r="E1430" t="inlineStr">
        <is>
          <t>ÅNGE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39254-2023</t>
        </is>
      </c>
      <c r="B1431" s="1" t="n">
        <v>45162</v>
      </c>
      <c r="C1431" s="1" t="n">
        <v>45750</v>
      </c>
      <c r="D1431" t="inlineStr">
        <is>
          <t>VÄSTERNORRLANDS LÄN</t>
        </is>
      </c>
      <c r="E1431" t="inlineStr">
        <is>
          <t>ÅNGE</t>
        </is>
      </c>
      <c r="F1431" t="inlineStr">
        <is>
          <t>SCA</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38795-2023</t>
        </is>
      </c>
      <c r="B1432" s="1" t="n">
        <v>45162</v>
      </c>
      <c r="C1432" s="1" t="n">
        <v>45750</v>
      </c>
      <c r="D1432" t="inlineStr">
        <is>
          <t>VÄSTERNORRLANDS LÄN</t>
        </is>
      </c>
      <c r="E1432" t="inlineStr">
        <is>
          <t>ÅNGE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39112-2023</t>
        </is>
      </c>
      <c r="B1433" s="1" t="n">
        <v>45164</v>
      </c>
      <c r="C1433" s="1" t="n">
        <v>45750</v>
      </c>
      <c r="D1433" t="inlineStr">
        <is>
          <t>VÄSTERNORRLANDS LÄN</t>
        </is>
      </c>
      <c r="E1433" t="inlineStr">
        <is>
          <t>ÅNGE</t>
        </is>
      </c>
      <c r="F1433" t="inlineStr">
        <is>
          <t>SCA</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39500-2023</t>
        </is>
      </c>
      <c r="B1434" s="1" t="n">
        <v>45166</v>
      </c>
      <c r="C1434" s="1" t="n">
        <v>45750</v>
      </c>
      <c r="D1434" t="inlineStr">
        <is>
          <t>VÄSTERNORRLANDS LÄN</t>
        </is>
      </c>
      <c r="E1434" t="inlineStr">
        <is>
          <t>ÅNGE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39811-2023</t>
        </is>
      </c>
      <c r="B1435" s="1" t="n">
        <v>45167</v>
      </c>
      <c r="C1435" s="1" t="n">
        <v>45750</v>
      </c>
      <c r="D1435" t="inlineStr">
        <is>
          <t>VÄSTERNORRLANDS LÄN</t>
        </is>
      </c>
      <c r="E1435" t="inlineStr">
        <is>
          <t>ÅNGE</t>
        </is>
      </c>
      <c r="F1435" t="inlineStr">
        <is>
          <t>SCA</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39813-2023</t>
        </is>
      </c>
      <c r="B1436" s="1" t="n">
        <v>45168</v>
      </c>
      <c r="C1436" s="1" t="n">
        <v>45750</v>
      </c>
      <c r="D1436" t="inlineStr">
        <is>
          <t>VÄSTERNORRLANDS LÄN</t>
        </is>
      </c>
      <c r="E1436" t="inlineStr">
        <is>
          <t>ÅNGE</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39812-2023</t>
        </is>
      </c>
      <c r="B1437" s="1" t="n">
        <v>45168</v>
      </c>
      <c r="C1437" s="1" t="n">
        <v>45750</v>
      </c>
      <c r="D1437" t="inlineStr">
        <is>
          <t>VÄSTERNORRLANDS LÄN</t>
        </is>
      </c>
      <c r="E1437" t="inlineStr">
        <is>
          <t>ÅNGE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40013-2023</t>
        </is>
      </c>
      <c r="B1438" s="1" t="n">
        <v>45167</v>
      </c>
      <c r="C1438" s="1" t="n">
        <v>45750</v>
      </c>
      <c r="D1438" t="inlineStr">
        <is>
          <t>VÄSTERNORRLANDS LÄN</t>
        </is>
      </c>
      <c r="E1438" t="inlineStr">
        <is>
          <t>ÅNGE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39814-2023</t>
        </is>
      </c>
      <c r="B1439" s="1" t="n">
        <v>45168</v>
      </c>
      <c r="C1439" s="1" t="n">
        <v>45750</v>
      </c>
      <c r="D1439" t="inlineStr">
        <is>
          <t>VÄSTERNORRLANDS LÄN</t>
        </is>
      </c>
      <c r="E1439" t="inlineStr">
        <is>
          <t>ÅNGE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39991-2023</t>
        </is>
      </c>
      <c r="B1440" s="1" t="n">
        <v>45168</v>
      </c>
      <c r="C1440" s="1" t="n">
        <v>45750</v>
      </c>
      <c r="D1440" t="inlineStr">
        <is>
          <t>VÄSTERNORRLANDS LÄN</t>
        </is>
      </c>
      <c r="E1440" t="inlineStr">
        <is>
          <t>ÅNGE</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39996-2023</t>
        </is>
      </c>
      <c r="B1441" s="1" t="n">
        <v>45168</v>
      </c>
      <c r="C1441" s="1" t="n">
        <v>45750</v>
      </c>
      <c r="D1441" t="inlineStr">
        <is>
          <t>VÄSTERNORRLANDS LÄN</t>
        </is>
      </c>
      <c r="E1441" t="inlineStr">
        <is>
          <t>ÅNGE</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39842-2023</t>
        </is>
      </c>
      <c r="B1442" s="1" t="n">
        <v>45168</v>
      </c>
      <c r="C1442" s="1" t="n">
        <v>45750</v>
      </c>
      <c r="D1442" t="inlineStr">
        <is>
          <t>VÄSTERNORRLANDS LÄN</t>
        </is>
      </c>
      <c r="E1442" t="inlineStr">
        <is>
          <t>ÅNGE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39843-2023</t>
        </is>
      </c>
      <c r="B1443" s="1" t="n">
        <v>45168</v>
      </c>
      <c r="C1443" s="1" t="n">
        <v>45750</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40005-2023</t>
        </is>
      </c>
      <c r="B1444" s="1" t="n">
        <v>45168</v>
      </c>
      <c r="C1444" s="1" t="n">
        <v>45750</v>
      </c>
      <c r="D1444" t="inlineStr">
        <is>
          <t>VÄSTERNORRLANDS LÄN</t>
        </is>
      </c>
      <c r="E1444" t="inlineStr">
        <is>
          <t>ÅNGE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39936-2023</t>
        </is>
      </c>
      <c r="B1445" s="1" t="n">
        <v>45168</v>
      </c>
      <c r="C1445" s="1" t="n">
        <v>45750</v>
      </c>
      <c r="D1445" t="inlineStr">
        <is>
          <t>VÄSTERNORRLANDS LÄN</t>
        </is>
      </c>
      <c r="E1445" t="inlineStr">
        <is>
          <t>ÅNGE</t>
        </is>
      </c>
      <c r="F1445" t="inlineStr">
        <is>
          <t>Sveaskog</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39975-2023</t>
        </is>
      </c>
      <c r="B1446" s="1" t="n">
        <v>45168</v>
      </c>
      <c r="C1446" s="1" t="n">
        <v>45750</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40208-2023</t>
        </is>
      </c>
      <c r="B1447" s="1" t="n">
        <v>45168</v>
      </c>
      <c r="C1447" s="1" t="n">
        <v>45750</v>
      </c>
      <c r="D1447" t="inlineStr">
        <is>
          <t>VÄSTERNORRLANDS LÄN</t>
        </is>
      </c>
      <c r="E1447" t="inlineStr">
        <is>
          <t>ÅNGE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39973-2023</t>
        </is>
      </c>
      <c r="B1448" s="1" t="n">
        <v>45168</v>
      </c>
      <c r="C1448" s="1" t="n">
        <v>45750</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39985-2023</t>
        </is>
      </c>
      <c r="B1449" s="1" t="n">
        <v>45168</v>
      </c>
      <c r="C1449" s="1" t="n">
        <v>45750</v>
      </c>
      <c r="D1449" t="inlineStr">
        <is>
          <t>VÄSTERNORRLANDS LÄN</t>
        </is>
      </c>
      <c r="E1449" t="inlineStr">
        <is>
          <t>ÅNGE</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39995-2023</t>
        </is>
      </c>
      <c r="B1450" s="1" t="n">
        <v>45168</v>
      </c>
      <c r="C1450" s="1" t="n">
        <v>45750</v>
      </c>
      <c r="D1450" t="inlineStr">
        <is>
          <t>VÄSTERNORRLANDS LÄN</t>
        </is>
      </c>
      <c r="E1450" t="inlineStr">
        <is>
          <t>ÅNGE</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40378-2023</t>
        </is>
      </c>
      <c r="B1451" s="1" t="n">
        <v>45169</v>
      </c>
      <c r="C1451" s="1" t="n">
        <v>45750</v>
      </c>
      <c r="D1451" t="inlineStr">
        <is>
          <t>VÄSTERNORRLANDS LÄN</t>
        </is>
      </c>
      <c r="E1451" t="inlineStr">
        <is>
          <t>ÅNGE</t>
        </is>
      </c>
      <c r="F1451" t="inlineStr">
        <is>
          <t>Holmen skog AB</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40663-2023</t>
        </is>
      </c>
      <c r="B1452" s="1" t="n">
        <v>45169</v>
      </c>
      <c r="C1452" s="1" t="n">
        <v>45750</v>
      </c>
      <c r="D1452" t="inlineStr">
        <is>
          <t>VÄSTERNORRLANDS LÄN</t>
        </is>
      </c>
      <c r="E1452" t="inlineStr">
        <is>
          <t>ÅNGE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40626-2023</t>
        </is>
      </c>
      <c r="B1453" s="1" t="n">
        <v>45170</v>
      </c>
      <c r="C1453" s="1" t="n">
        <v>45750</v>
      </c>
      <c r="D1453" t="inlineStr">
        <is>
          <t>VÄSTERNORRLANDS LÄN</t>
        </is>
      </c>
      <c r="E1453" t="inlineStr">
        <is>
          <t>ÅNGE</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40622-2023</t>
        </is>
      </c>
      <c r="B1454" s="1" t="n">
        <v>45170</v>
      </c>
      <c r="C1454" s="1" t="n">
        <v>45750</v>
      </c>
      <c r="D1454" t="inlineStr">
        <is>
          <t>VÄSTERNORRLANDS LÄN</t>
        </is>
      </c>
      <c r="E1454" t="inlineStr">
        <is>
          <t>ÅNGE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40789-2023</t>
        </is>
      </c>
      <c r="B1455" s="1" t="n">
        <v>45171</v>
      </c>
      <c r="C1455" s="1" t="n">
        <v>45750</v>
      </c>
      <c r="D1455" t="inlineStr">
        <is>
          <t>VÄSTERNORRLANDS LÄN</t>
        </is>
      </c>
      <c r="E1455" t="inlineStr">
        <is>
          <t>ÅNGE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40790-2023</t>
        </is>
      </c>
      <c r="B1456" s="1" t="n">
        <v>45171</v>
      </c>
      <c r="C1456" s="1" t="n">
        <v>45750</v>
      </c>
      <c r="D1456" t="inlineStr">
        <is>
          <t>VÄSTERNORRLANDS LÄN</t>
        </is>
      </c>
      <c r="E1456" t="inlineStr">
        <is>
          <t>ÅNGE</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40755-2023</t>
        </is>
      </c>
      <c r="B1457" s="1" t="n">
        <v>45170</v>
      </c>
      <c r="C1457" s="1" t="n">
        <v>45750</v>
      </c>
      <c r="D1457" t="inlineStr">
        <is>
          <t>VÄSTERNORRLANDS LÄN</t>
        </is>
      </c>
      <c r="E1457" t="inlineStr">
        <is>
          <t>ÅNGE</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40791-2023</t>
        </is>
      </c>
      <c r="B1458" s="1" t="n">
        <v>45171</v>
      </c>
      <c r="C1458" s="1" t="n">
        <v>45750</v>
      </c>
      <c r="D1458" t="inlineStr">
        <is>
          <t>VÄSTERNORRLANDS LÄN</t>
        </is>
      </c>
      <c r="E1458" t="inlineStr">
        <is>
          <t>ÅNGE</t>
        </is>
      </c>
      <c r="F1458" t="inlineStr">
        <is>
          <t>SCA</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40834-2023</t>
        </is>
      </c>
      <c r="B1459" s="1" t="n">
        <v>45172</v>
      </c>
      <c r="C1459" s="1" t="n">
        <v>45750</v>
      </c>
      <c r="D1459" t="inlineStr">
        <is>
          <t>VÄSTERNORRLANDS LÄN</t>
        </is>
      </c>
      <c r="E1459" t="inlineStr">
        <is>
          <t>ÅNGE</t>
        </is>
      </c>
      <c r="F1459" t="inlineStr">
        <is>
          <t>Kyrkan</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40831-2023</t>
        </is>
      </c>
      <c r="B1460" s="1" t="n">
        <v>45172</v>
      </c>
      <c r="C1460" s="1" t="n">
        <v>45750</v>
      </c>
      <c r="D1460" t="inlineStr">
        <is>
          <t>VÄSTERNORRLANDS LÄN</t>
        </is>
      </c>
      <c r="E1460" t="inlineStr">
        <is>
          <t>ÅNGE</t>
        </is>
      </c>
      <c r="F1460" t="inlineStr">
        <is>
          <t>Kyrkan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40832-2023</t>
        </is>
      </c>
      <c r="B1461" s="1" t="n">
        <v>45172</v>
      </c>
      <c r="C1461" s="1" t="n">
        <v>45750</v>
      </c>
      <c r="D1461" t="inlineStr">
        <is>
          <t>VÄSTERNORRLANDS LÄN</t>
        </is>
      </c>
      <c r="E1461" t="inlineStr">
        <is>
          <t>ÅNGE</t>
        </is>
      </c>
      <c r="F1461" t="inlineStr">
        <is>
          <t>Kyrkan</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42081-2023</t>
        </is>
      </c>
      <c r="B1462" s="1" t="n">
        <v>45174</v>
      </c>
      <c r="C1462" s="1" t="n">
        <v>45750</v>
      </c>
      <c r="D1462" t="inlineStr">
        <is>
          <t>VÄSTERNORRLANDS LÄN</t>
        </is>
      </c>
      <c r="E1462" t="inlineStr">
        <is>
          <t>ÅNGE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41370-2023</t>
        </is>
      </c>
      <c r="B1463" s="1" t="n">
        <v>45174</v>
      </c>
      <c r="C1463" s="1" t="n">
        <v>45750</v>
      </c>
      <c r="D1463" t="inlineStr">
        <is>
          <t>VÄSTERNORRLANDS LÄN</t>
        </is>
      </c>
      <c r="E1463" t="inlineStr">
        <is>
          <t>ÅNGE</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42073-2023</t>
        </is>
      </c>
      <c r="B1464" s="1" t="n">
        <v>45174</v>
      </c>
      <c r="C1464" s="1" t="n">
        <v>45750</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42100-2023</t>
        </is>
      </c>
      <c r="B1465" s="1" t="n">
        <v>45174</v>
      </c>
      <c r="C1465" s="1" t="n">
        <v>45750</v>
      </c>
      <c r="D1465" t="inlineStr">
        <is>
          <t>VÄSTERNORRLANDS LÄN</t>
        </is>
      </c>
      <c r="E1465" t="inlineStr">
        <is>
          <t>ÅNGE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41659-2023</t>
        </is>
      </c>
      <c r="B1466" s="1" t="n">
        <v>45176</v>
      </c>
      <c r="C1466" s="1" t="n">
        <v>45750</v>
      </c>
      <c r="D1466" t="inlineStr">
        <is>
          <t>VÄSTERNORRLANDS LÄN</t>
        </is>
      </c>
      <c r="E1466" t="inlineStr">
        <is>
          <t>ÅNGE</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41741-2023</t>
        </is>
      </c>
      <c r="B1467" s="1" t="n">
        <v>45176</v>
      </c>
      <c r="C1467" s="1" t="n">
        <v>45750</v>
      </c>
      <c r="D1467" t="inlineStr">
        <is>
          <t>VÄSTERNORRLANDS LÄN</t>
        </is>
      </c>
      <c r="E1467" t="inlineStr">
        <is>
          <t>ÅNGE</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42559-2023</t>
        </is>
      </c>
      <c r="B1468" s="1" t="n">
        <v>45176</v>
      </c>
      <c r="C1468" s="1" t="n">
        <v>45750</v>
      </c>
      <c r="D1468" t="inlineStr">
        <is>
          <t>VÄSTERNORRLANDS LÄN</t>
        </is>
      </c>
      <c r="E1468" t="inlineStr">
        <is>
          <t>ÅNGE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42699-2023</t>
        </is>
      </c>
      <c r="B1469" s="1" t="n">
        <v>45176</v>
      </c>
      <c r="C1469" s="1" t="n">
        <v>45750</v>
      </c>
      <c r="D1469" t="inlineStr">
        <is>
          <t>VÄSTERNORRLANDS LÄN</t>
        </is>
      </c>
      <c r="E1469" t="inlineStr">
        <is>
          <t>ÅNGE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42130-2023</t>
        </is>
      </c>
      <c r="B1470" s="1" t="n">
        <v>45177</v>
      </c>
      <c r="C1470" s="1" t="n">
        <v>45750</v>
      </c>
      <c r="D1470" t="inlineStr">
        <is>
          <t>VÄSTERNORRLANDS LÄN</t>
        </is>
      </c>
      <c r="E1470" t="inlineStr">
        <is>
          <t>ÅNGE</t>
        </is>
      </c>
      <c r="F1470" t="inlineStr">
        <is>
          <t>Holmen skog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42139-2023</t>
        </is>
      </c>
      <c r="B1471" s="1" t="n">
        <v>45177</v>
      </c>
      <c r="C1471" s="1" t="n">
        <v>45750</v>
      </c>
      <c r="D1471" t="inlineStr">
        <is>
          <t>VÄSTERNORRLANDS LÄN</t>
        </is>
      </c>
      <c r="E1471" t="inlineStr">
        <is>
          <t>ÅNGE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42346-2023</t>
        </is>
      </c>
      <c r="B1472" s="1" t="n">
        <v>45180</v>
      </c>
      <c r="C1472" s="1" t="n">
        <v>45750</v>
      </c>
      <c r="D1472" t="inlineStr">
        <is>
          <t>VÄSTERNORRLANDS LÄN</t>
        </is>
      </c>
      <c r="E1472" t="inlineStr">
        <is>
          <t>ÅNGE</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42242-2023</t>
        </is>
      </c>
      <c r="B1473" s="1" t="n">
        <v>45180</v>
      </c>
      <c r="C1473" s="1" t="n">
        <v>45750</v>
      </c>
      <c r="D1473" t="inlineStr">
        <is>
          <t>VÄSTERNORRLANDS LÄN</t>
        </is>
      </c>
      <c r="E1473" t="inlineStr">
        <is>
          <t>ÅNGE</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42506-2023</t>
        </is>
      </c>
      <c r="B1474" s="1" t="n">
        <v>45180</v>
      </c>
      <c r="C1474" s="1" t="n">
        <v>45750</v>
      </c>
      <c r="D1474" t="inlineStr">
        <is>
          <t>VÄSTERNORRLANDS LÄN</t>
        </is>
      </c>
      <c r="E1474" t="inlineStr">
        <is>
          <t>ÅNGE</t>
        </is>
      </c>
      <c r="F1474" t="inlineStr">
        <is>
          <t>SCA</t>
        </is>
      </c>
      <c r="G1474" t="n">
        <v>20.9</v>
      </c>
      <c r="H1474" t="n">
        <v>0</v>
      </c>
      <c r="I1474" t="n">
        <v>0</v>
      </c>
      <c r="J1474" t="n">
        <v>0</v>
      </c>
      <c r="K1474" t="n">
        <v>0</v>
      </c>
      <c r="L1474" t="n">
        <v>0</v>
      </c>
      <c r="M1474" t="n">
        <v>0</v>
      </c>
      <c r="N1474" t="n">
        <v>0</v>
      </c>
      <c r="O1474" t="n">
        <v>0</v>
      </c>
      <c r="P1474" t="n">
        <v>0</v>
      </c>
      <c r="Q1474" t="n">
        <v>0</v>
      </c>
      <c r="R1474" s="2" t="inlineStr"/>
    </row>
    <row r="1475" ht="15" customHeight="1">
      <c r="A1475" t="inlineStr">
        <is>
          <t>A 43053-2023</t>
        </is>
      </c>
      <c r="B1475" s="1" t="n">
        <v>45180</v>
      </c>
      <c r="C1475" s="1" t="n">
        <v>45750</v>
      </c>
      <c r="D1475" t="inlineStr">
        <is>
          <t>VÄSTERNORRLANDS LÄN</t>
        </is>
      </c>
      <c r="E1475" t="inlineStr">
        <is>
          <t>ÅNGE</t>
        </is>
      </c>
      <c r="F1475" t="inlineStr">
        <is>
          <t>SCA</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43218-2023</t>
        </is>
      </c>
      <c r="B1476" s="1" t="n">
        <v>45180</v>
      </c>
      <c r="C1476" s="1" t="n">
        <v>45750</v>
      </c>
      <c r="D1476" t="inlineStr">
        <is>
          <t>VÄSTERNORRLANDS LÄN</t>
        </is>
      </c>
      <c r="E1476" t="inlineStr">
        <is>
          <t>ÅNGE</t>
        </is>
      </c>
      <c r="F1476" t="inlineStr">
        <is>
          <t>SCA</t>
        </is>
      </c>
      <c r="G1476" t="n">
        <v>37.3</v>
      </c>
      <c r="H1476" t="n">
        <v>0</v>
      </c>
      <c r="I1476" t="n">
        <v>0</v>
      </c>
      <c r="J1476" t="n">
        <v>0</v>
      </c>
      <c r="K1476" t="n">
        <v>0</v>
      </c>
      <c r="L1476" t="n">
        <v>0</v>
      </c>
      <c r="M1476" t="n">
        <v>0</v>
      </c>
      <c r="N1476" t="n">
        <v>0</v>
      </c>
      <c r="O1476" t="n">
        <v>0</v>
      </c>
      <c r="P1476" t="n">
        <v>0</v>
      </c>
      <c r="Q1476" t="n">
        <v>0</v>
      </c>
      <c r="R1476" s="2" t="inlineStr"/>
    </row>
    <row r="1477" ht="15" customHeight="1">
      <c r="A1477" t="inlineStr">
        <is>
          <t>A 43186-2023</t>
        </is>
      </c>
      <c r="B1477" s="1" t="n">
        <v>45180</v>
      </c>
      <c r="C1477" s="1" t="n">
        <v>45750</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43552-2023</t>
        </is>
      </c>
      <c r="B1478" s="1" t="n">
        <v>45181</v>
      </c>
      <c r="C1478" s="1" t="n">
        <v>45750</v>
      </c>
      <c r="D1478" t="inlineStr">
        <is>
          <t>VÄSTERNORRLANDS LÄN</t>
        </is>
      </c>
      <c r="E1478" t="inlineStr">
        <is>
          <t>ÅNGE</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42881-2023</t>
        </is>
      </c>
      <c r="B1479" s="1" t="n">
        <v>45182</v>
      </c>
      <c r="C1479" s="1" t="n">
        <v>45750</v>
      </c>
      <c r="D1479" t="inlineStr">
        <is>
          <t>VÄSTERNORRLANDS LÄN</t>
        </is>
      </c>
      <c r="E1479" t="inlineStr">
        <is>
          <t>ÅNGE</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43096-2023</t>
        </is>
      </c>
      <c r="B1480" s="1" t="n">
        <v>45182</v>
      </c>
      <c r="C1480" s="1" t="n">
        <v>45750</v>
      </c>
      <c r="D1480" t="inlineStr">
        <is>
          <t>VÄSTERNORRLANDS LÄN</t>
        </is>
      </c>
      <c r="E1480" t="inlineStr">
        <is>
          <t>ÅNGE</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44178-2023</t>
        </is>
      </c>
      <c r="B1481" s="1" t="n">
        <v>45183</v>
      </c>
      <c r="C1481" s="1" t="n">
        <v>45750</v>
      </c>
      <c r="D1481" t="inlineStr">
        <is>
          <t>VÄSTERNORRLANDS LÄN</t>
        </is>
      </c>
      <c r="E1481" t="inlineStr">
        <is>
          <t>ÅNGE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44180-2023</t>
        </is>
      </c>
      <c r="B1482" s="1" t="n">
        <v>45183</v>
      </c>
      <c r="C1482" s="1" t="n">
        <v>45750</v>
      </c>
      <c r="D1482" t="inlineStr">
        <is>
          <t>VÄSTERNORRLANDS LÄN</t>
        </is>
      </c>
      <c r="E1482" t="inlineStr">
        <is>
          <t>ÅNGE</t>
        </is>
      </c>
      <c r="F1482" t="inlineStr">
        <is>
          <t>SCA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43615-2023</t>
        </is>
      </c>
      <c r="B1483" s="1" t="n">
        <v>45184</v>
      </c>
      <c r="C1483" s="1" t="n">
        <v>45750</v>
      </c>
      <c r="D1483" t="inlineStr">
        <is>
          <t>VÄSTERNORRLANDS LÄN</t>
        </is>
      </c>
      <c r="E1483" t="inlineStr">
        <is>
          <t>ÅNGE</t>
        </is>
      </c>
      <c r="F1483" t="inlineStr">
        <is>
          <t>Holmen skog AB</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43618-2023</t>
        </is>
      </c>
      <c r="B1484" s="1" t="n">
        <v>45184</v>
      </c>
      <c r="C1484" s="1" t="n">
        <v>45750</v>
      </c>
      <c r="D1484" t="inlineStr">
        <is>
          <t>VÄSTERNORRLANDS LÄN</t>
        </is>
      </c>
      <c r="E1484" t="inlineStr">
        <is>
          <t>ÅNGE</t>
        </is>
      </c>
      <c r="G1484" t="n">
        <v>22.6</v>
      </c>
      <c r="H1484" t="n">
        <v>0</v>
      </c>
      <c r="I1484" t="n">
        <v>0</v>
      </c>
      <c r="J1484" t="n">
        <v>0</v>
      </c>
      <c r="K1484" t="n">
        <v>0</v>
      </c>
      <c r="L1484" t="n">
        <v>0</v>
      </c>
      <c r="M1484" t="n">
        <v>0</v>
      </c>
      <c r="N1484" t="n">
        <v>0</v>
      </c>
      <c r="O1484" t="n">
        <v>0</v>
      </c>
      <c r="P1484" t="n">
        <v>0</v>
      </c>
      <c r="Q1484" t="n">
        <v>0</v>
      </c>
      <c r="R1484" s="2" t="inlineStr"/>
    </row>
    <row r="1485" ht="15" customHeight="1">
      <c r="A1485" t="inlineStr">
        <is>
          <t>A 43622-2023</t>
        </is>
      </c>
      <c r="B1485" s="1" t="n">
        <v>45184</v>
      </c>
      <c r="C1485" s="1" t="n">
        <v>45750</v>
      </c>
      <c r="D1485" t="inlineStr">
        <is>
          <t>VÄSTERNORRLANDS LÄN</t>
        </is>
      </c>
      <c r="E1485" t="inlineStr">
        <is>
          <t>ÅNGE</t>
        </is>
      </c>
      <c r="F1485" t="inlineStr">
        <is>
          <t>Holmen skog AB</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44639-2023</t>
        </is>
      </c>
      <c r="B1486" s="1" t="n">
        <v>45184</v>
      </c>
      <c r="C1486" s="1" t="n">
        <v>45750</v>
      </c>
      <c r="D1486" t="inlineStr">
        <is>
          <t>VÄSTERNORRLANDS LÄN</t>
        </is>
      </c>
      <c r="E1486" t="inlineStr">
        <is>
          <t>ÅNGE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43916-2023</t>
        </is>
      </c>
      <c r="B1487" s="1" t="n">
        <v>45187</v>
      </c>
      <c r="C1487" s="1" t="n">
        <v>45750</v>
      </c>
      <c r="D1487" t="inlineStr">
        <is>
          <t>VÄSTERNORRLANDS LÄN</t>
        </is>
      </c>
      <c r="E1487" t="inlineStr">
        <is>
          <t>ÅNGE</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43984-2023</t>
        </is>
      </c>
      <c r="B1488" s="1" t="n">
        <v>45187</v>
      </c>
      <c r="C1488" s="1" t="n">
        <v>45750</v>
      </c>
      <c r="D1488" t="inlineStr">
        <is>
          <t>VÄSTERNORRLANDS LÄN</t>
        </is>
      </c>
      <c r="E1488" t="inlineStr">
        <is>
          <t>ÅNGE</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44013-2023</t>
        </is>
      </c>
      <c r="B1489" s="1" t="n">
        <v>45188</v>
      </c>
      <c r="C1489" s="1" t="n">
        <v>45750</v>
      </c>
      <c r="D1489" t="inlineStr">
        <is>
          <t>VÄSTERNORRLANDS LÄN</t>
        </is>
      </c>
      <c r="E1489" t="inlineStr">
        <is>
          <t>ÅNGE</t>
        </is>
      </c>
      <c r="F1489" t="inlineStr">
        <is>
          <t>Holmen skog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44268-2023</t>
        </is>
      </c>
      <c r="B1490" s="1" t="n">
        <v>45188</v>
      </c>
      <c r="C1490" s="1" t="n">
        <v>45750</v>
      </c>
      <c r="D1490" t="inlineStr">
        <is>
          <t>VÄSTERNORRLANDS LÄN</t>
        </is>
      </c>
      <c r="E1490" t="inlineStr">
        <is>
          <t>ÅNGE</t>
        </is>
      </c>
      <c r="F1490" t="inlineStr">
        <is>
          <t>Holmen skog AB</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45572-2023</t>
        </is>
      </c>
      <c r="B1491" s="1" t="n">
        <v>45188</v>
      </c>
      <c r="C1491" s="1" t="n">
        <v>45750</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45598-2023</t>
        </is>
      </c>
      <c r="B1492" s="1" t="n">
        <v>45188</v>
      </c>
      <c r="C1492" s="1" t="n">
        <v>45750</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44979-2023</t>
        </is>
      </c>
      <c r="B1493" s="1" t="n">
        <v>45191</v>
      </c>
      <c r="C1493" s="1" t="n">
        <v>45750</v>
      </c>
      <c r="D1493" t="inlineStr">
        <is>
          <t>VÄSTERNORRLANDS LÄN</t>
        </is>
      </c>
      <c r="E1493" t="inlineStr">
        <is>
          <t>ÅNGE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45027-2023</t>
        </is>
      </c>
      <c r="B1494" s="1" t="n">
        <v>45191</v>
      </c>
      <c r="C1494" s="1" t="n">
        <v>45750</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45933-2023</t>
        </is>
      </c>
      <c r="B1495" s="1" t="n">
        <v>45195</v>
      </c>
      <c r="C1495" s="1" t="n">
        <v>45750</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45941-2023</t>
        </is>
      </c>
      <c r="B1496" s="1" t="n">
        <v>45196</v>
      </c>
      <c r="C1496" s="1" t="n">
        <v>45750</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45932-2023</t>
        </is>
      </c>
      <c r="B1497" s="1" t="n">
        <v>45195</v>
      </c>
      <c r="C1497" s="1" t="n">
        <v>45750</v>
      </c>
      <c r="D1497" t="inlineStr">
        <is>
          <t>VÄSTERNORRLANDS LÄN</t>
        </is>
      </c>
      <c r="E1497" t="inlineStr">
        <is>
          <t>ÅNGE</t>
        </is>
      </c>
      <c r="F1497" t="inlineStr">
        <is>
          <t>SCA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45940-2023</t>
        </is>
      </c>
      <c r="B1498" s="1" t="n">
        <v>45196</v>
      </c>
      <c r="C1498" s="1" t="n">
        <v>45750</v>
      </c>
      <c r="D1498" t="inlineStr">
        <is>
          <t>VÄSTERNORRLANDS LÄN</t>
        </is>
      </c>
      <c r="E1498" t="inlineStr">
        <is>
          <t>ÅNGE</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45717-2023</t>
        </is>
      </c>
      <c r="B1499" s="1" t="n">
        <v>45195</v>
      </c>
      <c r="C1499" s="1" t="n">
        <v>45750</v>
      </c>
      <c r="D1499" t="inlineStr">
        <is>
          <t>VÄSTERNORRLANDS LÄN</t>
        </is>
      </c>
      <c r="E1499" t="inlineStr">
        <is>
          <t>ÅNGE</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45939-2023</t>
        </is>
      </c>
      <c r="B1500" s="1" t="n">
        <v>45196</v>
      </c>
      <c r="C1500" s="1" t="n">
        <v>45750</v>
      </c>
      <c r="D1500" t="inlineStr">
        <is>
          <t>VÄSTERNORRLANDS LÄN</t>
        </is>
      </c>
      <c r="E1500" t="inlineStr">
        <is>
          <t>ÅNGE</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46254-2023</t>
        </is>
      </c>
      <c r="B1501" s="1" t="n">
        <v>45196</v>
      </c>
      <c r="C1501" s="1" t="n">
        <v>45750</v>
      </c>
      <c r="D1501" t="inlineStr">
        <is>
          <t>VÄSTERNORRLANDS LÄN</t>
        </is>
      </c>
      <c r="E1501" t="inlineStr">
        <is>
          <t>ÅNGE</t>
        </is>
      </c>
      <c r="F1501" t="inlineStr">
        <is>
          <t>SCA</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46262-2023</t>
        </is>
      </c>
      <c r="B1502" s="1" t="n">
        <v>45197</v>
      </c>
      <c r="C1502" s="1" t="n">
        <v>45750</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46332-2023</t>
        </is>
      </c>
      <c r="B1503" s="1" t="n">
        <v>45196</v>
      </c>
      <c r="C1503" s="1" t="n">
        <v>45750</v>
      </c>
      <c r="D1503" t="inlineStr">
        <is>
          <t>VÄSTERNORRLANDS LÄN</t>
        </is>
      </c>
      <c r="E1503" t="inlineStr">
        <is>
          <t>ÅNGE</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46255-2023</t>
        </is>
      </c>
      <c r="B1504" s="1" t="n">
        <v>45196</v>
      </c>
      <c r="C1504" s="1" t="n">
        <v>45750</v>
      </c>
      <c r="D1504" t="inlineStr">
        <is>
          <t>VÄSTERNORRLANDS LÄN</t>
        </is>
      </c>
      <c r="E1504" t="inlineStr">
        <is>
          <t>ÅNGE</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47324-2023</t>
        </is>
      </c>
      <c r="B1505" s="1" t="n">
        <v>45196</v>
      </c>
      <c r="C1505" s="1" t="n">
        <v>45750</v>
      </c>
      <c r="D1505" t="inlineStr">
        <is>
          <t>VÄSTERNORRLANDS LÄN</t>
        </is>
      </c>
      <c r="E1505" t="inlineStr">
        <is>
          <t>ÅNGE</t>
        </is>
      </c>
      <c r="F1505" t="inlineStr">
        <is>
          <t>SCA</t>
        </is>
      </c>
      <c r="G1505" t="n">
        <v>12.5</v>
      </c>
      <c r="H1505" t="n">
        <v>0</v>
      </c>
      <c r="I1505" t="n">
        <v>0</v>
      </c>
      <c r="J1505" t="n">
        <v>0</v>
      </c>
      <c r="K1505" t="n">
        <v>0</v>
      </c>
      <c r="L1505" t="n">
        <v>0</v>
      </c>
      <c r="M1505" t="n">
        <v>0</v>
      </c>
      <c r="N1505" t="n">
        <v>0</v>
      </c>
      <c r="O1505" t="n">
        <v>0</v>
      </c>
      <c r="P1505" t="n">
        <v>0</v>
      </c>
      <c r="Q1505" t="n">
        <v>0</v>
      </c>
      <c r="R1505" s="2" t="inlineStr"/>
    </row>
    <row r="1506" ht="15" customHeight="1">
      <c r="A1506" t="inlineStr">
        <is>
          <t>A 46211-2023</t>
        </is>
      </c>
      <c r="B1506" s="1" t="n">
        <v>45196</v>
      </c>
      <c r="C1506" s="1" t="n">
        <v>45750</v>
      </c>
      <c r="D1506" t="inlineStr">
        <is>
          <t>VÄSTERNORRLANDS LÄN</t>
        </is>
      </c>
      <c r="E1506" t="inlineStr">
        <is>
          <t>ÅNGE</t>
        </is>
      </c>
      <c r="F1506" t="inlineStr">
        <is>
          <t>Sveaskog</t>
        </is>
      </c>
      <c r="G1506" t="n">
        <v>13.1</v>
      </c>
      <c r="H1506" t="n">
        <v>0</v>
      </c>
      <c r="I1506" t="n">
        <v>0</v>
      </c>
      <c r="J1506" t="n">
        <v>0</v>
      </c>
      <c r="K1506" t="n">
        <v>0</v>
      </c>
      <c r="L1506" t="n">
        <v>0</v>
      </c>
      <c r="M1506" t="n">
        <v>0</v>
      </c>
      <c r="N1506" t="n">
        <v>0</v>
      </c>
      <c r="O1506" t="n">
        <v>0</v>
      </c>
      <c r="P1506" t="n">
        <v>0</v>
      </c>
      <c r="Q1506" t="n">
        <v>0</v>
      </c>
      <c r="R1506" s="2" t="inlineStr"/>
    </row>
    <row r="1507" ht="15" customHeight="1">
      <c r="A1507" t="inlineStr">
        <is>
          <t>A 47432-2023</t>
        </is>
      </c>
      <c r="B1507" s="1" t="n">
        <v>45197</v>
      </c>
      <c r="C1507" s="1" t="n">
        <v>45750</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46679-2023</t>
        </is>
      </c>
      <c r="B1508" s="1" t="n">
        <v>45198</v>
      </c>
      <c r="C1508" s="1" t="n">
        <v>45750</v>
      </c>
      <c r="D1508" t="inlineStr">
        <is>
          <t>VÄSTERNORRLANDS LÄN</t>
        </is>
      </c>
      <c r="E1508" t="inlineStr">
        <is>
          <t>ÅNGE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46689-2023</t>
        </is>
      </c>
      <c r="B1509" s="1" t="n">
        <v>45198</v>
      </c>
      <c r="C1509" s="1" t="n">
        <v>45750</v>
      </c>
      <c r="D1509" t="inlineStr">
        <is>
          <t>VÄSTERNORRLANDS LÄN</t>
        </is>
      </c>
      <c r="E1509" t="inlineStr">
        <is>
          <t>ÅNGE</t>
        </is>
      </c>
      <c r="F1509" t="inlineStr">
        <is>
          <t>Holmen skog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46681-2023</t>
        </is>
      </c>
      <c r="B1510" s="1" t="n">
        <v>45198</v>
      </c>
      <c r="C1510" s="1" t="n">
        <v>45750</v>
      </c>
      <c r="D1510" t="inlineStr">
        <is>
          <t>VÄSTERNORRLANDS LÄN</t>
        </is>
      </c>
      <c r="E1510" t="inlineStr">
        <is>
          <t>ÅNGE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46667-2023</t>
        </is>
      </c>
      <c r="B1511" s="1" t="n">
        <v>45198</v>
      </c>
      <c r="C1511" s="1" t="n">
        <v>45750</v>
      </c>
      <c r="D1511" t="inlineStr">
        <is>
          <t>VÄSTERNORRLANDS LÄN</t>
        </is>
      </c>
      <c r="E1511" t="inlineStr">
        <is>
          <t>ÅNGE</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46795-2023</t>
        </is>
      </c>
      <c r="B1512" s="1" t="n">
        <v>45198</v>
      </c>
      <c r="C1512" s="1" t="n">
        <v>45750</v>
      </c>
      <c r="D1512" t="inlineStr">
        <is>
          <t>VÄSTERNORRLANDS LÄN</t>
        </is>
      </c>
      <c r="E1512" t="inlineStr">
        <is>
          <t>ÅNGE</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47153-2023</t>
        </is>
      </c>
      <c r="B1513" s="1" t="n">
        <v>45202</v>
      </c>
      <c r="C1513" s="1" t="n">
        <v>45750</v>
      </c>
      <c r="D1513" t="inlineStr">
        <is>
          <t>VÄSTERNORRLANDS LÄN</t>
        </is>
      </c>
      <c r="E1513" t="inlineStr">
        <is>
          <t>ÅNGE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47233-2023</t>
        </is>
      </c>
      <c r="B1514" s="1" t="n">
        <v>45202</v>
      </c>
      <c r="C1514" s="1" t="n">
        <v>45750</v>
      </c>
      <c r="D1514" t="inlineStr">
        <is>
          <t>VÄSTERNORRLANDS LÄN</t>
        </is>
      </c>
      <c r="E1514" t="inlineStr">
        <is>
          <t>ÅNGE</t>
        </is>
      </c>
      <c r="F1514" t="inlineStr">
        <is>
          <t>Holmen skog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47489-2023</t>
        </is>
      </c>
      <c r="B1515" s="1" t="n">
        <v>45203</v>
      </c>
      <c r="C1515" s="1" t="n">
        <v>45750</v>
      </c>
      <c r="D1515" t="inlineStr">
        <is>
          <t>VÄSTERNORRLANDS LÄN</t>
        </is>
      </c>
      <c r="E1515" t="inlineStr">
        <is>
          <t>ÅNGE</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47488-2023</t>
        </is>
      </c>
      <c r="B1516" s="1" t="n">
        <v>45203</v>
      </c>
      <c r="C1516" s="1" t="n">
        <v>45750</v>
      </c>
      <c r="D1516" t="inlineStr">
        <is>
          <t>VÄSTERNORRLANDS LÄN</t>
        </is>
      </c>
      <c r="E1516" t="inlineStr">
        <is>
          <t>ÅNGE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47779-2023</t>
        </is>
      </c>
      <c r="B1517" s="1" t="n">
        <v>45204</v>
      </c>
      <c r="C1517" s="1" t="n">
        <v>45750</v>
      </c>
      <c r="D1517" t="inlineStr">
        <is>
          <t>VÄSTERNORRLANDS LÄN</t>
        </is>
      </c>
      <c r="E1517" t="inlineStr">
        <is>
          <t>ÅNGE</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47787-2023</t>
        </is>
      </c>
      <c r="B1518" s="1" t="n">
        <v>45203</v>
      </c>
      <c r="C1518" s="1" t="n">
        <v>45750</v>
      </c>
      <c r="D1518" t="inlineStr">
        <is>
          <t>VÄSTERNORRLANDS LÄN</t>
        </is>
      </c>
      <c r="E1518" t="inlineStr">
        <is>
          <t>ÅNGE</t>
        </is>
      </c>
      <c r="F1518" t="inlineStr">
        <is>
          <t>SCA</t>
        </is>
      </c>
      <c r="G1518" t="n">
        <v>50.1</v>
      </c>
      <c r="H1518" t="n">
        <v>0</v>
      </c>
      <c r="I1518" t="n">
        <v>0</v>
      </c>
      <c r="J1518" t="n">
        <v>0</v>
      </c>
      <c r="K1518" t="n">
        <v>0</v>
      </c>
      <c r="L1518" t="n">
        <v>0</v>
      </c>
      <c r="M1518" t="n">
        <v>0</v>
      </c>
      <c r="N1518" t="n">
        <v>0</v>
      </c>
      <c r="O1518" t="n">
        <v>0</v>
      </c>
      <c r="P1518" t="n">
        <v>0</v>
      </c>
      <c r="Q1518" t="n">
        <v>0</v>
      </c>
      <c r="R1518" s="2" t="inlineStr"/>
    </row>
    <row r="1519" ht="15" customHeight="1">
      <c r="A1519" t="inlineStr">
        <is>
          <t>A 47786-2023</t>
        </is>
      </c>
      <c r="B1519" s="1" t="n">
        <v>45203</v>
      </c>
      <c r="C1519" s="1" t="n">
        <v>45750</v>
      </c>
      <c r="D1519" t="inlineStr">
        <is>
          <t>VÄSTERNORRLANDS LÄN</t>
        </is>
      </c>
      <c r="E1519" t="inlineStr">
        <is>
          <t>ÅNGE</t>
        </is>
      </c>
      <c r="F1519" t="inlineStr">
        <is>
          <t>SCA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48815-2023</t>
        </is>
      </c>
      <c r="B1520" s="1" t="n">
        <v>45203</v>
      </c>
      <c r="C1520" s="1" t="n">
        <v>45750</v>
      </c>
      <c r="D1520" t="inlineStr">
        <is>
          <t>VÄSTERNORRLANDS LÄN</t>
        </is>
      </c>
      <c r="E1520" t="inlineStr">
        <is>
          <t>ÅNGE</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48811-2023</t>
        </is>
      </c>
      <c r="B1521" s="1" t="n">
        <v>45203</v>
      </c>
      <c r="C1521" s="1" t="n">
        <v>45750</v>
      </c>
      <c r="D1521" t="inlineStr">
        <is>
          <t>VÄSTERNORRLANDS LÄN</t>
        </is>
      </c>
      <c r="E1521" t="inlineStr">
        <is>
          <t>ÅNGE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48061-2023</t>
        </is>
      </c>
      <c r="B1522" s="1" t="n">
        <v>45205</v>
      </c>
      <c r="C1522" s="1" t="n">
        <v>45750</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48773-2023</t>
        </is>
      </c>
      <c r="B1523" s="1" t="n">
        <v>45209</v>
      </c>
      <c r="C1523" s="1" t="n">
        <v>45750</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48774-2023</t>
        </is>
      </c>
      <c r="B1524" s="1" t="n">
        <v>45208</v>
      </c>
      <c r="C1524" s="1" t="n">
        <v>45750</v>
      </c>
      <c r="D1524" t="inlineStr">
        <is>
          <t>VÄSTERNORRLANDS LÄN</t>
        </is>
      </c>
      <c r="E1524" t="inlineStr">
        <is>
          <t>ÅNGE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48632-2023</t>
        </is>
      </c>
      <c r="B1525" s="1" t="n">
        <v>45208</v>
      </c>
      <c r="C1525" s="1" t="n">
        <v>45750</v>
      </c>
      <c r="D1525" t="inlineStr">
        <is>
          <t>VÄSTERNORRLANDS LÄN</t>
        </is>
      </c>
      <c r="E1525" t="inlineStr">
        <is>
          <t>ÅNGE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50095-2023</t>
        </is>
      </c>
      <c r="B1526" s="1" t="n">
        <v>45208</v>
      </c>
      <c r="C1526" s="1" t="n">
        <v>45750</v>
      </c>
      <c r="D1526" t="inlineStr">
        <is>
          <t>VÄSTERNORRLANDS LÄN</t>
        </is>
      </c>
      <c r="E1526" t="inlineStr">
        <is>
          <t>ÅNGE</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49038-2023</t>
        </is>
      </c>
      <c r="B1527" s="1" t="n">
        <v>45209</v>
      </c>
      <c r="C1527" s="1" t="n">
        <v>45750</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49945-2023</t>
        </is>
      </c>
      <c r="B1528" s="1" t="n">
        <v>45215</v>
      </c>
      <c r="C1528" s="1" t="n">
        <v>45750</v>
      </c>
      <c r="D1528" t="inlineStr">
        <is>
          <t>VÄSTERNORRLANDS LÄN</t>
        </is>
      </c>
      <c r="E1528" t="inlineStr">
        <is>
          <t>ÅNGE</t>
        </is>
      </c>
      <c r="F1528" t="inlineStr">
        <is>
          <t>Holmen skog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50215-2023</t>
        </is>
      </c>
      <c r="B1529" s="1" t="n">
        <v>45216</v>
      </c>
      <c r="C1529" s="1" t="n">
        <v>45750</v>
      </c>
      <c r="D1529" t="inlineStr">
        <is>
          <t>VÄSTERNORRLANDS LÄN</t>
        </is>
      </c>
      <c r="E1529" t="inlineStr">
        <is>
          <t>ÅNGE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51890-2023</t>
        </is>
      </c>
      <c r="B1530" s="1" t="n">
        <v>45215</v>
      </c>
      <c r="C1530" s="1" t="n">
        <v>45750</v>
      </c>
      <c r="D1530" t="inlineStr">
        <is>
          <t>VÄSTERNORRLANDS LÄN</t>
        </is>
      </c>
      <c r="E1530" t="inlineStr">
        <is>
          <t>ÅNGE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51887-2023</t>
        </is>
      </c>
      <c r="B1531" s="1" t="n">
        <v>45215</v>
      </c>
      <c r="C1531" s="1" t="n">
        <v>45750</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51895-2023</t>
        </is>
      </c>
      <c r="B1532" s="1" t="n">
        <v>45215</v>
      </c>
      <c r="C1532" s="1" t="n">
        <v>45750</v>
      </c>
      <c r="D1532" t="inlineStr">
        <is>
          <t>VÄSTERNORRLANDS LÄN</t>
        </is>
      </c>
      <c r="E1532" t="inlineStr">
        <is>
          <t>ÅNGE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51609-2023</t>
        </is>
      </c>
      <c r="B1533" s="1" t="n">
        <v>45215</v>
      </c>
      <c r="C1533" s="1" t="n">
        <v>45750</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51899-2023</t>
        </is>
      </c>
      <c r="B1534" s="1" t="n">
        <v>45215</v>
      </c>
      <c r="C1534" s="1" t="n">
        <v>45750</v>
      </c>
      <c r="D1534" t="inlineStr">
        <is>
          <t>VÄSTERNORRLANDS LÄN</t>
        </is>
      </c>
      <c r="E1534" t="inlineStr">
        <is>
          <t>ÅNGE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50508-2023</t>
        </is>
      </c>
      <c r="B1535" s="1" t="n">
        <v>45217</v>
      </c>
      <c r="C1535" s="1" t="n">
        <v>45750</v>
      </c>
      <c r="D1535" t="inlineStr">
        <is>
          <t>VÄSTERNORRLANDS LÄN</t>
        </is>
      </c>
      <c r="E1535" t="inlineStr">
        <is>
          <t>ÅNGE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51011-2023</t>
        </is>
      </c>
      <c r="B1536" s="1" t="n">
        <v>45218</v>
      </c>
      <c r="C1536" s="1" t="n">
        <v>45750</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51055-2023</t>
        </is>
      </c>
      <c r="B1537" s="1" t="n">
        <v>45218</v>
      </c>
      <c r="C1537" s="1" t="n">
        <v>45750</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51411-2023</t>
        </is>
      </c>
      <c r="B1538" s="1" t="n">
        <v>45219</v>
      </c>
      <c r="C1538" s="1" t="n">
        <v>45750</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51270-2023</t>
        </is>
      </c>
      <c r="B1539" s="1" t="n">
        <v>45219</v>
      </c>
      <c r="C1539" s="1" t="n">
        <v>45750</v>
      </c>
      <c r="D1539" t="inlineStr">
        <is>
          <t>VÄSTERNORRLANDS LÄN</t>
        </is>
      </c>
      <c r="E1539" t="inlineStr">
        <is>
          <t>ÅNGE</t>
        </is>
      </c>
      <c r="F1539" t="inlineStr">
        <is>
          <t>Kyrkan</t>
        </is>
      </c>
      <c r="G1539" t="n">
        <v>16.2</v>
      </c>
      <c r="H1539" t="n">
        <v>0</v>
      </c>
      <c r="I1539" t="n">
        <v>0</v>
      </c>
      <c r="J1539" t="n">
        <v>0</v>
      </c>
      <c r="K1539" t="n">
        <v>0</v>
      </c>
      <c r="L1539" t="n">
        <v>0</v>
      </c>
      <c r="M1539" t="n">
        <v>0</v>
      </c>
      <c r="N1539" t="n">
        <v>0</v>
      </c>
      <c r="O1539" t="n">
        <v>0</v>
      </c>
      <c r="P1539" t="n">
        <v>0</v>
      </c>
      <c r="Q1539" t="n">
        <v>0</v>
      </c>
      <c r="R1539" s="2" t="inlineStr"/>
    </row>
    <row r="1540" ht="15" customHeight="1">
      <c r="A1540" t="inlineStr">
        <is>
          <t>A 51453-2023</t>
        </is>
      </c>
      <c r="B1540" s="1" t="n">
        <v>45220</v>
      </c>
      <c r="C1540" s="1" t="n">
        <v>45750</v>
      </c>
      <c r="D1540" t="inlineStr">
        <is>
          <t>VÄSTERNORRLANDS LÄN</t>
        </is>
      </c>
      <c r="E1540" t="inlineStr">
        <is>
          <t>ÅNGE</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51575-2023</t>
        </is>
      </c>
      <c r="B1541" s="1" t="n">
        <v>45222</v>
      </c>
      <c r="C1541" s="1" t="n">
        <v>45750</v>
      </c>
      <c r="D1541" t="inlineStr">
        <is>
          <t>VÄSTERNORRLANDS LÄN</t>
        </is>
      </c>
      <c r="E1541" t="inlineStr">
        <is>
          <t>ÅNGE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53246-2023</t>
        </is>
      </c>
      <c r="B1542" s="1" t="n">
        <v>45222</v>
      </c>
      <c r="C1542" s="1" t="n">
        <v>45750</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51810-2023</t>
        </is>
      </c>
      <c r="B1543" s="1" t="n">
        <v>45223</v>
      </c>
      <c r="C1543" s="1" t="n">
        <v>45750</v>
      </c>
      <c r="D1543" t="inlineStr">
        <is>
          <t>VÄSTERNORRLANDS LÄN</t>
        </is>
      </c>
      <c r="E1543" t="inlineStr">
        <is>
          <t>ÅNGE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51907-2023</t>
        </is>
      </c>
      <c r="B1544" s="1" t="n">
        <v>45223</v>
      </c>
      <c r="C1544" s="1" t="n">
        <v>45750</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52742-2023</t>
        </is>
      </c>
      <c r="B1545" s="1" t="n">
        <v>45226</v>
      </c>
      <c r="C1545" s="1" t="n">
        <v>45750</v>
      </c>
      <c r="D1545" t="inlineStr">
        <is>
          <t>VÄSTERNORRLANDS LÄN</t>
        </is>
      </c>
      <c r="E1545" t="inlineStr">
        <is>
          <t>ÅNGE</t>
        </is>
      </c>
      <c r="F1545" t="inlineStr">
        <is>
          <t>SCA</t>
        </is>
      </c>
      <c r="G1545" t="n">
        <v>19.8</v>
      </c>
      <c r="H1545" t="n">
        <v>0</v>
      </c>
      <c r="I1545" t="n">
        <v>0</v>
      </c>
      <c r="J1545" t="n">
        <v>0</v>
      </c>
      <c r="K1545" t="n">
        <v>0</v>
      </c>
      <c r="L1545" t="n">
        <v>0</v>
      </c>
      <c r="M1545" t="n">
        <v>0</v>
      </c>
      <c r="N1545" t="n">
        <v>0</v>
      </c>
      <c r="O1545" t="n">
        <v>0</v>
      </c>
      <c r="P1545" t="n">
        <v>0</v>
      </c>
      <c r="Q1545" t="n">
        <v>0</v>
      </c>
      <c r="R1545" s="2" t="inlineStr"/>
    </row>
    <row r="1546" ht="15" customHeight="1">
      <c r="A1546" t="inlineStr">
        <is>
          <t>A 54771-2023</t>
        </is>
      </c>
      <c r="B1546" s="1" t="n">
        <v>45229</v>
      </c>
      <c r="C1546" s="1" t="n">
        <v>45750</v>
      </c>
      <c r="D1546" t="inlineStr">
        <is>
          <t>VÄSTERNORRLANDS LÄN</t>
        </is>
      </c>
      <c r="E1546" t="inlineStr">
        <is>
          <t>ÅNGE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54754-2023</t>
        </is>
      </c>
      <c r="B1547" s="1" t="n">
        <v>45229</v>
      </c>
      <c r="C1547" s="1" t="n">
        <v>45750</v>
      </c>
      <c r="D1547" t="inlineStr">
        <is>
          <t>VÄSTERNORRLANDS LÄN</t>
        </is>
      </c>
      <c r="E1547" t="inlineStr">
        <is>
          <t>ÅNGE</t>
        </is>
      </c>
      <c r="G1547" t="n">
        <v>14.6</v>
      </c>
      <c r="H1547" t="n">
        <v>0</v>
      </c>
      <c r="I1547" t="n">
        <v>0</v>
      </c>
      <c r="J1547" t="n">
        <v>0</v>
      </c>
      <c r="K1547" t="n">
        <v>0</v>
      </c>
      <c r="L1547" t="n">
        <v>0</v>
      </c>
      <c r="M1547" t="n">
        <v>0</v>
      </c>
      <c r="N1547" t="n">
        <v>0</v>
      </c>
      <c r="O1547" t="n">
        <v>0</v>
      </c>
      <c r="P1547" t="n">
        <v>0</v>
      </c>
      <c r="Q1547" t="n">
        <v>0</v>
      </c>
      <c r="R1547" s="2" t="inlineStr"/>
    </row>
    <row r="1548" ht="15" customHeight="1">
      <c r="A1548" t="inlineStr">
        <is>
          <t>A 54761-2023</t>
        </is>
      </c>
      <c r="B1548" s="1" t="n">
        <v>45229</v>
      </c>
      <c r="C1548" s="1" t="n">
        <v>45750</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54823-2023</t>
        </is>
      </c>
      <c r="B1549" s="1" t="n">
        <v>45229</v>
      </c>
      <c r="C1549" s="1" t="n">
        <v>45750</v>
      </c>
      <c r="D1549" t="inlineStr">
        <is>
          <t>VÄSTERNORRLANDS LÄN</t>
        </is>
      </c>
      <c r="E1549" t="inlineStr">
        <is>
          <t>ÅNGE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54769-2023</t>
        </is>
      </c>
      <c r="B1550" s="1" t="n">
        <v>45229</v>
      </c>
      <c r="C1550" s="1" t="n">
        <v>45750</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54773-2023</t>
        </is>
      </c>
      <c r="B1551" s="1" t="n">
        <v>45229</v>
      </c>
      <c r="C1551" s="1" t="n">
        <v>45750</v>
      </c>
      <c r="D1551" t="inlineStr">
        <is>
          <t>VÄSTERNORRLANDS LÄN</t>
        </is>
      </c>
      <c r="E1551" t="inlineStr">
        <is>
          <t>ÅNGE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53651-2023</t>
        </is>
      </c>
      <c r="B1552" s="1" t="n">
        <v>45230</v>
      </c>
      <c r="C1552" s="1" t="n">
        <v>45750</v>
      </c>
      <c r="D1552" t="inlineStr">
        <is>
          <t>VÄSTERNORRLANDS LÄN</t>
        </is>
      </c>
      <c r="E1552" t="inlineStr">
        <is>
          <t>ÅNGE</t>
        </is>
      </c>
      <c r="F1552" t="inlineStr">
        <is>
          <t>Holmen skog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53627-2023</t>
        </is>
      </c>
      <c r="B1553" s="1" t="n">
        <v>45230</v>
      </c>
      <c r="C1553" s="1" t="n">
        <v>45750</v>
      </c>
      <c r="D1553" t="inlineStr">
        <is>
          <t>VÄSTERNORRLANDS LÄN</t>
        </is>
      </c>
      <c r="E1553" t="inlineStr">
        <is>
          <t>ÅNGE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53549-2023</t>
        </is>
      </c>
      <c r="B1554" s="1" t="n">
        <v>45230</v>
      </c>
      <c r="C1554" s="1" t="n">
        <v>45750</v>
      </c>
      <c r="D1554" t="inlineStr">
        <is>
          <t>VÄSTERNORRLANDS LÄN</t>
        </is>
      </c>
      <c r="E1554" t="inlineStr">
        <is>
          <t>ÅNGE</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53765-2023</t>
        </is>
      </c>
      <c r="B1555" s="1" t="n">
        <v>45231</v>
      </c>
      <c r="C1555" s="1" t="n">
        <v>45750</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53512-2023</t>
        </is>
      </c>
      <c r="B1556" s="1" t="n">
        <v>45230</v>
      </c>
      <c r="C1556" s="1" t="n">
        <v>45750</v>
      </c>
      <c r="D1556" t="inlineStr">
        <is>
          <t>VÄSTERNORRLANDS LÄN</t>
        </is>
      </c>
      <c r="E1556" t="inlineStr">
        <is>
          <t>ÅNGE</t>
        </is>
      </c>
      <c r="F1556" t="inlineStr">
        <is>
          <t>Holmen skog AB</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54079-2023</t>
        </is>
      </c>
      <c r="B1557" s="1" t="n">
        <v>45231</v>
      </c>
      <c r="C1557" s="1" t="n">
        <v>45750</v>
      </c>
      <c r="D1557" t="inlineStr">
        <is>
          <t>VÄSTERNORRLANDS LÄN</t>
        </is>
      </c>
      <c r="E1557" t="inlineStr">
        <is>
          <t>ÅNGE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54060-2023</t>
        </is>
      </c>
      <c r="B1558" s="1" t="n">
        <v>45232</v>
      </c>
      <c r="C1558" s="1" t="n">
        <v>45750</v>
      </c>
      <c r="D1558" t="inlineStr">
        <is>
          <t>VÄSTERNORRLANDS LÄN</t>
        </is>
      </c>
      <c r="E1558" t="inlineStr">
        <is>
          <t>ÅNGE</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54065-2023</t>
        </is>
      </c>
      <c r="B1559" s="1" t="n">
        <v>45232</v>
      </c>
      <c r="C1559" s="1" t="n">
        <v>45750</v>
      </c>
      <c r="D1559" t="inlineStr">
        <is>
          <t>VÄSTERNORRLANDS LÄN</t>
        </is>
      </c>
      <c r="E1559" t="inlineStr">
        <is>
          <t>ÅNGE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54338-2023</t>
        </is>
      </c>
      <c r="B1560" s="1" t="n">
        <v>45232</v>
      </c>
      <c r="C1560" s="1" t="n">
        <v>45750</v>
      </c>
      <c r="D1560" t="inlineStr">
        <is>
          <t>VÄSTERNORRLANDS LÄN</t>
        </is>
      </c>
      <c r="E1560" t="inlineStr">
        <is>
          <t>ÅNGE</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54342-2023</t>
        </is>
      </c>
      <c r="B1561" s="1" t="n">
        <v>45232</v>
      </c>
      <c r="C1561" s="1" t="n">
        <v>45750</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54346-2023</t>
        </is>
      </c>
      <c r="B1562" s="1" t="n">
        <v>45233</v>
      </c>
      <c r="C1562" s="1" t="n">
        <v>45750</v>
      </c>
      <c r="D1562" t="inlineStr">
        <is>
          <t>VÄSTERNORRLANDS LÄN</t>
        </is>
      </c>
      <c r="E1562" t="inlineStr">
        <is>
          <t>ÅNGE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54336-2023</t>
        </is>
      </c>
      <c r="B1563" s="1" t="n">
        <v>45233</v>
      </c>
      <c r="C1563" s="1" t="n">
        <v>45750</v>
      </c>
      <c r="D1563" t="inlineStr">
        <is>
          <t>VÄSTERNORRLANDS LÄN</t>
        </is>
      </c>
      <c r="E1563" t="inlineStr">
        <is>
          <t>ÅNGE</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54341-2023</t>
        </is>
      </c>
      <c r="B1564" s="1" t="n">
        <v>45232</v>
      </c>
      <c r="C1564" s="1" t="n">
        <v>45750</v>
      </c>
      <c r="D1564" t="inlineStr">
        <is>
          <t>VÄSTERNORRLANDS LÄN</t>
        </is>
      </c>
      <c r="E1564" t="inlineStr">
        <is>
          <t>ÅNGE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54339-2023</t>
        </is>
      </c>
      <c r="B1565" s="1" t="n">
        <v>45233</v>
      </c>
      <c r="C1565" s="1" t="n">
        <v>45750</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54613-2023</t>
        </is>
      </c>
      <c r="B1566" s="1" t="n">
        <v>45233</v>
      </c>
      <c r="C1566" s="1" t="n">
        <v>45750</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54611-2023</t>
        </is>
      </c>
      <c r="B1567" s="1" t="n">
        <v>45233</v>
      </c>
      <c r="C1567" s="1" t="n">
        <v>45750</v>
      </c>
      <c r="D1567" t="inlineStr">
        <is>
          <t>VÄSTERNORRLANDS LÄN</t>
        </is>
      </c>
      <c r="E1567" t="inlineStr">
        <is>
          <t>ÅNGE</t>
        </is>
      </c>
      <c r="F1567" t="inlineStr">
        <is>
          <t>SCA</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54614-2023</t>
        </is>
      </c>
      <c r="B1568" s="1" t="n">
        <v>45233</v>
      </c>
      <c r="C1568" s="1" t="n">
        <v>45750</v>
      </c>
      <c r="D1568" t="inlineStr">
        <is>
          <t>VÄSTERNORRLANDS LÄN</t>
        </is>
      </c>
      <c r="E1568" t="inlineStr">
        <is>
          <t>ÅNGE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54602-2023</t>
        </is>
      </c>
      <c r="B1569" s="1" t="n">
        <v>45233</v>
      </c>
      <c r="C1569" s="1" t="n">
        <v>45750</v>
      </c>
      <c r="D1569" t="inlineStr">
        <is>
          <t>VÄSTERNORRLANDS LÄN</t>
        </is>
      </c>
      <c r="E1569" t="inlineStr">
        <is>
          <t>ÅNGE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54566-2023</t>
        </is>
      </c>
      <c r="B1570" s="1" t="n">
        <v>45233</v>
      </c>
      <c r="C1570" s="1" t="n">
        <v>45750</v>
      </c>
      <c r="D1570" t="inlineStr">
        <is>
          <t>VÄSTERNORRLANDS LÄN</t>
        </is>
      </c>
      <c r="E1570" t="inlineStr">
        <is>
          <t>ÅNGE</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54982-2023</t>
        </is>
      </c>
      <c r="B1571" s="1" t="n">
        <v>45236</v>
      </c>
      <c r="C1571" s="1" t="n">
        <v>45750</v>
      </c>
      <c r="D1571" t="inlineStr">
        <is>
          <t>VÄSTERNORRLANDS LÄN</t>
        </is>
      </c>
      <c r="E1571" t="inlineStr">
        <is>
          <t>ÅNGE</t>
        </is>
      </c>
      <c r="F1571" t="inlineStr">
        <is>
          <t>SCA</t>
        </is>
      </c>
      <c r="G1571" t="n">
        <v>26.2</v>
      </c>
      <c r="H1571" t="n">
        <v>0</v>
      </c>
      <c r="I1571" t="n">
        <v>0</v>
      </c>
      <c r="J1571" t="n">
        <v>0</v>
      </c>
      <c r="K1571" t="n">
        <v>0</v>
      </c>
      <c r="L1571" t="n">
        <v>0</v>
      </c>
      <c r="M1571" t="n">
        <v>0</v>
      </c>
      <c r="N1571" t="n">
        <v>0</v>
      </c>
      <c r="O1571" t="n">
        <v>0</v>
      </c>
      <c r="P1571" t="n">
        <v>0</v>
      </c>
      <c r="Q1571" t="n">
        <v>0</v>
      </c>
      <c r="R1571" s="2" t="inlineStr"/>
    </row>
    <row r="1572" ht="15" customHeight="1">
      <c r="A1572" t="inlineStr">
        <is>
          <t>A 55329-2023</t>
        </is>
      </c>
      <c r="B1572" s="1" t="n">
        <v>45237</v>
      </c>
      <c r="C1572" s="1" t="n">
        <v>45750</v>
      </c>
      <c r="D1572" t="inlineStr">
        <is>
          <t>VÄSTERNORRLANDS LÄN</t>
        </is>
      </c>
      <c r="E1572" t="inlineStr">
        <is>
          <t>ÅNGE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55324-2023</t>
        </is>
      </c>
      <c r="B1573" s="1" t="n">
        <v>45238</v>
      </c>
      <c r="C1573" s="1" t="n">
        <v>45750</v>
      </c>
      <c r="D1573" t="inlineStr">
        <is>
          <t>VÄSTERNORRLANDS LÄN</t>
        </is>
      </c>
      <c r="E1573" t="inlineStr">
        <is>
          <t>ÅNGE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55328-2023</t>
        </is>
      </c>
      <c r="B1574" s="1" t="n">
        <v>45237</v>
      </c>
      <c r="C1574" s="1" t="n">
        <v>45750</v>
      </c>
      <c r="D1574" t="inlineStr">
        <is>
          <t>VÄSTERNORRLANDS LÄN</t>
        </is>
      </c>
      <c r="E1574" t="inlineStr">
        <is>
          <t>ÅNGE</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55664-2023</t>
        </is>
      </c>
      <c r="B1575" s="1" t="n">
        <v>45239</v>
      </c>
      <c r="C1575" s="1" t="n">
        <v>45750</v>
      </c>
      <c r="D1575" t="inlineStr">
        <is>
          <t>VÄSTERNORRLANDS LÄN</t>
        </is>
      </c>
      <c r="E1575" t="inlineStr">
        <is>
          <t>ÅNGE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55670-2023</t>
        </is>
      </c>
      <c r="B1576" s="1" t="n">
        <v>45239</v>
      </c>
      <c r="C1576" s="1" t="n">
        <v>45750</v>
      </c>
      <c r="D1576" t="inlineStr">
        <is>
          <t>VÄSTERNORRLANDS LÄN</t>
        </is>
      </c>
      <c r="E1576" t="inlineStr">
        <is>
          <t>ÅNGE</t>
        </is>
      </c>
      <c r="F1576" t="inlineStr">
        <is>
          <t>SCA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56519-2023</t>
        </is>
      </c>
      <c r="B1577" s="1" t="n">
        <v>45238</v>
      </c>
      <c r="C1577" s="1" t="n">
        <v>45750</v>
      </c>
      <c r="D1577" t="inlineStr">
        <is>
          <t>VÄSTERNORRLANDS LÄN</t>
        </is>
      </c>
      <c r="E1577" t="inlineStr">
        <is>
          <t>ÅNGE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55924-2023</t>
        </is>
      </c>
      <c r="B1578" s="1" t="n">
        <v>45239</v>
      </c>
      <c r="C1578" s="1" t="n">
        <v>45750</v>
      </c>
      <c r="D1578" t="inlineStr">
        <is>
          <t>VÄSTERNORRLANDS LÄN</t>
        </is>
      </c>
      <c r="E1578" t="inlineStr">
        <is>
          <t>ÅNGE</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55932-2023</t>
        </is>
      </c>
      <c r="B1579" s="1" t="n">
        <v>45239</v>
      </c>
      <c r="C1579" s="1" t="n">
        <v>45750</v>
      </c>
      <c r="D1579" t="inlineStr">
        <is>
          <t>VÄSTERNORRLANDS LÄN</t>
        </is>
      </c>
      <c r="E1579" t="inlineStr">
        <is>
          <t>ÅNGE</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55925-2023</t>
        </is>
      </c>
      <c r="B1580" s="1" t="n">
        <v>45240</v>
      </c>
      <c r="C1580" s="1" t="n">
        <v>45750</v>
      </c>
      <c r="D1580" t="inlineStr">
        <is>
          <t>VÄSTERNORRLANDS LÄN</t>
        </is>
      </c>
      <c r="E1580" t="inlineStr">
        <is>
          <t>ÅNGE</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57109-2023</t>
        </is>
      </c>
      <c r="B1581" s="1" t="n">
        <v>45239</v>
      </c>
      <c r="C1581" s="1" t="n">
        <v>45750</v>
      </c>
      <c r="D1581" t="inlineStr">
        <is>
          <t>VÄSTERNORRLANDS LÄN</t>
        </is>
      </c>
      <c r="E1581" t="inlineStr">
        <is>
          <t>ÅNGE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56585-2023</t>
        </is>
      </c>
      <c r="B1582" s="1" t="n">
        <v>45243</v>
      </c>
      <c r="C1582" s="1" t="n">
        <v>45750</v>
      </c>
      <c r="D1582" t="inlineStr">
        <is>
          <t>VÄSTERNORRLANDS LÄN</t>
        </is>
      </c>
      <c r="E1582" t="inlineStr">
        <is>
          <t>ÅNGE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56615-2023</t>
        </is>
      </c>
      <c r="B1583" s="1" t="n">
        <v>45243</v>
      </c>
      <c r="C1583" s="1" t="n">
        <v>45750</v>
      </c>
      <c r="D1583" t="inlineStr">
        <is>
          <t>VÄSTERNORRLANDS LÄN</t>
        </is>
      </c>
      <c r="E1583" t="inlineStr">
        <is>
          <t>ÅNGE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56683-2023</t>
        </is>
      </c>
      <c r="B1584" s="1" t="n">
        <v>45243</v>
      </c>
      <c r="C1584" s="1" t="n">
        <v>45750</v>
      </c>
      <c r="D1584" t="inlineStr">
        <is>
          <t>VÄSTERNORRLANDS LÄN</t>
        </is>
      </c>
      <c r="E1584" t="inlineStr">
        <is>
          <t>ÅNGE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56699-2023</t>
        </is>
      </c>
      <c r="B1585" s="1" t="n">
        <v>45243</v>
      </c>
      <c r="C1585" s="1" t="n">
        <v>45750</v>
      </c>
      <c r="D1585" t="inlineStr">
        <is>
          <t>VÄSTERNORRLANDS LÄN</t>
        </is>
      </c>
      <c r="E1585" t="inlineStr">
        <is>
          <t>ÅNGE</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57560-2023</t>
        </is>
      </c>
      <c r="B1586" s="1" t="n">
        <v>45243</v>
      </c>
      <c r="C1586" s="1" t="n">
        <v>45750</v>
      </c>
      <c r="D1586" t="inlineStr">
        <is>
          <t>VÄSTERNORRLANDS LÄN</t>
        </is>
      </c>
      <c r="E1586" t="inlineStr">
        <is>
          <t>ÅNGE</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56696-2023</t>
        </is>
      </c>
      <c r="B1587" s="1" t="n">
        <v>45244</v>
      </c>
      <c r="C1587" s="1" t="n">
        <v>45750</v>
      </c>
      <c r="D1587" t="inlineStr">
        <is>
          <t>VÄSTERNORRLANDS LÄN</t>
        </is>
      </c>
      <c r="E1587" t="inlineStr">
        <is>
          <t>ÅNGE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56700-2023</t>
        </is>
      </c>
      <c r="B1588" s="1" t="n">
        <v>45244</v>
      </c>
      <c r="C1588" s="1" t="n">
        <v>45750</v>
      </c>
      <c r="D1588" t="inlineStr">
        <is>
          <t>VÄSTERNORRLANDS LÄN</t>
        </is>
      </c>
      <c r="E1588" t="inlineStr">
        <is>
          <t>ÅNGE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57396-2023</t>
        </is>
      </c>
      <c r="B1589" s="1" t="n">
        <v>45245</v>
      </c>
      <c r="C1589" s="1" t="n">
        <v>45750</v>
      </c>
      <c r="D1589" t="inlineStr">
        <is>
          <t>VÄSTERNORRLANDS LÄN</t>
        </is>
      </c>
      <c r="E1589" t="inlineStr">
        <is>
          <t>ÅNGE</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57408-2023</t>
        </is>
      </c>
      <c r="B1590" s="1" t="n">
        <v>45245</v>
      </c>
      <c r="C1590" s="1" t="n">
        <v>45750</v>
      </c>
      <c r="D1590" t="inlineStr">
        <is>
          <t>VÄSTERNORRLANDS LÄN</t>
        </is>
      </c>
      <c r="E1590" t="inlineStr">
        <is>
          <t>ÅNGE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57406-2023</t>
        </is>
      </c>
      <c r="B1591" s="1" t="n">
        <v>45245</v>
      </c>
      <c r="C1591" s="1" t="n">
        <v>45750</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57410-2023</t>
        </is>
      </c>
      <c r="B1592" s="1" t="n">
        <v>45245</v>
      </c>
      <c r="C1592" s="1" t="n">
        <v>45750</v>
      </c>
      <c r="D1592" t="inlineStr">
        <is>
          <t>VÄSTERNORRLANDS LÄN</t>
        </is>
      </c>
      <c r="E1592" t="inlineStr">
        <is>
          <t>ÅNGE</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57516-2023</t>
        </is>
      </c>
      <c r="B1593" s="1" t="n">
        <v>45246</v>
      </c>
      <c r="C1593" s="1" t="n">
        <v>45750</v>
      </c>
      <c r="D1593" t="inlineStr">
        <is>
          <t>VÄSTERNORRLANDS LÄN</t>
        </is>
      </c>
      <c r="E1593" t="inlineStr">
        <is>
          <t>ÅNGE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57568-2023</t>
        </is>
      </c>
      <c r="B1594" s="1" t="n">
        <v>45246</v>
      </c>
      <c r="C1594" s="1" t="n">
        <v>45750</v>
      </c>
      <c r="D1594" t="inlineStr">
        <is>
          <t>VÄSTERNORRLANDS LÄN</t>
        </is>
      </c>
      <c r="E1594" t="inlineStr">
        <is>
          <t>ÅNGE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57791-2023</t>
        </is>
      </c>
      <c r="B1595" s="1" t="n">
        <v>45247</v>
      </c>
      <c r="C1595" s="1" t="n">
        <v>45750</v>
      </c>
      <c r="D1595" t="inlineStr">
        <is>
          <t>VÄSTERNORRLANDS LÄN</t>
        </is>
      </c>
      <c r="E1595" t="inlineStr">
        <is>
          <t>ÅNGE</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57780-2023</t>
        </is>
      </c>
      <c r="B1596" s="1" t="n">
        <v>45247</v>
      </c>
      <c r="C1596" s="1" t="n">
        <v>45750</v>
      </c>
      <c r="D1596" t="inlineStr">
        <is>
          <t>VÄSTERNORRLANDS LÄN</t>
        </is>
      </c>
      <c r="E1596" t="inlineStr">
        <is>
          <t>ÅNGE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57927-2023</t>
        </is>
      </c>
      <c r="B1597" s="1" t="n">
        <v>45247</v>
      </c>
      <c r="C1597" s="1" t="n">
        <v>45750</v>
      </c>
      <c r="D1597" t="inlineStr">
        <is>
          <t>VÄSTERNORRLANDS LÄN</t>
        </is>
      </c>
      <c r="E1597" t="inlineStr">
        <is>
          <t>ÅNGE</t>
        </is>
      </c>
      <c r="F1597" t="inlineStr">
        <is>
          <t>Holmen skog AB</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57956-2023</t>
        </is>
      </c>
      <c r="B1598" s="1" t="n">
        <v>45247</v>
      </c>
      <c r="C1598" s="1" t="n">
        <v>45750</v>
      </c>
      <c r="D1598" t="inlineStr">
        <is>
          <t>VÄSTERNORRLANDS LÄN</t>
        </is>
      </c>
      <c r="E1598" t="inlineStr">
        <is>
          <t>ÅNGE</t>
        </is>
      </c>
      <c r="F1598" t="inlineStr">
        <is>
          <t>Holmen skog AB</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58086-2023</t>
        </is>
      </c>
      <c r="B1599" s="1" t="n">
        <v>45248</v>
      </c>
      <c r="C1599" s="1" t="n">
        <v>45750</v>
      </c>
      <c r="D1599" t="inlineStr">
        <is>
          <t>VÄSTERNORRLANDS LÄN</t>
        </is>
      </c>
      <c r="E1599" t="inlineStr">
        <is>
          <t>ÅNGE</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58098-2023</t>
        </is>
      </c>
      <c r="B1600" s="1" t="n">
        <v>45248</v>
      </c>
      <c r="C1600" s="1" t="n">
        <v>45750</v>
      </c>
      <c r="D1600" t="inlineStr">
        <is>
          <t>VÄSTERNORRLANDS LÄN</t>
        </is>
      </c>
      <c r="E1600" t="inlineStr">
        <is>
          <t>ÅNGE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58287-2023</t>
        </is>
      </c>
      <c r="B1601" s="1" t="n">
        <v>45250</v>
      </c>
      <c r="C1601" s="1" t="n">
        <v>45750</v>
      </c>
      <c r="D1601" t="inlineStr">
        <is>
          <t>VÄSTERNORRLANDS LÄN</t>
        </is>
      </c>
      <c r="E1601" t="inlineStr">
        <is>
          <t>ÅNGE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58469-2023</t>
        </is>
      </c>
      <c r="B1602" s="1" t="n">
        <v>45250</v>
      </c>
      <c r="C1602" s="1" t="n">
        <v>45750</v>
      </c>
      <c r="D1602" t="inlineStr">
        <is>
          <t>VÄSTERNORRLANDS LÄN</t>
        </is>
      </c>
      <c r="E1602" t="inlineStr">
        <is>
          <t>ÅNGE</t>
        </is>
      </c>
      <c r="F1602" t="inlineStr">
        <is>
          <t>SCA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58522-2023</t>
        </is>
      </c>
      <c r="B1603" s="1" t="n">
        <v>45251</v>
      </c>
      <c r="C1603" s="1" t="n">
        <v>45750</v>
      </c>
      <c r="D1603" t="inlineStr">
        <is>
          <t>VÄSTERNORRLANDS LÄN</t>
        </is>
      </c>
      <c r="E1603" t="inlineStr">
        <is>
          <t>ÅNGE</t>
        </is>
      </c>
      <c r="F1603" t="inlineStr">
        <is>
          <t>Övriga Aktiebolag</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58550-2023</t>
        </is>
      </c>
      <c r="B1604" s="1" t="n">
        <v>45251</v>
      </c>
      <c r="C1604" s="1" t="n">
        <v>45750</v>
      </c>
      <c r="D1604" t="inlineStr">
        <is>
          <t>VÄSTERNORRLANDS LÄN</t>
        </is>
      </c>
      <c r="E1604" t="inlineStr">
        <is>
          <t>ÅNGE</t>
        </is>
      </c>
      <c r="F1604" t="inlineStr">
        <is>
          <t>Övriga Aktiebolag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58613-2023</t>
        </is>
      </c>
      <c r="B1605" s="1" t="n">
        <v>45251</v>
      </c>
      <c r="C1605" s="1" t="n">
        <v>45750</v>
      </c>
      <c r="D1605" t="inlineStr">
        <is>
          <t>VÄSTERNORRLANDS LÄN</t>
        </is>
      </c>
      <c r="E1605" t="inlineStr">
        <is>
          <t>ÅNGE</t>
        </is>
      </c>
      <c r="F1605" t="inlineStr">
        <is>
          <t>Övriga Aktiebolag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58634-2023</t>
        </is>
      </c>
      <c r="B1606" s="1" t="n">
        <v>45251</v>
      </c>
      <c r="C1606" s="1" t="n">
        <v>45750</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58637-2023</t>
        </is>
      </c>
      <c r="B1607" s="1" t="n">
        <v>45251</v>
      </c>
      <c r="C1607" s="1" t="n">
        <v>45750</v>
      </c>
      <c r="D1607" t="inlineStr">
        <is>
          <t>VÄSTERNORRLANDS LÄN</t>
        </is>
      </c>
      <c r="E1607" t="inlineStr">
        <is>
          <t>ÅNGE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58774-2023</t>
        </is>
      </c>
      <c r="B1608" s="1" t="n">
        <v>45251</v>
      </c>
      <c r="C1608" s="1" t="n">
        <v>45750</v>
      </c>
      <c r="D1608" t="inlineStr">
        <is>
          <t>VÄSTERNORRLANDS LÄN</t>
        </is>
      </c>
      <c r="E1608" t="inlineStr">
        <is>
          <t>ÅNGE</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58748-2023</t>
        </is>
      </c>
      <c r="B1609" s="1" t="n">
        <v>45251</v>
      </c>
      <c r="C1609" s="1" t="n">
        <v>45750</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58639-2023</t>
        </is>
      </c>
      <c r="B1610" s="1" t="n">
        <v>45251</v>
      </c>
      <c r="C1610" s="1" t="n">
        <v>45750</v>
      </c>
      <c r="D1610" t="inlineStr">
        <is>
          <t>VÄSTERNORRLANDS LÄN</t>
        </is>
      </c>
      <c r="E1610" t="inlineStr">
        <is>
          <t>ÅNGE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58997-2023</t>
        </is>
      </c>
      <c r="B1611" s="1" t="n">
        <v>45252</v>
      </c>
      <c r="C1611" s="1" t="n">
        <v>45750</v>
      </c>
      <c r="D1611" t="inlineStr">
        <is>
          <t>VÄSTERNORRLANDS LÄN</t>
        </is>
      </c>
      <c r="E1611" t="inlineStr">
        <is>
          <t>ÅNGE</t>
        </is>
      </c>
      <c r="F1611" t="inlineStr">
        <is>
          <t>Övriga Aktiebolag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59099-2023</t>
        </is>
      </c>
      <c r="B1612" s="1" t="n">
        <v>45253</v>
      </c>
      <c r="C1612" s="1" t="n">
        <v>45750</v>
      </c>
      <c r="D1612" t="inlineStr">
        <is>
          <t>VÄSTERNORRLANDS LÄN</t>
        </is>
      </c>
      <c r="E1612" t="inlineStr">
        <is>
          <t>ÅNGE</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59264-2023</t>
        </is>
      </c>
      <c r="B1613" s="1" t="n">
        <v>45253</v>
      </c>
      <c r="C1613" s="1" t="n">
        <v>45750</v>
      </c>
      <c r="D1613" t="inlineStr">
        <is>
          <t>VÄSTERNORRLANDS LÄN</t>
        </is>
      </c>
      <c r="E1613" t="inlineStr">
        <is>
          <t>ÅNGE</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59491-2023</t>
        </is>
      </c>
      <c r="B1614" s="1" t="n">
        <v>45254</v>
      </c>
      <c r="C1614" s="1" t="n">
        <v>45750</v>
      </c>
      <c r="D1614" t="inlineStr">
        <is>
          <t>VÄSTERNORRLANDS LÄN</t>
        </is>
      </c>
      <c r="E1614" t="inlineStr">
        <is>
          <t>ÅNGE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60005-2023</t>
        </is>
      </c>
      <c r="B1615" s="1" t="n">
        <v>45258</v>
      </c>
      <c r="C1615" s="1" t="n">
        <v>45750</v>
      </c>
      <c r="D1615" t="inlineStr">
        <is>
          <t>VÄSTERNORRLANDS LÄN</t>
        </is>
      </c>
      <c r="E1615" t="inlineStr">
        <is>
          <t>ÅNGE</t>
        </is>
      </c>
      <c r="F1615" t="inlineStr">
        <is>
          <t>SCA</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60004-2023</t>
        </is>
      </c>
      <c r="B1616" s="1" t="n">
        <v>45257</v>
      </c>
      <c r="C1616" s="1" t="n">
        <v>45750</v>
      </c>
      <c r="D1616" t="inlineStr">
        <is>
          <t>VÄSTERNORRLANDS LÄN</t>
        </is>
      </c>
      <c r="E1616" t="inlineStr">
        <is>
          <t>ÅNGE</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60205-2023</t>
        </is>
      </c>
      <c r="B1617" s="1" t="n">
        <v>45257</v>
      </c>
      <c r="C1617" s="1" t="n">
        <v>45750</v>
      </c>
      <c r="D1617" t="inlineStr">
        <is>
          <t>VÄSTERNORRLANDS LÄN</t>
        </is>
      </c>
      <c r="E1617" t="inlineStr">
        <is>
          <t>ÅNGE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60216-2023</t>
        </is>
      </c>
      <c r="B1618" s="1" t="n">
        <v>45257</v>
      </c>
      <c r="C1618" s="1" t="n">
        <v>45750</v>
      </c>
      <c r="D1618" t="inlineStr">
        <is>
          <t>VÄSTERNORRLANDS LÄN</t>
        </is>
      </c>
      <c r="E1618" t="inlineStr">
        <is>
          <t>ÅNGE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60001-2023</t>
        </is>
      </c>
      <c r="B1619" s="1" t="n">
        <v>45257</v>
      </c>
      <c r="C1619" s="1" t="n">
        <v>45750</v>
      </c>
      <c r="D1619" t="inlineStr">
        <is>
          <t>VÄSTERNORRLANDS LÄN</t>
        </is>
      </c>
      <c r="E1619" t="inlineStr">
        <is>
          <t>ÅNGE</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60209-2023</t>
        </is>
      </c>
      <c r="B1620" s="1" t="n">
        <v>45257</v>
      </c>
      <c r="C1620" s="1" t="n">
        <v>45750</v>
      </c>
      <c r="D1620" t="inlineStr">
        <is>
          <t>VÄSTERNORRLANDS LÄN</t>
        </is>
      </c>
      <c r="E1620" t="inlineStr">
        <is>
          <t>ÅNGE</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60003-2023</t>
        </is>
      </c>
      <c r="B1621" s="1" t="n">
        <v>45257</v>
      </c>
      <c r="C1621" s="1" t="n">
        <v>45750</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59999-2023</t>
        </is>
      </c>
      <c r="B1622" s="1" t="n">
        <v>45258</v>
      </c>
      <c r="C1622" s="1" t="n">
        <v>45750</v>
      </c>
      <c r="D1622" t="inlineStr">
        <is>
          <t>VÄSTERNORRLANDS LÄN</t>
        </is>
      </c>
      <c r="E1622" t="inlineStr">
        <is>
          <t>ÅNGE</t>
        </is>
      </c>
      <c r="F1622" t="inlineStr">
        <is>
          <t>SCA</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60156-2023</t>
        </is>
      </c>
      <c r="B1623" s="1" t="n">
        <v>45258</v>
      </c>
      <c r="C1623" s="1" t="n">
        <v>45750</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60153-2023</t>
        </is>
      </c>
      <c r="B1624" s="1" t="n">
        <v>45258</v>
      </c>
      <c r="C1624" s="1" t="n">
        <v>45750</v>
      </c>
      <c r="D1624" t="inlineStr">
        <is>
          <t>VÄSTERNORRLANDS LÄN</t>
        </is>
      </c>
      <c r="E1624" t="inlineStr">
        <is>
          <t>ÅNGE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60568-2023</t>
        </is>
      </c>
      <c r="B1625" s="1" t="n">
        <v>45259</v>
      </c>
      <c r="C1625" s="1" t="n">
        <v>45750</v>
      </c>
      <c r="D1625" t="inlineStr">
        <is>
          <t>VÄSTERNORRLANDS LÄN</t>
        </is>
      </c>
      <c r="E1625" t="inlineStr">
        <is>
          <t>ÅNGE</t>
        </is>
      </c>
      <c r="F1625" t="inlineStr">
        <is>
          <t>Kyrkan</t>
        </is>
      </c>
      <c r="G1625" t="n">
        <v>23.2</v>
      </c>
      <c r="H1625" t="n">
        <v>0</v>
      </c>
      <c r="I1625" t="n">
        <v>0</v>
      </c>
      <c r="J1625" t="n">
        <v>0</v>
      </c>
      <c r="K1625" t="n">
        <v>0</v>
      </c>
      <c r="L1625" t="n">
        <v>0</v>
      </c>
      <c r="M1625" t="n">
        <v>0</v>
      </c>
      <c r="N1625" t="n">
        <v>0</v>
      </c>
      <c r="O1625" t="n">
        <v>0</v>
      </c>
      <c r="P1625" t="n">
        <v>0</v>
      </c>
      <c r="Q1625" t="n">
        <v>0</v>
      </c>
      <c r="R1625" s="2" t="inlineStr"/>
    </row>
    <row r="1626" ht="15" customHeight="1">
      <c r="A1626" t="inlineStr">
        <is>
          <t>A 61335-2023</t>
        </is>
      </c>
      <c r="B1626" s="1" t="n">
        <v>45264</v>
      </c>
      <c r="C1626" s="1" t="n">
        <v>45750</v>
      </c>
      <c r="D1626" t="inlineStr">
        <is>
          <t>VÄSTERNORRLANDS LÄN</t>
        </is>
      </c>
      <c r="E1626" t="inlineStr">
        <is>
          <t>ÅNGE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61461-2023</t>
        </is>
      </c>
      <c r="B1627" s="1" t="n">
        <v>45264</v>
      </c>
      <c r="C1627" s="1" t="n">
        <v>45750</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61577-2023</t>
        </is>
      </c>
      <c r="B1628" s="1" t="n">
        <v>45265</v>
      </c>
      <c r="C1628" s="1" t="n">
        <v>45750</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61781-2023</t>
        </is>
      </c>
      <c r="B1629" s="1" t="n">
        <v>45265</v>
      </c>
      <c r="C1629" s="1" t="n">
        <v>45750</v>
      </c>
      <c r="D1629" t="inlineStr">
        <is>
          <t>VÄSTERNORRLANDS LÄN</t>
        </is>
      </c>
      <c r="E1629" t="inlineStr">
        <is>
          <t>ÅNGE</t>
        </is>
      </c>
      <c r="F1629" t="inlineStr">
        <is>
          <t>SCA</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61797-2023</t>
        </is>
      </c>
      <c r="B1630" s="1" t="n">
        <v>45265</v>
      </c>
      <c r="C1630" s="1" t="n">
        <v>45750</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61782-2023</t>
        </is>
      </c>
      <c r="B1631" s="1" t="n">
        <v>45265</v>
      </c>
      <c r="C1631" s="1" t="n">
        <v>45750</v>
      </c>
      <c r="D1631" t="inlineStr">
        <is>
          <t>VÄSTERNORRLANDS LÄN</t>
        </is>
      </c>
      <c r="E1631" t="inlineStr">
        <is>
          <t>ÅNGE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62111-2023</t>
        </is>
      </c>
      <c r="B1632" s="1" t="n">
        <v>45266</v>
      </c>
      <c r="C1632" s="1" t="n">
        <v>45750</v>
      </c>
      <c r="D1632" t="inlineStr">
        <is>
          <t>VÄSTERNORRLANDS LÄN</t>
        </is>
      </c>
      <c r="E1632" t="inlineStr">
        <is>
          <t>ÅNGE</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62551-2023</t>
        </is>
      </c>
      <c r="B1633" s="1" t="n">
        <v>45268</v>
      </c>
      <c r="C1633" s="1" t="n">
        <v>45750</v>
      </c>
      <c r="D1633" t="inlineStr">
        <is>
          <t>VÄSTERNORRLANDS LÄN</t>
        </is>
      </c>
      <c r="E1633" t="inlineStr">
        <is>
          <t>ÅNGE</t>
        </is>
      </c>
      <c r="G1633" t="n">
        <v>16.4</v>
      </c>
      <c r="H1633" t="n">
        <v>0</v>
      </c>
      <c r="I1633" t="n">
        <v>0</v>
      </c>
      <c r="J1633" t="n">
        <v>0</v>
      </c>
      <c r="K1633" t="n">
        <v>0</v>
      </c>
      <c r="L1633" t="n">
        <v>0</v>
      </c>
      <c r="M1633" t="n">
        <v>0</v>
      </c>
      <c r="N1633" t="n">
        <v>0</v>
      </c>
      <c r="O1633" t="n">
        <v>0</v>
      </c>
      <c r="P1633" t="n">
        <v>0</v>
      </c>
      <c r="Q1633" t="n">
        <v>0</v>
      </c>
      <c r="R1633" s="2" t="inlineStr"/>
    </row>
    <row r="1634" ht="15" customHeight="1">
      <c r="A1634" t="inlineStr">
        <is>
          <t>A 62562-2023</t>
        </is>
      </c>
      <c r="B1634" s="1" t="n">
        <v>45268</v>
      </c>
      <c r="C1634" s="1" t="n">
        <v>45750</v>
      </c>
      <c r="D1634" t="inlineStr">
        <is>
          <t>VÄSTERNORRLANDS LÄN</t>
        </is>
      </c>
      <c r="E1634" t="inlineStr">
        <is>
          <t>ÅNGE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63066-2023</t>
        </is>
      </c>
      <c r="B1635" s="1" t="n">
        <v>45272</v>
      </c>
      <c r="C1635" s="1" t="n">
        <v>45750</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63064-2023</t>
        </is>
      </c>
      <c r="B1636" s="1" t="n">
        <v>45272</v>
      </c>
      <c r="C1636" s="1" t="n">
        <v>45750</v>
      </c>
      <c r="D1636" t="inlineStr">
        <is>
          <t>VÄSTERNORRLANDS LÄN</t>
        </is>
      </c>
      <c r="E1636" t="inlineStr">
        <is>
          <t>ÅNGE</t>
        </is>
      </c>
      <c r="G1636" t="n">
        <v>16.6</v>
      </c>
      <c r="H1636" t="n">
        <v>0</v>
      </c>
      <c r="I1636" t="n">
        <v>0</v>
      </c>
      <c r="J1636" t="n">
        <v>0</v>
      </c>
      <c r="K1636" t="n">
        <v>0</v>
      </c>
      <c r="L1636" t="n">
        <v>0</v>
      </c>
      <c r="M1636" t="n">
        <v>0</v>
      </c>
      <c r="N1636" t="n">
        <v>0</v>
      </c>
      <c r="O1636" t="n">
        <v>0</v>
      </c>
      <c r="P1636" t="n">
        <v>0</v>
      </c>
      <c r="Q1636" t="n">
        <v>0</v>
      </c>
      <c r="R1636" s="2" t="inlineStr"/>
    </row>
    <row r="1637" ht="15" customHeight="1">
      <c r="A1637" t="inlineStr">
        <is>
          <t>A 63057-2023</t>
        </is>
      </c>
      <c r="B1637" s="1" t="n">
        <v>45272</v>
      </c>
      <c r="C1637" s="1" t="n">
        <v>45750</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63065-2023</t>
        </is>
      </c>
      <c r="B1638" s="1" t="n">
        <v>45272</v>
      </c>
      <c r="C1638" s="1" t="n">
        <v>45750</v>
      </c>
      <c r="D1638" t="inlineStr">
        <is>
          <t>VÄSTERNORRLANDS LÄN</t>
        </is>
      </c>
      <c r="E1638" t="inlineStr">
        <is>
          <t>ÅNGE</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63170-2023</t>
        </is>
      </c>
      <c r="B1639" s="1" t="n">
        <v>45273</v>
      </c>
      <c r="C1639" s="1" t="n">
        <v>45750</v>
      </c>
      <c r="D1639" t="inlineStr">
        <is>
          <t>VÄSTERNORRLANDS LÄN</t>
        </is>
      </c>
      <c r="E1639" t="inlineStr">
        <is>
          <t>ÅNGE</t>
        </is>
      </c>
      <c r="F1639" t="inlineStr">
        <is>
          <t>Holmen skog AB</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63216-2023</t>
        </is>
      </c>
      <c r="B1640" s="1" t="n">
        <v>45273</v>
      </c>
      <c r="C1640" s="1" t="n">
        <v>45750</v>
      </c>
      <c r="D1640" t="inlineStr">
        <is>
          <t>VÄSTERNORRLANDS LÄN</t>
        </is>
      </c>
      <c r="E1640" t="inlineStr">
        <is>
          <t>ÅNGE</t>
        </is>
      </c>
      <c r="F1640" t="inlineStr">
        <is>
          <t>Holmen skog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63290-2023</t>
        </is>
      </c>
      <c r="B1641" s="1" t="n">
        <v>45273</v>
      </c>
      <c r="C1641" s="1" t="n">
        <v>45750</v>
      </c>
      <c r="D1641" t="inlineStr">
        <is>
          <t>VÄSTERNORRLANDS LÄN</t>
        </is>
      </c>
      <c r="E1641" t="inlineStr">
        <is>
          <t>ÅNGE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63374-2023</t>
        </is>
      </c>
      <c r="B1642" s="1" t="n">
        <v>45274</v>
      </c>
      <c r="C1642" s="1" t="n">
        <v>45750</v>
      </c>
      <c r="D1642" t="inlineStr">
        <is>
          <t>VÄSTERNORRLANDS LÄN</t>
        </is>
      </c>
      <c r="E1642" t="inlineStr">
        <is>
          <t>ÅNGE</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63531-2023</t>
        </is>
      </c>
      <c r="B1643" s="1" t="n">
        <v>45274</v>
      </c>
      <c r="C1643" s="1" t="n">
        <v>45750</v>
      </c>
      <c r="D1643" t="inlineStr">
        <is>
          <t>VÄSTERNORRLANDS LÄN</t>
        </is>
      </c>
      <c r="E1643" t="inlineStr">
        <is>
          <t>ÅNGE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63530-2023</t>
        </is>
      </c>
      <c r="B1644" s="1" t="n">
        <v>45274</v>
      </c>
      <c r="C1644" s="1" t="n">
        <v>45750</v>
      </c>
      <c r="D1644" t="inlineStr">
        <is>
          <t>VÄSTERNORRLANDS LÄN</t>
        </is>
      </c>
      <c r="E1644" t="inlineStr">
        <is>
          <t>ÅNGE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63535-2023</t>
        </is>
      </c>
      <c r="B1645" s="1" t="n">
        <v>45274</v>
      </c>
      <c r="C1645" s="1" t="n">
        <v>45750</v>
      </c>
      <c r="D1645" t="inlineStr">
        <is>
          <t>VÄSTERNORRLANDS LÄN</t>
        </is>
      </c>
      <c r="E1645" t="inlineStr">
        <is>
          <t>ÅNGE</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63709-2023</t>
        </is>
      </c>
      <c r="B1646" s="1" t="n">
        <v>45275</v>
      </c>
      <c r="C1646" s="1" t="n">
        <v>45750</v>
      </c>
      <c r="D1646" t="inlineStr">
        <is>
          <t>VÄSTERNORRLANDS LÄN</t>
        </is>
      </c>
      <c r="E1646" t="inlineStr">
        <is>
          <t>ÅNGE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64392-2023</t>
        </is>
      </c>
      <c r="B1647" s="1" t="n">
        <v>45280</v>
      </c>
      <c r="C1647" s="1" t="n">
        <v>45750</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64375-2023</t>
        </is>
      </c>
      <c r="B1648" s="1" t="n">
        <v>45280</v>
      </c>
      <c r="C1648" s="1" t="n">
        <v>45750</v>
      </c>
      <c r="D1648" t="inlineStr">
        <is>
          <t>VÄSTERNORRLANDS LÄN</t>
        </is>
      </c>
      <c r="E1648" t="inlineStr">
        <is>
          <t>ÅNGE</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64510-2023</t>
        </is>
      </c>
      <c r="B1649" s="1" t="n">
        <v>45281</v>
      </c>
      <c r="C1649" s="1" t="n">
        <v>45750</v>
      </c>
      <c r="D1649" t="inlineStr">
        <is>
          <t>VÄSTERNORRLANDS LÄN</t>
        </is>
      </c>
      <c r="E1649" t="inlineStr">
        <is>
          <t>ÅNGE</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64523-2023</t>
        </is>
      </c>
      <c r="B1650" s="1" t="n">
        <v>45281</v>
      </c>
      <c r="C1650" s="1" t="n">
        <v>45750</v>
      </c>
      <c r="D1650" t="inlineStr">
        <is>
          <t>VÄSTERNORRLANDS LÄN</t>
        </is>
      </c>
      <c r="E1650" t="inlineStr">
        <is>
          <t>ÅNGE</t>
        </is>
      </c>
      <c r="G1650" t="n">
        <v>62.6</v>
      </c>
      <c r="H1650" t="n">
        <v>0</v>
      </c>
      <c r="I1650" t="n">
        <v>0</v>
      </c>
      <c r="J1650" t="n">
        <v>0</v>
      </c>
      <c r="K1650" t="n">
        <v>0</v>
      </c>
      <c r="L1650" t="n">
        <v>0</v>
      </c>
      <c r="M1650" t="n">
        <v>0</v>
      </c>
      <c r="N1650" t="n">
        <v>0</v>
      </c>
      <c r="O1650" t="n">
        <v>0</v>
      </c>
      <c r="P1650" t="n">
        <v>0</v>
      </c>
      <c r="Q1650" t="n">
        <v>0</v>
      </c>
      <c r="R1650" s="2" t="inlineStr"/>
    </row>
    <row r="1651" ht="15" customHeight="1">
      <c r="A1651" t="inlineStr">
        <is>
          <t>A 64946-2023</t>
        </is>
      </c>
      <c r="B1651" s="1" t="n">
        <v>45282</v>
      </c>
      <c r="C1651" s="1" t="n">
        <v>45750</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64950-2023</t>
        </is>
      </c>
      <c r="B1652" s="1" t="n">
        <v>45282</v>
      </c>
      <c r="C1652" s="1" t="n">
        <v>45750</v>
      </c>
      <c r="D1652" t="inlineStr">
        <is>
          <t>VÄSTERNORRLANDS LÄN</t>
        </is>
      </c>
      <c r="E1652" t="inlineStr">
        <is>
          <t>ÅNGE</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64947-2023</t>
        </is>
      </c>
      <c r="B1653" s="1" t="n">
        <v>45282</v>
      </c>
      <c r="C1653" s="1" t="n">
        <v>45750</v>
      </c>
      <c r="D1653" t="inlineStr">
        <is>
          <t>VÄSTERNORRLANDS LÄN</t>
        </is>
      </c>
      <c r="E1653" t="inlineStr">
        <is>
          <t>ÅNGE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64945-2023</t>
        </is>
      </c>
      <c r="B1654" s="1" t="n">
        <v>45282</v>
      </c>
      <c r="C1654" s="1" t="n">
        <v>45750</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65021-2023</t>
        </is>
      </c>
      <c r="B1655" s="1" t="n">
        <v>45287</v>
      </c>
      <c r="C1655" s="1" t="n">
        <v>45750</v>
      </c>
      <c r="D1655" t="inlineStr">
        <is>
          <t>VÄSTERNORRLANDS LÄN</t>
        </is>
      </c>
      <c r="E1655" t="inlineStr">
        <is>
          <t>ÅNGE</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213-2024</t>
        </is>
      </c>
      <c r="B1656" s="1" t="n">
        <v>45293</v>
      </c>
      <c r="C1656" s="1" t="n">
        <v>45750</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253-2024</t>
        </is>
      </c>
      <c r="B1657" s="1" t="n">
        <v>45294</v>
      </c>
      <c r="C1657" s="1" t="n">
        <v>45750</v>
      </c>
      <c r="D1657" t="inlineStr">
        <is>
          <t>VÄSTERNORRLANDS LÄN</t>
        </is>
      </c>
      <c r="E1657" t="inlineStr">
        <is>
          <t>ÅNGE</t>
        </is>
      </c>
      <c r="F1657" t="inlineStr">
        <is>
          <t>SCA</t>
        </is>
      </c>
      <c r="G1657" t="n">
        <v>54.6</v>
      </c>
      <c r="H1657" t="n">
        <v>0</v>
      </c>
      <c r="I1657" t="n">
        <v>0</v>
      </c>
      <c r="J1657" t="n">
        <v>0</v>
      </c>
      <c r="K1657" t="n">
        <v>0</v>
      </c>
      <c r="L1657" t="n">
        <v>0</v>
      </c>
      <c r="M1657" t="n">
        <v>0</v>
      </c>
      <c r="N1657" t="n">
        <v>0</v>
      </c>
      <c r="O1657" t="n">
        <v>0</v>
      </c>
      <c r="P1657" t="n">
        <v>0</v>
      </c>
      <c r="Q1657" t="n">
        <v>0</v>
      </c>
      <c r="R1657" s="2" t="inlineStr"/>
    </row>
    <row r="1658" ht="15" customHeight="1">
      <c r="A1658" t="inlineStr">
        <is>
          <t>A 251-2024</t>
        </is>
      </c>
      <c r="B1658" s="1" t="n">
        <v>45294</v>
      </c>
      <c r="C1658" s="1" t="n">
        <v>45750</v>
      </c>
      <c r="D1658" t="inlineStr">
        <is>
          <t>VÄSTERNORRLANDS LÄN</t>
        </is>
      </c>
      <c r="E1658" t="inlineStr">
        <is>
          <t>ÅNGE</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256-2024</t>
        </is>
      </c>
      <c r="B1659" s="1" t="n">
        <v>45295</v>
      </c>
      <c r="C1659" s="1" t="n">
        <v>45750</v>
      </c>
      <c r="D1659" t="inlineStr">
        <is>
          <t>VÄSTERNORRLANDS LÄN</t>
        </is>
      </c>
      <c r="E1659" t="inlineStr">
        <is>
          <t>ÅNGE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405-2024</t>
        </is>
      </c>
      <c r="B1660" s="1" t="n">
        <v>45296</v>
      </c>
      <c r="C1660" s="1" t="n">
        <v>45750</v>
      </c>
      <c r="D1660" t="inlineStr">
        <is>
          <t>VÄSTERNORRLANDS LÄN</t>
        </is>
      </c>
      <c r="E1660" t="inlineStr">
        <is>
          <t>ÅNGE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741-2024</t>
        </is>
      </c>
      <c r="B1661" s="1" t="n">
        <v>45300</v>
      </c>
      <c r="C1661" s="1" t="n">
        <v>45750</v>
      </c>
      <c r="D1661" t="inlineStr">
        <is>
          <t>VÄSTERNORRLANDS LÄN</t>
        </is>
      </c>
      <c r="E1661" t="inlineStr">
        <is>
          <t>ÅNGE</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832-2024</t>
        </is>
      </c>
      <c r="B1662" s="1" t="n">
        <v>45300</v>
      </c>
      <c r="C1662" s="1" t="n">
        <v>45750</v>
      </c>
      <c r="D1662" t="inlineStr">
        <is>
          <t>VÄSTERNORRLANDS LÄN</t>
        </is>
      </c>
      <c r="E1662" t="inlineStr">
        <is>
          <t>ÅNGE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1030-2024</t>
        </is>
      </c>
      <c r="B1663" s="1" t="n">
        <v>45301</v>
      </c>
      <c r="C1663" s="1" t="n">
        <v>45750</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1524-2024</t>
        </is>
      </c>
      <c r="B1664" s="1" t="n">
        <v>45306</v>
      </c>
      <c r="C1664" s="1" t="n">
        <v>45750</v>
      </c>
      <c r="D1664" t="inlineStr">
        <is>
          <t>VÄSTERNORRLANDS LÄN</t>
        </is>
      </c>
      <c r="E1664" t="inlineStr">
        <is>
          <t>ÅNGE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1886-2024</t>
        </is>
      </c>
      <c r="B1665" s="1" t="n">
        <v>45308</v>
      </c>
      <c r="C1665" s="1" t="n">
        <v>45750</v>
      </c>
      <c r="D1665" t="inlineStr">
        <is>
          <t>VÄSTERNORRLANDS LÄN</t>
        </is>
      </c>
      <c r="E1665" t="inlineStr">
        <is>
          <t>ÅNGE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2060-2024</t>
        </is>
      </c>
      <c r="B1666" s="1" t="n">
        <v>45309</v>
      </c>
      <c r="C1666" s="1" t="n">
        <v>45750</v>
      </c>
      <c r="D1666" t="inlineStr">
        <is>
          <t>VÄSTERNORRLANDS LÄN</t>
        </is>
      </c>
      <c r="E1666" t="inlineStr">
        <is>
          <t>ÅNGE</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2124-2024</t>
        </is>
      </c>
      <c r="B1667" s="1" t="n">
        <v>45309</v>
      </c>
      <c r="C1667" s="1" t="n">
        <v>45750</v>
      </c>
      <c r="D1667" t="inlineStr">
        <is>
          <t>VÄSTERNORRLANDS LÄN</t>
        </is>
      </c>
      <c r="E1667" t="inlineStr">
        <is>
          <t>ÅNGE</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2121-2024</t>
        </is>
      </c>
      <c r="B1668" s="1" t="n">
        <v>45309</v>
      </c>
      <c r="C1668" s="1" t="n">
        <v>45750</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2372-2024</t>
        </is>
      </c>
      <c r="B1669" s="1" t="n">
        <v>45310</v>
      </c>
      <c r="C1669" s="1" t="n">
        <v>45750</v>
      </c>
      <c r="D1669" t="inlineStr">
        <is>
          <t>VÄSTERNORRLANDS LÄN</t>
        </is>
      </c>
      <c r="E1669" t="inlineStr">
        <is>
          <t>ÅNGE</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2365-2024</t>
        </is>
      </c>
      <c r="B1670" s="1" t="n">
        <v>45310</v>
      </c>
      <c r="C1670" s="1" t="n">
        <v>45750</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2432-2024</t>
        </is>
      </c>
      <c r="B1671" s="1" t="n">
        <v>45310</v>
      </c>
      <c r="C1671" s="1" t="n">
        <v>45750</v>
      </c>
      <c r="D1671" t="inlineStr">
        <is>
          <t>VÄSTERNORRLANDS LÄN</t>
        </is>
      </c>
      <c r="E1671" t="inlineStr">
        <is>
          <t>ÅNGE</t>
        </is>
      </c>
      <c r="F1671" t="inlineStr">
        <is>
          <t>SCA</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2415-2024</t>
        </is>
      </c>
      <c r="B1672" s="1" t="n">
        <v>45310</v>
      </c>
      <c r="C1672" s="1" t="n">
        <v>45750</v>
      </c>
      <c r="D1672" t="inlineStr">
        <is>
          <t>VÄSTERNORRLANDS LÄN</t>
        </is>
      </c>
      <c r="E1672" t="inlineStr">
        <is>
          <t>ÅNGE</t>
        </is>
      </c>
      <c r="F1672" t="inlineStr">
        <is>
          <t>Kyrkan</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2436-2024</t>
        </is>
      </c>
      <c r="B1673" s="1" t="n">
        <v>45310</v>
      </c>
      <c r="C1673" s="1" t="n">
        <v>45750</v>
      </c>
      <c r="D1673" t="inlineStr">
        <is>
          <t>VÄSTERNORRLANDS LÄN</t>
        </is>
      </c>
      <c r="E1673" t="inlineStr">
        <is>
          <t>ÅNGE</t>
        </is>
      </c>
      <c r="F1673" t="inlineStr">
        <is>
          <t>SCA</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2435-2024</t>
        </is>
      </c>
      <c r="B1674" s="1" t="n">
        <v>45310</v>
      </c>
      <c r="C1674" s="1" t="n">
        <v>45750</v>
      </c>
      <c r="D1674" t="inlineStr">
        <is>
          <t>VÄSTERNORRLANDS LÄN</t>
        </is>
      </c>
      <c r="E1674" t="inlineStr">
        <is>
          <t>ÅNGE</t>
        </is>
      </c>
      <c r="F1674" t="inlineStr">
        <is>
          <t>SCA</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2434-2024</t>
        </is>
      </c>
      <c r="B1675" s="1" t="n">
        <v>45310</v>
      </c>
      <c r="C1675" s="1" t="n">
        <v>45750</v>
      </c>
      <c r="D1675" t="inlineStr">
        <is>
          <t>VÄSTERNORRLANDS LÄN</t>
        </is>
      </c>
      <c r="E1675" t="inlineStr">
        <is>
          <t>ÅNGE</t>
        </is>
      </c>
      <c r="F1675" t="inlineStr">
        <is>
          <t>SCA</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2433-2024</t>
        </is>
      </c>
      <c r="B1676" s="1" t="n">
        <v>45310</v>
      </c>
      <c r="C1676" s="1" t="n">
        <v>45750</v>
      </c>
      <c r="D1676" t="inlineStr">
        <is>
          <t>VÄSTERNORRLANDS LÄN</t>
        </is>
      </c>
      <c r="E1676" t="inlineStr">
        <is>
          <t>ÅNGE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2451-2024</t>
        </is>
      </c>
      <c r="B1677" s="1" t="n">
        <v>45312</v>
      </c>
      <c r="C1677" s="1" t="n">
        <v>45750</v>
      </c>
      <c r="D1677" t="inlineStr">
        <is>
          <t>VÄSTERNORRLANDS LÄN</t>
        </is>
      </c>
      <c r="E1677" t="inlineStr">
        <is>
          <t>ÅNGE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2788-2024</t>
        </is>
      </c>
      <c r="B1678" s="1" t="n">
        <v>45314</v>
      </c>
      <c r="C1678" s="1" t="n">
        <v>45750</v>
      </c>
      <c r="D1678" t="inlineStr">
        <is>
          <t>VÄSTERNORRLANDS LÄN</t>
        </is>
      </c>
      <c r="E1678" t="inlineStr">
        <is>
          <t>ÅNGE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3133-2024</t>
        </is>
      </c>
      <c r="B1679" s="1" t="n">
        <v>45316</v>
      </c>
      <c r="C1679" s="1" t="n">
        <v>45750</v>
      </c>
      <c r="D1679" t="inlineStr">
        <is>
          <t>VÄSTERNORRLANDS LÄN</t>
        </is>
      </c>
      <c r="E1679" t="inlineStr">
        <is>
          <t>ÅNGE</t>
        </is>
      </c>
      <c r="F1679" t="inlineStr">
        <is>
          <t>Holmen skog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3238-2024</t>
        </is>
      </c>
      <c r="B1680" s="1" t="n">
        <v>45316</v>
      </c>
      <c r="C1680" s="1" t="n">
        <v>45750</v>
      </c>
      <c r="D1680" t="inlineStr">
        <is>
          <t>VÄSTERNORRLANDS LÄN</t>
        </is>
      </c>
      <c r="E1680" t="inlineStr">
        <is>
          <t>ÅNGE</t>
        </is>
      </c>
      <c r="F1680" t="inlineStr">
        <is>
          <t>SCA</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3253-2024</t>
        </is>
      </c>
      <c r="B1681" s="1" t="n">
        <v>45316</v>
      </c>
      <c r="C1681" s="1" t="n">
        <v>45750</v>
      </c>
      <c r="D1681" t="inlineStr">
        <is>
          <t>VÄSTERNORRLANDS LÄN</t>
        </is>
      </c>
      <c r="E1681" t="inlineStr">
        <is>
          <t>ÅNGE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3249-2024</t>
        </is>
      </c>
      <c r="B1682" s="1" t="n">
        <v>45316</v>
      </c>
      <c r="C1682" s="1" t="n">
        <v>45750</v>
      </c>
      <c r="D1682" t="inlineStr">
        <is>
          <t>VÄSTERNORRLANDS LÄN</t>
        </is>
      </c>
      <c r="E1682" t="inlineStr">
        <is>
          <t>ÅNGE</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3256-2024</t>
        </is>
      </c>
      <c r="B1683" s="1" t="n">
        <v>45316</v>
      </c>
      <c r="C1683" s="1" t="n">
        <v>45750</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3347-2024</t>
        </is>
      </c>
      <c r="B1684" s="1" t="n">
        <v>45317</v>
      </c>
      <c r="C1684" s="1" t="n">
        <v>45750</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3354-2024</t>
        </is>
      </c>
      <c r="B1685" s="1" t="n">
        <v>45317</v>
      </c>
      <c r="C1685" s="1" t="n">
        <v>45750</v>
      </c>
      <c r="D1685" t="inlineStr">
        <is>
          <t>VÄSTERNORRLANDS LÄN</t>
        </is>
      </c>
      <c r="E1685" t="inlineStr">
        <is>
          <t>ÅNGE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3357-2024</t>
        </is>
      </c>
      <c r="B1686" s="1" t="n">
        <v>45317</v>
      </c>
      <c r="C1686" s="1" t="n">
        <v>45750</v>
      </c>
      <c r="D1686" t="inlineStr">
        <is>
          <t>VÄSTERNORRLANDS LÄN</t>
        </is>
      </c>
      <c r="E1686" t="inlineStr">
        <is>
          <t>ÅNGE</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3523-2024</t>
        </is>
      </c>
      <c r="B1687" s="1" t="n">
        <v>45320</v>
      </c>
      <c r="C1687" s="1" t="n">
        <v>45750</v>
      </c>
      <c r="D1687" t="inlineStr">
        <is>
          <t>VÄSTERNORRLANDS LÄN</t>
        </is>
      </c>
      <c r="E1687" t="inlineStr">
        <is>
          <t>ÅNGE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3532-2024</t>
        </is>
      </c>
      <c r="B1688" s="1" t="n">
        <v>45320</v>
      </c>
      <c r="C1688" s="1" t="n">
        <v>45750</v>
      </c>
      <c r="D1688" t="inlineStr">
        <is>
          <t>VÄSTERNORRLANDS LÄN</t>
        </is>
      </c>
      <c r="E1688" t="inlineStr">
        <is>
          <t>ÅNGE</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3580-2024</t>
        </is>
      </c>
      <c r="B1689" s="1" t="n">
        <v>45320</v>
      </c>
      <c r="C1689" s="1" t="n">
        <v>45750</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3624-2024</t>
        </is>
      </c>
      <c r="B1690" s="1" t="n">
        <v>45320</v>
      </c>
      <c r="C1690" s="1" t="n">
        <v>45750</v>
      </c>
      <c r="D1690" t="inlineStr">
        <is>
          <t>VÄSTERNORRLANDS LÄN</t>
        </is>
      </c>
      <c r="E1690" t="inlineStr">
        <is>
          <t>ÅNGE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3996-2024</t>
        </is>
      </c>
      <c r="B1691" s="1" t="n">
        <v>45322</v>
      </c>
      <c r="C1691" s="1" t="n">
        <v>45750</v>
      </c>
      <c r="D1691" t="inlineStr">
        <is>
          <t>VÄSTERNORRLANDS LÄN</t>
        </is>
      </c>
      <c r="E1691" t="inlineStr">
        <is>
          <t>ÅNGE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4142-2024</t>
        </is>
      </c>
      <c r="B1692" s="1" t="n">
        <v>45323</v>
      </c>
      <c r="C1692" s="1" t="n">
        <v>45750</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4140-2024</t>
        </is>
      </c>
      <c r="B1693" s="1" t="n">
        <v>45323</v>
      </c>
      <c r="C1693" s="1" t="n">
        <v>45750</v>
      </c>
      <c r="D1693" t="inlineStr">
        <is>
          <t>VÄSTERNORRLANDS LÄN</t>
        </is>
      </c>
      <c r="E1693" t="inlineStr">
        <is>
          <t>ÅNGE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4166-2024</t>
        </is>
      </c>
      <c r="B1694" s="1" t="n">
        <v>45323</v>
      </c>
      <c r="C1694" s="1" t="n">
        <v>45750</v>
      </c>
      <c r="D1694" t="inlineStr">
        <is>
          <t>VÄSTERNORRLANDS LÄN</t>
        </is>
      </c>
      <c r="E1694" t="inlineStr">
        <is>
          <t>ÅNGE</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4165-2024</t>
        </is>
      </c>
      <c r="B1695" s="1" t="n">
        <v>45323</v>
      </c>
      <c r="C1695" s="1" t="n">
        <v>45750</v>
      </c>
      <c r="D1695" t="inlineStr">
        <is>
          <t>VÄSTERNORRLANDS LÄN</t>
        </is>
      </c>
      <c r="E1695" t="inlineStr">
        <is>
          <t>ÅNGE</t>
        </is>
      </c>
      <c r="G1695" t="n">
        <v>15.3</v>
      </c>
      <c r="H1695" t="n">
        <v>0</v>
      </c>
      <c r="I1695" t="n">
        <v>0</v>
      </c>
      <c r="J1695" t="n">
        <v>0</v>
      </c>
      <c r="K1695" t="n">
        <v>0</v>
      </c>
      <c r="L1695" t="n">
        <v>0</v>
      </c>
      <c r="M1695" t="n">
        <v>0</v>
      </c>
      <c r="N1695" t="n">
        <v>0</v>
      </c>
      <c r="O1695" t="n">
        <v>0</v>
      </c>
      <c r="P1695" t="n">
        <v>0</v>
      </c>
      <c r="Q1695" t="n">
        <v>0</v>
      </c>
      <c r="R1695" s="2" t="inlineStr"/>
    </row>
    <row r="1696" ht="15" customHeight="1">
      <c r="A1696" t="inlineStr">
        <is>
          <t>A 4169-2024</t>
        </is>
      </c>
      <c r="B1696" s="1" t="n">
        <v>45323</v>
      </c>
      <c r="C1696" s="1" t="n">
        <v>45750</v>
      </c>
      <c r="D1696" t="inlineStr">
        <is>
          <t>VÄSTERNORRLANDS LÄN</t>
        </is>
      </c>
      <c r="E1696" t="inlineStr">
        <is>
          <t>ÅNGE</t>
        </is>
      </c>
      <c r="F1696" t="inlineStr">
        <is>
          <t>SCA</t>
        </is>
      </c>
      <c r="G1696" t="n">
        <v>23.2</v>
      </c>
      <c r="H1696" t="n">
        <v>0</v>
      </c>
      <c r="I1696" t="n">
        <v>0</v>
      </c>
      <c r="J1696" t="n">
        <v>0</v>
      </c>
      <c r="K1696" t="n">
        <v>0</v>
      </c>
      <c r="L1696" t="n">
        <v>0</v>
      </c>
      <c r="M1696" t="n">
        <v>0</v>
      </c>
      <c r="N1696" t="n">
        <v>0</v>
      </c>
      <c r="O1696" t="n">
        <v>0</v>
      </c>
      <c r="P1696" t="n">
        <v>0</v>
      </c>
      <c r="Q1696" t="n">
        <v>0</v>
      </c>
      <c r="R1696" s="2" t="inlineStr"/>
    </row>
    <row r="1697" ht="15" customHeight="1">
      <c r="A1697" t="inlineStr">
        <is>
          <t>A 4361-2024</t>
        </is>
      </c>
      <c r="B1697" s="1" t="n">
        <v>45325</v>
      </c>
      <c r="C1697" s="1" t="n">
        <v>45750</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4589-2024</t>
        </is>
      </c>
      <c r="B1698" s="1" t="n">
        <v>45327</v>
      </c>
      <c r="C1698" s="1" t="n">
        <v>45750</v>
      </c>
      <c r="D1698" t="inlineStr">
        <is>
          <t>VÄSTERNORRLANDS LÄN</t>
        </is>
      </c>
      <c r="E1698" t="inlineStr">
        <is>
          <t>ÅNGE</t>
        </is>
      </c>
      <c r="F1698" t="inlineStr">
        <is>
          <t>SCA</t>
        </is>
      </c>
      <c r="G1698" t="n">
        <v>23.5</v>
      </c>
      <c r="H1698" t="n">
        <v>0</v>
      </c>
      <c r="I1698" t="n">
        <v>0</v>
      </c>
      <c r="J1698" t="n">
        <v>0</v>
      </c>
      <c r="K1698" t="n">
        <v>0</v>
      </c>
      <c r="L1698" t="n">
        <v>0</v>
      </c>
      <c r="M1698" t="n">
        <v>0</v>
      </c>
      <c r="N1698" t="n">
        <v>0</v>
      </c>
      <c r="O1698" t="n">
        <v>0</v>
      </c>
      <c r="P1698" t="n">
        <v>0</v>
      </c>
      <c r="Q1698" t="n">
        <v>0</v>
      </c>
      <c r="R1698" s="2" t="inlineStr"/>
    </row>
    <row r="1699" ht="15" customHeight="1">
      <c r="A1699" t="inlineStr">
        <is>
          <t>A 4810-2024</t>
        </is>
      </c>
      <c r="B1699" s="1" t="n">
        <v>45328</v>
      </c>
      <c r="C1699" s="1" t="n">
        <v>45750</v>
      </c>
      <c r="D1699" t="inlineStr">
        <is>
          <t>VÄSTERNORRLANDS LÄN</t>
        </is>
      </c>
      <c r="E1699" t="inlineStr">
        <is>
          <t>ÅNGE</t>
        </is>
      </c>
      <c r="F1699" t="inlineStr">
        <is>
          <t>SCA</t>
        </is>
      </c>
      <c r="G1699" t="n">
        <v>15.8</v>
      </c>
      <c r="H1699" t="n">
        <v>0</v>
      </c>
      <c r="I1699" t="n">
        <v>0</v>
      </c>
      <c r="J1699" t="n">
        <v>0</v>
      </c>
      <c r="K1699" t="n">
        <v>0</v>
      </c>
      <c r="L1699" t="n">
        <v>0</v>
      </c>
      <c r="M1699" t="n">
        <v>0</v>
      </c>
      <c r="N1699" t="n">
        <v>0</v>
      </c>
      <c r="O1699" t="n">
        <v>0</v>
      </c>
      <c r="P1699" t="n">
        <v>0</v>
      </c>
      <c r="Q1699" t="n">
        <v>0</v>
      </c>
      <c r="R1699" s="2" t="inlineStr"/>
    </row>
    <row r="1700" ht="15" customHeight="1">
      <c r="A1700" t="inlineStr">
        <is>
          <t>A 4807-2024</t>
        </is>
      </c>
      <c r="B1700" s="1" t="n">
        <v>45328</v>
      </c>
      <c r="C1700" s="1" t="n">
        <v>45750</v>
      </c>
      <c r="D1700" t="inlineStr">
        <is>
          <t>VÄSTERNORRLANDS LÄN</t>
        </is>
      </c>
      <c r="E1700" t="inlineStr">
        <is>
          <t>ÅNGE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4904-2024</t>
        </is>
      </c>
      <c r="B1701" s="1" t="n">
        <v>45329</v>
      </c>
      <c r="C1701" s="1" t="n">
        <v>45750</v>
      </c>
      <c r="D1701" t="inlineStr">
        <is>
          <t>VÄSTERNORRLANDS LÄN</t>
        </is>
      </c>
      <c r="E1701" t="inlineStr">
        <is>
          <t>ÅNGE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4898-2024</t>
        </is>
      </c>
      <c r="B1702" s="1" t="n">
        <v>45329</v>
      </c>
      <c r="C1702" s="1" t="n">
        <v>45750</v>
      </c>
      <c r="D1702" t="inlineStr">
        <is>
          <t>VÄSTERNORRLANDS LÄN</t>
        </is>
      </c>
      <c r="E1702" t="inlineStr">
        <is>
          <t>ÅNGE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5268-2024</t>
        </is>
      </c>
      <c r="B1703" s="1" t="n">
        <v>45330</v>
      </c>
      <c r="C1703" s="1" t="n">
        <v>45750</v>
      </c>
      <c r="D1703" t="inlineStr">
        <is>
          <t>VÄSTERNORRLANDS LÄN</t>
        </is>
      </c>
      <c r="E1703" t="inlineStr">
        <is>
          <t>ÅNGE</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5433-2024</t>
        </is>
      </c>
      <c r="B1704" s="1" t="n">
        <v>45331</v>
      </c>
      <c r="C1704" s="1" t="n">
        <v>45750</v>
      </c>
      <c r="D1704" t="inlineStr">
        <is>
          <t>VÄSTERNORRLANDS LÄN</t>
        </is>
      </c>
      <c r="E1704" t="inlineStr">
        <is>
          <t>ÅNGE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5456-2024</t>
        </is>
      </c>
      <c r="B1705" s="1" t="n">
        <v>45331</v>
      </c>
      <c r="C1705" s="1" t="n">
        <v>45750</v>
      </c>
      <c r="D1705" t="inlineStr">
        <is>
          <t>VÄSTERNORRLANDS LÄN</t>
        </is>
      </c>
      <c r="E1705" t="inlineStr">
        <is>
          <t>ÅNGE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5613-2024</t>
        </is>
      </c>
      <c r="B1706" s="1" t="n">
        <v>45334</v>
      </c>
      <c r="C1706" s="1" t="n">
        <v>45750</v>
      </c>
      <c r="D1706" t="inlineStr">
        <is>
          <t>VÄSTERNORRLANDS LÄN</t>
        </is>
      </c>
      <c r="E1706" t="inlineStr">
        <is>
          <t>ÅNGE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5647-2024</t>
        </is>
      </c>
      <c r="B1707" s="1" t="n">
        <v>45334</v>
      </c>
      <c r="C1707" s="1" t="n">
        <v>45750</v>
      </c>
      <c r="D1707" t="inlineStr">
        <is>
          <t>VÄSTERNORRLANDS LÄN</t>
        </is>
      </c>
      <c r="E1707" t="inlineStr">
        <is>
          <t>ÅNGE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5659-2024</t>
        </is>
      </c>
      <c r="B1708" s="1" t="n">
        <v>45334</v>
      </c>
      <c r="C1708" s="1" t="n">
        <v>45750</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6028-2024</t>
        </is>
      </c>
      <c r="B1709" s="1" t="n">
        <v>45336</v>
      </c>
      <c r="C1709" s="1" t="n">
        <v>45750</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6462-2024</t>
        </is>
      </c>
      <c r="B1710" s="1" t="n">
        <v>45338</v>
      </c>
      <c r="C1710" s="1" t="n">
        <v>45750</v>
      </c>
      <c r="D1710" t="inlineStr">
        <is>
          <t>VÄSTERNORRLANDS LÄN</t>
        </is>
      </c>
      <c r="E1710" t="inlineStr">
        <is>
          <t>ÅNGE</t>
        </is>
      </c>
      <c r="F1710" t="inlineStr">
        <is>
          <t>Kyrkan</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6685-2024</t>
        </is>
      </c>
      <c r="B1711" s="1" t="n">
        <v>45341</v>
      </c>
      <c r="C1711" s="1" t="n">
        <v>45750</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6689-2024</t>
        </is>
      </c>
      <c r="B1712" s="1" t="n">
        <v>45341</v>
      </c>
      <c r="C1712" s="1" t="n">
        <v>45750</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6686-2024</t>
        </is>
      </c>
      <c r="B1713" s="1" t="n">
        <v>45341</v>
      </c>
      <c r="C1713" s="1" t="n">
        <v>45750</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6690-2024</t>
        </is>
      </c>
      <c r="B1714" s="1" t="n">
        <v>45341</v>
      </c>
      <c r="C1714" s="1" t="n">
        <v>45750</v>
      </c>
      <c r="D1714" t="inlineStr">
        <is>
          <t>VÄSTERNORRLANDS LÄN</t>
        </is>
      </c>
      <c r="E1714" t="inlineStr">
        <is>
          <t>ÅNGE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6680-2024</t>
        </is>
      </c>
      <c r="B1715" s="1" t="n">
        <v>45341</v>
      </c>
      <c r="C1715" s="1" t="n">
        <v>45750</v>
      </c>
      <c r="D1715" t="inlineStr">
        <is>
          <t>VÄSTERNORRLANDS LÄN</t>
        </is>
      </c>
      <c r="E1715" t="inlineStr">
        <is>
          <t>ÅNGE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6684-2024</t>
        </is>
      </c>
      <c r="B1716" s="1" t="n">
        <v>45341</v>
      </c>
      <c r="C1716" s="1" t="n">
        <v>45750</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6702-2024</t>
        </is>
      </c>
      <c r="B1717" s="1" t="n">
        <v>45341</v>
      </c>
      <c r="C1717" s="1" t="n">
        <v>45750</v>
      </c>
      <c r="D1717" t="inlineStr">
        <is>
          <t>VÄSTERNORRLANDS LÄN</t>
        </is>
      </c>
      <c r="E1717" t="inlineStr">
        <is>
          <t>ÅNGE</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6701-2024</t>
        </is>
      </c>
      <c r="B1718" s="1" t="n">
        <v>45341</v>
      </c>
      <c r="C1718" s="1" t="n">
        <v>45750</v>
      </c>
      <c r="D1718" t="inlineStr">
        <is>
          <t>VÄSTERNORRLANDS LÄN</t>
        </is>
      </c>
      <c r="E1718" t="inlineStr">
        <is>
          <t>ÅNGE</t>
        </is>
      </c>
      <c r="F1718" t="inlineStr">
        <is>
          <t>SCA</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6691-2024</t>
        </is>
      </c>
      <c r="B1719" s="1" t="n">
        <v>45341</v>
      </c>
      <c r="C1719" s="1" t="n">
        <v>45750</v>
      </c>
      <c r="D1719" t="inlineStr">
        <is>
          <t>VÄSTERNORRLANDS LÄN</t>
        </is>
      </c>
      <c r="E1719" t="inlineStr">
        <is>
          <t>ÅNGE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6735-2024</t>
        </is>
      </c>
      <c r="B1720" s="1" t="n">
        <v>45342</v>
      </c>
      <c r="C1720" s="1" t="n">
        <v>45750</v>
      </c>
      <c r="D1720" t="inlineStr">
        <is>
          <t>VÄSTERNORRLANDS LÄN</t>
        </is>
      </c>
      <c r="E1720" t="inlineStr">
        <is>
          <t>ÅNGE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6892-2024</t>
        </is>
      </c>
      <c r="B1721" s="1" t="n">
        <v>45342</v>
      </c>
      <c r="C1721" s="1" t="n">
        <v>45750</v>
      </c>
      <c r="D1721" t="inlineStr">
        <is>
          <t>VÄSTERNORRLANDS LÄN</t>
        </is>
      </c>
      <c r="E1721" t="inlineStr">
        <is>
          <t>ÅNGE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6995-2024</t>
        </is>
      </c>
      <c r="B1722" s="1" t="n">
        <v>45343</v>
      </c>
      <c r="C1722" s="1" t="n">
        <v>45750</v>
      </c>
      <c r="D1722" t="inlineStr">
        <is>
          <t>VÄSTERNORRLANDS LÄN</t>
        </is>
      </c>
      <c r="E1722" t="inlineStr">
        <is>
          <t>ÅNGE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7110-2024</t>
        </is>
      </c>
      <c r="B1723" s="1" t="n">
        <v>45343</v>
      </c>
      <c r="C1723" s="1" t="n">
        <v>45750</v>
      </c>
      <c r="D1723" t="inlineStr">
        <is>
          <t>VÄSTERNORRLANDS LÄN</t>
        </is>
      </c>
      <c r="E1723" t="inlineStr">
        <is>
          <t>ÅNGE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7300-2024</t>
        </is>
      </c>
      <c r="B1724" s="1" t="n">
        <v>45344</v>
      </c>
      <c r="C1724" s="1" t="n">
        <v>45750</v>
      </c>
      <c r="D1724" t="inlineStr">
        <is>
          <t>VÄSTERNORRLANDS LÄN</t>
        </is>
      </c>
      <c r="E1724" t="inlineStr">
        <is>
          <t>ÅNGE</t>
        </is>
      </c>
      <c r="F1724" t="inlineStr">
        <is>
          <t>SCA</t>
        </is>
      </c>
      <c r="G1724" t="n">
        <v>30.5</v>
      </c>
      <c r="H1724" t="n">
        <v>0</v>
      </c>
      <c r="I1724" t="n">
        <v>0</v>
      </c>
      <c r="J1724" t="n">
        <v>0</v>
      </c>
      <c r="K1724" t="n">
        <v>0</v>
      </c>
      <c r="L1724" t="n">
        <v>0</v>
      </c>
      <c r="M1724" t="n">
        <v>0</v>
      </c>
      <c r="N1724" t="n">
        <v>0</v>
      </c>
      <c r="O1724" t="n">
        <v>0</v>
      </c>
      <c r="P1724" t="n">
        <v>0</v>
      </c>
      <c r="Q1724" t="n">
        <v>0</v>
      </c>
      <c r="R1724" s="2" t="inlineStr"/>
    </row>
    <row r="1725" ht="15" customHeight="1">
      <c r="A1725" t="inlineStr">
        <is>
          <t>A 7692-2024</t>
        </is>
      </c>
      <c r="B1725" s="1" t="n">
        <v>45349</v>
      </c>
      <c r="C1725" s="1" t="n">
        <v>45750</v>
      </c>
      <c r="D1725" t="inlineStr">
        <is>
          <t>VÄSTERNORRLANDS LÄN</t>
        </is>
      </c>
      <c r="E1725" t="inlineStr">
        <is>
          <t>ÅNGE</t>
        </is>
      </c>
      <c r="F1725" t="inlineStr">
        <is>
          <t>SCA</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8025-2024</t>
        </is>
      </c>
      <c r="B1726" s="1" t="n">
        <v>45350</v>
      </c>
      <c r="C1726" s="1" t="n">
        <v>45750</v>
      </c>
      <c r="D1726" t="inlineStr">
        <is>
          <t>VÄSTERNORRLANDS LÄN</t>
        </is>
      </c>
      <c r="E1726" t="inlineStr">
        <is>
          <t>ÅNGE</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8226-2024</t>
        </is>
      </c>
      <c r="B1727" s="1" t="n">
        <v>45351</v>
      </c>
      <c r="C1727" s="1" t="n">
        <v>45750</v>
      </c>
      <c r="D1727" t="inlineStr">
        <is>
          <t>VÄSTERNORRLANDS LÄN</t>
        </is>
      </c>
      <c r="E1727" t="inlineStr">
        <is>
          <t>ÅNGE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8426-2024</t>
        </is>
      </c>
      <c r="B1728" s="1" t="n">
        <v>45353</v>
      </c>
      <c r="C1728" s="1" t="n">
        <v>45750</v>
      </c>
      <c r="D1728" t="inlineStr">
        <is>
          <t>VÄSTERNORRLANDS LÄN</t>
        </is>
      </c>
      <c r="E1728" t="inlineStr">
        <is>
          <t>ÅNGE</t>
        </is>
      </c>
      <c r="F1728" t="inlineStr">
        <is>
          <t>SCA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8427-2024</t>
        </is>
      </c>
      <c r="B1729" s="1" t="n">
        <v>45353</v>
      </c>
      <c r="C1729" s="1" t="n">
        <v>45750</v>
      </c>
      <c r="D1729" t="inlineStr">
        <is>
          <t>VÄSTERNORRLANDS LÄN</t>
        </is>
      </c>
      <c r="E1729" t="inlineStr">
        <is>
          <t>ÅNGE</t>
        </is>
      </c>
      <c r="F1729" t="inlineStr">
        <is>
          <t>SCA</t>
        </is>
      </c>
      <c r="G1729" t="n">
        <v>32.3</v>
      </c>
      <c r="H1729" t="n">
        <v>0</v>
      </c>
      <c r="I1729" t="n">
        <v>0</v>
      </c>
      <c r="J1729" t="n">
        <v>0</v>
      </c>
      <c r="K1729" t="n">
        <v>0</v>
      </c>
      <c r="L1729" t="n">
        <v>0</v>
      </c>
      <c r="M1729" t="n">
        <v>0</v>
      </c>
      <c r="N1729" t="n">
        <v>0</v>
      </c>
      <c r="O1729" t="n">
        <v>0</v>
      </c>
      <c r="P1729" t="n">
        <v>0</v>
      </c>
      <c r="Q1729" t="n">
        <v>0</v>
      </c>
      <c r="R1729" s="2" t="inlineStr"/>
    </row>
    <row r="1730" ht="15" customHeight="1">
      <c r="A1730" t="inlineStr">
        <is>
          <t>A 8413-2024</t>
        </is>
      </c>
      <c r="B1730" s="1" t="n">
        <v>45352</v>
      </c>
      <c r="C1730" s="1" t="n">
        <v>45750</v>
      </c>
      <c r="D1730" t="inlineStr">
        <is>
          <t>VÄSTERNORRLANDS LÄN</t>
        </is>
      </c>
      <c r="E1730" t="inlineStr">
        <is>
          <t>ÅNGE</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8425-2024</t>
        </is>
      </c>
      <c r="B1731" s="1" t="n">
        <v>45353</v>
      </c>
      <c r="C1731" s="1" t="n">
        <v>45750</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8435-2024</t>
        </is>
      </c>
      <c r="B1732" s="1" t="n">
        <v>45353</v>
      </c>
      <c r="C1732" s="1" t="n">
        <v>45750</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8647-2024</t>
        </is>
      </c>
      <c r="B1733" s="1" t="n">
        <v>45356</v>
      </c>
      <c r="C1733" s="1" t="n">
        <v>45750</v>
      </c>
      <c r="D1733" t="inlineStr">
        <is>
          <t>VÄSTERNORRLANDS LÄN</t>
        </is>
      </c>
      <c r="E1733" t="inlineStr">
        <is>
          <t>ÅNGE</t>
        </is>
      </c>
      <c r="F1733" t="inlineStr">
        <is>
          <t>SCA</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8651-2024</t>
        </is>
      </c>
      <c r="B1734" s="1" t="n">
        <v>45356</v>
      </c>
      <c r="C1734" s="1" t="n">
        <v>45750</v>
      </c>
      <c r="D1734" t="inlineStr">
        <is>
          <t>VÄSTERNORRLANDS LÄN</t>
        </is>
      </c>
      <c r="E1734" t="inlineStr">
        <is>
          <t>ÅNGE</t>
        </is>
      </c>
      <c r="F1734" t="inlineStr">
        <is>
          <t>SCA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8650-2024</t>
        </is>
      </c>
      <c r="B1735" s="1" t="n">
        <v>45356</v>
      </c>
      <c r="C1735" s="1" t="n">
        <v>45750</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9116-2024</t>
        </is>
      </c>
      <c r="B1736" s="1" t="n">
        <v>45358</v>
      </c>
      <c r="C1736" s="1" t="n">
        <v>45750</v>
      </c>
      <c r="D1736" t="inlineStr">
        <is>
          <t>VÄSTERNORRLANDS LÄN</t>
        </is>
      </c>
      <c r="E1736" t="inlineStr">
        <is>
          <t>ÅNGE</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9117-2024</t>
        </is>
      </c>
      <c r="B1737" s="1" t="n">
        <v>45358</v>
      </c>
      <c r="C1737" s="1" t="n">
        <v>45750</v>
      </c>
      <c r="D1737" t="inlineStr">
        <is>
          <t>VÄSTERNORRLANDS LÄN</t>
        </is>
      </c>
      <c r="E1737" t="inlineStr">
        <is>
          <t>ÅNGE</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9115-2024</t>
        </is>
      </c>
      <c r="B1738" s="1" t="n">
        <v>45358</v>
      </c>
      <c r="C1738" s="1" t="n">
        <v>45750</v>
      </c>
      <c r="D1738" t="inlineStr">
        <is>
          <t>VÄSTERNORRLANDS LÄN</t>
        </is>
      </c>
      <c r="E1738" t="inlineStr">
        <is>
          <t>ÅNGE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9345-2024</t>
        </is>
      </c>
      <c r="B1739" s="1" t="n">
        <v>45359</v>
      </c>
      <c r="C1739" s="1" t="n">
        <v>45750</v>
      </c>
      <c r="D1739" t="inlineStr">
        <is>
          <t>VÄSTERNORRLANDS LÄN</t>
        </is>
      </c>
      <c r="E1739" t="inlineStr">
        <is>
          <t>ÅNGE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9344-2024</t>
        </is>
      </c>
      <c r="B1740" s="1" t="n">
        <v>45359</v>
      </c>
      <c r="C1740" s="1" t="n">
        <v>45750</v>
      </c>
      <c r="D1740" t="inlineStr">
        <is>
          <t>VÄSTERNORRLANDS LÄN</t>
        </is>
      </c>
      <c r="E1740" t="inlineStr">
        <is>
          <t>ÅNGE</t>
        </is>
      </c>
      <c r="F1740" t="inlineStr">
        <is>
          <t>SCA</t>
        </is>
      </c>
      <c r="G1740" t="n">
        <v>12.6</v>
      </c>
      <c r="H1740" t="n">
        <v>0</v>
      </c>
      <c r="I1740" t="n">
        <v>0</v>
      </c>
      <c r="J1740" t="n">
        <v>0</v>
      </c>
      <c r="K1740" t="n">
        <v>0</v>
      </c>
      <c r="L1740" t="n">
        <v>0</v>
      </c>
      <c r="M1740" t="n">
        <v>0</v>
      </c>
      <c r="N1740" t="n">
        <v>0</v>
      </c>
      <c r="O1740" t="n">
        <v>0</v>
      </c>
      <c r="P1740" t="n">
        <v>0</v>
      </c>
      <c r="Q1740" t="n">
        <v>0</v>
      </c>
      <c r="R1740" s="2" t="inlineStr"/>
    </row>
    <row r="1741" ht="15" customHeight="1">
      <c r="A1741" t="inlineStr">
        <is>
          <t>A 9475-2024</t>
        </is>
      </c>
      <c r="B1741" s="1" t="n">
        <v>45359</v>
      </c>
      <c r="C1741" s="1" t="n">
        <v>45750</v>
      </c>
      <c r="D1741" t="inlineStr">
        <is>
          <t>VÄSTERNORRLANDS LÄN</t>
        </is>
      </c>
      <c r="E1741" t="inlineStr">
        <is>
          <t>ÅNGE</t>
        </is>
      </c>
      <c r="G1741" t="n">
        <v>10.5</v>
      </c>
      <c r="H1741" t="n">
        <v>0</v>
      </c>
      <c r="I1741" t="n">
        <v>0</v>
      </c>
      <c r="J1741" t="n">
        <v>0</v>
      </c>
      <c r="K1741" t="n">
        <v>0</v>
      </c>
      <c r="L1741" t="n">
        <v>0</v>
      </c>
      <c r="M1741" t="n">
        <v>0</v>
      </c>
      <c r="N1741" t="n">
        <v>0</v>
      </c>
      <c r="O1741" t="n">
        <v>0</v>
      </c>
      <c r="P1741" t="n">
        <v>0</v>
      </c>
      <c r="Q1741" t="n">
        <v>0</v>
      </c>
      <c r="R1741" s="2" t="inlineStr"/>
    </row>
    <row r="1742" ht="15" customHeight="1">
      <c r="A1742" t="inlineStr">
        <is>
          <t>A 9567-2024</t>
        </is>
      </c>
      <c r="B1742" s="1" t="n">
        <v>45360</v>
      </c>
      <c r="C1742" s="1" t="n">
        <v>45750</v>
      </c>
      <c r="D1742" t="inlineStr">
        <is>
          <t>VÄSTERNORRLANDS LÄN</t>
        </is>
      </c>
      <c r="E1742" t="inlineStr">
        <is>
          <t>ÅNGE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9568-2024</t>
        </is>
      </c>
      <c r="B1743" s="1" t="n">
        <v>45360</v>
      </c>
      <c r="C1743" s="1" t="n">
        <v>45750</v>
      </c>
      <c r="D1743" t="inlineStr">
        <is>
          <t>VÄSTERNORRLANDS LÄN</t>
        </is>
      </c>
      <c r="E1743" t="inlineStr">
        <is>
          <t>ÅNGE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9566-2024</t>
        </is>
      </c>
      <c r="B1744" s="1" t="n">
        <v>45360</v>
      </c>
      <c r="C1744" s="1" t="n">
        <v>45750</v>
      </c>
      <c r="D1744" t="inlineStr">
        <is>
          <t>VÄSTERNORRLANDS LÄN</t>
        </is>
      </c>
      <c r="E1744" t="inlineStr">
        <is>
          <t>ÅNGE</t>
        </is>
      </c>
      <c r="F1744" t="inlineStr">
        <is>
          <t>SCA</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9759-2024</t>
        </is>
      </c>
      <c r="B1745" s="1" t="n">
        <v>45362</v>
      </c>
      <c r="C1745" s="1" t="n">
        <v>45750</v>
      </c>
      <c r="D1745" t="inlineStr">
        <is>
          <t>VÄSTERNORRLANDS LÄN</t>
        </is>
      </c>
      <c r="E1745" t="inlineStr">
        <is>
          <t>ÅNGE</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10023-2024</t>
        </is>
      </c>
      <c r="B1746" s="1" t="n">
        <v>45364</v>
      </c>
      <c r="C1746" s="1" t="n">
        <v>45750</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10195-2024</t>
        </is>
      </c>
      <c r="B1747" s="1" t="n">
        <v>45364</v>
      </c>
      <c r="C1747" s="1" t="n">
        <v>45750</v>
      </c>
      <c r="D1747" t="inlineStr">
        <is>
          <t>VÄSTERNORRLANDS LÄN</t>
        </is>
      </c>
      <c r="E1747" t="inlineStr">
        <is>
          <t>ÅNGE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10199-2024</t>
        </is>
      </c>
      <c r="B1748" s="1" t="n">
        <v>45364</v>
      </c>
      <c r="C1748" s="1" t="n">
        <v>45750</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10198-2024</t>
        </is>
      </c>
      <c r="B1749" s="1" t="n">
        <v>45364</v>
      </c>
      <c r="C1749" s="1" t="n">
        <v>45750</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10202-2024</t>
        </is>
      </c>
      <c r="B1750" s="1" t="n">
        <v>45364</v>
      </c>
      <c r="C1750" s="1" t="n">
        <v>45750</v>
      </c>
      <c r="D1750" t="inlineStr">
        <is>
          <t>VÄSTERNORRLANDS LÄN</t>
        </is>
      </c>
      <c r="E1750" t="inlineStr">
        <is>
          <t>ÅNGE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10781-2024</t>
        </is>
      </c>
      <c r="B1751" s="1" t="n">
        <v>45369</v>
      </c>
      <c r="C1751" s="1" t="n">
        <v>45750</v>
      </c>
      <c r="D1751" t="inlineStr">
        <is>
          <t>VÄSTERNORRLANDS LÄN</t>
        </is>
      </c>
      <c r="E1751" t="inlineStr">
        <is>
          <t>ÅNGE</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10878-2024</t>
        </is>
      </c>
      <c r="B1752" s="1" t="n">
        <v>45370</v>
      </c>
      <c r="C1752" s="1" t="n">
        <v>45750</v>
      </c>
      <c r="D1752" t="inlineStr">
        <is>
          <t>VÄSTERNORRLANDS LÄN</t>
        </is>
      </c>
      <c r="E1752" t="inlineStr">
        <is>
          <t>ÅNGE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10914-2024</t>
        </is>
      </c>
      <c r="B1753" s="1" t="n">
        <v>45370</v>
      </c>
      <c r="C1753" s="1" t="n">
        <v>45750</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10922-2024</t>
        </is>
      </c>
      <c r="B1754" s="1" t="n">
        <v>45370</v>
      </c>
      <c r="C1754" s="1" t="n">
        <v>45750</v>
      </c>
      <c r="D1754" t="inlineStr">
        <is>
          <t>VÄSTERNORRLANDS LÄN</t>
        </is>
      </c>
      <c r="E1754" t="inlineStr">
        <is>
          <t>ÅNGE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10917-2024</t>
        </is>
      </c>
      <c r="B1755" s="1" t="n">
        <v>45370</v>
      </c>
      <c r="C1755" s="1" t="n">
        <v>45750</v>
      </c>
      <c r="D1755" t="inlineStr">
        <is>
          <t>VÄSTERNORRLANDS LÄN</t>
        </is>
      </c>
      <c r="E1755" t="inlineStr">
        <is>
          <t>ÅNGE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10919-2024</t>
        </is>
      </c>
      <c r="B1756" s="1" t="n">
        <v>45370</v>
      </c>
      <c r="C1756" s="1" t="n">
        <v>45750</v>
      </c>
      <c r="D1756" t="inlineStr">
        <is>
          <t>VÄSTERNORRLANDS LÄN</t>
        </is>
      </c>
      <c r="E1756" t="inlineStr">
        <is>
          <t>ÅNGE</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11088-2024</t>
        </is>
      </c>
      <c r="B1757" s="1" t="n">
        <v>45370</v>
      </c>
      <c r="C1757" s="1" t="n">
        <v>45750</v>
      </c>
      <c r="D1757" t="inlineStr">
        <is>
          <t>VÄSTERNORRLANDS LÄN</t>
        </is>
      </c>
      <c r="E1757" t="inlineStr">
        <is>
          <t>ÅNGE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11339-2024</t>
        </is>
      </c>
      <c r="B1758" s="1" t="n">
        <v>45372</v>
      </c>
      <c r="C1758" s="1" t="n">
        <v>45750</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11396-2024</t>
        </is>
      </c>
      <c r="B1759" s="1" t="n">
        <v>45372</v>
      </c>
      <c r="C1759" s="1" t="n">
        <v>45750</v>
      </c>
      <c r="D1759" t="inlineStr">
        <is>
          <t>VÄSTERNORRLANDS LÄN</t>
        </is>
      </c>
      <c r="E1759" t="inlineStr">
        <is>
          <t>ÅNGE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11548-2024</t>
        </is>
      </c>
      <c r="B1760" s="1" t="n">
        <v>45372</v>
      </c>
      <c r="C1760" s="1" t="n">
        <v>45750</v>
      </c>
      <c r="D1760" t="inlineStr">
        <is>
          <t>VÄSTERNORRLANDS LÄN</t>
        </is>
      </c>
      <c r="E1760" t="inlineStr">
        <is>
          <t>ÅNGE</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11764-2024</t>
        </is>
      </c>
      <c r="B1761" s="1" t="n">
        <v>45373</v>
      </c>
      <c r="C1761" s="1" t="n">
        <v>45750</v>
      </c>
      <c r="D1761" t="inlineStr">
        <is>
          <t>VÄSTERNORRLANDS LÄN</t>
        </is>
      </c>
      <c r="E1761" t="inlineStr">
        <is>
          <t>ÅNGE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12123-2024</t>
        </is>
      </c>
      <c r="B1762" s="1" t="n">
        <v>45377</v>
      </c>
      <c r="C1762" s="1" t="n">
        <v>45750</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12581-2024</t>
        </is>
      </c>
      <c r="B1763" s="1" t="n">
        <v>45379</v>
      </c>
      <c r="C1763" s="1" t="n">
        <v>45750</v>
      </c>
      <c r="D1763" t="inlineStr">
        <is>
          <t>VÄSTERNORRLANDS LÄN</t>
        </is>
      </c>
      <c r="E1763" t="inlineStr">
        <is>
          <t>ÅNGE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12794-2024</t>
        </is>
      </c>
      <c r="B1764" s="1" t="n">
        <v>45384</v>
      </c>
      <c r="C1764" s="1" t="n">
        <v>45750</v>
      </c>
      <c r="D1764" t="inlineStr">
        <is>
          <t>VÄSTERNORRLANDS LÄN</t>
        </is>
      </c>
      <c r="E1764" t="inlineStr">
        <is>
          <t>ÅNGE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13088-2024</t>
        </is>
      </c>
      <c r="B1765" s="1" t="n">
        <v>45385</v>
      </c>
      <c r="C1765" s="1" t="n">
        <v>45750</v>
      </c>
      <c r="D1765" t="inlineStr">
        <is>
          <t>VÄSTERNORRLANDS LÄN</t>
        </is>
      </c>
      <c r="E1765" t="inlineStr">
        <is>
          <t>ÅNGE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13096-2024</t>
        </is>
      </c>
      <c r="B1766" s="1" t="n">
        <v>45385</v>
      </c>
      <c r="C1766" s="1" t="n">
        <v>45750</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13091-2024</t>
        </is>
      </c>
      <c r="B1767" s="1" t="n">
        <v>45385</v>
      </c>
      <c r="C1767" s="1" t="n">
        <v>45750</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13056-2024</t>
        </is>
      </c>
      <c r="B1768" s="1" t="n">
        <v>45385</v>
      </c>
      <c r="C1768" s="1" t="n">
        <v>45750</v>
      </c>
      <c r="D1768" t="inlineStr">
        <is>
          <t>VÄSTERNORRLANDS LÄN</t>
        </is>
      </c>
      <c r="E1768" t="inlineStr">
        <is>
          <t>ÅNGE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13101-2024</t>
        </is>
      </c>
      <c r="B1769" s="1" t="n">
        <v>45385</v>
      </c>
      <c r="C1769" s="1" t="n">
        <v>45750</v>
      </c>
      <c r="D1769" t="inlineStr">
        <is>
          <t>VÄSTERNORRLANDS LÄN</t>
        </is>
      </c>
      <c r="E1769" t="inlineStr">
        <is>
          <t>ÅNGE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13128-2024</t>
        </is>
      </c>
      <c r="B1770" s="1" t="n">
        <v>45386</v>
      </c>
      <c r="C1770" s="1" t="n">
        <v>45750</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13759-2024</t>
        </is>
      </c>
      <c r="B1771" s="1" t="n">
        <v>45390</v>
      </c>
      <c r="C1771" s="1" t="n">
        <v>45750</v>
      </c>
      <c r="D1771" t="inlineStr">
        <is>
          <t>VÄSTERNORRLANDS LÄN</t>
        </is>
      </c>
      <c r="E1771" t="inlineStr">
        <is>
          <t>ÅNGE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13761-2024</t>
        </is>
      </c>
      <c r="B1772" s="1" t="n">
        <v>45390</v>
      </c>
      <c r="C1772" s="1" t="n">
        <v>45750</v>
      </c>
      <c r="D1772" t="inlineStr">
        <is>
          <t>VÄSTERNORRLANDS LÄN</t>
        </is>
      </c>
      <c r="E1772" t="inlineStr">
        <is>
          <t>ÅNGE</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13765-2024</t>
        </is>
      </c>
      <c r="B1773" s="1" t="n">
        <v>45390</v>
      </c>
      <c r="C1773" s="1" t="n">
        <v>45750</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13769-2024</t>
        </is>
      </c>
      <c r="B1774" s="1" t="n">
        <v>45390</v>
      </c>
      <c r="C1774" s="1" t="n">
        <v>45750</v>
      </c>
      <c r="D1774" t="inlineStr">
        <is>
          <t>VÄSTERNORRLANDS LÄN</t>
        </is>
      </c>
      <c r="E1774" t="inlineStr">
        <is>
          <t>ÅNGE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13773-2024</t>
        </is>
      </c>
      <c r="B1775" s="1" t="n">
        <v>45391</v>
      </c>
      <c r="C1775" s="1" t="n">
        <v>45750</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13760-2024</t>
        </is>
      </c>
      <c r="B1776" s="1" t="n">
        <v>45390</v>
      </c>
      <c r="C1776" s="1" t="n">
        <v>45750</v>
      </c>
      <c r="D1776" t="inlineStr">
        <is>
          <t>VÄSTERNORRLANDS LÄN</t>
        </is>
      </c>
      <c r="E1776" t="inlineStr">
        <is>
          <t>ÅNGE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13764-2024</t>
        </is>
      </c>
      <c r="B1777" s="1" t="n">
        <v>45390</v>
      </c>
      <c r="C1777" s="1" t="n">
        <v>45750</v>
      </c>
      <c r="D1777" t="inlineStr">
        <is>
          <t>VÄSTERNORRLANDS LÄN</t>
        </is>
      </c>
      <c r="E1777" t="inlineStr">
        <is>
          <t>ÅNGE</t>
        </is>
      </c>
      <c r="F1777" t="inlineStr">
        <is>
          <t>SCA</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13772-2024</t>
        </is>
      </c>
      <c r="B1778" s="1" t="n">
        <v>45391</v>
      </c>
      <c r="C1778" s="1" t="n">
        <v>45750</v>
      </c>
      <c r="D1778" t="inlineStr">
        <is>
          <t>VÄSTERNORRLANDS LÄN</t>
        </is>
      </c>
      <c r="E1778" t="inlineStr">
        <is>
          <t>ÅNGE</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13771-2024</t>
        </is>
      </c>
      <c r="B1779" s="1" t="n">
        <v>45391</v>
      </c>
      <c r="C1779" s="1" t="n">
        <v>45750</v>
      </c>
      <c r="D1779" t="inlineStr">
        <is>
          <t>VÄSTERNORRLANDS LÄN</t>
        </is>
      </c>
      <c r="E1779" t="inlineStr">
        <is>
          <t>ÅNGE</t>
        </is>
      </c>
      <c r="F1779" t="inlineStr">
        <is>
          <t>SCA</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14199-2024</t>
        </is>
      </c>
      <c r="B1780" s="1" t="n">
        <v>45393</v>
      </c>
      <c r="C1780" s="1" t="n">
        <v>45750</v>
      </c>
      <c r="D1780" t="inlineStr">
        <is>
          <t>VÄSTERNORRLANDS LÄN</t>
        </is>
      </c>
      <c r="E1780" t="inlineStr">
        <is>
          <t>ÅNGE</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14829-2024</t>
        </is>
      </c>
      <c r="B1781" s="1" t="n">
        <v>45397</v>
      </c>
      <c r="C1781" s="1" t="n">
        <v>45750</v>
      </c>
      <c r="D1781" t="inlineStr">
        <is>
          <t>VÄSTERNORRLANDS LÄN</t>
        </is>
      </c>
      <c r="E1781" t="inlineStr">
        <is>
          <t>ÅNGE</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14856-2024</t>
        </is>
      </c>
      <c r="B1782" s="1" t="n">
        <v>45398</v>
      </c>
      <c r="C1782" s="1" t="n">
        <v>45750</v>
      </c>
      <c r="D1782" t="inlineStr">
        <is>
          <t>VÄSTERNORRLANDS LÄN</t>
        </is>
      </c>
      <c r="E1782" t="inlineStr">
        <is>
          <t>ÅNGE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15157-2024</t>
        </is>
      </c>
      <c r="B1783" s="1" t="n">
        <v>45400</v>
      </c>
      <c r="C1783" s="1" t="n">
        <v>45750</v>
      </c>
      <c r="D1783" t="inlineStr">
        <is>
          <t>VÄSTERNORRLANDS LÄN</t>
        </is>
      </c>
      <c r="E1783" t="inlineStr">
        <is>
          <t>ÅNGE</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15369-2024</t>
        </is>
      </c>
      <c r="B1784" s="1" t="n">
        <v>45401</v>
      </c>
      <c r="C1784" s="1" t="n">
        <v>45750</v>
      </c>
      <c r="D1784" t="inlineStr">
        <is>
          <t>VÄSTERNORRLANDS LÄN</t>
        </is>
      </c>
      <c r="E1784" t="inlineStr">
        <is>
          <t>ÅNGE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15367-2024</t>
        </is>
      </c>
      <c r="B1785" s="1" t="n">
        <v>45401</v>
      </c>
      <c r="C1785" s="1" t="n">
        <v>45750</v>
      </c>
      <c r="D1785" t="inlineStr">
        <is>
          <t>VÄSTERNORRLANDS LÄN</t>
        </is>
      </c>
      <c r="E1785" t="inlineStr">
        <is>
          <t>ÅNGE</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15368-2024</t>
        </is>
      </c>
      <c r="B1786" s="1" t="n">
        <v>45401</v>
      </c>
      <c r="C1786" s="1" t="n">
        <v>45750</v>
      </c>
      <c r="D1786" t="inlineStr">
        <is>
          <t>VÄSTERNORRLANDS LÄN</t>
        </is>
      </c>
      <c r="E1786" t="inlineStr">
        <is>
          <t>ÅNGE</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15603-2024</t>
        </is>
      </c>
      <c r="B1787" s="1" t="n">
        <v>45402</v>
      </c>
      <c r="C1787" s="1" t="n">
        <v>45750</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15630-2024</t>
        </is>
      </c>
      <c r="B1788" s="1" t="n">
        <v>45403</v>
      </c>
      <c r="C1788" s="1" t="n">
        <v>45750</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15860-2024</t>
        </is>
      </c>
      <c r="B1789" s="1" t="n">
        <v>45405</v>
      </c>
      <c r="C1789" s="1" t="n">
        <v>45750</v>
      </c>
      <c r="D1789" t="inlineStr">
        <is>
          <t>VÄSTERNORRLANDS LÄN</t>
        </is>
      </c>
      <c r="E1789" t="inlineStr">
        <is>
          <t>ÅNGE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16045-2024</t>
        </is>
      </c>
      <c r="B1790" s="1" t="n">
        <v>45405</v>
      </c>
      <c r="C1790" s="1" t="n">
        <v>45750</v>
      </c>
      <c r="D1790" t="inlineStr">
        <is>
          <t>VÄSTERNORRLANDS LÄN</t>
        </is>
      </c>
      <c r="E1790" t="inlineStr">
        <is>
          <t>ÅNGE</t>
        </is>
      </c>
      <c r="G1790" t="n">
        <v>13.4</v>
      </c>
      <c r="H1790" t="n">
        <v>0</v>
      </c>
      <c r="I1790" t="n">
        <v>0</v>
      </c>
      <c r="J1790" t="n">
        <v>0</v>
      </c>
      <c r="K1790" t="n">
        <v>0</v>
      </c>
      <c r="L1790" t="n">
        <v>0</v>
      </c>
      <c r="M1790" t="n">
        <v>0</v>
      </c>
      <c r="N1790" t="n">
        <v>0</v>
      </c>
      <c r="O1790" t="n">
        <v>0</v>
      </c>
      <c r="P1790" t="n">
        <v>0</v>
      </c>
      <c r="Q1790" t="n">
        <v>0</v>
      </c>
      <c r="R1790" s="2" t="inlineStr"/>
    </row>
    <row r="1791" ht="15" customHeight="1">
      <c r="A1791" t="inlineStr">
        <is>
          <t>A 16243-2024</t>
        </is>
      </c>
      <c r="B1791" s="1" t="n">
        <v>45407</v>
      </c>
      <c r="C1791" s="1" t="n">
        <v>45750</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16694-2024</t>
        </is>
      </c>
      <c r="B1792" s="1" t="n">
        <v>45408</v>
      </c>
      <c r="C1792" s="1" t="n">
        <v>45750</v>
      </c>
      <c r="D1792" t="inlineStr">
        <is>
          <t>VÄSTERNORRLANDS LÄN</t>
        </is>
      </c>
      <c r="E1792" t="inlineStr">
        <is>
          <t>ÅNGE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16460-2024</t>
        </is>
      </c>
      <c r="B1793" s="1" t="n">
        <v>45408</v>
      </c>
      <c r="C1793" s="1" t="n">
        <v>45750</v>
      </c>
      <c r="D1793" t="inlineStr">
        <is>
          <t>VÄSTERNORRLANDS LÄN</t>
        </is>
      </c>
      <c r="E1793" t="inlineStr">
        <is>
          <t>ÅNGE</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16695-2024</t>
        </is>
      </c>
      <c r="B1794" s="1" t="n">
        <v>45408</v>
      </c>
      <c r="C1794" s="1" t="n">
        <v>45750</v>
      </c>
      <c r="D1794" t="inlineStr">
        <is>
          <t>VÄSTERNORRLANDS LÄN</t>
        </is>
      </c>
      <c r="E1794" t="inlineStr">
        <is>
          <t>ÅNGE</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16706-2024</t>
        </is>
      </c>
      <c r="B1795" s="1" t="n">
        <v>45409</v>
      </c>
      <c r="C1795" s="1" t="n">
        <v>45750</v>
      </c>
      <c r="D1795" t="inlineStr">
        <is>
          <t>VÄSTERNORRLANDS LÄN</t>
        </is>
      </c>
      <c r="E1795" t="inlineStr">
        <is>
          <t>ÅNGE</t>
        </is>
      </c>
      <c r="F1795" t="inlineStr">
        <is>
          <t>SCA</t>
        </is>
      </c>
      <c r="G1795" t="n">
        <v>13.6</v>
      </c>
      <c r="H1795" t="n">
        <v>0</v>
      </c>
      <c r="I1795" t="n">
        <v>0</v>
      </c>
      <c r="J1795" t="n">
        <v>0</v>
      </c>
      <c r="K1795" t="n">
        <v>0</v>
      </c>
      <c r="L1795" t="n">
        <v>0</v>
      </c>
      <c r="M1795" t="n">
        <v>0</v>
      </c>
      <c r="N1795" t="n">
        <v>0</v>
      </c>
      <c r="O1795" t="n">
        <v>0</v>
      </c>
      <c r="P1795" t="n">
        <v>0</v>
      </c>
      <c r="Q1795" t="n">
        <v>0</v>
      </c>
      <c r="R1795" s="2" t="inlineStr"/>
    </row>
    <row r="1796" ht="15" customHeight="1">
      <c r="A1796" t="inlineStr">
        <is>
          <t>A 16718-2024</t>
        </is>
      </c>
      <c r="B1796" s="1" t="n">
        <v>45409</v>
      </c>
      <c r="C1796" s="1" t="n">
        <v>45750</v>
      </c>
      <c r="D1796" t="inlineStr">
        <is>
          <t>VÄSTERNORRLANDS LÄN</t>
        </is>
      </c>
      <c r="E1796" t="inlineStr">
        <is>
          <t>ÅNGE</t>
        </is>
      </c>
      <c r="F1796" t="inlineStr">
        <is>
          <t>SCA</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16705-2024</t>
        </is>
      </c>
      <c r="B1797" s="1" t="n">
        <v>45409</v>
      </c>
      <c r="C1797" s="1" t="n">
        <v>45750</v>
      </c>
      <c r="D1797" t="inlineStr">
        <is>
          <t>VÄSTERNORRLANDS LÄN</t>
        </is>
      </c>
      <c r="E1797" t="inlineStr">
        <is>
          <t>ÅNGE</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16915-2024</t>
        </is>
      </c>
      <c r="B1798" s="1" t="n">
        <v>45411</v>
      </c>
      <c r="C1798" s="1" t="n">
        <v>45750</v>
      </c>
      <c r="D1798" t="inlineStr">
        <is>
          <t>VÄSTERNORRLANDS LÄN</t>
        </is>
      </c>
      <c r="E1798" t="inlineStr">
        <is>
          <t>ÅNGE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16903-2024</t>
        </is>
      </c>
      <c r="B1799" s="1" t="n">
        <v>45411</v>
      </c>
      <c r="C1799" s="1" t="n">
        <v>45750</v>
      </c>
      <c r="D1799" t="inlineStr">
        <is>
          <t>VÄSTERNORRLANDS LÄN</t>
        </is>
      </c>
      <c r="E1799" t="inlineStr">
        <is>
          <t>ÅNGE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16902-2024</t>
        </is>
      </c>
      <c r="B1800" s="1" t="n">
        <v>45411</v>
      </c>
      <c r="C1800" s="1" t="n">
        <v>45750</v>
      </c>
      <c r="D1800" t="inlineStr">
        <is>
          <t>VÄSTERNORRLANDS LÄN</t>
        </is>
      </c>
      <c r="E1800" t="inlineStr">
        <is>
          <t>ÅNGE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17171-2024</t>
        </is>
      </c>
      <c r="B1801" s="1" t="n">
        <v>45413</v>
      </c>
      <c r="C1801" s="1" t="n">
        <v>45750</v>
      </c>
      <c r="D1801" t="inlineStr">
        <is>
          <t>VÄSTERNORRLANDS LÄN</t>
        </is>
      </c>
      <c r="E1801" t="inlineStr">
        <is>
          <t>ÅNGE</t>
        </is>
      </c>
      <c r="F1801" t="inlineStr">
        <is>
          <t>SCA</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16978-2024</t>
        </is>
      </c>
      <c r="B1802" s="1" t="n">
        <v>45412</v>
      </c>
      <c r="C1802" s="1" t="n">
        <v>45750</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17421-2024</t>
        </is>
      </c>
      <c r="B1803" s="1" t="n">
        <v>45415</v>
      </c>
      <c r="C1803" s="1" t="n">
        <v>45750</v>
      </c>
      <c r="D1803" t="inlineStr">
        <is>
          <t>VÄSTERNORRLANDS LÄN</t>
        </is>
      </c>
      <c r="E1803" t="inlineStr">
        <is>
          <t>ÅNGE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17601-2024</t>
        </is>
      </c>
      <c r="B1804" s="1" t="n">
        <v>45415</v>
      </c>
      <c r="C1804" s="1" t="n">
        <v>45750</v>
      </c>
      <c r="D1804" t="inlineStr">
        <is>
          <t>VÄSTERNORRLANDS LÄN</t>
        </is>
      </c>
      <c r="E1804" t="inlineStr">
        <is>
          <t>ÅNGE</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17605-2024</t>
        </is>
      </c>
      <c r="B1805" s="1" t="n">
        <v>45415</v>
      </c>
      <c r="C1805" s="1" t="n">
        <v>45750</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17602-2024</t>
        </is>
      </c>
      <c r="B1806" s="1" t="n">
        <v>45415</v>
      </c>
      <c r="C1806" s="1" t="n">
        <v>45750</v>
      </c>
      <c r="D1806" t="inlineStr">
        <is>
          <t>VÄSTERNORRLANDS LÄN</t>
        </is>
      </c>
      <c r="E1806" t="inlineStr">
        <is>
          <t>ÅNGE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17603-2024</t>
        </is>
      </c>
      <c r="B1807" s="1" t="n">
        <v>45415</v>
      </c>
      <c r="C1807" s="1" t="n">
        <v>45750</v>
      </c>
      <c r="D1807" t="inlineStr">
        <is>
          <t>VÄSTERNORRLANDS LÄN</t>
        </is>
      </c>
      <c r="E1807" t="inlineStr">
        <is>
          <t>ÅNGE</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17604-2024</t>
        </is>
      </c>
      <c r="B1808" s="1" t="n">
        <v>45415</v>
      </c>
      <c r="C1808" s="1" t="n">
        <v>45750</v>
      </c>
      <c r="D1808" t="inlineStr">
        <is>
          <t>VÄSTERNORRLANDS LÄN</t>
        </is>
      </c>
      <c r="E1808" t="inlineStr">
        <is>
          <t>ÅNGE</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17589-2024</t>
        </is>
      </c>
      <c r="B1809" s="1" t="n">
        <v>45416</v>
      </c>
      <c r="C1809" s="1" t="n">
        <v>45750</v>
      </c>
      <c r="D1809" t="inlineStr">
        <is>
          <t>VÄSTERNORRLANDS LÄN</t>
        </is>
      </c>
      <c r="E1809" t="inlineStr">
        <is>
          <t>ÅNGE</t>
        </is>
      </c>
      <c r="F1809" t="inlineStr">
        <is>
          <t>SCA</t>
        </is>
      </c>
      <c r="G1809" t="n">
        <v>11.1</v>
      </c>
      <c r="H1809" t="n">
        <v>0</v>
      </c>
      <c r="I1809" t="n">
        <v>0</v>
      </c>
      <c r="J1809" t="n">
        <v>0</v>
      </c>
      <c r="K1809" t="n">
        <v>0</v>
      </c>
      <c r="L1809" t="n">
        <v>0</v>
      </c>
      <c r="M1809" t="n">
        <v>0</v>
      </c>
      <c r="N1809" t="n">
        <v>0</v>
      </c>
      <c r="O1809" t="n">
        <v>0</v>
      </c>
      <c r="P1809" t="n">
        <v>0</v>
      </c>
      <c r="Q1809" t="n">
        <v>0</v>
      </c>
      <c r="R1809" s="2" t="inlineStr"/>
    </row>
    <row r="1810" ht="15" customHeight="1">
      <c r="A1810" t="inlineStr">
        <is>
          <t>A 17819-2024</t>
        </is>
      </c>
      <c r="B1810" s="1" t="n">
        <v>45419</v>
      </c>
      <c r="C1810" s="1" t="n">
        <v>45750</v>
      </c>
      <c r="D1810" t="inlineStr">
        <is>
          <t>VÄSTERNORRLANDS LÄN</t>
        </is>
      </c>
      <c r="E1810" t="inlineStr">
        <is>
          <t>ÅNGE</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18002-2024</t>
        </is>
      </c>
      <c r="B1811" s="1" t="n">
        <v>45420</v>
      </c>
      <c r="C1811" s="1" t="n">
        <v>45750</v>
      </c>
      <c r="D1811" t="inlineStr">
        <is>
          <t>VÄSTERNORRLANDS LÄN</t>
        </is>
      </c>
      <c r="E1811" t="inlineStr">
        <is>
          <t>ÅNGE</t>
        </is>
      </c>
      <c r="F1811" t="inlineStr">
        <is>
          <t>SCA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18619-2024</t>
        </is>
      </c>
      <c r="B1812" s="1" t="n">
        <v>45426</v>
      </c>
      <c r="C1812" s="1" t="n">
        <v>45750</v>
      </c>
      <c r="D1812" t="inlineStr">
        <is>
          <t>VÄSTERNORRLANDS LÄN</t>
        </is>
      </c>
      <c r="E1812" t="inlineStr">
        <is>
          <t>ÅNGE</t>
        </is>
      </c>
      <c r="F1812" t="inlineStr">
        <is>
          <t>SCA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18617-2024</t>
        </is>
      </c>
      <c r="B1813" s="1" t="n">
        <v>45425</v>
      </c>
      <c r="C1813" s="1" t="n">
        <v>45750</v>
      </c>
      <c r="D1813" t="inlineStr">
        <is>
          <t>VÄSTERNORRLANDS LÄN</t>
        </is>
      </c>
      <c r="E1813" t="inlineStr">
        <is>
          <t>ÅNGE</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18639-2024</t>
        </is>
      </c>
      <c r="B1814" s="1" t="n">
        <v>45426</v>
      </c>
      <c r="C1814" s="1" t="n">
        <v>45750</v>
      </c>
      <c r="D1814" t="inlineStr">
        <is>
          <t>VÄSTERNORRLANDS LÄN</t>
        </is>
      </c>
      <c r="E1814" t="inlineStr">
        <is>
          <t>ÅNGE</t>
        </is>
      </c>
      <c r="F1814" t="inlineStr">
        <is>
          <t>SCA</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18456-2024</t>
        </is>
      </c>
      <c r="B1815" s="1" t="n">
        <v>45425</v>
      </c>
      <c r="C1815" s="1" t="n">
        <v>45750</v>
      </c>
      <c r="D1815" t="inlineStr">
        <is>
          <t>VÄSTERNORRLANDS LÄN</t>
        </is>
      </c>
      <c r="E1815" t="inlineStr">
        <is>
          <t>ÅNGE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18632-2024</t>
        </is>
      </c>
      <c r="B1816" s="1" t="n">
        <v>45426</v>
      </c>
      <c r="C1816" s="1" t="n">
        <v>45750</v>
      </c>
      <c r="D1816" t="inlineStr">
        <is>
          <t>VÄSTERNORRLANDS LÄN</t>
        </is>
      </c>
      <c r="E1816" t="inlineStr">
        <is>
          <t>ÅNGE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18666-2024</t>
        </is>
      </c>
      <c r="B1817" s="1" t="n">
        <v>45425</v>
      </c>
      <c r="C1817" s="1" t="n">
        <v>45750</v>
      </c>
      <c r="D1817" t="inlineStr">
        <is>
          <t>VÄSTERNORRLANDS LÄN</t>
        </is>
      </c>
      <c r="E1817" t="inlineStr">
        <is>
          <t>ÅNGE</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18618-2024</t>
        </is>
      </c>
      <c r="B1818" s="1" t="n">
        <v>45426</v>
      </c>
      <c r="C1818" s="1" t="n">
        <v>45750</v>
      </c>
      <c r="D1818" t="inlineStr">
        <is>
          <t>VÄSTERNORRLANDS LÄN</t>
        </is>
      </c>
      <c r="E1818" t="inlineStr">
        <is>
          <t>ÅNGE</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18878-2024</t>
        </is>
      </c>
      <c r="B1819" s="1" t="n">
        <v>45426</v>
      </c>
      <c r="C1819" s="1" t="n">
        <v>45750</v>
      </c>
      <c r="D1819" t="inlineStr">
        <is>
          <t>VÄSTERNORRLANDS LÄN</t>
        </is>
      </c>
      <c r="E1819" t="inlineStr">
        <is>
          <t>ÅNGE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18872-2024</t>
        </is>
      </c>
      <c r="B1820" s="1" t="n">
        <v>45427</v>
      </c>
      <c r="C1820" s="1" t="n">
        <v>45750</v>
      </c>
      <c r="D1820" t="inlineStr">
        <is>
          <t>VÄSTERNORRLANDS LÄN</t>
        </is>
      </c>
      <c r="E1820" t="inlineStr">
        <is>
          <t>ÅNGE</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18880-2024</t>
        </is>
      </c>
      <c r="B1821" s="1" t="n">
        <v>45426</v>
      </c>
      <c r="C1821" s="1" t="n">
        <v>45750</v>
      </c>
      <c r="D1821" t="inlineStr">
        <is>
          <t>VÄSTERNORRLANDS LÄN</t>
        </is>
      </c>
      <c r="E1821" t="inlineStr">
        <is>
          <t>ÅNGE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18869-2024</t>
        </is>
      </c>
      <c r="B1822" s="1" t="n">
        <v>45426</v>
      </c>
      <c r="C1822" s="1" t="n">
        <v>45750</v>
      </c>
      <c r="D1822" t="inlineStr">
        <is>
          <t>VÄSTERNORRLANDS LÄN</t>
        </is>
      </c>
      <c r="E1822" t="inlineStr">
        <is>
          <t>ÅNGE</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18881-2024</t>
        </is>
      </c>
      <c r="B1823" s="1" t="n">
        <v>45427</v>
      </c>
      <c r="C1823" s="1" t="n">
        <v>45750</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18879-2024</t>
        </is>
      </c>
      <c r="B1824" s="1" t="n">
        <v>45426</v>
      </c>
      <c r="C1824" s="1" t="n">
        <v>45750</v>
      </c>
      <c r="D1824" t="inlineStr">
        <is>
          <t>VÄSTERNORRLANDS LÄN</t>
        </is>
      </c>
      <c r="E1824" t="inlineStr">
        <is>
          <t>ÅNGE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19066-2024</t>
        </is>
      </c>
      <c r="B1825" s="1" t="n">
        <v>45427</v>
      </c>
      <c r="C1825" s="1" t="n">
        <v>45750</v>
      </c>
      <c r="D1825" t="inlineStr">
        <is>
          <t>VÄSTERNORRLANDS LÄN</t>
        </is>
      </c>
      <c r="E1825" t="inlineStr">
        <is>
          <t>ÅNGE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19343-2024</t>
        </is>
      </c>
      <c r="B1826" s="1" t="n">
        <v>45428</v>
      </c>
      <c r="C1826" s="1" t="n">
        <v>45750</v>
      </c>
      <c r="D1826" t="inlineStr">
        <is>
          <t>VÄSTERNORRLANDS LÄN</t>
        </is>
      </c>
      <c r="E1826" t="inlineStr">
        <is>
          <t>ÅNGE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19342-2024</t>
        </is>
      </c>
      <c r="B1827" s="1" t="n">
        <v>45428</v>
      </c>
      <c r="C1827" s="1" t="n">
        <v>45750</v>
      </c>
      <c r="D1827" t="inlineStr">
        <is>
          <t>VÄSTERNORRLANDS LÄN</t>
        </is>
      </c>
      <c r="E1827" t="inlineStr">
        <is>
          <t>ÅNGE</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19396-2024</t>
        </is>
      </c>
      <c r="B1828" s="1" t="n">
        <v>45428</v>
      </c>
      <c r="C1828" s="1" t="n">
        <v>45750</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19557-2024</t>
        </is>
      </c>
      <c r="B1829" s="1" t="n">
        <v>45429</v>
      </c>
      <c r="C1829" s="1" t="n">
        <v>45750</v>
      </c>
      <c r="D1829" t="inlineStr">
        <is>
          <t>VÄSTERNORRLANDS LÄN</t>
        </is>
      </c>
      <c r="E1829" t="inlineStr">
        <is>
          <t>ÅNGE</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20276-2024</t>
        </is>
      </c>
      <c r="B1830" s="1" t="n">
        <v>45435</v>
      </c>
      <c r="C1830" s="1" t="n">
        <v>45750</v>
      </c>
      <c r="D1830" t="inlineStr">
        <is>
          <t>VÄSTERNORRLANDS LÄN</t>
        </is>
      </c>
      <c r="E1830" t="inlineStr">
        <is>
          <t>ÅNGE</t>
        </is>
      </c>
      <c r="F1830" t="inlineStr">
        <is>
          <t>SCA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20761-2024</t>
        </is>
      </c>
      <c r="B1831" s="1" t="n">
        <v>45436</v>
      </c>
      <c r="C1831" s="1" t="n">
        <v>45750</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20927-2024</t>
        </is>
      </c>
      <c r="B1832" s="1" t="n">
        <v>45439</v>
      </c>
      <c r="C1832" s="1" t="n">
        <v>45750</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20915-2024</t>
        </is>
      </c>
      <c r="B1833" s="1" t="n">
        <v>45439</v>
      </c>
      <c r="C1833" s="1" t="n">
        <v>45750</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20925-2024</t>
        </is>
      </c>
      <c r="B1834" s="1" t="n">
        <v>45439</v>
      </c>
      <c r="C1834" s="1" t="n">
        <v>45750</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20932-2024</t>
        </is>
      </c>
      <c r="B1835" s="1" t="n">
        <v>45439</v>
      </c>
      <c r="C1835" s="1" t="n">
        <v>45750</v>
      </c>
      <c r="D1835" t="inlineStr">
        <is>
          <t>VÄSTERNORRLANDS LÄN</t>
        </is>
      </c>
      <c r="E1835" t="inlineStr">
        <is>
          <t>ÅNGE</t>
        </is>
      </c>
      <c r="F1835" t="inlineStr">
        <is>
          <t>Sveaskog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21089-2024</t>
        </is>
      </c>
      <c r="B1836" s="1" t="n">
        <v>45440</v>
      </c>
      <c r="C1836" s="1" t="n">
        <v>45750</v>
      </c>
      <c r="D1836" t="inlineStr">
        <is>
          <t>VÄSTERNORRLANDS LÄN</t>
        </is>
      </c>
      <c r="E1836" t="inlineStr">
        <is>
          <t>ÅNGE</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20815-2024</t>
        </is>
      </c>
      <c r="B1837" s="1" t="n">
        <v>45439</v>
      </c>
      <c r="C1837" s="1" t="n">
        <v>45750</v>
      </c>
      <c r="D1837" t="inlineStr">
        <is>
          <t>VÄSTERNORRLANDS LÄN</t>
        </is>
      </c>
      <c r="E1837" t="inlineStr">
        <is>
          <t>ÅNGE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21200-2024</t>
        </is>
      </c>
      <c r="B1838" s="1" t="n">
        <v>45440</v>
      </c>
      <c r="C1838" s="1" t="n">
        <v>45750</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21179-2024</t>
        </is>
      </c>
      <c r="B1839" s="1" t="n">
        <v>45440</v>
      </c>
      <c r="C1839" s="1" t="n">
        <v>45750</v>
      </c>
      <c r="D1839" t="inlineStr">
        <is>
          <t>VÄSTERNORRLANDS LÄN</t>
        </is>
      </c>
      <c r="E1839" t="inlineStr">
        <is>
          <t>ÅNGE</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21151-2024</t>
        </is>
      </c>
      <c r="B1840" s="1" t="n">
        <v>45440</v>
      </c>
      <c r="C1840" s="1" t="n">
        <v>45750</v>
      </c>
      <c r="D1840" t="inlineStr">
        <is>
          <t>VÄSTERNORRLANDS LÄN</t>
        </is>
      </c>
      <c r="E1840" t="inlineStr">
        <is>
          <t>ÅNGE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21387-2024</t>
        </is>
      </c>
      <c r="B1841" s="1" t="n">
        <v>45440</v>
      </c>
      <c r="C1841" s="1" t="n">
        <v>45750</v>
      </c>
      <c r="D1841" t="inlineStr">
        <is>
          <t>VÄSTERNORRLANDS LÄN</t>
        </is>
      </c>
      <c r="E1841" t="inlineStr">
        <is>
          <t>ÅNGE</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21833-2024</t>
        </is>
      </c>
      <c r="B1842" s="1" t="n">
        <v>45442</v>
      </c>
      <c r="C1842" s="1" t="n">
        <v>45750</v>
      </c>
      <c r="D1842" t="inlineStr">
        <is>
          <t>VÄSTERNORRLANDS LÄN</t>
        </is>
      </c>
      <c r="E1842" t="inlineStr">
        <is>
          <t>ÅNGE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22122-2024</t>
        </is>
      </c>
      <c r="B1843" s="1" t="n">
        <v>45443</v>
      </c>
      <c r="C1843" s="1" t="n">
        <v>45750</v>
      </c>
      <c r="D1843" t="inlineStr">
        <is>
          <t>VÄSTERNORRLANDS LÄN</t>
        </is>
      </c>
      <c r="E1843" t="inlineStr">
        <is>
          <t>ÅNGE</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22463-2024</t>
        </is>
      </c>
      <c r="B1844" s="1" t="n">
        <v>45446</v>
      </c>
      <c r="C1844" s="1" t="n">
        <v>45750</v>
      </c>
      <c r="D1844" t="inlineStr">
        <is>
          <t>VÄSTERNORRLANDS LÄN</t>
        </is>
      </c>
      <c r="E1844" t="inlineStr">
        <is>
          <t>ÅNGE</t>
        </is>
      </c>
      <c r="F1844" t="inlineStr">
        <is>
          <t>SCA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22187-2024</t>
        </is>
      </c>
      <c r="B1845" s="1" t="n">
        <v>45446</v>
      </c>
      <c r="C1845" s="1" t="n">
        <v>45750</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22465-2024</t>
        </is>
      </c>
      <c r="B1846" s="1" t="n">
        <v>45446</v>
      </c>
      <c r="C1846" s="1" t="n">
        <v>45750</v>
      </c>
      <c r="D1846" t="inlineStr">
        <is>
          <t>VÄSTERNORRLANDS LÄN</t>
        </is>
      </c>
      <c r="E1846" t="inlineStr">
        <is>
          <t>ÅNGE</t>
        </is>
      </c>
      <c r="F1846" t="inlineStr">
        <is>
          <t>SCA</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22461-2024</t>
        </is>
      </c>
      <c r="B1847" s="1" t="n">
        <v>45447</v>
      </c>
      <c r="C1847" s="1" t="n">
        <v>45750</v>
      </c>
      <c r="D1847" t="inlineStr">
        <is>
          <t>VÄSTERNORRLANDS LÄN</t>
        </is>
      </c>
      <c r="E1847" t="inlineStr">
        <is>
          <t>ÅNGE</t>
        </is>
      </c>
      <c r="F1847" t="inlineStr">
        <is>
          <t>SCA</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22460-2024</t>
        </is>
      </c>
      <c r="B1848" s="1" t="n">
        <v>45446</v>
      </c>
      <c r="C1848" s="1" t="n">
        <v>45750</v>
      </c>
      <c r="D1848" t="inlineStr">
        <is>
          <t>VÄSTERNORRLANDS LÄN</t>
        </is>
      </c>
      <c r="E1848" t="inlineStr">
        <is>
          <t>ÅNGE</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22464-2024</t>
        </is>
      </c>
      <c r="B1849" s="1" t="n">
        <v>45447</v>
      </c>
      <c r="C1849" s="1" t="n">
        <v>45750</v>
      </c>
      <c r="D1849" t="inlineStr">
        <is>
          <t>VÄSTERNORRLANDS LÄN</t>
        </is>
      </c>
      <c r="E1849" t="inlineStr">
        <is>
          <t>ÅNGE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22679-2024</t>
        </is>
      </c>
      <c r="B1850" s="1" t="n">
        <v>45447</v>
      </c>
      <c r="C1850" s="1" t="n">
        <v>45750</v>
      </c>
      <c r="D1850" t="inlineStr">
        <is>
          <t>VÄSTERNORRLANDS LÄN</t>
        </is>
      </c>
      <c r="E1850" t="inlineStr">
        <is>
          <t>ÅNGE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22678-2024</t>
        </is>
      </c>
      <c r="B1851" s="1" t="n">
        <v>45448</v>
      </c>
      <c r="C1851" s="1" t="n">
        <v>45750</v>
      </c>
      <c r="D1851" t="inlineStr">
        <is>
          <t>VÄSTERNORRLANDS LÄN</t>
        </is>
      </c>
      <c r="E1851" t="inlineStr">
        <is>
          <t>ÅNGE</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22680-2024</t>
        </is>
      </c>
      <c r="B1852" s="1" t="n">
        <v>45448</v>
      </c>
      <c r="C1852" s="1" t="n">
        <v>45750</v>
      </c>
      <c r="D1852" t="inlineStr">
        <is>
          <t>VÄSTERNORRLANDS LÄN</t>
        </is>
      </c>
      <c r="E1852" t="inlineStr">
        <is>
          <t>ÅNGE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22681-2024</t>
        </is>
      </c>
      <c r="B1853" s="1" t="n">
        <v>45447</v>
      </c>
      <c r="C1853" s="1" t="n">
        <v>45750</v>
      </c>
      <c r="D1853" t="inlineStr">
        <is>
          <t>VÄSTERNORRLANDS LÄN</t>
        </is>
      </c>
      <c r="E1853" t="inlineStr">
        <is>
          <t>ÅNGE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22986-2024</t>
        </is>
      </c>
      <c r="B1854" s="1" t="n">
        <v>45450</v>
      </c>
      <c r="C1854" s="1" t="n">
        <v>45750</v>
      </c>
      <c r="D1854" t="inlineStr">
        <is>
          <t>VÄSTERNORRLANDS LÄN</t>
        </is>
      </c>
      <c r="E1854" t="inlineStr">
        <is>
          <t>ÅNGE</t>
        </is>
      </c>
      <c r="F1854" t="inlineStr">
        <is>
          <t>SCA</t>
        </is>
      </c>
      <c r="G1854" t="n">
        <v>17.8</v>
      </c>
      <c r="H1854" t="n">
        <v>0</v>
      </c>
      <c r="I1854" t="n">
        <v>0</v>
      </c>
      <c r="J1854" t="n">
        <v>0</v>
      </c>
      <c r="K1854" t="n">
        <v>0</v>
      </c>
      <c r="L1854" t="n">
        <v>0</v>
      </c>
      <c r="M1854" t="n">
        <v>0</v>
      </c>
      <c r="N1854" t="n">
        <v>0</v>
      </c>
      <c r="O1854" t="n">
        <v>0</v>
      </c>
      <c r="P1854" t="n">
        <v>0</v>
      </c>
      <c r="Q1854" t="n">
        <v>0</v>
      </c>
      <c r="R1854" s="2" t="inlineStr"/>
    </row>
    <row r="1855" ht="15" customHeight="1">
      <c r="A1855" t="inlineStr">
        <is>
          <t>A 22990-2024</t>
        </is>
      </c>
      <c r="B1855" s="1" t="n">
        <v>45450</v>
      </c>
      <c r="C1855" s="1" t="n">
        <v>45750</v>
      </c>
      <c r="D1855" t="inlineStr">
        <is>
          <t>VÄSTERNORRLANDS LÄN</t>
        </is>
      </c>
      <c r="E1855" t="inlineStr">
        <is>
          <t>ÅNGE</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22989-2024</t>
        </is>
      </c>
      <c r="B1856" s="1" t="n">
        <v>45450</v>
      </c>
      <c r="C1856" s="1" t="n">
        <v>45750</v>
      </c>
      <c r="D1856" t="inlineStr">
        <is>
          <t>VÄSTERNORRLANDS LÄN</t>
        </is>
      </c>
      <c r="E1856" t="inlineStr">
        <is>
          <t>ÅNGE</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22987-2024</t>
        </is>
      </c>
      <c r="B1857" s="1" t="n">
        <v>45450</v>
      </c>
      <c r="C1857" s="1" t="n">
        <v>45750</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22991-2024</t>
        </is>
      </c>
      <c r="B1858" s="1" t="n">
        <v>45450</v>
      </c>
      <c r="C1858" s="1" t="n">
        <v>45750</v>
      </c>
      <c r="D1858" t="inlineStr">
        <is>
          <t>VÄSTERNORRLANDS LÄN</t>
        </is>
      </c>
      <c r="E1858" t="inlineStr">
        <is>
          <t>ÅNGE</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22988-2024</t>
        </is>
      </c>
      <c r="B1859" s="1" t="n">
        <v>45450</v>
      </c>
      <c r="C1859" s="1" t="n">
        <v>45750</v>
      </c>
      <c r="D1859" t="inlineStr">
        <is>
          <t>VÄSTERNORRLANDS LÄN</t>
        </is>
      </c>
      <c r="E1859" t="inlineStr">
        <is>
          <t>ÅNGE</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22984-2024</t>
        </is>
      </c>
      <c r="B1860" s="1" t="n">
        <v>45450</v>
      </c>
      <c r="C1860" s="1" t="n">
        <v>45750</v>
      </c>
      <c r="D1860" t="inlineStr">
        <is>
          <t>VÄSTERNORRLANDS LÄN</t>
        </is>
      </c>
      <c r="E1860" t="inlineStr">
        <is>
          <t>ÅNGE</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23035-2024</t>
        </is>
      </c>
      <c r="B1861" s="1" t="n">
        <v>45450</v>
      </c>
      <c r="C1861" s="1" t="n">
        <v>45750</v>
      </c>
      <c r="D1861" t="inlineStr">
        <is>
          <t>VÄSTERNORRLANDS LÄN</t>
        </is>
      </c>
      <c r="E1861" t="inlineStr">
        <is>
          <t>ÅNGE</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23045-2024</t>
        </is>
      </c>
      <c r="B1862" s="1" t="n">
        <v>45450</v>
      </c>
      <c r="C1862" s="1" t="n">
        <v>45750</v>
      </c>
      <c r="D1862" t="inlineStr">
        <is>
          <t>VÄSTERNORRLANDS LÄN</t>
        </is>
      </c>
      <c r="E1862" t="inlineStr">
        <is>
          <t>ÅNGE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23058-2024</t>
        </is>
      </c>
      <c r="B1863" s="1" t="n">
        <v>45450</v>
      </c>
      <c r="C1863" s="1" t="n">
        <v>45750</v>
      </c>
      <c r="D1863" t="inlineStr">
        <is>
          <t>VÄSTERNORRLANDS LÄN</t>
        </is>
      </c>
      <c r="E1863" t="inlineStr">
        <is>
          <t>ÅNGE</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23063-2024</t>
        </is>
      </c>
      <c r="B1864" s="1" t="n">
        <v>45450</v>
      </c>
      <c r="C1864" s="1" t="n">
        <v>45750</v>
      </c>
      <c r="D1864" t="inlineStr">
        <is>
          <t>VÄSTERNORRLANDS LÄN</t>
        </is>
      </c>
      <c r="E1864" t="inlineStr">
        <is>
          <t>ÅNGE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23069-2024</t>
        </is>
      </c>
      <c r="B1865" s="1" t="n">
        <v>45450</v>
      </c>
      <c r="C1865" s="1" t="n">
        <v>45750</v>
      </c>
      <c r="D1865" t="inlineStr">
        <is>
          <t>VÄSTERNORRLANDS LÄN</t>
        </is>
      </c>
      <c r="E1865" t="inlineStr">
        <is>
          <t>ÅNGE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23225-2024</t>
        </is>
      </c>
      <c r="B1866" s="1" t="n">
        <v>45453</v>
      </c>
      <c r="C1866" s="1" t="n">
        <v>45750</v>
      </c>
      <c r="D1866" t="inlineStr">
        <is>
          <t>VÄSTERNORRLANDS LÄN</t>
        </is>
      </c>
      <c r="E1866" t="inlineStr">
        <is>
          <t>ÅNGE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23224-2024</t>
        </is>
      </c>
      <c r="B1867" s="1" t="n">
        <v>45452</v>
      </c>
      <c r="C1867" s="1" t="n">
        <v>45750</v>
      </c>
      <c r="D1867" t="inlineStr">
        <is>
          <t>VÄSTERNORRLANDS LÄN</t>
        </is>
      </c>
      <c r="E1867" t="inlineStr">
        <is>
          <t>ÅNGE</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23353-2024</t>
        </is>
      </c>
      <c r="B1868" s="1" t="n">
        <v>45453</v>
      </c>
      <c r="C1868" s="1" t="n">
        <v>45750</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23419-2024</t>
        </is>
      </c>
      <c r="B1869" s="1" t="n">
        <v>45453</v>
      </c>
      <c r="C1869" s="1" t="n">
        <v>45750</v>
      </c>
      <c r="D1869" t="inlineStr">
        <is>
          <t>VÄSTERNORRLANDS LÄN</t>
        </is>
      </c>
      <c r="E1869" t="inlineStr">
        <is>
          <t>ÅNGE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23933-2024</t>
        </is>
      </c>
      <c r="B1870" s="1" t="n">
        <v>45455</v>
      </c>
      <c r="C1870" s="1" t="n">
        <v>45750</v>
      </c>
      <c r="D1870" t="inlineStr">
        <is>
          <t>VÄSTERNORRLANDS LÄN</t>
        </is>
      </c>
      <c r="E1870" t="inlineStr">
        <is>
          <t>ÅNGE</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23961-2024</t>
        </is>
      </c>
      <c r="B1871" s="1" t="n">
        <v>45456</v>
      </c>
      <c r="C1871" s="1" t="n">
        <v>45750</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24131-2024</t>
        </is>
      </c>
      <c r="B1872" s="1" t="n">
        <v>45456</v>
      </c>
      <c r="C1872" s="1" t="n">
        <v>45750</v>
      </c>
      <c r="D1872" t="inlineStr">
        <is>
          <t>VÄSTERNORRLANDS LÄN</t>
        </is>
      </c>
      <c r="E1872" t="inlineStr">
        <is>
          <t>ÅNGE</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24231-2024</t>
        </is>
      </c>
      <c r="B1873" s="1" t="n">
        <v>45457</v>
      </c>
      <c r="C1873" s="1" t="n">
        <v>45750</v>
      </c>
      <c r="D1873" t="inlineStr">
        <is>
          <t>VÄSTERNORRLANDS LÄN</t>
        </is>
      </c>
      <c r="E1873" t="inlineStr">
        <is>
          <t>ÅNGE</t>
        </is>
      </c>
      <c r="F1873" t="inlineStr">
        <is>
          <t>Sveaskog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24436-2024</t>
        </is>
      </c>
      <c r="B1874" s="1" t="n">
        <v>45458</v>
      </c>
      <c r="C1874" s="1" t="n">
        <v>45750</v>
      </c>
      <c r="D1874" t="inlineStr">
        <is>
          <t>VÄSTERNORRLANDS LÄN</t>
        </is>
      </c>
      <c r="E1874" t="inlineStr">
        <is>
          <t>ÅNGE</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24229-2024</t>
        </is>
      </c>
      <c r="B1875" s="1" t="n">
        <v>45457</v>
      </c>
      <c r="C1875" s="1" t="n">
        <v>45750</v>
      </c>
      <c r="D1875" t="inlineStr">
        <is>
          <t>VÄSTERNORRLANDS LÄN</t>
        </is>
      </c>
      <c r="E1875" t="inlineStr">
        <is>
          <t>ÅNGE</t>
        </is>
      </c>
      <c r="F1875" t="inlineStr">
        <is>
          <t>Sveaskog</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24232-2024</t>
        </is>
      </c>
      <c r="B1876" s="1" t="n">
        <v>45457</v>
      </c>
      <c r="C1876" s="1" t="n">
        <v>45750</v>
      </c>
      <c r="D1876" t="inlineStr">
        <is>
          <t>VÄSTERNORRLANDS LÄN</t>
        </is>
      </c>
      <c r="E1876" t="inlineStr">
        <is>
          <t>ÅNGE</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24498-2024</t>
        </is>
      </c>
      <c r="B1877" s="1" t="n">
        <v>45460</v>
      </c>
      <c r="C1877" s="1" t="n">
        <v>45750</v>
      </c>
      <c r="D1877" t="inlineStr">
        <is>
          <t>VÄSTERNORRLANDS LÄN</t>
        </is>
      </c>
      <c r="E1877" t="inlineStr">
        <is>
          <t>ÅNGE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24798-2024</t>
        </is>
      </c>
      <c r="B1878" s="1" t="n">
        <v>45461</v>
      </c>
      <c r="C1878" s="1" t="n">
        <v>45750</v>
      </c>
      <c r="D1878" t="inlineStr">
        <is>
          <t>VÄSTERNORRLANDS LÄN</t>
        </is>
      </c>
      <c r="E1878" t="inlineStr">
        <is>
          <t>ÅNGE</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24797-2024</t>
        </is>
      </c>
      <c r="B1879" s="1" t="n">
        <v>45461</v>
      </c>
      <c r="C1879" s="1" t="n">
        <v>45750</v>
      </c>
      <c r="D1879" t="inlineStr">
        <is>
          <t>VÄSTERNORRLANDS LÄN</t>
        </is>
      </c>
      <c r="E1879" t="inlineStr">
        <is>
          <t>ÅNGE</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25033-2024</t>
        </is>
      </c>
      <c r="B1880" s="1" t="n">
        <v>45462</v>
      </c>
      <c r="C1880" s="1" t="n">
        <v>45750</v>
      </c>
      <c r="D1880" t="inlineStr">
        <is>
          <t>VÄSTERNORRLANDS LÄN</t>
        </is>
      </c>
      <c r="E1880" t="inlineStr">
        <is>
          <t>ÅNGE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25025-2024</t>
        </is>
      </c>
      <c r="B1881" s="1" t="n">
        <v>45462</v>
      </c>
      <c r="C1881" s="1" t="n">
        <v>45750</v>
      </c>
      <c r="D1881" t="inlineStr">
        <is>
          <t>VÄSTERNORRLANDS LÄN</t>
        </is>
      </c>
      <c r="E1881" t="inlineStr">
        <is>
          <t>ÅNGE</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25376-2024</t>
        </is>
      </c>
      <c r="B1882" s="1" t="n">
        <v>45463</v>
      </c>
      <c r="C1882" s="1" t="n">
        <v>45750</v>
      </c>
      <c r="D1882" t="inlineStr">
        <is>
          <t>VÄSTERNORRLANDS LÄN</t>
        </is>
      </c>
      <c r="E1882" t="inlineStr">
        <is>
          <t>ÅNGE</t>
        </is>
      </c>
      <c r="F1882" t="inlineStr">
        <is>
          <t>SCA</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25377-2024</t>
        </is>
      </c>
      <c r="B1883" s="1" t="n">
        <v>45463</v>
      </c>
      <c r="C1883" s="1" t="n">
        <v>45750</v>
      </c>
      <c r="D1883" t="inlineStr">
        <is>
          <t>VÄSTERNORRLANDS LÄN</t>
        </is>
      </c>
      <c r="E1883" t="inlineStr">
        <is>
          <t>ÅNGE</t>
        </is>
      </c>
      <c r="F1883" t="inlineStr">
        <is>
          <t>SCA</t>
        </is>
      </c>
      <c r="G1883" t="n">
        <v>20.7</v>
      </c>
      <c r="H1883" t="n">
        <v>0</v>
      </c>
      <c r="I1883" t="n">
        <v>0</v>
      </c>
      <c r="J1883" t="n">
        <v>0</v>
      </c>
      <c r="K1883" t="n">
        <v>0</v>
      </c>
      <c r="L1883" t="n">
        <v>0</v>
      </c>
      <c r="M1883" t="n">
        <v>0</v>
      </c>
      <c r="N1883" t="n">
        <v>0</v>
      </c>
      <c r="O1883" t="n">
        <v>0</v>
      </c>
      <c r="P1883" t="n">
        <v>0</v>
      </c>
      <c r="Q1883" t="n">
        <v>0</v>
      </c>
      <c r="R1883" s="2" t="inlineStr"/>
    </row>
    <row r="1884" ht="15" customHeight="1">
      <c r="A1884" t="inlineStr">
        <is>
          <t>A 25700-2024</t>
        </is>
      </c>
      <c r="B1884" s="1" t="n">
        <v>45463</v>
      </c>
      <c r="C1884" s="1" t="n">
        <v>45750</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25867-2024</t>
        </is>
      </c>
      <c r="B1885" s="1" t="n">
        <v>45463</v>
      </c>
      <c r="C1885" s="1" t="n">
        <v>45750</v>
      </c>
      <c r="D1885" t="inlineStr">
        <is>
          <t>VÄSTERNORRLANDS LÄN</t>
        </is>
      </c>
      <c r="E1885" t="inlineStr">
        <is>
          <t>ÅNGE</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26013-2024</t>
        </is>
      </c>
      <c r="B1886" s="1" t="n">
        <v>45467</v>
      </c>
      <c r="C1886" s="1" t="n">
        <v>45750</v>
      </c>
      <c r="D1886" t="inlineStr">
        <is>
          <t>VÄSTERNORRLANDS LÄN</t>
        </is>
      </c>
      <c r="E1886" t="inlineStr">
        <is>
          <t>ÅNGE</t>
        </is>
      </c>
      <c r="F1886" t="inlineStr">
        <is>
          <t>SCA</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26017-2024</t>
        </is>
      </c>
      <c r="B1887" s="1" t="n">
        <v>45468</v>
      </c>
      <c r="C1887" s="1" t="n">
        <v>45750</v>
      </c>
      <c r="D1887" t="inlineStr">
        <is>
          <t>VÄSTERNORRLANDS LÄN</t>
        </is>
      </c>
      <c r="E1887" t="inlineStr">
        <is>
          <t>ÅNGE</t>
        </is>
      </c>
      <c r="F1887" t="inlineStr">
        <is>
          <t>SCA</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26021-2024</t>
        </is>
      </c>
      <c r="B1888" s="1" t="n">
        <v>45467</v>
      </c>
      <c r="C1888" s="1" t="n">
        <v>45750</v>
      </c>
      <c r="D1888" t="inlineStr">
        <is>
          <t>VÄSTERNORRLANDS LÄN</t>
        </is>
      </c>
      <c r="E1888" t="inlineStr">
        <is>
          <t>ÅNGE</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26010-2024</t>
        </is>
      </c>
      <c r="B1889" s="1" t="n">
        <v>45468</v>
      </c>
      <c r="C1889" s="1" t="n">
        <v>45750</v>
      </c>
      <c r="D1889" t="inlineStr">
        <is>
          <t>VÄSTERNORRLANDS LÄN</t>
        </is>
      </c>
      <c r="E1889" t="inlineStr">
        <is>
          <t>ÅNGE</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26011-2024</t>
        </is>
      </c>
      <c r="B1890" s="1" t="n">
        <v>45468</v>
      </c>
      <c r="C1890" s="1" t="n">
        <v>45750</v>
      </c>
      <c r="D1890" t="inlineStr">
        <is>
          <t>VÄSTERNORRLANDS LÄN</t>
        </is>
      </c>
      <c r="E1890" t="inlineStr">
        <is>
          <t>ÅNGE</t>
        </is>
      </c>
      <c r="F1890" t="inlineStr">
        <is>
          <t>SCA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26015-2024</t>
        </is>
      </c>
      <c r="B1891" s="1" t="n">
        <v>45468</v>
      </c>
      <c r="C1891" s="1" t="n">
        <v>45750</v>
      </c>
      <c r="D1891" t="inlineStr">
        <is>
          <t>VÄSTERNORRLANDS LÄN</t>
        </is>
      </c>
      <c r="E1891" t="inlineStr">
        <is>
          <t>ÅNGE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26019-2024</t>
        </is>
      </c>
      <c r="B1892" s="1" t="n">
        <v>45468</v>
      </c>
      <c r="C1892" s="1" t="n">
        <v>45750</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26012-2024</t>
        </is>
      </c>
      <c r="B1893" s="1" t="n">
        <v>45467</v>
      </c>
      <c r="C1893" s="1" t="n">
        <v>45750</v>
      </c>
      <c r="D1893" t="inlineStr">
        <is>
          <t>VÄSTERNORRLANDS LÄN</t>
        </is>
      </c>
      <c r="E1893" t="inlineStr">
        <is>
          <t>ÅNGE</t>
        </is>
      </c>
      <c r="F1893" t="inlineStr">
        <is>
          <t>SCA</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26016-2024</t>
        </is>
      </c>
      <c r="B1894" s="1" t="n">
        <v>45467</v>
      </c>
      <c r="C1894" s="1" t="n">
        <v>45750</v>
      </c>
      <c r="D1894" t="inlineStr">
        <is>
          <t>VÄSTERNORRLANDS LÄN</t>
        </is>
      </c>
      <c r="E1894" t="inlineStr">
        <is>
          <t>ÅNGE</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26014-2024</t>
        </is>
      </c>
      <c r="B1895" s="1" t="n">
        <v>45468</v>
      </c>
      <c r="C1895" s="1" t="n">
        <v>45750</v>
      </c>
      <c r="D1895" t="inlineStr">
        <is>
          <t>VÄSTERNORRLANDS LÄN</t>
        </is>
      </c>
      <c r="E1895" t="inlineStr">
        <is>
          <t>ÅNGE</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26018-2024</t>
        </is>
      </c>
      <c r="B1896" s="1" t="n">
        <v>45468</v>
      </c>
      <c r="C1896" s="1" t="n">
        <v>45750</v>
      </c>
      <c r="D1896" t="inlineStr">
        <is>
          <t>VÄSTERNORRLANDS LÄN</t>
        </is>
      </c>
      <c r="E1896" t="inlineStr">
        <is>
          <t>ÅNGE</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26321-2024</t>
        </is>
      </c>
      <c r="B1897" s="1" t="n">
        <v>45468</v>
      </c>
      <c r="C1897" s="1" t="n">
        <v>45750</v>
      </c>
      <c r="D1897" t="inlineStr">
        <is>
          <t>VÄSTERNORRLANDS LÄN</t>
        </is>
      </c>
      <c r="E1897" t="inlineStr">
        <is>
          <t>ÅNGE</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26641-2024</t>
        </is>
      </c>
      <c r="B1898" s="1" t="n">
        <v>45470</v>
      </c>
      <c r="C1898" s="1" t="n">
        <v>45750</v>
      </c>
      <c r="D1898" t="inlineStr">
        <is>
          <t>VÄSTERNORRLANDS LÄN</t>
        </is>
      </c>
      <c r="E1898" t="inlineStr">
        <is>
          <t>ÅNGE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26424-2024</t>
        </is>
      </c>
      <c r="B1899" s="1" t="n">
        <v>45469</v>
      </c>
      <c r="C1899" s="1" t="n">
        <v>45750</v>
      </c>
      <c r="D1899" t="inlineStr">
        <is>
          <t>VÄSTERNORRLANDS LÄN</t>
        </is>
      </c>
      <c r="E1899" t="inlineStr">
        <is>
          <t>ÅNGE</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26490-2024</t>
        </is>
      </c>
      <c r="B1900" s="1" t="n">
        <v>45469</v>
      </c>
      <c r="C1900" s="1" t="n">
        <v>45750</v>
      </c>
      <c r="D1900" t="inlineStr">
        <is>
          <t>VÄSTERNORRLANDS LÄN</t>
        </is>
      </c>
      <c r="E1900" t="inlineStr">
        <is>
          <t>ÅNGE</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26639-2024</t>
        </is>
      </c>
      <c r="B1901" s="1" t="n">
        <v>45470</v>
      </c>
      <c r="C1901" s="1" t="n">
        <v>45750</v>
      </c>
      <c r="D1901" t="inlineStr">
        <is>
          <t>VÄSTERNORRLANDS LÄN</t>
        </is>
      </c>
      <c r="E1901" t="inlineStr">
        <is>
          <t>ÅNGE</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26640-2024</t>
        </is>
      </c>
      <c r="B1902" s="1" t="n">
        <v>45470</v>
      </c>
      <c r="C1902" s="1" t="n">
        <v>45750</v>
      </c>
      <c r="D1902" t="inlineStr">
        <is>
          <t>VÄSTERNORRLANDS LÄN</t>
        </is>
      </c>
      <c r="E1902" t="inlineStr">
        <is>
          <t>ÅNGE</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26950-2024</t>
        </is>
      </c>
      <c r="B1903" s="1" t="n">
        <v>45470</v>
      </c>
      <c r="C1903" s="1" t="n">
        <v>45750</v>
      </c>
      <c r="D1903" t="inlineStr">
        <is>
          <t>VÄSTERNORRLANDS LÄN</t>
        </is>
      </c>
      <c r="E1903" t="inlineStr">
        <is>
          <t>ÅNGE</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26943-2024</t>
        </is>
      </c>
      <c r="B1904" s="1" t="n">
        <v>45470</v>
      </c>
      <c r="C1904" s="1" t="n">
        <v>45750</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26942-2024</t>
        </is>
      </c>
      <c r="B1905" s="1" t="n">
        <v>45470</v>
      </c>
      <c r="C1905" s="1" t="n">
        <v>45750</v>
      </c>
      <c r="D1905" t="inlineStr">
        <is>
          <t>VÄSTERNORRLANDS LÄN</t>
        </is>
      </c>
      <c r="E1905" t="inlineStr">
        <is>
          <t>ÅNGE</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26951-2024</t>
        </is>
      </c>
      <c r="B1906" s="1" t="n">
        <v>45471</v>
      </c>
      <c r="C1906" s="1" t="n">
        <v>45750</v>
      </c>
      <c r="D1906" t="inlineStr">
        <is>
          <t>VÄSTERNORRLANDS LÄN</t>
        </is>
      </c>
      <c r="E1906" t="inlineStr">
        <is>
          <t>ÅNGE</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26952-2024</t>
        </is>
      </c>
      <c r="B1907" s="1" t="n">
        <v>45470</v>
      </c>
      <c r="C1907" s="1" t="n">
        <v>45750</v>
      </c>
      <c r="D1907" t="inlineStr">
        <is>
          <t>VÄSTERNORRLANDS LÄN</t>
        </is>
      </c>
      <c r="E1907" t="inlineStr">
        <is>
          <t>ÅNGE</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26957-2024</t>
        </is>
      </c>
      <c r="B1908" s="1" t="n">
        <v>45470</v>
      </c>
      <c r="C1908" s="1" t="n">
        <v>45750</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26945-2024</t>
        </is>
      </c>
      <c r="B1909" s="1" t="n">
        <v>45471</v>
      </c>
      <c r="C1909" s="1" t="n">
        <v>45750</v>
      </c>
      <c r="D1909" t="inlineStr">
        <is>
          <t>VÄSTERNORRLANDS LÄN</t>
        </is>
      </c>
      <c r="E1909" t="inlineStr">
        <is>
          <t>ÅNGE</t>
        </is>
      </c>
      <c r="F1909" t="inlineStr">
        <is>
          <t>SCA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27306-2024</t>
        </is>
      </c>
      <c r="B1910" s="1" t="n">
        <v>45472</v>
      </c>
      <c r="C1910" s="1" t="n">
        <v>45750</v>
      </c>
      <c r="D1910" t="inlineStr">
        <is>
          <t>VÄSTERNORRLANDS LÄN</t>
        </is>
      </c>
      <c r="E1910" t="inlineStr">
        <is>
          <t>ÅNGE</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27321-2024</t>
        </is>
      </c>
      <c r="B1911" s="1" t="n">
        <v>45471</v>
      </c>
      <c r="C1911" s="1" t="n">
        <v>45750</v>
      </c>
      <c r="D1911" t="inlineStr">
        <is>
          <t>VÄSTERNORRLANDS LÄN</t>
        </is>
      </c>
      <c r="E1911" t="inlineStr">
        <is>
          <t>ÅNGE</t>
        </is>
      </c>
      <c r="F1911" t="inlineStr">
        <is>
          <t>SCA</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27668-2024</t>
        </is>
      </c>
      <c r="B1912" s="1" t="n">
        <v>45475</v>
      </c>
      <c r="C1912" s="1" t="n">
        <v>45750</v>
      </c>
      <c r="D1912" t="inlineStr">
        <is>
          <t>VÄSTERNORRLANDS LÄN</t>
        </is>
      </c>
      <c r="E1912" t="inlineStr">
        <is>
          <t>ÅNGE</t>
        </is>
      </c>
      <c r="F1912" t="inlineStr">
        <is>
          <t>SCA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27468-2024</t>
        </is>
      </c>
      <c r="B1913" s="1" t="n">
        <v>45474</v>
      </c>
      <c r="C1913" s="1" t="n">
        <v>45750</v>
      </c>
      <c r="D1913" t="inlineStr">
        <is>
          <t>VÄSTERNORRLANDS LÄN</t>
        </is>
      </c>
      <c r="E1913" t="inlineStr">
        <is>
          <t>ÅNGE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27461-2024</t>
        </is>
      </c>
      <c r="B1914" s="1" t="n">
        <v>45474</v>
      </c>
      <c r="C1914" s="1" t="n">
        <v>45750</v>
      </c>
      <c r="D1914" t="inlineStr">
        <is>
          <t>VÄSTERNORRLANDS LÄN</t>
        </is>
      </c>
      <c r="E1914" t="inlineStr">
        <is>
          <t>ÅNGE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27630-2024</t>
        </is>
      </c>
      <c r="B1915" s="1" t="n">
        <v>45474</v>
      </c>
      <c r="C1915" s="1" t="n">
        <v>45750</v>
      </c>
      <c r="D1915" t="inlineStr">
        <is>
          <t>VÄSTERNORRLANDS LÄN</t>
        </is>
      </c>
      <c r="E1915" t="inlineStr">
        <is>
          <t>ÅNGE</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27629-2024</t>
        </is>
      </c>
      <c r="B1916" s="1" t="n">
        <v>45474</v>
      </c>
      <c r="C1916" s="1" t="n">
        <v>45750</v>
      </c>
      <c r="D1916" t="inlineStr">
        <is>
          <t>VÄSTERNORRLANDS LÄN</t>
        </is>
      </c>
      <c r="E1916" t="inlineStr">
        <is>
          <t>ÅNGE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27661-2024</t>
        </is>
      </c>
      <c r="B1917" s="1" t="n">
        <v>45475</v>
      </c>
      <c r="C1917" s="1" t="n">
        <v>45750</v>
      </c>
      <c r="D1917" t="inlineStr">
        <is>
          <t>VÄSTERNORRLANDS LÄN</t>
        </is>
      </c>
      <c r="E1917" t="inlineStr">
        <is>
          <t>ÅNGE</t>
        </is>
      </c>
      <c r="F1917" t="inlineStr">
        <is>
          <t>SCA</t>
        </is>
      </c>
      <c r="G1917" t="n">
        <v>19.1</v>
      </c>
      <c r="H1917" t="n">
        <v>0</v>
      </c>
      <c r="I1917" t="n">
        <v>0</v>
      </c>
      <c r="J1917" t="n">
        <v>0</v>
      </c>
      <c r="K1917" t="n">
        <v>0</v>
      </c>
      <c r="L1917" t="n">
        <v>0</v>
      </c>
      <c r="M1917" t="n">
        <v>0</v>
      </c>
      <c r="N1917" t="n">
        <v>0</v>
      </c>
      <c r="O1917" t="n">
        <v>0</v>
      </c>
      <c r="P1917" t="n">
        <v>0</v>
      </c>
      <c r="Q1917" t="n">
        <v>0</v>
      </c>
      <c r="R1917" s="2" t="inlineStr"/>
    </row>
    <row r="1918" ht="15" customHeight="1">
      <c r="A1918" t="inlineStr">
        <is>
          <t>A 27935-2024</t>
        </is>
      </c>
      <c r="B1918" s="1" t="n">
        <v>45475</v>
      </c>
      <c r="C1918" s="1" t="n">
        <v>45750</v>
      </c>
      <c r="D1918" t="inlineStr">
        <is>
          <t>VÄSTERNORRLANDS LÄN</t>
        </is>
      </c>
      <c r="E1918" t="inlineStr">
        <is>
          <t>ÅNGE</t>
        </is>
      </c>
      <c r="F1918" t="inlineStr">
        <is>
          <t>SCA</t>
        </is>
      </c>
      <c r="G1918" t="n">
        <v>2.8</v>
      </c>
      <c r="H1918" t="n">
        <v>0</v>
      </c>
      <c r="I1918" t="n">
        <v>0</v>
      </c>
      <c r="J1918" t="n">
        <v>0</v>
      </c>
      <c r="K1918" t="n">
        <v>0</v>
      </c>
      <c r="L1918" t="n">
        <v>0</v>
      </c>
      <c r="M1918" t="n">
        <v>0</v>
      </c>
      <c r="N1918" t="n">
        <v>0</v>
      </c>
      <c r="O1918" t="n">
        <v>0</v>
      </c>
      <c r="P1918" t="n">
        <v>0</v>
      </c>
      <c r="Q1918" t="n">
        <v>0</v>
      </c>
      <c r="R1918" s="2" t="inlineStr"/>
      <c r="U1918">
        <f>HYPERLINK("https://klasma.github.io/Logging_2260/knärot/A 27935-2024 karta knärot.png", "A 27935-2024")</f>
        <v/>
      </c>
      <c r="V1918">
        <f>HYPERLINK("https://klasma.github.io/Logging_2260/klagomål/A 27935-2024 FSC-klagomål.docx", "A 27935-2024")</f>
        <v/>
      </c>
      <c r="W1918">
        <f>HYPERLINK("https://klasma.github.io/Logging_2260/klagomålsmail/A 27935-2024 FSC-klagomål mail.docx", "A 27935-2024")</f>
        <v/>
      </c>
      <c r="X1918">
        <f>HYPERLINK("https://klasma.github.io/Logging_2260/tillsyn/A 27935-2024 tillsynsbegäran.docx", "A 27935-2024")</f>
        <v/>
      </c>
      <c r="Y1918">
        <f>HYPERLINK("https://klasma.github.io/Logging_2260/tillsynsmail/A 27935-2024 tillsynsbegäran mail.docx", "A 27935-2024")</f>
        <v/>
      </c>
    </row>
    <row r="1919" ht="15" customHeight="1">
      <c r="A1919" t="inlineStr">
        <is>
          <t>A 27915-2024</t>
        </is>
      </c>
      <c r="B1919" s="1" t="n">
        <v>45475</v>
      </c>
      <c r="C1919" s="1" t="n">
        <v>45750</v>
      </c>
      <c r="D1919" t="inlineStr">
        <is>
          <t>VÄSTERNORRLANDS LÄN</t>
        </is>
      </c>
      <c r="E1919" t="inlineStr">
        <is>
          <t>ÅNGE</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27853-2024</t>
        </is>
      </c>
      <c r="B1920" s="1" t="n">
        <v>45475</v>
      </c>
      <c r="C1920" s="1" t="n">
        <v>45750</v>
      </c>
      <c r="D1920" t="inlineStr">
        <is>
          <t>VÄSTERNORRLANDS LÄN</t>
        </is>
      </c>
      <c r="E1920" t="inlineStr">
        <is>
          <t>ÅNGE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28171-2024</t>
        </is>
      </c>
      <c r="B1921" s="1" t="n">
        <v>45477</v>
      </c>
      <c r="C1921" s="1" t="n">
        <v>45750</v>
      </c>
      <c r="D1921" t="inlineStr">
        <is>
          <t>VÄSTERNORRLANDS LÄN</t>
        </is>
      </c>
      <c r="E1921" t="inlineStr">
        <is>
          <t>ÅNGE</t>
        </is>
      </c>
      <c r="F1921" t="inlineStr">
        <is>
          <t>SCA</t>
        </is>
      </c>
      <c r="G1921" t="n">
        <v>20.8</v>
      </c>
      <c r="H1921" t="n">
        <v>0</v>
      </c>
      <c r="I1921" t="n">
        <v>0</v>
      </c>
      <c r="J1921" t="n">
        <v>0</v>
      </c>
      <c r="K1921" t="n">
        <v>0</v>
      </c>
      <c r="L1921" t="n">
        <v>0</v>
      </c>
      <c r="M1921" t="n">
        <v>0</v>
      </c>
      <c r="N1921" t="n">
        <v>0</v>
      </c>
      <c r="O1921" t="n">
        <v>0</v>
      </c>
      <c r="P1921" t="n">
        <v>0</v>
      </c>
      <c r="Q1921" t="n">
        <v>0</v>
      </c>
      <c r="R1921" s="2" t="inlineStr"/>
    </row>
    <row r="1922" ht="15" customHeight="1">
      <c r="A1922" t="inlineStr">
        <is>
          <t>A 27952-2024</t>
        </is>
      </c>
      <c r="B1922" s="1" t="n">
        <v>45476</v>
      </c>
      <c r="C1922" s="1" t="n">
        <v>45750</v>
      </c>
      <c r="D1922" t="inlineStr">
        <is>
          <t>VÄSTERNORRLANDS LÄN</t>
        </is>
      </c>
      <c r="E1922" t="inlineStr">
        <is>
          <t>ÅNGE</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28506-2024</t>
        </is>
      </c>
      <c r="B1923" s="1" t="n">
        <v>45478</v>
      </c>
      <c r="C1923" s="1" t="n">
        <v>45750</v>
      </c>
      <c r="D1923" t="inlineStr">
        <is>
          <t>VÄSTERNORRLANDS LÄN</t>
        </is>
      </c>
      <c r="E1923" t="inlineStr">
        <is>
          <t>ÅNGE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28504-2024</t>
        </is>
      </c>
      <c r="B1924" s="1" t="n">
        <v>45477</v>
      </c>
      <c r="C1924" s="1" t="n">
        <v>45750</v>
      </c>
      <c r="D1924" t="inlineStr">
        <is>
          <t>VÄSTERNORRLANDS LÄN</t>
        </is>
      </c>
      <c r="E1924" t="inlineStr">
        <is>
          <t>ÅNGE</t>
        </is>
      </c>
      <c r="F1924" t="inlineStr">
        <is>
          <t>SCA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28873-2024</t>
        </is>
      </c>
      <c r="B1925" s="1" t="n">
        <v>45479</v>
      </c>
      <c r="C1925" s="1" t="n">
        <v>45750</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28604-2024</t>
        </is>
      </c>
      <c r="B1926" s="1" t="n">
        <v>45478</v>
      </c>
      <c r="C1926" s="1" t="n">
        <v>45750</v>
      </c>
      <c r="D1926" t="inlineStr">
        <is>
          <t>VÄSTERNORRLANDS LÄN</t>
        </is>
      </c>
      <c r="E1926" t="inlineStr">
        <is>
          <t>ÅNGE</t>
        </is>
      </c>
      <c r="G1926" t="n">
        <v>7.1</v>
      </c>
      <c r="H1926" t="n">
        <v>0</v>
      </c>
      <c r="I1926" t="n">
        <v>0</v>
      </c>
      <c r="J1926" t="n">
        <v>0</v>
      </c>
      <c r="K1926" t="n">
        <v>0</v>
      </c>
      <c r="L1926" t="n">
        <v>0</v>
      </c>
      <c r="M1926" t="n">
        <v>0</v>
      </c>
      <c r="N1926" t="n">
        <v>0</v>
      </c>
      <c r="O1926" t="n">
        <v>0</v>
      </c>
      <c r="P1926" t="n">
        <v>0</v>
      </c>
      <c r="Q1926" t="n">
        <v>0</v>
      </c>
      <c r="R1926" s="2" t="inlineStr"/>
    </row>
    <row r="1927" ht="15" customHeight="1">
      <c r="A1927" t="inlineStr">
        <is>
          <t>A 29088-2024</t>
        </is>
      </c>
      <c r="B1927" s="1" t="n">
        <v>45481</v>
      </c>
      <c r="C1927" s="1" t="n">
        <v>45750</v>
      </c>
      <c r="D1927" t="inlineStr">
        <is>
          <t>VÄSTERNORRLANDS LÄN</t>
        </is>
      </c>
      <c r="E1927" t="inlineStr">
        <is>
          <t>ÅNGE</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29270-2024</t>
        </is>
      </c>
      <c r="B1928" s="1" t="n">
        <v>45483</v>
      </c>
      <c r="C1928" s="1" t="n">
        <v>45750</v>
      </c>
      <c r="D1928" t="inlineStr">
        <is>
          <t>VÄSTERNORRLANDS LÄN</t>
        </is>
      </c>
      <c r="E1928" t="inlineStr">
        <is>
          <t>ÅNGE</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29193-2024</t>
        </is>
      </c>
      <c r="B1929" s="1" t="n">
        <v>45482</v>
      </c>
      <c r="C1929" s="1" t="n">
        <v>45750</v>
      </c>
      <c r="D1929" t="inlineStr">
        <is>
          <t>VÄSTERNORRLANDS LÄN</t>
        </is>
      </c>
      <c r="E1929" t="inlineStr">
        <is>
          <t>ÅNGE</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29268-2024</t>
        </is>
      </c>
      <c r="B1930" s="1" t="n">
        <v>45482</v>
      </c>
      <c r="C1930" s="1" t="n">
        <v>45750</v>
      </c>
      <c r="D1930" t="inlineStr">
        <is>
          <t>VÄSTERNORRLANDS LÄN</t>
        </is>
      </c>
      <c r="E1930" t="inlineStr">
        <is>
          <t>ÅNGE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29196-2024</t>
        </is>
      </c>
      <c r="B1931" s="1" t="n">
        <v>45482</v>
      </c>
      <c r="C1931" s="1" t="n">
        <v>45750</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29251-2024</t>
        </is>
      </c>
      <c r="B1932" s="1" t="n">
        <v>45483</v>
      </c>
      <c r="C1932" s="1" t="n">
        <v>45750</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29259-2024</t>
        </is>
      </c>
      <c r="B1933" s="1" t="n">
        <v>45483</v>
      </c>
      <c r="C1933" s="1" t="n">
        <v>45750</v>
      </c>
      <c r="D1933" t="inlineStr">
        <is>
          <t>VÄSTERNORRLANDS LÄN</t>
        </is>
      </c>
      <c r="E1933" t="inlineStr">
        <is>
          <t>ÅNGE</t>
        </is>
      </c>
      <c r="F1933" t="inlineStr">
        <is>
          <t>SCA</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29271-2024</t>
        </is>
      </c>
      <c r="B1934" s="1" t="n">
        <v>45482</v>
      </c>
      <c r="C1934" s="1" t="n">
        <v>45750</v>
      </c>
      <c r="D1934" t="inlineStr">
        <is>
          <t>VÄSTERNORRLANDS LÄN</t>
        </is>
      </c>
      <c r="E1934" t="inlineStr">
        <is>
          <t>ÅNGE</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29395-2024</t>
        </is>
      </c>
      <c r="B1935" s="1" t="n">
        <v>45483</v>
      </c>
      <c r="C1935" s="1" t="n">
        <v>45750</v>
      </c>
      <c r="D1935" t="inlineStr">
        <is>
          <t>VÄSTERNORRLANDS LÄN</t>
        </is>
      </c>
      <c r="E1935" t="inlineStr">
        <is>
          <t>ÅNGE</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29421-2024</t>
        </is>
      </c>
      <c r="B1936" s="1" t="n">
        <v>45483</v>
      </c>
      <c r="C1936" s="1" t="n">
        <v>45750</v>
      </c>
      <c r="D1936" t="inlineStr">
        <is>
          <t>VÄSTERNORRLANDS LÄN</t>
        </is>
      </c>
      <c r="E1936" t="inlineStr">
        <is>
          <t>ÅNGE</t>
        </is>
      </c>
      <c r="F1936" t="inlineStr">
        <is>
          <t>Kyrkan</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29458-2024</t>
        </is>
      </c>
      <c r="B1937" s="1" t="n">
        <v>45484</v>
      </c>
      <c r="C1937" s="1" t="n">
        <v>45750</v>
      </c>
      <c r="D1937" t="inlineStr">
        <is>
          <t>VÄSTERNORRLANDS LÄN</t>
        </is>
      </c>
      <c r="E1937" t="inlineStr">
        <is>
          <t>ÅNGE</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29462-2024</t>
        </is>
      </c>
      <c r="B1938" s="1" t="n">
        <v>45484</v>
      </c>
      <c r="C1938" s="1" t="n">
        <v>45750</v>
      </c>
      <c r="D1938" t="inlineStr">
        <is>
          <t>VÄSTERNORRLANDS LÄN</t>
        </is>
      </c>
      <c r="E1938" t="inlineStr">
        <is>
          <t>ÅNGE</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29470-2024</t>
        </is>
      </c>
      <c r="B1939" s="1" t="n">
        <v>45484</v>
      </c>
      <c r="C1939" s="1" t="n">
        <v>45750</v>
      </c>
      <c r="D1939" t="inlineStr">
        <is>
          <t>VÄSTERNORRLANDS LÄN</t>
        </is>
      </c>
      <c r="E1939" t="inlineStr">
        <is>
          <t>ÅNGE</t>
        </is>
      </c>
      <c r="F1939" t="inlineStr">
        <is>
          <t>SCA</t>
        </is>
      </c>
      <c r="G1939" t="n">
        <v>24.5</v>
      </c>
      <c r="H1939" t="n">
        <v>0</v>
      </c>
      <c r="I1939" t="n">
        <v>0</v>
      </c>
      <c r="J1939" t="n">
        <v>0</v>
      </c>
      <c r="K1939" t="n">
        <v>0</v>
      </c>
      <c r="L1939" t="n">
        <v>0</v>
      </c>
      <c r="M1939" t="n">
        <v>0</v>
      </c>
      <c r="N1939" t="n">
        <v>0</v>
      </c>
      <c r="O1939" t="n">
        <v>0</v>
      </c>
      <c r="P1939" t="n">
        <v>0</v>
      </c>
      <c r="Q1939" t="n">
        <v>0</v>
      </c>
      <c r="R1939" s="2" t="inlineStr"/>
    </row>
    <row r="1940" ht="15" customHeight="1">
      <c r="A1940" t="inlineStr">
        <is>
          <t>A 29673-2024</t>
        </is>
      </c>
      <c r="B1940" s="1" t="n">
        <v>45485</v>
      </c>
      <c r="C1940" s="1" t="n">
        <v>45750</v>
      </c>
      <c r="D1940" t="inlineStr">
        <is>
          <t>VÄSTERNORRLANDS LÄN</t>
        </is>
      </c>
      <c r="E1940" t="inlineStr">
        <is>
          <t>ÅNGE</t>
        </is>
      </c>
      <c r="F1940" t="inlineStr">
        <is>
          <t>SCA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29667-2024</t>
        </is>
      </c>
      <c r="B1941" s="1" t="n">
        <v>45485</v>
      </c>
      <c r="C1941" s="1" t="n">
        <v>45750</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29699-2024</t>
        </is>
      </c>
      <c r="B1942" s="1" t="n">
        <v>45484</v>
      </c>
      <c r="C1942" s="1" t="n">
        <v>45750</v>
      </c>
      <c r="D1942" t="inlineStr">
        <is>
          <t>VÄSTERNORRLANDS LÄN</t>
        </is>
      </c>
      <c r="E1942" t="inlineStr">
        <is>
          <t>ÅNGE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29666-2024</t>
        </is>
      </c>
      <c r="B1943" s="1" t="n">
        <v>45484</v>
      </c>
      <c r="C1943" s="1" t="n">
        <v>45750</v>
      </c>
      <c r="D1943" t="inlineStr">
        <is>
          <t>VÄSTERNORRLANDS LÄN</t>
        </is>
      </c>
      <c r="E1943" t="inlineStr">
        <is>
          <t>ÅNGE</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29664-2024</t>
        </is>
      </c>
      <c r="B1944" s="1" t="n">
        <v>45484</v>
      </c>
      <c r="C1944" s="1" t="n">
        <v>45750</v>
      </c>
      <c r="D1944" t="inlineStr">
        <is>
          <t>VÄSTERNORRLANDS LÄN</t>
        </is>
      </c>
      <c r="E1944" t="inlineStr">
        <is>
          <t>ÅNGE</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29697-2024</t>
        </is>
      </c>
      <c r="B1945" s="1" t="n">
        <v>45484</v>
      </c>
      <c r="C1945" s="1" t="n">
        <v>45750</v>
      </c>
      <c r="D1945" t="inlineStr">
        <is>
          <t>VÄSTERNORRLANDS LÄN</t>
        </is>
      </c>
      <c r="E1945" t="inlineStr">
        <is>
          <t>ÅNGE</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29696-2024</t>
        </is>
      </c>
      <c r="B1946" s="1" t="n">
        <v>45485</v>
      </c>
      <c r="C1946" s="1" t="n">
        <v>45750</v>
      </c>
      <c r="D1946" t="inlineStr">
        <is>
          <t>VÄSTERNORRLANDS LÄN</t>
        </is>
      </c>
      <c r="E1946" t="inlineStr">
        <is>
          <t>ÅNGE</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29702-2024</t>
        </is>
      </c>
      <c r="B1947" s="1" t="n">
        <v>45485</v>
      </c>
      <c r="C1947" s="1" t="n">
        <v>45750</v>
      </c>
      <c r="D1947" t="inlineStr">
        <is>
          <t>VÄSTERNORRLANDS LÄN</t>
        </is>
      </c>
      <c r="E1947" t="inlineStr">
        <is>
          <t>ÅNGE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29848-2024</t>
        </is>
      </c>
      <c r="B1948" s="1" t="n">
        <v>45485</v>
      </c>
      <c r="C1948" s="1" t="n">
        <v>45750</v>
      </c>
      <c r="D1948" t="inlineStr">
        <is>
          <t>VÄSTERNORRLANDS LÄN</t>
        </is>
      </c>
      <c r="E1948" t="inlineStr">
        <is>
          <t>ÅNGE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30055-2024</t>
        </is>
      </c>
      <c r="B1949" s="1" t="n">
        <v>45489</v>
      </c>
      <c r="C1949" s="1" t="n">
        <v>45750</v>
      </c>
      <c r="D1949" t="inlineStr">
        <is>
          <t>VÄSTERNORRLANDS LÄN</t>
        </is>
      </c>
      <c r="E1949" t="inlineStr">
        <is>
          <t>ÅNGE</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30054-2024</t>
        </is>
      </c>
      <c r="B1950" s="1" t="n">
        <v>45489</v>
      </c>
      <c r="C1950" s="1" t="n">
        <v>45750</v>
      </c>
      <c r="D1950" t="inlineStr">
        <is>
          <t>VÄSTERNORRLANDS LÄN</t>
        </is>
      </c>
      <c r="E1950" t="inlineStr">
        <is>
          <t>ÅNGE</t>
        </is>
      </c>
      <c r="F1950" t="inlineStr">
        <is>
          <t>SCA</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30235-2024</t>
        </is>
      </c>
      <c r="B1951" s="1" t="n">
        <v>45490</v>
      </c>
      <c r="C1951" s="1" t="n">
        <v>45750</v>
      </c>
      <c r="D1951" t="inlineStr">
        <is>
          <t>VÄSTERNORRLANDS LÄN</t>
        </is>
      </c>
      <c r="E1951" t="inlineStr">
        <is>
          <t>ÅNGE</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30256-2024</t>
        </is>
      </c>
      <c r="B1952" s="1" t="n">
        <v>45490</v>
      </c>
      <c r="C1952" s="1" t="n">
        <v>45750</v>
      </c>
      <c r="D1952" t="inlineStr">
        <is>
          <t>VÄSTERNORRLANDS LÄN</t>
        </is>
      </c>
      <c r="E1952" t="inlineStr">
        <is>
          <t>ÅNGE</t>
        </is>
      </c>
      <c r="G1952" t="n">
        <v>22.8</v>
      </c>
      <c r="H1952" t="n">
        <v>0</v>
      </c>
      <c r="I1952" t="n">
        <v>0</v>
      </c>
      <c r="J1952" t="n">
        <v>0</v>
      </c>
      <c r="K1952" t="n">
        <v>0</v>
      </c>
      <c r="L1952" t="n">
        <v>0</v>
      </c>
      <c r="M1952" t="n">
        <v>0</v>
      </c>
      <c r="N1952" t="n">
        <v>0</v>
      </c>
      <c r="O1952" t="n">
        <v>0</v>
      </c>
      <c r="P1952" t="n">
        <v>0</v>
      </c>
      <c r="Q1952" t="n">
        <v>0</v>
      </c>
      <c r="R1952" s="2" t="inlineStr"/>
    </row>
    <row r="1953" ht="15" customHeight="1">
      <c r="A1953" t="inlineStr">
        <is>
          <t>A 30222-2024</t>
        </is>
      </c>
      <c r="B1953" s="1" t="n">
        <v>45490</v>
      </c>
      <c r="C1953" s="1" t="n">
        <v>45750</v>
      </c>
      <c r="D1953" t="inlineStr">
        <is>
          <t>VÄSTERNORRLANDS LÄN</t>
        </is>
      </c>
      <c r="E1953" t="inlineStr">
        <is>
          <t>ÅNGE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30217-2024</t>
        </is>
      </c>
      <c r="B1954" s="1" t="n">
        <v>45490</v>
      </c>
      <c r="C1954" s="1" t="n">
        <v>45750</v>
      </c>
      <c r="D1954" t="inlineStr">
        <is>
          <t>VÄSTERNORRLANDS LÄN</t>
        </is>
      </c>
      <c r="E1954" t="inlineStr">
        <is>
          <t>ÅNGE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30346-2024</t>
        </is>
      </c>
      <c r="B1955" s="1" t="n">
        <v>45491</v>
      </c>
      <c r="C1955" s="1" t="n">
        <v>45750</v>
      </c>
      <c r="D1955" t="inlineStr">
        <is>
          <t>VÄSTERNORRLANDS LÄN</t>
        </is>
      </c>
      <c r="E1955" t="inlineStr">
        <is>
          <t>ÅNGE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30348-2024</t>
        </is>
      </c>
      <c r="B1956" s="1" t="n">
        <v>45491</v>
      </c>
      <c r="C1956" s="1" t="n">
        <v>45750</v>
      </c>
      <c r="D1956" t="inlineStr">
        <is>
          <t>VÄSTERNORRLANDS LÄN</t>
        </is>
      </c>
      <c r="E1956" t="inlineStr">
        <is>
          <t>ÅNGE</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30353-2024</t>
        </is>
      </c>
      <c r="B1957" s="1" t="n">
        <v>45491</v>
      </c>
      <c r="C1957" s="1" t="n">
        <v>45750</v>
      </c>
      <c r="D1957" t="inlineStr">
        <is>
          <t>VÄSTERNORRLANDS LÄN</t>
        </is>
      </c>
      <c r="E1957" t="inlineStr">
        <is>
          <t>ÅNGE</t>
        </is>
      </c>
      <c r="F1957" t="inlineStr">
        <is>
          <t>SCA</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30347-2024</t>
        </is>
      </c>
      <c r="B1958" s="1" t="n">
        <v>45491</v>
      </c>
      <c r="C1958" s="1" t="n">
        <v>45750</v>
      </c>
      <c r="D1958" t="inlineStr">
        <is>
          <t>VÄSTERNORRLANDS LÄN</t>
        </is>
      </c>
      <c r="E1958" t="inlineStr">
        <is>
          <t>ÅNGE</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30469-2024</t>
        </is>
      </c>
      <c r="B1959" s="1" t="n">
        <v>45491</v>
      </c>
      <c r="C1959" s="1" t="n">
        <v>45750</v>
      </c>
      <c r="D1959" t="inlineStr">
        <is>
          <t>VÄSTERNORRLANDS LÄN</t>
        </is>
      </c>
      <c r="E1959" t="inlineStr">
        <is>
          <t>ÅNGE</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30481-2024</t>
        </is>
      </c>
      <c r="B1960" s="1" t="n">
        <v>45492</v>
      </c>
      <c r="C1960" s="1" t="n">
        <v>45750</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30474-2024</t>
        </is>
      </c>
      <c r="B1961" s="1" t="n">
        <v>45491</v>
      </c>
      <c r="C1961" s="1" t="n">
        <v>45750</v>
      </c>
      <c r="D1961" t="inlineStr">
        <is>
          <t>VÄSTERNORRLANDS LÄN</t>
        </is>
      </c>
      <c r="E1961" t="inlineStr">
        <is>
          <t>ÅNGE</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30478-2024</t>
        </is>
      </c>
      <c r="B1962" s="1" t="n">
        <v>45492</v>
      </c>
      <c r="C1962" s="1" t="n">
        <v>45750</v>
      </c>
      <c r="D1962" t="inlineStr">
        <is>
          <t>VÄSTERNORRLANDS LÄN</t>
        </is>
      </c>
      <c r="E1962" t="inlineStr">
        <is>
          <t>ÅNGE</t>
        </is>
      </c>
      <c r="F1962" t="inlineStr">
        <is>
          <t>SCA</t>
        </is>
      </c>
      <c r="G1962" t="n">
        <v>2</v>
      </c>
      <c r="H1962" t="n">
        <v>0</v>
      </c>
      <c r="I1962" t="n">
        <v>0</v>
      </c>
      <c r="J1962" t="n">
        <v>0</v>
      </c>
      <c r="K1962" t="n">
        <v>0</v>
      </c>
      <c r="L1962" t="n">
        <v>0</v>
      </c>
      <c r="M1962" t="n">
        <v>0</v>
      </c>
      <c r="N1962" t="n">
        <v>0</v>
      </c>
      <c r="O1962" t="n">
        <v>0</v>
      </c>
      <c r="P1962" t="n">
        <v>0</v>
      </c>
      <c r="Q1962" t="n">
        <v>0</v>
      </c>
      <c r="R1962" s="2" t="inlineStr"/>
      <c r="U1962">
        <f>HYPERLINK("https://klasma.github.io/Logging_2260/knärot/A 30478-2024 karta knärot.png", "A 30478-2024")</f>
        <v/>
      </c>
      <c r="V1962">
        <f>HYPERLINK("https://klasma.github.io/Logging_2260/klagomål/A 30478-2024 FSC-klagomål.docx", "A 30478-2024")</f>
        <v/>
      </c>
      <c r="W1962">
        <f>HYPERLINK("https://klasma.github.io/Logging_2260/klagomålsmail/A 30478-2024 FSC-klagomål mail.docx", "A 30478-2024")</f>
        <v/>
      </c>
      <c r="X1962">
        <f>HYPERLINK("https://klasma.github.io/Logging_2260/tillsyn/A 30478-2024 tillsynsbegäran.docx", "A 30478-2024")</f>
        <v/>
      </c>
      <c r="Y1962">
        <f>HYPERLINK("https://klasma.github.io/Logging_2260/tillsynsmail/A 30478-2024 tillsynsbegäran mail.docx", "A 30478-2024")</f>
        <v/>
      </c>
    </row>
    <row r="1963" ht="15" customHeight="1">
      <c r="A1963" t="inlineStr">
        <is>
          <t>A 30467-2024</t>
        </is>
      </c>
      <c r="B1963" s="1" t="n">
        <v>45492</v>
      </c>
      <c r="C1963" s="1" t="n">
        <v>45750</v>
      </c>
      <c r="D1963" t="inlineStr">
        <is>
          <t>VÄSTERNORRLANDS LÄN</t>
        </is>
      </c>
      <c r="E1963" t="inlineStr">
        <is>
          <t>ÅNGE</t>
        </is>
      </c>
      <c r="F1963" t="inlineStr">
        <is>
          <t>SCA</t>
        </is>
      </c>
      <c r="G1963" t="n">
        <v>2.4</v>
      </c>
      <c r="H1963" t="n">
        <v>0</v>
      </c>
      <c r="I1963" t="n">
        <v>0</v>
      </c>
      <c r="J1963" t="n">
        <v>0</v>
      </c>
      <c r="K1963" t="n">
        <v>0</v>
      </c>
      <c r="L1963" t="n">
        <v>0</v>
      </c>
      <c r="M1963" t="n">
        <v>0</v>
      </c>
      <c r="N1963" t="n">
        <v>0</v>
      </c>
      <c r="O1963" t="n">
        <v>0</v>
      </c>
      <c r="P1963" t="n">
        <v>0</v>
      </c>
      <c r="Q1963" t="n">
        <v>0</v>
      </c>
      <c r="R1963" s="2" t="inlineStr"/>
      <c r="U1963">
        <f>HYPERLINK("https://klasma.github.io/Logging_2260/knärot/A 30467-2024 karta knärot.png", "A 30467-2024")</f>
        <v/>
      </c>
      <c r="V1963">
        <f>HYPERLINK("https://klasma.github.io/Logging_2260/klagomål/A 30467-2024 FSC-klagomål.docx", "A 30467-2024")</f>
        <v/>
      </c>
      <c r="W1963">
        <f>HYPERLINK("https://klasma.github.io/Logging_2260/klagomålsmail/A 30467-2024 FSC-klagomål mail.docx", "A 30467-2024")</f>
        <v/>
      </c>
      <c r="X1963">
        <f>HYPERLINK("https://klasma.github.io/Logging_2260/tillsyn/A 30467-2024 tillsynsbegäran.docx", "A 30467-2024")</f>
        <v/>
      </c>
      <c r="Y1963">
        <f>HYPERLINK("https://klasma.github.io/Logging_2260/tillsynsmail/A 30467-2024 tillsynsbegäran mail.docx", "A 30467-2024")</f>
        <v/>
      </c>
    </row>
    <row r="1964" ht="15" customHeight="1">
      <c r="A1964" t="inlineStr">
        <is>
          <t>A 30475-2024</t>
        </is>
      </c>
      <c r="B1964" s="1" t="n">
        <v>45491</v>
      </c>
      <c r="C1964" s="1" t="n">
        <v>45750</v>
      </c>
      <c r="D1964" t="inlineStr">
        <is>
          <t>VÄSTERNORRLANDS LÄN</t>
        </is>
      </c>
      <c r="E1964" t="inlineStr">
        <is>
          <t>ÅNGE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30568-2024</t>
        </is>
      </c>
      <c r="B1965" s="1" t="n">
        <v>45493</v>
      </c>
      <c r="C1965" s="1" t="n">
        <v>45750</v>
      </c>
      <c r="D1965" t="inlineStr">
        <is>
          <t>VÄSTERNORRLANDS LÄN</t>
        </is>
      </c>
      <c r="E1965" t="inlineStr">
        <is>
          <t>ÅNGE</t>
        </is>
      </c>
      <c r="F1965" t="inlineStr">
        <is>
          <t>SCA</t>
        </is>
      </c>
      <c r="G1965" t="n">
        <v>7.9</v>
      </c>
      <c r="H1965" t="n">
        <v>0</v>
      </c>
      <c r="I1965" t="n">
        <v>0</v>
      </c>
      <c r="J1965" t="n">
        <v>0</v>
      </c>
      <c r="K1965" t="n">
        <v>0</v>
      </c>
      <c r="L1965" t="n">
        <v>0</v>
      </c>
      <c r="M1965" t="n">
        <v>0</v>
      </c>
      <c r="N1965" t="n">
        <v>0</v>
      </c>
      <c r="O1965" t="n">
        <v>0</v>
      </c>
      <c r="P1965" t="n">
        <v>0</v>
      </c>
      <c r="Q1965" t="n">
        <v>0</v>
      </c>
      <c r="R1965" s="2" t="inlineStr"/>
      <c r="U1965">
        <f>HYPERLINK("https://klasma.github.io/Logging_2260/knärot/A 30568-2024 karta knärot.png", "A 30568-2024")</f>
        <v/>
      </c>
      <c r="V1965">
        <f>HYPERLINK("https://klasma.github.io/Logging_2260/klagomål/A 30568-2024 FSC-klagomål.docx", "A 30568-2024")</f>
        <v/>
      </c>
      <c r="W1965">
        <f>HYPERLINK("https://klasma.github.io/Logging_2260/klagomålsmail/A 30568-2024 FSC-klagomål mail.docx", "A 30568-2024")</f>
        <v/>
      </c>
      <c r="X1965">
        <f>HYPERLINK("https://klasma.github.io/Logging_2260/tillsyn/A 30568-2024 tillsynsbegäran.docx", "A 30568-2024")</f>
        <v/>
      </c>
      <c r="Y1965">
        <f>HYPERLINK("https://klasma.github.io/Logging_2260/tillsynsmail/A 30568-2024 tillsynsbegäran mail.docx", "A 30568-2024")</f>
        <v/>
      </c>
    </row>
    <row r="1966" ht="15" customHeight="1">
      <c r="A1966" t="inlineStr">
        <is>
          <t>A 30683-2024</t>
        </is>
      </c>
      <c r="B1966" s="1" t="n">
        <v>45495</v>
      </c>
      <c r="C1966" s="1" t="n">
        <v>45750</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30687-2024</t>
        </is>
      </c>
      <c r="B1967" s="1" t="n">
        <v>45496</v>
      </c>
      <c r="C1967" s="1" t="n">
        <v>45750</v>
      </c>
      <c r="D1967" t="inlineStr">
        <is>
          <t>VÄSTERNORRLANDS LÄN</t>
        </is>
      </c>
      <c r="E1967" t="inlineStr">
        <is>
          <t>ÅNGE</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30682-2024</t>
        </is>
      </c>
      <c r="B1968" s="1" t="n">
        <v>45496</v>
      </c>
      <c r="C1968" s="1" t="n">
        <v>45750</v>
      </c>
      <c r="D1968" t="inlineStr">
        <is>
          <t>VÄSTERNORRLANDS LÄN</t>
        </is>
      </c>
      <c r="E1968" t="inlineStr">
        <is>
          <t>ÅNGE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30754-2024</t>
        </is>
      </c>
      <c r="B1969" s="1" t="n">
        <v>45496</v>
      </c>
      <c r="C1969" s="1" t="n">
        <v>45750</v>
      </c>
      <c r="D1969" t="inlineStr">
        <is>
          <t>VÄSTERNORRLANDS LÄN</t>
        </is>
      </c>
      <c r="E1969" t="inlineStr">
        <is>
          <t>ÅNGE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45750</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45750</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45750</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45750</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45750</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45750</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45750</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45750</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45750</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45750</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45750</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45750</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45750</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45750</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45750</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45750</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45750</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45750</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45750</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45750</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45750</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45750</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45750</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45750</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45750</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45750</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45750</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45750</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45750</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45750</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45750</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45750</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45750</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45750</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45750</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45750</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45750</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45750</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45750</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45750</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45750</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45750</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45750</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45750</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45750</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45750</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45750</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45750</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45750</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45750</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45750</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45750</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45750</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45750</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45750</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45750</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45750</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45750</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45750</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45750</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45750</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45750</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45750</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45750</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45750</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45750</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45750</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45750</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45750</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45750</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45750</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45750</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45750</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45750</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45750</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45750</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45750</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45750</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45750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45750</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45750</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45750</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45750</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45750</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45750</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45750</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45750</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45750</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45750</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45750</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45750</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45750</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45750</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45750</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45750</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45750</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45750</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45750</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45750</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45750</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45750</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45750</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45750</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45750</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45750</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45750</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45750</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45750</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45750</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45750</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45750</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45750</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45750</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45750</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45750</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45750</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45750</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45750</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45750</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45750</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45750</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45750</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45750</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45750</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45750</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45750</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45750</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45750</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45750</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45750</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45750</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45750</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45750</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45750</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45750</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45750</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45750</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45750</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45750</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45750</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45750</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45750</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45750</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45750</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45750</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45750</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45750</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45750</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45750</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45750</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45750</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45750</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45750</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45750</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45750</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45750</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45750</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45750</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45750</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45750</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45750</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45750</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45750</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45750</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45750</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45750</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45750</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45750</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45750</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45750</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45750</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45750</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45750</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45750</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45750</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45750</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45750</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45750</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45750</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45750</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45750</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45750</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45750</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45750</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45750</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45750</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45750</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45750</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45750</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45750</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45750</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45750</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45750</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45750</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45750</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45750</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45750</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45750</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45750</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45750</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45750</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45750</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45750</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45750</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45750</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45750</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45750</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45750</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45750</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45750</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45750</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45750</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45750</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45750</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45750</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45750</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45750</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45750</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45750</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45750</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45750</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45750</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45750</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45750</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45750</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45750</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45750</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45750</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45750</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45750</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45750</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45750</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45750</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45750</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45750</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45750</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45750</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45750</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45750</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45750</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45750</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45750</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45750</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45750</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45750</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45750</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45750</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45750</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45750</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45750</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45750</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45750</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45750</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45750</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45750</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45750</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45750</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45750</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45750</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45750</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45750</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45750</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45750</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45750</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45750</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45750</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45750</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45750</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45750</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45750</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45750</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45750</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45750</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45750</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45750</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45750</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45750</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45750</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45750</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45750</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45750</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45750</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45750</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45750</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45750</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45750</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45750</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45750</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45750</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45750</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45750</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45750</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45750</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45750</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45750</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45750</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45750</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45750</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45750</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45750</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45750</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45750</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45750</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45750</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45750</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45750</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45750</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45750</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45750</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45750</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45750</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45750</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45750</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45750</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45750</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45750</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45750</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45750</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45750</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45750</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45750</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45750</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45750</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45750</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45750</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45750</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45750</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45750</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45750</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45750</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45750</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45750</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45750</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45750</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45750</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45750</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45750</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45750</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45750</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45750</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45750</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45750</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45750</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45750</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45750</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45750</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45750</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45750</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45750</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45750</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45750</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45750</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45750</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45750</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45750</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45750</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45750</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45750</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45750</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45750</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45750</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45750</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45750</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45750</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45750</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45750</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45750</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45750</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45750</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45750</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45750</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45750</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45750</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45750</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45750</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45750</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45750</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45750</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45750</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45750</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45750</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45750</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45750</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45750</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45750</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45750</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45750</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45750</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45750</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45750</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45750</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45750</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45750</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45750</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45750</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45750</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45750</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45750</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45750</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45750</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45750</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45750</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45750</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45750</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45750</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9382-2025</t>
        </is>
      </c>
      <c r="B2375" s="1" t="n">
        <v>45715</v>
      </c>
      <c r="C2375" s="1" t="n">
        <v>45750</v>
      </c>
      <c r="D2375" t="inlineStr">
        <is>
          <t>VÄSTERNORRLANDS LÄN</t>
        </is>
      </c>
      <c r="E2375" t="inlineStr">
        <is>
          <t>ÅNGE</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45750</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45750</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45750</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45750</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45750</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45750</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45750</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45750</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45750</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45750</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45750</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45750</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11882-2025</t>
        </is>
      </c>
      <c r="B2388" s="1" t="n">
        <v>45728</v>
      </c>
      <c r="C2388" s="1" t="n">
        <v>45750</v>
      </c>
      <c r="D2388" t="inlineStr">
        <is>
          <t>VÄSTERNORRLANDS LÄN</t>
        </is>
      </c>
      <c r="E2388" t="inlineStr">
        <is>
          <t>ÅNGE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45750</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45750</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12493-2025</t>
        </is>
      </c>
      <c r="B2391" s="1" t="n">
        <v>45730</v>
      </c>
      <c r="C2391" s="1" t="n">
        <v>45750</v>
      </c>
      <c r="D2391" t="inlineStr">
        <is>
          <t>VÄSTERNORRLANDS LÄN</t>
        </is>
      </c>
      <c r="E2391" t="inlineStr">
        <is>
          <t>ÅNGE</t>
        </is>
      </c>
      <c r="F2391" t="inlineStr">
        <is>
          <t>SCA</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12399-2025</t>
        </is>
      </c>
      <c r="B2392" s="1" t="n">
        <v>45730</v>
      </c>
      <c r="C2392" s="1" t="n">
        <v>45750</v>
      </c>
      <c r="D2392" t="inlineStr">
        <is>
          <t>VÄSTERNORRLANDS LÄN</t>
        </is>
      </c>
      <c r="E2392" t="inlineStr">
        <is>
          <t>ÅNGE</t>
        </is>
      </c>
      <c r="F2392" t="inlineStr">
        <is>
          <t>SCA</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45750</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12807-2025</t>
        </is>
      </c>
      <c r="B2394" s="1" t="n">
        <v>45733</v>
      </c>
      <c r="C2394" s="1" t="n">
        <v>45750</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45750</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45750</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45750</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45750</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14530-2025</t>
        </is>
      </c>
      <c r="B2399" s="1" t="n">
        <v>45741</v>
      </c>
      <c r="C2399" s="1" t="n">
        <v>45750</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14751-2025</t>
        </is>
      </c>
      <c r="B2400" s="1" t="n">
        <v>45742</v>
      </c>
      <c r="C2400" s="1" t="n">
        <v>45750</v>
      </c>
      <c r="D2400" t="inlineStr">
        <is>
          <t>VÄSTERNORRLANDS LÄN</t>
        </is>
      </c>
      <c r="E2400" t="inlineStr">
        <is>
          <t>ÅNGE</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14663-2025</t>
        </is>
      </c>
      <c r="B2401" s="1" t="n">
        <v>45742</v>
      </c>
      <c r="C2401" s="1" t="n">
        <v>45750</v>
      </c>
      <c r="D2401" t="inlineStr">
        <is>
          <t>VÄSTERNORRLANDS LÄN</t>
        </is>
      </c>
      <c r="E2401" t="inlineStr">
        <is>
          <t>ÅNGE</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14673-2025</t>
        </is>
      </c>
      <c r="B2402" s="1" t="n">
        <v>45742</v>
      </c>
      <c r="C2402" s="1" t="n">
        <v>45750</v>
      </c>
      <c r="D2402" t="inlineStr">
        <is>
          <t>VÄSTERNORRLANDS LÄN</t>
        </is>
      </c>
      <c r="E2402" t="inlineStr">
        <is>
          <t>ÅNGE</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15032-2025</t>
        </is>
      </c>
      <c r="B2403" s="1" t="n">
        <v>45743</v>
      </c>
      <c r="C2403" s="1" t="n">
        <v>45750</v>
      </c>
      <c r="D2403" t="inlineStr">
        <is>
          <t>VÄSTERNORRLANDS LÄN</t>
        </is>
      </c>
      <c r="E2403" t="inlineStr">
        <is>
          <t>ÅNGE</t>
        </is>
      </c>
      <c r="F2403" t="inlineStr">
        <is>
          <t>SCA</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14997-2025</t>
        </is>
      </c>
      <c r="B2404" s="1" t="n">
        <v>45743</v>
      </c>
      <c r="C2404" s="1" t="n">
        <v>45750</v>
      </c>
      <c r="D2404" t="inlineStr">
        <is>
          <t>VÄSTERNORRLANDS LÄN</t>
        </is>
      </c>
      <c r="E2404" t="inlineStr">
        <is>
          <t>ÅNGE</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14976-2025</t>
        </is>
      </c>
      <c r="B2405" s="1" t="n">
        <v>45743</v>
      </c>
      <c r="C2405" s="1" t="n">
        <v>45750</v>
      </c>
      <c r="D2405" t="inlineStr">
        <is>
          <t>VÄSTERNORRLANDS LÄN</t>
        </is>
      </c>
      <c r="E2405" t="inlineStr">
        <is>
          <t>ÅNGE</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14979-2025</t>
        </is>
      </c>
      <c r="B2406" s="1" t="n">
        <v>45743</v>
      </c>
      <c r="C2406" s="1" t="n">
        <v>45750</v>
      </c>
      <c r="D2406" t="inlineStr">
        <is>
          <t>VÄSTERNORRLANDS LÄN</t>
        </is>
      </c>
      <c r="E2406" t="inlineStr">
        <is>
          <t>ÅNGE</t>
        </is>
      </c>
      <c r="F2406" t="inlineStr">
        <is>
          <t>SCA</t>
        </is>
      </c>
      <c r="G2406" t="n">
        <v>22.9</v>
      </c>
      <c r="H2406" t="n">
        <v>0</v>
      </c>
      <c r="I2406" t="n">
        <v>0</v>
      </c>
      <c r="J2406" t="n">
        <v>0</v>
      </c>
      <c r="K2406" t="n">
        <v>0</v>
      </c>
      <c r="L2406" t="n">
        <v>0</v>
      </c>
      <c r="M2406" t="n">
        <v>0</v>
      </c>
      <c r="N2406" t="n">
        <v>0</v>
      </c>
      <c r="O2406" t="n">
        <v>0</v>
      </c>
      <c r="P2406" t="n">
        <v>0</v>
      </c>
      <c r="Q2406" t="n">
        <v>0</v>
      </c>
      <c r="R2406" s="2" t="inlineStr"/>
    </row>
    <row r="2407" ht="15" customHeight="1">
      <c r="A2407" t="inlineStr">
        <is>
          <t>A 14927-2025</t>
        </is>
      </c>
      <c r="B2407" s="1" t="n">
        <v>45743</v>
      </c>
      <c r="C2407" s="1" t="n">
        <v>45750</v>
      </c>
      <c r="D2407" t="inlineStr">
        <is>
          <t>VÄSTERNORRLANDS LÄN</t>
        </is>
      </c>
      <c r="E2407" t="inlineStr">
        <is>
          <t>ÅNGE</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14933-2025</t>
        </is>
      </c>
      <c r="B2408" s="1" t="n">
        <v>45743</v>
      </c>
      <c r="C2408" s="1" t="n">
        <v>45750</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15167-2025</t>
        </is>
      </c>
      <c r="B2409" s="1" t="n">
        <v>45744</v>
      </c>
      <c r="C2409" s="1" t="n">
        <v>45750</v>
      </c>
      <c r="D2409" t="inlineStr">
        <is>
          <t>VÄSTERNORRLANDS LÄN</t>
        </is>
      </c>
      <c r="E2409" t="inlineStr">
        <is>
          <t>ÅNGE</t>
        </is>
      </c>
      <c r="F2409" t="inlineStr">
        <is>
          <t>SCA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15287-2025</t>
        </is>
      </c>
      <c r="B2410" s="1" t="n">
        <v>45745</v>
      </c>
      <c r="C2410" s="1" t="n">
        <v>45750</v>
      </c>
      <c r="D2410" t="inlineStr">
        <is>
          <t>VÄSTERNORRLANDS LÄN</t>
        </is>
      </c>
      <c r="E2410" t="inlineStr">
        <is>
          <t>ÅNGE</t>
        </is>
      </c>
      <c r="F2410" t="inlineStr">
        <is>
          <t>SCA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15288-2025</t>
        </is>
      </c>
      <c r="B2411" s="1" t="n">
        <v>45745</v>
      </c>
      <c r="C2411" s="1" t="n">
        <v>45750</v>
      </c>
      <c r="D2411" t="inlineStr">
        <is>
          <t>VÄSTERNORRLANDS LÄN</t>
        </is>
      </c>
      <c r="E2411" t="inlineStr">
        <is>
          <t>ÅNGE</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15404-2025</t>
        </is>
      </c>
      <c r="B2412" s="1" t="n">
        <v>45747</v>
      </c>
      <c r="C2412" s="1" t="n">
        <v>45750</v>
      </c>
      <c r="D2412" t="inlineStr">
        <is>
          <t>VÄSTERNORRLANDS LÄN</t>
        </is>
      </c>
      <c r="E2412" t="inlineStr">
        <is>
          <t>ÅNGE</t>
        </is>
      </c>
      <c r="G2412" t="n">
        <v>11.8</v>
      </c>
      <c r="H2412" t="n">
        <v>0</v>
      </c>
      <c r="I2412" t="n">
        <v>0</v>
      </c>
      <c r="J2412" t="n">
        <v>0</v>
      </c>
      <c r="K2412" t="n">
        <v>0</v>
      </c>
      <c r="L2412" t="n">
        <v>0</v>
      </c>
      <c r="M2412" t="n">
        <v>0</v>
      </c>
      <c r="N2412" t="n">
        <v>0</v>
      </c>
      <c r="O2412" t="n">
        <v>0</v>
      </c>
      <c r="P2412" t="n">
        <v>0</v>
      </c>
      <c r="Q2412" t="n">
        <v>0</v>
      </c>
      <c r="R2412" s="2" t="inlineStr"/>
    </row>
    <row r="2413" ht="15" customHeight="1">
      <c r="A2413" t="inlineStr">
        <is>
          <t>A 15791-2025</t>
        </is>
      </c>
      <c r="B2413" s="1" t="n">
        <v>45748</v>
      </c>
      <c r="C2413" s="1" t="n">
        <v>45750</v>
      </c>
      <c r="D2413" t="inlineStr">
        <is>
          <t>VÄSTERNORRLANDS LÄN</t>
        </is>
      </c>
      <c r="E2413" t="inlineStr">
        <is>
          <t>ÅNGE</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15778-2025</t>
        </is>
      </c>
      <c r="B2414" s="1" t="n">
        <v>45748</v>
      </c>
      <c r="C2414" s="1" t="n">
        <v>45750</v>
      </c>
      <c r="D2414" t="inlineStr">
        <is>
          <t>VÄSTERNORRLANDS LÄN</t>
        </is>
      </c>
      <c r="E2414" t="inlineStr">
        <is>
          <t>ÅNGE</t>
        </is>
      </c>
      <c r="F2414" t="inlineStr">
        <is>
          <t>SCA</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15799-2025</t>
        </is>
      </c>
      <c r="B2415" s="1" t="n">
        <v>45748</v>
      </c>
      <c r="C2415" s="1" t="n">
        <v>45750</v>
      </c>
      <c r="D2415" t="inlineStr">
        <is>
          <t>VÄSTERNORRLANDS LÄN</t>
        </is>
      </c>
      <c r="E2415" t="inlineStr">
        <is>
          <t>ÅNGE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15822-2025</t>
        </is>
      </c>
      <c r="B2416" s="1" t="n">
        <v>45748</v>
      </c>
      <c r="C2416" s="1" t="n">
        <v>45750</v>
      </c>
      <c r="D2416" t="inlineStr">
        <is>
          <t>VÄSTERNORRLANDS LÄN</t>
        </is>
      </c>
      <c r="E2416" t="inlineStr">
        <is>
          <t>ÅNGE</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15679-2025</t>
        </is>
      </c>
      <c r="B2417" s="1" t="n">
        <v>45748</v>
      </c>
      <c r="C2417" s="1" t="n">
        <v>45750</v>
      </c>
      <c r="D2417" t="inlineStr">
        <is>
          <t>VÄSTERNORRLANDS LÄN</t>
        </is>
      </c>
      <c r="E2417" t="inlineStr">
        <is>
          <t>ÅNGE</t>
        </is>
      </c>
      <c r="F2417" t="inlineStr">
        <is>
          <t>SCA</t>
        </is>
      </c>
      <c r="G2417" t="n">
        <v>11.8</v>
      </c>
      <c r="H2417" t="n">
        <v>0</v>
      </c>
      <c r="I2417" t="n">
        <v>0</v>
      </c>
      <c r="J2417" t="n">
        <v>0</v>
      </c>
      <c r="K2417" t="n">
        <v>0</v>
      </c>
      <c r="L2417" t="n">
        <v>0</v>
      </c>
      <c r="M2417" t="n">
        <v>0</v>
      </c>
      <c r="N2417" t="n">
        <v>0</v>
      </c>
      <c r="O2417" t="n">
        <v>0</v>
      </c>
      <c r="P2417" t="n">
        <v>0</v>
      </c>
      <c r="Q2417" t="n">
        <v>0</v>
      </c>
      <c r="R2417" s="2" t="inlineStr"/>
    </row>
    <row r="2418" ht="15" customHeight="1">
      <c r="A2418" t="inlineStr">
        <is>
          <t>A 15880-2025</t>
        </is>
      </c>
      <c r="B2418" s="1" t="n">
        <v>45749</v>
      </c>
      <c r="C2418" s="1" t="n">
        <v>45750</v>
      </c>
      <c r="D2418" t="inlineStr">
        <is>
          <t>VÄSTERNORRLANDS LÄN</t>
        </is>
      </c>
      <c r="E2418" t="inlineStr">
        <is>
          <t>ÅNGE</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15862-2025</t>
        </is>
      </c>
      <c r="B2419" s="1" t="n">
        <v>45749</v>
      </c>
      <c r="C2419" s="1" t="n">
        <v>45750</v>
      </c>
      <c r="D2419" t="inlineStr">
        <is>
          <t>VÄSTERNORRLANDS LÄN</t>
        </is>
      </c>
      <c r="E2419" t="inlineStr">
        <is>
          <t>ÅNGE</t>
        </is>
      </c>
      <c r="F2419" t="inlineStr">
        <is>
          <t>SCA</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15868-2025</t>
        </is>
      </c>
      <c r="B2420" s="1" t="n">
        <v>45749</v>
      </c>
      <c r="C2420" s="1" t="n">
        <v>45750</v>
      </c>
      <c r="D2420" t="inlineStr">
        <is>
          <t>VÄSTERNORRLANDS LÄN</t>
        </is>
      </c>
      <c r="E2420" t="inlineStr">
        <is>
          <t>ÅNGE</t>
        </is>
      </c>
      <c r="F2420" t="inlineStr">
        <is>
          <t>SCA</t>
        </is>
      </c>
      <c r="G2420" t="n">
        <v>6.3</v>
      </c>
      <c r="H2420" t="n">
        <v>0</v>
      </c>
      <c r="I2420" t="n">
        <v>0</v>
      </c>
      <c r="J2420" t="n">
        <v>0</v>
      </c>
      <c r="K2420" t="n">
        <v>0</v>
      </c>
      <c r="L2420" t="n">
        <v>0</v>
      </c>
      <c r="M2420" t="n">
        <v>0</v>
      </c>
      <c r="N2420" t="n">
        <v>0</v>
      </c>
      <c r="O2420" t="n">
        <v>0</v>
      </c>
      <c r="P2420" t="n">
        <v>0</v>
      </c>
      <c r="Q2420" t="n">
        <v>0</v>
      </c>
      <c r="R2420" s="2" t="inlineStr"/>
    </row>
    <row r="2421">
      <c r="A2421" t="inlineStr">
        <is>
          <t>A 15866-2025</t>
        </is>
      </c>
      <c r="B2421" s="1" t="n">
        <v>45749</v>
      </c>
      <c r="C2421" s="1" t="n">
        <v>45750</v>
      </c>
      <c r="D2421" t="inlineStr">
        <is>
          <t>VÄSTERNORRLANDS LÄN</t>
        </is>
      </c>
      <c r="E2421" t="inlineStr">
        <is>
          <t>ÅNGE</t>
        </is>
      </c>
      <c r="F2421" t="inlineStr">
        <is>
          <t>SCA</t>
        </is>
      </c>
      <c r="G2421" t="n">
        <v>3.7</v>
      </c>
      <c r="H2421" t="n">
        <v>0</v>
      </c>
      <c r="I2421" t="n">
        <v>0</v>
      </c>
      <c r="J2421" t="n">
        <v>0</v>
      </c>
      <c r="K2421" t="n">
        <v>0</v>
      </c>
      <c r="L2421" t="n">
        <v>0</v>
      </c>
      <c r="M2421" t="n">
        <v>0</v>
      </c>
      <c r="N2421" t="n">
        <v>0</v>
      </c>
      <c r="O2421" t="n">
        <v>0</v>
      </c>
      <c r="P2421" t="n">
        <v>0</v>
      </c>
      <c r="Q2421" t="n">
        <v>0</v>
      </c>
      <c r="R2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2025-04-03T20:39:02Z</dcterms:created>
  <dcterms:modified xmlns:dcterms="http://purl.org/dc/terms/" xmlns:xsi="http://www.w3.org/2001/XMLSchema-instance" xsi:type="dcterms:W3CDTF">2025-04-03T20:39:04Z</dcterms:modified>
</cp:coreProperties>
</file>