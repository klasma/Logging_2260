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45984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45984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45984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45984</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45984</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45984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45984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45984</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45833-2025</t>
        </is>
      </c>
      <c r="B21" s="1" t="n">
        <v>45923</v>
      </c>
      <c r="C21" s="1" t="n">
        <v>45984</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48850-2021</t>
        </is>
      </c>
      <c r="B22" s="1" t="n">
        <v>44452</v>
      </c>
      <c r="C22" s="1" t="n">
        <v>45984</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45984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45984</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45984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45984</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45984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45984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45984</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45984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45984</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45984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45984</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45984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45984</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45984</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48738-2024</t>
        </is>
      </c>
      <c r="B38" s="1" t="n">
        <v>45593</v>
      </c>
      <c r="C38" s="1" t="n">
        <v>45984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45984</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45984</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39496-2024</t>
        </is>
      </c>
      <c r="B41" s="1" t="n">
        <v>45551</v>
      </c>
      <c r="C41" s="1" t="n">
        <v>45984</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45984</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45984</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45984</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26361-2023</t>
        </is>
      </c>
      <c r="B45" s="1" t="n">
        <v>45091</v>
      </c>
      <c r="C45" s="1" t="n">
        <v>45984</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34519-2022</t>
        </is>
      </c>
      <c r="B46" s="1" t="n">
        <v>44792</v>
      </c>
      <c r="C46" s="1" t="n">
        <v>45984</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34786-2021</t>
        </is>
      </c>
      <c r="B47" s="1" t="n">
        <v>44382</v>
      </c>
      <c r="C47" s="1" t="n">
        <v>45984</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45984</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44607-2021</t>
        </is>
      </c>
      <c r="B49" s="1" t="n">
        <v>44435</v>
      </c>
      <c r="C49" s="1" t="n">
        <v>45984</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45984</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26314-2024</t>
        </is>
      </c>
      <c r="B51" s="1" t="n">
        <v>45468</v>
      </c>
      <c r="C51" s="1" t="n">
        <v>45984</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42962-2024</t>
        </is>
      </c>
      <c r="B52" s="1" t="n">
        <v>45567.37194444444</v>
      </c>
      <c r="C52" s="1" t="n">
        <v>45984</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20694-2022</t>
        </is>
      </c>
      <c r="B53" s="1" t="n">
        <v>44700</v>
      </c>
      <c r="C53" s="1" t="n">
        <v>45984</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45984</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45984</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45984</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45984</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26957-2024</t>
        </is>
      </c>
      <c r="B58" s="1" t="n">
        <v>45470</v>
      </c>
      <c r="C58" s="1" t="n">
        <v>45984</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45984</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39065-2023</t>
        </is>
      </c>
      <c r="B60" s="1" t="n">
        <v>45163</v>
      </c>
      <c r="C60" s="1" t="n">
        <v>45984</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45984</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45984</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45984</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45984</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45984</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45984</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45984</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45984</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39570-2025</t>
        </is>
      </c>
      <c r="B69" s="1" t="n">
        <v>45890.49009259259</v>
      </c>
      <c r="C69" s="1" t="n">
        <v>45984</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34694-2023</t>
        </is>
      </c>
      <c r="B70" s="1" t="n">
        <v>45140.96324074074</v>
      </c>
      <c r="C70" s="1" t="n">
        <v>45984</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45984</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45984</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45984</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45984</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45984</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45984</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45984</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45984</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26363-2023</t>
        </is>
      </c>
      <c r="B79" s="1" t="n">
        <v>45091</v>
      </c>
      <c r="C79" s="1" t="n">
        <v>45984</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27955-2021</t>
        </is>
      </c>
      <c r="B80" s="1" t="n">
        <v>44354</v>
      </c>
      <c r="C80" s="1" t="n">
        <v>45984</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45984</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45984</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45984</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45984</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23601-2025</t>
        </is>
      </c>
      <c r="B85" s="1" t="n">
        <v>45792</v>
      </c>
      <c r="C85" s="1" t="n">
        <v>45984</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27914-2024</t>
        </is>
      </c>
      <c r="B86" s="1" t="n">
        <v>45475</v>
      </c>
      <c r="C86" s="1" t="n">
        <v>45984</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45984</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62640-2020</t>
        </is>
      </c>
      <c r="B88" s="1" t="n">
        <v>44161</v>
      </c>
      <c r="C88" s="1" t="n">
        <v>45984</v>
      </c>
      <c r="D88" t="inlineStr">
        <is>
          <t>VÄSTERNORRLANDS LÄN</t>
        </is>
      </c>
      <c r="E88" t="inlineStr">
        <is>
          <t>ÅNGE</t>
        </is>
      </c>
      <c r="F88" t="inlineStr">
        <is>
          <t>Sveaskog</t>
        </is>
      </c>
      <c r="G88" t="n">
        <v>2</v>
      </c>
      <c r="H88" t="n">
        <v>1</v>
      </c>
      <c r="I88" t="n">
        <v>2</v>
      </c>
      <c r="J88" t="n">
        <v>0</v>
      </c>
      <c r="K88" t="n">
        <v>2</v>
      </c>
      <c r="L88" t="n">
        <v>0</v>
      </c>
      <c r="M88" t="n">
        <v>0</v>
      </c>
      <c r="N88" t="n">
        <v>0</v>
      </c>
      <c r="O88" t="n">
        <v>2</v>
      </c>
      <c r="P88" t="n">
        <v>2</v>
      </c>
      <c r="Q88" t="n">
        <v>5</v>
      </c>
      <c r="R88" s="2" t="inlineStr">
        <is>
          <t>Bitter taggsvamp
Rynkskinn
Kransrams
Svart trolldruva
Blåsippa</t>
        </is>
      </c>
      <c r="S88">
        <f>HYPERLINK("https://klasma.github.io/Logging_2260/artfynd/A 62640-2020 artfynd.xlsx", "A 62640-2020")</f>
        <v/>
      </c>
      <c r="T88">
        <f>HYPERLINK("https://klasma.github.io/Logging_2260/kartor/A 62640-2020 karta.png", "A 62640-2020")</f>
        <v/>
      </c>
      <c r="V88">
        <f>HYPERLINK("https://klasma.github.io/Logging_2260/klagomål/A 62640-2020 FSC-klagomål.docx", "A 62640-2020")</f>
        <v/>
      </c>
      <c r="W88">
        <f>HYPERLINK("https://klasma.github.io/Logging_2260/klagomålsmail/A 62640-2020 FSC-klagomål mail.docx", "A 62640-2020")</f>
        <v/>
      </c>
      <c r="X88">
        <f>HYPERLINK("https://klasma.github.io/Logging_2260/tillsyn/A 62640-2020 tillsynsbegäran.docx", "A 62640-2020")</f>
        <v/>
      </c>
      <c r="Y88">
        <f>HYPERLINK("https://klasma.github.io/Logging_2260/tillsynsmail/A 62640-2020 tillsynsbegäran mail.docx", "A 62640-2020")</f>
        <v/>
      </c>
    </row>
    <row r="89" ht="15" customHeight="1">
      <c r="A89" t="inlineStr">
        <is>
          <t>A 29880-2025</t>
        </is>
      </c>
      <c r="B89" s="1" t="n">
        <v>45826.36510416667</v>
      </c>
      <c r="C89" s="1" t="n">
        <v>45984</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43520-2025</t>
        </is>
      </c>
      <c r="B90" s="1" t="n">
        <v>45911.57364583333</v>
      </c>
      <c r="C90" s="1" t="n">
        <v>45984</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45984</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46375-2025</t>
        </is>
      </c>
      <c r="B92" s="1" t="n">
        <v>45925.51097222222</v>
      </c>
      <c r="C92" s="1" t="n">
        <v>45984</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47102-2025</t>
        </is>
      </c>
      <c r="B93" s="1" t="n">
        <v>45929</v>
      </c>
      <c r="C93" s="1" t="n">
        <v>45984</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52601-2025</t>
        </is>
      </c>
      <c r="B94" s="1" t="n">
        <v>45954</v>
      </c>
      <c r="C94" s="1" t="n">
        <v>45984</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13696-2023</t>
        </is>
      </c>
      <c r="B95" s="1" t="n">
        <v>45006</v>
      </c>
      <c r="C95" s="1" t="n">
        <v>45984</v>
      </c>
      <c r="D95" t="inlineStr">
        <is>
          <t>VÄSTERNORRLANDS LÄN</t>
        </is>
      </c>
      <c r="E95" t="inlineStr">
        <is>
          <t>ÅNGE</t>
        </is>
      </c>
      <c r="F95" t="inlineStr">
        <is>
          <t>SCA</t>
        </is>
      </c>
      <c r="G95" t="n">
        <v>47.6</v>
      </c>
      <c r="H95" t="n">
        <v>1</v>
      </c>
      <c r="I95" t="n">
        <v>0</v>
      </c>
      <c r="J95" t="n">
        <v>4</v>
      </c>
      <c r="K95" t="n">
        <v>1</v>
      </c>
      <c r="L95" t="n">
        <v>0</v>
      </c>
      <c r="M95" t="n">
        <v>0</v>
      </c>
      <c r="N95" t="n">
        <v>0</v>
      </c>
      <c r="O95" t="n">
        <v>5</v>
      </c>
      <c r="P95" t="n">
        <v>1</v>
      </c>
      <c r="Q95" t="n">
        <v>5</v>
      </c>
      <c r="R95" s="2" t="inlineStr">
        <is>
          <t>Knärot
Dvärgbägarlav
Knottrig blåslav
Mörk kolflarnlav
Nordtagging</t>
        </is>
      </c>
      <c r="S95">
        <f>HYPERLINK("https://klasma.github.io/Logging_2260/artfynd/A 13696-2023 artfynd.xlsx", "A 13696-2023")</f>
        <v/>
      </c>
      <c r="T95">
        <f>HYPERLINK("https://klasma.github.io/Logging_2260/kartor/A 13696-2023 karta.png", "A 13696-2023")</f>
        <v/>
      </c>
      <c r="U95">
        <f>HYPERLINK("https://klasma.github.io/Logging_2260/knärot/A 13696-2023 karta knärot.png", "A 13696-2023")</f>
        <v/>
      </c>
      <c r="V95">
        <f>HYPERLINK("https://klasma.github.io/Logging_2260/klagomål/A 13696-2023 FSC-klagomål.docx", "A 13696-2023")</f>
        <v/>
      </c>
      <c r="W95">
        <f>HYPERLINK("https://klasma.github.io/Logging_2260/klagomålsmail/A 13696-2023 FSC-klagomål mail.docx", "A 13696-2023")</f>
        <v/>
      </c>
      <c r="X95">
        <f>HYPERLINK("https://klasma.github.io/Logging_2260/tillsyn/A 13696-2023 tillsynsbegäran.docx", "A 13696-2023")</f>
        <v/>
      </c>
      <c r="Y95">
        <f>HYPERLINK("https://klasma.github.io/Logging_2260/tillsynsmail/A 13696-2023 tillsynsbegäran mail.docx", "A 13696-2023")</f>
        <v/>
      </c>
    </row>
    <row r="96" ht="15" customHeight="1">
      <c r="A96" t="inlineStr">
        <is>
          <t>A 52269-2024</t>
        </is>
      </c>
      <c r="B96" s="1" t="n">
        <v>45608.65660879629</v>
      </c>
      <c r="C96" s="1" t="n">
        <v>45984</v>
      </c>
      <c r="D96" t="inlineStr">
        <is>
          <t>VÄSTERNORRLANDS LÄN</t>
        </is>
      </c>
      <c r="E96" t="inlineStr">
        <is>
          <t>ÅNGE</t>
        </is>
      </c>
      <c r="F96" t="inlineStr">
        <is>
          <t>SCA</t>
        </is>
      </c>
      <c r="G96" t="n">
        <v>5.1</v>
      </c>
      <c r="H96" t="n">
        <v>0</v>
      </c>
      <c r="I96" t="n">
        <v>2</v>
      </c>
      <c r="J96" t="n">
        <v>3</v>
      </c>
      <c r="K96" t="n">
        <v>0</v>
      </c>
      <c r="L96" t="n">
        <v>0</v>
      </c>
      <c r="M96" t="n">
        <v>0</v>
      </c>
      <c r="N96" t="n">
        <v>0</v>
      </c>
      <c r="O96" t="n">
        <v>3</v>
      </c>
      <c r="P96" t="n">
        <v>0</v>
      </c>
      <c r="Q96" t="n">
        <v>5</v>
      </c>
      <c r="R96" s="2" t="inlineStr">
        <is>
          <t>Lunglav
Rosenticka
Ullticka
Bårdlav
Stor aspticka</t>
        </is>
      </c>
      <c r="S96">
        <f>HYPERLINK("https://klasma.github.io/Logging_2260/artfynd/A 52269-2024 artfynd.xlsx", "A 52269-2024")</f>
        <v/>
      </c>
      <c r="T96">
        <f>HYPERLINK("https://klasma.github.io/Logging_2260/kartor/A 52269-2024 karta.png", "A 52269-2024")</f>
        <v/>
      </c>
      <c r="V96">
        <f>HYPERLINK("https://klasma.github.io/Logging_2260/klagomål/A 52269-2024 FSC-klagomål.docx", "A 52269-2024")</f>
        <v/>
      </c>
      <c r="W96">
        <f>HYPERLINK("https://klasma.github.io/Logging_2260/klagomålsmail/A 52269-2024 FSC-klagomål mail.docx", "A 52269-2024")</f>
        <v/>
      </c>
      <c r="X96">
        <f>HYPERLINK("https://klasma.github.io/Logging_2260/tillsyn/A 52269-2024 tillsynsbegäran.docx", "A 52269-2024")</f>
        <v/>
      </c>
      <c r="Y96">
        <f>HYPERLINK("https://klasma.github.io/Logging_2260/tillsynsmail/A 52269-2024 tillsynsbegäran mail.docx", "A 52269-2024")</f>
        <v/>
      </c>
    </row>
    <row r="97" ht="15" customHeight="1">
      <c r="A97" t="inlineStr">
        <is>
          <t>A 55004-2023</t>
        </is>
      </c>
      <c r="B97" s="1" t="n">
        <v>45236</v>
      </c>
      <c r="C97" s="1" t="n">
        <v>45984</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46548-2023</t>
        </is>
      </c>
      <c r="B98" s="1" t="n">
        <v>45197</v>
      </c>
      <c r="C98" s="1" t="n">
        <v>45984</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45984</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38713-2025</t>
        </is>
      </c>
      <c r="B100" s="1" t="n">
        <v>45886.34479166667</v>
      </c>
      <c r="C100" s="1" t="n">
        <v>45984</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39176-2024</t>
        </is>
      </c>
      <c r="B101" s="1" t="n">
        <v>45548</v>
      </c>
      <c r="C101" s="1" t="n">
        <v>45984</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11029-2025</t>
        </is>
      </c>
      <c r="B102" s="1" t="n">
        <v>45723</v>
      </c>
      <c r="C102" s="1" t="n">
        <v>45984</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54095-2025</t>
        </is>
      </c>
      <c r="B103" s="1" t="n">
        <v>45964.40685185185</v>
      </c>
      <c r="C103" s="1" t="n">
        <v>45984</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26953-2024</t>
        </is>
      </c>
      <c r="B104" s="1" t="n">
        <v>45470</v>
      </c>
      <c r="C104" s="1" t="n">
        <v>45984</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44558-2024</t>
        </is>
      </c>
      <c r="B105" s="1" t="n">
        <v>45574.47001157407</v>
      </c>
      <c r="C105" s="1" t="n">
        <v>45984</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24796-2024</t>
        </is>
      </c>
      <c r="B106" s="1" t="n">
        <v>45460</v>
      </c>
      <c r="C106" s="1" t="n">
        <v>45984</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55179-2024</t>
        </is>
      </c>
      <c r="B107" s="1" t="n">
        <v>45621.53204861111</v>
      </c>
      <c r="C107" s="1" t="n">
        <v>45984</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45984</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45984</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45984</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45984</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39029-2025</t>
        </is>
      </c>
      <c r="B112" s="1" t="n">
        <v>45888.40684027778</v>
      </c>
      <c r="C112" s="1" t="n">
        <v>45984</v>
      </c>
      <c r="D112" t="inlineStr">
        <is>
          <t>VÄSTERNORRLANDS LÄN</t>
        </is>
      </c>
      <c r="E112" t="inlineStr">
        <is>
          <t>ÅNGE</t>
        </is>
      </c>
      <c r="F112" t="inlineStr">
        <is>
          <t>SCA</t>
        </is>
      </c>
      <c r="G112" t="n">
        <v>2.4</v>
      </c>
      <c r="H112" t="n">
        <v>2</v>
      </c>
      <c r="I112" t="n">
        <v>0</v>
      </c>
      <c r="J112" t="n">
        <v>1</v>
      </c>
      <c r="K112" t="n">
        <v>0</v>
      </c>
      <c r="L112" t="n">
        <v>0</v>
      </c>
      <c r="M112" t="n">
        <v>0</v>
      </c>
      <c r="N112" t="n">
        <v>0</v>
      </c>
      <c r="O112" t="n">
        <v>1</v>
      </c>
      <c r="P112" t="n">
        <v>0</v>
      </c>
      <c r="Q112" t="n">
        <v>3</v>
      </c>
      <c r="R112" s="2" t="inlineStr">
        <is>
          <t>Kolflarnlav
Fläcknycklar
Revlummer</t>
        </is>
      </c>
      <c r="S112">
        <f>HYPERLINK("https://klasma.github.io/Logging_2260/artfynd/A 39029-2025 artfynd.xlsx", "A 39029-2025")</f>
        <v/>
      </c>
      <c r="T112">
        <f>HYPERLINK("https://klasma.github.io/Logging_2260/kartor/A 39029-2025 karta.png", "A 39029-2025")</f>
        <v/>
      </c>
      <c r="V112">
        <f>HYPERLINK("https://klasma.github.io/Logging_2260/klagomål/A 39029-2025 FSC-klagomål.docx", "A 39029-2025")</f>
        <v/>
      </c>
      <c r="W112">
        <f>HYPERLINK("https://klasma.github.io/Logging_2260/klagomålsmail/A 39029-2025 FSC-klagomål mail.docx", "A 39029-2025")</f>
        <v/>
      </c>
      <c r="X112">
        <f>HYPERLINK("https://klasma.github.io/Logging_2260/tillsyn/A 39029-2025 tillsynsbegäran.docx", "A 39029-2025")</f>
        <v/>
      </c>
      <c r="Y112">
        <f>HYPERLINK("https://klasma.github.io/Logging_2260/tillsynsmail/A 39029-2025 tillsynsbegäran mail.docx", "A 39029-2025")</f>
        <v/>
      </c>
    </row>
    <row r="113" ht="15" customHeight="1">
      <c r="A113" t="inlineStr">
        <is>
          <t>A 23754-2025</t>
        </is>
      </c>
      <c r="B113" s="1" t="n">
        <v>45793.45782407407</v>
      </c>
      <c r="C113" s="1" t="n">
        <v>45984</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45984</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22996-2023</t>
        </is>
      </c>
      <c r="B115" s="1" t="n">
        <v>45072</v>
      </c>
      <c r="C115" s="1" t="n">
        <v>45984</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29665-2024</t>
        </is>
      </c>
      <c r="B116" s="1" t="n">
        <v>45484</v>
      </c>
      <c r="C116" s="1" t="n">
        <v>45984</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29691-2024</t>
        </is>
      </c>
      <c r="B117" s="1" t="n">
        <v>45484.9446875</v>
      </c>
      <c r="C117" s="1" t="n">
        <v>45984</v>
      </c>
      <c r="D117" t="inlineStr">
        <is>
          <t>VÄSTERNORRLANDS LÄN</t>
        </is>
      </c>
      <c r="E117" t="inlineStr">
        <is>
          <t>ÅNGE</t>
        </is>
      </c>
      <c r="F117" t="inlineStr">
        <is>
          <t>SCA</t>
        </is>
      </c>
      <c r="G117" t="n">
        <v>6.8</v>
      </c>
      <c r="H117" t="n">
        <v>0</v>
      </c>
      <c r="I117" t="n">
        <v>1</v>
      </c>
      <c r="J117" t="n">
        <v>2</v>
      </c>
      <c r="K117" t="n">
        <v>0</v>
      </c>
      <c r="L117" t="n">
        <v>0</v>
      </c>
      <c r="M117" t="n">
        <v>0</v>
      </c>
      <c r="N117" t="n">
        <v>0</v>
      </c>
      <c r="O117" t="n">
        <v>2</v>
      </c>
      <c r="P117" t="n">
        <v>0</v>
      </c>
      <c r="Q117" t="n">
        <v>3</v>
      </c>
      <c r="R117" s="2" t="inlineStr">
        <is>
          <t>Lunglav
Rosenticka
Vedticka</t>
        </is>
      </c>
      <c r="S117">
        <f>HYPERLINK("https://klasma.github.io/Logging_2260/artfynd/A 29691-2024 artfynd.xlsx", "A 29691-2024")</f>
        <v/>
      </c>
      <c r="T117">
        <f>HYPERLINK("https://klasma.github.io/Logging_2260/kartor/A 29691-2024 karta.png", "A 29691-2024")</f>
        <v/>
      </c>
      <c r="V117">
        <f>HYPERLINK("https://klasma.github.io/Logging_2260/klagomål/A 29691-2024 FSC-klagomål.docx", "A 29691-2024")</f>
        <v/>
      </c>
      <c r="W117">
        <f>HYPERLINK("https://klasma.github.io/Logging_2260/klagomålsmail/A 29691-2024 FSC-klagomål mail.docx", "A 29691-2024")</f>
        <v/>
      </c>
      <c r="X117">
        <f>HYPERLINK("https://klasma.github.io/Logging_2260/tillsyn/A 29691-2024 tillsynsbegäran.docx", "A 29691-2024")</f>
        <v/>
      </c>
      <c r="Y117">
        <f>HYPERLINK("https://klasma.github.io/Logging_2260/tillsynsmail/A 29691-2024 tillsynsbegäran mail.docx", "A 29691-2024")</f>
        <v/>
      </c>
    </row>
    <row r="118" ht="15" customHeight="1">
      <c r="A118" t="inlineStr">
        <is>
          <t>A 50259-2025</t>
        </is>
      </c>
      <c r="B118" s="1" t="n">
        <v>45944.34498842592</v>
      </c>
      <c r="C118" s="1" t="n">
        <v>45984</v>
      </c>
      <c r="D118" t="inlineStr">
        <is>
          <t>VÄSTERNORRLANDS LÄN</t>
        </is>
      </c>
      <c r="E118" t="inlineStr">
        <is>
          <t>ÅNGE</t>
        </is>
      </c>
      <c r="F118" t="inlineStr">
        <is>
          <t>SCA</t>
        </is>
      </c>
      <c r="G118" t="n">
        <v>1.7</v>
      </c>
      <c r="H118" t="n">
        <v>1</v>
      </c>
      <c r="I118" t="n">
        <v>1</v>
      </c>
      <c r="J118" t="n">
        <v>1</v>
      </c>
      <c r="K118" t="n">
        <v>0</v>
      </c>
      <c r="L118" t="n">
        <v>0</v>
      </c>
      <c r="M118" t="n">
        <v>0</v>
      </c>
      <c r="N118" t="n">
        <v>0</v>
      </c>
      <c r="O118" t="n">
        <v>1</v>
      </c>
      <c r="P118" t="n">
        <v>0</v>
      </c>
      <c r="Q118" t="n">
        <v>3</v>
      </c>
      <c r="R118" s="2" t="inlineStr">
        <is>
          <t>Lunglav
Bollvitmossa
Fläcknycklar</t>
        </is>
      </c>
      <c r="S118">
        <f>HYPERLINK("https://klasma.github.io/Logging_2260/artfynd/A 50259-2025 artfynd.xlsx", "A 50259-2025")</f>
        <v/>
      </c>
      <c r="T118">
        <f>HYPERLINK("https://klasma.github.io/Logging_2260/kartor/A 50259-2025 karta.png", "A 50259-2025")</f>
        <v/>
      </c>
      <c r="V118">
        <f>HYPERLINK("https://klasma.github.io/Logging_2260/klagomål/A 50259-2025 FSC-klagomål.docx", "A 50259-2025")</f>
        <v/>
      </c>
      <c r="W118">
        <f>HYPERLINK("https://klasma.github.io/Logging_2260/klagomålsmail/A 50259-2025 FSC-klagomål mail.docx", "A 50259-2025")</f>
        <v/>
      </c>
      <c r="X118">
        <f>HYPERLINK("https://klasma.github.io/Logging_2260/tillsyn/A 50259-2025 tillsynsbegäran.docx", "A 50259-2025")</f>
        <v/>
      </c>
      <c r="Y118">
        <f>HYPERLINK("https://klasma.github.io/Logging_2260/tillsynsmail/A 50259-2025 tillsynsbegäran mail.docx", "A 50259-2025")</f>
        <v/>
      </c>
    </row>
    <row r="119" ht="15" customHeight="1">
      <c r="A119" t="inlineStr">
        <is>
          <t>A 28274-2023</t>
        </is>
      </c>
      <c r="B119" s="1" t="n">
        <v>45099</v>
      </c>
      <c r="C119" s="1" t="n">
        <v>45984</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26679-2025</t>
        </is>
      </c>
      <c r="B120" s="1" t="n">
        <v>45810</v>
      </c>
      <c r="C120" s="1" t="n">
        <v>45984</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41868-2025</t>
        </is>
      </c>
      <c r="B121" s="1" t="n">
        <v>45903.34429398148</v>
      </c>
      <c r="C121" s="1" t="n">
        <v>45984</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16307-2025</t>
        </is>
      </c>
      <c r="B122" s="1" t="n">
        <v>45751.34686342593</v>
      </c>
      <c r="C122" s="1" t="n">
        <v>45984</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43319-2025</t>
        </is>
      </c>
      <c r="B123" s="1" t="n">
        <v>45910.65681712963</v>
      </c>
      <c r="C123" s="1" t="n">
        <v>45984</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39179-2024</t>
        </is>
      </c>
      <c r="B124" s="1" t="n">
        <v>45548.65703703704</v>
      </c>
      <c r="C124" s="1" t="n">
        <v>45984</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45984</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31212-2025</t>
        </is>
      </c>
      <c r="B126" s="1" t="n">
        <v>45832.71978009259</v>
      </c>
      <c r="C126" s="1" t="n">
        <v>45984</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47617-2024</t>
        </is>
      </c>
      <c r="B127" s="1" t="n">
        <v>45588.32125</v>
      </c>
      <c r="C127" s="1" t="n">
        <v>45984</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53710-2025</t>
        </is>
      </c>
      <c r="B128" s="1" t="n">
        <v>45960.6153125</v>
      </c>
      <c r="C128" s="1" t="n">
        <v>45984</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33806-2025</t>
        </is>
      </c>
      <c r="B129" s="1" t="n">
        <v>45842.44865740741</v>
      </c>
      <c r="C129" s="1" t="n">
        <v>45984</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43880-2025</t>
        </is>
      </c>
      <c r="B130" s="1" t="n">
        <v>45912</v>
      </c>
      <c r="C130" s="1" t="n">
        <v>45984</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46417-2025</t>
        </is>
      </c>
      <c r="B131" s="1" t="n">
        <v>45925.59454861111</v>
      </c>
      <c r="C131" s="1" t="n">
        <v>45984</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37184-2025</t>
        </is>
      </c>
      <c r="B132" s="1" t="n">
        <v>45875.63591435185</v>
      </c>
      <c r="C132" s="1" t="n">
        <v>45984</v>
      </c>
      <c r="D132" t="inlineStr">
        <is>
          <t>VÄSTERNORRLANDS LÄN</t>
        </is>
      </c>
      <c r="E132" t="inlineStr">
        <is>
          <t>ÅNGE</t>
        </is>
      </c>
      <c r="F132" t="inlineStr">
        <is>
          <t>SCA</t>
        </is>
      </c>
      <c r="G132" t="n">
        <v>2.5</v>
      </c>
      <c r="H132" t="n">
        <v>0</v>
      </c>
      <c r="I132" t="n">
        <v>0</v>
      </c>
      <c r="J132" t="n">
        <v>3</v>
      </c>
      <c r="K132" t="n">
        <v>0</v>
      </c>
      <c r="L132" t="n">
        <v>0</v>
      </c>
      <c r="M132" t="n">
        <v>0</v>
      </c>
      <c r="N132" t="n">
        <v>0</v>
      </c>
      <c r="O132" t="n">
        <v>3</v>
      </c>
      <c r="P132" t="n">
        <v>0</v>
      </c>
      <c r="Q132" t="n">
        <v>3</v>
      </c>
      <c r="R132" s="2" t="inlineStr">
        <is>
          <t>Granticka
Lunglav
Rosenticka</t>
        </is>
      </c>
      <c r="S132">
        <f>HYPERLINK("https://klasma.github.io/Logging_2260/artfynd/A 37184-2025 artfynd.xlsx", "A 37184-2025")</f>
        <v/>
      </c>
      <c r="T132">
        <f>HYPERLINK("https://klasma.github.io/Logging_2260/kartor/A 37184-2025 karta.png", "A 37184-2025")</f>
        <v/>
      </c>
      <c r="V132">
        <f>HYPERLINK("https://klasma.github.io/Logging_2260/klagomål/A 37184-2025 FSC-klagomål.docx", "A 37184-2025")</f>
        <v/>
      </c>
      <c r="W132">
        <f>HYPERLINK("https://klasma.github.io/Logging_2260/klagomålsmail/A 37184-2025 FSC-klagomål mail.docx", "A 37184-2025")</f>
        <v/>
      </c>
      <c r="X132">
        <f>HYPERLINK("https://klasma.github.io/Logging_2260/tillsyn/A 37184-2025 tillsynsbegäran.docx", "A 37184-2025")</f>
        <v/>
      </c>
      <c r="Y132">
        <f>HYPERLINK("https://klasma.github.io/Logging_2260/tillsynsmail/A 37184-2025 tillsynsbegäran mail.docx", "A 37184-2025")</f>
        <v/>
      </c>
    </row>
    <row r="133" ht="15" customHeight="1">
      <c r="A133" t="inlineStr">
        <is>
          <t>A 38664-2025</t>
        </is>
      </c>
      <c r="B133" s="1" t="n">
        <v>45884.61503472222</v>
      </c>
      <c r="C133" s="1" t="n">
        <v>45984</v>
      </c>
      <c r="D133" t="inlineStr">
        <is>
          <t>VÄSTERNORRLANDS LÄN</t>
        </is>
      </c>
      <c r="E133" t="inlineStr">
        <is>
          <t>ÅNGE</t>
        </is>
      </c>
      <c r="F133" t="inlineStr">
        <is>
          <t>SCA</t>
        </is>
      </c>
      <c r="G133" t="n">
        <v>6.4</v>
      </c>
      <c r="H133" t="n">
        <v>1</v>
      </c>
      <c r="I133" t="n">
        <v>0</v>
      </c>
      <c r="J133" t="n">
        <v>2</v>
      </c>
      <c r="K133" t="n">
        <v>1</v>
      </c>
      <c r="L133" t="n">
        <v>0</v>
      </c>
      <c r="M133" t="n">
        <v>0</v>
      </c>
      <c r="N133" t="n">
        <v>0</v>
      </c>
      <c r="O133" t="n">
        <v>3</v>
      </c>
      <c r="P133" t="n">
        <v>1</v>
      </c>
      <c r="Q133" t="n">
        <v>3</v>
      </c>
      <c r="R133" s="2" t="inlineStr">
        <is>
          <t>Knärot
Kolflarnlav
Mörk kolflarnlav</t>
        </is>
      </c>
      <c r="S133">
        <f>HYPERLINK("https://klasma.github.io/Logging_2260/artfynd/A 38664-2025 artfynd.xlsx", "A 38664-2025")</f>
        <v/>
      </c>
      <c r="T133">
        <f>HYPERLINK("https://klasma.github.io/Logging_2260/kartor/A 38664-2025 karta.png", "A 38664-2025")</f>
        <v/>
      </c>
      <c r="U133">
        <f>HYPERLINK("https://klasma.github.io/Logging_2260/knärot/A 38664-2025 karta knärot.png", "A 38664-2025")</f>
        <v/>
      </c>
      <c r="V133">
        <f>HYPERLINK("https://klasma.github.io/Logging_2260/klagomål/A 38664-2025 FSC-klagomål.docx", "A 38664-2025")</f>
        <v/>
      </c>
      <c r="W133">
        <f>HYPERLINK("https://klasma.github.io/Logging_2260/klagomålsmail/A 38664-2025 FSC-klagomål mail.docx", "A 38664-2025")</f>
        <v/>
      </c>
      <c r="X133">
        <f>HYPERLINK("https://klasma.github.io/Logging_2260/tillsyn/A 38664-2025 tillsynsbegäran.docx", "A 38664-2025")</f>
        <v/>
      </c>
      <c r="Y133">
        <f>HYPERLINK("https://klasma.github.io/Logging_2260/tillsynsmail/A 38664-2025 tillsynsbegäran mail.docx", "A 38664-2025")</f>
        <v/>
      </c>
    </row>
    <row r="134" ht="15" customHeight="1">
      <c r="A134" t="inlineStr">
        <is>
          <t>A 38238-2025</t>
        </is>
      </c>
      <c r="B134" s="1" t="n">
        <v>45883.36497685185</v>
      </c>
      <c r="C134" s="1" t="n">
        <v>45984</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49530-2025</t>
        </is>
      </c>
      <c r="B135" s="1" t="n">
        <v>45939.40700231482</v>
      </c>
      <c r="C135" s="1" t="n">
        <v>45984</v>
      </c>
      <c r="D135" t="inlineStr">
        <is>
          <t>VÄSTERNORRLANDS LÄN</t>
        </is>
      </c>
      <c r="E135" t="inlineStr">
        <is>
          <t>ÅNGE</t>
        </is>
      </c>
      <c r="F135" t="inlineStr">
        <is>
          <t>SCA</t>
        </is>
      </c>
      <c r="G135" t="n">
        <v>5.1</v>
      </c>
      <c r="H135" t="n">
        <v>1</v>
      </c>
      <c r="I135" t="n">
        <v>1</v>
      </c>
      <c r="J135" t="n">
        <v>1</v>
      </c>
      <c r="K135" t="n">
        <v>0</v>
      </c>
      <c r="L135" t="n">
        <v>0</v>
      </c>
      <c r="M135" t="n">
        <v>0</v>
      </c>
      <c r="N135" t="n">
        <v>0</v>
      </c>
      <c r="O135" t="n">
        <v>1</v>
      </c>
      <c r="P135" t="n">
        <v>0</v>
      </c>
      <c r="Q135" t="n">
        <v>3</v>
      </c>
      <c r="R135" s="2" t="inlineStr">
        <is>
          <t>Lunglav
Strutbräken
Revlummer</t>
        </is>
      </c>
      <c r="S135">
        <f>HYPERLINK("https://klasma.github.io/Logging_2260/artfynd/A 49530-2025 artfynd.xlsx", "A 49530-2025")</f>
        <v/>
      </c>
      <c r="T135">
        <f>HYPERLINK("https://klasma.github.io/Logging_2260/kartor/A 49530-2025 karta.png", "A 49530-2025")</f>
        <v/>
      </c>
      <c r="V135">
        <f>HYPERLINK("https://klasma.github.io/Logging_2260/klagomål/A 49530-2025 FSC-klagomål.docx", "A 49530-2025")</f>
        <v/>
      </c>
      <c r="W135">
        <f>HYPERLINK("https://klasma.github.io/Logging_2260/klagomålsmail/A 49530-2025 FSC-klagomål mail.docx", "A 49530-2025")</f>
        <v/>
      </c>
      <c r="X135">
        <f>HYPERLINK("https://klasma.github.io/Logging_2260/tillsyn/A 49530-2025 tillsynsbegäran.docx", "A 49530-2025")</f>
        <v/>
      </c>
      <c r="Y135">
        <f>HYPERLINK("https://klasma.github.io/Logging_2260/tillsynsmail/A 49530-2025 tillsynsbegäran mail.docx", "A 49530-2025")</f>
        <v/>
      </c>
    </row>
    <row r="136" ht="15" customHeight="1">
      <c r="A136" t="inlineStr">
        <is>
          <t>A 24795-2024</t>
        </is>
      </c>
      <c r="B136" s="1" t="n">
        <v>45460.95252314815</v>
      </c>
      <c r="C136" s="1" t="n">
        <v>45984</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7533-2023</t>
        </is>
      </c>
      <c r="B137" s="1" t="n">
        <v>44971</v>
      </c>
      <c r="C137" s="1" t="n">
        <v>45984</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39181-2024</t>
        </is>
      </c>
      <c r="B138" s="1" t="n">
        <v>45548</v>
      </c>
      <c r="C138" s="1" t="n">
        <v>45984</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21267-2025</t>
        </is>
      </c>
      <c r="B139" s="1" t="n">
        <v>45779</v>
      </c>
      <c r="C139" s="1" t="n">
        <v>45984</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36635-2021</t>
        </is>
      </c>
      <c r="B140" s="1" t="n">
        <v>44391</v>
      </c>
      <c r="C140" s="1" t="n">
        <v>45984</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45984</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45984</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45984</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45984</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45984</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45984</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24176-2025</t>
        </is>
      </c>
      <c r="B147" s="1" t="n">
        <v>45796.69832175926</v>
      </c>
      <c r="C147" s="1" t="n">
        <v>45984</v>
      </c>
      <c r="D147" t="inlineStr">
        <is>
          <t>VÄSTERNORRLANDS LÄN</t>
        </is>
      </c>
      <c r="E147" t="inlineStr">
        <is>
          <t>ÅNGE</t>
        </is>
      </c>
      <c r="F147" t="inlineStr">
        <is>
          <t>SCA</t>
        </is>
      </c>
      <c r="G147" t="n">
        <v>3.9</v>
      </c>
      <c r="H147" t="n">
        <v>0</v>
      </c>
      <c r="I147" t="n">
        <v>1</v>
      </c>
      <c r="J147" t="n">
        <v>1</v>
      </c>
      <c r="K147" t="n">
        <v>0</v>
      </c>
      <c r="L147" t="n">
        <v>0</v>
      </c>
      <c r="M147" t="n">
        <v>0</v>
      </c>
      <c r="N147" t="n">
        <v>0</v>
      </c>
      <c r="O147" t="n">
        <v>1</v>
      </c>
      <c r="P147" t="n">
        <v>0</v>
      </c>
      <c r="Q147" t="n">
        <v>2</v>
      </c>
      <c r="R147" s="2" t="inlineStr">
        <is>
          <t>Vitgrynig nållav
Vedticka</t>
        </is>
      </c>
      <c r="S147">
        <f>HYPERLINK("https://klasma.github.io/Logging_2260/artfynd/A 24176-2025 artfynd.xlsx", "A 24176-2025")</f>
        <v/>
      </c>
      <c r="T147">
        <f>HYPERLINK("https://klasma.github.io/Logging_2260/kartor/A 24176-2025 karta.png", "A 24176-2025")</f>
        <v/>
      </c>
      <c r="V147">
        <f>HYPERLINK("https://klasma.github.io/Logging_2260/klagomål/A 24176-2025 FSC-klagomål.docx", "A 24176-2025")</f>
        <v/>
      </c>
      <c r="W147">
        <f>HYPERLINK("https://klasma.github.io/Logging_2260/klagomålsmail/A 24176-2025 FSC-klagomål mail.docx", "A 24176-2025")</f>
        <v/>
      </c>
      <c r="X147">
        <f>HYPERLINK("https://klasma.github.io/Logging_2260/tillsyn/A 24176-2025 tillsynsbegäran.docx", "A 24176-2025")</f>
        <v/>
      </c>
      <c r="Y147">
        <f>HYPERLINK("https://klasma.github.io/Logging_2260/tillsynsmail/A 24176-2025 tillsynsbegäran mail.docx", "A 24176-2025")</f>
        <v/>
      </c>
    </row>
    <row r="148" ht="15" customHeight="1">
      <c r="A148" t="inlineStr">
        <is>
          <t>A 26906-2025</t>
        </is>
      </c>
      <c r="B148" s="1" t="n">
        <v>45811.34552083333</v>
      </c>
      <c r="C148" s="1" t="n">
        <v>45984</v>
      </c>
      <c r="D148" t="inlineStr">
        <is>
          <t>VÄSTERNORRLANDS LÄN</t>
        </is>
      </c>
      <c r="E148" t="inlineStr">
        <is>
          <t>ÅNGE</t>
        </is>
      </c>
      <c r="F148" t="inlineStr">
        <is>
          <t>SCA</t>
        </is>
      </c>
      <c r="G148" t="n">
        <v>7</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26906-2025 artfynd.xlsx", "A 26906-2025")</f>
        <v/>
      </c>
      <c r="T148">
        <f>HYPERLINK("https://klasma.github.io/Logging_2260/kartor/A 26906-2025 karta.png", "A 26906-2025")</f>
        <v/>
      </c>
      <c r="V148">
        <f>HYPERLINK("https://klasma.github.io/Logging_2260/klagomål/A 26906-2025 FSC-klagomål.docx", "A 26906-2025")</f>
        <v/>
      </c>
      <c r="W148">
        <f>HYPERLINK("https://klasma.github.io/Logging_2260/klagomålsmail/A 26906-2025 FSC-klagomål mail.docx", "A 26906-2025")</f>
        <v/>
      </c>
      <c r="X148">
        <f>HYPERLINK("https://klasma.github.io/Logging_2260/tillsyn/A 26906-2025 tillsynsbegäran.docx", "A 26906-2025")</f>
        <v/>
      </c>
      <c r="Y148">
        <f>HYPERLINK("https://klasma.github.io/Logging_2260/tillsynsmail/A 26906-2025 tillsynsbegäran mail.docx", "A 26906-2025")</f>
        <v/>
      </c>
    </row>
    <row r="149" ht="15" customHeight="1">
      <c r="A149" t="inlineStr">
        <is>
          <t>A 42864-2025</t>
        </is>
      </c>
      <c r="B149" s="1" t="n">
        <v>45908</v>
      </c>
      <c r="C149" s="1" t="n">
        <v>45984</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43721-2025</t>
        </is>
      </c>
      <c r="B150" s="1" t="n">
        <v>45912.42800925926</v>
      </c>
      <c r="C150" s="1" t="n">
        <v>45984</v>
      </c>
      <c r="D150" t="inlineStr">
        <is>
          <t>VÄSTERNORRLANDS LÄN</t>
        </is>
      </c>
      <c r="E150" t="inlineStr">
        <is>
          <t>ÅNGE</t>
        </is>
      </c>
      <c r="F150" t="inlineStr">
        <is>
          <t>SCA</t>
        </is>
      </c>
      <c r="G150" t="n">
        <v>9.9</v>
      </c>
      <c r="H150" t="n">
        <v>1</v>
      </c>
      <c r="I150" t="n">
        <v>1</v>
      </c>
      <c r="J150" t="n">
        <v>0</v>
      </c>
      <c r="K150" t="n">
        <v>1</v>
      </c>
      <c r="L150" t="n">
        <v>0</v>
      </c>
      <c r="M150" t="n">
        <v>0</v>
      </c>
      <c r="N150" t="n">
        <v>0</v>
      </c>
      <c r="O150" t="n">
        <v>1</v>
      </c>
      <c r="P150" t="n">
        <v>1</v>
      </c>
      <c r="Q150" t="n">
        <v>2</v>
      </c>
      <c r="R150" s="2" t="inlineStr">
        <is>
          <t>Knärot
Svavelriska</t>
        </is>
      </c>
      <c r="S150">
        <f>HYPERLINK("https://klasma.github.io/Logging_2260/artfynd/A 43721-2025 artfynd.xlsx", "A 43721-2025")</f>
        <v/>
      </c>
      <c r="T150">
        <f>HYPERLINK("https://klasma.github.io/Logging_2260/kartor/A 43721-2025 karta.png", "A 43721-2025")</f>
        <v/>
      </c>
      <c r="U150">
        <f>HYPERLINK("https://klasma.github.io/Logging_2260/knärot/A 43721-2025 karta knärot.png", "A 43721-2025")</f>
        <v/>
      </c>
      <c r="V150">
        <f>HYPERLINK("https://klasma.github.io/Logging_2260/klagomål/A 43721-2025 FSC-klagomål.docx", "A 43721-2025")</f>
        <v/>
      </c>
      <c r="W150">
        <f>HYPERLINK("https://klasma.github.io/Logging_2260/klagomålsmail/A 43721-2025 FSC-klagomål mail.docx", "A 43721-2025")</f>
        <v/>
      </c>
      <c r="X150">
        <f>HYPERLINK("https://klasma.github.io/Logging_2260/tillsyn/A 43721-2025 tillsynsbegäran.docx", "A 43721-2025")</f>
        <v/>
      </c>
      <c r="Y150">
        <f>HYPERLINK("https://klasma.github.io/Logging_2260/tillsynsmail/A 43721-2025 tillsynsbegäran mail.docx", "A 43721-2025")</f>
        <v/>
      </c>
    </row>
    <row r="151" ht="15" customHeight="1">
      <c r="A151" t="inlineStr">
        <is>
          <t>A 47719-2024</t>
        </is>
      </c>
      <c r="B151" s="1" t="n">
        <v>45588.48996527777</v>
      </c>
      <c r="C151" s="1" t="n">
        <v>45984</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57594-2022</t>
        </is>
      </c>
      <c r="B152" s="1" t="n">
        <v>44896.97854166666</v>
      </c>
      <c r="C152" s="1" t="n">
        <v>45984</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54625-2025</t>
        </is>
      </c>
      <c r="B153" s="1" t="n">
        <v>45966.34552083333</v>
      </c>
      <c r="C153" s="1" t="n">
        <v>45984</v>
      </c>
      <c r="D153" t="inlineStr">
        <is>
          <t>VÄSTERNORRLANDS LÄN</t>
        </is>
      </c>
      <c r="E153" t="inlineStr">
        <is>
          <t>ÅNGE</t>
        </is>
      </c>
      <c r="F153" t="inlineStr">
        <is>
          <t>SCA</t>
        </is>
      </c>
      <c r="G153" t="n">
        <v>2.5</v>
      </c>
      <c r="H153" t="n">
        <v>1</v>
      </c>
      <c r="I153" t="n">
        <v>1</v>
      </c>
      <c r="J153" t="n">
        <v>1</v>
      </c>
      <c r="K153" t="n">
        <v>0</v>
      </c>
      <c r="L153" t="n">
        <v>0</v>
      </c>
      <c r="M153" t="n">
        <v>0</v>
      </c>
      <c r="N153" t="n">
        <v>0</v>
      </c>
      <c r="O153" t="n">
        <v>1</v>
      </c>
      <c r="P153" t="n">
        <v>0</v>
      </c>
      <c r="Q153" t="n">
        <v>2</v>
      </c>
      <c r="R153" s="2" t="inlineStr">
        <is>
          <t>Talltita
Dropptaggsvamp</t>
        </is>
      </c>
      <c r="S153">
        <f>HYPERLINK("https://klasma.github.io/Logging_2260/artfynd/A 54625-2025 artfynd.xlsx", "A 54625-2025")</f>
        <v/>
      </c>
      <c r="T153">
        <f>HYPERLINK("https://klasma.github.io/Logging_2260/kartor/A 54625-2025 karta.png", "A 54625-2025")</f>
        <v/>
      </c>
      <c r="V153">
        <f>HYPERLINK("https://klasma.github.io/Logging_2260/klagomål/A 54625-2025 FSC-klagomål.docx", "A 54625-2025")</f>
        <v/>
      </c>
      <c r="W153">
        <f>HYPERLINK("https://klasma.github.io/Logging_2260/klagomålsmail/A 54625-2025 FSC-klagomål mail.docx", "A 54625-2025")</f>
        <v/>
      </c>
      <c r="X153">
        <f>HYPERLINK("https://klasma.github.io/Logging_2260/tillsyn/A 54625-2025 tillsynsbegäran.docx", "A 54625-2025")</f>
        <v/>
      </c>
      <c r="Y153">
        <f>HYPERLINK("https://klasma.github.io/Logging_2260/tillsynsmail/A 54625-2025 tillsynsbegäran mail.docx", "A 54625-2025")</f>
        <v/>
      </c>
      <c r="Z153">
        <f>HYPERLINK("https://klasma.github.io/Logging_2260/fåglar/A 54625-2025 prioriterade fågelarter.docx", "A 54625-2025")</f>
        <v/>
      </c>
    </row>
    <row r="154" ht="15" customHeight="1">
      <c r="A154" t="inlineStr">
        <is>
          <t>A 57597-2022</t>
        </is>
      </c>
      <c r="B154" s="1" t="n">
        <v>44896.97878472223</v>
      </c>
      <c r="C154" s="1" t="n">
        <v>45984</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36414-2025</t>
        </is>
      </c>
      <c r="B155" s="1" t="n">
        <v>45868.69246527777</v>
      </c>
      <c r="C155" s="1" t="n">
        <v>45984</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32659-2024</t>
        </is>
      </c>
      <c r="B156" s="1" t="n">
        <v>45513</v>
      </c>
      <c r="C156" s="1" t="n">
        <v>45984</v>
      </c>
      <c r="D156" t="inlineStr">
        <is>
          <t>VÄSTERNORRLANDS LÄN</t>
        </is>
      </c>
      <c r="E156" t="inlineStr">
        <is>
          <t>ÅNGE</t>
        </is>
      </c>
      <c r="F156" t="inlineStr">
        <is>
          <t>SCA</t>
        </is>
      </c>
      <c r="G156" t="n">
        <v>6.9</v>
      </c>
      <c r="H156" t="n">
        <v>0</v>
      </c>
      <c r="I156" t="n">
        <v>0</v>
      </c>
      <c r="J156" t="n">
        <v>2</v>
      </c>
      <c r="K156" t="n">
        <v>0</v>
      </c>
      <c r="L156" t="n">
        <v>0</v>
      </c>
      <c r="M156" t="n">
        <v>0</v>
      </c>
      <c r="N156" t="n">
        <v>0</v>
      </c>
      <c r="O156" t="n">
        <v>2</v>
      </c>
      <c r="P156" t="n">
        <v>0</v>
      </c>
      <c r="Q156" t="n">
        <v>2</v>
      </c>
      <c r="R156" s="2" t="inlineStr">
        <is>
          <t>Lunglav
Stjärntagging</t>
        </is>
      </c>
      <c r="S156">
        <f>HYPERLINK("https://klasma.github.io/Logging_2260/artfynd/A 32659-2024 artfynd.xlsx", "A 32659-2024")</f>
        <v/>
      </c>
      <c r="T156">
        <f>HYPERLINK("https://klasma.github.io/Logging_2260/kartor/A 32659-2024 karta.png", "A 32659-2024")</f>
        <v/>
      </c>
      <c r="V156">
        <f>HYPERLINK("https://klasma.github.io/Logging_2260/klagomål/A 32659-2024 FSC-klagomål.docx", "A 32659-2024")</f>
        <v/>
      </c>
      <c r="W156">
        <f>HYPERLINK("https://klasma.github.io/Logging_2260/klagomålsmail/A 32659-2024 FSC-klagomål mail.docx", "A 32659-2024")</f>
        <v/>
      </c>
      <c r="X156">
        <f>HYPERLINK("https://klasma.github.io/Logging_2260/tillsyn/A 32659-2024 tillsynsbegäran.docx", "A 32659-2024")</f>
        <v/>
      </c>
      <c r="Y156">
        <f>HYPERLINK("https://klasma.github.io/Logging_2260/tillsynsmail/A 32659-2024 tillsynsbegäran mail.docx", "A 32659-2024")</f>
        <v/>
      </c>
    </row>
    <row r="157" ht="15" customHeight="1">
      <c r="A157" t="inlineStr">
        <is>
          <t>A 37800-2025</t>
        </is>
      </c>
      <c r="B157" s="1" t="n">
        <v>45881.34420138889</v>
      </c>
      <c r="C157" s="1" t="n">
        <v>45984</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38298-2025</t>
        </is>
      </c>
      <c r="B158" s="1" t="n">
        <v>45883.4568287037</v>
      </c>
      <c r="C158" s="1" t="n">
        <v>45984</v>
      </c>
      <c r="D158" t="inlineStr">
        <is>
          <t>VÄSTERNORRLANDS LÄN</t>
        </is>
      </c>
      <c r="E158" t="inlineStr">
        <is>
          <t>ÅNGE</t>
        </is>
      </c>
      <c r="G158" t="n">
        <v>4.5</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38298-2025 artfynd.xlsx", "A 38298-2025")</f>
        <v/>
      </c>
      <c r="T158">
        <f>HYPERLINK("https://klasma.github.io/Logging_2260/kartor/A 38298-2025 karta.png", "A 38298-2025")</f>
        <v/>
      </c>
      <c r="V158">
        <f>HYPERLINK("https://klasma.github.io/Logging_2260/klagomål/A 38298-2025 FSC-klagomål.docx", "A 38298-2025")</f>
        <v/>
      </c>
      <c r="W158">
        <f>HYPERLINK("https://klasma.github.io/Logging_2260/klagomålsmail/A 38298-2025 FSC-klagomål mail.docx", "A 38298-2025")</f>
        <v/>
      </c>
      <c r="X158">
        <f>HYPERLINK("https://klasma.github.io/Logging_2260/tillsyn/A 38298-2025 tillsynsbegäran.docx", "A 38298-2025")</f>
        <v/>
      </c>
      <c r="Y158">
        <f>HYPERLINK("https://klasma.github.io/Logging_2260/tillsynsmail/A 38298-2025 tillsynsbegäran mail.docx", "A 38298-2025")</f>
        <v/>
      </c>
    </row>
    <row r="159" ht="15" customHeight="1">
      <c r="A159" t="inlineStr">
        <is>
          <t>A 4873-2025</t>
        </is>
      </c>
      <c r="B159" s="1" t="n">
        <v>45688.67633101852</v>
      </c>
      <c r="C159" s="1" t="n">
        <v>45984</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4873-2025 artfynd.xlsx", "A 4873-2025")</f>
        <v/>
      </c>
      <c r="T159">
        <f>HYPERLINK("https://klasma.github.io/Logging_2260/kartor/A 4873-2025 karta.png", "A 4873-2025")</f>
        <v/>
      </c>
      <c r="V159">
        <f>HYPERLINK("https://klasma.github.io/Logging_2260/klagomål/A 4873-2025 FSC-klagomål.docx", "A 4873-2025")</f>
        <v/>
      </c>
      <c r="W159">
        <f>HYPERLINK("https://klasma.github.io/Logging_2260/klagomålsmail/A 4873-2025 FSC-klagomål mail.docx", "A 4873-2025")</f>
        <v/>
      </c>
      <c r="X159">
        <f>HYPERLINK("https://klasma.github.io/Logging_2260/tillsyn/A 4873-2025 tillsynsbegäran.docx", "A 4873-2025")</f>
        <v/>
      </c>
      <c r="Y159">
        <f>HYPERLINK("https://klasma.github.io/Logging_2260/tillsynsmail/A 4873-2025 tillsynsbegäran mail.docx", "A 4873-2025")</f>
        <v/>
      </c>
    </row>
    <row r="160" ht="15" customHeight="1">
      <c r="A160" t="inlineStr">
        <is>
          <t>A 29325-2023</t>
        </is>
      </c>
      <c r="B160" s="1" t="n">
        <v>45105</v>
      </c>
      <c r="C160" s="1" t="n">
        <v>45984</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4093-2025</t>
        </is>
      </c>
      <c r="B161" s="1" t="n">
        <v>45684.67762731481</v>
      </c>
      <c r="C161" s="1" t="n">
        <v>45984</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25034-2024</t>
        </is>
      </c>
      <c r="B162" s="1" t="n">
        <v>45461.96458333333</v>
      </c>
      <c r="C162" s="1" t="n">
        <v>45984</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45984</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45984</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31493-2024</t>
        </is>
      </c>
      <c r="B165" s="1" t="n">
        <v>45505</v>
      </c>
      <c r="C165" s="1" t="n">
        <v>45984</v>
      </c>
      <c r="D165" t="inlineStr">
        <is>
          <t>VÄSTERNORRLANDS LÄN</t>
        </is>
      </c>
      <c r="E165" t="inlineStr">
        <is>
          <t>ÅNGE</t>
        </is>
      </c>
      <c r="F165" t="inlineStr">
        <is>
          <t>SCA</t>
        </is>
      </c>
      <c r="G165" t="n">
        <v>4.4</v>
      </c>
      <c r="H165" t="n">
        <v>1</v>
      </c>
      <c r="I165" t="n">
        <v>1</v>
      </c>
      <c r="J165" t="n">
        <v>0</v>
      </c>
      <c r="K165" t="n">
        <v>1</v>
      </c>
      <c r="L165" t="n">
        <v>0</v>
      </c>
      <c r="M165" t="n">
        <v>0</v>
      </c>
      <c r="N165" t="n">
        <v>0</v>
      </c>
      <c r="O165" t="n">
        <v>1</v>
      </c>
      <c r="P165" t="n">
        <v>1</v>
      </c>
      <c r="Q165" t="n">
        <v>2</v>
      </c>
      <c r="R165" s="2" t="inlineStr">
        <is>
          <t>Knärot
Korallblylav</t>
        </is>
      </c>
      <c r="S165">
        <f>HYPERLINK("https://klasma.github.io/Logging_2260/artfynd/A 31493-2024 artfynd.xlsx", "A 31493-2024")</f>
        <v/>
      </c>
      <c r="T165">
        <f>HYPERLINK("https://klasma.github.io/Logging_2260/kartor/A 31493-2024 karta.png", "A 31493-2024")</f>
        <v/>
      </c>
      <c r="U165">
        <f>HYPERLINK("https://klasma.github.io/Logging_2260/knärot/A 31493-2024 karta knärot.png", "A 31493-2024")</f>
        <v/>
      </c>
      <c r="V165">
        <f>HYPERLINK("https://klasma.github.io/Logging_2260/klagomål/A 31493-2024 FSC-klagomål.docx", "A 31493-2024")</f>
        <v/>
      </c>
      <c r="W165">
        <f>HYPERLINK("https://klasma.github.io/Logging_2260/klagomålsmail/A 31493-2024 FSC-klagomål mail.docx", "A 31493-2024")</f>
        <v/>
      </c>
      <c r="X165">
        <f>HYPERLINK("https://klasma.github.io/Logging_2260/tillsyn/A 31493-2024 tillsynsbegäran.docx", "A 31493-2024")</f>
        <v/>
      </c>
      <c r="Y165">
        <f>HYPERLINK("https://klasma.github.io/Logging_2260/tillsynsmail/A 31493-2024 tillsynsbegäran mail.docx", "A 31493-2024")</f>
        <v/>
      </c>
    </row>
    <row r="166" ht="15" customHeight="1">
      <c r="A166" t="inlineStr">
        <is>
          <t>A 17861-2023</t>
        </is>
      </c>
      <c r="B166" s="1" t="n">
        <v>45037.94171296297</v>
      </c>
      <c r="C166" s="1" t="n">
        <v>45984</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62861-2021</t>
        </is>
      </c>
      <c r="B167" s="1" t="n">
        <v>44503</v>
      </c>
      <c r="C167" s="1" t="n">
        <v>45984</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55178-2024</t>
        </is>
      </c>
      <c r="B168" s="1" t="n">
        <v>45621</v>
      </c>
      <c r="C168" s="1" t="n">
        <v>45984</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45984</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26020-2024</t>
        </is>
      </c>
      <c r="B170" s="1" t="n">
        <v>45467.9603125</v>
      </c>
      <c r="C170" s="1" t="n">
        <v>45984</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18081-2025</t>
        </is>
      </c>
      <c r="B171" s="1" t="n">
        <v>45761.51086805556</v>
      </c>
      <c r="C171" s="1" t="n">
        <v>45984</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45984</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45984</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45984</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45984</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45984</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45984</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45984</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45984</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45984</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45984</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45984</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45984</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43171-2024</t>
        </is>
      </c>
      <c r="B184" s="1" t="n">
        <v>45567</v>
      </c>
      <c r="C184" s="1" t="n">
        <v>45984</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24798-2024</t>
        </is>
      </c>
      <c r="B185" s="1" t="n">
        <v>45460.95277777778</v>
      </c>
      <c r="C185" s="1" t="n">
        <v>45984</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Lunglav</t>
        </is>
      </c>
      <c r="S185">
        <f>HYPERLINK("https://klasma.github.io/Logging_2260/artfynd/A 24798-2024 artfynd.xlsx", "A 24798-2024")</f>
        <v/>
      </c>
      <c r="T185">
        <f>HYPERLINK("https://klasma.github.io/Logging_2260/kartor/A 24798-2024 karta.png", "A 24798-2024")</f>
        <v/>
      </c>
      <c r="V185">
        <f>HYPERLINK("https://klasma.github.io/Logging_2260/klagomål/A 24798-2024 FSC-klagomål.docx", "A 24798-2024")</f>
        <v/>
      </c>
      <c r="W185">
        <f>HYPERLINK("https://klasma.github.io/Logging_2260/klagomålsmail/A 24798-2024 FSC-klagomål mail.docx", "A 24798-2024")</f>
        <v/>
      </c>
      <c r="X185">
        <f>HYPERLINK("https://klasma.github.io/Logging_2260/tillsyn/A 24798-2024 tillsynsbegäran.docx", "A 24798-2024")</f>
        <v/>
      </c>
      <c r="Y185">
        <f>HYPERLINK("https://klasma.github.io/Logging_2260/tillsynsmail/A 24798-2024 tillsynsbegäran mail.docx", "A 24798-2024")</f>
        <v/>
      </c>
    </row>
    <row r="186" ht="15" customHeight="1">
      <c r="A186" t="inlineStr">
        <is>
          <t>A 24799-2024</t>
        </is>
      </c>
      <c r="B186" s="1" t="n">
        <v>45460</v>
      </c>
      <c r="C186" s="1" t="n">
        <v>45984</v>
      </c>
      <c r="D186" t="inlineStr">
        <is>
          <t>VÄSTERNORRLANDS LÄN</t>
        </is>
      </c>
      <c r="E186" t="inlineStr">
        <is>
          <t>ÅNGE</t>
        </is>
      </c>
      <c r="F186" t="inlineStr">
        <is>
          <t>SCA</t>
        </is>
      </c>
      <c r="G186" t="n">
        <v>2.8</v>
      </c>
      <c r="H186" t="n">
        <v>1</v>
      </c>
      <c r="I186" t="n">
        <v>0</v>
      </c>
      <c r="J186" t="n">
        <v>0</v>
      </c>
      <c r="K186" t="n">
        <v>1</v>
      </c>
      <c r="L186" t="n">
        <v>0</v>
      </c>
      <c r="M186" t="n">
        <v>0</v>
      </c>
      <c r="N186" t="n">
        <v>0</v>
      </c>
      <c r="O186" t="n">
        <v>1</v>
      </c>
      <c r="P186" t="n">
        <v>1</v>
      </c>
      <c r="Q186" t="n">
        <v>1</v>
      </c>
      <c r="R186" s="2" t="inlineStr">
        <is>
          <t>Doftticka</t>
        </is>
      </c>
      <c r="S186">
        <f>HYPERLINK("https://klasma.github.io/Logging_2260/artfynd/A 24799-2024 artfynd.xlsx", "A 24799-2024")</f>
        <v/>
      </c>
      <c r="T186">
        <f>HYPERLINK("https://klasma.github.io/Logging_2260/kartor/A 24799-2024 karta.png", "A 24799-2024")</f>
        <v/>
      </c>
      <c r="V186">
        <f>HYPERLINK("https://klasma.github.io/Logging_2260/klagomål/A 24799-2024 FSC-klagomål.docx", "A 24799-2024")</f>
        <v/>
      </c>
      <c r="W186">
        <f>HYPERLINK("https://klasma.github.io/Logging_2260/klagomålsmail/A 24799-2024 FSC-klagomål mail.docx", "A 24799-2024")</f>
        <v/>
      </c>
      <c r="X186">
        <f>HYPERLINK("https://klasma.github.io/Logging_2260/tillsyn/A 24799-2024 tillsynsbegäran.docx", "A 24799-2024")</f>
        <v/>
      </c>
      <c r="Y186">
        <f>HYPERLINK("https://klasma.github.io/Logging_2260/tillsynsmail/A 24799-2024 tillsynsbegäran mail.docx", "A 24799-2024")</f>
        <v/>
      </c>
    </row>
    <row r="187" ht="15" customHeight="1">
      <c r="A187" t="inlineStr">
        <is>
          <t>A 13934-2024</t>
        </is>
      </c>
      <c r="B187" s="1" t="n">
        <v>45391</v>
      </c>
      <c r="C187" s="1" t="n">
        <v>45984</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23490-2025</t>
        </is>
      </c>
      <c r="B188" s="1" t="n">
        <v>45792.46907407408</v>
      </c>
      <c r="C188" s="1" t="n">
        <v>45984</v>
      </c>
      <c r="D188" t="inlineStr">
        <is>
          <t>VÄSTERNORRLANDS LÄN</t>
        </is>
      </c>
      <c r="E188" t="inlineStr">
        <is>
          <t>ÅNGE</t>
        </is>
      </c>
      <c r="F188" t="inlineStr">
        <is>
          <t>SCA</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23490-2025 artfynd.xlsx", "A 23490-2025")</f>
        <v/>
      </c>
      <c r="T188">
        <f>HYPERLINK("https://klasma.github.io/Logging_2260/kartor/A 23490-2025 karta.png", "A 23490-2025")</f>
        <v/>
      </c>
      <c r="V188">
        <f>HYPERLINK("https://klasma.github.io/Logging_2260/klagomål/A 23490-2025 FSC-klagomål.docx", "A 23490-2025")</f>
        <v/>
      </c>
      <c r="W188">
        <f>HYPERLINK("https://klasma.github.io/Logging_2260/klagomålsmail/A 23490-2025 FSC-klagomål mail.docx", "A 23490-2025")</f>
        <v/>
      </c>
      <c r="X188">
        <f>HYPERLINK("https://klasma.github.io/Logging_2260/tillsyn/A 23490-2025 tillsynsbegäran.docx", "A 23490-2025")</f>
        <v/>
      </c>
      <c r="Y188">
        <f>HYPERLINK("https://klasma.github.io/Logging_2260/tillsynsmail/A 23490-2025 tillsynsbegäran mail.docx", "A 23490-2025")</f>
        <v/>
      </c>
    </row>
    <row r="189" ht="15" customHeight="1">
      <c r="A189" t="inlineStr">
        <is>
          <t>A 31544-2024</t>
        </is>
      </c>
      <c r="B189" s="1" t="n">
        <v>45505</v>
      </c>
      <c r="C189" s="1" t="n">
        <v>45984</v>
      </c>
      <c r="D189" t="inlineStr">
        <is>
          <t>VÄSTERNORRLANDS LÄN</t>
        </is>
      </c>
      <c r="E189" t="inlineStr">
        <is>
          <t>ÅNGE</t>
        </is>
      </c>
      <c r="F189" t="inlineStr">
        <is>
          <t>SCA</t>
        </is>
      </c>
      <c r="G189" t="n">
        <v>3.5</v>
      </c>
      <c r="H189" t="n">
        <v>0</v>
      </c>
      <c r="I189" t="n">
        <v>0</v>
      </c>
      <c r="J189" t="n">
        <v>1</v>
      </c>
      <c r="K189" t="n">
        <v>0</v>
      </c>
      <c r="L189" t="n">
        <v>0</v>
      </c>
      <c r="M189" t="n">
        <v>0</v>
      </c>
      <c r="N189" t="n">
        <v>0</v>
      </c>
      <c r="O189" t="n">
        <v>1</v>
      </c>
      <c r="P189" t="n">
        <v>0</v>
      </c>
      <c r="Q189" t="n">
        <v>1</v>
      </c>
      <c r="R189" s="2" t="inlineStr">
        <is>
          <t>Granticka</t>
        </is>
      </c>
      <c r="S189">
        <f>HYPERLINK("https://klasma.github.io/Logging_2260/artfynd/A 31544-2024 artfynd.xlsx", "A 31544-2024")</f>
        <v/>
      </c>
      <c r="T189">
        <f>HYPERLINK("https://klasma.github.io/Logging_2260/kartor/A 31544-2024 karta.png", "A 31544-2024")</f>
        <v/>
      </c>
      <c r="V189">
        <f>HYPERLINK("https://klasma.github.io/Logging_2260/klagomål/A 31544-2024 FSC-klagomål.docx", "A 31544-2024")</f>
        <v/>
      </c>
      <c r="W189">
        <f>HYPERLINK("https://klasma.github.io/Logging_2260/klagomålsmail/A 31544-2024 FSC-klagomål mail.docx", "A 31544-2024")</f>
        <v/>
      </c>
      <c r="X189">
        <f>HYPERLINK("https://klasma.github.io/Logging_2260/tillsyn/A 31544-2024 tillsynsbegäran.docx", "A 31544-2024")</f>
        <v/>
      </c>
      <c r="Y189">
        <f>HYPERLINK("https://klasma.github.io/Logging_2260/tillsynsmail/A 31544-2024 tillsynsbegäran mail.docx", "A 31544-2024")</f>
        <v/>
      </c>
    </row>
    <row r="190" ht="15" customHeight="1">
      <c r="A190" t="inlineStr">
        <is>
          <t>A 54386-2024</t>
        </is>
      </c>
      <c r="B190" s="1" t="n">
        <v>45617.44822916666</v>
      </c>
      <c r="C190" s="1" t="n">
        <v>45984</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42524-2025</t>
        </is>
      </c>
      <c r="B191" s="1" t="n">
        <v>45905.55262731481</v>
      </c>
      <c r="C191" s="1" t="n">
        <v>45984</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37914-2024</t>
        </is>
      </c>
      <c r="B192" s="1" t="n">
        <v>45544</v>
      </c>
      <c r="C192" s="1" t="n">
        <v>45984</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43590-2025</t>
        </is>
      </c>
      <c r="B193" s="1" t="n">
        <v>45911.65665509259</v>
      </c>
      <c r="C193" s="1" t="n">
        <v>45984</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27025-2025</t>
        </is>
      </c>
      <c r="B194" s="1" t="n">
        <v>45811</v>
      </c>
      <c r="C194" s="1" t="n">
        <v>45984</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46094-2025</t>
        </is>
      </c>
      <c r="B195" s="1" t="n">
        <v>45924</v>
      </c>
      <c r="C195" s="1" t="n">
        <v>45984</v>
      </c>
      <c r="D195" t="inlineStr">
        <is>
          <t>VÄSTERNORRLANDS LÄN</t>
        </is>
      </c>
      <c r="E195" t="inlineStr">
        <is>
          <t>ÅNGE</t>
        </is>
      </c>
      <c r="F195" t="inlineStr">
        <is>
          <t>SCA</t>
        </is>
      </c>
      <c r="G195" t="n">
        <v>1.1</v>
      </c>
      <c r="H195" t="n">
        <v>1</v>
      </c>
      <c r="I195" t="n">
        <v>0</v>
      </c>
      <c r="J195" t="n">
        <v>1</v>
      </c>
      <c r="K195" t="n">
        <v>0</v>
      </c>
      <c r="L195" t="n">
        <v>0</v>
      </c>
      <c r="M195" t="n">
        <v>0</v>
      </c>
      <c r="N195" t="n">
        <v>0</v>
      </c>
      <c r="O195" t="n">
        <v>1</v>
      </c>
      <c r="P195" t="n">
        <v>0</v>
      </c>
      <c r="Q195" t="n">
        <v>1</v>
      </c>
      <c r="R195" s="2" t="inlineStr">
        <is>
          <t>Utter</t>
        </is>
      </c>
      <c r="S195">
        <f>HYPERLINK("https://klasma.github.io/Logging_2260/artfynd/A 46094-2025 artfynd.xlsx", "A 46094-2025")</f>
        <v/>
      </c>
      <c r="T195">
        <f>HYPERLINK("https://klasma.github.io/Logging_2260/kartor/A 46094-2025 karta.png", "A 46094-2025")</f>
        <v/>
      </c>
      <c r="V195">
        <f>HYPERLINK("https://klasma.github.io/Logging_2260/klagomål/A 46094-2025 FSC-klagomål.docx", "A 46094-2025")</f>
        <v/>
      </c>
      <c r="W195">
        <f>HYPERLINK("https://klasma.github.io/Logging_2260/klagomålsmail/A 46094-2025 FSC-klagomål mail.docx", "A 46094-2025")</f>
        <v/>
      </c>
      <c r="X195">
        <f>HYPERLINK("https://klasma.github.io/Logging_2260/tillsyn/A 46094-2025 tillsynsbegäran.docx", "A 46094-2025")</f>
        <v/>
      </c>
      <c r="Y195">
        <f>HYPERLINK("https://klasma.github.io/Logging_2260/tillsynsmail/A 46094-2025 tillsynsbegäran mail.docx", "A 46094-2025")</f>
        <v/>
      </c>
    </row>
    <row r="196" ht="15" customHeight="1">
      <c r="A196" t="inlineStr">
        <is>
          <t>A 35648-2025</t>
        </is>
      </c>
      <c r="B196" s="1" t="n">
        <v>45859.51670138889</v>
      </c>
      <c r="C196" s="1" t="n">
        <v>45984</v>
      </c>
      <c r="D196" t="inlineStr">
        <is>
          <t>VÄSTERNORRLANDS LÄN</t>
        </is>
      </c>
      <c r="E196" t="inlineStr">
        <is>
          <t>ÅNGE</t>
        </is>
      </c>
      <c r="F196" t="inlineStr">
        <is>
          <t>Sveaskog</t>
        </is>
      </c>
      <c r="G196" t="n">
        <v>9.1</v>
      </c>
      <c r="H196" t="n">
        <v>0</v>
      </c>
      <c r="I196" t="n">
        <v>0</v>
      </c>
      <c r="J196" t="n">
        <v>1</v>
      </c>
      <c r="K196" t="n">
        <v>0</v>
      </c>
      <c r="L196" t="n">
        <v>0</v>
      </c>
      <c r="M196" t="n">
        <v>0</v>
      </c>
      <c r="N196" t="n">
        <v>0</v>
      </c>
      <c r="O196" t="n">
        <v>1</v>
      </c>
      <c r="P196" t="n">
        <v>0</v>
      </c>
      <c r="Q196" t="n">
        <v>1</v>
      </c>
      <c r="R196" s="2" t="inlineStr">
        <is>
          <t>Lunglav</t>
        </is>
      </c>
      <c r="S196">
        <f>HYPERLINK("https://klasma.github.io/Logging_2260/artfynd/A 35648-2025 artfynd.xlsx", "A 35648-2025")</f>
        <v/>
      </c>
      <c r="T196">
        <f>HYPERLINK("https://klasma.github.io/Logging_2260/kartor/A 35648-2025 karta.png", "A 35648-2025")</f>
        <v/>
      </c>
      <c r="V196">
        <f>HYPERLINK("https://klasma.github.io/Logging_2260/klagomål/A 35648-2025 FSC-klagomål.docx", "A 35648-2025")</f>
        <v/>
      </c>
      <c r="W196">
        <f>HYPERLINK("https://klasma.github.io/Logging_2260/klagomålsmail/A 35648-2025 FSC-klagomål mail.docx", "A 35648-2025")</f>
        <v/>
      </c>
      <c r="X196">
        <f>HYPERLINK("https://klasma.github.io/Logging_2260/tillsyn/A 35648-2025 tillsynsbegäran.docx", "A 35648-2025")</f>
        <v/>
      </c>
      <c r="Y196">
        <f>HYPERLINK("https://klasma.github.io/Logging_2260/tillsynsmail/A 35648-2025 tillsynsbegäran mail.docx", "A 35648-2025")</f>
        <v/>
      </c>
    </row>
    <row r="197" ht="15" customHeight="1">
      <c r="A197" t="inlineStr">
        <is>
          <t>A 35839-2025</t>
        </is>
      </c>
      <c r="B197" s="1" t="n">
        <v>45861.53943287037</v>
      </c>
      <c r="C197" s="1" t="n">
        <v>45984</v>
      </c>
      <c r="D197" t="inlineStr">
        <is>
          <t>VÄSTERNORRLANDS LÄN</t>
        </is>
      </c>
      <c r="E197" t="inlineStr">
        <is>
          <t>ÅNGE</t>
        </is>
      </c>
      <c r="F197" t="inlineStr">
        <is>
          <t>Sveaskog</t>
        </is>
      </c>
      <c r="G197" t="n">
        <v>7.9</v>
      </c>
      <c r="H197" t="n">
        <v>0</v>
      </c>
      <c r="I197" t="n">
        <v>0</v>
      </c>
      <c r="J197" t="n">
        <v>1</v>
      </c>
      <c r="K197" t="n">
        <v>0</v>
      </c>
      <c r="L197" t="n">
        <v>0</v>
      </c>
      <c r="M197" t="n">
        <v>0</v>
      </c>
      <c r="N197" t="n">
        <v>0</v>
      </c>
      <c r="O197" t="n">
        <v>1</v>
      </c>
      <c r="P197" t="n">
        <v>0</v>
      </c>
      <c r="Q197" t="n">
        <v>1</v>
      </c>
      <c r="R197" s="2" t="inlineStr">
        <is>
          <t>Lunglav</t>
        </is>
      </c>
      <c r="S197">
        <f>HYPERLINK("https://klasma.github.io/Logging_2260/artfynd/A 35839-2025 artfynd.xlsx", "A 35839-2025")</f>
        <v/>
      </c>
      <c r="T197">
        <f>HYPERLINK("https://klasma.github.io/Logging_2260/kartor/A 35839-2025 karta.png", "A 35839-2025")</f>
        <v/>
      </c>
      <c r="V197">
        <f>HYPERLINK("https://klasma.github.io/Logging_2260/klagomål/A 35839-2025 FSC-klagomål.docx", "A 35839-2025")</f>
        <v/>
      </c>
      <c r="W197">
        <f>HYPERLINK("https://klasma.github.io/Logging_2260/klagomålsmail/A 35839-2025 FSC-klagomål mail.docx", "A 35839-2025")</f>
        <v/>
      </c>
      <c r="X197">
        <f>HYPERLINK("https://klasma.github.io/Logging_2260/tillsyn/A 35839-2025 tillsynsbegäran.docx", "A 35839-2025")</f>
        <v/>
      </c>
      <c r="Y197">
        <f>HYPERLINK("https://klasma.github.io/Logging_2260/tillsynsmail/A 35839-2025 tillsynsbegäran mail.docx", "A 35839-2025")</f>
        <v/>
      </c>
    </row>
    <row r="198" ht="15" customHeight="1">
      <c r="A198" t="inlineStr">
        <is>
          <t>A 57272-2024</t>
        </is>
      </c>
      <c r="B198" s="1" t="n">
        <v>45629.57380787037</v>
      </c>
      <c r="C198" s="1" t="n">
        <v>45984</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1449-2025</t>
        </is>
      </c>
      <c r="B199" s="1" t="n">
        <v>45670.27537037037</v>
      </c>
      <c r="C199" s="1" t="n">
        <v>45984</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47857-2025</t>
        </is>
      </c>
      <c r="B200" s="1" t="n">
        <v>45932.4068287037</v>
      </c>
      <c r="C200" s="1" t="n">
        <v>45984</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53683-2025</t>
        </is>
      </c>
      <c r="B201" s="1" t="n">
        <v>45960</v>
      </c>
      <c r="C201" s="1" t="n">
        <v>45984</v>
      </c>
      <c r="D201" t="inlineStr">
        <is>
          <t>VÄSTERNORRLANDS LÄN</t>
        </is>
      </c>
      <c r="E201" t="inlineStr">
        <is>
          <t>ÅNGE</t>
        </is>
      </c>
      <c r="F201" t="inlineStr">
        <is>
          <t>SCA</t>
        </is>
      </c>
      <c r="G201" t="n">
        <v>3.6</v>
      </c>
      <c r="H201" t="n">
        <v>0</v>
      </c>
      <c r="I201" t="n">
        <v>1</v>
      </c>
      <c r="J201" t="n">
        <v>0</v>
      </c>
      <c r="K201" t="n">
        <v>0</v>
      </c>
      <c r="L201" t="n">
        <v>0</v>
      </c>
      <c r="M201" t="n">
        <v>0</v>
      </c>
      <c r="N201" t="n">
        <v>0</v>
      </c>
      <c r="O201" t="n">
        <v>0</v>
      </c>
      <c r="P201" t="n">
        <v>0</v>
      </c>
      <c r="Q201" t="n">
        <v>1</v>
      </c>
      <c r="R201" s="2" t="inlineStr">
        <is>
          <t>Ögonpyrola</t>
        </is>
      </c>
      <c r="S201">
        <f>HYPERLINK("https://klasma.github.io/Logging_2260/artfynd/A 53683-2025 artfynd.xlsx", "A 53683-2025")</f>
        <v/>
      </c>
      <c r="T201">
        <f>HYPERLINK("https://klasma.github.io/Logging_2260/kartor/A 53683-2025 karta.png", "A 53683-2025")</f>
        <v/>
      </c>
      <c r="U201">
        <f>HYPERLINK("https://klasma.github.io/Logging_2260/knärot/A 53683-2025 karta knärot.png", "A 53683-2025")</f>
        <v/>
      </c>
      <c r="V201">
        <f>HYPERLINK("https://klasma.github.io/Logging_2260/klagomål/A 53683-2025 FSC-klagomål.docx", "A 53683-2025")</f>
        <v/>
      </c>
      <c r="W201">
        <f>HYPERLINK("https://klasma.github.io/Logging_2260/klagomålsmail/A 53683-2025 FSC-klagomål mail.docx", "A 53683-2025")</f>
        <v/>
      </c>
      <c r="X201">
        <f>HYPERLINK("https://klasma.github.io/Logging_2260/tillsyn/A 53683-2025 tillsynsbegäran.docx", "A 53683-2025")</f>
        <v/>
      </c>
      <c r="Y201">
        <f>HYPERLINK("https://klasma.github.io/Logging_2260/tillsynsmail/A 53683-2025 tillsynsbegäran mail.docx", "A 53683-2025")</f>
        <v/>
      </c>
    </row>
    <row r="202" ht="15" customHeight="1">
      <c r="A202" t="inlineStr">
        <is>
          <t>A 37432-2025</t>
        </is>
      </c>
      <c r="B202" s="1" t="n">
        <v>45877.51106481482</v>
      </c>
      <c r="C202" s="1" t="n">
        <v>45984</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48237-2025</t>
        </is>
      </c>
      <c r="B203" s="1" t="n">
        <v>45933</v>
      </c>
      <c r="C203" s="1" t="n">
        <v>45984</v>
      </c>
      <c r="D203" t="inlineStr">
        <is>
          <t>VÄSTERNORRLANDS LÄN</t>
        </is>
      </c>
      <c r="E203" t="inlineStr">
        <is>
          <t>ÅNGE</t>
        </is>
      </c>
      <c r="F203" t="inlineStr">
        <is>
          <t>SCA</t>
        </is>
      </c>
      <c r="G203" t="n">
        <v>1.9</v>
      </c>
      <c r="H203" t="n">
        <v>1</v>
      </c>
      <c r="I203" t="n">
        <v>0</v>
      </c>
      <c r="J203" t="n">
        <v>0</v>
      </c>
      <c r="K203" t="n">
        <v>1</v>
      </c>
      <c r="L203" t="n">
        <v>0</v>
      </c>
      <c r="M203" t="n">
        <v>0</v>
      </c>
      <c r="N203" t="n">
        <v>0</v>
      </c>
      <c r="O203" t="n">
        <v>1</v>
      </c>
      <c r="P203" t="n">
        <v>1</v>
      </c>
      <c r="Q203" t="n">
        <v>1</v>
      </c>
      <c r="R203" s="2" t="inlineStr">
        <is>
          <t>Knärot</t>
        </is>
      </c>
      <c r="S203">
        <f>HYPERLINK("https://klasma.github.io/Logging_2260/artfynd/A 48237-2025 artfynd.xlsx", "A 48237-2025")</f>
        <v/>
      </c>
      <c r="T203">
        <f>HYPERLINK("https://klasma.github.io/Logging_2260/kartor/A 48237-2025 karta.png", "A 48237-2025")</f>
        <v/>
      </c>
      <c r="U203">
        <f>HYPERLINK("https://klasma.github.io/Logging_2260/knärot/A 48237-2025 karta knärot.png", "A 48237-2025")</f>
        <v/>
      </c>
      <c r="V203">
        <f>HYPERLINK("https://klasma.github.io/Logging_2260/klagomål/A 48237-2025 FSC-klagomål.docx", "A 48237-2025")</f>
        <v/>
      </c>
      <c r="W203">
        <f>HYPERLINK("https://klasma.github.io/Logging_2260/klagomålsmail/A 48237-2025 FSC-klagomål mail.docx", "A 48237-2025")</f>
        <v/>
      </c>
      <c r="X203">
        <f>HYPERLINK("https://klasma.github.io/Logging_2260/tillsyn/A 48237-2025 tillsynsbegäran.docx", "A 48237-2025")</f>
        <v/>
      </c>
      <c r="Y203">
        <f>HYPERLINK("https://klasma.github.io/Logging_2260/tillsynsmail/A 48237-2025 tillsynsbegäran mail.docx", "A 48237-2025")</f>
        <v/>
      </c>
    </row>
    <row r="204" ht="15" customHeight="1">
      <c r="A204" t="inlineStr">
        <is>
          <t>A 29327-2023</t>
        </is>
      </c>
      <c r="B204" s="1" t="n">
        <v>45105.94349537037</v>
      </c>
      <c r="C204" s="1" t="n">
        <v>45984</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30774-2024</t>
        </is>
      </c>
      <c r="B205" s="1" t="n">
        <v>45496.949375</v>
      </c>
      <c r="C205" s="1" t="n">
        <v>45984</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45984</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45984</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45984</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71366-2021</t>
        </is>
      </c>
      <c r="B209" s="1" t="n">
        <v>44539</v>
      </c>
      <c r="C209" s="1" t="n">
        <v>45984</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56091-2024</t>
        </is>
      </c>
      <c r="B210" s="1" t="n">
        <v>45624.40678240741</v>
      </c>
      <c r="C210" s="1" t="n">
        <v>45984</v>
      </c>
      <c r="D210" t="inlineStr">
        <is>
          <t>VÄSTERNORRLANDS LÄN</t>
        </is>
      </c>
      <c r="E210" t="inlineStr">
        <is>
          <t>ÅNGE</t>
        </is>
      </c>
      <c r="F210" t="inlineStr">
        <is>
          <t>SCA</t>
        </is>
      </c>
      <c r="G210" t="n">
        <v>2.5</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56091-2024 artfynd.xlsx", "A 56091-2024")</f>
        <v/>
      </c>
      <c r="T210">
        <f>HYPERLINK("https://klasma.github.io/Logging_2260/kartor/A 56091-2024 karta.png", "A 56091-2024")</f>
        <v/>
      </c>
      <c r="V210">
        <f>HYPERLINK("https://klasma.github.io/Logging_2260/klagomål/A 56091-2024 FSC-klagomål.docx", "A 56091-2024")</f>
        <v/>
      </c>
      <c r="W210">
        <f>HYPERLINK("https://klasma.github.io/Logging_2260/klagomålsmail/A 56091-2024 FSC-klagomål mail.docx", "A 56091-2024")</f>
        <v/>
      </c>
      <c r="X210">
        <f>HYPERLINK("https://klasma.github.io/Logging_2260/tillsyn/A 56091-2024 tillsynsbegäran.docx", "A 56091-2024")</f>
        <v/>
      </c>
      <c r="Y210">
        <f>HYPERLINK("https://klasma.github.io/Logging_2260/tillsynsmail/A 56091-2024 tillsynsbegäran mail.docx", "A 56091-2024")</f>
        <v/>
      </c>
    </row>
    <row r="211" ht="15" customHeight="1">
      <c r="A211" t="inlineStr">
        <is>
          <t>A 31878-2024</t>
        </is>
      </c>
      <c r="B211" s="1" t="n">
        <v>45509</v>
      </c>
      <c r="C211" s="1" t="n">
        <v>45984</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31510-2024</t>
        </is>
      </c>
      <c r="B212" s="1" t="n">
        <v>45505</v>
      </c>
      <c r="C212" s="1" t="n">
        <v>45984</v>
      </c>
      <c r="D212" t="inlineStr">
        <is>
          <t>VÄSTERNORRLANDS LÄN</t>
        </is>
      </c>
      <c r="E212" t="inlineStr">
        <is>
          <t>ÅNGE</t>
        </is>
      </c>
      <c r="F212" t="inlineStr">
        <is>
          <t>SCA</t>
        </is>
      </c>
      <c r="G212" t="n">
        <v>6</v>
      </c>
      <c r="H212" t="n">
        <v>1</v>
      </c>
      <c r="I212" t="n">
        <v>0</v>
      </c>
      <c r="J212" t="n">
        <v>0</v>
      </c>
      <c r="K212" t="n">
        <v>1</v>
      </c>
      <c r="L212" t="n">
        <v>0</v>
      </c>
      <c r="M212" t="n">
        <v>0</v>
      </c>
      <c r="N212" t="n">
        <v>0</v>
      </c>
      <c r="O212" t="n">
        <v>1</v>
      </c>
      <c r="P212" t="n">
        <v>1</v>
      </c>
      <c r="Q212" t="n">
        <v>1</v>
      </c>
      <c r="R212" s="2" t="inlineStr">
        <is>
          <t>Doftticka</t>
        </is>
      </c>
      <c r="S212">
        <f>HYPERLINK("https://klasma.github.io/Logging_2260/artfynd/A 31510-2024 artfynd.xlsx", "A 31510-2024")</f>
        <v/>
      </c>
      <c r="T212">
        <f>HYPERLINK("https://klasma.github.io/Logging_2260/kartor/A 31510-2024 karta.png", "A 31510-2024")</f>
        <v/>
      </c>
      <c r="V212">
        <f>HYPERLINK("https://klasma.github.io/Logging_2260/klagomål/A 31510-2024 FSC-klagomål.docx", "A 31510-2024")</f>
        <v/>
      </c>
      <c r="W212">
        <f>HYPERLINK("https://klasma.github.io/Logging_2260/klagomålsmail/A 31510-2024 FSC-klagomål mail.docx", "A 31510-2024")</f>
        <v/>
      </c>
      <c r="X212">
        <f>HYPERLINK("https://klasma.github.io/Logging_2260/tillsyn/A 31510-2024 tillsynsbegäran.docx", "A 31510-2024")</f>
        <v/>
      </c>
      <c r="Y212">
        <f>HYPERLINK("https://klasma.github.io/Logging_2260/tillsynsmail/A 31510-2024 tillsynsbegäran mail.docx", "A 31510-2024")</f>
        <v/>
      </c>
    </row>
    <row r="213" ht="15" customHeight="1">
      <c r="A213" t="inlineStr">
        <is>
          <t>A 55015-2023</t>
        </is>
      </c>
      <c r="B213" s="1" t="n">
        <v>45237.32185185186</v>
      </c>
      <c r="C213" s="1" t="n">
        <v>45984</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34696-2024</t>
        </is>
      </c>
      <c r="B214" s="1" t="n">
        <v>45526</v>
      </c>
      <c r="C214" s="1" t="n">
        <v>45984</v>
      </c>
      <c r="D214" t="inlineStr">
        <is>
          <t>VÄSTERNORRLANDS LÄN</t>
        </is>
      </c>
      <c r="E214" t="inlineStr">
        <is>
          <t>ÅNGE</t>
        </is>
      </c>
      <c r="G214" t="n">
        <v>3.6</v>
      </c>
      <c r="H214" t="n">
        <v>1</v>
      </c>
      <c r="I214" t="n">
        <v>0</v>
      </c>
      <c r="J214" t="n">
        <v>0</v>
      </c>
      <c r="K214" t="n">
        <v>0</v>
      </c>
      <c r="L214" t="n">
        <v>0</v>
      </c>
      <c r="M214" t="n">
        <v>0</v>
      </c>
      <c r="N214" t="n">
        <v>0</v>
      </c>
      <c r="O214" t="n">
        <v>0</v>
      </c>
      <c r="P214" t="n">
        <v>0</v>
      </c>
      <c r="Q214" t="n">
        <v>1</v>
      </c>
      <c r="R214" s="2" t="inlineStr">
        <is>
          <t>Revlummer</t>
        </is>
      </c>
      <c r="S214">
        <f>HYPERLINK("https://klasma.github.io/Logging_2260/artfynd/A 34696-2024 artfynd.xlsx", "A 34696-2024")</f>
        <v/>
      </c>
      <c r="T214">
        <f>HYPERLINK("https://klasma.github.io/Logging_2260/kartor/A 34696-2024 karta.png", "A 34696-2024")</f>
        <v/>
      </c>
      <c r="V214">
        <f>HYPERLINK("https://klasma.github.io/Logging_2260/klagomål/A 34696-2024 FSC-klagomål.docx", "A 34696-2024")</f>
        <v/>
      </c>
      <c r="W214">
        <f>HYPERLINK("https://klasma.github.io/Logging_2260/klagomålsmail/A 34696-2024 FSC-klagomål mail.docx", "A 34696-2024")</f>
        <v/>
      </c>
      <c r="X214">
        <f>HYPERLINK("https://klasma.github.io/Logging_2260/tillsyn/A 34696-2024 tillsynsbegäran.docx", "A 34696-2024")</f>
        <v/>
      </c>
      <c r="Y214">
        <f>HYPERLINK("https://klasma.github.io/Logging_2260/tillsynsmail/A 34696-2024 tillsynsbegäran mail.docx", "A 34696-2024")</f>
        <v/>
      </c>
    </row>
    <row r="215" ht="15" customHeight="1">
      <c r="A215" t="inlineStr">
        <is>
          <t>A 41493-2021</t>
        </is>
      </c>
      <c r="B215" s="1" t="n">
        <v>44424</v>
      </c>
      <c r="C215" s="1" t="n">
        <v>45984</v>
      </c>
      <c r="D215" t="inlineStr">
        <is>
          <t>VÄSTERNORRLANDS LÄN</t>
        </is>
      </c>
      <c r="E215" t="inlineStr">
        <is>
          <t>ÅNGE</t>
        </is>
      </c>
      <c r="F215" t="inlineStr">
        <is>
          <t>SCA</t>
        </is>
      </c>
      <c r="G215" t="n">
        <v>8</v>
      </c>
      <c r="H215" t="n">
        <v>1</v>
      </c>
      <c r="I215" t="n">
        <v>0</v>
      </c>
      <c r="J215" t="n">
        <v>0</v>
      </c>
      <c r="K215" t="n">
        <v>1</v>
      </c>
      <c r="L215" t="n">
        <v>0</v>
      </c>
      <c r="M215" t="n">
        <v>0</v>
      </c>
      <c r="N215" t="n">
        <v>0</v>
      </c>
      <c r="O215" t="n">
        <v>1</v>
      </c>
      <c r="P215" t="n">
        <v>1</v>
      </c>
      <c r="Q215" t="n">
        <v>1</v>
      </c>
      <c r="R215" s="2" t="inlineStr">
        <is>
          <t>Knärot</t>
        </is>
      </c>
      <c r="S215">
        <f>HYPERLINK("https://klasma.github.io/Logging_2260/artfynd/A 41493-2021 artfynd.xlsx", "A 41493-2021")</f>
        <v/>
      </c>
      <c r="T215">
        <f>HYPERLINK("https://klasma.github.io/Logging_2260/kartor/A 41493-2021 karta.png", "A 41493-2021")</f>
        <v/>
      </c>
      <c r="U215">
        <f>HYPERLINK("https://klasma.github.io/Logging_2260/knärot/A 41493-2021 karta knärot.png", "A 41493-2021")</f>
        <v/>
      </c>
      <c r="V215">
        <f>HYPERLINK("https://klasma.github.io/Logging_2260/klagomål/A 41493-2021 FSC-klagomål.docx", "A 41493-2021")</f>
        <v/>
      </c>
      <c r="W215">
        <f>HYPERLINK("https://klasma.github.io/Logging_2260/klagomålsmail/A 41493-2021 FSC-klagomål mail.docx", "A 41493-2021")</f>
        <v/>
      </c>
      <c r="X215">
        <f>HYPERLINK("https://klasma.github.io/Logging_2260/tillsyn/A 41493-2021 tillsynsbegäran.docx", "A 41493-2021")</f>
        <v/>
      </c>
      <c r="Y215">
        <f>HYPERLINK("https://klasma.github.io/Logging_2260/tillsynsmail/A 41493-2021 tillsynsbegäran mail.docx", "A 41493-2021")</f>
        <v/>
      </c>
    </row>
    <row r="216" ht="15" customHeight="1">
      <c r="A216" t="inlineStr">
        <is>
          <t>A 25705-2024</t>
        </is>
      </c>
      <c r="B216" s="1" t="n">
        <v>45463.9428587963</v>
      </c>
      <c r="C216" s="1" t="n">
        <v>45984</v>
      </c>
      <c r="D216" t="inlineStr">
        <is>
          <t>VÄSTERNORRLANDS LÄN</t>
        </is>
      </c>
      <c r="E216" t="inlineStr">
        <is>
          <t>ÅNGE</t>
        </is>
      </c>
      <c r="F216" t="inlineStr">
        <is>
          <t>SCA</t>
        </is>
      </c>
      <c r="G216" t="n">
        <v>10.6</v>
      </c>
      <c r="H216" t="n">
        <v>1</v>
      </c>
      <c r="I216" t="n">
        <v>1</v>
      </c>
      <c r="J216" t="n">
        <v>0</v>
      </c>
      <c r="K216" t="n">
        <v>0</v>
      </c>
      <c r="L216" t="n">
        <v>0</v>
      </c>
      <c r="M216" t="n">
        <v>0</v>
      </c>
      <c r="N216" t="n">
        <v>0</v>
      </c>
      <c r="O216" t="n">
        <v>0</v>
      </c>
      <c r="P216" t="n">
        <v>0</v>
      </c>
      <c r="Q216" t="n">
        <v>1</v>
      </c>
      <c r="R216" s="2" t="inlineStr">
        <is>
          <t>Korallrot</t>
        </is>
      </c>
      <c r="S216">
        <f>HYPERLINK("https://klasma.github.io/Logging_2260/artfynd/A 25705-2024 artfynd.xlsx", "A 25705-2024")</f>
        <v/>
      </c>
      <c r="T216">
        <f>HYPERLINK("https://klasma.github.io/Logging_2260/kartor/A 25705-2024 karta.png", "A 25705-2024")</f>
        <v/>
      </c>
      <c r="V216">
        <f>HYPERLINK("https://klasma.github.io/Logging_2260/klagomål/A 25705-2024 FSC-klagomål.docx", "A 25705-2024")</f>
        <v/>
      </c>
      <c r="W216">
        <f>HYPERLINK("https://klasma.github.io/Logging_2260/klagomålsmail/A 25705-2024 FSC-klagomål mail.docx", "A 25705-2024")</f>
        <v/>
      </c>
      <c r="X216">
        <f>HYPERLINK("https://klasma.github.io/Logging_2260/tillsyn/A 25705-2024 tillsynsbegäran.docx", "A 25705-2024")</f>
        <v/>
      </c>
      <c r="Y216">
        <f>HYPERLINK("https://klasma.github.io/Logging_2260/tillsynsmail/A 25705-2024 tillsynsbegäran mail.docx", "A 25705-2024")</f>
        <v/>
      </c>
    </row>
    <row r="217" ht="15" customHeight="1">
      <c r="A217" t="inlineStr">
        <is>
          <t>A 63983-2020</t>
        </is>
      </c>
      <c r="B217" s="1" t="n">
        <v>44167</v>
      </c>
      <c r="C217" s="1" t="n">
        <v>45984</v>
      </c>
      <c r="D217" t="inlineStr">
        <is>
          <t>VÄSTERNORRLANDS LÄN</t>
        </is>
      </c>
      <c r="E217" t="inlineStr">
        <is>
          <t>ÅNGE</t>
        </is>
      </c>
      <c r="F217" t="inlineStr">
        <is>
          <t>Kommuner</t>
        </is>
      </c>
      <c r="G217" t="n">
        <v>27.1</v>
      </c>
      <c r="H217" t="n">
        <v>1</v>
      </c>
      <c r="I217" t="n">
        <v>0</v>
      </c>
      <c r="J217" t="n">
        <v>0</v>
      </c>
      <c r="K217" t="n">
        <v>1</v>
      </c>
      <c r="L217" t="n">
        <v>0</v>
      </c>
      <c r="M217" t="n">
        <v>0</v>
      </c>
      <c r="N217" t="n">
        <v>0</v>
      </c>
      <c r="O217" t="n">
        <v>1</v>
      </c>
      <c r="P217" t="n">
        <v>1</v>
      </c>
      <c r="Q217" t="n">
        <v>1</v>
      </c>
      <c r="R217" s="2" t="inlineStr">
        <is>
          <t>Knärot</t>
        </is>
      </c>
      <c r="S217">
        <f>HYPERLINK("https://klasma.github.io/Logging_2260/artfynd/A 63983-2020 artfynd.xlsx", "A 63983-2020")</f>
        <v/>
      </c>
      <c r="T217">
        <f>HYPERLINK("https://klasma.github.io/Logging_2260/kartor/A 63983-2020 karta.png", "A 63983-2020")</f>
        <v/>
      </c>
      <c r="U217">
        <f>HYPERLINK("https://klasma.github.io/Logging_2260/knärot/A 63983-2020 karta knärot.png", "A 63983-2020")</f>
        <v/>
      </c>
      <c r="V217">
        <f>HYPERLINK("https://klasma.github.io/Logging_2260/klagomål/A 63983-2020 FSC-klagomål.docx", "A 63983-2020")</f>
        <v/>
      </c>
      <c r="W217">
        <f>HYPERLINK("https://klasma.github.io/Logging_2260/klagomålsmail/A 63983-2020 FSC-klagomål mail.docx", "A 63983-2020")</f>
        <v/>
      </c>
      <c r="X217">
        <f>HYPERLINK("https://klasma.github.io/Logging_2260/tillsyn/A 63983-2020 tillsynsbegäran.docx", "A 63983-2020")</f>
        <v/>
      </c>
      <c r="Y217">
        <f>HYPERLINK("https://klasma.github.io/Logging_2260/tillsynsmail/A 63983-2020 tillsynsbegäran mail.docx", "A 63983-2020")</f>
        <v/>
      </c>
    </row>
    <row r="218" ht="15" customHeight="1">
      <c r="A218" t="inlineStr">
        <is>
          <t>A 52424-2023</t>
        </is>
      </c>
      <c r="B218" s="1" t="n">
        <v>45217</v>
      </c>
      <c r="C218" s="1" t="n">
        <v>45984</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39638-2024</t>
        </is>
      </c>
      <c r="B219" s="1" t="n">
        <v>45552</v>
      </c>
      <c r="C219" s="1" t="n">
        <v>45984</v>
      </c>
      <c r="D219" t="inlineStr">
        <is>
          <t>VÄSTERNORRLANDS LÄN</t>
        </is>
      </c>
      <c r="E219" t="inlineStr">
        <is>
          <t>ÅNGE</t>
        </is>
      </c>
      <c r="G219" t="n">
        <v>3</v>
      </c>
      <c r="H219" t="n">
        <v>1</v>
      </c>
      <c r="I219" t="n">
        <v>0</v>
      </c>
      <c r="J219" t="n">
        <v>0</v>
      </c>
      <c r="K219" t="n">
        <v>0</v>
      </c>
      <c r="L219" t="n">
        <v>0</v>
      </c>
      <c r="M219" t="n">
        <v>0</v>
      </c>
      <c r="N219" t="n">
        <v>0</v>
      </c>
      <c r="O219" t="n">
        <v>0</v>
      </c>
      <c r="P219" t="n">
        <v>0</v>
      </c>
      <c r="Q219" t="n">
        <v>1</v>
      </c>
      <c r="R219" s="2" t="inlineStr">
        <is>
          <t>Tjäder</t>
        </is>
      </c>
      <c r="S219">
        <f>HYPERLINK("https://klasma.github.io/Logging_2260/artfynd/A 39638-2024 artfynd.xlsx", "A 39638-2024")</f>
        <v/>
      </c>
      <c r="T219">
        <f>HYPERLINK("https://klasma.github.io/Logging_2260/kartor/A 39638-2024 karta.png", "A 39638-2024")</f>
        <v/>
      </c>
      <c r="V219">
        <f>HYPERLINK("https://klasma.github.io/Logging_2260/klagomål/A 39638-2024 FSC-klagomål.docx", "A 39638-2024")</f>
        <v/>
      </c>
      <c r="W219">
        <f>HYPERLINK("https://klasma.github.io/Logging_2260/klagomålsmail/A 39638-2024 FSC-klagomål mail.docx", "A 39638-2024")</f>
        <v/>
      </c>
      <c r="X219">
        <f>HYPERLINK("https://klasma.github.io/Logging_2260/tillsyn/A 39638-2024 tillsynsbegäran.docx", "A 39638-2024")</f>
        <v/>
      </c>
      <c r="Y219">
        <f>HYPERLINK("https://klasma.github.io/Logging_2260/tillsynsmail/A 39638-2024 tillsynsbegäran mail.docx", "A 39638-2024")</f>
        <v/>
      </c>
      <c r="Z219">
        <f>HYPERLINK("https://klasma.github.io/Logging_2260/fåglar/A 39638-2024 prioriterade fågelarter.docx", "A 39638-2024")</f>
        <v/>
      </c>
    </row>
    <row r="220" ht="15" customHeight="1">
      <c r="A220" t="inlineStr">
        <is>
          <t>A 54751-2021</t>
        </is>
      </c>
      <c r="B220" s="1" t="n">
        <v>44473</v>
      </c>
      <c r="C220" s="1" t="n">
        <v>45984</v>
      </c>
      <c r="D220" t="inlineStr">
        <is>
          <t>VÄSTERNORRLANDS LÄN</t>
        </is>
      </c>
      <c r="E220" t="inlineStr">
        <is>
          <t>ÅNGE</t>
        </is>
      </c>
      <c r="G220" t="n">
        <v>6.5</v>
      </c>
      <c r="H220" t="n">
        <v>0</v>
      </c>
      <c r="I220" t="n">
        <v>0</v>
      </c>
      <c r="J220" t="n">
        <v>0</v>
      </c>
      <c r="K220" t="n">
        <v>1</v>
      </c>
      <c r="L220" t="n">
        <v>0</v>
      </c>
      <c r="M220" t="n">
        <v>0</v>
      </c>
      <c r="N220" t="n">
        <v>0</v>
      </c>
      <c r="O220" t="n">
        <v>1</v>
      </c>
      <c r="P220" t="n">
        <v>1</v>
      </c>
      <c r="Q220" t="n">
        <v>1</v>
      </c>
      <c r="R220" s="2" t="inlineStr">
        <is>
          <t>Gräddporing</t>
        </is>
      </c>
      <c r="S220">
        <f>HYPERLINK("https://klasma.github.io/Logging_2260/artfynd/A 54751-2021 artfynd.xlsx", "A 54751-2021")</f>
        <v/>
      </c>
      <c r="T220">
        <f>HYPERLINK("https://klasma.github.io/Logging_2260/kartor/A 54751-2021 karta.png", "A 54751-2021")</f>
        <v/>
      </c>
      <c r="V220">
        <f>HYPERLINK("https://klasma.github.io/Logging_2260/klagomål/A 54751-2021 FSC-klagomål.docx", "A 54751-2021")</f>
        <v/>
      </c>
      <c r="W220">
        <f>HYPERLINK("https://klasma.github.io/Logging_2260/klagomålsmail/A 54751-2021 FSC-klagomål mail.docx", "A 54751-2021")</f>
        <v/>
      </c>
      <c r="X220">
        <f>HYPERLINK("https://klasma.github.io/Logging_2260/tillsyn/A 54751-2021 tillsynsbegäran.docx", "A 54751-2021")</f>
        <v/>
      </c>
      <c r="Y220">
        <f>HYPERLINK("https://klasma.github.io/Logging_2260/tillsynsmail/A 54751-2021 tillsynsbegäran mail.docx", "A 54751-2021")</f>
        <v/>
      </c>
    </row>
    <row r="221" ht="15" customHeight="1">
      <c r="A221" t="inlineStr">
        <is>
          <t>A 40214-2024</t>
        </is>
      </c>
      <c r="B221" s="1" t="n">
        <v>45554.59460648148</v>
      </c>
      <c r="C221" s="1" t="n">
        <v>45984</v>
      </c>
      <c r="D221" t="inlineStr">
        <is>
          <t>VÄSTERNORRLANDS LÄN</t>
        </is>
      </c>
      <c r="E221" t="inlineStr">
        <is>
          <t>ÅNGE</t>
        </is>
      </c>
      <c r="F221" t="inlineStr">
        <is>
          <t>SCA</t>
        </is>
      </c>
      <c r="G221" t="n">
        <v>7.7</v>
      </c>
      <c r="H221" t="n">
        <v>0</v>
      </c>
      <c r="I221" t="n">
        <v>0</v>
      </c>
      <c r="J221" t="n">
        <v>1</v>
      </c>
      <c r="K221" t="n">
        <v>0</v>
      </c>
      <c r="L221" t="n">
        <v>0</v>
      </c>
      <c r="M221" t="n">
        <v>0</v>
      </c>
      <c r="N221" t="n">
        <v>0</v>
      </c>
      <c r="O221" t="n">
        <v>1</v>
      </c>
      <c r="P221" t="n">
        <v>0</v>
      </c>
      <c r="Q221" t="n">
        <v>1</v>
      </c>
      <c r="R221" s="2" t="inlineStr">
        <is>
          <t>Lunglav</t>
        </is>
      </c>
      <c r="S221">
        <f>HYPERLINK("https://klasma.github.io/Logging_2260/artfynd/A 40214-2024 artfynd.xlsx", "A 40214-2024")</f>
        <v/>
      </c>
      <c r="T221">
        <f>HYPERLINK("https://klasma.github.io/Logging_2260/kartor/A 40214-2024 karta.png", "A 40214-2024")</f>
        <v/>
      </c>
      <c r="V221">
        <f>HYPERLINK("https://klasma.github.io/Logging_2260/klagomål/A 40214-2024 FSC-klagomål.docx", "A 40214-2024")</f>
        <v/>
      </c>
      <c r="W221">
        <f>HYPERLINK("https://klasma.github.io/Logging_2260/klagomålsmail/A 40214-2024 FSC-klagomål mail.docx", "A 40214-2024")</f>
        <v/>
      </c>
      <c r="X221">
        <f>HYPERLINK("https://klasma.github.io/Logging_2260/tillsyn/A 40214-2024 tillsynsbegäran.docx", "A 40214-2024")</f>
        <v/>
      </c>
      <c r="Y221">
        <f>HYPERLINK("https://klasma.github.io/Logging_2260/tillsynsmail/A 40214-2024 tillsynsbegäran mail.docx", "A 40214-2024")</f>
        <v/>
      </c>
    </row>
    <row r="222" ht="15" customHeight="1">
      <c r="A222" t="inlineStr">
        <is>
          <t>A 39180-2024</t>
        </is>
      </c>
      <c r="B222" s="1" t="n">
        <v>45548.6571412037</v>
      </c>
      <c r="C222" s="1" t="n">
        <v>45984</v>
      </c>
      <c r="D222" t="inlineStr">
        <is>
          <t>VÄSTERNORRLANDS LÄN</t>
        </is>
      </c>
      <c r="E222" t="inlineStr">
        <is>
          <t>ÅNGE</t>
        </is>
      </c>
      <c r="F222" t="inlineStr">
        <is>
          <t>SCA</t>
        </is>
      </c>
      <c r="G222" t="n">
        <v>8.699999999999999</v>
      </c>
      <c r="H222" t="n">
        <v>0</v>
      </c>
      <c r="I222" t="n">
        <v>0</v>
      </c>
      <c r="J222" t="n">
        <v>1</v>
      </c>
      <c r="K222" t="n">
        <v>0</v>
      </c>
      <c r="L222" t="n">
        <v>0</v>
      </c>
      <c r="M222" t="n">
        <v>0</v>
      </c>
      <c r="N222" t="n">
        <v>0</v>
      </c>
      <c r="O222" t="n">
        <v>1</v>
      </c>
      <c r="P222" t="n">
        <v>0</v>
      </c>
      <c r="Q222" t="n">
        <v>1</v>
      </c>
      <c r="R222" s="2" t="inlineStr">
        <is>
          <t>Lunglav</t>
        </is>
      </c>
      <c r="S222">
        <f>HYPERLINK("https://klasma.github.io/Logging_2260/artfynd/A 39180-2024 artfynd.xlsx", "A 39180-2024")</f>
        <v/>
      </c>
      <c r="T222">
        <f>HYPERLINK("https://klasma.github.io/Logging_2260/kartor/A 39180-2024 karta.png", "A 39180-2024")</f>
        <v/>
      </c>
      <c r="V222">
        <f>HYPERLINK("https://klasma.github.io/Logging_2260/klagomål/A 39180-2024 FSC-klagomål.docx", "A 39180-2024")</f>
        <v/>
      </c>
      <c r="W222">
        <f>HYPERLINK("https://klasma.github.io/Logging_2260/klagomålsmail/A 39180-2024 FSC-klagomål mail.docx", "A 39180-2024")</f>
        <v/>
      </c>
      <c r="X222">
        <f>HYPERLINK("https://klasma.github.io/Logging_2260/tillsyn/A 39180-2024 tillsynsbegäran.docx", "A 39180-2024")</f>
        <v/>
      </c>
      <c r="Y222">
        <f>HYPERLINK("https://klasma.github.io/Logging_2260/tillsynsmail/A 39180-2024 tillsynsbegäran mail.docx", "A 39180-2024")</f>
        <v/>
      </c>
    </row>
    <row r="223" ht="15" customHeight="1">
      <c r="A223" t="inlineStr">
        <is>
          <t>A 39933-2022</t>
        </is>
      </c>
      <c r="B223" s="1" t="n">
        <v>44819</v>
      </c>
      <c r="C223" s="1" t="n">
        <v>45984</v>
      </c>
      <c r="D223" t="inlineStr">
        <is>
          <t>VÄSTERNORRLANDS LÄN</t>
        </is>
      </c>
      <c r="E223" t="inlineStr">
        <is>
          <t>ÅNGE</t>
        </is>
      </c>
      <c r="F223" t="inlineStr">
        <is>
          <t>SCA</t>
        </is>
      </c>
      <c r="G223" t="n">
        <v>13.8</v>
      </c>
      <c r="H223" t="n">
        <v>1</v>
      </c>
      <c r="I223" t="n">
        <v>0</v>
      </c>
      <c r="J223" t="n">
        <v>0</v>
      </c>
      <c r="K223" t="n">
        <v>1</v>
      </c>
      <c r="L223" t="n">
        <v>0</v>
      </c>
      <c r="M223" t="n">
        <v>0</v>
      </c>
      <c r="N223" t="n">
        <v>0</v>
      </c>
      <c r="O223" t="n">
        <v>1</v>
      </c>
      <c r="P223" t="n">
        <v>1</v>
      </c>
      <c r="Q223" t="n">
        <v>1</v>
      </c>
      <c r="R223" s="2" t="inlineStr">
        <is>
          <t>Knärot</t>
        </is>
      </c>
      <c r="S223">
        <f>HYPERLINK("https://klasma.github.io/Logging_2260/artfynd/A 39933-2022 artfynd.xlsx", "A 39933-2022")</f>
        <v/>
      </c>
      <c r="T223">
        <f>HYPERLINK("https://klasma.github.io/Logging_2260/kartor/A 39933-2022 karta.png", "A 39933-2022")</f>
        <v/>
      </c>
      <c r="U223">
        <f>HYPERLINK("https://klasma.github.io/Logging_2260/knärot/A 39933-2022 karta knärot.png", "A 39933-2022")</f>
        <v/>
      </c>
      <c r="V223">
        <f>HYPERLINK("https://klasma.github.io/Logging_2260/klagomål/A 39933-2022 FSC-klagomål.docx", "A 39933-2022")</f>
        <v/>
      </c>
      <c r="W223">
        <f>HYPERLINK("https://klasma.github.io/Logging_2260/klagomålsmail/A 39933-2022 FSC-klagomål mail.docx", "A 39933-2022")</f>
        <v/>
      </c>
      <c r="X223">
        <f>HYPERLINK("https://klasma.github.io/Logging_2260/tillsyn/A 39933-2022 tillsynsbegäran.docx", "A 39933-2022")</f>
        <v/>
      </c>
      <c r="Y223">
        <f>HYPERLINK("https://klasma.github.io/Logging_2260/tillsynsmail/A 39933-2022 tillsynsbegäran mail.docx", "A 39933-2022")</f>
        <v/>
      </c>
    </row>
    <row r="224" ht="15" customHeight="1">
      <c r="A224" t="inlineStr">
        <is>
          <t>A 32457-2024</t>
        </is>
      </c>
      <c r="B224" s="1" t="n">
        <v>45512</v>
      </c>
      <c r="C224" s="1" t="n">
        <v>45984</v>
      </c>
      <c r="D224" t="inlineStr">
        <is>
          <t>VÄSTERNORRLANDS LÄN</t>
        </is>
      </c>
      <c r="E224" t="inlineStr">
        <is>
          <t>ÅNGE</t>
        </is>
      </c>
      <c r="F224" t="inlineStr">
        <is>
          <t>SCA</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HYPERLINK("https://klasma.github.io/Logging_2260/artfynd/A 32457-2024 artfynd.xlsx", "A 32457-2024")</f>
        <v/>
      </c>
      <c r="T224">
        <f>HYPERLINK("https://klasma.github.io/Logging_2260/kartor/A 32457-2024 karta.png", "A 32457-2024")</f>
        <v/>
      </c>
      <c r="V224">
        <f>HYPERLINK("https://klasma.github.io/Logging_2260/klagomål/A 32457-2024 FSC-klagomål.docx", "A 32457-2024")</f>
        <v/>
      </c>
      <c r="W224">
        <f>HYPERLINK("https://klasma.github.io/Logging_2260/klagomålsmail/A 32457-2024 FSC-klagomål mail.docx", "A 32457-2024")</f>
        <v/>
      </c>
      <c r="X224">
        <f>HYPERLINK("https://klasma.github.io/Logging_2260/tillsyn/A 32457-2024 tillsynsbegäran.docx", "A 32457-2024")</f>
        <v/>
      </c>
      <c r="Y224">
        <f>HYPERLINK("https://klasma.github.io/Logging_2260/tillsynsmail/A 32457-2024 tillsynsbegäran mail.docx", "A 32457-2024")</f>
        <v/>
      </c>
    </row>
    <row r="225" ht="15" customHeight="1">
      <c r="A225" t="inlineStr">
        <is>
          <t>A 4351-2024</t>
        </is>
      </c>
      <c r="B225" s="1" t="n">
        <v>45324</v>
      </c>
      <c r="C225" s="1" t="n">
        <v>45984</v>
      </c>
      <c r="D225" t="inlineStr">
        <is>
          <t>VÄSTERNORRLANDS LÄN</t>
        </is>
      </c>
      <c r="E225" t="inlineStr">
        <is>
          <t>ÅNGE</t>
        </is>
      </c>
      <c r="F225" t="inlineStr">
        <is>
          <t>SCA</t>
        </is>
      </c>
      <c r="G225" t="n">
        <v>0.5</v>
      </c>
      <c r="H225" t="n">
        <v>0</v>
      </c>
      <c r="I225" t="n">
        <v>0</v>
      </c>
      <c r="J225" t="n">
        <v>1</v>
      </c>
      <c r="K225" t="n">
        <v>0</v>
      </c>
      <c r="L225" t="n">
        <v>0</v>
      </c>
      <c r="M225" t="n">
        <v>0</v>
      </c>
      <c r="N225" t="n">
        <v>0</v>
      </c>
      <c r="O225" t="n">
        <v>1</v>
      </c>
      <c r="P225" t="n">
        <v>0</v>
      </c>
      <c r="Q225" t="n">
        <v>1</v>
      </c>
      <c r="R225" s="2" t="inlineStr">
        <is>
          <t>Garnlav</t>
        </is>
      </c>
      <c r="S225">
        <f>HYPERLINK("https://klasma.github.io/Logging_2260/artfynd/A 4351-2024 artfynd.xlsx", "A 4351-2024")</f>
        <v/>
      </c>
      <c r="T225">
        <f>HYPERLINK("https://klasma.github.io/Logging_2260/kartor/A 4351-2024 karta.png", "A 4351-2024")</f>
        <v/>
      </c>
      <c r="V225">
        <f>HYPERLINK("https://klasma.github.io/Logging_2260/klagomål/A 4351-2024 FSC-klagomål.docx", "A 4351-2024")</f>
        <v/>
      </c>
      <c r="W225">
        <f>HYPERLINK("https://klasma.github.io/Logging_2260/klagomålsmail/A 4351-2024 FSC-klagomål mail.docx", "A 4351-2024")</f>
        <v/>
      </c>
      <c r="X225">
        <f>HYPERLINK("https://klasma.github.io/Logging_2260/tillsyn/A 4351-2024 tillsynsbegäran.docx", "A 4351-2024")</f>
        <v/>
      </c>
      <c r="Y225">
        <f>HYPERLINK("https://klasma.github.io/Logging_2260/tillsynsmail/A 4351-2024 tillsynsbegäran mail.docx", "A 4351-2024")</f>
        <v/>
      </c>
    </row>
    <row r="226" ht="15" customHeight="1">
      <c r="A226" t="inlineStr">
        <is>
          <t>A 27308-2024</t>
        </is>
      </c>
      <c r="B226" s="1" t="n">
        <v>45471</v>
      </c>
      <c r="C226" s="1" t="n">
        <v>45984</v>
      </c>
      <c r="D226" t="inlineStr">
        <is>
          <t>VÄSTERNORRLANDS LÄN</t>
        </is>
      </c>
      <c r="E226" t="inlineStr">
        <is>
          <t>ÅNGE</t>
        </is>
      </c>
      <c r="F226" t="inlineStr">
        <is>
          <t>SCA</t>
        </is>
      </c>
      <c r="G226" t="n">
        <v>15.9</v>
      </c>
      <c r="H226" t="n">
        <v>0</v>
      </c>
      <c r="I226" t="n">
        <v>0</v>
      </c>
      <c r="J226" t="n">
        <v>1</v>
      </c>
      <c r="K226" t="n">
        <v>0</v>
      </c>
      <c r="L226" t="n">
        <v>0</v>
      </c>
      <c r="M226" t="n">
        <v>0</v>
      </c>
      <c r="N226" t="n">
        <v>0</v>
      </c>
      <c r="O226" t="n">
        <v>1</v>
      </c>
      <c r="P226" t="n">
        <v>0</v>
      </c>
      <c r="Q226" t="n">
        <v>1</v>
      </c>
      <c r="R226" s="2" t="inlineStr">
        <is>
          <t>Lunglav</t>
        </is>
      </c>
      <c r="S226">
        <f>HYPERLINK("https://klasma.github.io/Logging_2260/artfynd/A 27308-2024 artfynd.xlsx", "A 27308-2024")</f>
        <v/>
      </c>
      <c r="T226">
        <f>HYPERLINK("https://klasma.github.io/Logging_2260/kartor/A 27308-2024 karta.png", "A 27308-2024")</f>
        <v/>
      </c>
      <c r="V226">
        <f>HYPERLINK("https://klasma.github.io/Logging_2260/klagomål/A 27308-2024 FSC-klagomål.docx", "A 27308-2024")</f>
        <v/>
      </c>
      <c r="W226">
        <f>HYPERLINK("https://klasma.github.io/Logging_2260/klagomålsmail/A 27308-2024 FSC-klagomål mail.docx", "A 27308-2024")</f>
        <v/>
      </c>
      <c r="X226">
        <f>HYPERLINK("https://klasma.github.io/Logging_2260/tillsyn/A 27308-2024 tillsynsbegäran.docx", "A 27308-2024")</f>
        <v/>
      </c>
      <c r="Y226">
        <f>HYPERLINK("https://klasma.github.io/Logging_2260/tillsynsmail/A 27308-2024 tillsynsbegäran mail.docx", "A 27308-2024")</f>
        <v/>
      </c>
    </row>
    <row r="227" ht="15" customHeight="1">
      <c r="A227" t="inlineStr">
        <is>
          <t>A 8057-2021</t>
        </is>
      </c>
      <c r="B227" s="1" t="n">
        <v>44238</v>
      </c>
      <c r="C227" s="1" t="n">
        <v>45984</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45984</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45984</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45984</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45984</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45984</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45984</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45984</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45984</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45984</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45984</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45984</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45984</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45984</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45984</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45984</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45984</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45984</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45984</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45984</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45984</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45984</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45984</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45984</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45984</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45984</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45984</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45984</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45984</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45984</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45984</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45984</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45984</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45984</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45984</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45984</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45984</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45984</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45984</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45984</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45984</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45984</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45984</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45984</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45984</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45984</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45984</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45984</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45984</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45984</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45984</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45984</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45984</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45984</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45984</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45984</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45984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45984</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45984</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45984</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45984</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45984</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45984</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45984</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45984</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45984</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45984</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45984</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45984</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45984</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45984</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45984</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45984</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45984</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45984</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35058-2021</t>
        </is>
      </c>
      <c r="B302" s="1" t="n">
        <v>44383</v>
      </c>
      <c r="C302" s="1" t="n">
        <v>45984</v>
      </c>
      <c r="D302" t="inlineStr">
        <is>
          <t>VÄSTERNORRLANDS LÄN</t>
        </is>
      </c>
      <c r="E302" t="inlineStr">
        <is>
          <t>ÅNGE</t>
        </is>
      </c>
      <c r="F302" t="inlineStr">
        <is>
          <t>SCA</t>
        </is>
      </c>
      <c r="G302" t="n">
        <v>0.4</v>
      </c>
      <c r="H302" t="n">
        <v>0</v>
      </c>
      <c r="I302" t="n">
        <v>0</v>
      </c>
      <c r="J302" t="n">
        <v>0</v>
      </c>
      <c r="K302" t="n">
        <v>0</v>
      </c>
      <c r="L302" t="n">
        <v>0</v>
      </c>
      <c r="M302" t="n">
        <v>0</v>
      </c>
      <c r="N302" t="n">
        <v>0</v>
      </c>
      <c r="O302" t="n">
        <v>0</v>
      </c>
      <c r="P302" t="n">
        <v>0</v>
      </c>
      <c r="Q302" t="n">
        <v>0</v>
      </c>
      <c r="R302" s="2" t="inlineStr"/>
    </row>
    <row r="303" ht="15" customHeight="1">
      <c r="A303" t="inlineStr">
        <is>
          <t>A 35079-2021</t>
        </is>
      </c>
      <c r="B303" s="1" t="n">
        <v>44383</v>
      </c>
      <c r="C303" s="1" t="n">
        <v>45984</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45984</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45984</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45984</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69736-2021</t>
        </is>
      </c>
      <c r="B307" s="1" t="n">
        <v>44532</v>
      </c>
      <c r="C307" s="1" t="n">
        <v>45984</v>
      </c>
      <c r="D307" t="inlineStr">
        <is>
          <t>VÄSTERNORRLANDS LÄN</t>
        </is>
      </c>
      <c r="E307" t="inlineStr">
        <is>
          <t>ÅNGE</t>
        </is>
      </c>
      <c r="G307" t="n">
        <v>5</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45984</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45984</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45984</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45984</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45984</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45984</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45984</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45984</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45984</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45984</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45984</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45984</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45984</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45984</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45984</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45984</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56907-2021</t>
        </is>
      </c>
      <c r="B324" s="1" t="n">
        <v>44481.93837962963</v>
      </c>
      <c r="C324" s="1" t="n">
        <v>45984</v>
      </c>
      <c r="D324" t="inlineStr">
        <is>
          <t>VÄSTERNORRLANDS LÄN</t>
        </is>
      </c>
      <c r="E324" t="inlineStr">
        <is>
          <t>ÅNGE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12800-2021</t>
        </is>
      </c>
      <c r="B325" s="1" t="n">
        <v>44270.92056712963</v>
      </c>
      <c r="C325" s="1" t="n">
        <v>45984</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45984</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45984</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45984</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45984</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45984</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45984</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45984</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20369-2022</t>
        </is>
      </c>
      <c r="B333" s="1" t="n">
        <v>44699.41140046297</v>
      </c>
      <c r="C333" s="1" t="n">
        <v>45984</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45984</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45984</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32328-2021</t>
        </is>
      </c>
      <c r="B336" s="1" t="n">
        <v>44371.55924768518</v>
      </c>
      <c r="C336" s="1" t="n">
        <v>45984</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45984</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37621-2021</t>
        </is>
      </c>
      <c r="B338" s="1" t="n">
        <v>44399</v>
      </c>
      <c r="C338" s="1" t="n">
        <v>45984</v>
      </c>
      <c r="D338" t="inlineStr">
        <is>
          <t>VÄSTERNORRLANDS LÄN</t>
        </is>
      </c>
      <c r="E338" t="inlineStr">
        <is>
          <t>ÅNGE</t>
        </is>
      </c>
      <c r="G338" t="n">
        <v>2.5</v>
      </c>
      <c r="H338" t="n">
        <v>0</v>
      </c>
      <c r="I338" t="n">
        <v>0</v>
      </c>
      <c r="J338" t="n">
        <v>0</v>
      </c>
      <c r="K338" t="n">
        <v>0</v>
      </c>
      <c r="L338" t="n">
        <v>0</v>
      </c>
      <c r="M338" t="n">
        <v>0</v>
      </c>
      <c r="N338" t="n">
        <v>0</v>
      </c>
      <c r="O338" t="n">
        <v>0</v>
      </c>
      <c r="P338" t="n">
        <v>0</v>
      </c>
      <c r="Q338" t="n">
        <v>0</v>
      </c>
      <c r="R338" s="2" t="inlineStr"/>
    </row>
    <row r="339" ht="15" customHeight="1">
      <c r="A339" t="inlineStr">
        <is>
          <t>A 30768-2022</t>
        </is>
      </c>
      <c r="B339" s="1" t="n">
        <v>44764.53608796297</v>
      </c>
      <c r="C339" s="1" t="n">
        <v>45984</v>
      </c>
      <c r="D339" t="inlineStr">
        <is>
          <t>VÄSTERNORRLANDS LÄN</t>
        </is>
      </c>
      <c r="E339" t="inlineStr">
        <is>
          <t>ÅNGE</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45984</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51555-2022</t>
        </is>
      </c>
      <c r="B341" s="1" t="n">
        <v>44869.9495949074</v>
      </c>
      <c r="C341" s="1" t="n">
        <v>45984</v>
      </c>
      <c r="D341" t="inlineStr">
        <is>
          <t>VÄSTERNORRLANDS LÄN</t>
        </is>
      </c>
      <c r="E341" t="inlineStr">
        <is>
          <t>ÅNGE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45984</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30286-2021</t>
        </is>
      </c>
      <c r="B343" s="1" t="n">
        <v>44363</v>
      </c>
      <c r="C343" s="1" t="n">
        <v>45984</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45984</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45984</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45984</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65280-2020</t>
        </is>
      </c>
      <c r="B347" s="1" t="n">
        <v>44172</v>
      </c>
      <c r="C347" s="1" t="n">
        <v>45984</v>
      </c>
      <c r="D347" t="inlineStr">
        <is>
          <t>VÄSTERNORRLANDS LÄN</t>
        </is>
      </c>
      <c r="E347" t="inlineStr">
        <is>
          <t>ÅNGE</t>
        </is>
      </c>
      <c r="F347" t="inlineStr">
        <is>
          <t>SCA</t>
        </is>
      </c>
      <c r="G347" t="n">
        <v>4</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45984</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45984</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45984</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45984</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45984</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45984</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45984</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45984</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57418-2021</t>
        </is>
      </c>
      <c r="B356" s="1" t="n">
        <v>44483</v>
      </c>
      <c r="C356" s="1" t="n">
        <v>45984</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45984</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1297-2022</t>
        </is>
      </c>
      <c r="B358" s="1" t="n">
        <v>44572.69135416667</v>
      </c>
      <c r="C358" s="1" t="n">
        <v>45984</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10342-2021</t>
        </is>
      </c>
      <c r="B359" s="1" t="n">
        <v>44257</v>
      </c>
      <c r="C359" s="1" t="n">
        <v>45984</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45984</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17594-2021</t>
        </is>
      </c>
      <c r="B361" s="1" t="n">
        <v>44299</v>
      </c>
      <c r="C361" s="1" t="n">
        <v>45984</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45984</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45984</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45984</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45984</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45984</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45984</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2327-2021</t>
        </is>
      </c>
      <c r="B368" s="1" t="n">
        <v>44214</v>
      </c>
      <c r="C368" s="1" t="n">
        <v>45984</v>
      </c>
      <c r="D368" t="inlineStr">
        <is>
          <t>VÄSTERNORRLANDS LÄN</t>
        </is>
      </c>
      <c r="E368" t="inlineStr">
        <is>
          <t>ÅNGE</t>
        </is>
      </c>
      <c r="G368" t="n">
        <v>6.7</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45984</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45984</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46053-2021</t>
        </is>
      </c>
      <c r="B371" s="1" t="n">
        <v>44441</v>
      </c>
      <c r="C371" s="1" t="n">
        <v>45984</v>
      </c>
      <c r="D371" t="inlineStr">
        <is>
          <t>VÄSTERNORRLANDS LÄN</t>
        </is>
      </c>
      <c r="E371" t="inlineStr">
        <is>
          <t>ÅNGE</t>
        </is>
      </c>
      <c r="F371" t="inlineStr">
        <is>
          <t>SCA</t>
        </is>
      </c>
      <c r="G371" t="n">
        <v>0.2</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45984</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45984</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45984</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45984</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45984</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45984</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45984</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45984</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45984</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45984</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45984</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45984</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45984</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45984</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45984</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45984</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45984</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45984</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45984</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45984</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45984</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51810-2023</t>
        </is>
      </c>
      <c r="B393" s="1" t="n">
        <v>45222.96583333334</v>
      </c>
      <c r="C393" s="1" t="n">
        <v>45984</v>
      </c>
      <c r="D393" t="inlineStr">
        <is>
          <t>VÄSTERNORRLANDS LÄN</t>
        </is>
      </c>
      <c r="E393" t="inlineStr">
        <is>
          <t>ÅNGE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45984</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53549-2023</t>
        </is>
      </c>
      <c r="B395" s="1" t="n">
        <v>45230</v>
      </c>
      <c r="C395" s="1" t="n">
        <v>45984</v>
      </c>
      <c r="D395" t="inlineStr">
        <is>
          <t>VÄSTERNORRLANDS LÄN</t>
        </is>
      </c>
      <c r="E395" t="inlineStr">
        <is>
          <t>ÅNGE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45984</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31696-2022</t>
        </is>
      </c>
      <c r="B397" s="1" t="n">
        <v>44776</v>
      </c>
      <c r="C397" s="1" t="n">
        <v>45984</v>
      </c>
      <c r="D397" t="inlineStr">
        <is>
          <t>VÄSTERNORRLANDS LÄN</t>
        </is>
      </c>
      <c r="E397" t="inlineStr">
        <is>
          <t>ÅNGE</t>
        </is>
      </c>
      <c r="G397" t="n">
        <v>1.8</v>
      </c>
      <c r="H397" t="n">
        <v>0</v>
      </c>
      <c r="I397" t="n">
        <v>0</v>
      </c>
      <c r="J397" t="n">
        <v>0</v>
      </c>
      <c r="K397" t="n">
        <v>0</v>
      </c>
      <c r="L397" t="n">
        <v>0</v>
      </c>
      <c r="M397" t="n">
        <v>0</v>
      </c>
      <c r="N397" t="n">
        <v>0</v>
      </c>
      <c r="O397" t="n">
        <v>0</v>
      </c>
      <c r="P397" t="n">
        <v>0</v>
      </c>
      <c r="Q397" t="n">
        <v>0</v>
      </c>
      <c r="R397" s="2" t="inlineStr"/>
    </row>
    <row r="398" ht="15" customHeight="1">
      <c r="A398" t="inlineStr">
        <is>
          <t>A 58634-2023</t>
        </is>
      </c>
      <c r="B398" s="1" t="n">
        <v>45251</v>
      </c>
      <c r="C398" s="1" t="n">
        <v>45984</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63709-2023</t>
        </is>
      </c>
      <c r="B399" s="1" t="n">
        <v>45275.95069444444</v>
      </c>
      <c r="C399" s="1" t="n">
        <v>45984</v>
      </c>
      <c r="D399" t="inlineStr">
        <is>
          <t>VÄSTERNORRLANDS LÄN</t>
        </is>
      </c>
      <c r="E399" t="inlineStr">
        <is>
          <t>ÅNGE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45984</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45984</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20108-2025</t>
        </is>
      </c>
      <c r="B402" s="1" t="n">
        <v>45772.47006944445</v>
      </c>
      <c r="C402" s="1" t="n">
        <v>45984</v>
      </c>
      <c r="D402" t="inlineStr">
        <is>
          <t>VÄSTERNORRLANDS LÄN</t>
        </is>
      </c>
      <c r="E402" t="inlineStr">
        <is>
          <t>ÅNGE</t>
        </is>
      </c>
      <c r="F402" t="inlineStr">
        <is>
          <t>Naturvårdsverket</t>
        </is>
      </c>
      <c r="G402" t="n">
        <v>2</v>
      </c>
      <c r="H402" t="n">
        <v>0</v>
      </c>
      <c r="I402" t="n">
        <v>0</v>
      </c>
      <c r="J402" t="n">
        <v>0</v>
      </c>
      <c r="K402" t="n">
        <v>0</v>
      </c>
      <c r="L402" t="n">
        <v>0</v>
      </c>
      <c r="M402" t="n">
        <v>0</v>
      </c>
      <c r="N402" t="n">
        <v>0</v>
      </c>
      <c r="O402" t="n">
        <v>0</v>
      </c>
      <c r="P402" t="n">
        <v>0</v>
      </c>
      <c r="Q402" t="n">
        <v>0</v>
      </c>
      <c r="R402" s="2" t="inlineStr"/>
    </row>
    <row r="403" ht="15" customHeight="1">
      <c r="A403" t="inlineStr">
        <is>
          <t>A 54342-2023</t>
        </is>
      </c>
      <c r="B403" s="1" t="n">
        <v>45232</v>
      </c>
      <c r="C403" s="1" t="n">
        <v>45984</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6610-2025</t>
        </is>
      </c>
      <c r="B404" s="1" t="n">
        <v>45700</v>
      </c>
      <c r="C404" s="1" t="n">
        <v>45984</v>
      </c>
      <c r="D404" t="inlineStr">
        <is>
          <t>VÄSTERNORRLANDS LÄN</t>
        </is>
      </c>
      <c r="E404" t="inlineStr">
        <is>
          <t>ÅNGE</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16853-2023</t>
        </is>
      </c>
      <c r="B405" s="1" t="n">
        <v>45033</v>
      </c>
      <c r="C405" s="1" t="n">
        <v>45984</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45984</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45984</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2365-2024</t>
        </is>
      </c>
      <c r="B408" s="1" t="n">
        <v>45310.59778935185</v>
      </c>
      <c r="C408" s="1" t="n">
        <v>45984</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2372-2024</t>
        </is>
      </c>
      <c r="B409" s="1" t="n">
        <v>45310.6115625</v>
      </c>
      <c r="C409" s="1" t="n">
        <v>45984</v>
      </c>
      <c r="D409" t="inlineStr">
        <is>
          <t>VÄSTERNORRLANDS LÄN</t>
        </is>
      </c>
      <c r="E409" t="inlineStr">
        <is>
          <t>ÅNGE</t>
        </is>
      </c>
      <c r="G409" t="n">
        <v>5.6</v>
      </c>
      <c r="H409" t="n">
        <v>0</v>
      </c>
      <c r="I409" t="n">
        <v>0</v>
      </c>
      <c r="J409" t="n">
        <v>0</v>
      </c>
      <c r="K409" t="n">
        <v>0</v>
      </c>
      <c r="L409" t="n">
        <v>0</v>
      </c>
      <c r="M409" t="n">
        <v>0</v>
      </c>
      <c r="N409" t="n">
        <v>0</v>
      </c>
      <c r="O409" t="n">
        <v>0</v>
      </c>
      <c r="P409" t="n">
        <v>0</v>
      </c>
      <c r="Q409" t="n">
        <v>0</v>
      </c>
      <c r="R409" s="2" t="inlineStr"/>
    </row>
    <row r="410" ht="15" customHeight="1">
      <c r="A410" t="inlineStr">
        <is>
          <t>A 17452-2025</t>
        </is>
      </c>
      <c r="B410" s="1" t="n">
        <v>45757.44842592593</v>
      </c>
      <c r="C410" s="1" t="n">
        <v>45984</v>
      </c>
      <c r="D410" t="inlineStr">
        <is>
          <t>VÄSTERNORRLANDS LÄN</t>
        </is>
      </c>
      <c r="E410" t="inlineStr">
        <is>
          <t>ÅNGE</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46255-2023</t>
        </is>
      </c>
      <c r="B411" s="1" t="n">
        <v>45196</v>
      </c>
      <c r="C411" s="1" t="n">
        <v>45984</v>
      </c>
      <c r="D411" t="inlineStr">
        <is>
          <t>VÄSTERNORRLANDS LÄN</t>
        </is>
      </c>
      <c r="E411" t="inlineStr">
        <is>
          <t>ÅNGE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31325-2022</t>
        </is>
      </c>
      <c r="B412" s="1" t="n">
        <v>44774.41421296296</v>
      </c>
      <c r="C412" s="1" t="n">
        <v>45984</v>
      </c>
      <c r="D412" t="inlineStr">
        <is>
          <t>VÄSTERNORRLANDS LÄN</t>
        </is>
      </c>
      <c r="E412" t="inlineStr">
        <is>
          <t>ÅNGE</t>
        </is>
      </c>
      <c r="G412" t="n">
        <v>6.3</v>
      </c>
      <c r="H412" t="n">
        <v>0</v>
      </c>
      <c r="I412" t="n">
        <v>0</v>
      </c>
      <c r="J412" t="n">
        <v>0</v>
      </c>
      <c r="K412" t="n">
        <v>0</v>
      </c>
      <c r="L412" t="n">
        <v>0</v>
      </c>
      <c r="M412" t="n">
        <v>0</v>
      </c>
      <c r="N412" t="n">
        <v>0</v>
      </c>
      <c r="O412" t="n">
        <v>0</v>
      </c>
      <c r="P412" t="n">
        <v>0</v>
      </c>
      <c r="Q412" t="n">
        <v>0</v>
      </c>
      <c r="R412" s="2" t="inlineStr"/>
    </row>
    <row r="413" ht="15" customHeight="1">
      <c r="A413" t="inlineStr">
        <is>
          <t>A 20761-2024</t>
        </is>
      </c>
      <c r="B413" s="1" t="n">
        <v>45436</v>
      </c>
      <c r="C413" s="1" t="n">
        <v>45984</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42857-2022</t>
        </is>
      </c>
      <c r="B414" s="1" t="n">
        <v>44832</v>
      </c>
      <c r="C414" s="1" t="n">
        <v>45984</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45984</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45984</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45984</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15287-2025</t>
        </is>
      </c>
      <c r="B418" s="1" t="n">
        <v>45745</v>
      </c>
      <c r="C418" s="1" t="n">
        <v>45984</v>
      </c>
      <c r="D418" t="inlineStr">
        <is>
          <t>VÄSTERNORRLANDS LÄN</t>
        </is>
      </c>
      <c r="E418" t="inlineStr">
        <is>
          <t>ÅNGE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45984</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31492-2024</t>
        </is>
      </c>
      <c r="B420" s="1" t="n">
        <v>45505</v>
      </c>
      <c r="C420" s="1" t="n">
        <v>45984</v>
      </c>
      <c r="D420" t="inlineStr">
        <is>
          <t>VÄSTERNORRLANDS LÄN</t>
        </is>
      </c>
      <c r="E420" t="inlineStr">
        <is>
          <t>ÅNGE</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38800-2024</t>
        </is>
      </c>
      <c r="B421" s="1" t="n">
        <v>45547</v>
      </c>
      <c r="C421" s="1" t="n">
        <v>45984</v>
      </c>
      <c r="D421" t="inlineStr">
        <is>
          <t>VÄSTERNORRLANDS LÄN</t>
        </is>
      </c>
      <c r="E421" t="inlineStr">
        <is>
          <t>ÅNGE</t>
        </is>
      </c>
      <c r="G421" t="n">
        <v>2.6</v>
      </c>
      <c r="H421" t="n">
        <v>0</v>
      </c>
      <c r="I421" t="n">
        <v>0</v>
      </c>
      <c r="J421" t="n">
        <v>0</v>
      </c>
      <c r="K421" t="n">
        <v>0</v>
      </c>
      <c r="L421" t="n">
        <v>0</v>
      </c>
      <c r="M421" t="n">
        <v>0</v>
      </c>
      <c r="N421" t="n">
        <v>0</v>
      </c>
      <c r="O421" t="n">
        <v>0</v>
      </c>
      <c r="P421" t="n">
        <v>0</v>
      </c>
      <c r="Q421" t="n">
        <v>0</v>
      </c>
      <c r="R421" s="2" t="inlineStr"/>
    </row>
    <row r="422" ht="15" customHeight="1">
      <c r="A422" t="inlineStr">
        <is>
          <t>A 58997-2023</t>
        </is>
      </c>
      <c r="B422" s="1" t="n">
        <v>45252.6352662037</v>
      </c>
      <c r="C422" s="1" t="n">
        <v>45984</v>
      </c>
      <c r="D422" t="inlineStr">
        <is>
          <t>VÄSTERNORRLANDS LÄN</t>
        </is>
      </c>
      <c r="E422" t="inlineStr">
        <is>
          <t>ÅNGE</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38332-2025</t>
        </is>
      </c>
      <c r="B423" s="1" t="n">
        <v>45883.49151620371</v>
      </c>
      <c r="C423" s="1" t="n">
        <v>45984</v>
      </c>
      <c r="D423" t="inlineStr">
        <is>
          <t>VÄSTERNORRLANDS LÄN</t>
        </is>
      </c>
      <c r="E423" t="inlineStr">
        <is>
          <t>ÅNGE</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45984</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20880-2025</t>
        </is>
      </c>
      <c r="B425" s="1" t="n">
        <v>45777</v>
      </c>
      <c r="C425" s="1" t="n">
        <v>45984</v>
      </c>
      <c r="D425" t="inlineStr">
        <is>
          <t>VÄSTERNORRLANDS LÄN</t>
        </is>
      </c>
      <c r="E425" t="inlineStr">
        <is>
          <t>ÅNGE</t>
        </is>
      </c>
      <c r="G425" t="n">
        <v>1.6</v>
      </c>
      <c r="H425" t="n">
        <v>0</v>
      </c>
      <c r="I425" t="n">
        <v>0</v>
      </c>
      <c r="J425" t="n">
        <v>0</v>
      </c>
      <c r="K425" t="n">
        <v>0</v>
      </c>
      <c r="L425" t="n">
        <v>0</v>
      </c>
      <c r="M425" t="n">
        <v>0</v>
      </c>
      <c r="N425" t="n">
        <v>0</v>
      </c>
      <c r="O425" t="n">
        <v>0</v>
      </c>
      <c r="P425" t="n">
        <v>0</v>
      </c>
      <c r="Q425" t="n">
        <v>0</v>
      </c>
      <c r="R425" s="2" t="inlineStr"/>
    </row>
    <row r="426" ht="15" customHeight="1">
      <c r="A426" t="inlineStr">
        <is>
          <t>A 18869-2024</t>
        </is>
      </c>
      <c r="B426" s="1" t="n">
        <v>45426</v>
      </c>
      <c r="C426" s="1" t="n">
        <v>45984</v>
      </c>
      <c r="D426" t="inlineStr">
        <is>
          <t>VÄSTERNORRLANDS LÄN</t>
        </is>
      </c>
      <c r="E426" t="inlineStr">
        <is>
          <t>ÅNGE</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24797-2024</t>
        </is>
      </c>
      <c r="B427" s="1" t="n">
        <v>45460.95269675926</v>
      </c>
      <c r="C427" s="1" t="n">
        <v>45984</v>
      </c>
      <c r="D427" t="inlineStr">
        <is>
          <t>VÄSTERNORRLANDS LÄN</t>
        </is>
      </c>
      <c r="E427" t="inlineStr">
        <is>
          <t>ÅNGE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22219-2025</t>
        </is>
      </c>
      <c r="B428" s="1" t="n">
        <v>45785.65849537037</v>
      </c>
      <c r="C428" s="1" t="n">
        <v>45984</v>
      </c>
      <c r="D428" t="inlineStr">
        <is>
          <t>VÄSTERNORRLANDS LÄN</t>
        </is>
      </c>
      <c r="E428" t="inlineStr">
        <is>
          <t>ÅNGE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22206-2025</t>
        </is>
      </c>
      <c r="B429" s="1" t="n">
        <v>45785.65699074074</v>
      </c>
      <c r="C429" s="1" t="n">
        <v>45984</v>
      </c>
      <c r="D429" t="inlineStr">
        <is>
          <t>VÄSTERNORRLANDS LÄN</t>
        </is>
      </c>
      <c r="E429" t="inlineStr">
        <is>
          <t>ÅNGE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22680-2024</t>
        </is>
      </c>
      <c r="B430" s="1" t="n">
        <v>45447.94548611111</v>
      </c>
      <c r="C430" s="1" t="n">
        <v>45984</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26640-2024</t>
        </is>
      </c>
      <c r="B431" s="1" t="n">
        <v>45469.92831018518</v>
      </c>
      <c r="C431" s="1" t="n">
        <v>45984</v>
      </c>
      <c r="D431" t="inlineStr">
        <is>
          <t>VÄSTERNORRLANDS LÄN</t>
        </is>
      </c>
      <c r="E431" t="inlineStr">
        <is>
          <t>ÅNGE</t>
        </is>
      </c>
      <c r="G431" t="n">
        <v>9.9</v>
      </c>
      <c r="H431" t="n">
        <v>0</v>
      </c>
      <c r="I431" t="n">
        <v>0</v>
      </c>
      <c r="J431" t="n">
        <v>0</v>
      </c>
      <c r="K431" t="n">
        <v>0</v>
      </c>
      <c r="L431" t="n">
        <v>0</v>
      </c>
      <c r="M431" t="n">
        <v>0</v>
      </c>
      <c r="N431" t="n">
        <v>0</v>
      </c>
      <c r="O431" t="n">
        <v>0</v>
      </c>
      <c r="P431" t="n">
        <v>0</v>
      </c>
      <c r="Q431" t="n">
        <v>0</v>
      </c>
      <c r="R431" s="2" t="inlineStr"/>
    </row>
    <row r="432" ht="15" customHeight="1">
      <c r="A432" t="inlineStr">
        <is>
          <t>A 23035-2024</t>
        </is>
      </c>
      <c r="B432" s="1" t="n">
        <v>45450.39016203704</v>
      </c>
      <c r="C432" s="1" t="n">
        <v>45984</v>
      </c>
      <c r="D432" t="inlineStr">
        <is>
          <t>VÄSTERNORRLANDS LÄN</t>
        </is>
      </c>
      <c r="E432" t="inlineStr">
        <is>
          <t>ÅNGE</t>
        </is>
      </c>
      <c r="G432" t="n">
        <v>12.1</v>
      </c>
      <c r="H432" t="n">
        <v>0</v>
      </c>
      <c r="I432" t="n">
        <v>0</v>
      </c>
      <c r="J432" t="n">
        <v>0</v>
      </c>
      <c r="K432" t="n">
        <v>0</v>
      </c>
      <c r="L432" t="n">
        <v>0</v>
      </c>
      <c r="M432" t="n">
        <v>0</v>
      </c>
      <c r="N432" t="n">
        <v>0</v>
      </c>
      <c r="O432" t="n">
        <v>0</v>
      </c>
      <c r="P432" t="n">
        <v>0</v>
      </c>
      <c r="Q432" t="n">
        <v>0</v>
      </c>
      <c r="R432" s="2" t="inlineStr"/>
    </row>
    <row r="433" ht="15" customHeight="1">
      <c r="A433" t="inlineStr">
        <is>
          <t>A 23063-2024</t>
        </is>
      </c>
      <c r="B433" s="1" t="n">
        <v>45450.44278935185</v>
      </c>
      <c r="C433" s="1" t="n">
        <v>45984</v>
      </c>
      <c r="D433" t="inlineStr">
        <is>
          <t>VÄSTERNORRLANDS LÄN</t>
        </is>
      </c>
      <c r="E433" t="inlineStr">
        <is>
          <t>ÅNGE</t>
        </is>
      </c>
      <c r="G433" t="n">
        <v>0.8</v>
      </c>
      <c r="H433" t="n">
        <v>0</v>
      </c>
      <c r="I433" t="n">
        <v>0</v>
      </c>
      <c r="J433" t="n">
        <v>0</v>
      </c>
      <c r="K433" t="n">
        <v>0</v>
      </c>
      <c r="L433" t="n">
        <v>0</v>
      </c>
      <c r="M433" t="n">
        <v>0</v>
      </c>
      <c r="N433" t="n">
        <v>0</v>
      </c>
      <c r="O433" t="n">
        <v>0</v>
      </c>
      <c r="P433" t="n">
        <v>0</v>
      </c>
      <c r="Q433" t="n">
        <v>0</v>
      </c>
      <c r="R433" s="2" t="inlineStr"/>
    </row>
    <row r="434" ht="15" customHeight="1">
      <c r="A434" t="inlineStr">
        <is>
          <t>A 22489-2025</t>
        </is>
      </c>
      <c r="B434" s="1" t="n">
        <v>45786.64946759259</v>
      </c>
      <c r="C434" s="1" t="n">
        <v>45984</v>
      </c>
      <c r="D434" t="inlineStr">
        <is>
          <t>VÄSTERNORRLANDS LÄN</t>
        </is>
      </c>
      <c r="E434" t="inlineStr">
        <is>
          <t>ÅNGE</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22549-2025</t>
        </is>
      </c>
      <c r="B435" s="1" t="n">
        <v>45788.48113425926</v>
      </c>
      <c r="C435" s="1" t="n">
        <v>45984</v>
      </c>
      <c r="D435" t="inlineStr">
        <is>
          <t>VÄSTERNORRLANDS LÄN</t>
        </is>
      </c>
      <c r="E435" t="inlineStr">
        <is>
          <t>ÅNGE</t>
        </is>
      </c>
      <c r="G435" t="n">
        <v>2.6</v>
      </c>
      <c r="H435" t="n">
        <v>0</v>
      </c>
      <c r="I435" t="n">
        <v>0</v>
      </c>
      <c r="J435" t="n">
        <v>0</v>
      </c>
      <c r="K435" t="n">
        <v>0</v>
      </c>
      <c r="L435" t="n">
        <v>0</v>
      </c>
      <c r="M435" t="n">
        <v>0</v>
      </c>
      <c r="N435" t="n">
        <v>0</v>
      </c>
      <c r="O435" t="n">
        <v>0</v>
      </c>
      <c r="P435" t="n">
        <v>0</v>
      </c>
      <c r="Q435" t="n">
        <v>0</v>
      </c>
      <c r="R435" s="2" t="inlineStr"/>
    </row>
    <row r="436" ht="15" customHeight="1">
      <c r="A436" t="inlineStr">
        <is>
          <t>A 12581-2024</t>
        </is>
      </c>
      <c r="B436" s="1" t="n">
        <v>45379</v>
      </c>
      <c r="C436" s="1" t="n">
        <v>45984</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22926-2025</t>
        </is>
      </c>
      <c r="B437" s="1" t="n">
        <v>45790</v>
      </c>
      <c r="C437" s="1" t="n">
        <v>45984</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22928-2025</t>
        </is>
      </c>
      <c r="B438" s="1" t="n">
        <v>45790.44825231482</v>
      </c>
      <c r="C438" s="1" t="n">
        <v>45984</v>
      </c>
      <c r="D438" t="inlineStr">
        <is>
          <t>VÄSTERNORRLANDS LÄN</t>
        </is>
      </c>
      <c r="E438" t="inlineStr">
        <is>
          <t>ÅNGE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3352-2021</t>
        </is>
      </c>
      <c r="B439" s="1" t="n">
        <v>44217</v>
      </c>
      <c r="C439" s="1" t="n">
        <v>45984</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22791-2025</t>
        </is>
      </c>
      <c r="B440" s="1" t="n">
        <v>45789.65663194445</v>
      </c>
      <c r="C440" s="1" t="n">
        <v>45984</v>
      </c>
      <c r="D440" t="inlineStr">
        <is>
          <t>VÄSTERNORRLANDS LÄN</t>
        </is>
      </c>
      <c r="E440" t="inlineStr">
        <is>
          <t>ÅNGE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24231-2024</t>
        </is>
      </c>
      <c r="B441" s="1" t="n">
        <v>45457.34393518518</v>
      </c>
      <c r="C441" s="1" t="n">
        <v>45984</v>
      </c>
      <c r="D441" t="inlineStr">
        <is>
          <t>VÄSTERNORRLANDS LÄN</t>
        </is>
      </c>
      <c r="E441" t="inlineStr">
        <is>
          <t>ÅNGE</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13773-2024</t>
        </is>
      </c>
      <c r="B442" s="1" t="n">
        <v>45390.95297453704</v>
      </c>
      <c r="C442" s="1" t="n">
        <v>45984</v>
      </c>
      <c r="D442" t="inlineStr">
        <is>
          <t>VÄSTERNORRLANDS LÄN</t>
        </is>
      </c>
      <c r="E442" t="inlineStr">
        <is>
          <t>ÅNGE</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23091-2025</t>
        </is>
      </c>
      <c r="B443" s="1" t="n">
        <v>45791.34456018519</v>
      </c>
      <c r="C443" s="1" t="n">
        <v>45984</v>
      </c>
      <c r="D443" t="inlineStr">
        <is>
          <t>VÄSTERNORRLANDS LÄN</t>
        </is>
      </c>
      <c r="E443" t="inlineStr">
        <is>
          <t>ÅNGE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23580-2025</t>
        </is>
      </c>
      <c r="B444" s="1" t="n">
        <v>45792.62555555555</v>
      </c>
      <c r="C444" s="1" t="n">
        <v>45984</v>
      </c>
      <c r="D444" t="inlineStr">
        <is>
          <t>VÄSTERNORRLANDS LÄN</t>
        </is>
      </c>
      <c r="E444" t="inlineStr">
        <is>
          <t>ÅNGE</t>
        </is>
      </c>
      <c r="F444" t="inlineStr">
        <is>
          <t>Kyrkan</t>
        </is>
      </c>
      <c r="G444" t="n">
        <v>2.6</v>
      </c>
      <c r="H444" t="n">
        <v>0</v>
      </c>
      <c r="I444" t="n">
        <v>0</v>
      </c>
      <c r="J444" t="n">
        <v>0</v>
      </c>
      <c r="K444" t="n">
        <v>0</v>
      </c>
      <c r="L444" t="n">
        <v>0</v>
      </c>
      <c r="M444" t="n">
        <v>0</v>
      </c>
      <c r="N444" t="n">
        <v>0</v>
      </c>
      <c r="O444" t="n">
        <v>0</v>
      </c>
      <c r="P444" t="n">
        <v>0</v>
      </c>
      <c r="Q444" t="n">
        <v>0</v>
      </c>
      <c r="R444" s="2" t="inlineStr"/>
    </row>
    <row r="445" ht="15" customHeight="1">
      <c r="A445" t="inlineStr">
        <is>
          <t>A 9567-2024</t>
        </is>
      </c>
      <c r="B445" s="1" t="n">
        <v>45360.03635416667</v>
      </c>
      <c r="C445" s="1" t="n">
        <v>45984</v>
      </c>
      <c r="D445" t="inlineStr">
        <is>
          <t>VÄSTERNORRLANDS LÄN</t>
        </is>
      </c>
      <c r="E445" t="inlineStr">
        <is>
          <t>ÅNGE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23343-2025</t>
        </is>
      </c>
      <c r="B446" s="1" t="n">
        <v>45791.65702546296</v>
      </c>
      <c r="C446" s="1" t="n">
        <v>45984</v>
      </c>
      <c r="D446" t="inlineStr">
        <is>
          <t>VÄSTERNORRLANDS LÄN</t>
        </is>
      </c>
      <c r="E446" t="inlineStr">
        <is>
          <t>ÅNGE</t>
        </is>
      </c>
      <c r="F446" t="inlineStr">
        <is>
          <t>SCA</t>
        </is>
      </c>
      <c r="G446" t="n">
        <v>12.6</v>
      </c>
      <c r="H446" t="n">
        <v>0</v>
      </c>
      <c r="I446" t="n">
        <v>0</v>
      </c>
      <c r="J446" t="n">
        <v>0</v>
      </c>
      <c r="K446" t="n">
        <v>0</v>
      </c>
      <c r="L446" t="n">
        <v>0</v>
      </c>
      <c r="M446" t="n">
        <v>0</v>
      </c>
      <c r="N446" t="n">
        <v>0</v>
      </c>
      <c r="O446" t="n">
        <v>0</v>
      </c>
      <c r="P446" t="n">
        <v>0</v>
      </c>
      <c r="Q446" t="n">
        <v>0</v>
      </c>
      <c r="R446" s="2" t="inlineStr"/>
    </row>
    <row r="447" ht="15" customHeight="1">
      <c r="A447" t="inlineStr">
        <is>
          <t>A 23573-2025</t>
        </is>
      </c>
      <c r="B447" s="1" t="n">
        <v>45792.61497685185</v>
      </c>
      <c r="C447" s="1" t="n">
        <v>45984</v>
      </c>
      <c r="D447" t="inlineStr">
        <is>
          <t>VÄSTERNORRLANDS LÄN</t>
        </is>
      </c>
      <c r="E447" t="inlineStr">
        <is>
          <t>ÅNGE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51311-2022</t>
        </is>
      </c>
      <c r="B448" s="1" t="n">
        <v>44868</v>
      </c>
      <c r="C448" s="1" t="n">
        <v>45984</v>
      </c>
      <c r="D448" t="inlineStr">
        <is>
          <t>VÄSTERNORRLANDS LÄN</t>
        </is>
      </c>
      <c r="E448" t="inlineStr">
        <is>
          <t>ÅNGE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33428-2023</t>
        </is>
      </c>
      <c r="B449" s="1" t="n">
        <v>45128.94976851852</v>
      </c>
      <c r="C449" s="1" t="n">
        <v>45984</v>
      </c>
      <c r="D449" t="inlineStr">
        <is>
          <t>VÄSTERNORRLANDS LÄN</t>
        </is>
      </c>
      <c r="E449" t="inlineStr">
        <is>
          <t>ÅNGE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23590-2025</t>
        </is>
      </c>
      <c r="B450" s="1" t="n">
        <v>45792.63627314815</v>
      </c>
      <c r="C450" s="1" t="n">
        <v>45984</v>
      </c>
      <c r="D450" t="inlineStr">
        <is>
          <t>VÄSTERNORRLANDS LÄN</t>
        </is>
      </c>
      <c r="E450" t="inlineStr">
        <is>
          <t>ÅNGE</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23495-2025</t>
        </is>
      </c>
      <c r="B451" s="1" t="n">
        <v>45792.46967592592</v>
      </c>
      <c r="C451" s="1" t="n">
        <v>45984</v>
      </c>
      <c r="D451" t="inlineStr">
        <is>
          <t>VÄSTERNORRLANDS LÄN</t>
        </is>
      </c>
      <c r="E451" t="inlineStr">
        <is>
          <t>ÅNGE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23589-2025</t>
        </is>
      </c>
      <c r="B452" s="1" t="n">
        <v>45792.63618055556</v>
      </c>
      <c r="C452" s="1" t="n">
        <v>45984</v>
      </c>
      <c r="D452" t="inlineStr">
        <is>
          <t>VÄSTERNORRLANDS LÄN</t>
        </is>
      </c>
      <c r="E452" t="inlineStr">
        <is>
          <t>ÅNGE</t>
        </is>
      </c>
      <c r="F452" t="inlineStr">
        <is>
          <t>SCA</t>
        </is>
      </c>
      <c r="G452" t="n">
        <v>10.7</v>
      </c>
      <c r="H452" t="n">
        <v>0</v>
      </c>
      <c r="I452" t="n">
        <v>0</v>
      </c>
      <c r="J452" t="n">
        <v>0</v>
      </c>
      <c r="K452" t="n">
        <v>0</v>
      </c>
      <c r="L452" t="n">
        <v>0</v>
      </c>
      <c r="M452" t="n">
        <v>0</v>
      </c>
      <c r="N452" t="n">
        <v>0</v>
      </c>
      <c r="O452" t="n">
        <v>0</v>
      </c>
      <c r="P452" t="n">
        <v>0</v>
      </c>
      <c r="Q452" t="n">
        <v>0</v>
      </c>
      <c r="R452" s="2" t="inlineStr"/>
    </row>
    <row r="453" ht="15" customHeight="1">
      <c r="A453" t="inlineStr">
        <is>
          <t>A 34815-2024</t>
        </is>
      </c>
      <c r="B453" s="1" t="n">
        <v>45526.70732638889</v>
      </c>
      <c r="C453" s="1" t="n">
        <v>45984</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56399-2022</t>
        </is>
      </c>
      <c r="B454" s="1" t="n">
        <v>44890</v>
      </c>
      <c r="C454" s="1" t="n">
        <v>45984</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38703-2025</t>
        </is>
      </c>
      <c r="B455" s="1" t="n">
        <v>45885.34440972222</v>
      </c>
      <c r="C455" s="1" t="n">
        <v>45984</v>
      </c>
      <c r="D455" t="inlineStr">
        <is>
          <t>VÄSTERNORRLANDS LÄN</t>
        </is>
      </c>
      <c r="E455" t="inlineStr">
        <is>
          <t>ÅNGE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28506-2024</t>
        </is>
      </c>
      <c r="B456" s="1" t="n">
        <v>45477.9475</v>
      </c>
      <c r="C456" s="1" t="n">
        <v>45984</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1420-2023</t>
        </is>
      </c>
      <c r="B457" s="1" t="n">
        <v>44936.92762731481</v>
      </c>
      <c r="C457" s="1" t="n">
        <v>45984</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60205-2023</t>
        </is>
      </c>
      <c r="B458" s="1" t="n">
        <v>45257</v>
      </c>
      <c r="C458" s="1" t="n">
        <v>45984</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32051-2025</t>
        </is>
      </c>
      <c r="B459" s="1" t="n">
        <v>45835.44185185185</v>
      </c>
      <c r="C459" s="1" t="n">
        <v>45984</v>
      </c>
      <c r="D459" t="inlineStr">
        <is>
          <t>VÄSTERNORRLANDS LÄN</t>
        </is>
      </c>
      <c r="E459" t="inlineStr">
        <is>
          <t>ÅNGE</t>
        </is>
      </c>
      <c r="G459" t="n">
        <v>4</v>
      </c>
      <c r="H459" t="n">
        <v>0</v>
      </c>
      <c r="I459" t="n">
        <v>0</v>
      </c>
      <c r="J459" t="n">
        <v>0</v>
      </c>
      <c r="K459" t="n">
        <v>0</v>
      </c>
      <c r="L459" t="n">
        <v>0</v>
      </c>
      <c r="M459" t="n">
        <v>0</v>
      </c>
      <c r="N459" t="n">
        <v>0</v>
      </c>
      <c r="O459" t="n">
        <v>0</v>
      </c>
      <c r="P459" t="n">
        <v>0</v>
      </c>
      <c r="Q459" t="n">
        <v>0</v>
      </c>
      <c r="R459" s="2" t="inlineStr"/>
    </row>
    <row r="460" ht="15" customHeight="1">
      <c r="A460" t="inlineStr">
        <is>
          <t>A 20716-2025</t>
        </is>
      </c>
      <c r="B460" s="1" t="n">
        <v>45776.49026620371</v>
      </c>
      <c r="C460" s="1" t="n">
        <v>45984</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33631-2024</t>
        </is>
      </c>
      <c r="B461" s="1" t="n">
        <v>45520</v>
      </c>
      <c r="C461" s="1" t="n">
        <v>45984</v>
      </c>
      <c r="D461" t="inlineStr">
        <is>
          <t>VÄSTERNORRLANDS LÄN</t>
        </is>
      </c>
      <c r="E461" t="inlineStr">
        <is>
          <t>ÅNGE</t>
        </is>
      </c>
      <c r="G461" t="n">
        <v>1.7</v>
      </c>
      <c r="H461" t="n">
        <v>0</v>
      </c>
      <c r="I461" t="n">
        <v>0</v>
      </c>
      <c r="J461" t="n">
        <v>0</v>
      </c>
      <c r="K461" t="n">
        <v>0</v>
      </c>
      <c r="L461" t="n">
        <v>0</v>
      </c>
      <c r="M461" t="n">
        <v>0</v>
      </c>
      <c r="N461" t="n">
        <v>0</v>
      </c>
      <c r="O461" t="n">
        <v>0</v>
      </c>
      <c r="P461" t="n">
        <v>0</v>
      </c>
      <c r="Q461" t="n">
        <v>0</v>
      </c>
      <c r="R461" s="2" t="inlineStr"/>
    </row>
    <row r="462" ht="15" customHeight="1">
      <c r="A462" t="inlineStr">
        <is>
          <t>A 23252-2025</t>
        </is>
      </c>
      <c r="B462" s="1" t="n">
        <v>45791.53157407408</v>
      </c>
      <c r="C462" s="1" t="n">
        <v>45984</v>
      </c>
      <c r="D462" t="inlineStr">
        <is>
          <t>VÄSTERNORRLANDS LÄN</t>
        </is>
      </c>
      <c r="E462" t="inlineStr">
        <is>
          <t>ÅNGE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23529-2025</t>
        </is>
      </c>
      <c r="B463" s="1" t="n">
        <v>45792.53158564815</v>
      </c>
      <c r="C463" s="1" t="n">
        <v>45984</v>
      </c>
      <c r="D463" t="inlineStr">
        <is>
          <t>VÄSTERNORRLANDS LÄN</t>
        </is>
      </c>
      <c r="E463" t="inlineStr">
        <is>
          <t>ÅNGE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44876-2024</t>
        </is>
      </c>
      <c r="B464" s="1" t="n">
        <v>45575.34474537037</v>
      </c>
      <c r="C464" s="1" t="n">
        <v>45984</v>
      </c>
      <c r="D464" t="inlineStr">
        <is>
          <t>VÄSTERNORRLANDS LÄN</t>
        </is>
      </c>
      <c r="E464" t="inlineStr">
        <is>
          <t>ÅNGE</t>
        </is>
      </c>
      <c r="F464" t="inlineStr">
        <is>
          <t>SCA</t>
        </is>
      </c>
      <c r="G464" t="n">
        <v>12.4</v>
      </c>
      <c r="H464" t="n">
        <v>0</v>
      </c>
      <c r="I464" t="n">
        <v>0</v>
      </c>
      <c r="J464" t="n">
        <v>0</v>
      </c>
      <c r="K464" t="n">
        <v>0</v>
      </c>
      <c r="L464" t="n">
        <v>0</v>
      </c>
      <c r="M464" t="n">
        <v>0</v>
      </c>
      <c r="N464" t="n">
        <v>0</v>
      </c>
      <c r="O464" t="n">
        <v>0</v>
      </c>
      <c r="P464" t="n">
        <v>0</v>
      </c>
      <c r="Q464" t="n">
        <v>0</v>
      </c>
      <c r="R464" s="2" t="inlineStr"/>
    </row>
    <row r="465" ht="15" customHeight="1">
      <c r="A465" t="inlineStr">
        <is>
          <t>A 23552-2025</t>
        </is>
      </c>
      <c r="B465" s="1" t="n">
        <v>45792.5738425926</v>
      </c>
      <c r="C465" s="1" t="n">
        <v>45984</v>
      </c>
      <c r="D465" t="inlineStr">
        <is>
          <t>VÄSTERNORRLANDS LÄN</t>
        </is>
      </c>
      <c r="E465" t="inlineStr">
        <is>
          <t>ÅNGE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23748-2025</t>
        </is>
      </c>
      <c r="B466" s="1" t="n">
        <v>45793.44755787037</v>
      </c>
      <c r="C466" s="1" t="n">
        <v>45984</v>
      </c>
      <c r="D466" t="inlineStr">
        <is>
          <t>VÄSTERNORRLANDS LÄN</t>
        </is>
      </c>
      <c r="E466" t="inlineStr">
        <is>
          <t>ÅNGE</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38711-2025</t>
        </is>
      </c>
      <c r="B467" s="1" t="n">
        <v>45886.34450231482</v>
      </c>
      <c r="C467" s="1" t="n">
        <v>45984</v>
      </c>
      <c r="D467" t="inlineStr">
        <is>
          <t>VÄSTERNORRLANDS LÄN</t>
        </is>
      </c>
      <c r="E467" t="inlineStr">
        <is>
          <t>ÅNGE</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38715-2025</t>
        </is>
      </c>
      <c r="B468" s="1" t="n">
        <v>45886.34501157407</v>
      </c>
      <c r="C468" s="1" t="n">
        <v>45984</v>
      </c>
      <c r="D468" t="inlineStr">
        <is>
          <t>VÄSTERNORRLANDS LÄN</t>
        </is>
      </c>
      <c r="E468" t="inlineStr">
        <is>
          <t>ÅNGE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43145-2024</t>
        </is>
      </c>
      <c r="B469" s="1" t="n">
        <v>45567.63030092593</v>
      </c>
      <c r="C469" s="1" t="n">
        <v>45984</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11088-2024</t>
        </is>
      </c>
      <c r="B470" s="1" t="n">
        <v>45370</v>
      </c>
      <c r="C470" s="1" t="n">
        <v>45984</v>
      </c>
      <c r="D470" t="inlineStr">
        <is>
          <t>VÄSTERNORRLANDS LÄN</t>
        </is>
      </c>
      <c r="E470" t="inlineStr">
        <is>
          <t>ÅNGE</t>
        </is>
      </c>
      <c r="F470" t="inlineStr">
        <is>
          <t>SCA</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23899-2025</t>
        </is>
      </c>
      <c r="B471" s="1" t="n">
        <v>45794.34414351852</v>
      </c>
      <c r="C471" s="1" t="n">
        <v>45984</v>
      </c>
      <c r="D471" t="inlineStr">
        <is>
          <t>VÄSTERNORRLANDS LÄN</t>
        </is>
      </c>
      <c r="E471" t="inlineStr">
        <is>
          <t>ÅNGE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23917-2025</t>
        </is>
      </c>
      <c r="B472" s="1" t="n">
        <v>45795.34481481482</v>
      </c>
      <c r="C472" s="1" t="n">
        <v>45984</v>
      </c>
      <c r="D472" t="inlineStr">
        <is>
          <t>VÄSTERNORRLANDS LÄN</t>
        </is>
      </c>
      <c r="E472" t="inlineStr">
        <is>
          <t>ÅNGE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26012-2024</t>
        </is>
      </c>
      <c r="B473" s="1" t="n">
        <v>45467</v>
      </c>
      <c r="C473" s="1" t="n">
        <v>45984</v>
      </c>
      <c r="D473" t="inlineStr">
        <is>
          <t>VÄSTERNORRLANDS LÄN</t>
        </is>
      </c>
      <c r="E473" t="inlineStr">
        <is>
          <t>ÅNGE</t>
        </is>
      </c>
      <c r="F473" t="inlineStr">
        <is>
          <t>SCA</t>
        </is>
      </c>
      <c r="G473" t="n">
        <v>7.5</v>
      </c>
      <c r="H473" t="n">
        <v>0</v>
      </c>
      <c r="I473" t="n">
        <v>0</v>
      </c>
      <c r="J473" t="n">
        <v>0</v>
      </c>
      <c r="K473" t="n">
        <v>0</v>
      </c>
      <c r="L473" t="n">
        <v>0</v>
      </c>
      <c r="M473" t="n">
        <v>0</v>
      </c>
      <c r="N473" t="n">
        <v>0</v>
      </c>
      <c r="O473" t="n">
        <v>0</v>
      </c>
      <c r="P473" t="n">
        <v>0</v>
      </c>
      <c r="Q473" t="n">
        <v>0</v>
      </c>
      <c r="R473" s="2" t="inlineStr"/>
    </row>
    <row r="474" ht="15" customHeight="1">
      <c r="A474" t="inlineStr">
        <is>
          <t>A 56188-2024</t>
        </is>
      </c>
      <c r="B474" s="1" t="n">
        <v>45624.57800925926</v>
      </c>
      <c r="C474" s="1" t="n">
        <v>45984</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30348-2024</t>
        </is>
      </c>
      <c r="B475" s="1" t="n">
        <v>45490.95524305556</v>
      </c>
      <c r="C475" s="1" t="n">
        <v>45984</v>
      </c>
      <c r="D475" t="inlineStr">
        <is>
          <t>VÄSTERNORRLANDS LÄN</t>
        </is>
      </c>
      <c r="E475" t="inlineStr">
        <is>
          <t>ÅNGE</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31457-2024</t>
        </is>
      </c>
      <c r="B476" s="1" t="n">
        <v>45505</v>
      </c>
      <c r="C476" s="1" t="n">
        <v>45984</v>
      </c>
      <c r="D476" t="inlineStr">
        <is>
          <t>VÄSTERNORRLANDS LÄN</t>
        </is>
      </c>
      <c r="E476" t="inlineStr">
        <is>
          <t>ÅNGE</t>
        </is>
      </c>
      <c r="F476" t="inlineStr">
        <is>
          <t>SCA</t>
        </is>
      </c>
      <c r="G476" t="n">
        <v>5.2</v>
      </c>
      <c r="H476" t="n">
        <v>0</v>
      </c>
      <c r="I476" t="n">
        <v>0</v>
      </c>
      <c r="J476" t="n">
        <v>0</v>
      </c>
      <c r="K476" t="n">
        <v>0</v>
      </c>
      <c r="L476" t="n">
        <v>0</v>
      </c>
      <c r="M476" t="n">
        <v>0</v>
      </c>
      <c r="N476" t="n">
        <v>0</v>
      </c>
      <c r="O476" t="n">
        <v>0</v>
      </c>
      <c r="P476" t="n">
        <v>0</v>
      </c>
      <c r="Q476" t="n">
        <v>0</v>
      </c>
      <c r="R476" s="2" t="inlineStr"/>
    </row>
    <row r="477" ht="15" customHeight="1">
      <c r="A477" t="inlineStr">
        <is>
          <t>A 35392-2024</t>
        </is>
      </c>
      <c r="B477" s="1" t="n">
        <v>45531.4025462963</v>
      </c>
      <c r="C477" s="1" t="n">
        <v>45984</v>
      </c>
      <c r="D477" t="inlineStr">
        <is>
          <t>VÄSTERNORRLANDS LÄN</t>
        </is>
      </c>
      <c r="E477" t="inlineStr">
        <is>
          <t>ÅNGE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43066-2022</t>
        </is>
      </c>
      <c r="B478" s="1" t="n">
        <v>44833</v>
      </c>
      <c r="C478" s="1" t="n">
        <v>45984</v>
      </c>
      <c r="D478" t="inlineStr">
        <is>
          <t>VÄSTERNORRLANDS LÄN</t>
        </is>
      </c>
      <c r="E478" t="inlineStr">
        <is>
          <t>ÅNGE</t>
        </is>
      </c>
      <c r="G478" t="n">
        <v>1.2</v>
      </c>
      <c r="H478" t="n">
        <v>0</v>
      </c>
      <c r="I478" t="n">
        <v>0</v>
      </c>
      <c r="J478" t="n">
        <v>0</v>
      </c>
      <c r="K478" t="n">
        <v>0</v>
      </c>
      <c r="L478" t="n">
        <v>0</v>
      </c>
      <c r="M478" t="n">
        <v>0</v>
      </c>
      <c r="N478" t="n">
        <v>0</v>
      </c>
      <c r="O478" t="n">
        <v>0</v>
      </c>
      <c r="P478" t="n">
        <v>0</v>
      </c>
      <c r="Q478" t="n">
        <v>0</v>
      </c>
      <c r="R478" s="2" t="inlineStr"/>
    </row>
    <row r="479" ht="15" customHeight="1">
      <c r="A479" t="inlineStr">
        <is>
          <t>A 57595-2022</t>
        </is>
      </c>
      <c r="B479" s="1" t="n">
        <v>44896.97862268519</v>
      </c>
      <c r="C479" s="1" t="n">
        <v>45984</v>
      </c>
      <c r="D479" t="inlineStr">
        <is>
          <t>VÄSTERNORRLANDS LÄN</t>
        </is>
      </c>
      <c r="E479" t="inlineStr">
        <is>
          <t>ÅNGE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39843-2023</t>
        </is>
      </c>
      <c r="B480" s="1" t="n">
        <v>45168</v>
      </c>
      <c r="C480" s="1" t="n">
        <v>45984</v>
      </c>
      <c r="D480" t="inlineStr">
        <is>
          <t>VÄSTERNORRLANDS LÄN</t>
        </is>
      </c>
      <c r="E480" t="inlineStr">
        <is>
          <t>ÅNGE</t>
        </is>
      </c>
      <c r="G480" t="n">
        <v>2.1</v>
      </c>
      <c r="H480" t="n">
        <v>0</v>
      </c>
      <c r="I480" t="n">
        <v>0</v>
      </c>
      <c r="J480" t="n">
        <v>0</v>
      </c>
      <c r="K480" t="n">
        <v>0</v>
      </c>
      <c r="L480" t="n">
        <v>0</v>
      </c>
      <c r="M480" t="n">
        <v>0</v>
      </c>
      <c r="N480" t="n">
        <v>0</v>
      </c>
      <c r="O480" t="n">
        <v>0</v>
      </c>
      <c r="P480" t="n">
        <v>0</v>
      </c>
      <c r="Q480" t="n">
        <v>0</v>
      </c>
      <c r="R480" s="2" t="inlineStr"/>
    </row>
    <row r="481" ht="15" customHeight="1">
      <c r="A481" t="inlineStr">
        <is>
          <t>A 23975-2025</t>
        </is>
      </c>
      <c r="B481" s="1" t="n">
        <v>45796.38614583333</v>
      </c>
      <c r="C481" s="1" t="n">
        <v>45984</v>
      </c>
      <c r="D481" t="inlineStr">
        <is>
          <t>VÄSTERNORRLANDS LÄN</t>
        </is>
      </c>
      <c r="E481" t="inlineStr">
        <is>
          <t>ÅNGE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23976-2025</t>
        </is>
      </c>
      <c r="B482" s="1" t="n">
        <v>45796.38625</v>
      </c>
      <c r="C482" s="1" t="n">
        <v>45984</v>
      </c>
      <c r="D482" t="inlineStr">
        <is>
          <t>VÄSTERNORRLANDS LÄN</t>
        </is>
      </c>
      <c r="E482" t="inlineStr">
        <is>
          <t>ÅNGE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23921-2025</t>
        </is>
      </c>
      <c r="B483" s="1" t="n">
        <v>45795.34513888889</v>
      </c>
      <c r="C483" s="1" t="n">
        <v>45984</v>
      </c>
      <c r="D483" t="inlineStr">
        <is>
          <t>VÄSTERNORRLANDS LÄN</t>
        </is>
      </c>
      <c r="E483" t="inlineStr">
        <is>
          <t>ÅNGE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54079-2023</t>
        </is>
      </c>
      <c r="B484" s="1" t="n">
        <v>45231</v>
      </c>
      <c r="C484" s="1" t="n">
        <v>45984</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39444-2025</t>
        </is>
      </c>
      <c r="B485" s="1" t="n">
        <v>45889.69826388889</v>
      </c>
      <c r="C485" s="1" t="n">
        <v>45984</v>
      </c>
      <c r="D485" t="inlineStr">
        <is>
          <t>VÄSTERNORRLANDS LÄN</t>
        </is>
      </c>
      <c r="E485" t="inlineStr">
        <is>
          <t>ÅNGE</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29702-2024</t>
        </is>
      </c>
      <c r="B486" s="1" t="n">
        <v>45485.31525462963</v>
      </c>
      <c r="C486" s="1" t="n">
        <v>45984</v>
      </c>
      <c r="D486" t="inlineStr">
        <is>
          <t>VÄSTERNORRLANDS LÄN</t>
        </is>
      </c>
      <c r="E486" t="inlineStr">
        <is>
          <t>ÅNGE</t>
        </is>
      </c>
      <c r="G486" t="n">
        <v>2.6</v>
      </c>
      <c r="H486" t="n">
        <v>0</v>
      </c>
      <c r="I486" t="n">
        <v>0</v>
      </c>
      <c r="J486" t="n">
        <v>0</v>
      </c>
      <c r="K486" t="n">
        <v>0</v>
      </c>
      <c r="L486" t="n">
        <v>0</v>
      </c>
      <c r="M486" t="n">
        <v>0</v>
      </c>
      <c r="N486" t="n">
        <v>0</v>
      </c>
      <c r="O486" t="n">
        <v>0</v>
      </c>
      <c r="P486" t="n">
        <v>0</v>
      </c>
      <c r="Q486" t="n">
        <v>0</v>
      </c>
      <c r="R486" s="2" t="inlineStr"/>
    </row>
    <row r="487" ht="15" customHeight="1">
      <c r="A487" t="inlineStr">
        <is>
          <t>A 26641-2024</t>
        </is>
      </c>
      <c r="B487" s="1" t="n">
        <v>45469.92836805555</v>
      </c>
      <c r="C487" s="1" t="n">
        <v>45984</v>
      </c>
      <c r="D487" t="inlineStr">
        <is>
          <t>VÄSTERNORRLANDS LÄN</t>
        </is>
      </c>
      <c r="E487" t="inlineStr">
        <is>
          <t>ÅNGE</t>
        </is>
      </c>
      <c r="G487" t="n">
        <v>4.5</v>
      </c>
      <c r="H487" t="n">
        <v>0</v>
      </c>
      <c r="I487" t="n">
        <v>0</v>
      </c>
      <c r="J487" t="n">
        <v>0</v>
      </c>
      <c r="K487" t="n">
        <v>0</v>
      </c>
      <c r="L487" t="n">
        <v>0</v>
      </c>
      <c r="M487" t="n">
        <v>0</v>
      </c>
      <c r="N487" t="n">
        <v>0</v>
      </c>
      <c r="O487" t="n">
        <v>0</v>
      </c>
      <c r="P487" t="n">
        <v>0</v>
      </c>
      <c r="Q487" t="n">
        <v>0</v>
      </c>
      <c r="R487" s="2" t="inlineStr"/>
    </row>
    <row r="488" ht="15" customHeight="1">
      <c r="A488" t="inlineStr">
        <is>
          <t>A 41741-2023</t>
        </is>
      </c>
      <c r="B488" s="1" t="n">
        <v>45176.42164351852</v>
      </c>
      <c r="C488" s="1" t="n">
        <v>45984</v>
      </c>
      <c r="D488" t="inlineStr">
        <is>
          <t>VÄSTERNORRLANDS LÄN</t>
        </is>
      </c>
      <c r="E488" t="inlineStr">
        <is>
          <t>ÅNGE</t>
        </is>
      </c>
      <c r="G488" t="n">
        <v>7.8</v>
      </c>
      <c r="H488" t="n">
        <v>0</v>
      </c>
      <c r="I488" t="n">
        <v>0</v>
      </c>
      <c r="J488" t="n">
        <v>0</v>
      </c>
      <c r="K488" t="n">
        <v>0</v>
      </c>
      <c r="L488" t="n">
        <v>0</v>
      </c>
      <c r="M488" t="n">
        <v>0</v>
      </c>
      <c r="N488" t="n">
        <v>0</v>
      </c>
      <c r="O488" t="n">
        <v>0</v>
      </c>
      <c r="P488" t="n">
        <v>0</v>
      </c>
      <c r="Q488" t="n">
        <v>0</v>
      </c>
      <c r="R488" s="2" t="inlineStr"/>
    </row>
    <row r="489" ht="15" customHeight="1">
      <c r="A489" t="inlineStr">
        <is>
          <t>A 37992-2024</t>
        </is>
      </c>
      <c r="B489" s="1" t="n">
        <v>45544.59524305556</v>
      </c>
      <c r="C489" s="1" t="n">
        <v>45984</v>
      </c>
      <c r="D489" t="inlineStr">
        <is>
          <t>VÄSTERNORRLANDS LÄN</t>
        </is>
      </c>
      <c r="E489" t="inlineStr">
        <is>
          <t>ÅNGE</t>
        </is>
      </c>
      <c r="G489" t="n">
        <v>3.9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45984</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23069-2024</t>
        </is>
      </c>
      <c r="B491" s="1" t="n">
        <v>45450</v>
      </c>
      <c r="C491" s="1" t="n">
        <v>45984</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41575-2024</t>
        </is>
      </c>
      <c r="B492" s="1" t="n">
        <v>45560.55106481481</v>
      </c>
      <c r="C492" s="1" t="n">
        <v>45984</v>
      </c>
      <c r="D492" t="inlineStr">
        <is>
          <t>VÄSTERNORRLANDS LÄN</t>
        </is>
      </c>
      <c r="E492" t="inlineStr">
        <is>
          <t>ÅNGE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39434-2025</t>
        </is>
      </c>
      <c r="B493" s="1" t="n">
        <v>45889.67811342593</v>
      </c>
      <c r="C493" s="1" t="n">
        <v>45984</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24008-2025</t>
        </is>
      </c>
      <c r="B494" s="1" t="n">
        <v>45796.43841435185</v>
      </c>
      <c r="C494" s="1" t="n">
        <v>45984</v>
      </c>
      <c r="D494" t="inlineStr">
        <is>
          <t>VÄSTERNORRLANDS LÄN</t>
        </is>
      </c>
      <c r="E494" t="inlineStr">
        <is>
          <t>ÅNGE</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24232-2024</t>
        </is>
      </c>
      <c r="B495" s="1" t="n">
        <v>45457.34686342593</v>
      </c>
      <c r="C495" s="1" t="n">
        <v>45984</v>
      </c>
      <c r="D495" t="inlineStr">
        <is>
          <t>VÄSTERNORRLANDS LÄN</t>
        </is>
      </c>
      <c r="E495" t="inlineStr">
        <is>
          <t>ÅNGE</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19007-2025</t>
        </is>
      </c>
      <c r="B496" s="1" t="n">
        <v>45764.58515046296</v>
      </c>
      <c r="C496" s="1" t="n">
        <v>45984</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33783-2024</t>
        </is>
      </c>
      <c r="B497" s="1" t="n">
        <v>45520</v>
      </c>
      <c r="C497" s="1" t="n">
        <v>45984</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60004-2023</t>
        </is>
      </c>
      <c r="B498" s="1" t="n">
        <v>45257</v>
      </c>
      <c r="C498" s="1" t="n">
        <v>45984</v>
      </c>
      <c r="D498" t="inlineStr">
        <is>
          <t>VÄSTERNORRLANDS LÄN</t>
        </is>
      </c>
      <c r="E498" t="inlineStr">
        <is>
          <t>ÅNGE</t>
        </is>
      </c>
      <c r="F498" t="inlineStr">
        <is>
          <t>SCA</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45128-2022</t>
        </is>
      </c>
      <c r="B499" s="1" t="n">
        <v>44844.3146412037</v>
      </c>
      <c r="C499" s="1" t="n">
        <v>45984</v>
      </c>
      <c r="D499" t="inlineStr">
        <is>
          <t>VÄSTERNORRLANDS LÄN</t>
        </is>
      </c>
      <c r="E499" t="inlineStr">
        <is>
          <t>ÅNGE</t>
        </is>
      </c>
      <c r="G499" t="n">
        <v>4.1</v>
      </c>
      <c r="H499" t="n">
        <v>0</v>
      </c>
      <c r="I499" t="n">
        <v>0</v>
      </c>
      <c r="J499" t="n">
        <v>0</v>
      </c>
      <c r="K499" t="n">
        <v>0</v>
      </c>
      <c r="L499" t="n">
        <v>0</v>
      </c>
      <c r="M499" t="n">
        <v>0</v>
      </c>
      <c r="N499" t="n">
        <v>0</v>
      </c>
      <c r="O499" t="n">
        <v>0</v>
      </c>
      <c r="P499" t="n">
        <v>0</v>
      </c>
      <c r="Q499" t="n">
        <v>0</v>
      </c>
      <c r="R499" s="2" t="inlineStr"/>
    </row>
    <row r="500" ht="15" customHeight="1">
      <c r="A500" t="inlineStr">
        <is>
          <t>A 35578-2025</t>
        </is>
      </c>
      <c r="B500" s="1" t="n">
        <v>45856.67797453704</v>
      </c>
      <c r="C500" s="1" t="n">
        <v>45984</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26951-2024</t>
        </is>
      </c>
      <c r="B501" s="1" t="n">
        <v>45470.96991898148</v>
      </c>
      <c r="C501" s="1" t="n">
        <v>45984</v>
      </c>
      <c r="D501" t="inlineStr">
        <is>
          <t>VÄSTERNORRLANDS LÄN</t>
        </is>
      </c>
      <c r="E501" t="inlineStr">
        <is>
          <t>ÅNGE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26952-2024</t>
        </is>
      </c>
      <c r="B502" s="1" t="n">
        <v>45470</v>
      </c>
      <c r="C502" s="1" t="n">
        <v>45984</v>
      </c>
      <c r="D502" t="inlineStr">
        <is>
          <t>VÄSTERNORRLANDS LÄN</t>
        </is>
      </c>
      <c r="E502" t="inlineStr">
        <is>
          <t>ÅNGE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27321-2024</t>
        </is>
      </c>
      <c r="B503" s="1" t="n">
        <v>45471</v>
      </c>
      <c r="C503" s="1" t="n">
        <v>45984</v>
      </c>
      <c r="D503" t="inlineStr">
        <is>
          <t>VÄSTERNORRLANDS LÄN</t>
        </is>
      </c>
      <c r="E503" t="inlineStr">
        <is>
          <t>ÅNGE</t>
        </is>
      </c>
      <c r="F503" t="inlineStr">
        <is>
          <t>SCA</t>
        </is>
      </c>
      <c r="G503" t="n">
        <v>14.1</v>
      </c>
      <c r="H503" t="n">
        <v>0</v>
      </c>
      <c r="I503" t="n">
        <v>0</v>
      </c>
      <c r="J503" t="n">
        <v>0</v>
      </c>
      <c r="K503" t="n">
        <v>0</v>
      </c>
      <c r="L503" t="n">
        <v>0</v>
      </c>
      <c r="M503" t="n">
        <v>0</v>
      </c>
      <c r="N503" t="n">
        <v>0</v>
      </c>
      <c r="O503" t="n">
        <v>0</v>
      </c>
      <c r="P503" t="n">
        <v>0</v>
      </c>
      <c r="Q503" t="n">
        <v>0</v>
      </c>
      <c r="R503" s="2" t="inlineStr"/>
    </row>
    <row r="504" ht="15" customHeight="1">
      <c r="A504" t="inlineStr">
        <is>
          <t>A 37382-2021</t>
        </is>
      </c>
      <c r="B504" s="1" t="n">
        <v>44397</v>
      </c>
      <c r="C504" s="1" t="n">
        <v>45984</v>
      </c>
      <c r="D504" t="inlineStr">
        <is>
          <t>VÄSTERNORRLANDS LÄN</t>
        </is>
      </c>
      <c r="E504" t="inlineStr">
        <is>
          <t>ÅNGE</t>
        </is>
      </c>
      <c r="G504" t="n">
        <v>2.4</v>
      </c>
      <c r="H504" t="n">
        <v>0</v>
      </c>
      <c r="I504" t="n">
        <v>0</v>
      </c>
      <c r="J504" t="n">
        <v>0</v>
      </c>
      <c r="K504" t="n">
        <v>0</v>
      </c>
      <c r="L504" t="n">
        <v>0</v>
      </c>
      <c r="M504" t="n">
        <v>0</v>
      </c>
      <c r="N504" t="n">
        <v>0</v>
      </c>
      <c r="O504" t="n">
        <v>0</v>
      </c>
      <c r="P504" t="n">
        <v>0</v>
      </c>
      <c r="Q504" t="n">
        <v>0</v>
      </c>
      <c r="R504" s="2" t="inlineStr"/>
    </row>
    <row r="505" ht="15" customHeight="1">
      <c r="A505" t="inlineStr">
        <is>
          <t>A 27668-2024</t>
        </is>
      </c>
      <c r="B505" s="1" t="n">
        <v>45474.95435185185</v>
      </c>
      <c r="C505" s="1" t="n">
        <v>45984</v>
      </c>
      <c r="D505" t="inlineStr">
        <is>
          <t>VÄSTERNORRLANDS LÄN</t>
        </is>
      </c>
      <c r="E505" t="inlineStr">
        <is>
          <t>ÅNGE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39768-2025</t>
        </is>
      </c>
      <c r="B506" s="1" t="n">
        <v>45891.44842592593</v>
      </c>
      <c r="C506" s="1" t="n">
        <v>45984</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43622-2023</t>
        </is>
      </c>
      <c r="B507" s="1" t="n">
        <v>45184.70777777778</v>
      </c>
      <c r="C507" s="1" t="n">
        <v>45984</v>
      </c>
      <c r="D507" t="inlineStr">
        <is>
          <t>VÄSTERNORRLANDS LÄN</t>
        </is>
      </c>
      <c r="E507" t="inlineStr">
        <is>
          <t>ÅNGE</t>
        </is>
      </c>
      <c r="F507" t="inlineStr">
        <is>
          <t>Holmen skog AB</t>
        </is>
      </c>
      <c r="G507" t="n">
        <v>5.9</v>
      </c>
      <c r="H507" t="n">
        <v>0</v>
      </c>
      <c r="I507" t="n">
        <v>0</v>
      </c>
      <c r="J507" t="n">
        <v>0</v>
      </c>
      <c r="K507" t="n">
        <v>0</v>
      </c>
      <c r="L507" t="n">
        <v>0</v>
      </c>
      <c r="M507" t="n">
        <v>0</v>
      </c>
      <c r="N507" t="n">
        <v>0</v>
      </c>
      <c r="O507" t="n">
        <v>0</v>
      </c>
      <c r="P507" t="n">
        <v>0</v>
      </c>
      <c r="Q507" t="n">
        <v>0</v>
      </c>
      <c r="R507" s="2" t="inlineStr"/>
    </row>
    <row r="508" ht="15" customHeight="1">
      <c r="A508" t="inlineStr">
        <is>
          <t>A 1116-2023</t>
        </is>
      </c>
      <c r="B508" s="1" t="n">
        <v>44929</v>
      </c>
      <c r="C508" s="1" t="n">
        <v>45984</v>
      </c>
      <c r="D508" t="inlineStr">
        <is>
          <t>VÄSTERNORRLANDS LÄN</t>
        </is>
      </c>
      <c r="E508" t="inlineStr">
        <is>
          <t>ÅNGE</t>
        </is>
      </c>
      <c r="G508" t="n">
        <v>17.2</v>
      </c>
      <c r="H508" t="n">
        <v>0</v>
      </c>
      <c r="I508" t="n">
        <v>0</v>
      </c>
      <c r="J508" t="n">
        <v>0</v>
      </c>
      <c r="K508" t="n">
        <v>0</v>
      </c>
      <c r="L508" t="n">
        <v>0</v>
      </c>
      <c r="M508" t="n">
        <v>0</v>
      </c>
      <c r="N508" t="n">
        <v>0</v>
      </c>
      <c r="O508" t="n">
        <v>0</v>
      </c>
      <c r="P508" t="n">
        <v>0</v>
      </c>
      <c r="Q508" t="n">
        <v>0</v>
      </c>
      <c r="R508" s="2" t="inlineStr"/>
    </row>
    <row r="509" ht="15" customHeight="1">
      <c r="A509" t="inlineStr">
        <is>
          <t>A 33720-2025</t>
        </is>
      </c>
      <c r="B509" s="1" t="n">
        <v>45841.90605324074</v>
      </c>
      <c r="C509" s="1" t="n">
        <v>45984</v>
      </c>
      <c r="D509" t="inlineStr">
        <is>
          <t>VÄSTERNORRLANDS LÄN</t>
        </is>
      </c>
      <c r="E509" t="inlineStr">
        <is>
          <t>ÅNGE</t>
        </is>
      </c>
      <c r="G509" t="n">
        <v>6.4</v>
      </c>
      <c r="H509" t="n">
        <v>0</v>
      </c>
      <c r="I509" t="n">
        <v>0</v>
      </c>
      <c r="J509" t="n">
        <v>0</v>
      </c>
      <c r="K509" t="n">
        <v>0</v>
      </c>
      <c r="L509" t="n">
        <v>0</v>
      </c>
      <c r="M509" t="n">
        <v>0</v>
      </c>
      <c r="N509" t="n">
        <v>0</v>
      </c>
      <c r="O509" t="n">
        <v>0</v>
      </c>
      <c r="P509" t="n">
        <v>0</v>
      </c>
      <c r="Q509" t="n">
        <v>0</v>
      </c>
      <c r="R509" s="2" t="inlineStr"/>
    </row>
    <row r="510" ht="15" customHeight="1">
      <c r="A510" t="inlineStr">
        <is>
          <t>A 24458-2025</t>
        </is>
      </c>
      <c r="B510" s="1" t="n">
        <v>45798.34476851852</v>
      </c>
      <c r="C510" s="1" t="n">
        <v>45984</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39729-2025</t>
        </is>
      </c>
      <c r="B511" s="1" t="n">
        <v>45891</v>
      </c>
      <c r="C511" s="1" t="n">
        <v>45984</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29390-2021</t>
        </is>
      </c>
      <c r="B512" s="1" t="n">
        <v>44361</v>
      </c>
      <c r="C512" s="1" t="n">
        <v>45984</v>
      </c>
      <c r="D512" t="inlineStr">
        <is>
          <t>VÄSTERNORRLANDS LÄN</t>
        </is>
      </c>
      <c r="E512" t="inlineStr">
        <is>
          <t>ÅNGE</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30054-2024</t>
        </is>
      </c>
      <c r="B513" s="1" t="n">
        <v>45488.94758101852</v>
      </c>
      <c r="C513" s="1" t="n">
        <v>45984</v>
      </c>
      <c r="D513" t="inlineStr">
        <is>
          <t>VÄSTERNORRLANDS LÄN</t>
        </is>
      </c>
      <c r="E513" t="inlineStr">
        <is>
          <t>ÅNGE</t>
        </is>
      </c>
      <c r="F513" t="inlineStr">
        <is>
          <t>SCA</t>
        </is>
      </c>
      <c r="G513" t="n">
        <v>11.7</v>
      </c>
      <c r="H513" t="n">
        <v>0</v>
      </c>
      <c r="I513" t="n">
        <v>0</v>
      </c>
      <c r="J513" t="n">
        <v>0</v>
      </c>
      <c r="K513" t="n">
        <v>0</v>
      </c>
      <c r="L513" t="n">
        <v>0</v>
      </c>
      <c r="M513" t="n">
        <v>0</v>
      </c>
      <c r="N513" t="n">
        <v>0</v>
      </c>
      <c r="O513" t="n">
        <v>0</v>
      </c>
      <c r="P513" t="n">
        <v>0</v>
      </c>
      <c r="Q513" t="n">
        <v>0</v>
      </c>
      <c r="R513" s="2" t="inlineStr"/>
    </row>
    <row r="514" ht="15" customHeight="1">
      <c r="A514" t="inlineStr">
        <is>
          <t>A 16450-2025</t>
        </is>
      </c>
      <c r="B514" s="1" t="n">
        <v>45751.51081018519</v>
      </c>
      <c r="C514" s="1" t="n">
        <v>45984</v>
      </c>
      <c r="D514" t="inlineStr">
        <is>
          <t>VÄSTERNORRLANDS LÄN</t>
        </is>
      </c>
      <c r="E514" t="inlineStr">
        <is>
          <t>ÅNGE</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24357-2025</t>
        </is>
      </c>
      <c r="B515" s="1" t="n">
        <v>45797.59467592592</v>
      </c>
      <c r="C515" s="1" t="n">
        <v>45984</v>
      </c>
      <c r="D515" t="inlineStr">
        <is>
          <t>VÄSTERNORRLANDS LÄN</t>
        </is>
      </c>
      <c r="E515" t="inlineStr">
        <is>
          <t>ÅNGE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24207-2025</t>
        </is>
      </c>
      <c r="B516" s="1" t="n">
        <v>45797.34439814815</v>
      </c>
      <c r="C516" s="1" t="n">
        <v>45984</v>
      </c>
      <c r="D516" t="inlineStr">
        <is>
          <t>VÄSTERNORRLANDS LÄN</t>
        </is>
      </c>
      <c r="E516" t="inlineStr">
        <is>
          <t>ÅNGE</t>
        </is>
      </c>
      <c r="F516" t="inlineStr">
        <is>
          <t>SCA</t>
        </is>
      </c>
      <c r="G516" t="n">
        <v>10.3</v>
      </c>
      <c r="H516" t="n">
        <v>0</v>
      </c>
      <c r="I516" t="n">
        <v>0</v>
      </c>
      <c r="J516" t="n">
        <v>0</v>
      </c>
      <c r="K516" t="n">
        <v>0</v>
      </c>
      <c r="L516" t="n">
        <v>0</v>
      </c>
      <c r="M516" t="n">
        <v>0</v>
      </c>
      <c r="N516" t="n">
        <v>0</v>
      </c>
      <c r="O516" t="n">
        <v>0</v>
      </c>
      <c r="P516" t="n">
        <v>0</v>
      </c>
      <c r="Q516" t="n">
        <v>0</v>
      </c>
      <c r="R516" s="2" t="inlineStr"/>
    </row>
    <row r="517" ht="15" customHeight="1">
      <c r="A517" t="inlineStr">
        <is>
          <t>A 24292-2025</t>
        </is>
      </c>
      <c r="B517" s="1" t="n">
        <v>45797.46657407407</v>
      </c>
      <c r="C517" s="1" t="n">
        <v>45984</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4142-2024</t>
        </is>
      </c>
      <c r="B518" s="1" t="n">
        <v>45323</v>
      </c>
      <c r="C518" s="1" t="n">
        <v>45984</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27853-2024</t>
        </is>
      </c>
      <c r="B519" s="1" t="n">
        <v>45475</v>
      </c>
      <c r="C519" s="1" t="n">
        <v>45984</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40665-2025</t>
        </is>
      </c>
      <c r="B520" s="1" t="n">
        <v>45896.65663194445</v>
      </c>
      <c r="C520" s="1" t="n">
        <v>45984</v>
      </c>
      <c r="D520" t="inlineStr">
        <is>
          <t>VÄSTERNORRLANDS LÄN</t>
        </is>
      </c>
      <c r="E520" t="inlineStr">
        <is>
          <t>ÅNGE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10781-2024</t>
        </is>
      </c>
      <c r="B521" s="1" t="n">
        <v>45369.59635416666</v>
      </c>
      <c r="C521" s="1" t="n">
        <v>45984</v>
      </c>
      <c r="D521" t="inlineStr">
        <is>
          <t>VÄSTERNORRLANDS LÄN</t>
        </is>
      </c>
      <c r="E521" t="inlineStr">
        <is>
          <t>ÅNGE</t>
        </is>
      </c>
      <c r="G521" t="n">
        <v>1.9</v>
      </c>
      <c r="H521" t="n">
        <v>0</v>
      </c>
      <c r="I521" t="n">
        <v>0</v>
      </c>
      <c r="J521" t="n">
        <v>0</v>
      </c>
      <c r="K521" t="n">
        <v>0</v>
      </c>
      <c r="L521" t="n">
        <v>0</v>
      </c>
      <c r="M521" t="n">
        <v>0</v>
      </c>
      <c r="N521" t="n">
        <v>0</v>
      </c>
      <c r="O521" t="n">
        <v>0</v>
      </c>
      <c r="P521" t="n">
        <v>0</v>
      </c>
      <c r="Q521" t="n">
        <v>0</v>
      </c>
      <c r="R521" s="2" t="inlineStr"/>
    </row>
    <row r="522" ht="15" customHeight="1">
      <c r="A522" t="inlineStr">
        <is>
          <t>A 24627-2025</t>
        </is>
      </c>
      <c r="B522" s="1" t="n">
        <v>45798.59471064815</v>
      </c>
      <c r="C522" s="1" t="n">
        <v>45984</v>
      </c>
      <c r="D522" t="inlineStr">
        <is>
          <t>VÄSTERNORRLANDS LÄN</t>
        </is>
      </c>
      <c r="E522" t="inlineStr">
        <is>
          <t>ÅNGE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24209-2025</t>
        </is>
      </c>
      <c r="B523" s="1" t="n">
        <v>45797.3446875</v>
      </c>
      <c r="C523" s="1" t="n">
        <v>45984</v>
      </c>
      <c r="D523" t="inlineStr">
        <is>
          <t>VÄSTERNORRLANDS LÄN</t>
        </is>
      </c>
      <c r="E523" t="inlineStr">
        <is>
          <t>ÅNGE</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24232-2025</t>
        </is>
      </c>
      <c r="B524" s="1" t="n">
        <v>45797.37846064815</v>
      </c>
      <c r="C524" s="1" t="n">
        <v>45984</v>
      </c>
      <c r="D524" t="inlineStr">
        <is>
          <t>VÄSTERNORRLANDS LÄN</t>
        </is>
      </c>
      <c r="E524" t="inlineStr">
        <is>
          <t>ÅNGE</t>
        </is>
      </c>
      <c r="G524" t="n">
        <v>2.8</v>
      </c>
      <c r="H524" t="n">
        <v>0</v>
      </c>
      <c r="I524" t="n">
        <v>0</v>
      </c>
      <c r="J524" t="n">
        <v>0</v>
      </c>
      <c r="K524" t="n">
        <v>0</v>
      </c>
      <c r="L524" t="n">
        <v>0</v>
      </c>
      <c r="M524" t="n">
        <v>0</v>
      </c>
      <c r="N524" t="n">
        <v>0</v>
      </c>
      <c r="O524" t="n">
        <v>0</v>
      </c>
      <c r="P524" t="n">
        <v>0</v>
      </c>
      <c r="Q524" t="n">
        <v>0</v>
      </c>
      <c r="R524" s="2" t="inlineStr"/>
    </row>
    <row r="525" ht="15" customHeight="1">
      <c r="A525" t="inlineStr">
        <is>
          <t>A 63216-2023</t>
        </is>
      </c>
      <c r="B525" s="1" t="n">
        <v>45273.62721064815</v>
      </c>
      <c r="C525" s="1" t="n">
        <v>45984</v>
      </c>
      <c r="D525" t="inlineStr">
        <is>
          <t>VÄSTERNORRLANDS LÄN</t>
        </is>
      </c>
      <c r="E525" t="inlineStr">
        <is>
          <t>ÅNGE</t>
        </is>
      </c>
      <c r="F525" t="inlineStr">
        <is>
          <t>Holmen skog AB</t>
        </is>
      </c>
      <c r="G525" t="n">
        <v>2.9</v>
      </c>
      <c r="H525" t="n">
        <v>0</v>
      </c>
      <c r="I525" t="n">
        <v>0</v>
      </c>
      <c r="J525" t="n">
        <v>0</v>
      </c>
      <c r="K525" t="n">
        <v>0</v>
      </c>
      <c r="L525" t="n">
        <v>0</v>
      </c>
      <c r="M525" t="n">
        <v>0</v>
      </c>
      <c r="N525" t="n">
        <v>0</v>
      </c>
      <c r="O525" t="n">
        <v>0</v>
      </c>
      <c r="P525" t="n">
        <v>0</v>
      </c>
      <c r="Q525" t="n">
        <v>0</v>
      </c>
      <c r="R525" s="2" t="inlineStr"/>
    </row>
    <row r="526" ht="15" customHeight="1">
      <c r="A526" t="inlineStr">
        <is>
          <t>A 25340-2025</t>
        </is>
      </c>
      <c r="B526" s="1" t="n">
        <v>45800.60074074074</v>
      </c>
      <c r="C526" s="1" t="n">
        <v>45984</v>
      </c>
      <c r="D526" t="inlineStr">
        <is>
          <t>VÄSTERNORRLANDS LÄN</t>
        </is>
      </c>
      <c r="E526" t="inlineStr">
        <is>
          <t>ÅNGE</t>
        </is>
      </c>
      <c r="G526" t="n">
        <v>2.7</v>
      </c>
      <c r="H526" t="n">
        <v>0</v>
      </c>
      <c r="I526" t="n">
        <v>0</v>
      </c>
      <c r="J526" t="n">
        <v>0</v>
      </c>
      <c r="K526" t="n">
        <v>0</v>
      </c>
      <c r="L526" t="n">
        <v>0</v>
      </c>
      <c r="M526" t="n">
        <v>0</v>
      </c>
      <c r="N526" t="n">
        <v>0</v>
      </c>
      <c r="O526" t="n">
        <v>0</v>
      </c>
      <c r="P526" t="n">
        <v>0</v>
      </c>
      <c r="Q526" t="n">
        <v>0</v>
      </c>
      <c r="R526" s="2" t="inlineStr"/>
    </row>
    <row r="527" ht="15" customHeight="1">
      <c r="A527" t="inlineStr">
        <is>
          <t>A 25273-2025</t>
        </is>
      </c>
      <c r="B527" s="1" t="n">
        <v>45800.55253472222</v>
      </c>
      <c r="C527" s="1" t="n">
        <v>45984</v>
      </c>
      <c r="D527" t="inlineStr">
        <is>
          <t>VÄSTERNORRLANDS LÄN</t>
        </is>
      </c>
      <c r="E527" t="inlineStr">
        <is>
          <t>ÅNGE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55197-2022</t>
        </is>
      </c>
      <c r="B528" s="1" t="n">
        <v>44886.93714120371</v>
      </c>
      <c r="C528" s="1" t="n">
        <v>45984</v>
      </c>
      <c r="D528" t="inlineStr">
        <is>
          <t>VÄSTERNORRLANDS LÄN</t>
        </is>
      </c>
      <c r="E528" t="inlineStr">
        <is>
          <t>ÅNGE</t>
        </is>
      </c>
      <c r="G528" t="n">
        <v>1.4</v>
      </c>
      <c r="H528" t="n">
        <v>0</v>
      </c>
      <c r="I528" t="n">
        <v>0</v>
      </c>
      <c r="J528" t="n">
        <v>0</v>
      </c>
      <c r="K528" t="n">
        <v>0</v>
      </c>
      <c r="L528" t="n">
        <v>0</v>
      </c>
      <c r="M528" t="n">
        <v>0</v>
      </c>
      <c r="N528" t="n">
        <v>0</v>
      </c>
      <c r="O528" t="n">
        <v>0</v>
      </c>
      <c r="P528" t="n">
        <v>0</v>
      </c>
      <c r="Q528" t="n">
        <v>0</v>
      </c>
      <c r="R528" s="2" t="inlineStr"/>
    </row>
    <row r="529" ht="15" customHeight="1">
      <c r="A529" t="inlineStr">
        <is>
          <t>A 50186-2021</t>
        </is>
      </c>
      <c r="B529" s="1" t="n">
        <v>44456</v>
      </c>
      <c r="C529" s="1" t="n">
        <v>45984</v>
      </c>
      <c r="D529" t="inlineStr">
        <is>
          <t>VÄSTERNORRLANDS LÄN</t>
        </is>
      </c>
      <c r="E529" t="inlineStr">
        <is>
          <t>ÅNGE</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25352-2025</t>
        </is>
      </c>
      <c r="B530" s="1" t="n">
        <v>45800.61552083334</v>
      </c>
      <c r="C530" s="1" t="n">
        <v>45984</v>
      </c>
      <c r="D530" t="inlineStr">
        <is>
          <t>VÄSTERNORRLANDS LÄN</t>
        </is>
      </c>
      <c r="E530" t="inlineStr">
        <is>
          <t>ÅNGE</t>
        </is>
      </c>
      <c r="F530" t="inlineStr">
        <is>
          <t>SCA</t>
        </is>
      </c>
      <c r="G530" t="n">
        <v>6.3</v>
      </c>
      <c r="H530" t="n">
        <v>0</v>
      </c>
      <c r="I530" t="n">
        <v>0</v>
      </c>
      <c r="J530" t="n">
        <v>0</v>
      </c>
      <c r="K530" t="n">
        <v>0</v>
      </c>
      <c r="L530" t="n">
        <v>0</v>
      </c>
      <c r="M530" t="n">
        <v>0</v>
      </c>
      <c r="N530" t="n">
        <v>0</v>
      </c>
      <c r="O530" t="n">
        <v>0</v>
      </c>
      <c r="P530" t="n">
        <v>0</v>
      </c>
      <c r="Q530" t="n">
        <v>0</v>
      </c>
      <c r="R530" s="2" t="inlineStr"/>
    </row>
    <row r="531" ht="15" customHeight="1">
      <c r="A531" t="inlineStr">
        <is>
          <t>A 25017-2025</t>
        </is>
      </c>
      <c r="B531" s="1" t="n">
        <v>45799.63791666667</v>
      </c>
      <c r="C531" s="1" t="n">
        <v>45984</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25241-2025</t>
        </is>
      </c>
      <c r="B532" s="1" t="n">
        <v>45800.49053240741</v>
      </c>
      <c r="C532" s="1" t="n">
        <v>45984</v>
      </c>
      <c r="D532" t="inlineStr">
        <is>
          <t>VÄSTERNORRLANDS LÄN</t>
        </is>
      </c>
      <c r="E532" t="inlineStr">
        <is>
          <t>ÅNGE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25274-2025</t>
        </is>
      </c>
      <c r="B533" s="1" t="n">
        <v>45800.55276620371</v>
      </c>
      <c r="C533" s="1" t="n">
        <v>45984</v>
      </c>
      <c r="D533" t="inlineStr">
        <is>
          <t>VÄSTERNORRLANDS LÄN</t>
        </is>
      </c>
      <c r="E533" t="inlineStr">
        <is>
          <t>ÅNGE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41179-2025</t>
        </is>
      </c>
      <c r="B534" s="1" t="n">
        <v>45898.55277777778</v>
      </c>
      <c r="C534" s="1" t="n">
        <v>45984</v>
      </c>
      <c r="D534" t="inlineStr">
        <is>
          <t>VÄSTERNORRLANDS LÄN</t>
        </is>
      </c>
      <c r="E534" t="inlineStr">
        <is>
          <t>ÅNGE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41173-2025</t>
        </is>
      </c>
      <c r="B535" s="1" t="n">
        <v>45898</v>
      </c>
      <c r="C535" s="1" t="n">
        <v>45984</v>
      </c>
      <c r="D535" t="inlineStr">
        <is>
          <t>VÄSTERNORRLANDS LÄN</t>
        </is>
      </c>
      <c r="E535" t="inlineStr">
        <is>
          <t>ÅNGE</t>
        </is>
      </c>
      <c r="G535" t="n">
        <v>3.6</v>
      </c>
      <c r="H535" t="n">
        <v>0</v>
      </c>
      <c r="I535" t="n">
        <v>0</v>
      </c>
      <c r="J535" t="n">
        <v>0</v>
      </c>
      <c r="K535" t="n">
        <v>0</v>
      </c>
      <c r="L535" t="n">
        <v>0</v>
      </c>
      <c r="M535" t="n">
        <v>0</v>
      </c>
      <c r="N535" t="n">
        <v>0</v>
      </c>
      <c r="O535" t="n">
        <v>0</v>
      </c>
      <c r="P535" t="n">
        <v>0</v>
      </c>
      <c r="Q535" t="n">
        <v>0</v>
      </c>
      <c r="R535" s="2" t="inlineStr"/>
    </row>
    <row r="536" ht="15" customHeight="1">
      <c r="A536" t="inlineStr">
        <is>
          <t>A 40898-2025</t>
        </is>
      </c>
      <c r="B536" s="1" t="n">
        <v>45897.61503472222</v>
      </c>
      <c r="C536" s="1" t="n">
        <v>45984</v>
      </c>
      <c r="D536" t="inlineStr">
        <is>
          <t>VÄSTERNORRLANDS LÄN</t>
        </is>
      </c>
      <c r="E536" t="inlineStr">
        <is>
          <t>ÅNGE</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40899-2025</t>
        </is>
      </c>
      <c r="B537" s="1" t="n">
        <v>45897.61528935185</v>
      </c>
      <c r="C537" s="1" t="n">
        <v>45984</v>
      </c>
      <c r="D537" t="inlineStr">
        <is>
          <t>VÄSTERNORRLANDS LÄN</t>
        </is>
      </c>
      <c r="E537" t="inlineStr">
        <is>
          <t>ÅNGE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31864-2024</t>
        </is>
      </c>
      <c r="B538" s="1" t="n">
        <v>45509.74791666667</v>
      </c>
      <c r="C538" s="1" t="n">
        <v>45984</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49532-2024</t>
        </is>
      </c>
      <c r="B539" s="1" t="n">
        <v>45596.41797453703</v>
      </c>
      <c r="C539" s="1" t="n">
        <v>45984</v>
      </c>
      <c r="D539" t="inlineStr">
        <is>
          <t>VÄSTERNORRLANDS LÄN</t>
        </is>
      </c>
      <c r="E539" t="inlineStr">
        <is>
          <t>ÅNGE</t>
        </is>
      </c>
      <c r="G539" t="n">
        <v>3.3</v>
      </c>
      <c r="H539" t="n">
        <v>0</v>
      </c>
      <c r="I539" t="n">
        <v>0</v>
      </c>
      <c r="J539" t="n">
        <v>0</v>
      </c>
      <c r="K539" t="n">
        <v>0</v>
      </c>
      <c r="L539" t="n">
        <v>0</v>
      </c>
      <c r="M539" t="n">
        <v>0</v>
      </c>
      <c r="N539" t="n">
        <v>0</v>
      </c>
      <c r="O539" t="n">
        <v>0</v>
      </c>
      <c r="P539" t="n">
        <v>0</v>
      </c>
      <c r="Q539" t="n">
        <v>0</v>
      </c>
      <c r="R539" s="2" t="inlineStr"/>
    </row>
    <row r="540" ht="15" customHeight="1">
      <c r="A540" t="inlineStr">
        <is>
          <t>A 40790-2023</t>
        </is>
      </c>
      <c r="B540" s="1" t="n">
        <v>45170.95814814815</v>
      </c>
      <c r="C540" s="1" t="n">
        <v>45984</v>
      </c>
      <c r="D540" t="inlineStr">
        <is>
          <t>VÄSTERNORRLANDS LÄN</t>
        </is>
      </c>
      <c r="E540" t="inlineStr">
        <is>
          <t>ÅNGE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11310-2023</t>
        </is>
      </c>
      <c r="B541" s="1" t="n">
        <v>44993.01190972222</v>
      </c>
      <c r="C541" s="1" t="n">
        <v>45984</v>
      </c>
      <c r="D541" t="inlineStr">
        <is>
          <t>VÄSTERNORRLANDS LÄN</t>
        </is>
      </c>
      <c r="E541" t="inlineStr">
        <is>
          <t>ÅNGE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1090-2023</t>
        </is>
      </c>
      <c r="B542" s="1" t="n">
        <v>44929</v>
      </c>
      <c r="C542" s="1" t="n">
        <v>45984</v>
      </c>
      <c r="D542" t="inlineStr">
        <is>
          <t>VÄSTERNORRLANDS LÄN</t>
        </is>
      </c>
      <c r="E542" t="inlineStr">
        <is>
          <t>ÅNGE</t>
        </is>
      </c>
      <c r="G542" t="n">
        <v>0.7</v>
      </c>
      <c r="H542" t="n">
        <v>0</v>
      </c>
      <c r="I542" t="n">
        <v>0</v>
      </c>
      <c r="J542" t="n">
        <v>0</v>
      </c>
      <c r="K542" t="n">
        <v>0</v>
      </c>
      <c r="L542" t="n">
        <v>0</v>
      </c>
      <c r="M542" t="n">
        <v>0</v>
      </c>
      <c r="N542" t="n">
        <v>0</v>
      </c>
      <c r="O542" t="n">
        <v>0</v>
      </c>
      <c r="P542" t="n">
        <v>0</v>
      </c>
      <c r="Q542" t="n">
        <v>0</v>
      </c>
      <c r="R542" s="2" t="inlineStr"/>
    </row>
    <row r="543" ht="15" customHeight="1">
      <c r="A543" t="inlineStr">
        <is>
          <t>A 40872-2025</t>
        </is>
      </c>
      <c r="B543" s="1" t="n">
        <v>45897.574375</v>
      </c>
      <c r="C543" s="1" t="n">
        <v>45984</v>
      </c>
      <c r="D543" t="inlineStr">
        <is>
          <t>VÄSTERNORRLANDS LÄN</t>
        </is>
      </c>
      <c r="E543" t="inlineStr">
        <is>
          <t>ÅNGE</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40818-2025</t>
        </is>
      </c>
      <c r="B544" s="1" t="n">
        <v>45897.48881944444</v>
      </c>
      <c r="C544" s="1" t="n">
        <v>45984</v>
      </c>
      <c r="D544" t="inlineStr">
        <is>
          <t>VÄSTERNORRLANDS LÄN</t>
        </is>
      </c>
      <c r="E544" t="inlineStr">
        <is>
          <t>ÅNGE</t>
        </is>
      </c>
      <c r="G544" t="n">
        <v>2.9</v>
      </c>
      <c r="H544" t="n">
        <v>0</v>
      </c>
      <c r="I544" t="n">
        <v>0</v>
      </c>
      <c r="J544" t="n">
        <v>0</v>
      </c>
      <c r="K544" t="n">
        <v>0</v>
      </c>
      <c r="L544" t="n">
        <v>0</v>
      </c>
      <c r="M544" t="n">
        <v>0</v>
      </c>
      <c r="N544" t="n">
        <v>0</v>
      </c>
      <c r="O544" t="n">
        <v>0</v>
      </c>
      <c r="P544" t="n">
        <v>0</v>
      </c>
      <c r="Q544" t="n">
        <v>0</v>
      </c>
      <c r="R544" s="2" t="inlineStr"/>
    </row>
    <row r="545" ht="15" customHeight="1">
      <c r="A545" t="inlineStr">
        <is>
          <t>A 40830-2025</t>
        </is>
      </c>
      <c r="B545" s="1" t="n">
        <v>45897.51079861111</v>
      </c>
      <c r="C545" s="1" t="n">
        <v>45984</v>
      </c>
      <c r="D545" t="inlineStr">
        <is>
          <t>VÄSTERNORRLANDS LÄN</t>
        </is>
      </c>
      <c r="E545" t="inlineStr">
        <is>
          <t>ÅNGE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25332-2025</t>
        </is>
      </c>
      <c r="B546" s="1" t="n">
        <v>45800.59418981482</v>
      </c>
      <c r="C546" s="1" t="n">
        <v>45984</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24852-2025</t>
        </is>
      </c>
      <c r="B547" s="1" t="n">
        <v>45799.46975694445</v>
      </c>
      <c r="C547" s="1" t="n">
        <v>45984</v>
      </c>
      <c r="D547" t="inlineStr">
        <is>
          <t>VÄSTERNORRLANDS LÄN</t>
        </is>
      </c>
      <c r="E547" t="inlineStr">
        <is>
          <t>ÅNGE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24847-2025</t>
        </is>
      </c>
      <c r="B548" s="1" t="n">
        <v>45799.46907407408</v>
      </c>
      <c r="C548" s="1" t="n">
        <v>45984</v>
      </c>
      <c r="D548" t="inlineStr">
        <is>
          <t>VÄSTERNORRLANDS LÄN</t>
        </is>
      </c>
      <c r="E548" t="inlineStr">
        <is>
          <t>ÅNGE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25067-2025</t>
        </is>
      </c>
      <c r="B549" s="1" t="n">
        <v>45799.71908564815</v>
      </c>
      <c r="C549" s="1" t="n">
        <v>45984</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35426-2024</t>
        </is>
      </c>
      <c r="B550" s="1" t="n">
        <v>45531</v>
      </c>
      <c r="C550" s="1" t="n">
        <v>45984</v>
      </c>
      <c r="D550" t="inlineStr">
        <is>
          <t>VÄSTERNORRLANDS LÄN</t>
        </is>
      </c>
      <c r="E550" t="inlineStr">
        <is>
          <t>ÅNGE</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31545-2024</t>
        </is>
      </c>
      <c r="B551" s="1" t="n">
        <v>45505</v>
      </c>
      <c r="C551" s="1" t="n">
        <v>45984</v>
      </c>
      <c r="D551" t="inlineStr">
        <is>
          <t>VÄSTERNORRLANDS LÄN</t>
        </is>
      </c>
      <c r="E551" t="inlineStr">
        <is>
          <t>ÅNGE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25532-2025</t>
        </is>
      </c>
      <c r="B552" s="1" t="n">
        <v>45803.4065162037</v>
      </c>
      <c r="C552" s="1" t="n">
        <v>45984</v>
      </c>
      <c r="D552" t="inlineStr">
        <is>
          <t>VÄSTERNORRLANDS LÄN</t>
        </is>
      </c>
      <c r="E552" t="inlineStr">
        <is>
          <t>ÅNGE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25810-2025</t>
        </is>
      </c>
      <c r="B553" s="1" t="n">
        <v>45804.42083333333</v>
      </c>
      <c r="C553" s="1" t="n">
        <v>45984</v>
      </c>
      <c r="D553" t="inlineStr">
        <is>
          <t>VÄSTERNORRLANDS LÄN</t>
        </is>
      </c>
      <c r="E553" t="inlineStr">
        <is>
          <t>ÅNGE</t>
        </is>
      </c>
      <c r="G553" t="n">
        <v>6.2</v>
      </c>
      <c r="H553" t="n">
        <v>0</v>
      </c>
      <c r="I553" t="n">
        <v>0</v>
      </c>
      <c r="J553" t="n">
        <v>0</v>
      </c>
      <c r="K553" t="n">
        <v>0</v>
      </c>
      <c r="L553" t="n">
        <v>0</v>
      </c>
      <c r="M553" t="n">
        <v>0</v>
      </c>
      <c r="N553" t="n">
        <v>0</v>
      </c>
      <c r="O553" t="n">
        <v>0</v>
      </c>
      <c r="P553" t="n">
        <v>0</v>
      </c>
      <c r="Q553" t="n">
        <v>0</v>
      </c>
      <c r="R553" s="2" t="inlineStr"/>
    </row>
    <row r="554" ht="15" customHeight="1">
      <c r="A554" t="inlineStr">
        <is>
          <t>A 31863-2024</t>
        </is>
      </c>
      <c r="B554" s="1" t="n">
        <v>45509.74121527778</v>
      </c>
      <c r="C554" s="1" t="n">
        <v>45984</v>
      </c>
      <c r="D554" t="inlineStr">
        <is>
          <t>VÄSTERNORRLANDS LÄN</t>
        </is>
      </c>
      <c r="E554" t="inlineStr">
        <is>
          <t>ÅNGE</t>
        </is>
      </c>
      <c r="G554" t="n">
        <v>4.5</v>
      </c>
      <c r="H554" t="n">
        <v>0</v>
      </c>
      <c r="I554" t="n">
        <v>0</v>
      </c>
      <c r="J554" t="n">
        <v>0</v>
      </c>
      <c r="K554" t="n">
        <v>0</v>
      </c>
      <c r="L554" t="n">
        <v>0</v>
      </c>
      <c r="M554" t="n">
        <v>0</v>
      </c>
      <c r="N554" t="n">
        <v>0</v>
      </c>
      <c r="O554" t="n">
        <v>0</v>
      </c>
      <c r="P554" t="n">
        <v>0</v>
      </c>
      <c r="Q554" t="n">
        <v>0</v>
      </c>
      <c r="R554" s="2" t="inlineStr"/>
    </row>
    <row r="555" ht="15" customHeight="1">
      <c r="A555" t="inlineStr">
        <is>
          <t>A 53651-2023</t>
        </is>
      </c>
      <c r="B555" s="1" t="n">
        <v>45230.60815972222</v>
      </c>
      <c r="C555" s="1" t="n">
        <v>45984</v>
      </c>
      <c r="D555" t="inlineStr">
        <is>
          <t>VÄSTERNORRLANDS LÄN</t>
        </is>
      </c>
      <c r="E555" t="inlineStr">
        <is>
          <t>ÅNGE</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50210-2025</t>
        </is>
      </c>
      <c r="B556" s="1" t="n">
        <v>45943.67379629629</v>
      </c>
      <c r="C556" s="1" t="n">
        <v>45984</v>
      </c>
      <c r="D556" t="inlineStr">
        <is>
          <t>VÄSTERNORRLANDS LÄN</t>
        </is>
      </c>
      <c r="E556" t="inlineStr">
        <is>
          <t>ÅNGE</t>
        </is>
      </c>
      <c r="G556" t="n">
        <v>2.5</v>
      </c>
      <c r="H556" t="n">
        <v>0</v>
      </c>
      <c r="I556" t="n">
        <v>0</v>
      </c>
      <c r="J556" t="n">
        <v>0</v>
      </c>
      <c r="K556" t="n">
        <v>0</v>
      </c>
      <c r="L556" t="n">
        <v>0</v>
      </c>
      <c r="M556" t="n">
        <v>0</v>
      </c>
      <c r="N556" t="n">
        <v>0</v>
      </c>
      <c r="O556" t="n">
        <v>0</v>
      </c>
      <c r="P556" t="n">
        <v>0</v>
      </c>
      <c r="Q556" t="n">
        <v>0</v>
      </c>
      <c r="R556" s="2" t="inlineStr"/>
    </row>
    <row r="557" ht="15" customHeight="1">
      <c r="A557" t="inlineStr">
        <is>
          <t>A 27915-2024</t>
        </is>
      </c>
      <c r="B557" s="1" t="n">
        <v>45475</v>
      </c>
      <c r="C557" s="1" t="n">
        <v>45984</v>
      </c>
      <c r="D557" t="inlineStr">
        <is>
          <t>VÄSTERNORRLANDS LÄN</t>
        </is>
      </c>
      <c r="E557" t="inlineStr">
        <is>
          <t>ÅNGE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1964-2022</t>
        </is>
      </c>
      <c r="B558" s="1" t="n">
        <v>44575.5050462963</v>
      </c>
      <c r="C558" s="1" t="n">
        <v>45984</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36877-2024</t>
        </is>
      </c>
      <c r="B559" s="1" t="n">
        <v>45538.59418981482</v>
      </c>
      <c r="C559" s="1" t="n">
        <v>45984</v>
      </c>
      <c r="D559" t="inlineStr">
        <is>
          <t>VÄSTERNORRLANDS LÄN</t>
        </is>
      </c>
      <c r="E559" t="inlineStr">
        <is>
          <t>ÅNGE</t>
        </is>
      </c>
      <c r="G559" t="n">
        <v>3.3</v>
      </c>
      <c r="H559" t="n">
        <v>0</v>
      </c>
      <c r="I559" t="n">
        <v>0</v>
      </c>
      <c r="J559" t="n">
        <v>0</v>
      </c>
      <c r="K559" t="n">
        <v>0</v>
      </c>
      <c r="L559" t="n">
        <v>0</v>
      </c>
      <c r="M559" t="n">
        <v>0</v>
      </c>
      <c r="N559" t="n">
        <v>0</v>
      </c>
      <c r="O559" t="n">
        <v>0</v>
      </c>
      <c r="P559" t="n">
        <v>0</v>
      </c>
      <c r="Q559" t="n">
        <v>0</v>
      </c>
      <c r="R559" s="2" t="inlineStr"/>
    </row>
    <row r="560" ht="15" customHeight="1">
      <c r="A560" t="inlineStr">
        <is>
          <t>A 25499-2025</t>
        </is>
      </c>
      <c r="B560" s="1" t="n">
        <v>45803.344375</v>
      </c>
      <c r="C560" s="1" t="n">
        <v>45984</v>
      </c>
      <c r="D560" t="inlineStr">
        <is>
          <t>VÄSTERNORRLANDS LÄN</t>
        </is>
      </c>
      <c r="E560" t="inlineStr">
        <is>
          <t>ÅNGE</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63522-2021</t>
        </is>
      </c>
      <c r="B561" s="1" t="n">
        <v>44508</v>
      </c>
      <c r="C561" s="1" t="n">
        <v>45984</v>
      </c>
      <c r="D561" t="inlineStr">
        <is>
          <t>VÄSTERNORRLANDS LÄN</t>
        </is>
      </c>
      <c r="E561" t="inlineStr">
        <is>
          <t>ÅNGE</t>
        </is>
      </c>
      <c r="F561" t="inlineStr">
        <is>
          <t>Övriga Aktiebolag</t>
        </is>
      </c>
      <c r="G561" t="n">
        <v>3.5</v>
      </c>
      <c r="H561" t="n">
        <v>0</v>
      </c>
      <c r="I561" t="n">
        <v>0</v>
      </c>
      <c r="J561" t="n">
        <v>0</v>
      </c>
      <c r="K561" t="n">
        <v>0</v>
      </c>
      <c r="L561" t="n">
        <v>0</v>
      </c>
      <c r="M561" t="n">
        <v>0</v>
      </c>
      <c r="N561" t="n">
        <v>0</v>
      </c>
      <c r="O561" t="n">
        <v>0</v>
      </c>
      <c r="P561" t="n">
        <v>0</v>
      </c>
      <c r="Q561" t="n">
        <v>0</v>
      </c>
      <c r="R561" s="2" t="inlineStr"/>
    </row>
    <row r="562" ht="15" customHeight="1">
      <c r="A562" t="inlineStr">
        <is>
          <t>A 25772-2025</t>
        </is>
      </c>
      <c r="B562" s="1" t="n">
        <v>45804.34520833333</v>
      </c>
      <c r="C562" s="1" t="n">
        <v>45984</v>
      </c>
      <c r="D562" t="inlineStr">
        <is>
          <t>VÄSTERNORRLANDS LÄN</t>
        </is>
      </c>
      <c r="E562" t="inlineStr">
        <is>
          <t>ÅNGE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57287-2022</t>
        </is>
      </c>
      <c r="B563" s="1" t="n">
        <v>44895.95</v>
      </c>
      <c r="C563" s="1" t="n">
        <v>45984</v>
      </c>
      <c r="D563" t="inlineStr">
        <is>
          <t>VÄSTERNORRLANDS LÄN</t>
        </is>
      </c>
      <c r="E563" t="inlineStr">
        <is>
          <t>ÅNGE</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57291-2022</t>
        </is>
      </c>
      <c r="B564" s="1" t="n">
        <v>44895</v>
      </c>
      <c r="C564" s="1" t="n">
        <v>45984</v>
      </c>
      <c r="D564" t="inlineStr">
        <is>
          <t>VÄSTERNORRLANDS LÄN</t>
        </is>
      </c>
      <c r="E564" t="inlineStr">
        <is>
          <t>ÅNGE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6680-2024</t>
        </is>
      </c>
      <c r="B565" s="1" t="n">
        <v>45341</v>
      </c>
      <c r="C565" s="1" t="n">
        <v>45984</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6685-2024</t>
        </is>
      </c>
      <c r="B566" s="1" t="n">
        <v>45341</v>
      </c>
      <c r="C566" s="1" t="n">
        <v>45984</v>
      </c>
      <c r="D566" t="inlineStr">
        <is>
          <t>VÄSTERNORRLANDS LÄN</t>
        </is>
      </c>
      <c r="E566" t="inlineStr">
        <is>
          <t>ÅNGE</t>
        </is>
      </c>
      <c r="G566" t="n">
        <v>0.5</v>
      </c>
      <c r="H566" t="n">
        <v>0</v>
      </c>
      <c r="I566" t="n">
        <v>0</v>
      </c>
      <c r="J566" t="n">
        <v>0</v>
      </c>
      <c r="K566" t="n">
        <v>0</v>
      </c>
      <c r="L566" t="n">
        <v>0</v>
      </c>
      <c r="M566" t="n">
        <v>0</v>
      </c>
      <c r="N566" t="n">
        <v>0</v>
      </c>
      <c r="O566" t="n">
        <v>0</v>
      </c>
      <c r="P566" t="n">
        <v>0</v>
      </c>
      <c r="Q566" t="n">
        <v>0</v>
      </c>
      <c r="R566" s="2" t="inlineStr"/>
    </row>
    <row r="567" ht="15" customHeight="1">
      <c r="A567" t="inlineStr">
        <is>
          <t>A 6689-2024</t>
        </is>
      </c>
      <c r="B567" s="1" t="n">
        <v>45341.9259375</v>
      </c>
      <c r="C567" s="1" t="n">
        <v>45984</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35488-2024</t>
        </is>
      </c>
      <c r="B568" s="1" t="n">
        <v>45531</v>
      </c>
      <c r="C568" s="1" t="n">
        <v>45984</v>
      </c>
      <c r="D568" t="inlineStr">
        <is>
          <t>VÄSTERNORRLANDS LÄN</t>
        </is>
      </c>
      <c r="E568" t="inlineStr">
        <is>
          <t>ÅNGE</t>
        </is>
      </c>
      <c r="G568" t="n">
        <v>2.4</v>
      </c>
      <c r="H568" t="n">
        <v>0</v>
      </c>
      <c r="I568" t="n">
        <v>0</v>
      </c>
      <c r="J568" t="n">
        <v>0</v>
      </c>
      <c r="K568" t="n">
        <v>0</v>
      </c>
      <c r="L568" t="n">
        <v>0</v>
      </c>
      <c r="M568" t="n">
        <v>0</v>
      </c>
      <c r="N568" t="n">
        <v>0</v>
      </c>
      <c r="O568" t="n">
        <v>0</v>
      </c>
      <c r="P568" t="n">
        <v>0</v>
      </c>
      <c r="Q568" t="n">
        <v>0</v>
      </c>
      <c r="R568" s="2" t="inlineStr"/>
    </row>
    <row r="569" ht="15" customHeight="1">
      <c r="A569" t="inlineStr">
        <is>
          <t>A 35593-2024</t>
        </is>
      </c>
      <c r="B569" s="1" t="n">
        <v>45531</v>
      </c>
      <c r="C569" s="1" t="n">
        <v>45984</v>
      </c>
      <c r="D569" t="inlineStr">
        <is>
          <t>VÄSTERNORRLANDS LÄN</t>
        </is>
      </c>
      <c r="E569" t="inlineStr">
        <is>
          <t>ÅNGE</t>
        </is>
      </c>
      <c r="G569" t="n">
        <v>17.6</v>
      </c>
      <c r="H569" t="n">
        <v>0</v>
      </c>
      <c r="I569" t="n">
        <v>0</v>
      </c>
      <c r="J569" t="n">
        <v>0</v>
      </c>
      <c r="K569" t="n">
        <v>0</v>
      </c>
      <c r="L569" t="n">
        <v>0</v>
      </c>
      <c r="M569" t="n">
        <v>0</v>
      </c>
      <c r="N569" t="n">
        <v>0</v>
      </c>
      <c r="O569" t="n">
        <v>0</v>
      </c>
      <c r="P569" t="n">
        <v>0</v>
      </c>
      <c r="Q569" t="n">
        <v>0</v>
      </c>
      <c r="R569" s="2" t="inlineStr"/>
    </row>
    <row r="570" ht="15" customHeight="1">
      <c r="A570" t="inlineStr">
        <is>
          <t>A 15863-2022</t>
        </is>
      </c>
      <c r="B570" s="1" t="n">
        <v>44664</v>
      </c>
      <c r="C570" s="1" t="n">
        <v>45984</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27468-2024</t>
        </is>
      </c>
      <c r="B571" s="1" t="n">
        <v>45474</v>
      </c>
      <c r="C571" s="1" t="n">
        <v>45984</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41355-2025</t>
        </is>
      </c>
      <c r="B572" s="1" t="n">
        <v>45900.34425925926</v>
      </c>
      <c r="C572" s="1" t="n">
        <v>45984</v>
      </c>
      <c r="D572" t="inlineStr">
        <is>
          <t>VÄSTERNORRLANDS LÄN</t>
        </is>
      </c>
      <c r="E572" t="inlineStr">
        <is>
          <t>ÅNGE</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30055-2024</t>
        </is>
      </c>
      <c r="B573" s="1" t="n">
        <v>45488.94767361111</v>
      </c>
      <c r="C573" s="1" t="n">
        <v>45984</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26193-2025</t>
        </is>
      </c>
      <c r="B574" s="1" t="n">
        <v>45805.48922453704</v>
      </c>
      <c r="C574" s="1" t="n">
        <v>45984</v>
      </c>
      <c r="D574" t="inlineStr">
        <is>
          <t>VÄSTERNORRLANDS LÄN</t>
        </is>
      </c>
      <c r="E574" t="inlineStr">
        <is>
          <t>ÅNGE</t>
        </is>
      </c>
      <c r="G574" t="n">
        <v>2.3</v>
      </c>
      <c r="H574" t="n">
        <v>0</v>
      </c>
      <c r="I574" t="n">
        <v>0</v>
      </c>
      <c r="J574" t="n">
        <v>0</v>
      </c>
      <c r="K574" t="n">
        <v>0</v>
      </c>
      <c r="L574" t="n">
        <v>0</v>
      </c>
      <c r="M574" t="n">
        <v>0</v>
      </c>
      <c r="N574" t="n">
        <v>0</v>
      </c>
      <c r="O574" t="n">
        <v>0</v>
      </c>
      <c r="P574" t="n">
        <v>0</v>
      </c>
      <c r="Q574" t="n">
        <v>0</v>
      </c>
      <c r="R574" s="2" t="inlineStr"/>
    </row>
    <row r="575" ht="15" customHeight="1">
      <c r="A575" t="inlineStr">
        <is>
          <t>A 26388-2025</t>
        </is>
      </c>
      <c r="B575" s="1" t="n">
        <v>45806.51069444444</v>
      </c>
      <c r="C575" s="1" t="n">
        <v>45984</v>
      </c>
      <c r="D575" t="inlineStr">
        <is>
          <t>VÄSTERNORRLANDS LÄN</t>
        </is>
      </c>
      <c r="E575" t="inlineStr">
        <is>
          <t>ÅNGE</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26365-2025</t>
        </is>
      </c>
      <c r="B576" s="1" t="n">
        <v>45806.34412037037</v>
      </c>
      <c r="C576" s="1" t="n">
        <v>45984</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26389-2025</t>
        </is>
      </c>
      <c r="B577" s="1" t="n">
        <v>45806.51078703703</v>
      </c>
      <c r="C577" s="1" t="n">
        <v>45984</v>
      </c>
      <c r="D577" t="inlineStr">
        <is>
          <t>VÄSTERNORRLANDS LÄN</t>
        </is>
      </c>
      <c r="E577" t="inlineStr">
        <is>
          <t>ÅNGE</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21262-2025</t>
        </is>
      </c>
      <c r="B578" s="1" t="n">
        <v>45779</v>
      </c>
      <c r="C578" s="1" t="n">
        <v>45984</v>
      </c>
      <c r="D578" t="inlineStr">
        <is>
          <t>VÄSTERNORRLANDS LÄN</t>
        </is>
      </c>
      <c r="E578" t="inlineStr">
        <is>
          <t>ÅNGE</t>
        </is>
      </c>
      <c r="F578" t="inlineStr">
        <is>
          <t>Sveaskog</t>
        </is>
      </c>
      <c r="G578" t="n">
        <v>9</v>
      </c>
      <c r="H578" t="n">
        <v>0</v>
      </c>
      <c r="I578" t="n">
        <v>0</v>
      </c>
      <c r="J578" t="n">
        <v>0</v>
      </c>
      <c r="K578" t="n">
        <v>0</v>
      </c>
      <c r="L578" t="n">
        <v>0</v>
      </c>
      <c r="M578" t="n">
        <v>0</v>
      </c>
      <c r="N578" t="n">
        <v>0</v>
      </c>
      <c r="O578" t="n">
        <v>0</v>
      </c>
      <c r="P578" t="n">
        <v>0</v>
      </c>
      <c r="Q578" t="n">
        <v>0</v>
      </c>
      <c r="R578" s="2" t="inlineStr"/>
    </row>
    <row r="579" ht="15" customHeight="1">
      <c r="A579" t="inlineStr">
        <is>
          <t>A 50291-2025</t>
        </is>
      </c>
      <c r="B579" s="1" t="n">
        <v>45944.40677083333</v>
      </c>
      <c r="C579" s="1" t="n">
        <v>45984</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26366-2025</t>
        </is>
      </c>
      <c r="B580" s="1" t="n">
        <v>45806.34424768519</v>
      </c>
      <c r="C580" s="1" t="n">
        <v>45984</v>
      </c>
      <c r="D580" t="inlineStr">
        <is>
          <t>VÄSTERNORRLANDS LÄN</t>
        </is>
      </c>
      <c r="E580" t="inlineStr">
        <is>
          <t>ÅNGE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26011-2024</t>
        </is>
      </c>
      <c r="B581" s="1" t="n">
        <v>45467.95828703704</v>
      </c>
      <c r="C581" s="1" t="n">
        <v>45984</v>
      </c>
      <c r="D581" t="inlineStr">
        <is>
          <t>VÄSTERNORRLANDS LÄN</t>
        </is>
      </c>
      <c r="E581" t="inlineStr">
        <is>
          <t>ÅNGE</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26014-2024</t>
        </is>
      </c>
      <c r="B582" s="1" t="n">
        <v>45467.95862268518</v>
      </c>
      <c r="C582" s="1" t="n">
        <v>45984</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26019-2024</t>
        </is>
      </c>
      <c r="B583" s="1" t="n">
        <v>45467.96015046296</v>
      </c>
      <c r="C583" s="1" t="n">
        <v>45984</v>
      </c>
      <c r="D583" t="inlineStr">
        <is>
          <t>VÄSTERNORRLANDS LÄN</t>
        </is>
      </c>
      <c r="E583" t="inlineStr">
        <is>
          <t>ÅNGE</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50001-2025</t>
        </is>
      </c>
      <c r="B584" s="1" t="n">
        <v>45943.34421296296</v>
      </c>
      <c r="C584" s="1" t="n">
        <v>45984</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14889-2022</t>
        </is>
      </c>
      <c r="B585" s="1" t="n">
        <v>44656</v>
      </c>
      <c r="C585" s="1" t="n">
        <v>45984</v>
      </c>
      <c r="D585" t="inlineStr">
        <is>
          <t>VÄSTERNORRLANDS LÄN</t>
        </is>
      </c>
      <c r="E585" t="inlineStr">
        <is>
          <t>ÅNGE</t>
        </is>
      </c>
      <c r="G585" t="n">
        <v>14</v>
      </c>
      <c r="H585" t="n">
        <v>0</v>
      </c>
      <c r="I585" t="n">
        <v>0</v>
      </c>
      <c r="J585" t="n">
        <v>0</v>
      </c>
      <c r="K585" t="n">
        <v>0</v>
      </c>
      <c r="L585" t="n">
        <v>0</v>
      </c>
      <c r="M585" t="n">
        <v>0</v>
      </c>
      <c r="N585" t="n">
        <v>0</v>
      </c>
      <c r="O585" t="n">
        <v>0</v>
      </c>
      <c r="P585" t="n">
        <v>0</v>
      </c>
      <c r="Q585" t="n">
        <v>0</v>
      </c>
      <c r="R585" s="2" t="inlineStr"/>
    </row>
    <row r="586" ht="15" customHeight="1">
      <c r="A586" t="inlineStr">
        <is>
          <t>A 26655-2025</t>
        </is>
      </c>
      <c r="B586" s="1" t="n">
        <v>45810.39047453704</v>
      </c>
      <c r="C586" s="1" t="n">
        <v>45984</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50009-2025</t>
        </is>
      </c>
      <c r="B587" s="1" t="n">
        <v>45943.34527777778</v>
      </c>
      <c r="C587" s="1" t="n">
        <v>45984</v>
      </c>
      <c r="D587" t="inlineStr">
        <is>
          <t>VÄSTERNORRLANDS LÄN</t>
        </is>
      </c>
      <c r="E587" t="inlineStr">
        <is>
          <t>ÅNGE</t>
        </is>
      </c>
      <c r="G587" t="n">
        <v>0.6</v>
      </c>
      <c r="H587" t="n">
        <v>0</v>
      </c>
      <c r="I587" t="n">
        <v>0</v>
      </c>
      <c r="J587" t="n">
        <v>0</v>
      </c>
      <c r="K587" t="n">
        <v>0</v>
      </c>
      <c r="L587" t="n">
        <v>0</v>
      </c>
      <c r="M587" t="n">
        <v>0</v>
      </c>
      <c r="N587" t="n">
        <v>0</v>
      </c>
      <c r="O587" t="n">
        <v>0</v>
      </c>
      <c r="P587" t="n">
        <v>0</v>
      </c>
      <c r="Q587" t="n">
        <v>0</v>
      </c>
      <c r="R587" s="2" t="inlineStr"/>
    </row>
    <row r="588" ht="15" customHeight="1">
      <c r="A588" t="inlineStr">
        <is>
          <t>A 50008-2025</t>
        </is>
      </c>
      <c r="B588" s="1" t="n">
        <v>45943.34515046296</v>
      </c>
      <c r="C588" s="1" t="n">
        <v>45984</v>
      </c>
      <c r="D588" t="inlineStr">
        <is>
          <t>VÄSTERNORRLANDS LÄN</t>
        </is>
      </c>
      <c r="E588" t="inlineStr">
        <is>
          <t>ÅNGE</t>
        </is>
      </c>
      <c r="G588" t="n">
        <v>13.9</v>
      </c>
      <c r="H588" t="n">
        <v>0</v>
      </c>
      <c r="I588" t="n">
        <v>0</v>
      </c>
      <c r="J588" t="n">
        <v>0</v>
      </c>
      <c r="K588" t="n">
        <v>0</v>
      </c>
      <c r="L588" t="n">
        <v>0</v>
      </c>
      <c r="M588" t="n">
        <v>0</v>
      </c>
      <c r="N588" t="n">
        <v>0</v>
      </c>
      <c r="O588" t="n">
        <v>0</v>
      </c>
      <c r="P588" t="n">
        <v>0</v>
      </c>
      <c r="Q588" t="n">
        <v>0</v>
      </c>
      <c r="R588" s="2" t="inlineStr"/>
    </row>
    <row r="589" ht="15" customHeight="1">
      <c r="A589" t="inlineStr">
        <is>
          <t>A 60817-2024</t>
        </is>
      </c>
      <c r="B589" s="1" t="n">
        <v>45644</v>
      </c>
      <c r="C589" s="1" t="n">
        <v>45984</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25973-2022</t>
        </is>
      </c>
      <c r="B590" s="1" t="n">
        <v>44734</v>
      </c>
      <c r="C590" s="1" t="n">
        <v>45984</v>
      </c>
      <c r="D590" t="inlineStr">
        <is>
          <t>VÄSTERNORRLANDS LÄN</t>
        </is>
      </c>
      <c r="E590" t="inlineStr">
        <is>
          <t>ÅNGE</t>
        </is>
      </c>
      <c r="G590" t="n">
        <v>4.1</v>
      </c>
      <c r="H590" t="n">
        <v>0</v>
      </c>
      <c r="I590" t="n">
        <v>0</v>
      </c>
      <c r="J590" t="n">
        <v>0</v>
      </c>
      <c r="K590" t="n">
        <v>0</v>
      </c>
      <c r="L590" t="n">
        <v>0</v>
      </c>
      <c r="M590" t="n">
        <v>0</v>
      </c>
      <c r="N590" t="n">
        <v>0</v>
      </c>
      <c r="O590" t="n">
        <v>0</v>
      </c>
      <c r="P590" t="n">
        <v>0</v>
      </c>
      <c r="Q590" t="n">
        <v>0</v>
      </c>
      <c r="R590" s="2" t="inlineStr"/>
    </row>
    <row r="591" ht="15" customHeight="1">
      <c r="A591" t="inlineStr">
        <is>
          <t>A 23225-2024</t>
        </is>
      </c>
      <c r="B591" s="1" t="n">
        <v>45452.9490162037</v>
      </c>
      <c r="C591" s="1" t="n">
        <v>45984</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26608-2025</t>
        </is>
      </c>
      <c r="B592" s="1" t="n">
        <v>45809.98600694445</v>
      </c>
      <c r="C592" s="1" t="n">
        <v>45984</v>
      </c>
      <c r="D592" t="inlineStr">
        <is>
          <t>VÄSTERNORRLANDS LÄN</t>
        </is>
      </c>
      <c r="E592" t="inlineStr">
        <is>
          <t>ÅNGE</t>
        </is>
      </c>
      <c r="G592" t="n">
        <v>4.5</v>
      </c>
      <c r="H592" t="n">
        <v>0</v>
      </c>
      <c r="I592" t="n">
        <v>0</v>
      </c>
      <c r="J592" t="n">
        <v>0</v>
      </c>
      <c r="K592" t="n">
        <v>0</v>
      </c>
      <c r="L592" t="n">
        <v>0</v>
      </c>
      <c r="M592" t="n">
        <v>0</v>
      </c>
      <c r="N592" t="n">
        <v>0</v>
      </c>
      <c r="O592" t="n">
        <v>0</v>
      </c>
      <c r="P592" t="n">
        <v>0</v>
      </c>
      <c r="Q592" t="n">
        <v>0</v>
      </c>
      <c r="R592" s="2" t="inlineStr"/>
    </row>
    <row r="593" ht="15" customHeight="1">
      <c r="A593" t="inlineStr">
        <is>
          <t>A 33305-2024</t>
        </is>
      </c>
      <c r="B593" s="1" t="n">
        <v>45518</v>
      </c>
      <c r="C593" s="1" t="n">
        <v>45984</v>
      </c>
      <c r="D593" t="inlineStr">
        <is>
          <t>VÄSTERNORRLANDS LÄN</t>
        </is>
      </c>
      <c r="E593" t="inlineStr">
        <is>
          <t>ÅNGE</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33306-2024</t>
        </is>
      </c>
      <c r="B594" s="1" t="n">
        <v>45518</v>
      </c>
      <c r="C594" s="1" t="n">
        <v>45984</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42242-2023</t>
        </is>
      </c>
      <c r="B595" s="1" t="n">
        <v>45180.35025462963</v>
      </c>
      <c r="C595" s="1" t="n">
        <v>45984</v>
      </c>
      <c r="D595" t="inlineStr">
        <is>
          <t>VÄSTERNORRLANDS LÄN</t>
        </is>
      </c>
      <c r="E595" t="inlineStr">
        <is>
          <t>ÅNGE</t>
        </is>
      </c>
      <c r="G595" t="n">
        <v>5.7</v>
      </c>
      <c r="H595" t="n">
        <v>0</v>
      </c>
      <c r="I595" t="n">
        <v>0</v>
      </c>
      <c r="J595" t="n">
        <v>0</v>
      </c>
      <c r="K595" t="n">
        <v>0</v>
      </c>
      <c r="L595" t="n">
        <v>0</v>
      </c>
      <c r="M595" t="n">
        <v>0</v>
      </c>
      <c r="N595" t="n">
        <v>0</v>
      </c>
      <c r="O595" t="n">
        <v>0</v>
      </c>
      <c r="P595" t="n">
        <v>0</v>
      </c>
      <c r="Q595" t="n">
        <v>0</v>
      </c>
      <c r="R595" s="2" t="inlineStr"/>
    </row>
    <row r="596" ht="15" customHeight="1">
      <c r="A596" t="inlineStr">
        <is>
          <t>A 7535-2023</t>
        </is>
      </c>
      <c r="B596" s="1" t="n">
        <v>44971</v>
      </c>
      <c r="C596" s="1" t="n">
        <v>45984</v>
      </c>
      <c r="D596" t="inlineStr">
        <is>
          <t>VÄSTERNORRLANDS LÄN</t>
        </is>
      </c>
      <c r="E596" t="inlineStr">
        <is>
          <t>ÅNGE</t>
        </is>
      </c>
      <c r="F596" t="inlineStr">
        <is>
          <t>SCA</t>
        </is>
      </c>
      <c r="G596" t="n">
        <v>14.6</v>
      </c>
      <c r="H596" t="n">
        <v>0</v>
      </c>
      <c r="I596" t="n">
        <v>0</v>
      </c>
      <c r="J596" t="n">
        <v>0</v>
      </c>
      <c r="K596" t="n">
        <v>0</v>
      </c>
      <c r="L596" t="n">
        <v>0</v>
      </c>
      <c r="M596" t="n">
        <v>0</v>
      </c>
      <c r="N596" t="n">
        <v>0</v>
      </c>
      <c r="O596" t="n">
        <v>0</v>
      </c>
      <c r="P596" t="n">
        <v>0</v>
      </c>
      <c r="Q596" t="n">
        <v>0</v>
      </c>
      <c r="R596" s="2" t="inlineStr"/>
    </row>
    <row r="597" ht="15" customHeight="1">
      <c r="A597" t="inlineStr">
        <is>
          <t>A 37038-2024</t>
        </is>
      </c>
      <c r="B597" s="1" t="n">
        <v>45539.40881944444</v>
      </c>
      <c r="C597" s="1" t="n">
        <v>45984</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50571-2025</t>
        </is>
      </c>
      <c r="B598" s="1" t="n">
        <v>45945.57443287037</v>
      </c>
      <c r="C598" s="1" t="n">
        <v>45984</v>
      </c>
      <c r="D598" t="inlineStr">
        <is>
          <t>VÄSTERNORRLANDS LÄN</t>
        </is>
      </c>
      <c r="E598" t="inlineStr">
        <is>
          <t>ÅNGE</t>
        </is>
      </c>
      <c r="G598" t="n">
        <v>2.5</v>
      </c>
      <c r="H598" t="n">
        <v>0</v>
      </c>
      <c r="I598" t="n">
        <v>0</v>
      </c>
      <c r="J598" t="n">
        <v>0</v>
      </c>
      <c r="K598" t="n">
        <v>0</v>
      </c>
      <c r="L598" t="n">
        <v>0</v>
      </c>
      <c r="M598" t="n">
        <v>0</v>
      </c>
      <c r="N598" t="n">
        <v>0</v>
      </c>
      <c r="O598" t="n">
        <v>0</v>
      </c>
      <c r="P598" t="n">
        <v>0</v>
      </c>
      <c r="Q598" t="n">
        <v>0</v>
      </c>
      <c r="R598" s="2" t="inlineStr"/>
    </row>
    <row r="599" ht="15" customHeight="1">
      <c r="A599" t="inlineStr">
        <is>
          <t>A 36790-2023</t>
        </is>
      </c>
      <c r="B599" s="1" t="n">
        <v>45154.36418981481</v>
      </c>
      <c r="C599" s="1" t="n">
        <v>45984</v>
      </c>
      <c r="D599" t="inlineStr">
        <is>
          <t>VÄSTERNORRLANDS LÄN</t>
        </is>
      </c>
      <c r="E599" t="inlineStr">
        <is>
          <t>ÅNGE</t>
        </is>
      </c>
      <c r="G599" t="n">
        <v>1.4</v>
      </c>
      <c r="H599" t="n">
        <v>0</v>
      </c>
      <c r="I599" t="n">
        <v>0</v>
      </c>
      <c r="J599" t="n">
        <v>0</v>
      </c>
      <c r="K599" t="n">
        <v>0</v>
      </c>
      <c r="L599" t="n">
        <v>0</v>
      </c>
      <c r="M599" t="n">
        <v>0</v>
      </c>
      <c r="N599" t="n">
        <v>0</v>
      </c>
      <c r="O599" t="n">
        <v>0</v>
      </c>
      <c r="P599" t="n">
        <v>0</v>
      </c>
      <c r="Q599" t="n">
        <v>0</v>
      </c>
      <c r="R599" s="2" t="inlineStr"/>
    </row>
    <row r="600" ht="15" customHeight="1">
      <c r="A600" t="inlineStr">
        <is>
          <t>A 26734-2025</t>
        </is>
      </c>
      <c r="B600" s="1" t="n">
        <v>45810.51087962963</v>
      </c>
      <c r="C600" s="1" t="n">
        <v>45984</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50767-2025</t>
        </is>
      </c>
      <c r="B601" s="1" t="n">
        <v>45946</v>
      </c>
      <c r="C601" s="1" t="n">
        <v>45984</v>
      </c>
      <c r="D601" t="inlineStr">
        <is>
          <t>VÄSTERNORRLANDS LÄN</t>
        </is>
      </c>
      <c r="E601" t="inlineStr">
        <is>
          <t>ÅNGE</t>
        </is>
      </c>
      <c r="G601" t="n">
        <v>0.7</v>
      </c>
      <c r="H601" t="n">
        <v>0</v>
      </c>
      <c r="I601" t="n">
        <v>0</v>
      </c>
      <c r="J601" t="n">
        <v>0</v>
      </c>
      <c r="K601" t="n">
        <v>0</v>
      </c>
      <c r="L601" t="n">
        <v>0</v>
      </c>
      <c r="M601" t="n">
        <v>0</v>
      </c>
      <c r="N601" t="n">
        <v>0</v>
      </c>
      <c r="O601" t="n">
        <v>0</v>
      </c>
      <c r="P601" t="n">
        <v>0</v>
      </c>
      <c r="Q601" t="n">
        <v>0</v>
      </c>
      <c r="R601" s="2" t="inlineStr"/>
    </row>
    <row r="602" ht="15" customHeight="1">
      <c r="A602" t="inlineStr">
        <is>
          <t>A 50769-2025</t>
        </is>
      </c>
      <c r="B602" s="1" t="n">
        <v>45946.44864583333</v>
      </c>
      <c r="C602" s="1" t="n">
        <v>45984</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50460-2025</t>
        </is>
      </c>
      <c r="B603" s="1" t="n">
        <v>45945.345</v>
      </c>
      <c r="C603" s="1" t="n">
        <v>45984</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45984</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41872-2025</t>
        </is>
      </c>
      <c r="B605" s="1" t="n">
        <v>45903.34497685185</v>
      </c>
      <c r="C605" s="1" t="n">
        <v>45984</v>
      </c>
      <c r="D605" t="inlineStr">
        <is>
          <t>VÄSTERNORRLANDS LÄN</t>
        </is>
      </c>
      <c r="E605" t="inlineStr">
        <is>
          <t>ÅNGE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27023-2025</t>
        </is>
      </c>
      <c r="B606" s="1" t="n">
        <v>45811.57342592593</v>
      </c>
      <c r="C606" s="1" t="n">
        <v>45984</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27164-2025</t>
        </is>
      </c>
      <c r="B607" s="1" t="n">
        <v>45812.34430555555</v>
      </c>
      <c r="C607" s="1" t="n">
        <v>45984</v>
      </c>
      <c r="D607" t="inlineStr">
        <is>
          <t>VÄSTERNORRLANDS LÄN</t>
        </is>
      </c>
      <c r="E607" t="inlineStr">
        <is>
          <t>ÅNGE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26901-2025</t>
        </is>
      </c>
      <c r="B608" s="1" t="n">
        <v>45811.34457175926</v>
      </c>
      <c r="C608" s="1" t="n">
        <v>45984</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33750-2024</t>
        </is>
      </c>
      <c r="B609" s="1" t="n">
        <v>45520.56475694444</v>
      </c>
      <c r="C609" s="1" t="n">
        <v>45984</v>
      </c>
      <c r="D609" t="inlineStr">
        <is>
          <t>VÄSTERNORRLANDS LÄN</t>
        </is>
      </c>
      <c r="E609" t="inlineStr">
        <is>
          <t>ÅNGE</t>
        </is>
      </c>
      <c r="G609" t="n">
        <v>1.3</v>
      </c>
      <c r="H609" t="n">
        <v>0</v>
      </c>
      <c r="I609" t="n">
        <v>0</v>
      </c>
      <c r="J609" t="n">
        <v>0</v>
      </c>
      <c r="K609" t="n">
        <v>0</v>
      </c>
      <c r="L609" t="n">
        <v>0</v>
      </c>
      <c r="M609" t="n">
        <v>0</v>
      </c>
      <c r="N609" t="n">
        <v>0</v>
      </c>
      <c r="O609" t="n">
        <v>0</v>
      </c>
      <c r="P609" t="n">
        <v>0</v>
      </c>
      <c r="Q609" t="n">
        <v>0</v>
      </c>
      <c r="R609" s="2" t="inlineStr"/>
    </row>
    <row r="610" ht="15" customHeight="1">
      <c r="A610" t="inlineStr">
        <is>
          <t>A 59626-2022</t>
        </is>
      </c>
      <c r="B610" s="1" t="n">
        <v>44907.92354166666</v>
      </c>
      <c r="C610" s="1" t="n">
        <v>45984</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42889-2025</t>
        </is>
      </c>
      <c r="B611" s="1" t="n">
        <v>45908.65546296296</v>
      </c>
      <c r="C611" s="1" t="n">
        <v>45984</v>
      </c>
      <c r="D611" t="inlineStr">
        <is>
          <t>VÄSTERNORRLANDS LÄN</t>
        </is>
      </c>
      <c r="E611" t="inlineStr">
        <is>
          <t>ÅNGE</t>
        </is>
      </c>
      <c r="G611" t="n">
        <v>11.9</v>
      </c>
      <c r="H611" t="n">
        <v>0</v>
      </c>
      <c r="I611" t="n">
        <v>0</v>
      </c>
      <c r="J611" t="n">
        <v>0</v>
      </c>
      <c r="K611" t="n">
        <v>0</v>
      </c>
      <c r="L611" t="n">
        <v>0</v>
      </c>
      <c r="M611" t="n">
        <v>0</v>
      </c>
      <c r="N611" t="n">
        <v>0</v>
      </c>
      <c r="O611" t="n">
        <v>0</v>
      </c>
      <c r="P611" t="n">
        <v>0</v>
      </c>
      <c r="Q611" t="n">
        <v>0</v>
      </c>
      <c r="R611" s="2" t="inlineStr"/>
    </row>
    <row r="612" ht="15" customHeight="1">
      <c r="A612" t="inlineStr">
        <is>
          <t>A 27165-2025</t>
        </is>
      </c>
      <c r="B612" s="1" t="n">
        <v>45812.34440972222</v>
      </c>
      <c r="C612" s="1" t="n">
        <v>45984</v>
      </c>
      <c r="D612" t="inlineStr">
        <is>
          <t>VÄSTERNORRLANDS LÄN</t>
        </is>
      </c>
      <c r="E612" t="inlineStr">
        <is>
          <t>ÅNGE</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51109-2025</t>
        </is>
      </c>
      <c r="B613" s="1" t="n">
        <v>45947.50263888889</v>
      </c>
      <c r="C613" s="1" t="n">
        <v>45984</v>
      </c>
      <c r="D613" t="inlineStr">
        <is>
          <t>VÄSTERNORRLANDS LÄN</t>
        </is>
      </c>
      <c r="E613" t="inlineStr">
        <is>
          <t>ÅNGE</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5931-2025</t>
        </is>
      </c>
      <c r="B614" s="1" t="n">
        <v>45695.44827546296</v>
      </c>
      <c r="C614" s="1" t="n">
        <v>45984</v>
      </c>
      <c r="D614" t="inlineStr">
        <is>
          <t>VÄSTERNORRLANDS LÄN</t>
        </is>
      </c>
      <c r="E614" t="inlineStr">
        <is>
          <t>ÅNGE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3249-2024</t>
        </is>
      </c>
      <c r="B615" s="1" t="n">
        <v>45316</v>
      </c>
      <c r="C615" s="1" t="n">
        <v>45984</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9759-2024</t>
        </is>
      </c>
      <c r="B616" s="1" t="n">
        <v>45362</v>
      </c>
      <c r="C616" s="1" t="n">
        <v>45984</v>
      </c>
      <c r="D616" t="inlineStr">
        <is>
          <t>VÄSTERNORRLANDS LÄN</t>
        </is>
      </c>
      <c r="E616" t="inlineStr">
        <is>
          <t>ÅNGE</t>
        </is>
      </c>
      <c r="G616" t="n">
        <v>2.5</v>
      </c>
      <c r="H616" t="n">
        <v>0</v>
      </c>
      <c r="I616" t="n">
        <v>0</v>
      </c>
      <c r="J616" t="n">
        <v>0</v>
      </c>
      <c r="K616" t="n">
        <v>0</v>
      </c>
      <c r="L616" t="n">
        <v>0</v>
      </c>
      <c r="M616" t="n">
        <v>0</v>
      </c>
      <c r="N616" t="n">
        <v>0</v>
      </c>
      <c r="O616" t="n">
        <v>0</v>
      </c>
      <c r="P616" t="n">
        <v>0</v>
      </c>
      <c r="Q616" t="n">
        <v>0</v>
      </c>
      <c r="R616" s="2" t="inlineStr"/>
    </row>
    <row r="617" ht="15" customHeight="1">
      <c r="A617" t="inlineStr">
        <is>
          <t>A 27545-2025</t>
        </is>
      </c>
      <c r="B617" s="1" t="n">
        <v>45813.46942129629</v>
      </c>
      <c r="C617" s="1" t="n">
        <v>45984</v>
      </c>
      <c r="D617" t="inlineStr">
        <is>
          <t>VÄSTERNORRLANDS LÄN</t>
        </is>
      </c>
      <c r="E617" t="inlineStr">
        <is>
          <t>ÅNGE</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42786-2025</t>
        </is>
      </c>
      <c r="B618" s="1" t="n">
        <v>45908.51097222222</v>
      </c>
      <c r="C618" s="1" t="n">
        <v>45984</v>
      </c>
      <c r="D618" t="inlineStr">
        <is>
          <t>VÄSTERNORRLANDS LÄN</t>
        </is>
      </c>
      <c r="E618" t="inlineStr">
        <is>
          <t>ÅNGE</t>
        </is>
      </c>
      <c r="G618" t="n">
        <v>0.4</v>
      </c>
      <c r="H618" t="n">
        <v>0</v>
      </c>
      <c r="I618" t="n">
        <v>0</v>
      </c>
      <c r="J618" t="n">
        <v>0</v>
      </c>
      <c r="K618" t="n">
        <v>0</v>
      </c>
      <c r="L618" t="n">
        <v>0</v>
      </c>
      <c r="M618" t="n">
        <v>0</v>
      </c>
      <c r="N618" t="n">
        <v>0</v>
      </c>
      <c r="O618" t="n">
        <v>0</v>
      </c>
      <c r="P618" t="n">
        <v>0</v>
      </c>
      <c r="Q618" t="n">
        <v>0</v>
      </c>
      <c r="R618" s="2" t="inlineStr"/>
    </row>
    <row r="619" ht="15" customHeight="1">
      <c r="A619" t="inlineStr">
        <is>
          <t>A 27572-2025</t>
        </is>
      </c>
      <c r="B619" s="1" t="n">
        <v>45813.49049768518</v>
      </c>
      <c r="C619" s="1" t="n">
        <v>45984</v>
      </c>
      <c r="D619" t="inlineStr">
        <is>
          <t>VÄSTERNORRLANDS LÄN</t>
        </is>
      </c>
      <c r="E619" t="inlineStr">
        <is>
          <t>ÅNGE</t>
        </is>
      </c>
      <c r="F619" t="inlineStr">
        <is>
          <t>SCA</t>
        </is>
      </c>
      <c r="G619" t="n">
        <v>14.3</v>
      </c>
      <c r="H619" t="n">
        <v>0</v>
      </c>
      <c r="I619" t="n">
        <v>0</v>
      </c>
      <c r="J619" t="n">
        <v>0</v>
      </c>
      <c r="K619" t="n">
        <v>0</v>
      </c>
      <c r="L619" t="n">
        <v>0</v>
      </c>
      <c r="M619" t="n">
        <v>0</v>
      </c>
      <c r="N619" t="n">
        <v>0</v>
      </c>
      <c r="O619" t="n">
        <v>0</v>
      </c>
      <c r="P619" t="n">
        <v>0</v>
      </c>
      <c r="Q619" t="n">
        <v>0</v>
      </c>
      <c r="R619" s="2" t="inlineStr"/>
    </row>
    <row r="620" ht="15" customHeight="1">
      <c r="A620" t="inlineStr">
        <is>
          <t>A 27606-2025</t>
        </is>
      </c>
      <c r="B620" s="1" t="n">
        <v>45813.53200231482</v>
      </c>
      <c r="C620" s="1" t="n">
        <v>45984</v>
      </c>
      <c r="D620" t="inlineStr">
        <is>
          <t>VÄSTERNORRLANDS LÄN</t>
        </is>
      </c>
      <c r="E620" t="inlineStr">
        <is>
          <t>ÅNGE</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51370-2025</t>
        </is>
      </c>
      <c r="B621" s="1" t="n">
        <v>45950.44818287037</v>
      </c>
      <c r="C621" s="1" t="n">
        <v>45984</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51416-2025</t>
        </is>
      </c>
      <c r="B622" s="1" t="n">
        <v>45950.51097222222</v>
      </c>
      <c r="C622" s="1" t="n">
        <v>45984</v>
      </c>
      <c r="D622" t="inlineStr">
        <is>
          <t>VÄSTERNORRLANDS LÄN</t>
        </is>
      </c>
      <c r="E622" t="inlineStr">
        <is>
          <t>ÅNGE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5035-2025</t>
        </is>
      </c>
      <c r="B623" s="1" t="n">
        <v>45691</v>
      </c>
      <c r="C623" s="1" t="n">
        <v>45984</v>
      </c>
      <c r="D623" t="inlineStr">
        <is>
          <t>VÄSTERNORRLANDS LÄN</t>
        </is>
      </c>
      <c r="E623" t="inlineStr">
        <is>
          <t>ÅNGE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27639-2025</t>
        </is>
      </c>
      <c r="B624" s="1" t="n">
        <v>45813</v>
      </c>
      <c r="C624" s="1" t="n">
        <v>45984</v>
      </c>
      <c r="D624" t="inlineStr">
        <is>
          <t>VÄSTERNORRLANDS LÄN</t>
        </is>
      </c>
      <c r="E624" t="inlineStr">
        <is>
          <t>ÅNGE</t>
        </is>
      </c>
      <c r="G624" t="n">
        <v>22.9</v>
      </c>
      <c r="H624" t="n">
        <v>0</v>
      </c>
      <c r="I624" t="n">
        <v>0</v>
      </c>
      <c r="J624" t="n">
        <v>0</v>
      </c>
      <c r="K624" t="n">
        <v>0</v>
      </c>
      <c r="L624" t="n">
        <v>0</v>
      </c>
      <c r="M624" t="n">
        <v>0</v>
      </c>
      <c r="N624" t="n">
        <v>0</v>
      </c>
      <c r="O624" t="n">
        <v>0</v>
      </c>
      <c r="P624" t="n">
        <v>0</v>
      </c>
      <c r="Q624" t="n">
        <v>0</v>
      </c>
      <c r="R624" s="2" t="inlineStr"/>
    </row>
    <row r="625" ht="15" customHeight="1">
      <c r="A625" t="inlineStr">
        <is>
          <t>A 42953-2024</t>
        </is>
      </c>
      <c r="B625" s="1" t="n">
        <v>45567</v>
      </c>
      <c r="C625" s="1" t="n">
        <v>45984</v>
      </c>
      <c r="D625" t="inlineStr">
        <is>
          <t>VÄSTERNORRLANDS LÄN</t>
        </is>
      </c>
      <c r="E625" t="inlineStr">
        <is>
          <t>ÅNGE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42968-2024</t>
        </is>
      </c>
      <c r="B626" s="1" t="n">
        <v>45567</v>
      </c>
      <c r="C626" s="1" t="n">
        <v>45984</v>
      </c>
      <c r="D626" t="inlineStr">
        <is>
          <t>VÄSTERNORRLANDS LÄN</t>
        </is>
      </c>
      <c r="E626" t="inlineStr">
        <is>
          <t>ÅNGE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42863-2025</t>
        </is>
      </c>
      <c r="B627" s="1" t="n">
        <v>45908.61527777778</v>
      </c>
      <c r="C627" s="1" t="n">
        <v>45984</v>
      </c>
      <c r="D627" t="inlineStr">
        <is>
          <t>VÄSTERNORRLANDS LÄN</t>
        </is>
      </c>
      <c r="E627" t="inlineStr">
        <is>
          <t>ÅNGE</t>
        </is>
      </c>
      <c r="G627" t="n">
        <v>1.1</v>
      </c>
      <c r="H627" t="n">
        <v>0</v>
      </c>
      <c r="I627" t="n">
        <v>0</v>
      </c>
      <c r="J627" t="n">
        <v>0</v>
      </c>
      <c r="K627" t="n">
        <v>0</v>
      </c>
      <c r="L627" t="n">
        <v>0</v>
      </c>
      <c r="M627" t="n">
        <v>0</v>
      </c>
      <c r="N627" t="n">
        <v>0</v>
      </c>
      <c r="O627" t="n">
        <v>0</v>
      </c>
      <c r="P627" t="n">
        <v>0</v>
      </c>
      <c r="Q627" t="n">
        <v>0</v>
      </c>
      <c r="R627" s="2" t="inlineStr"/>
    </row>
    <row r="628" ht="15" customHeight="1">
      <c r="A628" t="inlineStr">
        <is>
          <t>A 42731-2025</t>
        </is>
      </c>
      <c r="B628" s="1" t="n">
        <v>45908.40686342592</v>
      </c>
      <c r="C628" s="1" t="n">
        <v>45984</v>
      </c>
      <c r="D628" t="inlineStr">
        <is>
          <t>VÄSTERNORRLANDS LÄN</t>
        </is>
      </c>
      <c r="E628" t="inlineStr">
        <is>
          <t>ÅNGE</t>
        </is>
      </c>
      <c r="G628" t="n">
        <v>14.1</v>
      </c>
      <c r="H628" t="n">
        <v>0</v>
      </c>
      <c r="I628" t="n">
        <v>0</v>
      </c>
      <c r="J628" t="n">
        <v>0</v>
      </c>
      <c r="K628" t="n">
        <v>0</v>
      </c>
      <c r="L628" t="n">
        <v>0</v>
      </c>
      <c r="M628" t="n">
        <v>0</v>
      </c>
      <c r="N628" t="n">
        <v>0</v>
      </c>
      <c r="O628" t="n">
        <v>0</v>
      </c>
      <c r="P628" t="n">
        <v>0</v>
      </c>
      <c r="Q628" t="n">
        <v>0</v>
      </c>
      <c r="R628" s="2" t="inlineStr"/>
    </row>
    <row r="629" ht="15" customHeight="1">
      <c r="A629" t="inlineStr">
        <is>
          <t>A 42785-2025</t>
        </is>
      </c>
      <c r="B629" s="1" t="n">
        <v>45908.51083333333</v>
      </c>
      <c r="C629" s="1" t="n">
        <v>45984</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51382-2025</t>
        </is>
      </c>
      <c r="B630" s="1" t="n">
        <v>45950.46019675926</v>
      </c>
      <c r="C630" s="1" t="n">
        <v>45984</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51389-2025</t>
        </is>
      </c>
      <c r="B631" s="1" t="n">
        <v>45950.46767361111</v>
      </c>
      <c r="C631" s="1" t="n">
        <v>45984</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21456-2025</t>
        </is>
      </c>
      <c r="B632" s="1" t="n">
        <v>45782.55342592593</v>
      </c>
      <c r="C632" s="1" t="n">
        <v>45984</v>
      </c>
      <c r="D632" t="inlineStr">
        <is>
          <t>VÄSTERNORRLANDS LÄN</t>
        </is>
      </c>
      <c r="E632" t="inlineStr">
        <is>
          <t>ÅNGE</t>
        </is>
      </c>
      <c r="F632" t="inlineStr">
        <is>
          <t>SCA</t>
        </is>
      </c>
      <c r="G632" t="n">
        <v>6.2</v>
      </c>
      <c r="H632" t="n">
        <v>0</v>
      </c>
      <c r="I632" t="n">
        <v>0</v>
      </c>
      <c r="J632" t="n">
        <v>0</v>
      </c>
      <c r="K632" t="n">
        <v>0</v>
      </c>
      <c r="L632" t="n">
        <v>0</v>
      </c>
      <c r="M632" t="n">
        <v>0</v>
      </c>
      <c r="N632" t="n">
        <v>0</v>
      </c>
      <c r="O632" t="n">
        <v>0</v>
      </c>
      <c r="P632" t="n">
        <v>0</v>
      </c>
      <c r="Q632" t="n">
        <v>0</v>
      </c>
      <c r="R632" s="2" t="inlineStr"/>
    </row>
    <row r="633" ht="15" customHeight="1">
      <c r="A633" t="inlineStr">
        <is>
          <t>A 28070-2025</t>
        </is>
      </c>
      <c r="B633" s="1" t="n">
        <v>45817.67739583334</v>
      </c>
      <c r="C633" s="1" t="n">
        <v>45984</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3-2025</t>
        </is>
      </c>
      <c r="B634" s="1" t="n">
        <v>45658.49819444444</v>
      </c>
      <c r="C634" s="1" t="n">
        <v>45984</v>
      </c>
      <c r="D634" t="inlineStr">
        <is>
          <t>VÄSTERNORRLANDS LÄN</t>
        </is>
      </c>
      <c r="E634" t="inlineStr">
        <is>
          <t>ÅNGE</t>
        </is>
      </c>
      <c r="G634" t="n">
        <v>2</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45984</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42730-2025</t>
        </is>
      </c>
      <c r="B636" s="1" t="n">
        <v>45908.40666666667</v>
      </c>
      <c r="C636" s="1" t="n">
        <v>45984</v>
      </c>
      <c r="D636" t="inlineStr">
        <is>
          <t>VÄSTERNORRLANDS LÄN</t>
        </is>
      </c>
      <c r="E636" t="inlineStr">
        <is>
          <t>ÅNGE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42589-2025</t>
        </is>
      </c>
      <c r="B637" s="1" t="n">
        <v>45905.63585648148</v>
      </c>
      <c r="C637" s="1" t="n">
        <v>45984</v>
      </c>
      <c r="D637" t="inlineStr">
        <is>
          <t>VÄSTERNORRLANDS LÄN</t>
        </is>
      </c>
      <c r="E637" t="inlineStr">
        <is>
          <t>ÅNGE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42764-2025</t>
        </is>
      </c>
      <c r="B638" s="1" t="n">
        <v>45908.46943287037</v>
      </c>
      <c r="C638" s="1" t="n">
        <v>45984</v>
      </c>
      <c r="D638" t="inlineStr">
        <is>
          <t>VÄSTERNORRLANDS LÄN</t>
        </is>
      </c>
      <c r="E638" t="inlineStr">
        <is>
          <t>ÅNGE</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51393-2025</t>
        </is>
      </c>
      <c r="B639" s="1" t="n">
        <v>45950.46957175926</v>
      </c>
      <c r="C639" s="1" t="n">
        <v>45984</v>
      </c>
      <c r="D639" t="inlineStr">
        <is>
          <t>VÄSTERNORRLANDS LÄN</t>
        </is>
      </c>
      <c r="E639" t="inlineStr">
        <is>
          <t>ÅNGE</t>
        </is>
      </c>
      <c r="F639" t="inlineStr">
        <is>
          <t>SCA</t>
        </is>
      </c>
      <c r="G639" t="n">
        <v>17.9</v>
      </c>
      <c r="H639" t="n">
        <v>0</v>
      </c>
      <c r="I639" t="n">
        <v>0</v>
      </c>
      <c r="J639" t="n">
        <v>0</v>
      </c>
      <c r="K639" t="n">
        <v>0</v>
      </c>
      <c r="L639" t="n">
        <v>0</v>
      </c>
      <c r="M639" t="n">
        <v>0</v>
      </c>
      <c r="N639" t="n">
        <v>0</v>
      </c>
      <c r="O639" t="n">
        <v>0</v>
      </c>
      <c r="P639" t="n">
        <v>0</v>
      </c>
      <c r="Q639" t="n">
        <v>0</v>
      </c>
      <c r="R639" s="2" t="inlineStr"/>
    </row>
    <row r="640" ht="15" customHeight="1">
      <c r="A640" t="inlineStr">
        <is>
          <t>A 42100-2023</t>
        </is>
      </c>
      <c r="B640" s="1" t="n">
        <v>45174</v>
      </c>
      <c r="C640" s="1" t="n">
        <v>45984</v>
      </c>
      <c r="D640" t="inlineStr">
        <is>
          <t>VÄSTERNORRLANDS LÄN</t>
        </is>
      </c>
      <c r="E640" t="inlineStr">
        <is>
          <t>ÅNGE</t>
        </is>
      </c>
      <c r="G640" t="n">
        <v>0.6</v>
      </c>
      <c r="H640" t="n">
        <v>0</v>
      </c>
      <c r="I640" t="n">
        <v>0</v>
      </c>
      <c r="J640" t="n">
        <v>0</v>
      </c>
      <c r="K640" t="n">
        <v>0</v>
      </c>
      <c r="L640" t="n">
        <v>0</v>
      </c>
      <c r="M640" t="n">
        <v>0</v>
      </c>
      <c r="N640" t="n">
        <v>0</v>
      </c>
      <c r="O640" t="n">
        <v>0</v>
      </c>
      <c r="P640" t="n">
        <v>0</v>
      </c>
      <c r="Q640" t="n">
        <v>0</v>
      </c>
      <c r="R640" s="2" t="inlineStr"/>
    </row>
    <row r="641" ht="15" customHeight="1">
      <c r="A641" t="inlineStr">
        <is>
          <t>A 42880-2025</t>
        </is>
      </c>
      <c r="B641" s="1" t="n">
        <v>45908.63599537037</v>
      </c>
      <c r="C641" s="1" t="n">
        <v>45984</v>
      </c>
      <c r="D641" t="inlineStr">
        <is>
          <t>VÄSTERNORRLANDS LÄN</t>
        </is>
      </c>
      <c r="E641" t="inlineStr">
        <is>
          <t>ÅNGE</t>
        </is>
      </c>
      <c r="G641" t="n">
        <v>4.3</v>
      </c>
      <c r="H641" t="n">
        <v>0</v>
      </c>
      <c r="I641" t="n">
        <v>0</v>
      </c>
      <c r="J641" t="n">
        <v>0</v>
      </c>
      <c r="K641" t="n">
        <v>0</v>
      </c>
      <c r="L641" t="n">
        <v>0</v>
      </c>
      <c r="M641" t="n">
        <v>0</v>
      </c>
      <c r="N641" t="n">
        <v>0</v>
      </c>
      <c r="O641" t="n">
        <v>0</v>
      </c>
      <c r="P641" t="n">
        <v>0</v>
      </c>
      <c r="Q641" t="n">
        <v>0</v>
      </c>
      <c r="R641" s="2" t="inlineStr"/>
    </row>
    <row r="642" ht="15" customHeight="1">
      <c r="A642" t="inlineStr">
        <is>
          <t>A 51411-2023</t>
        </is>
      </c>
      <c r="B642" s="1" t="n">
        <v>45219</v>
      </c>
      <c r="C642" s="1" t="n">
        <v>45984</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28085-2025</t>
        </is>
      </c>
      <c r="B643" s="1" t="n">
        <v>45817.71924768519</v>
      </c>
      <c r="C643" s="1" t="n">
        <v>45984</v>
      </c>
      <c r="D643" t="inlineStr">
        <is>
          <t>VÄSTERNORRLANDS LÄN</t>
        </is>
      </c>
      <c r="E643" t="inlineStr">
        <is>
          <t>ÅNGE</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1869-2022</t>
        </is>
      </c>
      <c r="B644" s="1" t="n">
        <v>44574</v>
      </c>
      <c r="C644" s="1" t="n">
        <v>45984</v>
      </c>
      <c r="D644" t="inlineStr">
        <is>
          <t>VÄSTERNORRLANDS LÄN</t>
        </is>
      </c>
      <c r="E644" t="inlineStr">
        <is>
          <t>ÅNGE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28143-2025</t>
        </is>
      </c>
      <c r="B645" s="1" t="n">
        <v>45818.34546296296</v>
      </c>
      <c r="C645" s="1" t="n">
        <v>45984</v>
      </c>
      <c r="D645" t="inlineStr">
        <is>
          <t>VÄSTERNORRLANDS LÄN</t>
        </is>
      </c>
      <c r="E645" t="inlineStr">
        <is>
          <t>ÅNGE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43237-2025</t>
        </is>
      </c>
      <c r="B646" s="1" t="n">
        <v>45910.51670138889</v>
      </c>
      <c r="C646" s="1" t="n">
        <v>45984</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43250-2025</t>
        </is>
      </c>
      <c r="B647" s="1" t="n">
        <v>45910.5525462963</v>
      </c>
      <c r="C647" s="1" t="n">
        <v>45984</v>
      </c>
      <c r="D647" t="inlineStr">
        <is>
          <t>VÄSTERNORRLANDS LÄN</t>
        </is>
      </c>
      <c r="E647" t="inlineStr">
        <is>
          <t>ÅNGE</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65149-2020</t>
        </is>
      </c>
      <c r="B648" s="1" t="n">
        <v>44172</v>
      </c>
      <c r="C648" s="1" t="n">
        <v>45984</v>
      </c>
      <c r="D648" t="inlineStr">
        <is>
          <t>VÄSTERNORRLANDS LÄN</t>
        </is>
      </c>
      <c r="E648" t="inlineStr">
        <is>
          <t>ÅNGE</t>
        </is>
      </c>
      <c r="G648" t="n">
        <v>9.5</v>
      </c>
      <c r="H648" t="n">
        <v>0</v>
      </c>
      <c r="I648" t="n">
        <v>0</v>
      </c>
      <c r="J648" t="n">
        <v>0</v>
      </c>
      <c r="K648" t="n">
        <v>0</v>
      </c>
      <c r="L648" t="n">
        <v>0</v>
      </c>
      <c r="M648" t="n">
        <v>0</v>
      </c>
      <c r="N648" t="n">
        <v>0</v>
      </c>
      <c r="O648" t="n">
        <v>0</v>
      </c>
      <c r="P648" t="n">
        <v>0</v>
      </c>
      <c r="Q648" t="n">
        <v>0</v>
      </c>
      <c r="R648" s="2" t="inlineStr"/>
    </row>
    <row r="649" ht="15" customHeight="1">
      <c r="A649" t="inlineStr">
        <is>
          <t>A 28404-2025</t>
        </is>
      </c>
      <c r="B649" s="1" t="n">
        <v>45819.34532407407</v>
      </c>
      <c r="C649" s="1" t="n">
        <v>45984</v>
      </c>
      <c r="D649" t="inlineStr">
        <is>
          <t>VÄSTERNORRLANDS LÄN</t>
        </is>
      </c>
      <c r="E649" t="inlineStr">
        <is>
          <t>ÅNGE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28896-2025</t>
        </is>
      </c>
      <c r="B650" s="1" t="n">
        <v>45820.63584490741</v>
      </c>
      <c r="C650" s="1" t="n">
        <v>45984</v>
      </c>
      <c r="D650" t="inlineStr">
        <is>
          <t>VÄSTERNORRLANDS LÄN</t>
        </is>
      </c>
      <c r="E650" t="inlineStr">
        <is>
          <t>ÅNGE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4095-2023</t>
        </is>
      </c>
      <c r="B651" s="1" t="n">
        <v>44952</v>
      </c>
      <c r="C651" s="1" t="n">
        <v>45984</v>
      </c>
      <c r="D651" t="inlineStr">
        <is>
          <t>VÄSTERNORRLANDS LÄN</t>
        </is>
      </c>
      <c r="E651" t="inlineStr">
        <is>
          <t>ÅNGE</t>
        </is>
      </c>
      <c r="G651" t="n">
        <v>13.4</v>
      </c>
      <c r="H651" t="n">
        <v>0</v>
      </c>
      <c r="I651" t="n">
        <v>0</v>
      </c>
      <c r="J651" t="n">
        <v>0</v>
      </c>
      <c r="K651" t="n">
        <v>0</v>
      </c>
      <c r="L651" t="n">
        <v>0</v>
      </c>
      <c r="M651" t="n">
        <v>0</v>
      </c>
      <c r="N651" t="n">
        <v>0</v>
      </c>
      <c r="O651" t="n">
        <v>0</v>
      </c>
      <c r="P651" t="n">
        <v>0</v>
      </c>
      <c r="Q651" t="n">
        <v>0</v>
      </c>
      <c r="R651" s="2" t="inlineStr"/>
    </row>
    <row r="652" ht="15" customHeight="1">
      <c r="A652" t="inlineStr">
        <is>
          <t>A 5367-2022</t>
        </is>
      </c>
      <c r="B652" s="1" t="n">
        <v>44594.92111111111</v>
      </c>
      <c r="C652" s="1" t="n">
        <v>45984</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53858-2024</t>
        </is>
      </c>
      <c r="B653" s="1" t="n">
        <v>45615</v>
      </c>
      <c r="C653" s="1" t="n">
        <v>45984</v>
      </c>
      <c r="D653" t="inlineStr">
        <is>
          <t>VÄSTERNORRLANDS LÄN</t>
        </is>
      </c>
      <c r="E653" t="inlineStr">
        <is>
          <t>ÅNGE</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43221-2025</t>
        </is>
      </c>
      <c r="B654" s="1" t="n">
        <v>45910.47981481482</v>
      </c>
      <c r="C654" s="1" t="n">
        <v>45984</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52060-2025</t>
        </is>
      </c>
      <c r="B655" s="1" t="n">
        <v>45952.63641203703</v>
      </c>
      <c r="C655" s="1" t="n">
        <v>45984</v>
      </c>
      <c r="D655" t="inlineStr">
        <is>
          <t>VÄSTERNORRLANDS LÄN</t>
        </is>
      </c>
      <c r="E655" t="inlineStr">
        <is>
          <t>ÅNGE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43265-2025</t>
        </is>
      </c>
      <c r="B656" s="1" t="n">
        <v>45910.57377314815</v>
      </c>
      <c r="C656" s="1" t="n">
        <v>45984</v>
      </c>
      <c r="D656" t="inlineStr">
        <is>
          <t>VÄSTERNORRLANDS LÄN</t>
        </is>
      </c>
      <c r="E656" t="inlineStr">
        <is>
          <t>ÅNGE</t>
        </is>
      </c>
      <c r="F656" t="inlineStr">
        <is>
          <t>SCA</t>
        </is>
      </c>
      <c r="G656" t="n">
        <v>7</v>
      </c>
      <c r="H656" t="n">
        <v>0</v>
      </c>
      <c r="I656" t="n">
        <v>0</v>
      </c>
      <c r="J656" t="n">
        <v>0</v>
      </c>
      <c r="K656" t="n">
        <v>0</v>
      </c>
      <c r="L656" t="n">
        <v>0</v>
      </c>
      <c r="M656" t="n">
        <v>0</v>
      </c>
      <c r="N656" t="n">
        <v>0</v>
      </c>
      <c r="O656" t="n">
        <v>0</v>
      </c>
      <c r="P656" t="n">
        <v>0</v>
      </c>
      <c r="Q656" t="n">
        <v>0</v>
      </c>
      <c r="R656" s="2" t="inlineStr"/>
    </row>
    <row r="657" ht="15" customHeight="1">
      <c r="A657" t="inlineStr">
        <is>
          <t>A 72239-2021</t>
        </is>
      </c>
      <c r="B657" s="1" t="n">
        <v>44544.9203587963</v>
      </c>
      <c r="C657" s="1" t="n">
        <v>45984</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28819-2025</t>
        </is>
      </c>
      <c r="B658" s="1" t="n">
        <v>45820.53758101852</v>
      </c>
      <c r="C658" s="1" t="n">
        <v>45984</v>
      </c>
      <c r="D658" t="inlineStr">
        <is>
          <t>VÄSTERNORRLANDS LÄN</t>
        </is>
      </c>
      <c r="E658" t="inlineStr">
        <is>
          <t>ÅNGE</t>
        </is>
      </c>
      <c r="G658" t="n">
        <v>2.9</v>
      </c>
      <c r="H658" t="n">
        <v>0</v>
      </c>
      <c r="I658" t="n">
        <v>0</v>
      </c>
      <c r="J658" t="n">
        <v>0</v>
      </c>
      <c r="K658" t="n">
        <v>0</v>
      </c>
      <c r="L658" t="n">
        <v>0</v>
      </c>
      <c r="M658" t="n">
        <v>0</v>
      </c>
      <c r="N658" t="n">
        <v>0</v>
      </c>
      <c r="O658" t="n">
        <v>0</v>
      </c>
      <c r="P658" t="n">
        <v>0</v>
      </c>
      <c r="Q658" t="n">
        <v>0</v>
      </c>
      <c r="R658" s="2" t="inlineStr"/>
    </row>
    <row r="659" ht="15" customHeight="1">
      <c r="A659" t="inlineStr">
        <is>
          <t>A 28845-2025</t>
        </is>
      </c>
      <c r="B659" s="1" t="n">
        <v>45820.57324074074</v>
      </c>
      <c r="C659" s="1" t="n">
        <v>45984</v>
      </c>
      <c r="D659" t="inlineStr">
        <is>
          <t>VÄSTERNORRLANDS LÄN</t>
        </is>
      </c>
      <c r="E659" t="inlineStr">
        <is>
          <t>ÅNGE</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51813-2025</t>
        </is>
      </c>
      <c r="B660" s="1" t="n">
        <v>45951.83082175926</v>
      </c>
      <c r="C660" s="1" t="n">
        <v>45984</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51857-2025</t>
        </is>
      </c>
      <c r="B661" s="1" t="n">
        <v>45952.36506944444</v>
      </c>
      <c r="C661" s="1" t="n">
        <v>45984</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43252-2025</t>
        </is>
      </c>
      <c r="B662" s="1" t="n">
        <v>45910.55292824074</v>
      </c>
      <c r="C662" s="1" t="n">
        <v>45984</v>
      </c>
      <c r="D662" t="inlineStr">
        <is>
          <t>VÄSTERNORRLANDS LÄN</t>
        </is>
      </c>
      <c r="E662" t="inlineStr">
        <is>
          <t>ÅNGE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55882-2022</t>
        </is>
      </c>
      <c r="B663" s="1" t="n">
        <v>44888</v>
      </c>
      <c r="C663" s="1" t="n">
        <v>45984</v>
      </c>
      <c r="D663" t="inlineStr">
        <is>
          <t>VÄSTERNORRLANDS LÄN</t>
        </is>
      </c>
      <c r="E663" t="inlineStr">
        <is>
          <t>ÅNGE</t>
        </is>
      </c>
      <c r="G663" t="n">
        <v>2.7</v>
      </c>
      <c r="H663" t="n">
        <v>0</v>
      </c>
      <c r="I663" t="n">
        <v>0</v>
      </c>
      <c r="J663" t="n">
        <v>0</v>
      </c>
      <c r="K663" t="n">
        <v>0</v>
      </c>
      <c r="L663" t="n">
        <v>0</v>
      </c>
      <c r="M663" t="n">
        <v>0</v>
      </c>
      <c r="N663" t="n">
        <v>0</v>
      </c>
      <c r="O663" t="n">
        <v>0</v>
      </c>
      <c r="P663" t="n">
        <v>0</v>
      </c>
      <c r="Q663" t="n">
        <v>0</v>
      </c>
      <c r="R663" s="2" t="inlineStr"/>
    </row>
    <row r="664" ht="15" customHeight="1">
      <c r="A664" t="inlineStr">
        <is>
          <t>A 28814-2025</t>
        </is>
      </c>
      <c r="B664" s="1" t="n">
        <v>45820.52846064815</v>
      </c>
      <c r="C664" s="1" t="n">
        <v>45984</v>
      </c>
      <c r="D664" t="inlineStr">
        <is>
          <t>VÄSTERNORRLANDS LÄN</t>
        </is>
      </c>
      <c r="E664" t="inlineStr">
        <is>
          <t>ÅNGE</t>
        </is>
      </c>
      <c r="G664" t="n">
        <v>2.6</v>
      </c>
      <c r="H664" t="n">
        <v>0</v>
      </c>
      <c r="I664" t="n">
        <v>0</v>
      </c>
      <c r="J664" t="n">
        <v>0</v>
      </c>
      <c r="K664" t="n">
        <v>0</v>
      </c>
      <c r="L664" t="n">
        <v>0</v>
      </c>
      <c r="M664" t="n">
        <v>0</v>
      </c>
      <c r="N664" t="n">
        <v>0</v>
      </c>
      <c r="O664" t="n">
        <v>0</v>
      </c>
      <c r="P664" t="n">
        <v>0</v>
      </c>
      <c r="Q664" t="n">
        <v>0</v>
      </c>
      <c r="R664" s="2" t="inlineStr"/>
    </row>
    <row r="665" ht="15" customHeight="1">
      <c r="A665" t="inlineStr">
        <is>
          <t>A 28717-2025</t>
        </is>
      </c>
      <c r="B665" s="1" t="n">
        <v>45820</v>
      </c>
      <c r="C665" s="1" t="n">
        <v>45984</v>
      </c>
      <c r="D665" t="inlineStr">
        <is>
          <t>VÄSTERNORRLANDS LÄN</t>
        </is>
      </c>
      <c r="E665" t="inlineStr">
        <is>
          <t>ÅNGE</t>
        </is>
      </c>
      <c r="F665" t="inlineStr">
        <is>
          <t>SCA</t>
        </is>
      </c>
      <c r="G665" t="n">
        <v>6.2</v>
      </c>
      <c r="H665" t="n">
        <v>0</v>
      </c>
      <c r="I665" t="n">
        <v>0</v>
      </c>
      <c r="J665" t="n">
        <v>0</v>
      </c>
      <c r="K665" t="n">
        <v>0</v>
      </c>
      <c r="L665" t="n">
        <v>0</v>
      </c>
      <c r="M665" t="n">
        <v>0</v>
      </c>
      <c r="N665" t="n">
        <v>0</v>
      </c>
      <c r="O665" t="n">
        <v>0</v>
      </c>
      <c r="P665" t="n">
        <v>0</v>
      </c>
      <c r="Q665" t="n">
        <v>0</v>
      </c>
      <c r="R665" s="2" t="inlineStr"/>
    </row>
    <row r="666" ht="15" customHeight="1">
      <c r="A666" t="inlineStr">
        <is>
          <t>A 43091-2025</t>
        </is>
      </c>
      <c r="B666" s="1" t="n">
        <v>45909.62511574074</v>
      </c>
      <c r="C666" s="1" t="n">
        <v>45984</v>
      </c>
      <c r="D666" t="inlineStr">
        <is>
          <t>VÄSTERNORRLANDS LÄN</t>
        </is>
      </c>
      <c r="E666" t="inlineStr">
        <is>
          <t>ÅNGE</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52121-2025</t>
        </is>
      </c>
      <c r="B667" s="1" t="n">
        <v>45952.71921296296</v>
      </c>
      <c r="C667" s="1" t="n">
        <v>45984</v>
      </c>
      <c r="D667" t="inlineStr">
        <is>
          <t>VÄSTERNORRLANDS LÄN</t>
        </is>
      </c>
      <c r="E667" t="inlineStr">
        <is>
          <t>ÅNGE</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29350-2025</t>
        </is>
      </c>
      <c r="B668" s="1" t="n">
        <v>45824.53206018519</v>
      </c>
      <c r="C668" s="1" t="n">
        <v>45984</v>
      </c>
      <c r="D668" t="inlineStr">
        <is>
          <t>VÄSTERNORRLANDS LÄN</t>
        </is>
      </c>
      <c r="E668" t="inlineStr">
        <is>
          <t>ÅNGE</t>
        </is>
      </c>
      <c r="G668" t="n">
        <v>8.6</v>
      </c>
      <c r="H668" t="n">
        <v>0</v>
      </c>
      <c r="I668" t="n">
        <v>0</v>
      </c>
      <c r="J668" t="n">
        <v>0</v>
      </c>
      <c r="K668" t="n">
        <v>0</v>
      </c>
      <c r="L668" t="n">
        <v>0</v>
      </c>
      <c r="M668" t="n">
        <v>0</v>
      </c>
      <c r="N668" t="n">
        <v>0</v>
      </c>
      <c r="O668" t="n">
        <v>0</v>
      </c>
      <c r="P668" t="n">
        <v>0</v>
      </c>
      <c r="Q668" t="n">
        <v>0</v>
      </c>
      <c r="R668" s="2" t="inlineStr"/>
    </row>
    <row r="669" ht="15" customHeight="1">
      <c r="A669" t="inlineStr">
        <is>
          <t>A 43077-2025</t>
        </is>
      </c>
      <c r="B669" s="1" t="n">
        <v>45909.6046412037</v>
      </c>
      <c r="C669" s="1" t="n">
        <v>45984</v>
      </c>
      <c r="D669" t="inlineStr">
        <is>
          <t>VÄSTERNORRLANDS LÄN</t>
        </is>
      </c>
      <c r="E669" t="inlineStr">
        <is>
          <t>ÅNGE</t>
        </is>
      </c>
      <c r="F669" t="inlineStr">
        <is>
          <t>Kyrkan</t>
        </is>
      </c>
      <c r="G669" t="n">
        <v>7.6</v>
      </c>
      <c r="H669" t="n">
        <v>0</v>
      </c>
      <c r="I669" t="n">
        <v>0</v>
      </c>
      <c r="J669" t="n">
        <v>0</v>
      </c>
      <c r="K669" t="n">
        <v>0</v>
      </c>
      <c r="L669" t="n">
        <v>0</v>
      </c>
      <c r="M669" t="n">
        <v>0</v>
      </c>
      <c r="N669" t="n">
        <v>0</v>
      </c>
      <c r="O669" t="n">
        <v>0</v>
      </c>
      <c r="P669" t="n">
        <v>0</v>
      </c>
      <c r="Q669" t="n">
        <v>0</v>
      </c>
      <c r="R669" s="2" t="inlineStr"/>
    </row>
    <row r="670" ht="15" customHeight="1">
      <c r="A670" t="inlineStr">
        <is>
          <t>A 46249-2024</t>
        </is>
      </c>
      <c r="B670" s="1" t="n">
        <v>45581.59409722222</v>
      </c>
      <c r="C670" s="1" t="n">
        <v>45984</v>
      </c>
      <c r="D670" t="inlineStr">
        <is>
          <t>VÄSTERNORRLANDS LÄN</t>
        </is>
      </c>
      <c r="E670" t="inlineStr">
        <is>
          <t>ÅNGE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29153-2025</t>
        </is>
      </c>
      <c r="B671" s="1" t="n">
        <v>45821.63574074074</v>
      </c>
      <c r="C671" s="1" t="n">
        <v>45984</v>
      </c>
      <c r="D671" t="inlineStr">
        <is>
          <t>VÄSTERNORRLANDS LÄN</t>
        </is>
      </c>
      <c r="E671" t="inlineStr">
        <is>
          <t>ÅNGE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38272-2024</t>
        </is>
      </c>
      <c r="B672" s="1" t="n">
        <v>45545.60392361111</v>
      </c>
      <c r="C672" s="1" t="n">
        <v>45984</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29862-2025</t>
        </is>
      </c>
      <c r="B673" s="1" t="n">
        <v>45826.3465625</v>
      </c>
      <c r="C673" s="1" t="n">
        <v>45984</v>
      </c>
      <c r="D673" t="inlineStr">
        <is>
          <t>VÄSTERNORRLANDS LÄN</t>
        </is>
      </c>
      <c r="E673" t="inlineStr">
        <is>
          <t>ÅNGE</t>
        </is>
      </c>
      <c r="G673" t="n">
        <v>0.8</v>
      </c>
      <c r="H673" t="n">
        <v>0</v>
      </c>
      <c r="I673" t="n">
        <v>0</v>
      </c>
      <c r="J673" t="n">
        <v>0</v>
      </c>
      <c r="K673" t="n">
        <v>0</v>
      </c>
      <c r="L673" t="n">
        <v>0</v>
      </c>
      <c r="M673" t="n">
        <v>0</v>
      </c>
      <c r="N673" t="n">
        <v>0</v>
      </c>
      <c r="O673" t="n">
        <v>0</v>
      </c>
      <c r="P673" t="n">
        <v>0</v>
      </c>
      <c r="Q673" t="n">
        <v>0</v>
      </c>
      <c r="R673" s="2" t="inlineStr"/>
    </row>
    <row r="674" ht="15" customHeight="1">
      <c r="A674" t="inlineStr">
        <is>
          <t>A 29882-2025</t>
        </is>
      </c>
      <c r="B674" s="1" t="n">
        <v>45826.36548611111</v>
      </c>
      <c r="C674" s="1" t="n">
        <v>45984</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43385-2025</t>
        </is>
      </c>
      <c r="B675" s="1" t="n">
        <v>45911.36508101852</v>
      </c>
      <c r="C675" s="1" t="n">
        <v>45984</v>
      </c>
      <c r="D675" t="inlineStr">
        <is>
          <t>VÄSTERNORRLANDS LÄN</t>
        </is>
      </c>
      <c r="E675" t="inlineStr">
        <is>
          <t>ÅNGE</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43707-2025</t>
        </is>
      </c>
      <c r="B676" s="1" t="n">
        <v>45912.40668981482</v>
      </c>
      <c r="C676" s="1" t="n">
        <v>45984</v>
      </c>
      <c r="D676" t="inlineStr">
        <is>
          <t>VÄSTERNORRLANDS LÄN</t>
        </is>
      </c>
      <c r="E676" t="inlineStr">
        <is>
          <t>ÅNGE</t>
        </is>
      </c>
      <c r="F676" t="inlineStr">
        <is>
          <t>SCA</t>
        </is>
      </c>
      <c r="G676" t="n">
        <v>12.5</v>
      </c>
      <c r="H676" t="n">
        <v>0</v>
      </c>
      <c r="I676" t="n">
        <v>0</v>
      </c>
      <c r="J676" t="n">
        <v>0</v>
      </c>
      <c r="K676" t="n">
        <v>0</v>
      </c>
      <c r="L676" t="n">
        <v>0</v>
      </c>
      <c r="M676" t="n">
        <v>0</v>
      </c>
      <c r="N676" t="n">
        <v>0</v>
      </c>
      <c r="O676" t="n">
        <v>0</v>
      </c>
      <c r="P676" t="n">
        <v>0</v>
      </c>
      <c r="Q676" t="n">
        <v>0</v>
      </c>
      <c r="R676" s="2" t="inlineStr"/>
      <c r="U676">
        <f>HYPERLINK("https://klasma.github.io/Logging_2260/knärot/A 43707-2025 karta knärot.png", "A 43707-2025")</f>
        <v/>
      </c>
      <c r="V676">
        <f>HYPERLINK("https://klasma.github.io/Logging_2260/klagomål/A 43707-2025 FSC-klagomål.docx", "A 43707-2025")</f>
        <v/>
      </c>
      <c r="W676">
        <f>HYPERLINK("https://klasma.github.io/Logging_2260/klagomålsmail/A 43707-2025 FSC-klagomål mail.docx", "A 43707-2025")</f>
        <v/>
      </c>
      <c r="X676">
        <f>HYPERLINK("https://klasma.github.io/Logging_2260/tillsyn/A 43707-2025 tillsynsbegäran.docx", "A 43707-2025")</f>
        <v/>
      </c>
      <c r="Y676">
        <f>HYPERLINK("https://klasma.github.io/Logging_2260/tillsynsmail/A 43707-2025 tillsynsbegäran mail.docx", "A 43707-2025")</f>
        <v/>
      </c>
    </row>
    <row r="677" ht="15" customHeight="1">
      <c r="A677" t="inlineStr">
        <is>
          <t>A 43415-2025</t>
        </is>
      </c>
      <c r="B677" s="1" t="n">
        <v>45911.40662037037</v>
      </c>
      <c r="C677" s="1" t="n">
        <v>45984</v>
      </c>
      <c r="D677" t="inlineStr">
        <is>
          <t>VÄSTERNORRLANDS LÄN</t>
        </is>
      </c>
      <c r="E677" t="inlineStr">
        <is>
          <t>ÅNGE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29916-2025</t>
        </is>
      </c>
      <c r="B678" s="1" t="n">
        <v>45826.41822916667</v>
      </c>
      <c r="C678" s="1" t="n">
        <v>45984</v>
      </c>
      <c r="D678" t="inlineStr">
        <is>
          <t>VÄSTERNORRLANDS LÄN</t>
        </is>
      </c>
      <c r="E678" t="inlineStr">
        <is>
          <t>ÅNGE</t>
        </is>
      </c>
      <c r="G678" t="n">
        <v>3.4</v>
      </c>
      <c r="H678" t="n">
        <v>0</v>
      </c>
      <c r="I678" t="n">
        <v>0</v>
      </c>
      <c r="J678" t="n">
        <v>0</v>
      </c>
      <c r="K678" t="n">
        <v>0</v>
      </c>
      <c r="L678" t="n">
        <v>0</v>
      </c>
      <c r="M678" t="n">
        <v>0</v>
      </c>
      <c r="N678" t="n">
        <v>0</v>
      </c>
      <c r="O678" t="n">
        <v>0</v>
      </c>
      <c r="P678" t="n">
        <v>0</v>
      </c>
      <c r="Q678" t="n">
        <v>0</v>
      </c>
      <c r="R678" s="2" t="inlineStr"/>
    </row>
    <row r="679" ht="15" customHeight="1">
      <c r="A679" t="inlineStr">
        <is>
          <t>A 16593-2023</t>
        </is>
      </c>
      <c r="B679" s="1" t="n">
        <v>45030</v>
      </c>
      <c r="C679" s="1" t="n">
        <v>45984</v>
      </c>
      <c r="D679" t="inlineStr">
        <is>
          <t>VÄSTERNORRLANDS LÄN</t>
        </is>
      </c>
      <c r="E679" t="inlineStr">
        <is>
          <t>ÅNGE</t>
        </is>
      </c>
      <c r="G679" t="n">
        <v>0.7</v>
      </c>
      <c r="H679" t="n">
        <v>0</v>
      </c>
      <c r="I679" t="n">
        <v>0</v>
      </c>
      <c r="J679" t="n">
        <v>0</v>
      </c>
      <c r="K679" t="n">
        <v>0</v>
      </c>
      <c r="L679" t="n">
        <v>0</v>
      </c>
      <c r="M679" t="n">
        <v>0</v>
      </c>
      <c r="N679" t="n">
        <v>0</v>
      </c>
      <c r="O679" t="n">
        <v>0</v>
      </c>
      <c r="P679" t="n">
        <v>0</v>
      </c>
      <c r="Q679" t="n">
        <v>0</v>
      </c>
      <c r="R679" s="2" t="inlineStr"/>
    </row>
    <row r="680" ht="15" customHeight="1">
      <c r="A680" t="inlineStr">
        <is>
          <t>A 16600-2023</t>
        </is>
      </c>
      <c r="B680" s="1" t="n">
        <v>45030</v>
      </c>
      <c r="C680" s="1" t="n">
        <v>45984</v>
      </c>
      <c r="D680" t="inlineStr">
        <is>
          <t>VÄSTERNORRLANDS LÄN</t>
        </is>
      </c>
      <c r="E680" t="inlineStr">
        <is>
          <t>ÅNGE</t>
        </is>
      </c>
      <c r="G680" t="n">
        <v>0.1</v>
      </c>
      <c r="H680" t="n">
        <v>0</v>
      </c>
      <c r="I680" t="n">
        <v>0</v>
      </c>
      <c r="J680" t="n">
        <v>0</v>
      </c>
      <c r="K680" t="n">
        <v>0</v>
      </c>
      <c r="L680" t="n">
        <v>0</v>
      </c>
      <c r="M680" t="n">
        <v>0</v>
      </c>
      <c r="N680" t="n">
        <v>0</v>
      </c>
      <c r="O680" t="n">
        <v>0</v>
      </c>
      <c r="P680" t="n">
        <v>0</v>
      </c>
      <c r="Q680" t="n">
        <v>0</v>
      </c>
      <c r="R680" s="2" t="inlineStr"/>
    </row>
    <row r="681" ht="15" customHeight="1">
      <c r="A681" t="inlineStr">
        <is>
          <t>A 42488-2024</t>
        </is>
      </c>
      <c r="B681" s="1" t="n">
        <v>45565.49420138889</v>
      </c>
      <c r="C681" s="1" t="n">
        <v>45984</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35399-2024</t>
        </is>
      </c>
      <c r="B682" s="1" t="n">
        <v>45531.40438657408</v>
      </c>
      <c r="C682" s="1" t="n">
        <v>45984</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52283-2025</t>
        </is>
      </c>
      <c r="B683" s="1" t="n">
        <v>45953.57346064815</v>
      </c>
      <c r="C683" s="1" t="n">
        <v>45984</v>
      </c>
      <c r="D683" t="inlineStr">
        <is>
          <t>VÄSTERNORRLANDS LÄN</t>
        </is>
      </c>
      <c r="E683" t="inlineStr">
        <is>
          <t>ÅNGE</t>
        </is>
      </c>
      <c r="G683" t="n">
        <v>8.9</v>
      </c>
      <c r="H683" t="n">
        <v>0</v>
      </c>
      <c r="I683" t="n">
        <v>0</v>
      </c>
      <c r="J683" t="n">
        <v>0</v>
      </c>
      <c r="K683" t="n">
        <v>0</v>
      </c>
      <c r="L683" t="n">
        <v>0</v>
      </c>
      <c r="M683" t="n">
        <v>0</v>
      </c>
      <c r="N683" t="n">
        <v>0</v>
      </c>
      <c r="O683" t="n">
        <v>0</v>
      </c>
      <c r="P683" t="n">
        <v>0</v>
      </c>
      <c r="Q683" t="n">
        <v>0</v>
      </c>
      <c r="R683" s="2" t="inlineStr"/>
    </row>
    <row r="684" ht="15" customHeight="1">
      <c r="A684" t="inlineStr">
        <is>
          <t>A 29560-2025</t>
        </is>
      </c>
      <c r="B684" s="1" t="n">
        <v>45825.36497685185</v>
      </c>
      <c r="C684" s="1" t="n">
        <v>45984</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52335-2025</t>
        </is>
      </c>
      <c r="B685" s="1" t="n">
        <v>45953.68591435185</v>
      </c>
      <c r="C685" s="1" t="n">
        <v>45984</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52306-2025</t>
        </is>
      </c>
      <c r="B686" s="1" t="n">
        <v>45953.63600694444</v>
      </c>
      <c r="C686" s="1" t="n">
        <v>45984</v>
      </c>
      <c r="D686" t="inlineStr">
        <is>
          <t>VÄSTERNORRLANDS LÄN</t>
        </is>
      </c>
      <c r="E686" t="inlineStr">
        <is>
          <t>ÅNGE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52411-2025</t>
        </is>
      </c>
      <c r="B687" s="1" t="n">
        <v>45954.36518518518</v>
      </c>
      <c r="C687" s="1" t="n">
        <v>45984</v>
      </c>
      <c r="D687" t="inlineStr">
        <is>
          <t>VÄSTERNORRLANDS LÄN</t>
        </is>
      </c>
      <c r="E687" t="inlineStr">
        <is>
          <t>ÅNGE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29786-2025</t>
        </is>
      </c>
      <c r="B688" s="1" t="n">
        <v>45825.65663194445</v>
      </c>
      <c r="C688" s="1" t="n">
        <v>45984</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39682-2024</t>
        </is>
      </c>
      <c r="B689" s="1" t="n">
        <v>45552</v>
      </c>
      <c r="C689" s="1" t="n">
        <v>45984</v>
      </c>
      <c r="D689" t="inlineStr">
        <is>
          <t>VÄSTERNORRLANDS LÄN</t>
        </is>
      </c>
      <c r="E689" t="inlineStr">
        <is>
          <t>ÅNGE</t>
        </is>
      </c>
      <c r="G689" t="n">
        <v>35.4</v>
      </c>
      <c r="H689" t="n">
        <v>0</v>
      </c>
      <c r="I689" t="n">
        <v>0</v>
      </c>
      <c r="J689" t="n">
        <v>0</v>
      </c>
      <c r="K689" t="n">
        <v>0</v>
      </c>
      <c r="L689" t="n">
        <v>0</v>
      </c>
      <c r="M689" t="n">
        <v>0</v>
      </c>
      <c r="N689" t="n">
        <v>0</v>
      </c>
      <c r="O689" t="n">
        <v>0</v>
      </c>
      <c r="P689" t="n">
        <v>0</v>
      </c>
      <c r="Q689" t="n">
        <v>0</v>
      </c>
      <c r="R689" s="2" t="inlineStr"/>
    </row>
    <row r="690" ht="15" customHeight="1">
      <c r="A690" t="inlineStr">
        <is>
          <t>A 17668-2023</t>
        </is>
      </c>
      <c r="B690" s="1" t="n">
        <v>45036</v>
      </c>
      <c r="C690" s="1" t="n">
        <v>45984</v>
      </c>
      <c r="D690" t="inlineStr">
        <is>
          <t>VÄSTERNORRLANDS LÄN</t>
        </is>
      </c>
      <c r="E690" t="inlineStr">
        <is>
          <t>ÅNGE</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8406-2023</t>
        </is>
      </c>
      <c r="B691" s="1" t="n">
        <v>44971</v>
      </c>
      <c r="C691" s="1" t="n">
        <v>45984</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30475-2025</t>
        </is>
      </c>
      <c r="B692" s="1" t="n">
        <v>45828.34444444445</v>
      </c>
      <c r="C692" s="1" t="n">
        <v>45984</v>
      </c>
      <c r="D692" t="inlineStr">
        <is>
          <t>VÄSTERNORRLANDS LÄN</t>
        </is>
      </c>
      <c r="E692" t="inlineStr">
        <is>
          <t>ÅNGE</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4651-2022</t>
        </is>
      </c>
      <c r="B693" s="1" t="n">
        <v>44592</v>
      </c>
      <c r="C693" s="1" t="n">
        <v>45984</v>
      </c>
      <c r="D693" t="inlineStr">
        <is>
          <t>VÄSTERNORRLANDS LÄN</t>
        </is>
      </c>
      <c r="E693" t="inlineStr">
        <is>
          <t>ÅNGE</t>
        </is>
      </c>
      <c r="G693" t="n">
        <v>1.7</v>
      </c>
      <c r="H693" t="n">
        <v>0</v>
      </c>
      <c r="I693" t="n">
        <v>0</v>
      </c>
      <c r="J693" t="n">
        <v>0</v>
      </c>
      <c r="K693" t="n">
        <v>0</v>
      </c>
      <c r="L693" t="n">
        <v>0</v>
      </c>
      <c r="M693" t="n">
        <v>0</v>
      </c>
      <c r="N693" t="n">
        <v>0</v>
      </c>
      <c r="O693" t="n">
        <v>0</v>
      </c>
      <c r="P693" t="n">
        <v>0</v>
      </c>
      <c r="Q693" t="n">
        <v>0</v>
      </c>
      <c r="R693" s="2" t="inlineStr"/>
    </row>
    <row r="694" ht="15" customHeight="1">
      <c r="A694" t="inlineStr">
        <is>
          <t>A 45933-2023</t>
        </is>
      </c>
      <c r="B694" s="1" t="n">
        <v>45195</v>
      </c>
      <c r="C694" s="1" t="n">
        <v>45984</v>
      </c>
      <c r="D694" t="inlineStr">
        <is>
          <t>VÄSTERNORRLANDS LÄN</t>
        </is>
      </c>
      <c r="E694" t="inlineStr">
        <is>
          <t>ÅNGE</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57601-2022</t>
        </is>
      </c>
      <c r="B695" s="1" t="n">
        <v>44896</v>
      </c>
      <c r="C695" s="1" t="n">
        <v>45984</v>
      </c>
      <c r="D695" t="inlineStr">
        <is>
          <t>VÄSTERNORRLANDS LÄN</t>
        </is>
      </c>
      <c r="E695" t="inlineStr">
        <is>
          <t>ÅNGE</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43389-2025</t>
        </is>
      </c>
      <c r="B696" s="1" t="n">
        <v>45911.36560185185</v>
      </c>
      <c r="C696" s="1" t="n">
        <v>45984</v>
      </c>
      <c r="D696" t="inlineStr">
        <is>
          <t>VÄSTERNORRLANDS LÄN</t>
        </is>
      </c>
      <c r="E696" t="inlineStr">
        <is>
          <t>ÅNGE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43546-2025</t>
        </is>
      </c>
      <c r="B697" s="1" t="n">
        <v>45911.6153125</v>
      </c>
      <c r="C697" s="1" t="n">
        <v>45984</v>
      </c>
      <c r="D697" t="inlineStr">
        <is>
          <t>VÄSTERNORRLANDS LÄN</t>
        </is>
      </c>
      <c r="E697" t="inlineStr">
        <is>
          <t>ÅNGE</t>
        </is>
      </c>
      <c r="F697" t="inlineStr">
        <is>
          <t>SCA</t>
        </is>
      </c>
      <c r="G697" t="n">
        <v>9.6</v>
      </c>
      <c r="H697" t="n">
        <v>0</v>
      </c>
      <c r="I697" t="n">
        <v>0</v>
      </c>
      <c r="J697" t="n">
        <v>0</v>
      </c>
      <c r="K697" t="n">
        <v>0</v>
      </c>
      <c r="L697" t="n">
        <v>0</v>
      </c>
      <c r="M697" t="n">
        <v>0</v>
      </c>
      <c r="N697" t="n">
        <v>0</v>
      </c>
      <c r="O697" t="n">
        <v>0</v>
      </c>
      <c r="P697" t="n">
        <v>0</v>
      </c>
      <c r="Q697" t="n">
        <v>0</v>
      </c>
      <c r="R697" s="2" t="inlineStr"/>
    </row>
    <row r="698" ht="15" customHeight="1">
      <c r="A698" t="inlineStr">
        <is>
          <t>A 34649-2024</t>
        </is>
      </c>
      <c r="B698" s="1" t="n">
        <v>45526.48325231481</v>
      </c>
      <c r="C698" s="1" t="n">
        <v>45984</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52392-2025</t>
        </is>
      </c>
      <c r="B699" s="1" t="n">
        <v>45954.34424768519</v>
      </c>
      <c r="C699" s="1" t="n">
        <v>45984</v>
      </c>
      <c r="D699" t="inlineStr">
        <is>
          <t>VÄSTERNORRLANDS LÄN</t>
        </is>
      </c>
      <c r="E699" t="inlineStr">
        <is>
          <t>ÅNGE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43386-2025</t>
        </is>
      </c>
      <c r="B700" s="1" t="n">
        <v>45911.36520833334</v>
      </c>
      <c r="C700" s="1" t="n">
        <v>45984</v>
      </c>
      <c r="D700" t="inlineStr">
        <is>
          <t>VÄSTERNORRLANDS LÄN</t>
        </is>
      </c>
      <c r="E700" t="inlineStr">
        <is>
          <t>ÅNGE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30875-2025</t>
        </is>
      </c>
      <c r="B701" s="1" t="n">
        <v>45832.34447916667</v>
      </c>
      <c r="C701" s="1" t="n">
        <v>45984</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31211-2025</t>
        </is>
      </c>
      <c r="B702" s="1" t="n">
        <v>45832.71938657408</v>
      </c>
      <c r="C702" s="1" t="n">
        <v>45984</v>
      </c>
      <c r="D702" t="inlineStr">
        <is>
          <t>VÄSTERNORRLANDS LÄN</t>
        </is>
      </c>
      <c r="E702" t="inlineStr">
        <is>
          <t>ÅNGE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51054-2024</t>
        </is>
      </c>
      <c r="B703" s="1" t="n">
        <v>45603</v>
      </c>
      <c r="C703" s="1" t="n">
        <v>45984</v>
      </c>
      <c r="D703" t="inlineStr">
        <is>
          <t>VÄSTERNORRLANDS LÄN</t>
        </is>
      </c>
      <c r="E703" t="inlineStr">
        <is>
          <t>ÅNGE</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52858-2025</t>
        </is>
      </c>
      <c r="B704" s="1" t="n">
        <v>45957.50284722223</v>
      </c>
      <c r="C704" s="1" t="n">
        <v>45984</v>
      </c>
      <c r="D704" t="inlineStr">
        <is>
          <t>VÄSTERNORRLANDS LÄN</t>
        </is>
      </c>
      <c r="E704" t="inlineStr">
        <is>
          <t>ÅNGE</t>
        </is>
      </c>
      <c r="G704" t="n">
        <v>1.7</v>
      </c>
      <c r="H704" t="n">
        <v>0</v>
      </c>
      <c r="I704" t="n">
        <v>0</v>
      </c>
      <c r="J704" t="n">
        <v>0</v>
      </c>
      <c r="K704" t="n">
        <v>0</v>
      </c>
      <c r="L704" t="n">
        <v>0</v>
      </c>
      <c r="M704" t="n">
        <v>0</v>
      </c>
      <c r="N704" t="n">
        <v>0</v>
      </c>
      <c r="O704" t="n">
        <v>0</v>
      </c>
      <c r="P704" t="n">
        <v>0</v>
      </c>
      <c r="Q704" t="n">
        <v>0</v>
      </c>
      <c r="R704" s="2" t="inlineStr"/>
    </row>
    <row r="705" ht="15" customHeight="1">
      <c r="A705" t="inlineStr">
        <is>
          <t>A 30618-2025</t>
        </is>
      </c>
      <c r="B705" s="1" t="n">
        <v>45831.46909722222</v>
      </c>
      <c r="C705" s="1" t="n">
        <v>45984</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31188-2025</t>
        </is>
      </c>
      <c r="B706" s="1" t="n">
        <v>45832.67842592593</v>
      </c>
      <c r="C706" s="1" t="n">
        <v>45984</v>
      </c>
      <c r="D706" t="inlineStr">
        <is>
          <t>VÄSTERNORRLANDS LÄN</t>
        </is>
      </c>
      <c r="E706" t="inlineStr">
        <is>
          <t>ÅNGE</t>
        </is>
      </c>
      <c r="F706" t="inlineStr">
        <is>
          <t>SCA</t>
        </is>
      </c>
      <c r="G706" t="n">
        <v>14.9</v>
      </c>
      <c r="H706" t="n">
        <v>0</v>
      </c>
      <c r="I706" t="n">
        <v>0</v>
      </c>
      <c r="J706" t="n">
        <v>0</v>
      </c>
      <c r="K706" t="n">
        <v>0</v>
      </c>
      <c r="L706" t="n">
        <v>0</v>
      </c>
      <c r="M706" t="n">
        <v>0</v>
      </c>
      <c r="N706" t="n">
        <v>0</v>
      </c>
      <c r="O706" t="n">
        <v>0</v>
      </c>
      <c r="P706" t="n">
        <v>0</v>
      </c>
      <c r="Q706" t="n">
        <v>0</v>
      </c>
      <c r="R706" s="2" t="inlineStr"/>
    </row>
    <row r="707" ht="15" customHeight="1">
      <c r="A707" t="inlineStr">
        <is>
          <t>A 53033-2025</t>
        </is>
      </c>
      <c r="B707" s="1" t="n">
        <v>45958.34479166667</v>
      </c>
      <c r="C707" s="1" t="n">
        <v>45984</v>
      </c>
      <c r="D707" t="inlineStr">
        <is>
          <t>VÄSTERNORRLANDS LÄN</t>
        </is>
      </c>
      <c r="E707" t="inlineStr">
        <is>
          <t>ÅNGE</t>
        </is>
      </c>
      <c r="G707" t="n">
        <v>2.7</v>
      </c>
      <c r="H707" t="n">
        <v>0</v>
      </c>
      <c r="I707" t="n">
        <v>0</v>
      </c>
      <c r="J707" t="n">
        <v>0</v>
      </c>
      <c r="K707" t="n">
        <v>0</v>
      </c>
      <c r="L707" t="n">
        <v>0</v>
      </c>
      <c r="M707" t="n">
        <v>0</v>
      </c>
      <c r="N707" t="n">
        <v>0</v>
      </c>
      <c r="O707" t="n">
        <v>0</v>
      </c>
      <c r="P707" t="n">
        <v>0</v>
      </c>
      <c r="Q707" t="n">
        <v>0</v>
      </c>
      <c r="R707" s="2" t="inlineStr"/>
    </row>
    <row r="708" ht="15" customHeight="1">
      <c r="A708" t="inlineStr">
        <is>
          <t>A 34679-2024</t>
        </is>
      </c>
      <c r="B708" s="1" t="n">
        <v>45526</v>
      </c>
      <c r="C708" s="1" t="n">
        <v>45984</v>
      </c>
      <c r="D708" t="inlineStr">
        <is>
          <t>VÄSTERNORRLANDS LÄN</t>
        </is>
      </c>
      <c r="E708" t="inlineStr">
        <is>
          <t>ÅNGE</t>
        </is>
      </c>
      <c r="G708" t="n">
        <v>1.4</v>
      </c>
      <c r="H708" t="n">
        <v>0</v>
      </c>
      <c r="I708" t="n">
        <v>0</v>
      </c>
      <c r="J708" t="n">
        <v>0</v>
      </c>
      <c r="K708" t="n">
        <v>0</v>
      </c>
      <c r="L708" t="n">
        <v>0</v>
      </c>
      <c r="M708" t="n">
        <v>0</v>
      </c>
      <c r="N708" t="n">
        <v>0</v>
      </c>
      <c r="O708" t="n">
        <v>0</v>
      </c>
      <c r="P708" t="n">
        <v>0</v>
      </c>
      <c r="Q708" t="n">
        <v>0</v>
      </c>
      <c r="R708" s="2" t="inlineStr"/>
    </row>
    <row r="709" ht="15" customHeight="1">
      <c r="A709" t="inlineStr">
        <is>
          <t>A 31042-2025</t>
        </is>
      </c>
      <c r="B709" s="1" t="n">
        <v>45832.55267361111</v>
      </c>
      <c r="C709" s="1" t="n">
        <v>45984</v>
      </c>
      <c r="D709" t="inlineStr">
        <is>
          <t>VÄSTERNORRLANDS LÄN</t>
        </is>
      </c>
      <c r="E709" t="inlineStr">
        <is>
          <t>ÅNGE</t>
        </is>
      </c>
      <c r="F709" t="inlineStr">
        <is>
          <t>SCA</t>
        </is>
      </c>
      <c r="G709" t="n">
        <v>11.8</v>
      </c>
      <c r="H709" t="n">
        <v>0</v>
      </c>
      <c r="I709" t="n">
        <v>0</v>
      </c>
      <c r="J709" t="n">
        <v>0</v>
      </c>
      <c r="K709" t="n">
        <v>0</v>
      </c>
      <c r="L709" t="n">
        <v>0</v>
      </c>
      <c r="M709" t="n">
        <v>0</v>
      </c>
      <c r="N709" t="n">
        <v>0</v>
      </c>
      <c r="O709" t="n">
        <v>0</v>
      </c>
      <c r="P709" t="n">
        <v>0</v>
      </c>
      <c r="Q709" t="n">
        <v>0</v>
      </c>
      <c r="R709" s="2" t="inlineStr"/>
    </row>
    <row r="710" ht="15" customHeight="1">
      <c r="A710" t="inlineStr">
        <is>
          <t>A 58445-2022</t>
        </is>
      </c>
      <c r="B710" s="1" t="n">
        <v>44901.95453703704</v>
      </c>
      <c r="C710" s="1" t="n">
        <v>45984</v>
      </c>
      <c r="D710" t="inlineStr">
        <is>
          <t>VÄSTERNORRLANDS LÄN</t>
        </is>
      </c>
      <c r="E710" t="inlineStr">
        <is>
          <t>ÅNGE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31135-2025</t>
        </is>
      </c>
      <c r="B711" s="1" t="n">
        <v>45832.63581018519</v>
      </c>
      <c r="C711" s="1" t="n">
        <v>45984</v>
      </c>
      <c r="D711" t="inlineStr">
        <is>
          <t>VÄSTERNORRLANDS LÄN</t>
        </is>
      </c>
      <c r="E711" t="inlineStr">
        <is>
          <t>ÅNGE</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30892-2025</t>
        </is>
      </c>
      <c r="B712" s="1" t="n">
        <v>45832.34663194444</v>
      </c>
      <c r="C712" s="1" t="n">
        <v>45984</v>
      </c>
      <c r="D712" t="inlineStr">
        <is>
          <t>VÄSTERNORRLANDS LÄN</t>
        </is>
      </c>
      <c r="E712" t="inlineStr">
        <is>
          <t>ÅNGE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30598-2025</t>
        </is>
      </c>
      <c r="B713" s="1" t="n">
        <v>45831.44834490741</v>
      </c>
      <c r="C713" s="1" t="n">
        <v>45984</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23058-2024</t>
        </is>
      </c>
      <c r="B714" s="1" t="n">
        <v>45450.44020833333</v>
      </c>
      <c r="C714" s="1" t="n">
        <v>45984</v>
      </c>
      <c r="D714" t="inlineStr">
        <is>
          <t>VÄSTERNORRLANDS LÄN</t>
        </is>
      </c>
      <c r="E714" t="inlineStr">
        <is>
          <t>ÅNGE</t>
        </is>
      </c>
      <c r="G714" t="n">
        <v>3.9</v>
      </c>
      <c r="H714" t="n">
        <v>0</v>
      </c>
      <c r="I714" t="n">
        <v>0</v>
      </c>
      <c r="J714" t="n">
        <v>0</v>
      </c>
      <c r="K714" t="n">
        <v>0</v>
      </c>
      <c r="L714" t="n">
        <v>0</v>
      </c>
      <c r="M714" t="n">
        <v>0</v>
      </c>
      <c r="N714" t="n">
        <v>0</v>
      </c>
      <c r="O714" t="n">
        <v>0</v>
      </c>
      <c r="P714" t="n">
        <v>0</v>
      </c>
      <c r="Q714" t="n">
        <v>0</v>
      </c>
      <c r="R714" s="2" t="inlineStr"/>
    </row>
    <row r="715" ht="15" customHeight="1">
      <c r="A715" t="inlineStr">
        <is>
          <t>A 64946-2023</t>
        </is>
      </c>
      <c r="B715" s="1" t="n">
        <v>45282.94678240741</v>
      </c>
      <c r="C715" s="1" t="n">
        <v>45984</v>
      </c>
      <c r="D715" t="inlineStr">
        <is>
          <t>VÄSTERNORRLANDS LÄN</t>
        </is>
      </c>
      <c r="E715" t="inlineStr">
        <is>
          <t>ÅNGE</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31041-2025</t>
        </is>
      </c>
      <c r="B716" s="1" t="n">
        <v>45832.55247685185</v>
      </c>
      <c r="C716" s="1" t="n">
        <v>45984</v>
      </c>
      <c r="D716" t="inlineStr">
        <is>
          <t>VÄSTERNORRLANDS LÄN</t>
        </is>
      </c>
      <c r="E716" t="inlineStr">
        <is>
          <t>ÅNGE</t>
        </is>
      </c>
      <c r="F716" t="inlineStr">
        <is>
          <t>SCA</t>
        </is>
      </c>
      <c r="G716" t="n">
        <v>15.1</v>
      </c>
      <c r="H716" t="n">
        <v>0</v>
      </c>
      <c r="I716" t="n">
        <v>0</v>
      </c>
      <c r="J716" t="n">
        <v>0</v>
      </c>
      <c r="K716" t="n">
        <v>0</v>
      </c>
      <c r="L716" t="n">
        <v>0</v>
      </c>
      <c r="M716" t="n">
        <v>0</v>
      </c>
      <c r="N716" t="n">
        <v>0</v>
      </c>
      <c r="O716" t="n">
        <v>0</v>
      </c>
      <c r="P716" t="n">
        <v>0</v>
      </c>
      <c r="Q716" t="n">
        <v>0</v>
      </c>
      <c r="R716" s="2" t="inlineStr"/>
    </row>
    <row r="717" ht="15" customHeight="1">
      <c r="A717" t="inlineStr">
        <is>
          <t>A 53012-2025</t>
        </is>
      </c>
      <c r="B717" s="1" t="n">
        <v>45957.80320601852</v>
      </c>
      <c r="C717" s="1" t="n">
        <v>45984</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31139-2025</t>
        </is>
      </c>
      <c r="B718" s="1" t="n">
        <v>45832.63633101852</v>
      </c>
      <c r="C718" s="1" t="n">
        <v>45984</v>
      </c>
      <c r="D718" t="inlineStr">
        <is>
          <t>VÄSTERNORRLANDS LÄN</t>
        </is>
      </c>
      <c r="E718" t="inlineStr">
        <is>
          <t>ÅNGE</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30877-2025</t>
        </is>
      </c>
      <c r="B719" s="1" t="n">
        <v>45832.34478009259</v>
      </c>
      <c r="C719" s="1" t="n">
        <v>45984</v>
      </c>
      <c r="D719" t="inlineStr">
        <is>
          <t>VÄSTERNORRLANDS LÄN</t>
        </is>
      </c>
      <c r="E719" t="inlineStr">
        <is>
          <t>ÅNGE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30888-2025</t>
        </is>
      </c>
      <c r="B720" s="1" t="n">
        <v>45832.34606481482</v>
      </c>
      <c r="C720" s="1" t="n">
        <v>45984</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51059-2024</t>
        </is>
      </c>
      <c r="B721" s="1" t="n">
        <v>45603</v>
      </c>
      <c r="C721" s="1" t="n">
        <v>45984</v>
      </c>
      <c r="D721" t="inlineStr">
        <is>
          <t>VÄSTERNORRLANDS LÄN</t>
        </is>
      </c>
      <c r="E721" t="inlineStr">
        <is>
          <t>ÅNGE</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53013-2025</t>
        </is>
      </c>
      <c r="B722" s="1" t="n">
        <v>45957.81732638889</v>
      </c>
      <c r="C722" s="1" t="n">
        <v>45984</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53221-2025</t>
        </is>
      </c>
      <c r="B723" s="1" t="n">
        <v>45958.60331018519</v>
      </c>
      <c r="C723" s="1" t="n">
        <v>45984</v>
      </c>
      <c r="D723" t="inlineStr">
        <is>
          <t>VÄSTERNORRLANDS LÄN</t>
        </is>
      </c>
      <c r="E723" t="inlineStr">
        <is>
          <t>ÅNGE</t>
        </is>
      </c>
      <c r="G723" t="n">
        <v>2.1</v>
      </c>
      <c r="H723" t="n">
        <v>0</v>
      </c>
      <c r="I723" t="n">
        <v>0</v>
      </c>
      <c r="J723" t="n">
        <v>0</v>
      </c>
      <c r="K723" t="n">
        <v>0</v>
      </c>
      <c r="L723" t="n">
        <v>0</v>
      </c>
      <c r="M723" t="n">
        <v>0</v>
      </c>
      <c r="N723" t="n">
        <v>0</v>
      </c>
      <c r="O723" t="n">
        <v>0</v>
      </c>
      <c r="P723" t="n">
        <v>0</v>
      </c>
      <c r="Q723" t="n">
        <v>0</v>
      </c>
      <c r="R723" s="2" t="inlineStr"/>
    </row>
    <row r="724" ht="15" customHeight="1">
      <c r="A724" t="inlineStr">
        <is>
          <t>A 52642-2025</t>
        </is>
      </c>
      <c r="B724" s="1" t="n">
        <v>45955.34576388889</v>
      </c>
      <c r="C724" s="1" t="n">
        <v>45984</v>
      </c>
      <c r="D724" t="inlineStr">
        <is>
          <t>VÄSTERNORRLANDS LÄN</t>
        </is>
      </c>
      <c r="E724" t="inlineStr">
        <is>
          <t>ÅNGE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31275-2025</t>
        </is>
      </c>
      <c r="B725" s="1" t="n">
        <v>45833.34459490741</v>
      </c>
      <c r="C725" s="1" t="n">
        <v>45984</v>
      </c>
      <c r="D725" t="inlineStr">
        <is>
          <t>VÄSTERNORRLANDS LÄN</t>
        </is>
      </c>
      <c r="E725" t="inlineStr">
        <is>
          <t>ÅNGE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53856-2024</t>
        </is>
      </c>
      <c r="B726" s="1" t="n">
        <v>45615</v>
      </c>
      <c r="C726" s="1" t="n">
        <v>45984</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31452-2025</t>
        </is>
      </c>
      <c r="B727" s="1" t="n">
        <v>45833.53179398148</v>
      </c>
      <c r="C727" s="1" t="n">
        <v>45984</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31544-2025</t>
        </is>
      </c>
      <c r="B728" s="1" t="n">
        <v>45833.63597222222</v>
      </c>
      <c r="C728" s="1" t="n">
        <v>45984</v>
      </c>
      <c r="D728" t="inlineStr">
        <is>
          <t>VÄSTERNORRLANDS LÄN</t>
        </is>
      </c>
      <c r="E728" t="inlineStr">
        <is>
          <t>ÅNGE</t>
        </is>
      </c>
      <c r="G728" t="n">
        <v>2.1</v>
      </c>
      <c r="H728" t="n">
        <v>0</v>
      </c>
      <c r="I728" t="n">
        <v>0</v>
      </c>
      <c r="J728" t="n">
        <v>0</v>
      </c>
      <c r="K728" t="n">
        <v>0</v>
      </c>
      <c r="L728" t="n">
        <v>0</v>
      </c>
      <c r="M728" t="n">
        <v>0</v>
      </c>
      <c r="N728" t="n">
        <v>0</v>
      </c>
      <c r="O728" t="n">
        <v>0</v>
      </c>
      <c r="P728" t="n">
        <v>0</v>
      </c>
      <c r="Q728" t="n">
        <v>0</v>
      </c>
      <c r="R728" s="2" t="inlineStr"/>
    </row>
    <row r="729" ht="15" customHeight="1">
      <c r="A729" t="inlineStr">
        <is>
          <t>A 31646-2025</t>
        </is>
      </c>
      <c r="B729" s="1" t="n">
        <v>45834.34563657407</v>
      </c>
      <c r="C729" s="1" t="n">
        <v>45984</v>
      </c>
      <c r="D729" t="inlineStr">
        <is>
          <t>VÄSTERNORRLANDS LÄN</t>
        </is>
      </c>
      <c r="E729" t="inlineStr">
        <is>
          <t>ÅNGE</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46681-2023</t>
        </is>
      </c>
      <c r="B730" s="1" t="n">
        <v>45198</v>
      </c>
      <c r="C730" s="1" t="n">
        <v>45984</v>
      </c>
      <c r="D730" t="inlineStr">
        <is>
          <t>VÄSTERNORRLANDS LÄN</t>
        </is>
      </c>
      <c r="E730" t="inlineStr">
        <is>
          <t>ÅNGE</t>
        </is>
      </c>
      <c r="G730" t="n">
        <v>0.8</v>
      </c>
      <c r="H730" t="n">
        <v>0</v>
      </c>
      <c r="I730" t="n">
        <v>0</v>
      </c>
      <c r="J730" t="n">
        <v>0</v>
      </c>
      <c r="K730" t="n">
        <v>0</v>
      </c>
      <c r="L730" t="n">
        <v>0</v>
      </c>
      <c r="M730" t="n">
        <v>0</v>
      </c>
      <c r="N730" t="n">
        <v>0</v>
      </c>
      <c r="O730" t="n">
        <v>0</v>
      </c>
      <c r="P730" t="n">
        <v>0</v>
      </c>
      <c r="Q730" t="n">
        <v>0</v>
      </c>
      <c r="R730" s="2" t="inlineStr"/>
    </row>
    <row r="731" ht="15" customHeight="1">
      <c r="A731" t="inlineStr">
        <is>
          <t>A 31484-2025</t>
        </is>
      </c>
      <c r="B731" s="1" t="n">
        <v>45833.57418981481</v>
      </c>
      <c r="C731" s="1" t="n">
        <v>45984</v>
      </c>
      <c r="D731" t="inlineStr">
        <is>
          <t>VÄSTERNORRLANDS LÄN</t>
        </is>
      </c>
      <c r="E731" t="inlineStr">
        <is>
          <t>ÅNGE</t>
        </is>
      </c>
      <c r="F731" t="inlineStr">
        <is>
          <t>SCA</t>
        </is>
      </c>
      <c r="G731" t="n">
        <v>7</v>
      </c>
      <c r="H731" t="n">
        <v>0</v>
      </c>
      <c r="I731" t="n">
        <v>0</v>
      </c>
      <c r="J731" t="n">
        <v>0</v>
      </c>
      <c r="K731" t="n">
        <v>0</v>
      </c>
      <c r="L731" t="n">
        <v>0</v>
      </c>
      <c r="M731" t="n">
        <v>0</v>
      </c>
      <c r="N731" t="n">
        <v>0</v>
      </c>
      <c r="O731" t="n">
        <v>0</v>
      </c>
      <c r="P731" t="n">
        <v>0</v>
      </c>
      <c r="Q731" t="n">
        <v>0</v>
      </c>
      <c r="R731" s="2" t="inlineStr"/>
    </row>
    <row r="732" ht="15" customHeight="1">
      <c r="A732" t="inlineStr">
        <is>
          <t>A 41586-2024</t>
        </is>
      </c>
      <c r="B732" s="1" t="n">
        <v>45560.56089120371</v>
      </c>
      <c r="C732" s="1" t="n">
        <v>45984</v>
      </c>
      <c r="D732" t="inlineStr">
        <is>
          <t>VÄSTERNORRLANDS LÄN</t>
        </is>
      </c>
      <c r="E732" t="inlineStr">
        <is>
          <t>ÅNGE</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44165-2025</t>
        </is>
      </c>
      <c r="B733" s="1" t="n">
        <v>45915.59840277778</v>
      </c>
      <c r="C733" s="1" t="n">
        <v>45984</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31642-2025</t>
        </is>
      </c>
      <c r="B734" s="1" t="n">
        <v>45834.34474537037</v>
      </c>
      <c r="C734" s="1" t="n">
        <v>45984</v>
      </c>
      <c r="D734" t="inlineStr">
        <is>
          <t>VÄSTERNORRLANDS LÄN</t>
        </is>
      </c>
      <c r="E734" t="inlineStr">
        <is>
          <t>ÅNGE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31666-2025</t>
        </is>
      </c>
      <c r="B735" s="1" t="n">
        <v>45834.36519675926</v>
      </c>
      <c r="C735" s="1" t="n">
        <v>45984</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48946-2024</t>
        </is>
      </c>
      <c r="B736" s="1" t="n">
        <v>45594.42736111111</v>
      </c>
      <c r="C736" s="1" t="n">
        <v>45984</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22988-2024</t>
        </is>
      </c>
      <c r="B737" s="1" t="n">
        <v>45449.94530092592</v>
      </c>
      <c r="C737" s="1" t="n">
        <v>45984</v>
      </c>
      <c r="D737" t="inlineStr">
        <is>
          <t>VÄSTERNORRLANDS LÄN</t>
        </is>
      </c>
      <c r="E737" t="inlineStr">
        <is>
          <t>ÅNGE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3023-2023</t>
        </is>
      </c>
      <c r="B738" s="1" t="n">
        <v>44945</v>
      </c>
      <c r="C738" s="1" t="n">
        <v>45984</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3025-2023</t>
        </is>
      </c>
      <c r="B739" s="1" t="n">
        <v>44945</v>
      </c>
      <c r="C739" s="1" t="n">
        <v>45984</v>
      </c>
      <c r="D739" t="inlineStr">
        <is>
          <t>VÄSTERNORRLANDS LÄN</t>
        </is>
      </c>
      <c r="E739" t="inlineStr">
        <is>
          <t>ÅNGE</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53381-2025</t>
        </is>
      </c>
      <c r="B740" s="1" t="n">
        <v>45959.53690972222</v>
      </c>
      <c r="C740" s="1" t="n">
        <v>45984</v>
      </c>
      <c r="D740" t="inlineStr">
        <is>
          <t>VÄSTERNORRLANDS LÄN</t>
        </is>
      </c>
      <c r="E740" t="inlineStr">
        <is>
          <t>ÅNGE</t>
        </is>
      </c>
      <c r="G740" t="n">
        <v>9.6</v>
      </c>
      <c r="H740" t="n">
        <v>0</v>
      </c>
      <c r="I740" t="n">
        <v>0</v>
      </c>
      <c r="J740" t="n">
        <v>0</v>
      </c>
      <c r="K740" t="n">
        <v>0</v>
      </c>
      <c r="L740" t="n">
        <v>0</v>
      </c>
      <c r="M740" t="n">
        <v>0</v>
      </c>
      <c r="N740" t="n">
        <v>0</v>
      </c>
      <c r="O740" t="n">
        <v>0</v>
      </c>
      <c r="P740" t="n">
        <v>0</v>
      </c>
      <c r="Q740" t="n">
        <v>0</v>
      </c>
      <c r="R740" s="2" t="inlineStr"/>
    </row>
    <row r="741" ht="15" customHeight="1">
      <c r="A741" t="inlineStr">
        <is>
          <t>A 38002-2024</t>
        </is>
      </c>
      <c r="B741" s="1" t="n">
        <v>45544.61484953704</v>
      </c>
      <c r="C741" s="1" t="n">
        <v>45984</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31568-2024</t>
        </is>
      </c>
      <c r="B742" s="1" t="n">
        <v>45505.96721064814</v>
      </c>
      <c r="C742" s="1" t="n">
        <v>45984</v>
      </c>
      <c r="D742" t="inlineStr">
        <is>
          <t>VÄSTERNORRLANDS LÄN</t>
        </is>
      </c>
      <c r="E742" t="inlineStr">
        <is>
          <t>ÅNGE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53713-2025</t>
        </is>
      </c>
      <c r="B743" s="1" t="n">
        <v>45960.61568287037</v>
      </c>
      <c r="C743" s="1" t="n">
        <v>45984</v>
      </c>
      <c r="D743" t="inlineStr">
        <is>
          <t>VÄSTERNORRLANDS LÄN</t>
        </is>
      </c>
      <c r="E743" t="inlineStr">
        <is>
          <t>ÅNGE</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32025-2025</t>
        </is>
      </c>
      <c r="B744" s="1" t="n">
        <v>45835.40721064815</v>
      </c>
      <c r="C744" s="1" t="n">
        <v>45984</v>
      </c>
      <c r="D744" t="inlineStr">
        <is>
          <t>VÄSTERNORRLANDS LÄN</t>
        </is>
      </c>
      <c r="E744" t="inlineStr">
        <is>
          <t>ÅNGE</t>
        </is>
      </c>
      <c r="G744" t="n">
        <v>1.6</v>
      </c>
      <c r="H744" t="n">
        <v>0</v>
      </c>
      <c r="I744" t="n">
        <v>0</v>
      </c>
      <c r="J744" t="n">
        <v>0</v>
      </c>
      <c r="K744" t="n">
        <v>0</v>
      </c>
      <c r="L744" t="n">
        <v>0</v>
      </c>
      <c r="M744" t="n">
        <v>0</v>
      </c>
      <c r="N744" t="n">
        <v>0</v>
      </c>
      <c r="O744" t="n">
        <v>0</v>
      </c>
      <c r="P744" t="n">
        <v>0</v>
      </c>
      <c r="Q744" t="n">
        <v>0</v>
      </c>
      <c r="R744" s="2" t="inlineStr"/>
    </row>
    <row r="745" ht="15" customHeight="1">
      <c r="A745" t="inlineStr">
        <is>
          <t>A 44565-2024</t>
        </is>
      </c>
      <c r="B745" s="1" t="n">
        <v>45574.47518518518</v>
      </c>
      <c r="C745" s="1" t="n">
        <v>45984</v>
      </c>
      <c r="D745" t="inlineStr">
        <is>
          <t>VÄSTERNORRLANDS LÄN</t>
        </is>
      </c>
      <c r="E745" t="inlineStr">
        <is>
          <t>ÅNGE</t>
        </is>
      </c>
      <c r="G745" t="n">
        <v>1.8</v>
      </c>
      <c r="H745" t="n">
        <v>0</v>
      </c>
      <c r="I745" t="n">
        <v>0</v>
      </c>
      <c r="J745" t="n">
        <v>0</v>
      </c>
      <c r="K745" t="n">
        <v>0</v>
      </c>
      <c r="L745" t="n">
        <v>0</v>
      </c>
      <c r="M745" t="n">
        <v>0</v>
      </c>
      <c r="N745" t="n">
        <v>0</v>
      </c>
      <c r="O745" t="n">
        <v>0</v>
      </c>
      <c r="P745" t="n">
        <v>0</v>
      </c>
      <c r="Q745" t="n">
        <v>0</v>
      </c>
      <c r="R745" s="2" t="inlineStr"/>
    </row>
    <row r="746" ht="15" customHeight="1">
      <c r="A746" t="inlineStr">
        <is>
          <t>A 26092-2025</t>
        </is>
      </c>
      <c r="B746" s="1" t="n">
        <v>45805</v>
      </c>
      <c r="C746" s="1" t="n">
        <v>45984</v>
      </c>
      <c r="D746" t="inlineStr">
        <is>
          <t>VÄSTERNORRLANDS LÄN</t>
        </is>
      </c>
      <c r="E746" t="inlineStr">
        <is>
          <t>ÅNGE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19997-2023</t>
        </is>
      </c>
      <c r="B747" s="1" t="n">
        <v>45054</v>
      </c>
      <c r="C747" s="1" t="n">
        <v>45984</v>
      </c>
      <c r="D747" t="inlineStr">
        <is>
          <t>VÄSTERNORRLANDS LÄN</t>
        </is>
      </c>
      <c r="E747" t="inlineStr">
        <is>
          <t>ÅNGE</t>
        </is>
      </c>
      <c r="G747" t="n">
        <v>0.3</v>
      </c>
      <c r="H747" t="n">
        <v>0</v>
      </c>
      <c r="I747" t="n">
        <v>0</v>
      </c>
      <c r="J747" t="n">
        <v>0</v>
      </c>
      <c r="K747" t="n">
        <v>0</v>
      </c>
      <c r="L747" t="n">
        <v>0</v>
      </c>
      <c r="M747" t="n">
        <v>0</v>
      </c>
      <c r="N747" t="n">
        <v>0</v>
      </c>
      <c r="O747" t="n">
        <v>0</v>
      </c>
      <c r="P747" t="n">
        <v>0</v>
      </c>
      <c r="Q747" t="n">
        <v>0</v>
      </c>
      <c r="R747" s="2" t="inlineStr"/>
    </row>
    <row r="748" ht="15" customHeight="1">
      <c r="A748" t="inlineStr">
        <is>
          <t>A 44919-2025</t>
        </is>
      </c>
      <c r="B748" s="1" t="n">
        <v>45918.55246527777</v>
      </c>
      <c r="C748" s="1" t="n">
        <v>45984</v>
      </c>
      <c r="D748" t="inlineStr">
        <is>
          <t>VÄSTERNORRLANDS LÄN</t>
        </is>
      </c>
      <c r="E748" t="inlineStr">
        <is>
          <t>ÅNGE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3352-2021</t>
        </is>
      </c>
      <c r="B749" s="1" t="n">
        <v>44217</v>
      </c>
      <c r="C749" s="1" t="n">
        <v>45984</v>
      </c>
      <c r="D749" t="inlineStr">
        <is>
          <t>VÄSTERNORRLANDS LÄN</t>
        </is>
      </c>
      <c r="E749" t="inlineStr">
        <is>
          <t>ÅNGE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44935-2025</t>
        </is>
      </c>
      <c r="B750" s="1" t="n">
        <v>45918.57392361111</v>
      </c>
      <c r="C750" s="1" t="n">
        <v>45984</v>
      </c>
      <c r="D750" t="inlineStr">
        <is>
          <t>VÄSTERNORRLANDS LÄN</t>
        </is>
      </c>
      <c r="E750" t="inlineStr">
        <is>
          <t>ÅNGE</t>
        </is>
      </c>
      <c r="F750" t="inlineStr">
        <is>
          <t>SCA</t>
        </is>
      </c>
      <c r="G750" t="n">
        <v>6.8</v>
      </c>
      <c r="H750" t="n">
        <v>0</v>
      </c>
      <c r="I750" t="n">
        <v>0</v>
      </c>
      <c r="J750" t="n">
        <v>0</v>
      </c>
      <c r="K750" t="n">
        <v>0</v>
      </c>
      <c r="L750" t="n">
        <v>0</v>
      </c>
      <c r="M750" t="n">
        <v>0</v>
      </c>
      <c r="N750" t="n">
        <v>0</v>
      </c>
      <c r="O750" t="n">
        <v>0</v>
      </c>
      <c r="P750" t="n">
        <v>0</v>
      </c>
      <c r="Q750" t="n">
        <v>0</v>
      </c>
      <c r="R750" s="2" t="inlineStr"/>
    </row>
    <row r="751" ht="15" customHeight="1">
      <c r="A751" t="inlineStr">
        <is>
          <t>A 34959-2023</t>
        </is>
      </c>
      <c r="B751" s="1" t="n">
        <v>45142</v>
      </c>
      <c r="C751" s="1" t="n">
        <v>45984</v>
      </c>
      <c r="D751" t="inlineStr">
        <is>
          <t>VÄSTERNORRLANDS LÄN</t>
        </is>
      </c>
      <c r="E751" t="inlineStr">
        <is>
          <t>ÅNGE</t>
        </is>
      </c>
      <c r="F751" t="inlineStr">
        <is>
          <t>Sveaskog</t>
        </is>
      </c>
      <c r="G751" t="n">
        <v>6.6</v>
      </c>
      <c r="H751" t="n">
        <v>0</v>
      </c>
      <c r="I751" t="n">
        <v>0</v>
      </c>
      <c r="J751" t="n">
        <v>0</v>
      </c>
      <c r="K751" t="n">
        <v>0</v>
      </c>
      <c r="L751" t="n">
        <v>0</v>
      </c>
      <c r="M751" t="n">
        <v>0</v>
      </c>
      <c r="N751" t="n">
        <v>0</v>
      </c>
      <c r="O751" t="n">
        <v>0</v>
      </c>
      <c r="P751" t="n">
        <v>0</v>
      </c>
      <c r="Q751" t="n">
        <v>0</v>
      </c>
      <c r="R751" s="2" t="inlineStr"/>
    </row>
    <row r="752" ht="15" customHeight="1">
      <c r="A752" t="inlineStr">
        <is>
          <t>A 32024-2025</t>
        </is>
      </c>
      <c r="B752" s="1" t="n">
        <v>45835.40706018519</v>
      </c>
      <c r="C752" s="1" t="n">
        <v>45984</v>
      </c>
      <c r="D752" t="inlineStr">
        <is>
          <t>VÄSTERNORRLANDS LÄN</t>
        </is>
      </c>
      <c r="E752" t="inlineStr">
        <is>
          <t>ÅNGE</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34629-2025</t>
        </is>
      </c>
      <c r="B753" s="1" t="n">
        <v>45847.93006944445</v>
      </c>
      <c r="C753" s="1" t="n">
        <v>45984</v>
      </c>
      <c r="D753" t="inlineStr">
        <is>
          <t>VÄSTERNORRLANDS LÄN</t>
        </is>
      </c>
      <c r="E753" t="inlineStr">
        <is>
          <t>ÅNGE</t>
        </is>
      </c>
      <c r="G753" t="n">
        <v>0.2</v>
      </c>
      <c r="H753" t="n">
        <v>0</v>
      </c>
      <c r="I753" t="n">
        <v>0</v>
      </c>
      <c r="J753" t="n">
        <v>0</v>
      </c>
      <c r="K753" t="n">
        <v>0</v>
      </c>
      <c r="L753" t="n">
        <v>0</v>
      </c>
      <c r="M753" t="n">
        <v>0</v>
      </c>
      <c r="N753" t="n">
        <v>0</v>
      </c>
      <c r="O753" t="n">
        <v>0</v>
      </c>
      <c r="P753" t="n">
        <v>0</v>
      </c>
      <c r="Q753" t="n">
        <v>0</v>
      </c>
      <c r="R753" s="2" t="inlineStr"/>
    </row>
    <row r="754" ht="15" customHeight="1">
      <c r="A754" t="inlineStr">
        <is>
          <t>A 54346-2023</t>
        </is>
      </c>
      <c r="B754" s="1" t="n">
        <v>45232.96087962963</v>
      </c>
      <c r="C754" s="1" t="n">
        <v>45984</v>
      </c>
      <c r="D754" t="inlineStr">
        <is>
          <t>VÄSTERNORRLANDS LÄN</t>
        </is>
      </c>
      <c r="E754" t="inlineStr">
        <is>
          <t>ÅNGE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24552-2023</t>
        </is>
      </c>
      <c r="B755" s="1" t="n">
        <v>45082.94226851852</v>
      </c>
      <c r="C755" s="1" t="n">
        <v>45984</v>
      </c>
      <c r="D755" t="inlineStr">
        <is>
          <t>VÄSTERNORRLANDS LÄN</t>
        </is>
      </c>
      <c r="E755" t="inlineStr">
        <is>
          <t>ÅNGE</t>
        </is>
      </c>
      <c r="G755" t="n">
        <v>1.5</v>
      </c>
      <c r="H755" t="n">
        <v>0</v>
      </c>
      <c r="I755" t="n">
        <v>0</v>
      </c>
      <c r="J755" t="n">
        <v>0</v>
      </c>
      <c r="K755" t="n">
        <v>0</v>
      </c>
      <c r="L755" t="n">
        <v>0</v>
      </c>
      <c r="M755" t="n">
        <v>0</v>
      </c>
      <c r="N755" t="n">
        <v>0</v>
      </c>
      <c r="O755" t="n">
        <v>0</v>
      </c>
      <c r="P755" t="n">
        <v>0</v>
      </c>
      <c r="Q755" t="n">
        <v>0</v>
      </c>
      <c r="R755" s="2" t="inlineStr"/>
    </row>
    <row r="756" ht="15" customHeight="1">
      <c r="A756" t="inlineStr">
        <is>
          <t>A 55328-2023</t>
        </is>
      </c>
      <c r="B756" s="1" t="n">
        <v>45237</v>
      </c>
      <c r="C756" s="1" t="n">
        <v>45984</v>
      </c>
      <c r="D756" t="inlineStr">
        <is>
          <t>VÄSTERNORRLANDS LÄN</t>
        </is>
      </c>
      <c r="E756" t="inlineStr">
        <is>
          <t>ÅNGE</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53509-2025</t>
        </is>
      </c>
      <c r="B757" s="1" t="n">
        <v>45960.34506944445</v>
      </c>
      <c r="C757" s="1" t="n">
        <v>45984</v>
      </c>
      <c r="D757" t="inlineStr">
        <is>
          <t>VÄSTERNORRLANDS LÄN</t>
        </is>
      </c>
      <c r="E757" t="inlineStr">
        <is>
          <t>ÅNGE</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11531-2023</t>
        </is>
      </c>
      <c r="B758" s="1" t="n">
        <v>44993.77038194444</v>
      </c>
      <c r="C758" s="1" t="n">
        <v>45984</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11532-2023</t>
        </is>
      </c>
      <c r="B759" s="1" t="n">
        <v>44993.77212962963</v>
      </c>
      <c r="C759" s="1" t="n">
        <v>45984</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41355-2024</t>
        </is>
      </c>
      <c r="B760" s="1" t="n">
        <v>45559.69833333333</v>
      </c>
      <c r="C760" s="1" t="n">
        <v>45984</v>
      </c>
      <c r="D760" t="inlineStr">
        <is>
          <t>VÄSTERNORRLANDS LÄN</t>
        </is>
      </c>
      <c r="E760" t="inlineStr">
        <is>
          <t>ÅNGE</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32847-2025</t>
        </is>
      </c>
      <c r="B761" s="1" t="n">
        <v>45839.57354166666</v>
      </c>
      <c r="C761" s="1" t="n">
        <v>45984</v>
      </c>
      <c r="D761" t="inlineStr">
        <is>
          <t>VÄSTERNORRLANDS LÄN</t>
        </is>
      </c>
      <c r="E761" t="inlineStr">
        <is>
          <t>ÅNGE</t>
        </is>
      </c>
      <c r="F761" t="inlineStr">
        <is>
          <t>SCA</t>
        </is>
      </c>
      <c r="G761" t="n">
        <v>9.4</v>
      </c>
      <c r="H761" t="n">
        <v>0</v>
      </c>
      <c r="I761" t="n">
        <v>0</v>
      </c>
      <c r="J761" t="n">
        <v>0</v>
      </c>
      <c r="K761" t="n">
        <v>0</v>
      </c>
      <c r="L761" t="n">
        <v>0</v>
      </c>
      <c r="M761" t="n">
        <v>0</v>
      </c>
      <c r="N761" t="n">
        <v>0</v>
      </c>
      <c r="O761" t="n">
        <v>0</v>
      </c>
      <c r="P761" t="n">
        <v>0</v>
      </c>
      <c r="Q761" t="n">
        <v>0</v>
      </c>
      <c r="R761" s="2" t="inlineStr"/>
    </row>
    <row r="762" ht="15" customHeight="1">
      <c r="A762" t="inlineStr">
        <is>
          <t>A 45403-2025</t>
        </is>
      </c>
      <c r="B762" s="1" t="n">
        <v>45922.42803240741</v>
      </c>
      <c r="C762" s="1" t="n">
        <v>45984</v>
      </c>
      <c r="D762" t="inlineStr">
        <is>
          <t>VÄSTERNORRLANDS LÄN</t>
        </is>
      </c>
      <c r="E762" t="inlineStr">
        <is>
          <t>ÅNGE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45404-2025</t>
        </is>
      </c>
      <c r="B763" s="1" t="n">
        <v>45922.42820601852</v>
      </c>
      <c r="C763" s="1" t="n">
        <v>45984</v>
      </c>
      <c r="D763" t="inlineStr">
        <is>
          <t>VÄSTERNORRLANDS LÄN</t>
        </is>
      </c>
      <c r="E763" t="inlineStr">
        <is>
          <t>ÅNGE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53985-2025</t>
        </is>
      </c>
      <c r="B764" s="1" t="n">
        <v>45961.57366898148</v>
      </c>
      <c r="C764" s="1" t="n">
        <v>45984</v>
      </c>
      <c r="D764" t="inlineStr">
        <is>
          <t>VÄSTERNORRLANDS LÄN</t>
        </is>
      </c>
      <c r="E764" t="inlineStr">
        <is>
          <t>ÅNGE</t>
        </is>
      </c>
      <c r="F764" t="inlineStr">
        <is>
          <t>SCA</t>
        </is>
      </c>
      <c r="G764" t="n">
        <v>14.2</v>
      </c>
      <c r="H764" t="n">
        <v>0</v>
      </c>
      <c r="I764" t="n">
        <v>0</v>
      </c>
      <c r="J764" t="n">
        <v>0</v>
      </c>
      <c r="K764" t="n">
        <v>0</v>
      </c>
      <c r="L764" t="n">
        <v>0</v>
      </c>
      <c r="M764" t="n">
        <v>0</v>
      </c>
      <c r="N764" t="n">
        <v>0</v>
      </c>
      <c r="O764" t="n">
        <v>0</v>
      </c>
      <c r="P764" t="n">
        <v>0</v>
      </c>
      <c r="Q764" t="n">
        <v>0</v>
      </c>
      <c r="R764" s="2" t="inlineStr"/>
    </row>
    <row r="765" ht="15" customHeight="1">
      <c r="A765" t="inlineStr">
        <is>
          <t>A 45631-2021</t>
        </is>
      </c>
      <c r="B765" s="1" t="n">
        <v>44440.98045138889</v>
      </c>
      <c r="C765" s="1" t="n">
        <v>45984</v>
      </c>
      <c r="D765" t="inlineStr">
        <is>
          <t>VÄSTERNORRLANDS LÄN</t>
        </is>
      </c>
      <c r="E765" t="inlineStr">
        <is>
          <t>ÅNGE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57592-2022</t>
        </is>
      </c>
      <c r="B766" s="1" t="n">
        <v>44896.97841435186</v>
      </c>
      <c r="C766" s="1" t="n">
        <v>45984</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57602-2022</t>
        </is>
      </c>
      <c r="B767" s="1" t="n">
        <v>44896</v>
      </c>
      <c r="C767" s="1" t="n">
        <v>45984</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33782-2025</t>
        </is>
      </c>
      <c r="B768" s="1" t="n">
        <v>45842.40678240741</v>
      </c>
      <c r="C768" s="1" t="n">
        <v>45984</v>
      </c>
      <c r="D768" t="inlineStr">
        <is>
          <t>VÄSTERNORRLANDS LÄN</t>
        </is>
      </c>
      <c r="E768" t="inlineStr">
        <is>
          <t>ÅNGE</t>
        </is>
      </c>
      <c r="F768" t="inlineStr">
        <is>
          <t>SCA</t>
        </is>
      </c>
      <c r="G768" t="n">
        <v>8.4</v>
      </c>
      <c r="H768" t="n">
        <v>0</v>
      </c>
      <c r="I768" t="n">
        <v>0</v>
      </c>
      <c r="J768" t="n">
        <v>0</v>
      </c>
      <c r="K768" t="n">
        <v>0</v>
      </c>
      <c r="L768" t="n">
        <v>0</v>
      </c>
      <c r="M768" t="n">
        <v>0</v>
      </c>
      <c r="N768" t="n">
        <v>0</v>
      </c>
      <c r="O768" t="n">
        <v>0</v>
      </c>
      <c r="P768" t="n">
        <v>0</v>
      </c>
      <c r="Q768" t="n">
        <v>0</v>
      </c>
      <c r="R768" s="2" t="inlineStr"/>
    </row>
    <row r="769" ht="15" customHeight="1">
      <c r="A769" t="inlineStr">
        <is>
          <t>A 20231-2022</t>
        </is>
      </c>
      <c r="B769" s="1" t="n">
        <v>44698</v>
      </c>
      <c r="C769" s="1" t="n">
        <v>45984</v>
      </c>
      <c r="D769" t="inlineStr">
        <is>
          <t>VÄSTERNORRLANDS LÄN</t>
        </is>
      </c>
      <c r="E769" t="inlineStr">
        <is>
          <t>ÅNGE</t>
        </is>
      </c>
      <c r="G769" t="n">
        <v>4.2</v>
      </c>
      <c r="H769" t="n">
        <v>0</v>
      </c>
      <c r="I769" t="n">
        <v>0</v>
      </c>
      <c r="J769" t="n">
        <v>0</v>
      </c>
      <c r="K769" t="n">
        <v>0</v>
      </c>
      <c r="L769" t="n">
        <v>0</v>
      </c>
      <c r="M769" t="n">
        <v>0</v>
      </c>
      <c r="N769" t="n">
        <v>0</v>
      </c>
      <c r="O769" t="n">
        <v>0</v>
      </c>
      <c r="P769" t="n">
        <v>0</v>
      </c>
      <c r="Q769" t="n">
        <v>0</v>
      </c>
      <c r="R769" s="2" t="inlineStr"/>
    </row>
    <row r="770" ht="15" customHeight="1">
      <c r="A770" t="inlineStr">
        <is>
          <t>A 39985-2023</t>
        </is>
      </c>
      <c r="B770" s="1" t="n">
        <v>45168</v>
      </c>
      <c r="C770" s="1" t="n">
        <v>45984</v>
      </c>
      <c r="D770" t="inlineStr">
        <is>
          <t>VÄSTERNORRLANDS LÄN</t>
        </is>
      </c>
      <c r="E770" t="inlineStr">
        <is>
          <t>ÅNGE</t>
        </is>
      </c>
      <c r="G770" t="n">
        <v>0.1</v>
      </c>
      <c r="H770" t="n">
        <v>0</v>
      </c>
      <c r="I770" t="n">
        <v>0</v>
      </c>
      <c r="J770" t="n">
        <v>0</v>
      </c>
      <c r="K770" t="n">
        <v>0</v>
      </c>
      <c r="L770" t="n">
        <v>0</v>
      </c>
      <c r="M770" t="n">
        <v>0</v>
      </c>
      <c r="N770" t="n">
        <v>0</v>
      </c>
      <c r="O770" t="n">
        <v>0</v>
      </c>
      <c r="P770" t="n">
        <v>0</v>
      </c>
      <c r="Q770" t="n">
        <v>0</v>
      </c>
      <c r="R770" s="2" t="inlineStr"/>
    </row>
    <row r="771" ht="15" customHeight="1">
      <c r="A771" t="inlineStr">
        <is>
          <t>A 58748-2023</t>
        </is>
      </c>
      <c r="B771" s="1" t="n">
        <v>45251.92936342592</v>
      </c>
      <c r="C771" s="1" t="n">
        <v>45984</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45401-2025</t>
        </is>
      </c>
      <c r="B772" s="1" t="n">
        <v>45922.42767361111</v>
      </c>
      <c r="C772" s="1" t="n">
        <v>45984</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43552-2023</t>
        </is>
      </c>
      <c r="B773" s="1" t="n">
        <v>45181</v>
      </c>
      <c r="C773" s="1" t="n">
        <v>45984</v>
      </c>
      <c r="D773" t="inlineStr">
        <is>
          <t>VÄSTERNORRLANDS LÄN</t>
        </is>
      </c>
      <c r="E773" t="inlineStr">
        <is>
          <t>ÅNGE</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46775-2024</t>
        </is>
      </c>
      <c r="B774" s="1" t="n">
        <v>45583.49711805556</v>
      </c>
      <c r="C774" s="1" t="n">
        <v>45984</v>
      </c>
      <c r="D774" t="inlineStr">
        <is>
          <t>VÄSTERNORRLANDS LÄN</t>
        </is>
      </c>
      <c r="E774" t="inlineStr">
        <is>
          <t>ÅNGE</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46780-2024</t>
        </is>
      </c>
      <c r="B775" s="1" t="n">
        <v>45583.51076388889</v>
      </c>
      <c r="C775" s="1" t="n">
        <v>45984</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18880-2024</t>
        </is>
      </c>
      <c r="B776" s="1" t="n">
        <v>45426</v>
      </c>
      <c r="C776" s="1" t="n">
        <v>45984</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33717-2025</t>
        </is>
      </c>
      <c r="B777" s="1" t="n">
        <v>45841.89357638889</v>
      </c>
      <c r="C777" s="1" t="n">
        <v>45984</v>
      </c>
      <c r="D777" t="inlineStr">
        <is>
          <t>VÄSTERNORRLANDS LÄN</t>
        </is>
      </c>
      <c r="E777" t="inlineStr">
        <is>
          <t>ÅNGE</t>
        </is>
      </c>
      <c r="G777" t="n">
        <v>14.3</v>
      </c>
      <c r="H777" t="n">
        <v>0</v>
      </c>
      <c r="I777" t="n">
        <v>0</v>
      </c>
      <c r="J777" t="n">
        <v>0</v>
      </c>
      <c r="K777" t="n">
        <v>0</v>
      </c>
      <c r="L777" t="n">
        <v>0</v>
      </c>
      <c r="M777" t="n">
        <v>0</v>
      </c>
      <c r="N777" t="n">
        <v>0</v>
      </c>
      <c r="O777" t="n">
        <v>0</v>
      </c>
      <c r="P777" t="n">
        <v>0</v>
      </c>
      <c r="Q777" t="n">
        <v>0</v>
      </c>
      <c r="R777" s="2" t="inlineStr"/>
    </row>
    <row r="778" ht="15" customHeight="1">
      <c r="A778" t="inlineStr">
        <is>
          <t>A 33738-2025</t>
        </is>
      </c>
      <c r="B778" s="1" t="n">
        <v>45842.33795138889</v>
      </c>
      <c r="C778" s="1" t="n">
        <v>45984</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55558-2024</t>
        </is>
      </c>
      <c r="B779" s="1" t="n">
        <v>45622.52586805556</v>
      </c>
      <c r="C779" s="1" t="n">
        <v>45984</v>
      </c>
      <c r="D779" t="inlineStr">
        <is>
          <t>VÄSTERNORRLANDS LÄN</t>
        </is>
      </c>
      <c r="E779" t="inlineStr">
        <is>
          <t>ÅNGE</t>
        </is>
      </c>
      <c r="F779" t="inlineStr">
        <is>
          <t>Holmen skog AB</t>
        </is>
      </c>
      <c r="G779" t="n">
        <v>1.3</v>
      </c>
      <c r="H779" t="n">
        <v>0</v>
      </c>
      <c r="I779" t="n">
        <v>0</v>
      </c>
      <c r="J779" t="n">
        <v>0</v>
      </c>
      <c r="K779" t="n">
        <v>0</v>
      </c>
      <c r="L779" t="n">
        <v>0</v>
      </c>
      <c r="M779" t="n">
        <v>0</v>
      </c>
      <c r="N779" t="n">
        <v>0</v>
      </c>
      <c r="O779" t="n">
        <v>0</v>
      </c>
      <c r="P779" t="n">
        <v>0</v>
      </c>
      <c r="Q779" t="n">
        <v>0</v>
      </c>
      <c r="R779" s="2" t="inlineStr"/>
    </row>
    <row r="780" ht="15" customHeight="1">
      <c r="A780" t="inlineStr">
        <is>
          <t>A 53984-2025</t>
        </is>
      </c>
      <c r="B780" s="1" t="n">
        <v>45961.5734837963</v>
      </c>
      <c r="C780" s="1" t="n">
        <v>45984</v>
      </c>
      <c r="D780" t="inlineStr">
        <is>
          <t>VÄSTERNORRLANDS LÄN</t>
        </is>
      </c>
      <c r="E780" t="inlineStr">
        <is>
          <t>ÅNGE</t>
        </is>
      </c>
      <c r="F780" t="inlineStr">
        <is>
          <t>SCA</t>
        </is>
      </c>
      <c r="G780" t="n">
        <v>14.8</v>
      </c>
      <c r="H780" t="n">
        <v>0</v>
      </c>
      <c r="I780" t="n">
        <v>0</v>
      </c>
      <c r="J780" t="n">
        <v>0</v>
      </c>
      <c r="K780" t="n">
        <v>0</v>
      </c>
      <c r="L780" t="n">
        <v>0</v>
      </c>
      <c r="M780" t="n">
        <v>0</v>
      </c>
      <c r="N780" t="n">
        <v>0</v>
      </c>
      <c r="O780" t="n">
        <v>0</v>
      </c>
      <c r="P780" t="n">
        <v>0</v>
      </c>
      <c r="Q780" t="n">
        <v>0</v>
      </c>
      <c r="R780" s="2" t="inlineStr"/>
    </row>
    <row r="781" ht="15" customHeight="1">
      <c r="A781" t="inlineStr">
        <is>
          <t>A 20229-2022</t>
        </is>
      </c>
      <c r="B781" s="1" t="n">
        <v>44698.61150462963</v>
      </c>
      <c r="C781" s="1" t="n">
        <v>45984</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34019-2025</t>
        </is>
      </c>
      <c r="B782" s="1" t="n">
        <v>45845.34416666667</v>
      </c>
      <c r="C782" s="1" t="n">
        <v>45984</v>
      </c>
      <c r="D782" t="inlineStr">
        <is>
          <t>VÄSTERNORRLANDS LÄN</t>
        </is>
      </c>
      <c r="E782" t="inlineStr">
        <is>
          <t>ÅNGE</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54705-2025</t>
        </is>
      </c>
      <c r="B783" s="1" t="n">
        <v>45966.4853125</v>
      </c>
      <c r="C783" s="1" t="n">
        <v>45984</v>
      </c>
      <c r="D783" t="inlineStr">
        <is>
          <t>VÄSTERNORRLANDS LÄN</t>
        </is>
      </c>
      <c r="E783" t="inlineStr">
        <is>
          <t>ÅNGE</t>
        </is>
      </c>
      <c r="G783" t="n">
        <v>4.5</v>
      </c>
      <c r="H783" t="n">
        <v>0</v>
      </c>
      <c r="I783" t="n">
        <v>0</v>
      </c>
      <c r="J783" t="n">
        <v>0</v>
      </c>
      <c r="K783" t="n">
        <v>0</v>
      </c>
      <c r="L783" t="n">
        <v>0</v>
      </c>
      <c r="M783" t="n">
        <v>0</v>
      </c>
      <c r="N783" t="n">
        <v>0</v>
      </c>
      <c r="O783" t="n">
        <v>0</v>
      </c>
      <c r="P783" t="n">
        <v>0</v>
      </c>
      <c r="Q783" t="n">
        <v>0</v>
      </c>
      <c r="R783" s="2" t="inlineStr"/>
    </row>
    <row r="784" ht="15" customHeight="1">
      <c r="A784" t="inlineStr">
        <is>
          <t>A 54819-2025</t>
        </is>
      </c>
      <c r="B784" s="1" t="n">
        <v>45966.65709490741</v>
      </c>
      <c r="C784" s="1" t="n">
        <v>45984</v>
      </c>
      <c r="D784" t="inlineStr">
        <is>
          <t>VÄSTERNORRLANDS LÄN</t>
        </is>
      </c>
      <c r="E784" t="inlineStr">
        <is>
          <t>ÅNGE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58639-2023</t>
        </is>
      </c>
      <c r="B785" s="1" t="n">
        <v>45251</v>
      </c>
      <c r="C785" s="1" t="n">
        <v>45984</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34031-2025</t>
        </is>
      </c>
      <c r="B786" s="1" t="n">
        <v>45845.36508101852</v>
      </c>
      <c r="C786" s="1" t="n">
        <v>45984</v>
      </c>
      <c r="D786" t="inlineStr">
        <is>
          <t>VÄSTERNORRLANDS LÄN</t>
        </is>
      </c>
      <c r="E786" t="inlineStr">
        <is>
          <t>ÅNGE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45875-2025</t>
        </is>
      </c>
      <c r="B787" s="1" t="n">
        <v>45923.65690972222</v>
      </c>
      <c r="C787" s="1" t="n">
        <v>45984</v>
      </c>
      <c r="D787" t="inlineStr">
        <is>
          <t>VÄSTERNORRLANDS LÄN</t>
        </is>
      </c>
      <c r="E787" t="inlineStr">
        <is>
          <t>ÅNGE</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35498-2022</t>
        </is>
      </c>
      <c r="B788" s="1" t="n">
        <v>44798.94810185185</v>
      </c>
      <c r="C788" s="1" t="n">
        <v>45984</v>
      </c>
      <c r="D788" t="inlineStr">
        <is>
          <t>VÄSTERNORRLANDS LÄN</t>
        </is>
      </c>
      <c r="E788" t="inlineStr">
        <is>
          <t>ÅNGE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54713-2025</t>
        </is>
      </c>
      <c r="B789" s="1" t="n">
        <v>45966.50446759259</v>
      </c>
      <c r="C789" s="1" t="n">
        <v>45984</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45660-2025</t>
        </is>
      </c>
      <c r="B790" s="1" t="n">
        <v>45923.34494212963</v>
      </c>
      <c r="C790" s="1" t="n">
        <v>45984</v>
      </c>
      <c r="D790" t="inlineStr">
        <is>
          <t>VÄSTERNORRLANDS LÄN</t>
        </is>
      </c>
      <c r="E790" t="inlineStr">
        <is>
          <t>ÅNGE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46111-2025</t>
        </is>
      </c>
      <c r="B791" s="1" t="n">
        <v>45924.56684027778</v>
      </c>
      <c r="C791" s="1" t="n">
        <v>45984</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3347-2024</t>
        </is>
      </c>
      <c r="B792" s="1" t="n">
        <v>45317</v>
      </c>
      <c r="C792" s="1" t="n">
        <v>45984</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46109-2025</t>
        </is>
      </c>
      <c r="B793" s="1" t="n">
        <v>45924.5596412037</v>
      </c>
      <c r="C793" s="1" t="n">
        <v>45984</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34785-2025</t>
        </is>
      </c>
      <c r="B794" s="1" t="n">
        <v>45848.67771990741</v>
      </c>
      <c r="C794" s="1" t="n">
        <v>45984</v>
      </c>
      <c r="D794" t="inlineStr">
        <is>
          <t>VÄSTERNORRLANDS LÄN</t>
        </is>
      </c>
      <c r="E794" t="inlineStr">
        <is>
          <t>ÅNGE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54702-2025</t>
        </is>
      </c>
      <c r="B795" s="1" t="n">
        <v>45966.4828587963</v>
      </c>
      <c r="C795" s="1" t="n">
        <v>45984</v>
      </c>
      <c r="D795" t="inlineStr">
        <is>
          <t>VÄSTERNORRLANDS LÄN</t>
        </is>
      </c>
      <c r="E795" t="inlineStr">
        <is>
          <t>ÅNGE</t>
        </is>
      </c>
      <c r="G795" t="n">
        <v>12.3</v>
      </c>
      <c r="H795" t="n">
        <v>0</v>
      </c>
      <c r="I795" t="n">
        <v>0</v>
      </c>
      <c r="J795" t="n">
        <v>0</v>
      </c>
      <c r="K795" t="n">
        <v>0</v>
      </c>
      <c r="L795" t="n">
        <v>0</v>
      </c>
      <c r="M795" t="n">
        <v>0</v>
      </c>
      <c r="N795" t="n">
        <v>0</v>
      </c>
      <c r="O795" t="n">
        <v>0</v>
      </c>
      <c r="P795" t="n">
        <v>0</v>
      </c>
      <c r="Q795" t="n">
        <v>0</v>
      </c>
      <c r="R795" s="2" t="inlineStr"/>
    </row>
    <row r="796" ht="15" customHeight="1">
      <c r="A796" t="inlineStr">
        <is>
          <t>A 9382-2025</t>
        </is>
      </c>
      <c r="B796" s="1" t="n">
        <v>45715.34425925926</v>
      </c>
      <c r="C796" s="1" t="n">
        <v>45984</v>
      </c>
      <c r="D796" t="inlineStr">
        <is>
          <t>VÄSTERNORRLANDS LÄN</t>
        </is>
      </c>
      <c r="E796" t="inlineStr">
        <is>
          <t>ÅNGE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34591-2025</t>
        </is>
      </c>
      <c r="B797" s="1" t="n">
        <v>45847.62920138889</v>
      </c>
      <c r="C797" s="1" t="n">
        <v>45984</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34593-2025</t>
        </is>
      </c>
      <c r="B798" s="1" t="n">
        <v>45847.6316087963</v>
      </c>
      <c r="C798" s="1" t="n">
        <v>45984</v>
      </c>
      <c r="D798" t="inlineStr">
        <is>
          <t>VÄSTERNORRLANDS LÄN</t>
        </is>
      </c>
      <c r="E798" t="inlineStr">
        <is>
          <t>ÅNGE</t>
        </is>
      </c>
      <c r="G798" t="n">
        <v>5.3</v>
      </c>
      <c r="H798" t="n">
        <v>0</v>
      </c>
      <c r="I798" t="n">
        <v>0</v>
      </c>
      <c r="J798" t="n">
        <v>0</v>
      </c>
      <c r="K798" t="n">
        <v>0</v>
      </c>
      <c r="L798" t="n">
        <v>0</v>
      </c>
      <c r="M798" t="n">
        <v>0</v>
      </c>
      <c r="N798" t="n">
        <v>0</v>
      </c>
      <c r="O798" t="n">
        <v>0</v>
      </c>
      <c r="P798" t="n">
        <v>0</v>
      </c>
      <c r="Q798" t="n">
        <v>0</v>
      </c>
      <c r="R798" s="2" t="inlineStr"/>
    </row>
    <row r="799" ht="15" customHeight="1">
      <c r="A799" t="inlineStr">
        <is>
          <t>A 1711-2025</t>
        </is>
      </c>
      <c r="B799" s="1" t="n">
        <v>45671.31184027778</v>
      </c>
      <c r="C799" s="1" t="n">
        <v>45984</v>
      </c>
      <c r="D799" t="inlineStr">
        <is>
          <t>VÄSTERNORRLANDS LÄN</t>
        </is>
      </c>
      <c r="E799" t="inlineStr">
        <is>
          <t>ÅNGE</t>
        </is>
      </c>
      <c r="G799" t="n">
        <v>2.8</v>
      </c>
      <c r="H799" t="n">
        <v>0</v>
      </c>
      <c r="I799" t="n">
        <v>0</v>
      </c>
      <c r="J799" t="n">
        <v>0</v>
      </c>
      <c r="K799" t="n">
        <v>0</v>
      </c>
      <c r="L799" t="n">
        <v>0</v>
      </c>
      <c r="M799" t="n">
        <v>0</v>
      </c>
      <c r="N799" t="n">
        <v>0</v>
      </c>
      <c r="O799" t="n">
        <v>0</v>
      </c>
      <c r="P799" t="n">
        <v>0</v>
      </c>
      <c r="Q799" t="n">
        <v>0</v>
      </c>
      <c r="R799" s="2" t="inlineStr"/>
    </row>
    <row r="800" ht="15" customHeight="1">
      <c r="A800" t="inlineStr">
        <is>
          <t>A 42043-2024</t>
        </is>
      </c>
      <c r="B800" s="1" t="n">
        <v>45561</v>
      </c>
      <c r="C800" s="1" t="n">
        <v>45984</v>
      </c>
      <c r="D800" t="inlineStr">
        <is>
          <t>VÄSTERNORRLANDS LÄN</t>
        </is>
      </c>
      <c r="E800" t="inlineStr">
        <is>
          <t>ÅNGE</t>
        </is>
      </c>
      <c r="G800" t="n">
        <v>3.1</v>
      </c>
      <c r="H800" t="n">
        <v>0</v>
      </c>
      <c r="I800" t="n">
        <v>0</v>
      </c>
      <c r="J800" t="n">
        <v>0</v>
      </c>
      <c r="K800" t="n">
        <v>0</v>
      </c>
      <c r="L800" t="n">
        <v>0</v>
      </c>
      <c r="M800" t="n">
        <v>0</v>
      </c>
      <c r="N800" t="n">
        <v>0</v>
      </c>
      <c r="O800" t="n">
        <v>0</v>
      </c>
      <c r="P800" t="n">
        <v>0</v>
      </c>
      <c r="Q800" t="n">
        <v>0</v>
      </c>
      <c r="R800" s="2" t="inlineStr"/>
    </row>
    <row r="801" ht="15" customHeight="1">
      <c r="A801" t="inlineStr">
        <is>
          <t>A 42046-2024</t>
        </is>
      </c>
      <c r="B801" s="1" t="n">
        <v>45561.83422453704</v>
      </c>
      <c r="C801" s="1" t="n">
        <v>45984</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55751-2024</t>
        </is>
      </c>
      <c r="B802" s="1" t="n">
        <v>45623.34409722222</v>
      </c>
      <c r="C802" s="1" t="n">
        <v>45984</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54357-2025</t>
        </is>
      </c>
      <c r="B803" s="1" t="n">
        <v>45965.3858912037</v>
      </c>
      <c r="C803" s="1" t="n">
        <v>45984</v>
      </c>
      <c r="D803" t="inlineStr">
        <is>
          <t>VÄSTERNORRLANDS LÄN</t>
        </is>
      </c>
      <c r="E803" t="inlineStr">
        <is>
          <t>ÅNGE</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54710-2025</t>
        </is>
      </c>
      <c r="B804" s="1" t="n">
        <v>45966.49515046296</v>
      </c>
      <c r="C804" s="1" t="n">
        <v>45984</v>
      </c>
      <c r="D804" t="inlineStr">
        <is>
          <t>VÄSTERNORRLANDS LÄN</t>
        </is>
      </c>
      <c r="E804" t="inlineStr">
        <is>
          <t>ÅNGE</t>
        </is>
      </c>
      <c r="G804" t="n">
        <v>1.7</v>
      </c>
      <c r="H804" t="n">
        <v>0</v>
      </c>
      <c r="I804" t="n">
        <v>0</v>
      </c>
      <c r="J804" t="n">
        <v>0</v>
      </c>
      <c r="K804" t="n">
        <v>0</v>
      </c>
      <c r="L804" t="n">
        <v>0</v>
      </c>
      <c r="M804" t="n">
        <v>0</v>
      </c>
      <c r="N804" t="n">
        <v>0</v>
      </c>
      <c r="O804" t="n">
        <v>0</v>
      </c>
      <c r="P804" t="n">
        <v>0</v>
      </c>
      <c r="Q804" t="n">
        <v>0</v>
      </c>
      <c r="R804" s="2" t="inlineStr"/>
    </row>
    <row r="805" ht="15" customHeight="1">
      <c r="A805" t="inlineStr">
        <is>
          <t>A 54680-2025</t>
        </is>
      </c>
      <c r="B805" s="1" t="n">
        <v>45966.42751157407</v>
      </c>
      <c r="C805" s="1" t="n">
        <v>45984</v>
      </c>
      <c r="D805" t="inlineStr">
        <is>
          <t>VÄSTERNORRLANDS LÄN</t>
        </is>
      </c>
      <c r="E805" t="inlineStr">
        <is>
          <t>ÅNGE</t>
        </is>
      </c>
      <c r="F805" t="inlineStr">
        <is>
          <t>SCA</t>
        </is>
      </c>
      <c r="G805" t="n">
        <v>5.2</v>
      </c>
      <c r="H805" t="n">
        <v>0</v>
      </c>
      <c r="I805" t="n">
        <v>0</v>
      </c>
      <c r="J805" t="n">
        <v>0</v>
      </c>
      <c r="K805" t="n">
        <v>0</v>
      </c>
      <c r="L805" t="n">
        <v>0</v>
      </c>
      <c r="M805" t="n">
        <v>0</v>
      </c>
      <c r="N805" t="n">
        <v>0</v>
      </c>
      <c r="O805" t="n">
        <v>0</v>
      </c>
      <c r="P805" t="n">
        <v>0</v>
      </c>
      <c r="Q805" t="n">
        <v>0</v>
      </c>
      <c r="R805" s="2" t="inlineStr"/>
    </row>
    <row r="806" ht="15" customHeight="1">
      <c r="A806" t="inlineStr">
        <is>
          <t>A 54346-2025</t>
        </is>
      </c>
      <c r="B806" s="1" t="n">
        <v>45965.36525462963</v>
      </c>
      <c r="C806" s="1" t="n">
        <v>45984</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54707-2025</t>
        </is>
      </c>
      <c r="B807" s="1" t="n">
        <v>45966.48894675926</v>
      </c>
      <c r="C807" s="1" t="n">
        <v>45984</v>
      </c>
      <c r="D807" t="inlineStr">
        <is>
          <t>VÄSTERNORRLANDS LÄN</t>
        </is>
      </c>
      <c r="E807" t="inlineStr">
        <is>
          <t>ÅNGE</t>
        </is>
      </c>
      <c r="G807" t="n">
        <v>3.2</v>
      </c>
      <c r="H807" t="n">
        <v>0</v>
      </c>
      <c r="I807" t="n">
        <v>0</v>
      </c>
      <c r="J807" t="n">
        <v>0</v>
      </c>
      <c r="K807" t="n">
        <v>0</v>
      </c>
      <c r="L807" t="n">
        <v>0</v>
      </c>
      <c r="M807" t="n">
        <v>0</v>
      </c>
      <c r="N807" t="n">
        <v>0</v>
      </c>
      <c r="O807" t="n">
        <v>0</v>
      </c>
      <c r="P807" t="n">
        <v>0</v>
      </c>
      <c r="Q807" t="n">
        <v>0</v>
      </c>
      <c r="R807" s="2" t="inlineStr"/>
    </row>
    <row r="808" ht="15" customHeight="1">
      <c r="A808" t="inlineStr">
        <is>
          <t>A 45659-2025</t>
        </is>
      </c>
      <c r="B808" s="1" t="n">
        <v>45923.34471064815</v>
      </c>
      <c r="C808" s="1" t="n">
        <v>45984</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45970-2025</t>
        </is>
      </c>
      <c r="B809" s="1" t="n">
        <v>45924.36519675926</v>
      </c>
      <c r="C809" s="1" t="n">
        <v>45984</v>
      </c>
      <c r="D809" t="inlineStr">
        <is>
          <t>VÄSTERNORRLANDS LÄN</t>
        </is>
      </c>
      <c r="E809" t="inlineStr">
        <is>
          <t>ÅNGE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56232-2024</t>
        </is>
      </c>
      <c r="B810" s="1" t="n">
        <v>45624</v>
      </c>
      <c r="C810" s="1" t="n">
        <v>45984</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44635-2024</t>
        </is>
      </c>
      <c r="B811" s="1" t="n">
        <v>45574.51488425926</v>
      </c>
      <c r="C811" s="1" t="n">
        <v>45984</v>
      </c>
      <c r="D811" t="inlineStr">
        <is>
          <t>VÄSTERNORRLANDS LÄN</t>
        </is>
      </c>
      <c r="E811" t="inlineStr">
        <is>
          <t>ÅNGE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54715-2025</t>
        </is>
      </c>
      <c r="B812" s="1" t="n">
        <v>45966.50961805556</v>
      </c>
      <c r="C812" s="1" t="n">
        <v>45984</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35143-2025</t>
        </is>
      </c>
      <c r="B813" s="1" t="n">
        <v>45852.65660879629</v>
      </c>
      <c r="C813" s="1" t="n">
        <v>45984</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35061-2025</t>
        </is>
      </c>
      <c r="B814" s="1" t="n">
        <v>45852</v>
      </c>
      <c r="C814" s="1" t="n">
        <v>45984</v>
      </c>
      <c r="D814" t="inlineStr">
        <is>
          <t>VÄSTERNORRLANDS LÄN</t>
        </is>
      </c>
      <c r="E814" t="inlineStr">
        <is>
          <t>ÅNGE</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16191-2023</t>
        </is>
      </c>
      <c r="B815" s="1" t="n">
        <v>45027.94111111111</v>
      </c>
      <c r="C815" s="1" t="n">
        <v>45984</v>
      </c>
      <c r="D815" t="inlineStr">
        <is>
          <t>VÄSTERNORRLANDS LÄN</t>
        </is>
      </c>
      <c r="E815" t="inlineStr">
        <is>
          <t>ÅNGE</t>
        </is>
      </c>
      <c r="F815" t="inlineStr">
        <is>
          <t>SCA</t>
        </is>
      </c>
      <c r="G815" t="n">
        <v>6.8</v>
      </c>
      <c r="H815" t="n">
        <v>0</v>
      </c>
      <c r="I815" t="n">
        <v>0</v>
      </c>
      <c r="J815" t="n">
        <v>0</v>
      </c>
      <c r="K815" t="n">
        <v>0</v>
      </c>
      <c r="L815" t="n">
        <v>0</v>
      </c>
      <c r="M815" t="n">
        <v>0</v>
      </c>
      <c r="N815" t="n">
        <v>0</v>
      </c>
      <c r="O815" t="n">
        <v>0</v>
      </c>
      <c r="P815" t="n">
        <v>0</v>
      </c>
      <c r="Q815" t="n">
        <v>0</v>
      </c>
      <c r="R815" s="2" t="inlineStr"/>
    </row>
    <row r="816" ht="15" customHeight="1">
      <c r="A816" t="inlineStr">
        <is>
          <t>A 17670-2023</t>
        </is>
      </c>
      <c r="B816" s="1" t="n">
        <v>45036</v>
      </c>
      <c r="C816" s="1" t="n">
        <v>45984</v>
      </c>
      <c r="D816" t="inlineStr">
        <is>
          <t>VÄSTERNORRLANDS LÄN</t>
        </is>
      </c>
      <c r="E816" t="inlineStr">
        <is>
          <t>ÅNGE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54197-2025</t>
        </is>
      </c>
      <c r="B817" s="1" t="n">
        <v>45964</v>
      </c>
      <c r="C817" s="1" t="n">
        <v>45984</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55049-2025</t>
        </is>
      </c>
      <c r="B818" s="1" t="n">
        <v>45967.66614583333</v>
      </c>
      <c r="C818" s="1" t="n">
        <v>45984</v>
      </c>
      <c r="D818" t="inlineStr">
        <is>
          <t>VÄSTERNORRLANDS LÄN</t>
        </is>
      </c>
      <c r="E818" t="inlineStr">
        <is>
          <t>ÅNGE</t>
        </is>
      </c>
      <c r="G818" t="n">
        <v>2.4</v>
      </c>
      <c r="H818" t="n">
        <v>0</v>
      </c>
      <c r="I818" t="n">
        <v>0</v>
      </c>
      <c r="J818" t="n">
        <v>0</v>
      </c>
      <c r="K818" t="n">
        <v>0</v>
      </c>
      <c r="L818" t="n">
        <v>0</v>
      </c>
      <c r="M818" t="n">
        <v>0</v>
      </c>
      <c r="N818" t="n">
        <v>0</v>
      </c>
      <c r="O818" t="n">
        <v>0</v>
      </c>
      <c r="P818" t="n">
        <v>0</v>
      </c>
      <c r="Q818" t="n">
        <v>0</v>
      </c>
      <c r="R818" s="2" t="inlineStr"/>
    </row>
    <row r="819" ht="15" customHeight="1">
      <c r="A819" t="inlineStr">
        <is>
          <t>A 46267-2025</t>
        </is>
      </c>
      <c r="B819" s="1" t="n">
        <v>45925.36578703704</v>
      </c>
      <c r="C819" s="1" t="n">
        <v>45984</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59412-2024</t>
        </is>
      </c>
      <c r="B820" s="1" t="n">
        <v>45638</v>
      </c>
      <c r="C820" s="1" t="n">
        <v>45984</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44518-2024</t>
        </is>
      </c>
      <c r="B821" s="1" t="n">
        <v>45574.43376157407</v>
      </c>
      <c r="C821" s="1" t="n">
        <v>45984</v>
      </c>
      <c r="D821" t="inlineStr">
        <is>
          <t>VÄSTERNORRLANDS LÄN</t>
        </is>
      </c>
      <c r="E821" t="inlineStr">
        <is>
          <t>ÅNGE</t>
        </is>
      </c>
      <c r="G821" t="n">
        <v>2.6</v>
      </c>
      <c r="H821" t="n">
        <v>0</v>
      </c>
      <c r="I821" t="n">
        <v>0</v>
      </c>
      <c r="J821" t="n">
        <v>0</v>
      </c>
      <c r="K821" t="n">
        <v>0</v>
      </c>
      <c r="L821" t="n">
        <v>0</v>
      </c>
      <c r="M821" t="n">
        <v>0</v>
      </c>
      <c r="N821" t="n">
        <v>0</v>
      </c>
      <c r="O821" t="n">
        <v>0</v>
      </c>
      <c r="P821" t="n">
        <v>0</v>
      </c>
      <c r="Q821" t="n">
        <v>0</v>
      </c>
      <c r="R821" s="2" t="inlineStr"/>
    </row>
    <row r="822" ht="15" customHeight="1">
      <c r="A822" t="inlineStr">
        <is>
          <t>A 53999-2025</t>
        </is>
      </c>
      <c r="B822" s="1" t="n">
        <v>45961</v>
      </c>
      <c r="C822" s="1" t="n">
        <v>45984</v>
      </c>
      <c r="D822" t="inlineStr">
        <is>
          <t>VÄSTERNORRLANDS LÄN</t>
        </is>
      </c>
      <c r="E822" t="inlineStr">
        <is>
          <t>ÅNGE</t>
        </is>
      </c>
      <c r="F822" t="inlineStr">
        <is>
          <t>SCA</t>
        </is>
      </c>
      <c r="G822" t="n">
        <v>6.7</v>
      </c>
      <c r="H822" t="n">
        <v>0</v>
      </c>
      <c r="I822" t="n">
        <v>0</v>
      </c>
      <c r="J822" t="n">
        <v>0</v>
      </c>
      <c r="K822" t="n">
        <v>0</v>
      </c>
      <c r="L822" t="n">
        <v>0</v>
      </c>
      <c r="M822" t="n">
        <v>0</v>
      </c>
      <c r="N822" t="n">
        <v>0</v>
      </c>
      <c r="O822" t="n">
        <v>0</v>
      </c>
      <c r="P822" t="n">
        <v>0</v>
      </c>
      <c r="Q822" t="n">
        <v>0</v>
      </c>
      <c r="R822" s="2" t="inlineStr"/>
    </row>
    <row r="823" ht="15" customHeight="1">
      <c r="A823" t="inlineStr">
        <is>
          <t>A 51124-2024</t>
        </is>
      </c>
      <c r="B823" s="1" t="n">
        <v>45603.50716435185</v>
      </c>
      <c r="C823" s="1" t="n">
        <v>45984</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35503-2025</t>
        </is>
      </c>
      <c r="B824" s="1" t="n">
        <v>45856</v>
      </c>
      <c r="C824" s="1" t="n">
        <v>45984</v>
      </c>
      <c r="D824" t="inlineStr">
        <is>
          <t>VÄSTERNORRLANDS LÄN</t>
        </is>
      </c>
      <c r="E824" t="inlineStr">
        <is>
          <t>ÅNGE</t>
        </is>
      </c>
      <c r="G824" t="n">
        <v>5.2</v>
      </c>
      <c r="H824" t="n">
        <v>0</v>
      </c>
      <c r="I824" t="n">
        <v>0</v>
      </c>
      <c r="J824" t="n">
        <v>0</v>
      </c>
      <c r="K824" t="n">
        <v>0</v>
      </c>
      <c r="L824" t="n">
        <v>0</v>
      </c>
      <c r="M824" t="n">
        <v>0</v>
      </c>
      <c r="N824" t="n">
        <v>0</v>
      </c>
      <c r="O824" t="n">
        <v>0</v>
      </c>
      <c r="P824" t="n">
        <v>0</v>
      </c>
      <c r="Q824" t="n">
        <v>0</v>
      </c>
      <c r="R824" s="2" t="inlineStr"/>
    </row>
    <row r="825" ht="15" customHeight="1">
      <c r="A825" t="inlineStr">
        <is>
          <t>A 35540-2025</t>
        </is>
      </c>
      <c r="B825" s="1" t="n">
        <v>45856.46912037037</v>
      </c>
      <c r="C825" s="1" t="n">
        <v>45984</v>
      </c>
      <c r="D825" t="inlineStr">
        <is>
          <t>VÄSTERNORRLANDS LÄN</t>
        </is>
      </c>
      <c r="E825" t="inlineStr">
        <is>
          <t>ÅNGE</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35548-2025</t>
        </is>
      </c>
      <c r="B826" s="1" t="n">
        <v>45856.48995370371</v>
      </c>
      <c r="C826" s="1" t="n">
        <v>45984</v>
      </c>
      <c r="D826" t="inlineStr">
        <is>
          <t>VÄSTERNORRLANDS LÄN</t>
        </is>
      </c>
      <c r="E826" t="inlineStr">
        <is>
          <t>ÅNGE</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35575-2025</t>
        </is>
      </c>
      <c r="B827" s="1" t="n">
        <v>45856.63591435185</v>
      </c>
      <c r="C827" s="1" t="n">
        <v>45984</v>
      </c>
      <c r="D827" t="inlineStr">
        <is>
          <t>VÄSTERNORRLANDS LÄN</t>
        </is>
      </c>
      <c r="E827" t="inlineStr">
        <is>
          <t>ÅNGE</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35497-2025</t>
        </is>
      </c>
      <c r="B828" s="1" t="n">
        <v>45856.29752314815</v>
      </c>
      <c r="C828" s="1" t="n">
        <v>45984</v>
      </c>
      <c r="D828" t="inlineStr">
        <is>
          <t>VÄSTERNORRLANDS LÄN</t>
        </is>
      </c>
      <c r="E828" t="inlineStr">
        <is>
          <t>ÅNGE</t>
        </is>
      </c>
      <c r="G828" t="n">
        <v>0.7</v>
      </c>
      <c r="H828" t="n">
        <v>0</v>
      </c>
      <c r="I828" t="n">
        <v>0</v>
      </c>
      <c r="J828" t="n">
        <v>0</v>
      </c>
      <c r="K828" t="n">
        <v>0</v>
      </c>
      <c r="L828" t="n">
        <v>0</v>
      </c>
      <c r="M828" t="n">
        <v>0</v>
      </c>
      <c r="N828" t="n">
        <v>0</v>
      </c>
      <c r="O828" t="n">
        <v>0</v>
      </c>
      <c r="P828" t="n">
        <v>0</v>
      </c>
      <c r="Q828" t="n">
        <v>0</v>
      </c>
      <c r="R828" s="2" t="inlineStr"/>
    </row>
    <row r="829" ht="15" customHeight="1">
      <c r="A829" t="inlineStr">
        <is>
          <t>A 55160-2025</t>
        </is>
      </c>
      <c r="B829" s="1" t="n">
        <v>45968.46930555555</v>
      </c>
      <c r="C829" s="1" t="n">
        <v>45984</v>
      </c>
      <c r="D829" t="inlineStr">
        <is>
          <t>VÄSTERNORRLANDS LÄN</t>
        </is>
      </c>
      <c r="E829" t="inlineStr">
        <is>
          <t>ÅNGE</t>
        </is>
      </c>
      <c r="G829" t="n">
        <v>6.8</v>
      </c>
      <c r="H829" t="n">
        <v>0</v>
      </c>
      <c r="I829" t="n">
        <v>0</v>
      </c>
      <c r="J829" t="n">
        <v>0</v>
      </c>
      <c r="K829" t="n">
        <v>0</v>
      </c>
      <c r="L829" t="n">
        <v>0</v>
      </c>
      <c r="M829" t="n">
        <v>0</v>
      </c>
      <c r="N829" t="n">
        <v>0</v>
      </c>
      <c r="O829" t="n">
        <v>0</v>
      </c>
      <c r="P829" t="n">
        <v>0</v>
      </c>
      <c r="Q829" t="n">
        <v>0</v>
      </c>
      <c r="R829" s="2" t="inlineStr"/>
    </row>
    <row r="830" ht="15" customHeight="1">
      <c r="A830" t="inlineStr">
        <is>
          <t>A 50674-2024</t>
        </is>
      </c>
      <c r="B830" s="1" t="n">
        <v>45601.85402777778</v>
      </c>
      <c r="C830" s="1" t="n">
        <v>45984</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54720-2024</t>
        </is>
      </c>
      <c r="B831" s="1" t="n">
        <v>45618.43715277778</v>
      </c>
      <c r="C831" s="1" t="n">
        <v>45984</v>
      </c>
      <c r="D831" t="inlineStr">
        <is>
          <t>VÄSTERNORRLANDS LÄN</t>
        </is>
      </c>
      <c r="E831" t="inlineStr">
        <is>
          <t>ÅNGE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46419-2025</t>
        </is>
      </c>
      <c r="B832" s="1" t="n">
        <v>45925.5949537037</v>
      </c>
      <c r="C832" s="1" t="n">
        <v>45984</v>
      </c>
      <c r="D832" t="inlineStr">
        <is>
          <t>VÄSTERNORRLANDS LÄN</t>
        </is>
      </c>
      <c r="E832" t="inlineStr">
        <is>
          <t>ÅNGE</t>
        </is>
      </c>
      <c r="F832" t="inlineStr">
        <is>
          <t>SCA</t>
        </is>
      </c>
      <c r="G832" t="n">
        <v>4.4</v>
      </c>
      <c r="H832" t="n">
        <v>0</v>
      </c>
      <c r="I832" t="n">
        <v>0</v>
      </c>
      <c r="J832" t="n">
        <v>0</v>
      </c>
      <c r="K832" t="n">
        <v>0</v>
      </c>
      <c r="L832" t="n">
        <v>0</v>
      </c>
      <c r="M832" t="n">
        <v>0</v>
      </c>
      <c r="N832" t="n">
        <v>0</v>
      </c>
      <c r="O832" t="n">
        <v>0</v>
      </c>
      <c r="P832" t="n">
        <v>0</v>
      </c>
      <c r="Q832" t="n">
        <v>0</v>
      </c>
      <c r="R832" s="2" t="inlineStr"/>
    </row>
    <row r="833" ht="15" customHeight="1">
      <c r="A833" t="inlineStr">
        <is>
          <t>A 35432-2025</t>
        </is>
      </c>
      <c r="B833" s="1" t="n">
        <v>45855.44831018519</v>
      </c>
      <c r="C833" s="1" t="n">
        <v>45984</v>
      </c>
      <c r="D833" t="inlineStr">
        <is>
          <t>VÄSTERNORRLANDS LÄN</t>
        </is>
      </c>
      <c r="E833" t="inlineStr">
        <is>
          <t>ÅNGE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35577-2025</t>
        </is>
      </c>
      <c r="B834" s="1" t="n">
        <v>45856.67762731481</v>
      </c>
      <c r="C834" s="1" t="n">
        <v>45984</v>
      </c>
      <c r="D834" t="inlineStr">
        <is>
          <t>VÄSTERNORRLANDS LÄN</t>
        </is>
      </c>
      <c r="E834" t="inlineStr">
        <is>
          <t>ÅNGE</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46416-2025</t>
        </is>
      </c>
      <c r="B835" s="1" t="n">
        <v>45925.594375</v>
      </c>
      <c r="C835" s="1" t="n">
        <v>45984</v>
      </c>
      <c r="D835" t="inlineStr">
        <is>
          <t>VÄSTERNORRLANDS LÄN</t>
        </is>
      </c>
      <c r="E835" t="inlineStr">
        <is>
          <t>ÅNGE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53336-2024</t>
        </is>
      </c>
      <c r="B836" s="1" t="n">
        <v>45614.42753472222</v>
      </c>
      <c r="C836" s="1" t="n">
        <v>45984</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35690-2025</t>
        </is>
      </c>
      <c r="B837" s="1" t="n">
        <v>45860.34421296296</v>
      </c>
      <c r="C837" s="1" t="n">
        <v>45984</v>
      </c>
      <c r="D837" t="inlineStr">
        <is>
          <t>VÄSTERNORRLANDS LÄN</t>
        </is>
      </c>
      <c r="E837" t="inlineStr">
        <is>
          <t>ÅNGE</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55045-2025</t>
        </is>
      </c>
      <c r="B838" s="1" t="n">
        <v>45967.66068287037</v>
      </c>
      <c r="C838" s="1" t="n">
        <v>45984</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35781-2025</t>
        </is>
      </c>
      <c r="B839" s="1" t="n">
        <v>45860.70613425926</v>
      </c>
      <c r="C839" s="1" t="n">
        <v>45984</v>
      </c>
      <c r="D839" t="inlineStr">
        <is>
          <t>VÄSTERNORRLANDS LÄN</t>
        </is>
      </c>
      <c r="E839" t="inlineStr">
        <is>
          <t>ÅNGE</t>
        </is>
      </c>
      <c r="G839" t="n">
        <v>2.2</v>
      </c>
      <c r="H839" t="n">
        <v>0</v>
      </c>
      <c r="I839" t="n">
        <v>0</v>
      </c>
      <c r="J839" t="n">
        <v>0</v>
      </c>
      <c r="K839" t="n">
        <v>0</v>
      </c>
      <c r="L839" t="n">
        <v>0</v>
      </c>
      <c r="M839" t="n">
        <v>0</v>
      </c>
      <c r="N839" t="n">
        <v>0</v>
      </c>
      <c r="O839" t="n">
        <v>0</v>
      </c>
      <c r="P839" t="n">
        <v>0</v>
      </c>
      <c r="Q839" t="n">
        <v>0</v>
      </c>
      <c r="R839" s="2" t="inlineStr"/>
    </row>
    <row r="840" ht="15" customHeight="1">
      <c r="A840" t="inlineStr">
        <is>
          <t>A 57598-2022</t>
        </is>
      </c>
      <c r="B840" s="1" t="n">
        <v>44896</v>
      </c>
      <c r="C840" s="1" t="n">
        <v>45984</v>
      </c>
      <c r="D840" t="inlineStr">
        <is>
          <t>VÄSTERNORRLANDS LÄN</t>
        </is>
      </c>
      <c r="E840" t="inlineStr">
        <is>
          <t>ÅNGE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35766-2025</t>
        </is>
      </c>
      <c r="B841" s="1" t="n">
        <v>45860.63077546296</v>
      </c>
      <c r="C841" s="1" t="n">
        <v>45984</v>
      </c>
      <c r="D841" t="inlineStr">
        <is>
          <t>VÄSTERNORRLANDS LÄN</t>
        </is>
      </c>
      <c r="E841" t="inlineStr">
        <is>
          <t>ÅNGE</t>
        </is>
      </c>
      <c r="G841" t="n">
        <v>10.7</v>
      </c>
      <c r="H841" t="n">
        <v>0</v>
      </c>
      <c r="I841" t="n">
        <v>0</v>
      </c>
      <c r="J841" t="n">
        <v>0</v>
      </c>
      <c r="K841" t="n">
        <v>0</v>
      </c>
      <c r="L841" t="n">
        <v>0</v>
      </c>
      <c r="M841" t="n">
        <v>0</v>
      </c>
      <c r="N841" t="n">
        <v>0</v>
      </c>
      <c r="O841" t="n">
        <v>0</v>
      </c>
      <c r="P841" t="n">
        <v>0</v>
      </c>
      <c r="Q841" t="n">
        <v>0</v>
      </c>
      <c r="R841" s="2" t="inlineStr"/>
    </row>
    <row r="842" ht="15" customHeight="1">
      <c r="A842" t="inlineStr">
        <is>
          <t>A 35826-2025</t>
        </is>
      </c>
      <c r="B842" s="1" t="n">
        <v>45861.48997685185</v>
      </c>
      <c r="C842" s="1" t="n">
        <v>45984</v>
      </c>
      <c r="D842" t="inlineStr">
        <is>
          <t>VÄSTERNORRLANDS LÄN</t>
        </is>
      </c>
      <c r="E842" t="inlineStr">
        <is>
          <t>ÅNGE</t>
        </is>
      </c>
      <c r="G842" t="n">
        <v>2.5</v>
      </c>
      <c r="H842" t="n">
        <v>0</v>
      </c>
      <c r="I842" t="n">
        <v>0</v>
      </c>
      <c r="J842" t="n">
        <v>0</v>
      </c>
      <c r="K842" t="n">
        <v>0</v>
      </c>
      <c r="L842" t="n">
        <v>0</v>
      </c>
      <c r="M842" t="n">
        <v>0</v>
      </c>
      <c r="N842" t="n">
        <v>0</v>
      </c>
      <c r="O842" t="n">
        <v>0</v>
      </c>
      <c r="P842" t="n">
        <v>0</v>
      </c>
      <c r="Q842" t="n">
        <v>0</v>
      </c>
      <c r="R842" s="2" t="inlineStr"/>
    </row>
    <row r="843" ht="15" customHeight="1">
      <c r="A843" t="inlineStr">
        <is>
          <t>A 35838-2025</t>
        </is>
      </c>
      <c r="B843" s="1" t="n">
        <v>45861.53829861111</v>
      </c>
      <c r="C843" s="1" t="n">
        <v>45984</v>
      </c>
      <c r="D843" t="inlineStr">
        <is>
          <t>VÄSTERNORRLANDS LÄN</t>
        </is>
      </c>
      <c r="E843" t="inlineStr">
        <is>
          <t>ÅNGE</t>
        </is>
      </c>
      <c r="F843" t="inlineStr">
        <is>
          <t>Sveaskog</t>
        </is>
      </c>
      <c r="G843" t="n">
        <v>3.9</v>
      </c>
      <c r="H843" t="n">
        <v>0</v>
      </c>
      <c r="I843" t="n">
        <v>0</v>
      </c>
      <c r="J843" t="n">
        <v>0</v>
      </c>
      <c r="K843" t="n">
        <v>0</v>
      </c>
      <c r="L843" t="n">
        <v>0</v>
      </c>
      <c r="M843" t="n">
        <v>0</v>
      </c>
      <c r="N843" t="n">
        <v>0</v>
      </c>
      <c r="O843" t="n">
        <v>0</v>
      </c>
      <c r="P843" t="n">
        <v>0</v>
      </c>
      <c r="Q843" t="n">
        <v>0</v>
      </c>
      <c r="R843" s="2" t="inlineStr"/>
    </row>
    <row r="844" ht="15" customHeight="1">
      <c r="A844" t="inlineStr">
        <is>
          <t>A 35827-2025</t>
        </is>
      </c>
      <c r="B844" s="1" t="n">
        <v>45861.49017361111</v>
      </c>
      <c r="C844" s="1" t="n">
        <v>45984</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54926-2025</t>
        </is>
      </c>
      <c r="B845" s="1" t="n">
        <v>45967.40707175926</v>
      </c>
      <c r="C845" s="1" t="n">
        <v>45984</v>
      </c>
      <c r="D845" t="inlineStr">
        <is>
          <t>VÄSTERNORRLANDS LÄN</t>
        </is>
      </c>
      <c r="E845" t="inlineStr">
        <is>
          <t>ÅNGE</t>
        </is>
      </c>
      <c r="G845" t="n">
        <v>3.1</v>
      </c>
      <c r="H845" t="n">
        <v>0</v>
      </c>
      <c r="I845" t="n">
        <v>0</v>
      </c>
      <c r="J845" t="n">
        <v>0</v>
      </c>
      <c r="K845" t="n">
        <v>0</v>
      </c>
      <c r="L845" t="n">
        <v>0</v>
      </c>
      <c r="M845" t="n">
        <v>0</v>
      </c>
      <c r="N845" t="n">
        <v>0</v>
      </c>
      <c r="O845" t="n">
        <v>0</v>
      </c>
      <c r="P845" t="n">
        <v>0</v>
      </c>
      <c r="Q845" t="n">
        <v>0</v>
      </c>
      <c r="R845" s="2" t="inlineStr"/>
    </row>
    <row r="846" ht="15" customHeight="1">
      <c r="A846" t="inlineStr">
        <is>
          <t>A 55038-2025</t>
        </is>
      </c>
      <c r="B846" s="1" t="n">
        <v>45967.65527777778</v>
      </c>
      <c r="C846" s="1" t="n">
        <v>45984</v>
      </c>
      <c r="D846" t="inlineStr">
        <is>
          <t>VÄSTERNORRLANDS LÄN</t>
        </is>
      </c>
      <c r="E846" t="inlineStr">
        <is>
          <t>ÅNGE</t>
        </is>
      </c>
      <c r="G846" t="n">
        <v>4.5</v>
      </c>
      <c r="H846" t="n">
        <v>0</v>
      </c>
      <c r="I846" t="n">
        <v>0</v>
      </c>
      <c r="J846" t="n">
        <v>0</v>
      </c>
      <c r="K846" t="n">
        <v>0</v>
      </c>
      <c r="L846" t="n">
        <v>0</v>
      </c>
      <c r="M846" t="n">
        <v>0</v>
      </c>
      <c r="N846" t="n">
        <v>0</v>
      </c>
      <c r="O846" t="n">
        <v>0</v>
      </c>
      <c r="P846" t="n">
        <v>0</v>
      </c>
      <c r="Q846" t="n">
        <v>0</v>
      </c>
      <c r="R846" s="2" t="inlineStr"/>
    </row>
    <row r="847" ht="15" customHeight="1">
      <c r="A847" t="inlineStr">
        <is>
          <t>A 30683-2024</t>
        </is>
      </c>
      <c r="B847" s="1" t="n">
        <v>45495</v>
      </c>
      <c r="C847" s="1" t="n">
        <v>45984</v>
      </c>
      <c r="D847" t="inlineStr">
        <is>
          <t>VÄSTERNORRLANDS LÄN</t>
        </is>
      </c>
      <c r="E847" t="inlineStr">
        <is>
          <t>ÅNGE</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54925-2025</t>
        </is>
      </c>
      <c r="B848" s="1" t="n">
        <v>45967.40699074074</v>
      </c>
      <c r="C848" s="1" t="n">
        <v>45984</v>
      </c>
      <c r="D848" t="inlineStr">
        <is>
          <t>VÄSTERNORRLANDS LÄN</t>
        </is>
      </c>
      <c r="E848" t="inlineStr">
        <is>
          <t>ÅNGE</t>
        </is>
      </c>
      <c r="G848" t="n">
        <v>2.6</v>
      </c>
      <c r="H848" t="n">
        <v>0</v>
      </c>
      <c r="I848" t="n">
        <v>0</v>
      </c>
      <c r="J848" t="n">
        <v>0</v>
      </c>
      <c r="K848" t="n">
        <v>0</v>
      </c>
      <c r="L848" t="n">
        <v>0</v>
      </c>
      <c r="M848" t="n">
        <v>0</v>
      </c>
      <c r="N848" t="n">
        <v>0</v>
      </c>
      <c r="O848" t="n">
        <v>0</v>
      </c>
      <c r="P848" t="n">
        <v>0</v>
      </c>
      <c r="Q848" t="n">
        <v>0</v>
      </c>
      <c r="R848" s="2" t="inlineStr"/>
    </row>
    <row r="849" ht="15" customHeight="1">
      <c r="A849" t="inlineStr">
        <is>
          <t>A 1975-2025</t>
        </is>
      </c>
      <c r="B849" s="1" t="n">
        <v>45672.39332175926</v>
      </c>
      <c r="C849" s="1" t="n">
        <v>45984</v>
      </c>
      <c r="D849" t="inlineStr">
        <is>
          <t>VÄSTERNORRLANDS LÄN</t>
        </is>
      </c>
      <c r="E849" t="inlineStr">
        <is>
          <t>ÅNGE</t>
        </is>
      </c>
      <c r="G849" t="n">
        <v>6.2</v>
      </c>
      <c r="H849" t="n">
        <v>0</v>
      </c>
      <c r="I849" t="n">
        <v>0</v>
      </c>
      <c r="J849" t="n">
        <v>0</v>
      </c>
      <c r="K849" t="n">
        <v>0</v>
      </c>
      <c r="L849" t="n">
        <v>0</v>
      </c>
      <c r="M849" t="n">
        <v>0</v>
      </c>
      <c r="N849" t="n">
        <v>0</v>
      </c>
      <c r="O849" t="n">
        <v>0</v>
      </c>
      <c r="P849" t="n">
        <v>0</v>
      </c>
      <c r="Q849" t="n">
        <v>0</v>
      </c>
      <c r="R849" s="2" t="inlineStr"/>
    </row>
    <row r="850" ht="15" customHeight="1">
      <c r="A850" t="inlineStr">
        <is>
          <t>A 33429-2023</t>
        </is>
      </c>
      <c r="B850" s="1" t="n">
        <v>45128.94983796297</v>
      </c>
      <c r="C850" s="1" t="n">
        <v>45984</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20576-2021</t>
        </is>
      </c>
      <c r="B851" s="1" t="n">
        <v>44316.3290162037</v>
      </c>
      <c r="C851" s="1" t="n">
        <v>45984</v>
      </c>
      <c r="D851" t="inlineStr">
        <is>
          <t>VÄSTERNORRLANDS LÄN</t>
        </is>
      </c>
      <c r="E851" t="inlineStr">
        <is>
          <t>ÅNGE</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1235-2023</t>
        </is>
      </c>
      <c r="B852" s="1" t="n">
        <v>44935</v>
      </c>
      <c r="C852" s="1" t="n">
        <v>45984</v>
      </c>
      <c r="D852" t="inlineStr">
        <is>
          <t>VÄSTERNORRLANDS LÄN</t>
        </is>
      </c>
      <c r="E852" t="inlineStr">
        <is>
          <t>ÅNGE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13501-2021</t>
        </is>
      </c>
      <c r="B853" s="1" t="n">
        <v>44273</v>
      </c>
      <c r="C853" s="1" t="n">
        <v>45984</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33302-2024</t>
        </is>
      </c>
      <c r="B854" s="1" t="n">
        <v>45518.96967592592</v>
      </c>
      <c r="C854" s="1" t="n">
        <v>45984</v>
      </c>
      <c r="D854" t="inlineStr">
        <is>
          <t>VÄSTERNORRLANDS LÄN</t>
        </is>
      </c>
      <c r="E854" t="inlineStr">
        <is>
          <t>ÅNGE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7528-2023</t>
        </is>
      </c>
      <c r="B855" s="1" t="n">
        <v>44971.97662037037</v>
      </c>
      <c r="C855" s="1" t="n">
        <v>45984</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47440-2025</t>
        </is>
      </c>
      <c r="B856" s="1" t="n">
        <v>45930.63766203704</v>
      </c>
      <c r="C856" s="1" t="n">
        <v>45984</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36205-2025</t>
        </is>
      </c>
      <c r="B857" s="1" t="n">
        <v>45867.44855324074</v>
      </c>
      <c r="C857" s="1" t="n">
        <v>45984</v>
      </c>
      <c r="D857" t="inlineStr">
        <is>
          <t>VÄSTERNORRLANDS LÄN</t>
        </is>
      </c>
      <c r="E857" t="inlineStr">
        <is>
          <t>ÅNGE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47118-2025</t>
        </is>
      </c>
      <c r="B858" s="1" t="n">
        <v>45929.67770833334</v>
      </c>
      <c r="C858" s="1" t="n">
        <v>45984</v>
      </c>
      <c r="D858" t="inlineStr">
        <is>
          <t>VÄSTERNORRLANDS LÄN</t>
        </is>
      </c>
      <c r="E858" t="inlineStr">
        <is>
          <t>ÅNGE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47196-2025</t>
        </is>
      </c>
      <c r="B859" s="1" t="n">
        <v>45930.34520833333</v>
      </c>
      <c r="C859" s="1" t="n">
        <v>45984</v>
      </c>
      <c r="D859" t="inlineStr">
        <is>
          <t>VÄSTERNORRLANDS LÄN</t>
        </is>
      </c>
      <c r="E859" t="inlineStr">
        <is>
          <t>ÅNGE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34851-2023</t>
        </is>
      </c>
      <c r="B860" s="1" t="n">
        <v>45141</v>
      </c>
      <c r="C860" s="1" t="n">
        <v>45984</v>
      </c>
      <c r="D860" t="inlineStr">
        <is>
          <t>VÄSTERNORRLANDS LÄN</t>
        </is>
      </c>
      <c r="E860" t="inlineStr">
        <is>
          <t>ÅNGE</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36240-2025</t>
        </is>
      </c>
      <c r="B861" s="1" t="n">
        <v>45867.55298611111</v>
      </c>
      <c r="C861" s="1" t="n">
        <v>45984</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36210-2025</t>
        </is>
      </c>
      <c r="B862" s="1" t="n">
        <v>45867.46930555555</v>
      </c>
      <c r="C862" s="1" t="n">
        <v>45984</v>
      </c>
      <c r="D862" t="inlineStr">
        <is>
          <t>VÄSTERNORRLANDS LÄN</t>
        </is>
      </c>
      <c r="E862" t="inlineStr">
        <is>
          <t>ÅNGE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36236-2025</t>
        </is>
      </c>
      <c r="B863" s="1" t="n">
        <v>45867.55245370371</v>
      </c>
      <c r="C863" s="1" t="n">
        <v>45984</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36248-2025</t>
        </is>
      </c>
      <c r="B864" s="1" t="n">
        <v>45867.57326388889</v>
      </c>
      <c r="C864" s="1" t="n">
        <v>45984</v>
      </c>
      <c r="D864" t="inlineStr">
        <is>
          <t>VÄSTERNORRLANDS LÄN</t>
        </is>
      </c>
      <c r="E864" t="inlineStr">
        <is>
          <t>ÅNGE</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36237-2025</t>
        </is>
      </c>
      <c r="B865" s="1" t="n">
        <v>45867.55263888889</v>
      </c>
      <c r="C865" s="1" t="n">
        <v>45984</v>
      </c>
      <c r="D865" t="inlineStr">
        <is>
          <t>VÄSTERNORRLANDS LÄN</t>
        </is>
      </c>
      <c r="E865" t="inlineStr">
        <is>
          <t>ÅNGE</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55556-2025</t>
        </is>
      </c>
      <c r="B866" s="1" t="n">
        <v>45971.64694444444</v>
      </c>
      <c r="C866" s="1" t="n">
        <v>45984</v>
      </c>
      <c r="D866" t="inlineStr">
        <is>
          <t>VÄSTERNORRLANDS LÄN</t>
        </is>
      </c>
      <c r="E866" t="inlineStr">
        <is>
          <t>ÅNGE</t>
        </is>
      </c>
      <c r="G866" t="n">
        <v>1.7</v>
      </c>
      <c r="H866" t="n">
        <v>0</v>
      </c>
      <c r="I866" t="n">
        <v>0</v>
      </c>
      <c r="J866" t="n">
        <v>0</v>
      </c>
      <c r="K866" t="n">
        <v>0</v>
      </c>
      <c r="L866" t="n">
        <v>0</v>
      </c>
      <c r="M866" t="n">
        <v>0</v>
      </c>
      <c r="N866" t="n">
        <v>0</v>
      </c>
      <c r="O866" t="n">
        <v>0</v>
      </c>
      <c r="P866" t="n">
        <v>0</v>
      </c>
      <c r="Q866" t="n">
        <v>0</v>
      </c>
      <c r="R866" s="2" t="inlineStr"/>
    </row>
    <row r="867" ht="15" customHeight="1">
      <c r="A867" t="inlineStr">
        <is>
          <t>A 36193-2025</t>
        </is>
      </c>
      <c r="B867" s="1" t="n">
        <v>45867.42741898148</v>
      </c>
      <c r="C867" s="1" t="n">
        <v>45984</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46829-2025</t>
        </is>
      </c>
      <c r="B868" s="1" t="n">
        <v>45927.34513888889</v>
      </c>
      <c r="C868" s="1" t="n">
        <v>45984</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36336-2025</t>
        </is>
      </c>
      <c r="B869" s="1" t="n">
        <v>45868.44751157407</v>
      </c>
      <c r="C869" s="1" t="n">
        <v>45984</v>
      </c>
      <c r="D869" t="inlineStr">
        <is>
          <t>VÄSTERNORRLANDS LÄN</t>
        </is>
      </c>
      <c r="E869" t="inlineStr">
        <is>
          <t>ÅNGE</t>
        </is>
      </c>
      <c r="G869" t="n">
        <v>7.3</v>
      </c>
      <c r="H869" t="n">
        <v>0</v>
      </c>
      <c r="I869" t="n">
        <v>0</v>
      </c>
      <c r="J869" t="n">
        <v>0</v>
      </c>
      <c r="K869" t="n">
        <v>0</v>
      </c>
      <c r="L869" t="n">
        <v>0</v>
      </c>
      <c r="M869" t="n">
        <v>0</v>
      </c>
      <c r="N869" t="n">
        <v>0</v>
      </c>
      <c r="O869" t="n">
        <v>0</v>
      </c>
      <c r="P869" t="n">
        <v>0</v>
      </c>
      <c r="Q869" t="n">
        <v>0</v>
      </c>
      <c r="R869" s="2" t="inlineStr"/>
    </row>
    <row r="870" ht="15" customHeight="1">
      <c r="A870" t="inlineStr">
        <is>
          <t>A 47488-2025</t>
        </is>
      </c>
      <c r="B870" s="1" t="n">
        <v>45930.69890046296</v>
      </c>
      <c r="C870" s="1" t="n">
        <v>45984</v>
      </c>
      <c r="D870" t="inlineStr">
        <is>
          <t>VÄSTERNORRLANDS LÄN</t>
        </is>
      </c>
      <c r="E870" t="inlineStr">
        <is>
          <t>ÅNGE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55816-2025</t>
        </is>
      </c>
      <c r="B871" s="1" t="n">
        <v>45972.69851851852</v>
      </c>
      <c r="C871" s="1" t="n">
        <v>45984</v>
      </c>
      <c r="D871" t="inlineStr">
        <is>
          <t>VÄSTERNORRLANDS LÄN</t>
        </is>
      </c>
      <c r="E871" t="inlineStr">
        <is>
          <t>ÅNGE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36457-2025</t>
        </is>
      </c>
      <c r="B872" s="1" t="n">
        <v>45869.44842592593</v>
      </c>
      <c r="C872" s="1" t="n">
        <v>45984</v>
      </c>
      <c r="D872" t="inlineStr">
        <is>
          <t>VÄSTERNORRLANDS LÄN</t>
        </is>
      </c>
      <c r="E872" t="inlineStr">
        <is>
          <t>ÅNGE</t>
        </is>
      </c>
      <c r="F872" t="inlineStr">
        <is>
          <t>SCA</t>
        </is>
      </c>
      <c r="G872" t="n">
        <v>6.3</v>
      </c>
      <c r="H872" t="n">
        <v>0</v>
      </c>
      <c r="I872" t="n">
        <v>0</v>
      </c>
      <c r="J872" t="n">
        <v>0</v>
      </c>
      <c r="K872" t="n">
        <v>0</v>
      </c>
      <c r="L872" t="n">
        <v>0</v>
      </c>
      <c r="M872" t="n">
        <v>0</v>
      </c>
      <c r="N872" t="n">
        <v>0</v>
      </c>
      <c r="O872" t="n">
        <v>0</v>
      </c>
      <c r="P872" t="n">
        <v>0</v>
      </c>
      <c r="Q872" t="n">
        <v>0</v>
      </c>
      <c r="R872" s="2" t="inlineStr"/>
    </row>
    <row r="873" ht="15" customHeight="1">
      <c r="A873" t="inlineStr">
        <is>
          <t>A 46897-2025</t>
        </is>
      </c>
      <c r="B873" s="1" t="n">
        <v>45929.38597222222</v>
      </c>
      <c r="C873" s="1" t="n">
        <v>45984</v>
      </c>
      <c r="D873" t="inlineStr">
        <is>
          <t>VÄSTERNORRLANDS LÄN</t>
        </is>
      </c>
      <c r="E873" t="inlineStr">
        <is>
          <t>ÅNGE</t>
        </is>
      </c>
      <c r="G873" t="n">
        <v>10.6</v>
      </c>
      <c r="H873" t="n">
        <v>0</v>
      </c>
      <c r="I873" t="n">
        <v>0</v>
      </c>
      <c r="J873" t="n">
        <v>0</v>
      </c>
      <c r="K873" t="n">
        <v>0</v>
      </c>
      <c r="L873" t="n">
        <v>0</v>
      </c>
      <c r="M873" t="n">
        <v>0</v>
      </c>
      <c r="N873" t="n">
        <v>0</v>
      </c>
      <c r="O873" t="n">
        <v>0</v>
      </c>
      <c r="P873" t="n">
        <v>0</v>
      </c>
      <c r="Q873" t="n">
        <v>0</v>
      </c>
      <c r="R873" s="2" t="inlineStr"/>
    </row>
    <row r="874" ht="15" customHeight="1">
      <c r="A874" t="inlineStr">
        <is>
          <t>A 47377-2025</t>
        </is>
      </c>
      <c r="B874" s="1" t="n">
        <v>45930.59469907408</v>
      </c>
      <c r="C874" s="1" t="n">
        <v>45984</v>
      </c>
      <c r="D874" t="inlineStr">
        <is>
          <t>VÄSTERNORRLANDS LÄN</t>
        </is>
      </c>
      <c r="E874" t="inlineStr">
        <is>
          <t>ÅNGE</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47305-2025</t>
        </is>
      </c>
      <c r="B875" s="1" t="n">
        <v>45930</v>
      </c>
      <c r="C875" s="1" t="n">
        <v>45984</v>
      </c>
      <c r="D875" t="inlineStr">
        <is>
          <t>VÄSTERNORRLANDS LÄN</t>
        </is>
      </c>
      <c r="E875" t="inlineStr">
        <is>
          <t>ÅNGE</t>
        </is>
      </c>
      <c r="G875" t="n">
        <v>10.9</v>
      </c>
      <c r="H875" t="n">
        <v>0</v>
      </c>
      <c r="I875" t="n">
        <v>0</v>
      </c>
      <c r="J875" t="n">
        <v>0</v>
      </c>
      <c r="K875" t="n">
        <v>0</v>
      </c>
      <c r="L875" t="n">
        <v>0</v>
      </c>
      <c r="M875" t="n">
        <v>0</v>
      </c>
      <c r="N875" t="n">
        <v>0</v>
      </c>
      <c r="O875" t="n">
        <v>0</v>
      </c>
      <c r="P875" t="n">
        <v>0</v>
      </c>
      <c r="Q875" t="n">
        <v>0</v>
      </c>
      <c r="R875" s="2" t="inlineStr"/>
    </row>
    <row r="876" ht="15" customHeight="1">
      <c r="A876" t="inlineStr">
        <is>
          <t>A 36456-2025</t>
        </is>
      </c>
      <c r="B876" s="1" t="n">
        <v>45869.44827546296</v>
      </c>
      <c r="C876" s="1" t="n">
        <v>45984</v>
      </c>
      <c r="D876" t="inlineStr">
        <is>
          <t>VÄSTERNORRLANDS LÄN</t>
        </is>
      </c>
      <c r="E876" t="inlineStr">
        <is>
          <t>ÅNGE</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36491-2025</t>
        </is>
      </c>
      <c r="B877" s="1" t="n">
        <v>45869.53173611111</v>
      </c>
      <c r="C877" s="1" t="n">
        <v>45984</v>
      </c>
      <c r="D877" t="inlineStr">
        <is>
          <t>VÄSTERNORRLANDS LÄN</t>
        </is>
      </c>
      <c r="E877" t="inlineStr">
        <is>
          <t>ÅNGE</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26018-2024</t>
        </is>
      </c>
      <c r="B878" s="1" t="n">
        <v>45467.95998842592</v>
      </c>
      <c r="C878" s="1" t="n">
        <v>45984</v>
      </c>
      <c r="D878" t="inlineStr">
        <is>
          <t>VÄSTERNORRLANDS LÄN</t>
        </is>
      </c>
      <c r="E878" t="inlineStr">
        <is>
          <t>ÅNGE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26021-2024</t>
        </is>
      </c>
      <c r="B879" s="1" t="n">
        <v>45467</v>
      </c>
      <c r="C879" s="1" t="n">
        <v>45984</v>
      </c>
      <c r="D879" t="inlineStr">
        <is>
          <t>VÄSTERNORRLANDS LÄN</t>
        </is>
      </c>
      <c r="E879" t="inlineStr">
        <is>
          <t>ÅNGE</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36873-2025</t>
        </is>
      </c>
      <c r="B880" s="1" t="n">
        <v>45874.42935185185</v>
      </c>
      <c r="C880" s="1" t="n">
        <v>45984</v>
      </c>
      <c r="D880" t="inlineStr">
        <is>
          <t>VÄSTERNORRLANDS LÄN</t>
        </is>
      </c>
      <c r="E880" t="inlineStr">
        <is>
          <t>ÅNGE</t>
        </is>
      </c>
      <c r="F880" t="inlineStr">
        <is>
          <t>SCA</t>
        </is>
      </c>
      <c r="G880" t="n">
        <v>16.9</v>
      </c>
      <c r="H880" t="n">
        <v>0</v>
      </c>
      <c r="I880" t="n">
        <v>0</v>
      </c>
      <c r="J880" t="n">
        <v>0</v>
      </c>
      <c r="K880" t="n">
        <v>0</v>
      </c>
      <c r="L880" t="n">
        <v>0</v>
      </c>
      <c r="M880" t="n">
        <v>0</v>
      </c>
      <c r="N880" t="n">
        <v>0</v>
      </c>
      <c r="O880" t="n">
        <v>0</v>
      </c>
      <c r="P880" t="n">
        <v>0</v>
      </c>
      <c r="Q880" t="n">
        <v>0</v>
      </c>
      <c r="R880" s="2" t="inlineStr"/>
    </row>
    <row r="881" ht="15" customHeight="1">
      <c r="A881" t="inlineStr">
        <is>
          <t>A 46933-2025</t>
        </is>
      </c>
      <c r="B881" s="1" t="n">
        <v>45929.44645833333</v>
      </c>
      <c r="C881" s="1" t="n">
        <v>45984</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45932-2023</t>
        </is>
      </c>
      <c r="B882" s="1" t="n">
        <v>45195</v>
      </c>
      <c r="C882" s="1" t="n">
        <v>45984</v>
      </c>
      <c r="D882" t="inlineStr">
        <is>
          <t>VÄSTERNORRLANDS LÄN</t>
        </is>
      </c>
      <c r="E882" t="inlineStr">
        <is>
          <t>ÅNGE</t>
        </is>
      </c>
      <c r="F882" t="inlineStr">
        <is>
          <t>SCA</t>
        </is>
      </c>
      <c r="G882" t="n">
        <v>0.1</v>
      </c>
      <c r="H882" t="n">
        <v>0</v>
      </c>
      <c r="I882" t="n">
        <v>0</v>
      </c>
      <c r="J882" t="n">
        <v>0</v>
      </c>
      <c r="K882" t="n">
        <v>0</v>
      </c>
      <c r="L882" t="n">
        <v>0</v>
      </c>
      <c r="M882" t="n">
        <v>0</v>
      </c>
      <c r="N882" t="n">
        <v>0</v>
      </c>
      <c r="O882" t="n">
        <v>0</v>
      </c>
      <c r="P882" t="n">
        <v>0</v>
      </c>
      <c r="Q882" t="n">
        <v>0</v>
      </c>
      <c r="R882" s="2" t="inlineStr"/>
    </row>
    <row r="883" ht="15" customHeight="1">
      <c r="A883" t="inlineStr">
        <is>
          <t>A 6-2025</t>
        </is>
      </c>
      <c r="B883" s="1" t="n">
        <v>45658.50759259259</v>
      </c>
      <c r="C883" s="1" t="n">
        <v>45984</v>
      </c>
      <c r="D883" t="inlineStr">
        <is>
          <t>VÄSTERNORRLANDS LÄN</t>
        </is>
      </c>
      <c r="E883" t="inlineStr">
        <is>
          <t>ÅNGE</t>
        </is>
      </c>
      <c r="G883" t="n">
        <v>4.3</v>
      </c>
      <c r="H883" t="n">
        <v>0</v>
      </c>
      <c r="I883" t="n">
        <v>0</v>
      </c>
      <c r="J883" t="n">
        <v>0</v>
      </c>
      <c r="K883" t="n">
        <v>0</v>
      </c>
      <c r="L883" t="n">
        <v>0</v>
      </c>
      <c r="M883" t="n">
        <v>0</v>
      </c>
      <c r="N883" t="n">
        <v>0</v>
      </c>
      <c r="O883" t="n">
        <v>0</v>
      </c>
      <c r="P883" t="n">
        <v>0</v>
      </c>
      <c r="Q883" t="n">
        <v>0</v>
      </c>
      <c r="R883" s="2" t="inlineStr"/>
    </row>
    <row r="884" ht="15" customHeight="1">
      <c r="A884" t="inlineStr">
        <is>
          <t>A 47752-2025</t>
        </is>
      </c>
      <c r="B884" s="1" t="n">
        <v>45931.66358796296</v>
      </c>
      <c r="C884" s="1" t="n">
        <v>45984</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39764-2024</t>
        </is>
      </c>
      <c r="B885" s="1" t="n">
        <v>45552.7190162037</v>
      </c>
      <c r="C885" s="1" t="n">
        <v>45984</v>
      </c>
      <c r="D885" t="inlineStr">
        <is>
          <t>VÄSTERNORRLANDS LÄN</t>
        </is>
      </c>
      <c r="E885" t="inlineStr">
        <is>
          <t>ÅNGE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53988-2024</t>
        </is>
      </c>
      <c r="B886" s="1" t="n">
        <v>45616.34408564815</v>
      </c>
      <c r="C886" s="1" t="n">
        <v>45984</v>
      </c>
      <c r="D886" t="inlineStr">
        <is>
          <t>VÄSTERNORRLANDS LÄN</t>
        </is>
      </c>
      <c r="E886" t="inlineStr">
        <is>
          <t>ÅNGE</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54002-2024</t>
        </is>
      </c>
      <c r="B887" s="1" t="n">
        <v>45616.36491898148</v>
      </c>
      <c r="C887" s="1" t="n">
        <v>45984</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56077-2025</t>
        </is>
      </c>
      <c r="B888" s="1" t="n">
        <v>45973.65759259259</v>
      </c>
      <c r="C888" s="1" t="n">
        <v>45984</v>
      </c>
      <c r="D888" t="inlineStr">
        <is>
          <t>VÄSTERNORRLANDS LÄN</t>
        </is>
      </c>
      <c r="E888" t="inlineStr">
        <is>
          <t>ÅNGE</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36740-2025</t>
        </is>
      </c>
      <c r="B889" s="1" t="n">
        <v>45873.53237268519</v>
      </c>
      <c r="C889" s="1" t="n">
        <v>45984</v>
      </c>
      <c r="D889" t="inlineStr">
        <is>
          <t>VÄSTERNORRLANDS LÄN</t>
        </is>
      </c>
      <c r="E889" t="inlineStr">
        <is>
          <t>ÅNGE</t>
        </is>
      </c>
      <c r="G889" t="n">
        <v>1.1</v>
      </c>
      <c r="H889" t="n">
        <v>0</v>
      </c>
      <c r="I889" t="n">
        <v>0</v>
      </c>
      <c r="J889" t="n">
        <v>0</v>
      </c>
      <c r="K889" t="n">
        <v>0</v>
      </c>
      <c r="L889" t="n">
        <v>0</v>
      </c>
      <c r="M889" t="n">
        <v>0</v>
      </c>
      <c r="N889" t="n">
        <v>0</v>
      </c>
      <c r="O889" t="n">
        <v>0</v>
      </c>
      <c r="P889" t="n">
        <v>0</v>
      </c>
      <c r="Q889" t="n">
        <v>0</v>
      </c>
      <c r="R889" s="2" t="inlineStr"/>
    </row>
    <row r="890" ht="15" customHeight="1">
      <c r="A890" t="inlineStr">
        <is>
          <t>A 48697-2024</t>
        </is>
      </c>
      <c r="B890" s="1" t="n">
        <v>45593.51136574074</v>
      </c>
      <c r="C890" s="1" t="n">
        <v>45984</v>
      </c>
      <c r="D890" t="inlineStr">
        <is>
          <t>VÄSTERNORRLANDS LÄN</t>
        </is>
      </c>
      <c r="E890" t="inlineStr">
        <is>
          <t>ÅNGE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36249-2025</t>
        </is>
      </c>
      <c r="B891" s="1" t="n">
        <v>45867</v>
      </c>
      <c r="C891" s="1" t="n">
        <v>45984</v>
      </c>
      <c r="D891" t="inlineStr">
        <is>
          <t>VÄSTERNORRLANDS LÄN</t>
        </is>
      </c>
      <c r="E891" t="inlineStr">
        <is>
          <t>ÅNGE</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36723-2025</t>
        </is>
      </c>
      <c r="B892" s="1" t="n">
        <v>45873.47770833333</v>
      </c>
      <c r="C892" s="1" t="n">
        <v>45984</v>
      </c>
      <c r="D892" t="inlineStr">
        <is>
          <t>VÄSTERNORRLANDS LÄN</t>
        </is>
      </c>
      <c r="E892" t="inlineStr">
        <is>
          <t>ÅNGE</t>
        </is>
      </c>
      <c r="G892" t="n">
        <v>2.8</v>
      </c>
      <c r="H892" t="n">
        <v>0</v>
      </c>
      <c r="I892" t="n">
        <v>0</v>
      </c>
      <c r="J892" t="n">
        <v>0</v>
      </c>
      <c r="K892" t="n">
        <v>0</v>
      </c>
      <c r="L892" t="n">
        <v>0</v>
      </c>
      <c r="M892" t="n">
        <v>0</v>
      </c>
      <c r="N892" t="n">
        <v>0</v>
      </c>
      <c r="O892" t="n">
        <v>0</v>
      </c>
      <c r="P892" t="n">
        <v>0</v>
      </c>
      <c r="Q892" t="n">
        <v>0</v>
      </c>
      <c r="R892" s="2" t="inlineStr"/>
    </row>
    <row r="893" ht="15" customHeight="1">
      <c r="A893" t="inlineStr">
        <is>
          <t>A 11764-2024</t>
        </is>
      </c>
      <c r="B893" s="1" t="n">
        <v>45373.94837962963</v>
      </c>
      <c r="C893" s="1" t="n">
        <v>45984</v>
      </c>
      <c r="D893" t="inlineStr">
        <is>
          <t>VÄSTERNORRLANDS LÄN</t>
        </is>
      </c>
      <c r="E893" t="inlineStr">
        <is>
          <t>ÅNGE</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48055-2025</t>
        </is>
      </c>
      <c r="B894" s="1" t="n">
        <v>45932.67922453704</v>
      </c>
      <c r="C894" s="1" t="n">
        <v>45984</v>
      </c>
      <c r="D894" t="inlineStr">
        <is>
          <t>VÄSTERNORRLANDS LÄN</t>
        </is>
      </c>
      <c r="E894" t="inlineStr">
        <is>
          <t>ÅNGE</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48069-2025</t>
        </is>
      </c>
      <c r="B895" s="1" t="n">
        <v>45932.69865740741</v>
      </c>
      <c r="C895" s="1" t="n">
        <v>45984</v>
      </c>
      <c r="D895" t="inlineStr">
        <is>
          <t>VÄSTERNORRLANDS LÄN</t>
        </is>
      </c>
      <c r="E895" t="inlineStr">
        <is>
          <t>ÅNGE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36674-2025</t>
        </is>
      </c>
      <c r="B896" s="1" t="n">
        <v>45873.3930787037</v>
      </c>
      <c r="C896" s="1" t="n">
        <v>45984</v>
      </c>
      <c r="D896" t="inlineStr">
        <is>
          <t>VÄSTERNORRLANDS LÄN</t>
        </is>
      </c>
      <c r="E896" t="inlineStr">
        <is>
          <t>ÅNGE</t>
        </is>
      </c>
      <c r="G896" t="n">
        <v>0.5</v>
      </c>
      <c r="H896" t="n">
        <v>0</v>
      </c>
      <c r="I896" t="n">
        <v>0</v>
      </c>
      <c r="J896" t="n">
        <v>0</v>
      </c>
      <c r="K896" t="n">
        <v>0</v>
      </c>
      <c r="L896" t="n">
        <v>0</v>
      </c>
      <c r="M896" t="n">
        <v>0</v>
      </c>
      <c r="N896" t="n">
        <v>0</v>
      </c>
      <c r="O896" t="n">
        <v>0</v>
      </c>
      <c r="P896" t="n">
        <v>0</v>
      </c>
      <c r="Q896" t="n">
        <v>0</v>
      </c>
      <c r="R896" s="2" t="inlineStr"/>
    </row>
    <row r="897" ht="15" customHeight="1">
      <c r="A897" t="inlineStr">
        <is>
          <t>A 58613-2023</t>
        </is>
      </c>
      <c r="B897" s="1" t="n">
        <v>45251.50709490741</v>
      </c>
      <c r="C897" s="1" t="n">
        <v>45984</v>
      </c>
      <c r="D897" t="inlineStr">
        <is>
          <t>VÄSTERNORRLANDS LÄN</t>
        </is>
      </c>
      <c r="E897" t="inlineStr">
        <is>
          <t>ÅNGE</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37045-2025</t>
        </is>
      </c>
      <c r="B898" s="1" t="n">
        <v>45875.34451388889</v>
      </c>
      <c r="C898" s="1" t="n">
        <v>45984</v>
      </c>
      <c r="D898" t="inlineStr">
        <is>
          <t>VÄSTERNORRLANDS LÄN</t>
        </is>
      </c>
      <c r="E898" t="inlineStr">
        <is>
          <t>ÅNGE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37047-2025</t>
        </is>
      </c>
      <c r="B899" s="1" t="n">
        <v>45875.34489583333</v>
      </c>
      <c r="C899" s="1" t="n">
        <v>45984</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54059-2024</t>
        </is>
      </c>
      <c r="B900" s="1" t="n">
        <v>45616.46943287037</v>
      </c>
      <c r="C900" s="1" t="n">
        <v>45984</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37275-2025</t>
        </is>
      </c>
      <c r="B901" s="1" t="n">
        <v>45876.49003472222</v>
      </c>
      <c r="C901" s="1" t="n">
        <v>45984</v>
      </c>
      <c r="D901" t="inlineStr">
        <is>
          <t>VÄSTERNORRLANDS LÄN</t>
        </is>
      </c>
      <c r="E901" t="inlineStr">
        <is>
          <t>ÅNGE</t>
        </is>
      </c>
      <c r="G901" t="n">
        <v>3.5</v>
      </c>
      <c r="H901" t="n">
        <v>0</v>
      </c>
      <c r="I901" t="n">
        <v>0</v>
      </c>
      <c r="J901" t="n">
        <v>0</v>
      </c>
      <c r="K901" t="n">
        <v>0</v>
      </c>
      <c r="L901" t="n">
        <v>0</v>
      </c>
      <c r="M901" t="n">
        <v>0</v>
      </c>
      <c r="N901" t="n">
        <v>0</v>
      </c>
      <c r="O901" t="n">
        <v>0</v>
      </c>
      <c r="P901" t="n">
        <v>0</v>
      </c>
      <c r="Q901" t="n">
        <v>0</v>
      </c>
      <c r="R901" s="2" t="inlineStr"/>
    </row>
    <row r="902" ht="15" customHeight="1">
      <c r="A902" t="inlineStr">
        <is>
          <t>A 37303-2025</t>
        </is>
      </c>
      <c r="B902" s="1" t="n">
        <v>45876.59445601852</v>
      </c>
      <c r="C902" s="1" t="n">
        <v>45984</v>
      </c>
      <c r="D902" t="inlineStr">
        <is>
          <t>VÄSTERNORRLANDS LÄN</t>
        </is>
      </c>
      <c r="E902" t="inlineStr">
        <is>
          <t>ÅNGE</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37233-2025</t>
        </is>
      </c>
      <c r="B903" s="1" t="n">
        <v>45876.34474537037</v>
      </c>
      <c r="C903" s="1" t="n">
        <v>45984</v>
      </c>
      <c r="D903" t="inlineStr">
        <is>
          <t>VÄSTERNORRLANDS LÄN</t>
        </is>
      </c>
      <c r="E903" t="inlineStr">
        <is>
          <t>ÅNGE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37108-2025</t>
        </is>
      </c>
      <c r="B904" s="1" t="n">
        <v>45875</v>
      </c>
      <c r="C904" s="1" t="n">
        <v>45984</v>
      </c>
      <c r="D904" t="inlineStr">
        <is>
          <t>VÄSTERNORRLANDS LÄN</t>
        </is>
      </c>
      <c r="E904" t="inlineStr">
        <is>
          <t>ÅNGE</t>
        </is>
      </c>
      <c r="G904" t="n">
        <v>4</v>
      </c>
      <c r="H904" t="n">
        <v>0</v>
      </c>
      <c r="I904" t="n">
        <v>0</v>
      </c>
      <c r="J904" t="n">
        <v>0</v>
      </c>
      <c r="K904" t="n">
        <v>0</v>
      </c>
      <c r="L904" t="n">
        <v>0</v>
      </c>
      <c r="M904" t="n">
        <v>0</v>
      </c>
      <c r="N904" t="n">
        <v>0</v>
      </c>
      <c r="O904" t="n">
        <v>0</v>
      </c>
      <c r="P904" t="n">
        <v>0</v>
      </c>
      <c r="Q904" t="n">
        <v>0</v>
      </c>
      <c r="R904" s="2" t="inlineStr"/>
    </row>
    <row r="905" ht="15" customHeight="1">
      <c r="A905" t="inlineStr">
        <is>
          <t>A 44158-2024</t>
        </is>
      </c>
      <c r="B905" s="1" t="n">
        <v>45572</v>
      </c>
      <c r="C905" s="1" t="n">
        <v>45984</v>
      </c>
      <c r="D905" t="inlineStr">
        <is>
          <t>VÄSTERNORRLANDS LÄN</t>
        </is>
      </c>
      <c r="E905" t="inlineStr">
        <is>
          <t>ÅNGE</t>
        </is>
      </c>
      <c r="G905" t="n">
        <v>2.6</v>
      </c>
      <c r="H905" t="n">
        <v>0</v>
      </c>
      <c r="I905" t="n">
        <v>0</v>
      </c>
      <c r="J905" t="n">
        <v>0</v>
      </c>
      <c r="K905" t="n">
        <v>0</v>
      </c>
      <c r="L905" t="n">
        <v>0</v>
      </c>
      <c r="M905" t="n">
        <v>0</v>
      </c>
      <c r="N905" t="n">
        <v>0</v>
      </c>
      <c r="O905" t="n">
        <v>0</v>
      </c>
      <c r="P905" t="n">
        <v>0</v>
      </c>
      <c r="Q905" t="n">
        <v>0</v>
      </c>
      <c r="R905" s="2" t="inlineStr"/>
    </row>
    <row r="906" ht="15" customHeight="1">
      <c r="A906" t="inlineStr">
        <is>
          <t>A 37177-2025</t>
        </is>
      </c>
      <c r="B906" s="1" t="n">
        <v>45875.61539351852</v>
      </c>
      <c r="C906" s="1" t="n">
        <v>45984</v>
      </c>
      <c r="D906" t="inlineStr">
        <is>
          <t>VÄSTERNORRLANDS LÄN</t>
        </is>
      </c>
      <c r="E906" t="inlineStr">
        <is>
          <t>ÅNGE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2299-2025</t>
        </is>
      </c>
      <c r="B907" s="1" t="n">
        <v>45673.59516203704</v>
      </c>
      <c r="C907" s="1" t="n">
        <v>45984</v>
      </c>
      <c r="D907" t="inlineStr">
        <is>
          <t>VÄSTERNORRLANDS LÄN</t>
        </is>
      </c>
      <c r="E907" t="inlineStr">
        <is>
          <t>ÅNGE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37371-2025</t>
        </is>
      </c>
      <c r="B908" s="1" t="n">
        <v>45877.34472222222</v>
      </c>
      <c r="C908" s="1" t="n">
        <v>45984</v>
      </c>
      <c r="D908" t="inlineStr">
        <is>
          <t>VÄSTERNORRLANDS LÄN</t>
        </is>
      </c>
      <c r="E908" t="inlineStr">
        <is>
          <t>ÅNGE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44639-2023</t>
        </is>
      </c>
      <c r="B909" s="1" t="n">
        <v>45184</v>
      </c>
      <c r="C909" s="1" t="n">
        <v>45984</v>
      </c>
      <c r="D909" t="inlineStr">
        <is>
          <t>VÄSTERNORRLANDS LÄN</t>
        </is>
      </c>
      <c r="E909" t="inlineStr">
        <is>
          <t>ÅNGE</t>
        </is>
      </c>
      <c r="G909" t="n">
        <v>1.1</v>
      </c>
      <c r="H909" t="n">
        <v>0</v>
      </c>
      <c r="I909" t="n">
        <v>0</v>
      </c>
      <c r="J909" t="n">
        <v>0</v>
      </c>
      <c r="K909" t="n">
        <v>0</v>
      </c>
      <c r="L909" t="n">
        <v>0</v>
      </c>
      <c r="M909" t="n">
        <v>0</v>
      </c>
      <c r="N909" t="n">
        <v>0</v>
      </c>
      <c r="O909" t="n">
        <v>0</v>
      </c>
      <c r="P909" t="n">
        <v>0</v>
      </c>
      <c r="Q909" t="n">
        <v>0</v>
      </c>
      <c r="R909" s="2" t="inlineStr"/>
    </row>
    <row r="910" ht="15" customHeight="1">
      <c r="A910" t="inlineStr">
        <is>
          <t>A 17009-2023</t>
        </is>
      </c>
      <c r="B910" s="1" t="n">
        <v>45033.9455787037</v>
      </c>
      <c r="C910" s="1" t="n">
        <v>45984</v>
      </c>
      <c r="D910" t="inlineStr">
        <is>
          <t>VÄSTERNORRLANDS LÄN</t>
        </is>
      </c>
      <c r="E910" t="inlineStr">
        <is>
          <t>ÅNGE</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37384-2025</t>
        </is>
      </c>
      <c r="B911" s="1" t="n">
        <v>45877.3859837963</v>
      </c>
      <c r="C911" s="1" t="n">
        <v>45984</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37663-2025</t>
        </is>
      </c>
      <c r="B912" s="1" t="n">
        <v>45880.51079861111</v>
      </c>
      <c r="C912" s="1" t="n">
        <v>45984</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60578-2024</t>
        </is>
      </c>
      <c r="B913" s="1" t="n">
        <v>45644.34434027778</v>
      </c>
      <c r="C913" s="1" t="n">
        <v>45984</v>
      </c>
      <c r="D913" t="inlineStr">
        <is>
          <t>VÄSTERNORRLANDS LÄN</t>
        </is>
      </c>
      <c r="E913" t="inlineStr">
        <is>
          <t>ÅNGE</t>
        </is>
      </c>
      <c r="F913" t="inlineStr">
        <is>
          <t>SCA</t>
        </is>
      </c>
      <c r="G913" t="n">
        <v>5.8</v>
      </c>
      <c r="H913" t="n">
        <v>0</v>
      </c>
      <c r="I913" t="n">
        <v>0</v>
      </c>
      <c r="J913" t="n">
        <v>0</v>
      </c>
      <c r="K913" t="n">
        <v>0</v>
      </c>
      <c r="L913" t="n">
        <v>0</v>
      </c>
      <c r="M913" t="n">
        <v>0</v>
      </c>
      <c r="N913" t="n">
        <v>0</v>
      </c>
      <c r="O913" t="n">
        <v>0</v>
      </c>
      <c r="P913" t="n">
        <v>0</v>
      </c>
      <c r="Q913" t="n">
        <v>0</v>
      </c>
      <c r="R913" s="2" t="inlineStr"/>
    </row>
    <row r="914" ht="15" customHeight="1">
      <c r="A914" t="inlineStr">
        <is>
          <t>A 37723-2025</t>
        </is>
      </c>
      <c r="B914" s="1" t="n">
        <v>45880.61528935185</v>
      </c>
      <c r="C914" s="1" t="n">
        <v>45984</v>
      </c>
      <c r="D914" t="inlineStr">
        <is>
          <t>VÄSTERNORRLANDS LÄN</t>
        </is>
      </c>
      <c r="E914" t="inlineStr">
        <is>
          <t>ÅNGE</t>
        </is>
      </c>
      <c r="G914" t="n">
        <v>3</v>
      </c>
      <c r="H914" t="n">
        <v>0</v>
      </c>
      <c r="I914" t="n">
        <v>0</v>
      </c>
      <c r="J914" t="n">
        <v>0</v>
      </c>
      <c r="K914" t="n">
        <v>0</v>
      </c>
      <c r="L914" t="n">
        <v>0</v>
      </c>
      <c r="M914" t="n">
        <v>0</v>
      </c>
      <c r="N914" t="n">
        <v>0</v>
      </c>
      <c r="O914" t="n">
        <v>0</v>
      </c>
      <c r="P914" t="n">
        <v>0</v>
      </c>
      <c r="Q914" t="n">
        <v>0</v>
      </c>
      <c r="R914" s="2" t="inlineStr"/>
    </row>
    <row r="915" ht="15" customHeight="1">
      <c r="A915" t="inlineStr">
        <is>
          <t>A 37383-2025</t>
        </is>
      </c>
      <c r="B915" s="1" t="n">
        <v>45877.38581018519</v>
      </c>
      <c r="C915" s="1" t="n">
        <v>45984</v>
      </c>
      <c r="D915" t="inlineStr">
        <is>
          <t>VÄSTERNORRLANDS LÄN</t>
        </is>
      </c>
      <c r="E915" t="inlineStr">
        <is>
          <t>ÅNGE</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37719-2025</t>
        </is>
      </c>
      <c r="B916" s="1" t="n">
        <v>45880.61505787037</v>
      </c>
      <c r="C916" s="1" t="n">
        <v>45984</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24977-2021</t>
        </is>
      </c>
      <c r="B917" s="1" t="n">
        <v>44341.51386574074</v>
      </c>
      <c r="C917" s="1" t="n">
        <v>45984</v>
      </c>
      <c r="D917" t="inlineStr">
        <is>
          <t>VÄSTERNORRLANDS LÄN</t>
        </is>
      </c>
      <c r="E917" t="inlineStr">
        <is>
          <t>ÅNGE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25034-2023</t>
        </is>
      </c>
      <c r="B918" s="1" t="n">
        <v>45085</v>
      </c>
      <c r="C918" s="1" t="n">
        <v>45984</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56741-2025</t>
        </is>
      </c>
      <c r="B919" s="1" t="n">
        <v>45978.34726851852</v>
      </c>
      <c r="C919" s="1" t="n">
        <v>45984</v>
      </c>
      <c r="D919" t="inlineStr">
        <is>
          <t>VÄSTERNORRLANDS LÄN</t>
        </is>
      </c>
      <c r="E919" t="inlineStr">
        <is>
          <t>ÅNGE</t>
        </is>
      </c>
      <c r="G919" t="n">
        <v>11.4</v>
      </c>
      <c r="H919" t="n">
        <v>0</v>
      </c>
      <c r="I919" t="n">
        <v>0</v>
      </c>
      <c r="J919" t="n">
        <v>0</v>
      </c>
      <c r="K919" t="n">
        <v>0</v>
      </c>
      <c r="L919" t="n">
        <v>0</v>
      </c>
      <c r="M919" t="n">
        <v>0</v>
      </c>
      <c r="N919" t="n">
        <v>0</v>
      </c>
      <c r="O919" t="n">
        <v>0</v>
      </c>
      <c r="P919" t="n">
        <v>0</v>
      </c>
      <c r="Q919" t="n">
        <v>0</v>
      </c>
      <c r="R919" s="2" t="inlineStr"/>
    </row>
    <row r="920" ht="15" customHeight="1">
      <c r="A920" t="inlineStr">
        <is>
          <t>A 20110-2023</t>
        </is>
      </c>
      <c r="B920" s="1" t="n">
        <v>45051</v>
      </c>
      <c r="C920" s="1" t="n">
        <v>45984</v>
      </c>
      <c r="D920" t="inlineStr">
        <is>
          <t>VÄSTERNORRLANDS LÄN</t>
        </is>
      </c>
      <c r="E920" t="inlineStr">
        <is>
          <t>ÅNGE</t>
        </is>
      </c>
      <c r="G920" t="n">
        <v>2.5</v>
      </c>
      <c r="H920" t="n">
        <v>0</v>
      </c>
      <c r="I920" t="n">
        <v>0</v>
      </c>
      <c r="J920" t="n">
        <v>0</v>
      </c>
      <c r="K920" t="n">
        <v>0</v>
      </c>
      <c r="L920" t="n">
        <v>0</v>
      </c>
      <c r="M920" t="n">
        <v>0</v>
      </c>
      <c r="N920" t="n">
        <v>0</v>
      </c>
      <c r="O920" t="n">
        <v>0</v>
      </c>
      <c r="P920" t="n">
        <v>0</v>
      </c>
      <c r="Q920" t="n">
        <v>0</v>
      </c>
      <c r="R920" s="2" t="inlineStr"/>
    </row>
    <row r="921" ht="15" customHeight="1">
      <c r="A921" t="inlineStr">
        <is>
          <t>A 34726-2024</t>
        </is>
      </c>
      <c r="B921" s="1" t="n">
        <v>45526.5733912037</v>
      </c>
      <c r="C921" s="1" t="n">
        <v>45984</v>
      </c>
      <c r="D921" t="inlineStr">
        <is>
          <t>VÄSTERNORRLANDS LÄN</t>
        </is>
      </c>
      <c r="E921" t="inlineStr">
        <is>
          <t>ÅNGE</t>
        </is>
      </c>
      <c r="G921" t="n">
        <v>1.9</v>
      </c>
      <c r="H921" t="n">
        <v>0</v>
      </c>
      <c r="I921" t="n">
        <v>0</v>
      </c>
      <c r="J921" t="n">
        <v>0</v>
      </c>
      <c r="K921" t="n">
        <v>0</v>
      </c>
      <c r="L921" t="n">
        <v>0</v>
      </c>
      <c r="M921" t="n">
        <v>0</v>
      </c>
      <c r="N921" t="n">
        <v>0</v>
      </c>
      <c r="O921" t="n">
        <v>0</v>
      </c>
      <c r="P921" t="n">
        <v>0</v>
      </c>
      <c r="Q921" t="n">
        <v>0</v>
      </c>
      <c r="R921" s="2" t="inlineStr"/>
    </row>
    <row r="922" ht="15" customHeight="1">
      <c r="A922" t="inlineStr">
        <is>
          <t>A 54627-2025</t>
        </is>
      </c>
      <c r="B922" s="1" t="n">
        <v>45966.34565972222</v>
      </c>
      <c r="C922" s="1" t="n">
        <v>45984</v>
      </c>
      <c r="D922" t="inlineStr">
        <is>
          <t>VÄSTERNORRLANDS LÄN</t>
        </is>
      </c>
      <c r="E922" t="inlineStr">
        <is>
          <t>ÅNGE</t>
        </is>
      </c>
      <c r="F922" t="inlineStr">
        <is>
          <t>SCA</t>
        </is>
      </c>
      <c r="G922" t="n">
        <v>18.5</v>
      </c>
      <c r="H922" t="n">
        <v>0</v>
      </c>
      <c r="I922" t="n">
        <v>0</v>
      </c>
      <c r="J922" t="n">
        <v>0</v>
      </c>
      <c r="K922" t="n">
        <v>0</v>
      </c>
      <c r="L922" t="n">
        <v>0</v>
      </c>
      <c r="M922" t="n">
        <v>0</v>
      </c>
      <c r="N922" t="n">
        <v>0</v>
      </c>
      <c r="O922" t="n">
        <v>0</v>
      </c>
      <c r="P922" t="n">
        <v>0</v>
      </c>
      <c r="Q922" t="n">
        <v>0</v>
      </c>
      <c r="R922" s="2" t="inlineStr"/>
    </row>
    <row r="923" ht="15" customHeight="1">
      <c r="A923" t="inlineStr">
        <is>
          <t>A 48234-2025</t>
        </is>
      </c>
      <c r="B923" s="1" t="n">
        <v>45933.53211805555</v>
      </c>
      <c r="C923" s="1" t="n">
        <v>45984</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48235-2025</t>
        </is>
      </c>
      <c r="B924" s="1" t="n">
        <v>45933.5321412037</v>
      </c>
      <c r="C924" s="1" t="n">
        <v>45984</v>
      </c>
      <c r="D924" t="inlineStr">
        <is>
          <t>VÄSTERNORRLANDS LÄN</t>
        </is>
      </c>
      <c r="E924" t="inlineStr">
        <is>
          <t>ÅNGE</t>
        </is>
      </c>
      <c r="G924" t="n">
        <v>3.1</v>
      </c>
      <c r="H924" t="n">
        <v>0</v>
      </c>
      <c r="I924" t="n">
        <v>0</v>
      </c>
      <c r="J924" t="n">
        <v>0</v>
      </c>
      <c r="K924" t="n">
        <v>0</v>
      </c>
      <c r="L924" t="n">
        <v>0</v>
      </c>
      <c r="M924" t="n">
        <v>0</v>
      </c>
      <c r="N924" t="n">
        <v>0</v>
      </c>
      <c r="O924" t="n">
        <v>0</v>
      </c>
      <c r="P924" t="n">
        <v>0</v>
      </c>
      <c r="Q924" t="n">
        <v>0</v>
      </c>
      <c r="R924" s="2" t="inlineStr"/>
    </row>
    <row r="925" ht="15" customHeight="1">
      <c r="A925" t="inlineStr">
        <is>
          <t>A 22597-2021</t>
        </is>
      </c>
      <c r="B925" s="1" t="n">
        <v>44326</v>
      </c>
      <c r="C925" s="1" t="n">
        <v>45984</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10282-2025</t>
        </is>
      </c>
      <c r="B926" s="1" t="n">
        <v>45720.40659722222</v>
      </c>
      <c r="C926" s="1" t="n">
        <v>45984</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137-2025</t>
        </is>
      </c>
      <c r="B927" s="1" t="n">
        <v>45659.57684027778</v>
      </c>
      <c r="C927" s="1" t="n">
        <v>45984</v>
      </c>
      <c r="D927" t="inlineStr">
        <is>
          <t>VÄSTERNORRLANDS LÄN</t>
        </is>
      </c>
      <c r="E927" t="inlineStr">
        <is>
          <t>ÅNGE</t>
        </is>
      </c>
      <c r="G927" t="n">
        <v>0.2</v>
      </c>
      <c r="H927" t="n">
        <v>0</v>
      </c>
      <c r="I927" t="n">
        <v>0</v>
      </c>
      <c r="J927" t="n">
        <v>0</v>
      </c>
      <c r="K927" t="n">
        <v>0</v>
      </c>
      <c r="L927" t="n">
        <v>0</v>
      </c>
      <c r="M927" t="n">
        <v>0</v>
      </c>
      <c r="N927" t="n">
        <v>0</v>
      </c>
      <c r="O927" t="n">
        <v>0</v>
      </c>
      <c r="P927" t="n">
        <v>0</v>
      </c>
      <c r="Q927" t="n">
        <v>0</v>
      </c>
      <c r="R927" s="2" t="inlineStr"/>
    </row>
    <row r="928" ht="15" customHeight="1">
      <c r="A928" t="inlineStr">
        <is>
          <t>A 10071-2023</t>
        </is>
      </c>
      <c r="B928" s="1" t="n">
        <v>44985.92418981482</v>
      </c>
      <c r="C928" s="1" t="n">
        <v>45984</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38078-2025</t>
        </is>
      </c>
      <c r="B929" s="1" t="n">
        <v>45882.46918981482</v>
      </c>
      <c r="C929" s="1" t="n">
        <v>45984</v>
      </c>
      <c r="D929" t="inlineStr">
        <is>
          <t>VÄSTERNORRLANDS LÄN</t>
        </is>
      </c>
      <c r="E929" t="inlineStr">
        <is>
          <t>ÅNGE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37919-2025</t>
        </is>
      </c>
      <c r="B930" s="1" t="n">
        <v>45881.57478009259</v>
      </c>
      <c r="C930" s="1" t="n">
        <v>45984</v>
      </c>
      <c r="D930" t="inlineStr">
        <is>
          <t>VÄSTERNORRLANDS LÄN</t>
        </is>
      </c>
      <c r="E930" t="inlineStr">
        <is>
          <t>ÅNGE</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37802-2025</t>
        </is>
      </c>
      <c r="B931" s="1" t="n">
        <v>45881.34447916667</v>
      </c>
      <c r="C931" s="1" t="n">
        <v>45984</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56419-2025</t>
        </is>
      </c>
      <c r="B932" s="1" t="n">
        <v>45975.34445601852</v>
      </c>
      <c r="C932" s="1" t="n">
        <v>45984</v>
      </c>
      <c r="D932" t="inlineStr">
        <is>
          <t>VÄSTERNORRLANDS LÄN</t>
        </is>
      </c>
      <c r="E932" t="inlineStr">
        <is>
          <t>ÅNGE</t>
        </is>
      </c>
      <c r="F932" t="inlineStr">
        <is>
          <t>SCA</t>
        </is>
      </c>
      <c r="G932" t="n">
        <v>21.4</v>
      </c>
      <c r="H932" t="n">
        <v>0</v>
      </c>
      <c r="I932" t="n">
        <v>0</v>
      </c>
      <c r="J932" t="n">
        <v>0</v>
      </c>
      <c r="K932" t="n">
        <v>0</v>
      </c>
      <c r="L932" t="n">
        <v>0</v>
      </c>
      <c r="M932" t="n">
        <v>0</v>
      </c>
      <c r="N932" t="n">
        <v>0</v>
      </c>
      <c r="O932" t="n">
        <v>0</v>
      </c>
      <c r="P932" t="n">
        <v>0</v>
      </c>
      <c r="Q932" t="n">
        <v>0</v>
      </c>
      <c r="R932" s="2" t="inlineStr"/>
    </row>
    <row r="933" ht="15" customHeight="1">
      <c r="A933" t="inlineStr">
        <is>
          <t>A 56423-2025</t>
        </is>
      </c>
      <c r="B933" s="1" t="n">
        <v>45975.34528935186</v>
      </c>
      <c r="C933" s="1" t="n">
        <v>45984</v>
      </c>
      <c r="D933" t="inlineStr">
        <is>
          <t>VÄSTERNORRLANDS LÄN</t>
        </is>
      </c>
      <c r="E933" t="inlineStr">
        <is>
          <t>ÅNGE</t>
        </is>
      </c>
      <c r="F933" t="inlineStr">
        <is>
          <t>SCA</t>
        </is>
      </c>
      <c r="G933" t="n">
        <v>1.5</v>
      </c>
      <c r="H933" t="n">
        <v>0</v>
      </c>
      <c r="I933" t="n">
        <v>0</v>
      </c>
      <c r="J933" t="n">
        <v>0</v>
      </c>
      <c r="K933" t="n">
        <v>0</v>
      </c>
      <c r="L933" t="n">
        <v>0</v>
      </c>
      <c r="M933" t="n">
        <v>0</v>
      </c>
      <c r="N933" t="n">
        <v>0</v>
      </c>
      <c r="O933" t="n">
        <v>0</v>
      </c>
      <c r="P933" t="n">
        <v>0</v>
      </c>
      <c r="Q933" t="n">
        <v>0</v>
      </c>
      <c r="R933" s="2" t="inlineStr"/>
      <c r="U933">
        <f>HYPERLINK("https://klasma.github.io/Logging_2260/knärot/A 56423-2025 karta knärot.png", "A 56423-2025")</f>
        <v/>
      </c>
      <c r="V933">
        <f>HYPERLINK("https://klasma.github.io/Logging_2260/klagomål/A 56423-2025 FSC-klagomål.docx", "A 56423-2025")</f>
        <v/>
      </c>
      <c r="W933">
        <f>HYPERLINK("https://klasma.github.io/Logging_2260/klagomålsmail/A 56423-2025 FSC-klagomål mail.docx", "A 56423-2025")</f>
        <v/>
      </c>
      <c r="X933">
        <f>HYPERLINK("https://klasma.github.io/Logging_2260/tillsyn/A 56423-2025 tillsynsbegäran.docx", "A 56423-2025")</f>
        <v/>
      </c>
      <c r="Y933">
        <f>HYPERLINK("https://klasma.github.io/Logging_2260/tillsynsmail/A 56423-2025 tillsynsbegäran mail.docx", "A 56423-2025")</f>
        <v/>
      </c>
    </row>
    <row r="934" ht="15" customHeight="1">
      <c r="A934" t="inlineStr">
        <is>
          <t>A 48679-2025</t>
        </is>
      </c>
      <c r="B934" s="1" t="n">
        <v>45936.59196759259</v>
      </c>
      <c r="C934" s="1" t="n">
        <v>45984</v>
      </c>
      <c r="D934" t="inlineStr">
        <is>
          <t>VÄSTERNORRLANDS LÄN</t>
        </is>
      </c>
      <c r="E934" t="inlineStr">
        <is>
          <t>ÅNGE</t>
        </is>
      </c>
      <c r="G934" t="n">
        <v>2.1</v>
      </c>
      <c r="H934" t="n">
        <v>0</v>
      </c>
      <c r="I934" t="n">
        <v>0</v>
      </c>
      <c r="J934" t="n">
        <v>0</v>
      </c>
      <c r="K934" t="n">
        <v>0</v>
      </c>
      <c r="L934" t="n">
        <v>0</v>
      </c>
      <c r="M934" t="n">
        <v>0</v>
      </c>
      <c r="N934" t="n">
        <v>0</v>
      </c>
      <c r="O934" t="n">
        <v>0</v>
      </c>
      <c r="P934" t="n">
        <v>0</v>
      </c>
      <c r="Q934" t="n">
        <v>0</v>
      </c>
      <c r="R934" s="2" t="inlineStr"/>
    </row>
    <row r="935" ht="15" customHeight="1">
      <c r="A935" t="inlineStr">
        <is>
          <t>A 16362-2023</t>
        </is>
      </c>
      <c r="B935" s="1" t="n">
        <v>45028.9250462963</v>
      </c>
      <c r="C935" s="1" t="n">
        <v>45984</v>
      </c>
      <c r="D935" t="inlineStr">
        <is>
          <t>VÄSTERNORRLANDS LÄN</t>
        </is>
      </c>
      <c r="E935" t="inlineStr">
        <is>
          <t>ÅNGE</t>
        </is>
      </c>
      <c r="G935" t="n">
        <v>4.8</v>
      </c>
      <c r="H935" t="n">
        <v>0</v>
      </c>
      <c r="I935" t="n">
        <v>0</v>
      </c>
      <c r="J935" t="n">
        <v>0</v>
      </c>
      <c r="K935" t="n">
        <v>0</v>
      </c>
      <c r="L935" t="n">
        <v>0</v>
      </c>
      <c r="M935" t="n">
        <v>0</v>
      </c>
      <c r="N935" t="n">
        <v>0</v>
      </c>
      <c r="O935" t="n">
        <v>0</v>
      </c>
      <c r="P935" t="n">
        <v>0</v>
      </c>
      <c r="Q935" t="n">
        <v>0</v>
      </c>
      <c r="R935" s="2" t="inlineStr"/>
    </row>
    <row r="936" ht="15" customHeight="1">
      <c r="A936" t="inlineStr">
        <is>
          <t>A 56666-2025</t>
        </is>
      </c>
      <c r="B936" s="1" t="n">
        <v>45975.67747685185</v>
      </c>
      <c r="C936" s="1" t="n">
        <v>45984</v>
      </c>
      <c r="D936" t="inlineStr">
        <is>
          <t>VÄSTERNORRLANDS LÄN</t>
        </is>
      </c>
      <c r="E936" t="inlineStr">
        <is>
          <t>ÅNGE</t>
        </is>
      </c>
      <c r="G936" t="n">
        <v>5.2</v>
      </c>
      <c r="H936" t="n">
        <v>0</v>
      </c>
      <c r="I936" t="n">
        <v>0</v>
      </c>
      <c r="J936" t="n">
        <v>0</v>
      </c>
      <c r="K936" t="n">
        <v>0</v>
      </c>
      <c r="L936" t="n">
        <v>0</v>
      </c>
      <c r="M936" t="n">
        <v>0</v>
      </c>
      <c r="N936" t="n">
        <v>0</v>
      </c>
      <c r="O936" t="n">
        <v>0</v>
      </c>
      <c r="P936" t="n">
        <v>0</v>
      </c>
      <c r="Q936" t="n">
        <v>0</v>
      </c>
      <c r="R936" s="2" t="inlineStr"/>
    </row>
    <row r="937" ht="15" customHeight="1">
      <c r="A937" t="inlineStr">
        <is>
          <t>A 28779-2023</t>
        </is>
      </c>
      <c r="B937" s="1" t="n">
        <v>45104.34314814815</v>
      </c>
      <c r="C937" s="1" t="n">
        <v>45984</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63607-2021</t>
        </is>
      </c>
      <c r="B938" s="1" t="n">
        <v>44508.94650462963</v>
      </c>
      <c r="C938" s="1" t="n">
        <v>45984</v>
      </c>
      <c r="D938" t="inlineStr">
        <is>
          <t>VÄSTERNORRLANDS LÄN</t>
        </is>
      </c>
      <c r="E938" t="inlineStr">
        <is>
          <t>ÅNGE</t>
        </is>
      </c>
      <c r="F938" t="inlineStr">
        <is>
          <t>SCA</t>
        </is>
      </c>
      <c r="G938" t="n">
        <v>6.7</v>
      </c>
      <c r="H938" t="n">
        <v>0</v>
      </c>
      <c r="I938" t="n">
        <v>0</v>
      </c>
      <c r="J938" t="n">
        <v>0</v>
      </c>
      <c r="K938" t="n">
        <v>0</v>
      </c>
      <c r="L938" t="n">
        <v>0</v>
      </c>
      <c r="M938" t="n">
        <v>0</v>
      </c>
      <c r="N938" t="n">
        <v>0</v>
      </c>
      <c r="O938" t="n">
        <v>0</v>
      </c>
      <c r="P938" t="n">
        <v>0</v>
      </c>
      <c r="Q938" t="n">
        <v>0</v>
      </c>
      <c r="R938" s="2" t="inlineStr"/>
    </row>
    <row r="939" ht="15" customHeight="1">
      <c r="A939" t="inlineStr">
        <is>
          <t>A 30235-2024</t>
        </is>
      </c>
      <c r="B939" s="1" t="n">
        <v>45490.49040509259</v>
      </c>
      <c r="C939" s="1" t="n">
        <v>45984</v>
      </c>
      <c r="D939" t="inlineStr">
        <is>
          <t>VÄSTERNORRLANDS LÄN</t>
        </is>
      </c>
      <c r="E939" t="inlineStr">
        <is>
          <t>ÅNGE</t>
        </is>
      </c>
      <c r="G939" t="n">
        <v>3.7</v>
      </c>
      <c r="H939" t="n">
        <v>0</v>
      </c>
      <c r="I939" t="n">
        <v>0</v>
      </c>
      <c r="J939" t="n">
        <v>0</v>
      </c>
      <c r="K939" t="n">
        <v>0</v>
      </c>
      <c r="L939" t="n">
        <v>0</v>
      </c>
      <c r="M939" t="n">
        <v>0</v>
      </c>
      <c r="N939" t="n">
        <v>0</v>
      </c>
      <c r="O939" t="n">
        <v>0</v>
      </c>
      <c r="P939" t="n">
        <v>0</v>
      </c>
      <c r="Q939" t="n">
        <v>0</v>
      </c>
      <c r="R939" s="2" t="inlineStr"/>
    </row>
    <row r="940" ht="15" customHeight="1">
      <c r="A940" t="inlineStr">
        <is>
          <t>A 38686-2025</t>
        </is>
      </c>
      <c r="B940" s="1" t="n">
        <v>45884.65658564815</v>
      </c>
      <c r="C940" s="1" t="n">
        <v>45984</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41370-2023</t>
        </is>
      </c>
      <c r="B941" s="1" t="n">
        <v>45174.85951388889</v>
      </c>
      <c r="C941" s="1" t="n">
        <v>45984</v>
      </c>
      <c r="D941" t="inlineStr">
        <is>
          <t>VÄSTERNORRLANDS LÄN</t>
        </is>
      </c>
      <c r="E941" t="inlineStr">
        <is>
          <t>ÅNGE</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14927-2025</t>
        </is>
      </c>
      <c r="B942" s="1" t="n">
        <v>45743</v>
      </c>
      <c r="C942" s="1" t="n">
        <v>45984</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44812.55149305556</v>
      </c>
      <c r="C943" s="1" t="n">
        <v>45984</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38693-2025</t>
        </is>
      </c>
      <c r="B944" s="1" t="n">
        <v>45884.69829861111</v>
      </c>
      <c r="C944" s="1" t="n">
        <v>45984</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18112-2025</t>
        </is>
      </c>
      <c r="B945" s="1" t="n">
        <v>45761.57350694444</v>
      </c>
      <c r="C945" s="1" t="n">
        <v>45984</v>
      </c>
      <c r="D945" t="inlineStr">
        <is>
          <t>VÄSTERNORRLANDS LÄN</t>
        </is>
      </c>
      <c r="E945" t="inlineStr">
        <is>
          <t>ÅNGE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30353-2024</t>
        </is>
      </c>
      <c r="B946" s="1" t="n">
        <v>45490.95567129629</v>
      </c>
      <c r="C946" s="1" t="n">
        <v>45984</v>
      </c>
      <c r="D946" t="inlineStr">
        <is>
          <t>VÄSTERNORRLANDS LÄN</t>
        </is>
      </c>
      <c r="E946" t="inlineStr">
        <is>
          <t>ÅNGE</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57457-2025</t>
        </is>
      </c>
      <c r="B947" s="1" t="n">
        <v>45980.53001157408</v>
      </c>
      <c r="C947" s="1" t="n">
        <v>45984</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38386-2025</t>
        </is>
      </c>
      <c r="B948" s="1" t="n">
        <v>45883.57430555556</v>
      </c>
      <c r="C948" s="1" t="n">
        <v>45984</v>
      </c>
      <c r="D948" t="inlineStr">
        <is>
          <t>VÄSTERNORRLANDS LÄN</t>
        </is>
      </c>
      <c r="E948" t="inlineStr">
        <is>
          <t>ÅNGE</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38273-2025</t>
        </is>
      </c>
      <c r="B949" s="1" t="n">
        <v>45883.40740740741</v>
      </c>
      <c r="C949" s="1" t="n">
        <v>45984</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49377-2025</t>
        </is>
      </c>
      <c r="B950" s="1" t="n">
        <v>45938.63626157407</v>
      </c>
      <c r="C950" s="1" t="n">
        <v>45984</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49156-2025</t>
        </is>
      </c>
      <c r="B951" s="1" t="n">
        <v>45938.3458912037</v>
      </c>
      <c r="C951" s="1" t="n">
        <v>45984</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49179-2025</t>
        </is>
      </c>
      <c r="B952" s="1" t="n">
        <v>45938.38579861111</v>
      </c>
      <c r="C952" s="1" t="n">
        <v>45984</v>
      </c>
      <c r="D952" t="inlineStr">
        <is>
          <t>VÄSTERNORRLANDS LÄN</t>
        </is>
      </c>
      <c r="E952" t="inlineStr">
        <is>
          <t>ÅNGE</t>
        </is>
      </c>
      <c r="G952" t="n">
        <v>2.3</v>
      </c>
      <c r="H952" t="n">
        <v>0</v>
      </c>
      <c r="I952" t="n">
        <v>0</v>
      </c>
      <c r="J952" t="n">
        <v>0</v>
      </c>
      <c r="K952" t="n">
        <v>0</v>
      </c>
      <c r="L952" t="n">
        <v>0</v>
      </c>
      <c r="M952" t="n">
        <v>0</v>
      </c>
      <c r="N952" t="n">
        <v>0</v>
      </c>
      <c r="O952" t="n">
        <v>0</v>
      </c>
      <c r="P952" t="n">
        <v>0</v>
      </c>
      <c r="Q952" t="n">
        <v>0</v>
      </c>
      <c r="R952" s="2" t="inlineStr"/>
    </row>
    <row r="953" ht="15" customHeight="1">
      <c r="A953" t="inlineStr">
        <is>
          <t>A 16606-2023</t>
        </is>
      </c>
      <c r="B953" s="1" t="n">
        <v>45030.3990625</v>
      </c>
      <c r="C953" s="1" t="n">
        <v>45984</v>
      </c>
      <c r="D953" t="inlineStr">
        <is>
          <t>VÄSTERNORRLANDS LÄN</t>
        </is>
      </c>
      <c r="E953" t="inlineStr">
        <is>
          <t>ÅNGE</t>
        </is>
      </c>
      <c r="G953" t="n">
        <v>0.9</v>
      </c>
      <c r="H953" t="n">
        <v>0</v>
      </c>
      <c r="I953" t="n">
        <v>0</v>
      </c>
      <c r="J953" t="n">
        <v>0</v>
      </c>
      <c r="K953" t="n">
        <v>0</v>
      </c>
      <c r="L953" t="n">
        <v>0</v>
      </c>
      <c r="M953" t="n">
        <v>0</v>
      </c>
      <c r="N953" t="n">
        <v>0</v>
      </c>
      <c r="O953" t="n">
        <v>0</v>
      </c>
      <c r="P953" t="n">
        <v>0</v>
      </c>
      <c r="Q953" t="n">
        <v>0</v>
      </c>
      <c r="R953" s="2" t="inlineStr"/>
    </row>
    <row r="954" ht="15" customHeight="1">
      <c r="A954" t="inlineStr">
        <is>
          <t>A 49381-2025</t>
        </is>
      </c>
      <c r="B954" s="1" t="n">
        <v>45938.63694444444</v>
      </c>
      <c r="C954" s="1" t="n">
        <v>45984</v>
      </c>
      <c r="D954" t="inlineStr">
        <is>
          <t>VÄSTERNORRLANDS LÄN</t>
        </is>
      </c>
      <c r="E954" t="inlineStr">
        <is>
          <t>ÅNGE</t>
        </is>
      </c>
      <c r="F954" t="inlineStr">
        <is>
          <t>SCA</t>
        </is>
      </c>
      <c r="G954" t="n">
        <v>20.6</v>
      </c>
      <c r="H954" t="n">
        <v>0</v>
      </c>
      <c r="I954" t="n">
        <v>0</v>
      </c>
      <c r="J954" t="n">
        <v>0</v>
      </c>
      <c r="K954" t="n">
        <v>0</v>
      </c>
      <c r="L954" t="n">
        <v>0</v>
      </c>
      <c r="M954" t="n">
        <v>0</v>
      </c>
      <c r="N954" t="n">
        <v>0</v>
      </c>
      <c r="O954" t="n">
        <v>0</v>
      </c>
      <c r="P954" t="n">
        <v>0</v>
      </c>
      <c r="Q954" t="n">
        <v>0</v>
      </c>
      <c r="R954" s="2" t="inlineStr"/>
    </row>
    <row r="955" ht="15" customHeight="1">
      <c r="A955" t="inlineStr">
        <is>
          <t>A 25047-2023</t>
        </is>
      </c>
      <c r="B955" s="1" t="n">
        <v>45085.94569444445</v>
      </c>
      <c r="C955" s="1" t="n">
        <v>45984</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38283-2025</t>
        </is>
      </c>
      <c r="B956" s="1" t="n">
        <v>45883.42740740741</v>
      </c>
      <c r="C956" s="1" t="n">
        <v>45984</v>
      </c>
      <c r="D956" t="inlineStr">
        <is>
          <t>VÄSTERNORRLANDS LÄN</t>
        </is>
      </c>
      <c r="E956" t="inlineStr">
        <is>
          <t>ÅNGE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57081-2025</t>
        </is>
      </c>
      <c r="B957" s="1" t="n">
        <v>45979.40826388889</v>
      </c>
      <c r="C957" s="1" t="n">
        <v>45984</v>
      </c>
      <c r="D957" t="inlineStr">
        <is>
          <t>VÄSTERNORRLANDS LÄN</t>
        </is>
      </c>
      <c r="E957" t="inlineStr">
        <is>
          <t>ÅNGE</t>
        </is>
      </c>
      <c r="G957" t="n">
        <v>2.2</v>
      </c>
      <c r="H957" t="n">
        <v>0</v>
      </c>
      <c r="I957" t="n">
        <v>0</v>
      </c>
      <c r="J957" t="n">
        <v>0</v>
      </c>
      <c r="K957" t="n">
        <v>0</v>
      </c>
      <c r="L957" t="n">
        <v>0</v>
      </c>
      <c r="M957" t="n">
        <v>0</v>
      </c>
      <c r="N957" t="n">
        <v>0</v>
      </c>
      <c r="O957" t="n">
        <v>0</v>
      </c>
      <c r="P957" t="n">
        <v>0</v>
      </c>
      <c r="Q957" t="n">
        <v>0</v>
      </c>
      <c r="R957" s="2" t="inlineStr"/>
    </row>
    <row r="958" ht="15" customHeight="1">
      <c r="A958" t="inlineStr">
        <is>
          <t>A 15791-2025</t>
        </is>
      </c>
      <c r="B958" s="1" t="n">
        <v>45748.631875</v>
      </c>
      <c r="C958" s="1" t="n">
        <v>45984</v>
      </c>
      <c r="D958" t="inlineStr">
        <is>
          <t>VÄSTERNORRLANDS LÄN</t>
        </is>
      </c>
      <c r="E958" t="inlineStr">
        <is>
          <t>ÅNGE</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57371-2025</t>
        </is>
      </c>
      <c r="B959" s="1" t="n">
        <v>45980.38586805556</v>
      </c>
      <c r="C959" s="1" t="n">
        <v>45984</v>
      </c>
      <c r="D959" t="inlineStr">
        <is>
          <t>VÄSTERNORRLANDS LÄN</t>
        </is>
      </c>
      <c r="E959" t="inlineStr">
        <is>
          <t>ÅNGE</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57283-2025</t>
        </is>
      </c>
      <c r="B960" s="1" t="n">
        <v>45979.71918981482</v>
      </c>
      <c r="C960" s="1" t="n">
        <v>45984</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57302-2025</t>
        </is>
      </c>
      <c r="B961" s="1" t="n">
        <v>45979.87184027778</v>
      </c>
      <c r="C961" s="1" t="n">
        <v>45984</v>
      </c>
      <c r="D961" t="inlineStr">
        <is>
          <t>VÄSTERNORRLANDS LÄN</t>
        </is>
      </c>
      <c r="E961" t="inlineStr">
        <is>
          <t>ÅNGE</t>
        </is>
      </c>
      <c r="G961" t="n">
        <v>2.3</v>
      </c>
      <c r="H961" t="n">
        <v>0</v>
      </c>
      <c r="I961" t="n">
        <v>0</v>
      </c>
      <c r="J961" t="n">
        <v>0</v>
      </c>
      <c r="K961" t="n">
        <v>0</v>
      </c>
      <c r="L961" t="n">
        <v>0</v>
      </c>
      <c r="M961" t="n">
        <v>0</v>
      </c>
      <c r="N961" t="n">
        <v>0</v>
      </c>
      <c r="O961" t="n">
        <v>0</v>
      </c>
      <c r="P961" t="n">
        <v>0</v>
      </c>
      <c r="Q961" t="n">
        <v>0</v>
      </c>
      <c r="R961" s="2" t="inlineStr"/>
    </row>
    <row r="962" ht="15" customHeight="1">
      <c r="A962" t="inlineStr">
        <is>
          <t>A 55007-2022</t>
        </is>
      </c>
      <c r="B962" s="1" t="n">
        <v>44881</v>
      </c>
      <c r="C962" s="1" t="n">
        <v>45984</v>
      </c>
      <c r="D962" t="inlineStr">
        <is>
          <t>VÄSTERNORRLANDS LÄN</t>
        </is>
      </c>
      <c r="E962" t="inlineStr">
        <is>
          <t>ÅNGE</t>
        </is>
      </c>
      <c r="G962" t="n">
        <v>2</v>
      </c>
      <c r="H962" t="n">
        <v>0</v>
      </c>
      <c r="I962" t="n">
        <v>0</v>
      </c>
      <c r="J962" t="n">
        <v>0</v>
      </c>
      <c r="K962" t="n">
        <v>0</v>
      </c>
      <c r="L962" t="n">
        <v>0</v>
      </c>
      <c r="M962" t="n">
        <v>0</v>
      </c>
      <c r="N962" t="n">
        <v>0</v>
      </c>
      <c r="O962" t="n">
        <v>0</v>
      </c>
      <c r="P962" t="n">
        <v>0</v>
      </c>
      <c r="Q962" t="n">
        <v>0</v>
      </c>
      <c r="R962" s="2" t="inlineStr"/>
    </row>
    <row r="963" ht="15" customHeight="1">
      <c r="A963" t="inlineStr">
        <is>
          <t>A 16281-2023</t>
        </is>
      </c>
      <c r="B963" s="1" t="n">
        <v>45028</v>
      </c>
      <c r="C963" s="1" t="n">
        <v>45984</v>
      </c>
      <c r="D963" t="inlineStr">
        <is>
          <t>VÄSTERNORRLANDS LÄN</t>
        </is>
      </c>
      <c r="E963" t="inlineStr">
        <is>
          <t>ÅNGE</t>
        </is>
      </c>
      <c r="G963" t="n">
        <v>1.6</v>
      </c>
      <c r="H963" t="n">
        <v>0</v>
      </c>
      <c r="I963" t="n">
        <v>0</v>
      </c>
      <c r="J963" t="n">
        <v>0</v>
      </c>
      <c r="K963" t="n">
        <v>0</v>
      </c>
      <c r="L963" t="n">
        <v>0</v>
      </c>
      <c r="M963" t="n">
        <v>0</v>
      </c>
      <c r="N963" t="n">
        <v>0</v>
      </c>
      <c r="O963" t="n">
        <v>0</v>
      </c>
      <c r="P963" t="n">
        <v>0</v>
      </c>
      <c r="Q963" t="n">
        <v>0</v>
      </c>
      <c r="R963" s="2" t="inlineStr"/>
    </row>
    <row r="964" ht="15" customHeight="1">
      <c r="A964" t="inlineStr">
        <is>
          <t>A 45459-2022</t>
        </is>
      </c>
      <c r="B964" s="1" t="n">
        <v>44845</v>
      </c>
      <c r="C964" s="1" t="n">
        <v>45984</v>
      </c>
      <c r="D964" t="inlineStr">
        <is>
          <t>VÄSTERNORRLANDS LÄN</t>
        </is>
      </c>
      <c r="E964" t="inlineStr">
        <is>
          <t>ÅNGE</t>
        </is>
      </c>
      <c r="G964" t="n">
        <v>0.9</v>
      </c>
      <c r="H964" t="n">
        <v>0</v>
      </c>
      <c r="I964" t="n">
        <v>0</v>
      </c>
      <c r="J964" t="n">
        <v>0</v>
      </c>
      <c r="K964" t="n">
        <v>0</v>
      </c>
      <c r="L964" t="n">
        <v>0</v>
      </c>
      <c r="M964" t="n">
        <v>0</v>
      </c>
      <c r="N964" t="n">
        <v>0</v>
      </c>
      <c r="O964" t="n">
        <v>0</v>
      </c>
      <c r="P964" t="n">
        <v>0</v>
      </c>
      <c r="Q964" t="n">
        <v>0</v>
      </c>
      <c r="R964" s="2" t="inlineStr"/>
    </row>
    <row r="965" ht="15" customHeight="1">
      <c r="A965" t="inlineStr">
        <is>
          <t>A 2984-2025</t>
        </is>
      </c>
      <c r="B965" s="1" t="n">
        <v>45678.51094907407</v>
      </c>
      <c r="C965" s="1" t="n">
        <v>45984</v>
      </c>
      <c r="D965" t="inlineStr">
        <is>
          <t>VÄSTERNORRLANDS LÄN</t>
        </is>
      </c>
      <c r="E965" t="inlineStr">
        <is>
          <t>ÅNGE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57022-2025</t>
        </is>
      </c>
      <c r="B966" s="1" t="n">
        <v>45978.88921296296</v>
      </c>
      <c r="C966" s="1" t="n">
        <v>45984</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10017-2025</t>
        </is>
      </c>
      <c r="B967" s="1" t="n">
        <v>45719.46957175926</v>
      </c>
      <c r="C967" s="1" t="n">
        <v>45984</v>
      </c>
      <c r="D967" t="inlineStr">
        <is>
          <t>VÄSTERNORRLANDS LÄN</t>
        </is>
      </c>
      <c r="E967" t="inlineStr">
        <is>
          <t>ÅNGE</t>
        </is>
      </c>
      <c r="F967" t="inlineStr">
        <is>
          <t>SCA</t>
        </is>
      </c>
      <c r="G967" t="n">
        <v>9.9</v>
      </c>
      <c r="H967" t="n">
        <v>0</v>
      </c>
      <c r="I967" t="n">
        <v>0</v>
      </c>
      <c r="J967" t="n">
        <v>0</v>
      </c>
      <c r="K967" t="n">
        <v>0</v>
      </c>
      <c r="L967" t="n">
        <v>0</v>
      </c>
      <c r="M967" t="n">
        <v>0</v>
      </c>
      <c r="N967" t="n">
        <v>0</v>
      </c>
      <c r="O967" t="n">
        <v>0</v>
      </c>
      <c r="P967" t="n">
        <v>0</v>
      </c>
      <c r="Q967" t="n">
        <v>0</v>
      </c>
      <c r="R967" s="2" t="inlineStr"/>
    </row>
    <row r="968" ht="15" customHeight="1">
      <c r="A968" t="inlineStr">
        <is>
          <t>A 29270-2024</t>
        </is>
      </c>
      <c r="B968" s="1" t="n">
        <v>45482.94979166667</v>
      </c>
      <c r="C968" s="1" t="n">
        <v>45984</v>
      </c>
      <c r="D968" t="inlineStr">
        <is>
          <t>VÄSTERNORRLANDS LÄN</t>
        </is>
      </c>
      <c r="E968" t="inlineStr">
        <is>
          <t>ÅNGE</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29696-2024</t>
        </is>
      </c>
      <c r="B969" s="1" t="n">
        <v>45484.94524305555</v>
      </c>
      <c r="C969" s="1" t="n">
        <v>45984</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33062-2022</t>
        </is>
      </c>
      <c r="B970" s="1" t="n">
        <v>44785</v>
      </c>
      <c r="C970" s="1" t="n">
        <v>45984</v>
      </c>
      <c r="D970" t="inlineStr">
        <is>
          <t>VÄSTERNORRLANDS LÄN</t>
        </is>
      </c>
      <c r="E970" t="inlineStr">
        <is>
          <t>ÅNGE</t>
        </is>
      </c>
      <c r="G970" t="n">
        <v>0.5</v>
      </c>
      <c r="H970" t="n">
        <v>0</v>
      </c>
      <c r="I970" t="n">
        <v>0</v>
      </c>
      <c r="J970" t="n">
        <v>0</v>
      </c>
      <c r="K970" t="n">
        <v>0</v>
      </c>
      <c r="L970" t="n">
        <v>0</v>
      </c>
      <c r="M970" t="n">
        <v>0</v>
      </c>
      <c r="N970" t="n">
        <v>0</v>
      </c>
      <c r="O970" t="n">
        <v>0</v>
      </c>
      <c r="P970" t="n">
        <v>0</v>
      </c>
      <c r="Q970" t="n">
        <v>0</v>
      </c>
      <c r="R970" s="2" t="inlineStr"/>
    </row>
    <row r="971" ht="15" customHeight="1">
      <c r="A971" t="inlineStr">
        <is>
          <t>A 27002-2023</t>
        </is>
      </c>
      <c r="B971" s="1" t="n">
        <v>45093</v>
      </c>
      <c r="C971" s="1" t="n">
        <v>45984</v>
      </c>
      <c r="D971" t="inlineStr">
        <is>
          <t>VÄSTERNORRLANDS LÄN</t>
        </is>
      </c>
      <c r="E971" t="inlineStr">
        <is>
          <t>ÅNGE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57950-2025</t>
        </is>
      </c>
      <c r="B972" s="1" t="n">
        <v>45982.34473379629</v>
      </c>
      <c r="C972" s="1" t="n">
        <v>45984</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57960-2025</t>
        </is>
      </c>
      <c r="B973" s="1" t="n">
        <v>45982.36494212963</v>
      </c>
      <c r="C973" s="1" t="n">
        <v>45984</v>
      </c>
      <c r="D973" t="inlineStr">
        <is>
          <t>VÄSTERNORRLANDS LÄN</t>
        </is>
      </c>
      <c r="E973" t="inlineStr">
        <is>
          <t>ÅNGE</t>
        </is>
      </c>
      <c r="F973" t="inlineStr">
        <is>
          <t>SCA</t>
        </is>
      </c>
      <c r="G973" t="n">
        <v>0.2</v>
      </c>
      <c r="H973" t="n">
        <v>0</v>
      </c>
      <c r="I973" t="n">
        <v>0</v>
      </c>
      <c r="J973" t="n">
        <v>0</v>
      </c>
      <c r="K973" t="n">
        <v>0</v>
      </c>
      <c r="L973" t="n">
        <v>0</v>
      </c>
      <c r="M973" t="n">
        <v>0</v>
      </c>
      <c r="N973" t="n">
        <v>0</v>
      </c>
      <c r="O973" t="n">
        <v>0</v>
      </c>
      <c r="P973" t="n">
        <v>0</v>
      </c>
      <c r="Q973" t="n">
        <v>0</v>
      </c>
      <c r="R973" s="2" t="inlineStr"/>
    </row>
    <row r="974" ht="15" customHeight="1">
      <c r="A974" t="inlineStr">
        <is>
          <t>A 56849-2025</t>
        </is>
      </c>
      <c r="B974" s="1" t="n">
        <v>45978.48989583334</v>
      </c>
      <c r="C974" s="1" t="n">
        <v>45984</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63170-2023</t>
        </is>
      </c>
      <c r="B975" s="1" t="n">
        <v>45273.57087962963</v>
      </c>
      <c r="C975" s="1" t="n">
        <v>45984</v>
      </c>
      <c r="D975" t="inlineStr">
        <is>
          <t>VÄSTERNORRLANDS LÄN</t>
        </is>
      </c>
      <c r="E975" t="inlineStr">
        <is>
          <t>ÅNGE</t>
        </is>
      </c>
      <c r="F975" t="inlineStr">
        <is>
          <t>Holmen skog AB</t>
        </is>
      </c>
      <c r="G975" t="n">
        <v>4.1</v>
      </c>
      <c r="H975" t="n">
        <v>0</v>
      </c>
      <c r="I975" t="n">
        <v>0</v>
      </c>
      <c r="J975" t="n">
        <v>0</v>
      </c>
      <c r="K975" t="n">
        <v>0</v>
      </c>
      <c r="L975" t="n">
        <v>0</v>
      </c>
      <c r="M975" t="n">
        <v>0</v>
      </c>
      <c r="N975" t="n">
        <v>0</v>
      </c>
      <c r="O975" t="n">
        <v>0</v>
      </c>
      <c r="P975" t="n">
        <v>0</v>
      </c>
      <c r="Q975" t="n">
        <v>0</v>
      </c>
      <c r="R975" s="2" t="inlineStr"/>
    </row>
    <row r="976" ht="15" customHeight="1">
      <c r="A976" t="inlineStr">
        <is>
          <t>A 30273-2023</t>
        </is>
      </c>
      <c r="B976" s="1" t="n">
        <v>45099</v>
      </c>
      <c r="C976" s="1" t="n">
        <v>45984</v>
      </c>
      <c r="D976" t="inlineStr">
        <is>
          <t>VÄSTERNORRLANDS LÄN</t>
        </is>
      </c>
      <c r="E976" t="inlineStr">
        <is>
          <t>ÅNGE</t>
        </is>
      </c>
      <c r="G976" t="n">
        <v>3.9</v>
      </c>
      <c r="H976" t="n">
        <v>0</v>
      </c>
      <c r="I976" t="n">
        <v>0</v>
      </c>
      <c r="J976" t="n">
        <v>0</v>
      </c>
      <c r="K976" t="n">
        <v>0</v>
      </c>
      <c r="L976" t="n">
        <v>0</v>
      </c>
      <c r="M976" t="n">
        <v>0</v>
      </c>
      <c r="N976" t="n">
        <v>0</v>
      </c>
      <c r="O976" t="n">
        <v>0</v>
      </c>
      <c r="P976" t="n">
        <v>0</v>
      </c>
      <c r="Q976" t="n">
        <v>0</v>
      </c>
      <c r="R976" s="2" t="inlineStr"/>
    </row>
    <row r="977" ht="15" customHeight="1">
      <c r="A977" t="inlineStr">
        <is>
          <t>A 57615-2025</t>
        </is>
      </c>
      <c r="B977" s="1" t="n">
        <v>45981.34431712963</v>
      </c>
      <c r="C977" s="1" t="n">
        <v>45984</v>
      </c>
      <c r="D977" t="inlineStr">
        <is>
          <t>VÄSTERNORRLANDS LÄN</t>
        </is>
      </c>
      <c r="E977" t="inlineStr">
        <is>
          <t>ÅNGE</t>
        </is>
      </c>
      <c r="G977" t="n">
        <v>3.4</v>
      </c>
      <c r="H977" t="n">
        <v>0</v>
      </c>
      <c r="I977" t="n">
        <v>0</v>
      </c>
      <c r="J977" t="n">
        <v>0</v>
      </c>
      <c r="K977" t="n">
        <v>0</v>
      </c>
      <c r="L977" t="n">
        <v>0</v>
      </c>
      <c r="M977" t="n">
        <v>0</v>
      </c>
      <c r="N977" t="n">
        <v>0</v>
      </c>
      <c r="O977" t="n">
        <v>0</v>
      </c>
      <c r="P977" t="n">
        <v>0</v>
      </c>
      <c r="Q977" t="n">
        <v>0</v>
      </c>
      <c r="R977" s="2" t="inlineStr"/>
    </row>
    <row r="978" ht="15" customHeight="1">
      <c r="A978" t="inlineStr">
        <is>
          <t>A 49562-2025</t>
        </is>
      </c>
      <c r="B978" s="1" t="n">
        <v>45939.46524305556</v>
      </c>
      <c r="C978" s="1" t="n">
        <v>45984</v>
      </c>
      <c r="D978" t="inlineStr">
        <is>
          <t>VÄSTERNORRLANDS LÄN</t>
        </is>
      </c>
      <c r="E978" t="inlineStr">
        <is>
          <t>ÅNGE</t>
        </is>
      </c>
      <c r="G978" t="n">
        <v>4.4</v>
      </c>
      <c r="H978" t="n">
        <v>0</v>
      </c>
      <c r="I978" t="n">
        <v>0</v>
      </c>
      <c r="J978" t="n">
        <v>0</v>
      </c>
      <c r="K978" t="n">
        <v>0</v>
      </c>
      <c r="L978" t="n">
        <v>0</v>
      </c>
      <c r="M978" t="n">
        <v>0</v>
      </c>
      <c r="N978" t="n">
        <v>0</v>
      </c>
      <c r="O978" t="n">
        <v>0</v>
      </c>
      <c r="P978" t="n">
        <v>0</v>
      </c>
      <c r="Q978" t="n">
        <v>0</v>
      </c>
      <c r="R978" s="2" t="inlineStr"/>
    </row>
    <row r="979" ht="15" customHeight="1">
      <c r="A979" t="inlineStr">
        <is>
          <t>A 60368-2024</t>
        </is>
      </c>
      <c r="B979" s="1" t="n">
        <v>45643</v>
      </c>
      <c r="C979" s="1" t="n">
        <v>45984</v>
      </c>
      <c r="D979" t="inlineStr">
        <is>
          <t>VÄSTERNORRLANDS LÄN</t>
        </is>
      </c>
      <c r="E979" t="inlineStr">
        <is>
          <t>ÅNGE</t>
        </is>
      </c>
      <c r="G979" t="n">
        <v>1.8</v>
      </c>
      <c r="H979" t="n">
        <v>0</v>
      </c>
      <c r="I979" t="n">
        <v>0</v>
      </c>
      <c r="J979" t="n">
        <v>0</v>
      </c>
      <c r="K979" t="n">
        <v>0</v>
      </c>
      <c r="L979" t="n">
        <v>0</v>
      </c>
      <c r="M979" t="n">
        <v>0</v>
      </c>
      <c r="N979" t="n">
        <v>0</v>
      </c>
      <c r="O979" t="n">
        <v>0</v>
      </c>
      <c r="P979" t="n">
        <v>0</v>
      </c>
      <c r="Q979" t="n">
        <v>0</v>
      </c>
      <c r="R979" s="2" t="inlineStr"/>
    </row>
    <row r="980" ht="15" customHeight="1">
      <c r="A980" t="inlineStr">
        <is>
          <t>A 57991-2025</t>
        </is>
      </c>
      <c r="B980" s="1" t="n">
        <v>45982.42438657407</v>
      </c>
      <c r="C980" s="1" t="n">
        <v>45984</v>
      </c>
      <c r="D980" t="inlineStr">
        <is>
          <t>VÄSTERNORRLANDS LÄN</t>
        </is>
      </c>
      <c r="E980" t="inlineStr">
        <is>
          <t>ÅNGE</t>
        </is>
      </c>
      <c r="G980" t="n">
        <v>3.2</v>
      </c>
      <c r="H980" t="n">
        <v>0</v>
      </c>
      <c r="I980" t="n">
        <v>0</v>
      </c>
      <c r="J980" t="n">
        <v>0</v>
      </c>
      <c r="K980" t="n">
        <v>0</v>
      </c>
      <c r="L980" t="n">
        <v>0</v>
      </c>
      <c r="M980" t="n">
        <v>0</v>
      </c>
      <c r="N980" t="n">
        <v>0</v>
      </c>
      <c r="O980" t="n">
        <v>0</v>
      </c>
      <c r="P980" t="n">
        <v>0</v>
      </c>
      <c r="Q980" t="n">
        <v>0</v>
      </c>
      <c r="R980" s="2" t="inlineStr"/>
    </row>
    <row r="981" ht="15" customHeight="1">
      <c r="A981" t="inlineStr">
        <is>
          <t>A 31729-2024</t>
        </is>
      </c>
      <c r="B981" s="1" t="n">
        <v>45509.35844907408</v>
      </c>
      <c r="C981" s="1" t="n">
        <v>45984</v>
      </c>
      <c r="D981" t="inlineStr">
        <is>
          <t>VÄSTERNORRLANDS LÄN</t>
        </is>
      </c>
      <c r="E981" t="inlineStr">
        <is>
          <t>ÅNGE</t>
        </is>
      </c>
      <c r="G981" t="n">
        <v>1.9</v>
      </c>
      <c r="H981" t="n">
        <v>0</v>
      </c>
      <c r="I981" t="n">
        <v>0</v>
      </c>
      <c r="J981" t="n">
        <v>0</v>
      </c>
      <c r="K981" t="n">
        <v>0</v>
      </c>
      <c r="L981" t="n">
        <v>0</v>
      </c>
      <c r="M981" t="n">
        <v>0</v>
      </c>
      <c r="N981" t="n">
        <v>0</v>
      </c>
      <c r="O981" t="n">
        <v>0</v>
      </c>
      <c r="P981" t="n">
        <v>0</v>
      </c>
      <c r="Q981" t="n">
        <v>0</v>
      </c>
      <c r="R981" s="2" t="inlineStr"/>
    </row>
    <row r="982" ht="15" customHeight="1">
      <c r="A982" t="inlineStr">
        <is>
          <t>A 49476-2025</t>
        </is>
      </c>
      <c r="B982" s="1" t="n">
        <v>45939.34506944445</v>
      </c>
      <c r="C982" s="1" t="n">
        <v>45984</v>
      </c>
      <c r="D982" t="inlineStr">
        <is>
          <t>VÄSTERNORRLANDS LÄN</t>
        </is>
      </c>
      <c r="E982" t="inlineStr">
        <is>
          <t>ÅNGE</t>
        </is>
      </c>
      <c r="F982" t="inlineStr">
        <is>
          <t>SCA</t>
        </is>
      </c>
      <c r="G982" t="n">
        <v>11.4</v>
      </c>
      <c r="H982" t="n">
        <v>0</v>
      </c>
      <c r="I982" t="n">
        <v>0</v>
      </c>
      <c r="J982" t="n">
        <v>0</v>
      </c>
      <c r="K982" t="n">
        <v>0</v>
      </c>
      <c r="L982" t="n">
        <v>0</v>
      </c>
      <c r="M982" t="n">
        <v>0</v>
      </c>
      <c r="N982" t="n">
        <v>0</v>
      </c>
      <c r="O982" t="n">
        <v>0</v>
      </c>
      <c r="P982" t="n">
        <v>0</v>
      </c>
      <c r="Q982" t="n">
        <v>0</v>
      </c>
      <c r="R982" s="2" t="inlineStr"/>
    </row>
    <row r="983" ht="15" customHeight="1">
      <c r="A983" t="inlineStr">
        <is>
          <t>A 34783-2021</t>
        </is>
      </c>
      <c r="B983" s="1" t="n">
        <v>44382</v>
      </c>
      <c r="C983" s="1" t="n">
        <v>45984</v>
      </c>
      <c r="D983" t="inlineStr">
        <is>
          <t>VÄSTERNORRLANDS LÄN</t>
        </is>
      </c>
      <c r="E983" t="inlineStr">
        <is>
          <t>ÅNGE</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58048-2025</t>
        </is>
      </c>
      <c r="B984" s="1" t="n">
        <v>45982.5109837963</v>
      </c>
      <c r="C984" s="1" t="n">
        <v>45984</v>
      </c>
      <c r="D984" t="inlineStr">
        <is>
          <t>VÄSTERNORRLANDS LÄN</t>
        </is>
      </c>
      <c r="E984" t="inlineStr">
        <is>
          <t>ÅNGE</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4187-2025</t>
        </is>
      </c>
      <c r="B985" s="1" t="n">
        <v>45685.44842592593</v>
      </c>
      <c r="C985" s="1" t="n">
        <v>45984</v>
      </c>
      <c r="D985" t="inlineStr">
        <is>
          <t>VÄSTERNORRLANDS LÄN</t>
        </is>
      </c>
      <c r="E985" t="inlineStr">
        <is>
          <t>ÅNGE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49669-2025</t>
        </is>
      </c>
      <c r="B986" s="1" t="n">
        <v>45939.63710648148</v>
      </c>
      <c r="C986" s="1" t="n">
        <v>45984</v>
      </c>
      <c r="D986" t="inlineStr">
        <is>
          <t>VÄSTERNORRLANDS LÄN</t>
        </is>
      </c>
      <c r="E986" t="inlineStr">
        <is>
          <t>ÅNGE</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49603-2025</t>
        </is>
      </c>
      <c r="B987" s="1" t="n">
        <v>45939.5484375</v>
      </c>
      <c r="C987" s="1" t="n">
        <v>45984</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49600-2025</t>
        </is>
      </c>
      <c r="B988" s="1" t="n">
        <v>45939.54434027777</v>
      </c>
      <c r="C988" s="1" t="n">
        <v>45984</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49566-2025</t>
        </is>
      </c>
      <c r="B989" s="1" t="n">
        <v>45939.46939814815</v>
      </c>
      <c r="C989" s="1" t="n">
        <v>45984</v>
      </c>
      <c r="D989" t="inlineStr">
        <is>
          <t>VÄSTERNORRLANDS LÄN</t>
        </is>
      </c>
      <c r="E989" t="inlineStr">
        <is>
          <t>ÅNGE</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12807-2025</t>
        </is>
      </c>
      <c r="B990" s="1" t="n">
        <v>45733.61537037037</v>
      </c>
      <c r="C990" s="1" t="n">
        <v>45984</v>
      </c>
      <c r="D990" t="inlineStr">
        <is>
          <t>VÄSTERNORRLANDS LÄN</t>
        </is>
      </c>
      <c r="E990" t="inlineStr">
        <is>
          <t>ÅNGE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18668-2023</t>
        </is>
      </c>
      <c r="B991" s="1" t="n">
        <v>45043.57108796296</v>
      </c>
      <c r="C991" s="1" t="n">
        <v>45984</v>
      </c>
      <c r="D991" t="inlineStr">
        <is>
          <t>VÄSTERNORRLANDS LÄN</t>
        </is>
      </c>
      <c r="E991" t="inlineStr">
        <is>
          <t>ÅNGE</t>
        </is>
      </c>
      <c r="G991" t="n">
        <v>3.4</v>
      </c>
      <c r="H991" t="n">
        <v>0</v>
      </c>
      <c r="I991" t="n">
        <v>0</v>
      </c>
      <c r="J991" t="n">
        <v>0</v>
      </c>
      <c r="K991" t="n">
        <v>0</v>
      </c>
      <c r="L991" t="n">
        <v>0</v>
      </c>
      <c r="M991" t="n">
        <v>0</v>
      </c>
      <c r="N991" t="n">
        <v>0</v>
      </c>
      <c r="O991" t="n">
        <v>0</v>
      </c>
      <c r="P991" t="n">
        <v>0</v>
      </c>
      <c r="Q991" t="n">
        <v>0</v>
      </c>
      <c r="R991" s="2" t="inlineStr"/>
    </row>
    <row r="992" ht="15" customHeight="1">
      <c r="A992" t="inlineStr">
        <is>
          <t>A 62261-2022</t>
        </is>
      </c>
      <c r="B992" s="1" t="n">
        <v>44922.94378472222</v>
      </c>
      <c r="C992" s="1" t="n">
        <v>45984</v>
      </c>
      <c r="D992" t="inlineStr">
        <is>
          <t>VÄSTERNORRLANDS LÄN</t>
        </is>
      </c>
      <c r="E992" t="inlineStr">
        <is>
          <t>ÅNGE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57961-2025</t>
        </is>
      </c>
      <c r="B993" s="1" t="n">
        <v>45982.36502314815</v>
      </c>
      <c r="C993" s="1" t="n">
        <v>45984</v>
      </c>
      <c r="D993" t="inlineStr">
        <is>
          <t>VÄSTERNORRLANDS LÄN</t>
        </is>
      </c>
      <c r="E993" t="inlineStr">
        <is>
          <t>ÅNGE</t>
        </is>
      </c>
      <c r="G993" t="n">
        <v>1.9</v>
      </c>
      <c r="H993" t="n">
        <v>0</v>
      </c>
      <c r="I993" t="n">
        <v>0</v>
      </c>
      <c r="J993" t="n">
        <v>0</v>
      </c>
      <c r="K993" t="n">
        <v>0</v>
      </c>
      <c r="L993" t="n">
        <v>0</v>
      </c>
      <c r="M993" t="n">
        <v>0</v>
      </c>
      <c r="N993" t="n">
        <v>0</v>
      </c>
      <c r="O993" t="n">
        <v>0</v>
      </c>
      <c r="P993" t="n">
        <v>0</v>
      </c>
      <c r="Q993" t="n">
        <v>0</v>
      </c>
      <c r="R993" s="2" t="inlineStr"/>
    </row>
    <row r="994" ht="15" customHeight="1">
      <c r="A994" t="inlineStr">
        <is>
          <t>A 16524-2025</t>
        </is>
      </c>
      <c r="B994" s="1" t="n">
        <v>45751.64310185185</v>
      </c>
      <c r="C994" s="1" t="n">
        <v>45984</v>
      </c>
      <c r="D994" t="inlineStr">
        <is>
          <t>VÄSTERNORRLANDS LÄN</t>
        </is>
      </c>
      <c r="E994" t="inlineStr">
        <is>
          <t>ÅNGE</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47779-2023</t>
        </is>
      </c>
      <c r="B995" s="1" t="n">
        <v>45203.92232638889</v>
      </c>
      <c r="C995" s="1" t="n">
        <v>45984</v>
      </c>
      <c r="D995" t="inlineStr">
        <is>
          <t>VÄSTERNORRLANDS LÄN</t>
        </is>
      </c>
      <c r="E995" t="inlineStr">
        <is>
          <t>ÅNGE</t>
        </is>
      </c>
      <c r="G995" t="n">
        <v>9.6</v>
      </c>
      <c r="H995" t="n">
        <v>0</v>
      </c>
      <c r="I995" t="n">
        <v>0</v>
      </c>
      <c r="J995" t="n">
        <v>0</v>
      </c>
      <c r="K995" t="n">
        <v>0</v>
      </c>
      <c r="L995" t="n">
        <v>0</v>
      </c>
      <c r="M995" t="n">
        <v>0</v>
      </c>
      <c r="N995" t="n">
        <v>0</v>
      </c>
      <c r="O995" t="n">
        <v>0</v>
      </c>
      <c r="P995" t="n">
        <v>0</v>
      </c>
      <c r="Q995" t="n">
        <v>0</v>
      </c>
      <c r="R995" s="2" t="inlineStr"/>
    </row>
    <row r="996" ht="15" customHeight="1">
      <c r="A996" t="inlineStr">
        <is>
          <t>A 49502-2022</t>
        </is>
      </c>
      <c r="B996" s="1" t="n">
        <v>44861.92613425926</v>
      </c>
      <c r="C996" s="1" t="n">
        <v>45984</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41825-2022</t>
        </is>
      </c>
      <c r="B997" s="1" t="n">
        <v>44827</v>
      </c>
      <c r="C997" s="1" t="n">
        <v>45984</v>
      </c>
      <c r="D997" t="inlineStr">
        <is>
          <t>VÄSTERNORRLANDS LÄN</t>
        </is>
      </c>
      <c r="E997" t="inlineStr">
        <is>
          <t>ÅNGE</t>
        </is>
      </c>
      <c r="F997" t="inlineStr">
        <is>
          <t>SCA</t>
        </is>
      </c>
      <c r="G997" t="n">
        <v>3.3</v>
      </c>
      <c r="H997" t="n">
        <v>0</v>
      </c>
      <c r="I997" t="n">
        <v>0</v>
      </c>
      <c r="J997" t="n">
        <v>0</v>
      </c>
      <c r="K997" t="n">
        <v>0</v>
      </c>
      <c r="L997" t="n">
        <v>0</v>
      </c>
      <c r="M997" t="n">
        <v>0</v>
      </c>
      <c r="N997" t="n">
        <v>0</v>
      </c>
      <c r="O997" t="n">
        <v>0</v>
      </c>
      <c r="P997" t="n">
        <v>0</v>
      </c>
      <c r="Q997" t="n">
        <v>0</v>
      </c>
      <c r="R997" s="2" t="inlineStr"/>
      <c r="U997">
        <f>HYPERLINK("https://klasma.github.io/Logging_2260/knärot/A 41825-2022 karta knärot.png", "A 41825-2022")</f>
        <v/>
      </c>
      <c r="V997">
        <f>HYPERLINK("https://klasma.github.io/Logging_2260/klagomål/A 41825-2022 FSC-klagomål.docx", "A 41825-2022")</f>
        <v/>
      </c>
      <c r="W997">
        <f>HYPERLINK("https://klasma.github.io/Logging_2260/klagomålsmail/A 41825-2022 FSC-klagomål mail.docx", "A 41825-2022")</f>
        <v/>
      </c>
      <c r="X997">
        <f>HYPERLINK("https://klasma.github.io/Logging_2260/tillsyn/A 41825-2022 tillsynsbegäran.docx", "A 41825-2022")</f>
        <v/>
      </c>
      <c r="Y997">
        <f>HYPERLINK("https://klasma.github.io/Logging_2260/tillsynsmail/A 41825-2022 tillsynsbegäran mail.docx", "A 41825-2022")</f>
        <v/>
      </c>
    </row>
    <row r="998" ht="15" customHeight="1">
      <c r="A998" t="inlineStr">
        <is>
          <t>A 42958-2024</t>
        </is>
      </c>
      <c r="B998" s="1" t="n">
        <v>45567.37131944444</v>
      </c>
      <c r="C998" s="1" t="n">
        <v>45984</v>
      </c>
      <c r="D998" t="inlineStr">
        <is>
          <t>VÄSTERNORRLANDS LÄN</t>
        </is>
      </c>
      <c r="E998" t="inlineStr">
        <is>
          <t>ÅNGE</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34861-2024</t>
        </is>
      </c>
      <c r="B999" s="1" t="n">
        <v>45527.339375</v>
      </c>
      <c r="C999" s="1" t="n">
        <v>45984</v>
      </c>
      <c r="D999" t="inlineStr">
        <is>
          <t>VÄSTERNORRLANDS LÄN</t>
        </is>
      </c>
      <c r="E999" t="inlineStr">
        <is>
          <t>ÅNGE</t>
        </is>
      </c>
      <c r="F999" t="inlineStr">
        <is>
          <t>SCA</t>
        </is>
      </c>
      <c r="G999" t="n">
        <v>9.1</v>
      </c>
      <c r="H999" t="n">
        <v>0</v>
      </c>
      <c r="I999" t="n">
        <v>0</v>
      </c>
      <c r="J999" t="n">
        <v>0</v>
      </c>
      <c r="K999" t="n">
        <v>0</v>
      </c>
      <c r="L999" t="n">
        <v>0</v>
      </c>
      <c r="M999" t="n">
        <v>0</v>
      </c>
      <c r="N999" t="n">
        <v>0</v>
      </c>
      <c r="O999" t="n">
        <v>0</v>
      </c>
      <c r="P999" t="n">
        <v>0</v>
      </c>
      <c r="Q999" t="n">
        <v>0</v>
      </c>
      <c r="R999" s="2" t="inlineStr"/>
    </row>
    <row r="1000" ht="15" customHeight="1">
      <c r="A1000" t="inlineStr">
        <is>
          <t>A 17601-2024</t>
        </is>
      </c>
      <c r="B1000" s="1" t="n">
        <v>45415</v>
      </c>
      <c r="C1000" s="1" t="n">
        <v>45984</v>
      </c>
      <c r="D1000" t="inlineStr">
        <is>
          <t>VÄSTERNORRLANDS LÄN</t>
        </is>
      </c>
      <c r="E1000" t="inlineStr">
        <is>
          <t>ÅNGE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57846-2022</t>
        </is>
      </c>
      <c r="B1001" s="1" t="n">
        <v>44897.95008101852</v>
      </c>
      <c r="C1001" s="1" t="n">
        <v>45984</v>
      </c>
      <c r="D1001" t="inlineStr">
        <is>
          <t>VÄSTERNORRLANDS LÄN</t>
        </is>
      </c>
      <c r="E1001" t="inlineStr">
        <is>
          <t>ÅNGE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36342-2024</t>
        </is>
      </c>
      <c r="B1002" s="1" t="n">
        <v>45534.64315972223</v>
      </c>
      <c r="C1002" s="1" t="n">
        <v>45984</v>
      </c>
      <c r="D1002" t="inlineStr">
        <is>
          <t>VÄSTERNORRLANDS LÄN</t>
        </is>
      </c>
      <c r="E1002" t="inlineStr">
        <is>
          <t>ÅNGE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54771-2023</t>
        </is>
      </c>
      <c r="B1003" s="1" t="n">
        <v>45229</v>
      </c>
      <c r="C1003" s="1" t="n">
        <v>45984</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32922-2024</t>
        </is>
      </c>
      <c r="B1004" s="1" t="n">
        <v>45516.95263888889</v>
      </c>
      <c r="C1004" s="1" t="n">
        <v>45984</v>
      </c>
      <c r="D1004" t="inlineStr">
        <is>
          <t>VÄSTERNORRLANDS LÄN</t>
        </is>
      </c>
      <c r="E1004" t="inlineStr">
        <is>
          <t>ÅNGE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20338-2025</t>
        </is>
      </c>
      <c r="B1005" s="1" t="n">
        <v>45775</v>
      </c>
      <c r="C1005" s="1" t="n">
        <v>45984</v>
      </c>
      <c r="D1005" t="inlineStr">
        <is>
          <t>VÄSTERNORRLANDS LÄN</t>
        </is>
      </c>
      <c r="E1005" t="inlineStr">
        <is>
          <t>ÅNGE</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36457-2021</t>
        </is>
      </c>
      <c r="B1006" s="1" t="n">
        <v>44390.93858796296</v>
      </c>
      <c r="C1006" s="1" t="n">
        <v>45984</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56699-2023</t>
        </is>
      </c>
      <c r="B1007" s="1" t="n">
        <v>45243</v>
      </c>
      <c r="C1007" s="1" t="n">
        <v>45984</v>
      </c>
      <c r="D1007" t="inlineStr">
        <is>
          <t>VÄSTERNORRLANDS LÄN</t>
        </is>
      </c>
      <c r="E1007" t="inlineStr">
        <is>
          <t>ÅNGE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61928-2021</t>
        </is>
      </c>
      <c r="B1008" s="1" t="n">
        <v>44502.38475694445</v>
      </c>
      <c r="C1008" s="1" t="n">
        <v>45984</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16303-2025</t>
        </is>
      </c>
      <c r="B1009" s="1" t="n">
        <v>45751.3462037037</v>
      </c>
      <c r="C1009" s="1" t="n">
        <v>45984</v>
      </c>
      <c r="D1009" t="inlineStr">
        <is>
          <t>VÄSTERNORRLANDS LÄN</t>
        </is>
      </c>
      <c r="E1009" t="inlineStr">
        <is>
          <t>ÅNGE</t>
        </is>
      </c>
      <c r="F1009" t="inlineStr">
        <is>
          <t>SCA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37051-2021</t>
        </is>
      </c>
      <c r="B1010" s="1" t="n">
        <v>44393</v>
      </c>
      <c r="C1010" s="1" t="n">
        <v>45984</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56908-2021</t>
        </is>
      </c>
      <c r="B1011" s="1" t="n">
        <v>44481.93844907408</v>
      </c>
      <c r="C1011" s="1" t="n">
        <v>45984</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732-2023</t>
        </is>
      </c>
      <c r="B1012" s="1" t="n">
        <v>44931.29981481482</v>
      </c>
      <c r="C1012" s="1" t="n">
        <v>45984</v>
      </c>
      <c r="D1012" t="inlineStr">
        <is>
          <t>VÄSTERNORRLANDS LÄN</t>
        </is>
      </c>
      <c r="E1012" t="inlineStr">
        <is>
          <t>ÅNGE</t>
        </is>
      </c>
      <c r="F1012" t="inlineStr">
        <is>
          <t>Sveaskog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5520-2022</t>
        </is>
      </c>
      <c r="B1013" s="1" t="n">
        <v>44595</v>
      </c>
      <c r="C1013" s="1" t="n">
        <v>45984</v>
      </c>
      <c r="D1013" t="inlineStr">
        <is>
          <t>VÄSTERNORRLANDS LÄN</t>
        </is>
      </c>
      <c r="E1013" t="inlineStr">
        <is>
          <t>ÅNGE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36786-2024</t>
        </is>
      </c>
      <c r="B1014" s="1" t="n">
        <v>45538</v>
      </c>
      <c r="C1014" s="1" t="n">
        <v>45984</v>
      </c>
      <c r="D1014" t="inlineStr">
        <is>
          <t>VÄSTERNORRLANDS LÄN</t>
        </is>
      </c>
      <c r="E1014" t="inlineStr">
        <is>
          <t>ÅNGE</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53663-2022</t>
        </is>
      </c>
      <c r="B1015" s="1" t="n">
        <v>44879</v>
      </c>
      <c r="C1015" s="1" t="n">
        <v>45984</v>
      </c>
      <c r="D1015" t="inlineStr">
        <is>
          <t>VÄSTERNORRLANDS LÄN</t>
        </is>
      </c>
      <c r="E1015" t="inlineStr">
        <is>
          <t>ÅNGE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49711-2024</t>
        </is>
      </c>
      <c r="B1016" s="1" t="n">
        <v>45596.69891203703</v>
      </c>
      <c r="C1016" s="1" t="n">
        <v>45984</v>
      </c>
      <c r="D1016" t="inlineStr">
        <is>
          <t>VÄSTERNORRLANDS LÄN</t>
        </is>
      </c>
      <c r="E1016" t="inlineStr">
        <is>
          <t>ÅNGE</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24293-2023</t>
        </is>
      </c>
      <c r="B1017" s="1" t="n">
        <v>45079.92756944444</v>
      </c>
      <c r="C1017" s="1" t="n">
        <v>45984</v>
      </c>
      <c r="D1017" t="inlineStr">
        <is>
          <t>VÄSTERNORRLANDS LÄN</t>
        </is>
      </c>
      <c r="E1017" t="inlineStr">
        <is>
          <t>ÅNGE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25779-2023</t>
        </is>
      </c>
      <c r="B1018" s="1" t="n">
        <v>45090.47439814815</v>
      </c>
      <c r="C1018" s="1" t="n">
        <v>45984</v>
      </c>
      <c r="D1018" t="inlineStr">
        <is>
          <t>VÄSTERNORRLANDS LÄN</t>
        </is>
      </c>
      <c r="E1018" t="inlineStr">
        <is>
          <t>ÅNGE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9211-2023</t>
        </is>
      </c>
      <c r="B1019" s="1" t="n">
        <v>44980</v>
      </c>
      <c r="C1019" s="1" t="n">
        <v>45984</v>
      </c>
      <c r="D1019" t="inlineStr">
        <is>
          <t>VÄSTERNORRLANDS LÄN</t>
        </is>
      </c>
      <c r="E1019" t="inlineStr">
        <is>
          <t>ÅNGE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8627-2023</t>
        </is>
      </c>
      <c r="B1020" s="1" t="n">
        <v>44977</v>
      </c>
      <c r="C1020" s="1" t="n">
        <v>45984</v>
      </c>
      <c r="D1020" t="inlineStr">
        <is>
          <t>VÄSTERNORRLANDS LÄN</t>
        </is>
      </c>
      <c r="E1020" t="inlineStr">
        <is>
          <t>ÅNGE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27260-2023</t>
        </is>
      </c>
      <c r="B1021" s="1" t="n">
        <v>45092</v>
      </c>
      <c r="C1021" s="1" t="n">
        <v>45984</v>
      </c>
      <c r="D1021" t="inlineStr">
        <is>
          <t>VÄSTERNORRLANDS LÄN</t>
        </is>
      </c>
      <c r="E1021" t="inlineStr">
        <is>
          <t>ÅNGE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16934-2025</t>
        </is>
      </c>
      <c r="B1022" s="1" t="n">
        <v>45755.40671296296</v>
      </c>
      <c r="C1022" s="1" t="n">
        <v>45984</v>
      </c>
      <c r="D1022" t="inlineStr">
        <is>
          <t>VÄSTERNORRLANDS LÄN</t>
        </is>
      </c>
      <c r="E1022" t="inlineStr">
        <is>
          <t>ÅNGE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56434-2021</t>
        </is>
      </c>
      <c r="B1023" s="1" t="n">
        <v>44477</v>
      </c>
      <c r="C1023" s="1" t="n">
        <v>45984</v>
      </c>
      <c r="D1023" t="inlineStr">
        <is>
          <t>VÄSTERNORRLANDS LÄN</t>
        </is>
      </c>
      <c r="E1023" t="inlineStr">
        <is>
          <t>ÅNGE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54946-2021</t>
        </is>
      </c>
      <c r="B1024" s="1" t="n">
        <v>44474.46466435185</v>
      </c>
      <c r="C1024" s="1" t="n">
        <v>45984</v>
      </c>
      <c r="D1024" t="inlineStr">
        <is>
          <t>VÄSTERNORRLANDS LÄN</t>
        </is>
      </c>
      <c r="E1024" t="inlineStr">
        <is>
          <t>ÅNGE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57109-2023</t>
        </is>
      </c>
      <c r="B1025" s="1" t="n">
        <v>45239</v>
      </c>
      <c r="C1025" s="1" t="n">
        <v>45984</v>
      </c>
      <c r="D1025" t="inlineStr">
        <is>
          <t>VÄSTERNORRLANDS LÄN</t>
        </is>
      </c>
      <c r="E1025" t="inlineStr">
        <is>
          <t>ÅNGE</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42346-2023</t>
        </is>
      </c>
      <c r="B1026" s="1" t="n">
        <v>45180</v>
      </c>
      <c r="C1026" s="1" t="n">
        <v>45984</v>
      </c>
      <c r="D1026" t="inlineStr">
        <is>
          <t>VÄSTERNORRLANDS LÄN</t>
        </is>
      </c>
      <c r="E1026" t="inlineStr">
        <is>
          <t>ÅNGE</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16563-2025</t>
        </is>
      </c>
      <c r="B1027" s="1" t="n">
        <v>45752.34430555555</v>
      </c>
      <c r="C1027" s="1" t="n">
        <v>45984</v>
      </c>
      <c r="D1027" t="inlineStr">
        <is>
          <t>VÄSTERNORRLANDS LÄN</t>
        </is>
      </c>
      <c r="E1027" t="inlineStr">
        <is>
          <t>ÅNGE</t>
        </is>
      </c>
      <c r="F1027" t="inlineStr">
        <is>
          <t>SCA</t>
        </is>
      </c>
      <c r="G1027" t="n">
        <v>24.7</v>
      </c>
      <c r="H1027" t="n">
        <v>0</v>
      </c>
      <c r="I1027" t="n">
        <v>0</v>
      </c>
      <c r="J1027" t="n">
        <v>0</v>
      </c>
      <c r="K1027" t="n">
        <v>0</v>
      </c>
      <c r="L1027" t="n">
        <v>0</v>
      </c>
      <c r="M1027" t="n">
        <v>0</v>
      </c>
      <c r="N1027" t="n">
        <v>0</v>
      </c>
      <c r="O1027" t="n">
        <v>0</v>
      </c>
      <c r="P1027" t="n">
        <v>0</v>
      </c>
      <c r="Q1027" t="n">
        <v>0</v>
      </c>
      <c r="R1027" s="2" t="inlineStr"/>
    </row>
    <row r="1028" ht="15" customHeight="1">
      <c r="A1028" t="inlineStr">
        <is>
          <t>A 15368-2024</t>
        </is>
      </c>
      <c r="B1028" s="1" t="n">
        <v>45400.92284722222</v>
      </c>
      <c r="C1028" s="1" t="n">
        <v>45984</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45984</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52685-2024</t>
        </is>
      </c>
      <c r="B1030" s="1" t="n">
        <v>45610</v>
      </c>
      <c r="C1030" s="1" t="n">
        <v>45984</v>
      </c>
      <c r="D1030" t="inlineStr">
        <is>
          <t>VÄSTERNORRLANDS LÄN</t>
        </is>
      </c>
      <c r="E1030" t="inlineStr">
        <is>
          <t>ÅNGE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55664-2023</t>
        </is>
      </c>
      <c r="B1031" s="1" t="n">
        <v>45238.96748842593</v>
      </c>
      <c r="C1031" s="1" t="n">
        <v>45984</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58275-2022</t>
        </is>
      </c>
      <c r="B1032" s="1" t="n">
        <v>44901.47865740741</v>
      </c>
      <c r="C1032" s="1" t="n">
        <v>45984</v>
      </c>
      <c r="D1032" t="inlineStr">
        <is>
          <t>VÄSTERNORRLANDS LÄN</t>
        </is>
      </c>
      <c r="E1032" t="inlineStr">
        <is>
          <t>ÅNGE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29063-2023</t>
        </is>
      </c>
      <c r="B1033" s="1" t="n">
        <v>45104.94068287037</v>
      </c>
      <c r="C1033" s="1" t="n">
        <v>45984</v>
      </c>
      <c r="D1033" t="inlineStr">
        <is>
          <t>VÄSTERNORRLANDS LÄN</t>
        </is>
      </c>
      <c r="E1033" t="inlineStr">
        <is>
          <t>ÅNGE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51609-2023</t>
        </is>
      </c>
      <c r="B1034" s="1" t="n">
        <v>45215</v>
      </c>
      <c r="C1034" s="1" t="n">
        <v>45984</v>
      </c>
      <c r="D1034" t="inlineStr">
        <is>
          <t>VÄSTERNORRLANDS LÄN</t>
        </is>
      </c>
      <c r="E1034" t="inlineStr">
        <is>
          <t>ÅNGE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53970-2021</t>
        </is>
      </c>
      <c r="B1035" s="1" t="n">
        <v>44469</v>
      </c>
      <c r="C1035" s="1" t="n">
        <v>45984</v>
      </c>
      <c r="D1035" t="inlineStr">
        <is>
          <t>VÄSTERNORRLANDS LÄN</t>
        </is>
      </c>
      <c r="E1035" t="inlineStr">
        <is>
          <t>ÅNGE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2415-2024</t>
        </is>
      </c>
      <c r="B1036" s="1" t="n">
        <v>45310</v>
      </c>
      <c r="C1036" s="1" t="n">
        <v>45984</v>
      </c>
      <c r="D1036" t="inlineStr">
        <is>
          <t>VÄSTERNORRLANDS LÄN</t>
        </is>
      </c>
      <c r="E1036" t="inlineStr">
        <is>
          <t>ÅNGE</t>
        </is>
      </c>
      <c r="F1036" t="inlineStr">
        <is>
          <t>Kyrkan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6686-2024</t>
        </is>
      </c>
      <c r="B1037" s="1" t="n">
        <v>45341</v>
      </c>
      <c r="C1037" s="1" t="n">
        <v>45984</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30682-2024</t>
        </is>
      </c>
      <c r="B1038" s="1" t="n">
        <v>45495.95109953704</v>
      </c>
      <c r="C1038" s="1" t="n">
        <v>45984</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30753-2024</t>
        </is>
      </c>
      <c r="B1039" s="1" t="n">
        <v>45496</v>
      </c>
      <c r="C1039" s="1" t="n">
        <v>45984</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30754-2024</t>
        </is>
      </c>
      <c r="B1040" s="1" t="n">
        <v>45496</v>
      </c>
      <c r="C1040" s="1" t="n">
        <v>45984</v>
      </c>
      <c r="D1040" t="inlineStr">
        <is>
          <t>VÄSTERNORRLANDS LÄN</t>
        </is>
      </c>
      <c r="E1040" t="inlineStr">
        <is>
          <t>ÅNGE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38960-2021</t>
        </is>
      </c>
      <c r="B1041" s="1" t="n">
        <v>44411</v>
      </c>
      <c r="C1041" s="1" t="n">
        <v>45984</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35581-2024</t>
        </is>
      </c>
      <c r="B1042" s="1" t="n">
        <v>45531</v>
      </c>
      <c r="C1042" s="1" t="n">
        <v>45984</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65633-2021</t>
        </is>
      </c>
      <c r="B1043" s="1" t="n">
        <v>44516.56181712963</v>
      </c>
      <c r="C1043" s="1" t="n">
        <v>45984</v>
      </c>
      <c r="D1043" t="inlineStr">
        <is>
          <t>VÄSTERNORRLANDS LÄN</t>
        </is>
      </c>
      <c r="E1043" t="inlineStr">
        <is>
          <t>ÅNGE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41507-2024</t>
        </is>
      </c>
      <c r="B1044" s="1" t="n">
        <v>45560</v>
      </c>
      <c r="C1044" s="1" t="n">
        <v>45984</v>
      </c>
      <c r="D1044" t="inlineStr">
        <is>
          <t>VÄSTERNORRLANDS LÄN</t>
        </is>
      </c>
      <c r="E1044" t="inlineStr">
        <is>
          <t>ÅNGE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6487-2021</t>
        </is>
      </c>
      <c r="B1045" s="1" t="n">
        <v>44235</v>
      </c>
      <c r="C1045" s="1" t="n">
        <v>45984</v>
      </c>
      <c r="D1045" t="inlineStr">
        <is>
          <t>VÄSTERNORRLANDS LÄN</t>
        </is>
      </c>
      <c r="E1045" t="inlineStr">
        <is>
          <t>ÅNGE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17749-2025</t>
        </is>
      </c>
      <c r="B1046" s="1" t="n">
        <v>45758.48380787037</v>
      </c>
      <c r="C1046" s="1" t="n">
        <v>45984</v>
      </c>
      <c r="D1046" t="inlineStr">
        <is>
          <t>VÄSTERNORRLANDS LÄN</t>
        </is>
      </c>
      <c r="E1046" t="inlineStr">
        <is>
          <t>ÅNGE</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42044-2024</t>
        </is>
      </c>
      <c r="B1047" s="1" t="n">
        <v>45561</v>
      </c>
      <c r="C1047" s="1" t="n">
        <v>45984</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3256-2024</t>
        </is>
      </c>
      <c r="B1048" s="1" t="n">
        <v>45316</v>
      </c>
      <c r="C1048" s="1" t="n">
        <v>45984</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2451-2024</t>
        </is>
      </c>
      <c r="B1049" s="1" t="n">
        <v>45312.58627314815</v>
      </c>
      <c r="C1049" s="1" t="n">
        <v>45984</v>
      </c>
      <c r="D1049" t="inlineStr">
        <is>
          <t>VÄSTERNORRLANDS LÄN</t>
        </is>
      </c>
      <c r="E1049" t="inlineStr">
        <is>
          <t>ÅNGE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14751-2025</t>
        </is>
      </c>
      <c r="B1050" s="1" t="n">
        <v>45742.65863425926</v>
      </c>
      <c r="C1050" s="1" t="n">
        <v>45984</v>
      </c>
      <c r="D1050" t="inlineStr">
        <is>
          <t>VÄSTERNORRLANDS LÄN</t>
        </is>
      </c>
      <c r="E1050" t="inlineStr">
        <is>
          <t>ÅNGE</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10339-2025</t>
        </is>
      </c>
      <c r="B1051" s="1" t="n">
        <v>45720</v>
      </c>
      <c r="C1051" s="1" t="n">
        <v>45984</v>
      </c>
      <c r="D1051" t="inlineStr">
        <is>
          <t>VÄSTERNORRLANDS LÄN</t>
        </is>
      </c>
      <c r="E1051" t="inlineStr">
        <is>
          <t>ÅNGE</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41083-2024</t>
        </is>
      </c>
      <c r="B1052" s="1" t="n">
        <v>45559.40684027778</v>
      </c>
      <c r="C1052" s="1" t="n">
        <v>45984</v>
      </c>
      <c r="D1052" t="inlineStr">
        <is>
          <t>VÄSTERNORRLANDS LÄN</t>
        </is>
      </c>
      <c r="E1052" t="inlineStr">
        <is>
          <t>ÅNGE</t>
        </is>
      </c>
      <c r="F1052" t="inlineStr">
        <is>
          <t>SCA</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41766-2024</t>
        </is>
      </c>
      <c r="B1053" s="1" t="n">
        <v>45561.34594907407</v>
      </c>
      <c r="C1053" s="1" t="n">
        <v>45984</v>
      </c>
      <c r="D1053" t="inlineStr">
        <is>
          <t>VÄSTERNORRLANDS LÄN</t>
        </is>
      </c>
      <c r="E1053" t="inlineStr">
        <is>
          <t>ÅNGE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18067-2025</t>
        </is>
      </c>
      <c r="B1054" s="1" t="n">
        <v>45761.49016203704</v>
      </c>
      <c r="C1054" s="1" t="n">
        <v>45984</v>
      </c>
      <c r="D1054" t="inlineStr">
        <is>
          <t>VÄSTERNORRLANDS LÄN</t>
        </is>
      </c>
      <c r="E1054" t="inlineStr">
        <is>
          <t>ÅNGE</t>
        </is>
      </c>
      <c r="F1054" t="inlineStr">
        <is>
          <t>SCA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51024-2024</t>
        </is>
      </c>
      <c r="B1055" s="1" t="n">
        <v>45603.4141087963</v>
      </c>
      <c r="C1055" s="1" t="n">
        <v>45984</v>
      </c>
      <c r="D1055" t="inlineStr">
        <is>
          <t>VÄSTERNORRLANDS LÄN</t>
        </is>
      </c>
      <c r="E1055" t="inlineStr">
        <is>
          <t>ÅNGE</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1095-2023</t>
        </is>
      </c>
      <c r="B1056" s="1" t="n">
        <v>44929</v>
      </c>
      <c r="C1056" s="1" t="n">
        <v>45984</v>
      </c>
      <c r="D1056" t="inlineStr">
        <is>
          <t>VÄSTERNORRLANDS LÄN</t>
        </is>
      </c>
      <c r="E1056" t="inlineStr">
        <is>
          <t>ÅNGE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64121-2021</t>
        </is>
      </c>
      <c r="B1057" s="1" t="n">
        <v>44510.4730787037</v>
      </c>
      <c r="C1057" s="1" t="n">
        <v>45984</v>
      </c>
      <c r="D1057" t="inlineStr">
        <is>
          <t>VÄSTERNORRLANDS LÄN</t>
        </is>
      </c>
      <c r="E1057" t="inlineStr">
        <is>
          <t>ÅNGE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42881-2024</t>
        </is>
      </c>
      <c r="B1058" s="1" t="n">
        <v>45566.70916666667</v>
      </c>
      <c r="C1058" s="1" t="n">
        <v>45984</v>
      </c>
      <c r="D1058" t="inlineStr">
        <is>
          <t>VÄSTERNORRLANDS LÄN</t>
        </is>
      </c>
      <c r="E1058" t="inlineStr">
        <is>
          <t>ÅNGE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50651-2021</t>
        </is>
      </c>
      <c r="B1059" s="1" t="n">
        <v>44459</v>
      </c>
      <c r="C1059" s="1" t="n">
        <v>45984</v>
      </c>
      <c r="D1059" t="inlineStr">
        <is>
          <t>VÄSTERNORRLANDS LÄN</t>
        </is>
      </c>
      <c r="E1059" t="inlineStr">
        <is>
          <t>ÅNGE</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22752-2023</t>
        </is>
      </c>
      <c r="B1060" s="1" t="n">
        <v>45071.94104166667</v>
      </c>
      <c r="C1060" s="1" t="n">
        <v>45984</v>
      </c>
      <c r="D1060" t="inlineStr">
        <is>
          <t>VÄSTERNORRLANDS LÄN</t>
        </is>
      </c>
      <c r="E1060" t="inlineStr">
        <is>
          <t>ÅNGE</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60779-2024</t>
        </is>
      </c>
      <c r="B1061" s="1" t="n">
        <v>45644</v>
      </c>
      <c r="C1061" s="1" t="n">
        <v>45984</v>
      </c>
      <c r="D1061" t="inlineStr">
        <is>
          <t>VÄSTERNORRLANDS LÄN</t>
        </is>
      </c>
      <c r="E1061" t="inlineStr">
        <is>
          <t>ÅNGE</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28428-2023</t>
        </is>
      </c>
      <c r="B1062" s="1" t="n">
        <v>45102</v>
      </c>
      <c r="C1062" s="1" t="n">
        <v>45984</v>
      </c>
      <c r="D1062" t="inlineStr">
        <is>
          <t>VÄSTERNORRLANDS LÄN</t>
        </is>
      </c>
      <c r="E1062" t="inlineStr">
        <is>
          <t>ÅNGE</t>
        </is>
      </c>
      <c r="F1062" t="inlineStr">
        <is>
          <t>Kyrkan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43366-2024</t>
        </is>
      </c>
      <c r="B1063" s="1" t="n">
        <v>45568</v>
      </c>
      <c r="C1063" s="1" t="n">
        <v>45984</v>
      </c>
      <c r="D1063" t="inlineStr">
        <is>
          <t>VÄSTERNORRLANDS LÄN</t>
        </is>
      </c>
      <c r="E1063" t="inlineStr">
        <is>
          <t>ÅNGE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34491-2023</t>
        </is>
      </c>
      <c r="B1064" s="1" t="n">
        <v>45139.94775462963</v>
      </c>
      <c r="C1064" s="1" t="n">
        <v>45984</v>
      </c>
      <c r="D1064" t="inlineStr">
        <is>
          <t>VÄSTERNORRLANDS LÄN</t>
        </is>
      </c>
      <c r="E1064" t="inlineStr">
        <is>
          <t>ÅNGE</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10089-2023</t>
        </is>
      </c>
      <c r="B1065" s="1" t="n">
        <v>44985</v>
      </c>
      <c r="C1065" s="1" t="n">
        <v>45984</v>
      </c>
      <c r="D1065" t="inlineStr">
        <is>
          <t>VÄSTERNORRLANDS LÄN</t>
        </is>
      </c>
      <c r="E1065" t="inlineStr">
        <is>
          <t>ÅNGE</t>
        </is>
      </c>
      <c r="F1065" t="inlineStr">
        <is>
          <t>SCA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10090-2023</t>
        </is>
      </c>
      <c r="B1066" s="1" t="n">
        <v>44985.94511574074</v>
      </c>
      <c r="C1066" s="1" t="n">
        <v>45984</v>
      </c>
      <c r="D1066" t="inlineStr">
        <is>
          <t>VÄSTERNORRLANDS LÄN</t>
        </is>
      </c>
      <c r="E1066" t="inlineStr">
        <is>
          <t>ÅNGE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39005-2024</t>
        </is>
      </c>
      <c r="B1067" s="1" t="n">
        <v>45548.42743055556</v>
      </c>
      <c r="C1067" s="1" t="n">
        <v>45984</v>
      </c>
      <c r="D1067" t="inlineStr">
        <is>
          <t>VÄSTERNORRLANDS LÄN</t>
        </is>
      </c>
      <c r="E1067" t="inlineStr">
        <is>
          <t>ÅNGE</t>
        </is>
      </c>
      <c r="F1067" t="inlineStr">
        <is>
          <t>SCA</t>
        </is>
      </c>
      <c r="G1067" t="n">
        <v>2.6</v>
      </c>
      <c r="H1067" t="n">
        <v>0</v>
      </c>
      <c r="I1067" t="n">
        <v>0</v>
      </c>
      <c r="J1067" t="n">
        <v>0</v>
      </c>
      <c r="K1067" t="n">
        <v>0</v>
      </c>
      <c r="L1067" t="n">
        <v>0</v>
      </c>
      <c r="M1067" t="n">
        <v>0</v>
      </c>
      <c r="N1067" t="n">
        <v>0</v>
      </c>
      <c r="O1067" t="n">
        <v>0</v>
      </c>
      <c r="P1067" t="n">
        <v>0</v>
      </c>
      <c r="Q1067" t="n">
        <v>0</v>
      </c>
      <c r="R1067" s="2" t="inlineStr"/>
      <c r="U1067">
        <f>HYPERLINK("https://klasma.github.io/Logging_2260/knärot/A 39005-2024 karta knärot.png", "A 39005-2024")</f>
        <v/>
      </c>
      <c r="V1067">
        <f>HYPERLINK("https://klasma.github.io/Logging_2260/klagomål/A 39005-2024 FSC-klagomål.docx", "A 39005-2024")</f>
        <v/>
      </c>
      <c r="W1067">
        <f>HYPERLINK("https://klasma.github.io/Logging_2260/klagomålsmail/A 39005-2024 FSC-klagomål mail.docx", "A 39005-2024")</f>
        <v/>
      </c>
      <c r="X1067">
        <f>HYPERLINK("https://klasma.github.io/Logging_2260/tillsyn/A 39005-2024 tillsynsbegäran.docx", "A 39005-2024")</f>
        <v/>
      </c>
      <c r="Y1067">
        <f>HYPERLINK("https://klasma.github.io/Logging_2260/tillsynsmail/A 39005-2024 tillsynsbegäran mail.docx", "A 39005-2024")</f>
        <v/>
      </c>
    </row>
    <row r="1068" ht="15" customHeight="1">
      <c r="A1068" t="inlineStr">
        <is>
          <t>A 57593-2022</t>
        </is>
      </c>
      <c r="B1068" s="1" t="n">
        <v>44896.97847222222</v>
      </c>
      <c r="C1068" s="1" t="n">
        <v>45984</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57596-2022</t>
        </is>
      </c>
      <c r="B1069" s="1" t="n">
        <v>44896.97871527778</v>
      </c>
      <c r="C1069" s="1" t="n">
        <v>45984</v>
      </c>
      <c r="D1069" t="inlineStr">
        <is>
          <t>VÄSTERNORRLANDS LÄN</t>
        </is>
      </c>
      <c r="E1069" t="inlineStr">
        <is>
          <t>ÅNGE</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41222-2024</t>
        </is>
      </c>
      <c r="B1070" s="1" t="n">
        <v>45559.55306712963</v>
      </c>
      <c r="C1070" s="1" t="n">
        <v>45984</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13091-2024</t>
        </is>
      </c>
      <c r="B1071" s="1" t="n">
        <v>45385</v>
      </c>
      <c r="C1071" s="1" t="n">
        <v>45984</v>
      </c>
      <c r="D1071" t="inlineStr">
        <is>
          <t>VÄSTERNORRLANDS LÄN</t>
        </is>
      </c>
      <c r="E1071" t="inlineStr">
        <is>
          <t>ÅNGE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3624-2024</t>
        </is>
      </c>
      <c r="B1072" s="1" t="n">
        <v>45320.95305555555</v>
      </c>
      <c r="C1072" s="1" t="n">
        <v>45984</v>
      </c>
      <c r="D1072" t="inlineStr">
        <is>
          <t>VÄSTERNORRLANDS LÄN</t>
        </is>
      </c>
      <c r="E1072" t="inlineStr">
        <is>
          <t>ÅNGE</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1127-2023</t>
        </is>
      </c>
      <c r="B1073" s="1" t="n">
        <v>44929</v>
      </c>
      <c r="C1073" s="1" t="n">
        <v>45984</v>
      </c>
      <c r="D1073" t="inlineStr">
        <is>
          <t>VÄSTERNORRLANDS LÄN</t>
        </is>
      </c>
      <c r="E1073" t="inlineStr">
        <is>
          <t>ÅNGE</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41781-2024</t>
        </is>
      </c>
      <c r="B1074" s="1" t="n">
        <v>45561.34938657407</v>
      </c>
      <c r="C1074" s="1" t="n">
        <v>45984</v>
      </c>
      <c r="D1074" t="inlineStr">
        <is>
          <t>VÄSTERNORRLANDS LÄN</t>
        </is>
      </c>
      <c r="E1074" t="inlineStr">
        <is>
          <t>ÅNGE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58469-2023</t>
        </is>
      </c>
      <c r="B1075" s="1" t="n">
        <v>45250</v>
      </c>
      <c r="C1075" s="1" t="n">
        <v>45984</v>
      </c>
      <c r="D1075" t="inlineStr">
        <is>
          <t>VÄSTERNORRLANDS LÄN</t>
        </is>
      </c>
      <c r="E1075" t="inlineStr">
        <is>
          <t>ÅNGE</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42090-2024</t>
        </is>
      </c>
      <c r="B1076" s="1" t="n">
        <v>45562</v>
      </c>
      <c r="C1076" s="1" t="n">
        <v>45984</v>
      </c>
      <c r="D1076" t="inlineStr">
        <is>
          <t>VÄSTERNORRLANDS LÄN</t>
        </is>
      </c>
      <c r="E1076" t="inlineStr">
        <is>
          <t>ÅNGE</t>
        </is>
      </c>
      <c r="F1076" t="inlineStr">
        <is>
          <t>SCA</t>
        </is>
      </c>
      <c r="G1076" t="n">
        <v>20.2</v>
      </c>
      <c r="H1076" t="n">
        <v>0</v>
      </c>
      <c r="I1076" t="n">
        <v>0</v>
      </c>
      <c r="J1076" t="n">
        <v>0</v>
      </c>
      <c r="K1076" t="n">
        <v>0</v>
      </c>
      <c r="L1076" t="n">
        <v>0</v>
      </c>
      <c r="M1076" t="n">
        <v>0</v>
      </c>
      <c r="N1076" t="n">
        <v>0</v>
      </c>
      <c r="O1076" t="n">
        <v>0</v>
      </c>
      <c r="P1076" t="n">
        <v>0</v>
      </c>
      <c r="Q1076" t="n">
        <v>0</v>
      </c>
      <c r="R1076" s="2" t="inlineStr"/>
    </row>
    <row r="1077" ht="15" customHeight="1">
      <c r="A1077" t="inlineStr">
        <is>
          <t>A 42098-2024</t>
        </is>
      </c>
      <c r="B1077" s="1" t="n">
        <v>45562.34532407407</v>
      </c>
      <c r="C1077" s="1" t="n">
        <v>45984</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55324-2023</t>
        </is>
      </c>
      <c r="B1078" s="1" t="n">
        <v>45237.9734837963</v>
      </c>
      <c r="C1078" s="1" t="n">
        <v>45984</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4361-2024</t>
        </is>
      </c>
      <c r="B1079" s="1" t="n">
        <v>45325.65047453704</v>
      </c>
      <c r="C1079" s="1" t="n">
        <v>45984</v>
      </c>
      <c r="D1079" t="inlineStr">
        <is>
          <t>VÄSTERNORRLANDS LÄN</t>
        </is>
      </c>
      <c r="E1079" t="inlineStr">
        <is>
          <t>ÅNGE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65229-2021</t>
        </is>
      </c>
      <c r="B1080" s="1" t="n">
        <v>44515</v>
      </c>
      <c r="C1080" s="1" t="n">
        <v>45984</v>
      </c>
      <c r="D1080" t="inlineStr">
        <is>
          <t>VÄSTERNORRLANDS LÄN</t>
        </is>
      </c>
      <c r="E1080" t="inlineStr">
        <is>
          <t>ÅNGE</t>
        </is>
      </c>
      <c r="G1080" t="n">
        <v>12.1</v>
      </c>
      <c r="H1080" t="n">
        <v>0</v>
      </c>
      <c r="I1080" t="n">
        <v>0</v>
      </c>
      <c r="J1080" t="n">
        <v>0</v>
      </c>
      <c r="K1080" t="n">
        <v>0</v>
      </c>
      <c r="L1080" t="n">
        <v>0</v>
      </c>
      <c r="M1080" t="n">
        <v>0</v>
      </c>
      <c r="N1080" t="n">
        <v>0</v>
      </c>
      <c r="O1080" t="n">
        <v>0</v>
      </c>
      <c r="P1080" t="n">
        <v>0</v>
      </c>
      <c r="Q1080" t="n">
        <v>0</v>
      </c>
      <c r="R1080" s="2" t="inlineStr"/>
    </row>
    <row r="1081" ht="15" customHeight="1">
      <c r="A1081" t="inlineStr">
        <is>
          <t>A 32069-2023</t>
        </is>
      </c>
      <c r="B1081" s="1" t="n">
        <v>45107</v>
      </c>
      <c r="C1081" s="1" t="n">
        <v>45984</v>
      </c>
      <c r="D1081" t="inlineStr">
        <is>
          <t>VÄSTERNORRLANDS LÄN</t>
        </is>
      </c>
      <c r="E1081" t="inlineStr">
        <is>
          <t>ÅNGE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19829-2025</t>
        </is>
      </c>
      <c r="B1082" s="1" t="n">
        <v>45771.46944444445</v>
      </c>
      <c r="C1082" s="1" t="n">
        <v>45984</v>
      </c>
      <c r="D1082" t="inlineStr">
        <is>
          <t>VÄSTERNORRLANDS LÄN</t>
        </is>
      </c>
      <c r="E1082" t="inlineStr">
        <is>
          <t>ÅNGE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46015-2024</t>
        </is>
      </c>
      <c r="B1083" s="1" t="n">
        <v>45580.67760416667</v>
      </c>
      <c r="C1083" s="1" t="n">
        <v>45984</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41302-2024</t>
        </is>
      </c>
      <c r="B1084" s="1" t="n">
        <v>45559.62077546296</v>
      </c>
      <c r="C1084" s="1" t="n">
        <v>45984</v>
      </c>
      <c r="D1084" t="inlineStr">
        <is>
          <t>VÄSTERNORRLANDS LÄN</t>
        </is>
      </c>
      <c r="E1084" t="inlineStr">
        <is>
          <t>ÅNGE</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16576-2023</t>
        </is>
      </c>
      <c r="B1085" s="1" t="n">
        <v>45029.94251157407</v>
      </c>
      <c r="C1085" s="1" t="n">
        <v>45984</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37503-2023</t>
        </is>
      </c>
      <c r="B1086" s="1" t="n">
        <v>45157.5796875</v>
      </c>
      <c r="C1086" s="1" t="n">
        <v>45984</v>
      </c>
      <c r="D1086" t="inlineStr">
        <is>
          <t>VÄSTERNORRLANDS LÄN</t>
        </is>
      </c>
      <c r="E1086" t="inlineStr">
        <is>
          <t>ÅNGE</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3323-2023</t>
        </is>
      </c>
      <c r="B1087" s="1" t="n">
        <v>44945</v>
      </c>
      <c r="C1087" s="1" t="n">
        <v>45984</v>
      </c>
      <c r="D1087" t="inlineStr">
        <is>
          <t>VÄSTERNORRLANDS LÄN</t>
        </is>
      </c>
      <c r="E1087" t="inlineStr">
        <is>
          <t>ÅNGE</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51377-2024</t>
        </is>
      </c>
      <c r="B1088" s="1" t="n">
        <v>45604.38142361111</v>
      </c>
      <c r="C1088" s="1" t="n">
        <v>45984</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60860-2022</t>
        </is>
      </c>
      <c r="B1089" s="1" t="n">
        <v>44914</v>
      </c>
      <c r="C1089" s="1" t="n">
        <v>45984</v>
      </c>
      <c r="D1089" t="inlineStr">
        <is>
          <t>VÄSTERNORRLANDS LÄN</t>
        </is>
      </c>
      <c r="E1089" t="inlineStr">
        <is>
          <t>ÅNGE</t>
        </is>
      </c>
      <c r="F1089" t="inlineStr">
        <is>
          <t>Holmen skog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57286-2022</t>
        </is>
      </c>
      <c r="B1090" s="1" t="n">
        <v>44895.94991898148</v>
      </c>
      <c r="C1090" s="1" t="n">
        <v>45984</v>
      </c>
      <c r="D1090" t="inlineStr">
        <is>
          <t>VÄSTERNORRLANDS LÄN</t>
        </is>
      </c>
      <c r="E1090" t="inlineStr">
        <is>
          <t>ÅNGE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16572-2023</t>
        </is>
      </c>
      <c r="B1091" s="1" t="n">
        <v>45029.94224537037</v>
      </c>
      <c r="C1091" s="1" t="n">
        <v>45984</v>
      </c>
      <c r="D1091" t="inlineStr">
        <is>
          <t>VÄSTERNORRLANDS LÄN</t>
        </is>
      </c>
      <c r="E1091" t="inlineStr">
        <is>
          <t>ÅNGE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16365-2023</t>
        </is>
      </c>
      <c r="B1092" s="1" t="n">
        <v>45028</v>
      </c>
      <c r="C1092" s="1" t="n">
        <v>45984</v>
      </c>
      <c r="D1092" t="inlineStr">
        <is>
          <t>VÄSTERNORRLANDS LÄN</t>
        </is>
      </c>
      <c r="E1092" t="inlineStr">
        <is>
          <t>ÅNGE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24063-2023</t>
        </is>
      </c>
      <c r="B1093" s="1" t="n">
        <v>45078.94140046297</v>
      </c>
      <c r="C1093" s="1" t="n">
        <v>45984</v>
      </c>
      <c r="D1093" t="inlineStr">
        <is>
          <t>VÄSTERNORRLANDS LÄN</t>
        </is>
      </c>
      <c r="E1093" t="inlineStr">
        <is>
          <t>ÅNGE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10087-2023</t>
        </is>
      </c>
      <c r="B1094" s="1" t="n">
        <v>44985</v>
      </c>
      <c r="C1094" s="1" t="n">
        <v>45984</v>
      </c>
      <c r="D1094" t="inlineStr">
        <is>
          <t>VÄSTERNORRLANDS LÄN</t>
        </is>
      </c>
      <c r="E1094" t="inlineStr">
        <is>
          <t>ÅNGE</t>
        </is>
      </c>
      <c r="F1094" t="inlineStr">
        <is>
          <t>SCA</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27682-2023</t>
        </is>
      </c>
      <c r="B1095" s="1" t="n">
        <v>45097.93758101852</v>
      </c>
      <c r="C1095" s="1" t="n">
        <v>45984</v>
      </c>
      <c r="D1095" t="inlineStr">
        <is>
          <t>VÄSTERNORRLANDS LÄN</t>
        </is>
      </c>
      <c r="E1095" t="inlineStr">
        <is>
          <t>ÅNGE</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38795-2023</t>
        </is>
      </c>
      <c r="B1096" s="1" t="n">
        <v>45162</v>
      </c>
      <c r="C1096" s="1" t="n">
        <v>45984</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35979-2023</t>
        </is>
      </c>
      <c r="B1097" s="1" t="n">
        <v>45148</v>
      </c>
      <c r="C1097" s="1" t="n">
        <v>45984</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35582-2024</t>
        </is>
      </c>
      <c r="B1098" s="1" t="n">
        <v>45531.64800925926</v>
      </c>
      <c r="C1098" s="1" t="n">
        <v>45984</v>
      </c>
      <c r="D1098" t="inlineStr">
        <is>
          <t>VÄSTERNORRLANDS LÄN</t>
        </is>
      </c>
      <c r="E1098" t="inlineStr">
        <is>
          <t>ÅNGE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36466-2024</t>
        </is>
      </c>
      <c r="B1099" s="1" t="n">
        <v>45537.35872685185</v>
      </c>
      <c r="C1099" s="1" t="n">
        <v>45984</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52785-2024</t>
        </is>
      </c>
      <c r="B1100" s="1" t="n">
        <v>45610.55273148148</v>
      </c>
      <c r="C1100" s="1" t="n">
        <v>45984</v>
      </c>
      <c r="D1100" t="inlineStr">
        <is>
          <t>VÄSTERNORRLANDS LÄN</t>
        </is>
      </c>
      <c r="E1100" t="inlineStr">
        <is>
          <t>ÅNGE</t>
        </is>
      </c>
      <c r="F1100" t="inlineStr">
        <is>
          <t>SCA</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52786-2024</t>
        </is>
      </c>
      <c r="B1101" s="1" t="n">
        <v>45610.55283564814</v>
      </c>
      <c r="C1101" s="1" t="n">
        <v>45984</v>
      </c>
      <c r="D1101" t="inlineStr">
        <is>
          <t>VÄSTERNORRLANDS LÄN</t>
        </is>
      </c>
      <c r="E1101" t="inlineStr">
        <is>
          <t>ÅNGE</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48787-2024</t>
        </is>
      </c>
      <c r="B1102" s="1" t="n">
        <v>45593.63888888889</v>
      </c>
      <c r="C1102" s="1" t="n">
        <v>45984</v>
      </c>
      <c r="D1102" t="inlineStr">
        <is>
          <t>VÄSTERNORRLANDS LÄN</t>
        </is>
      </c>
      <c r="E1102" t="inlineStr">
        <is>
          <t>ÅNGE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58939-2021</t>
        </is>
      </c>
      <c r="B1103" s="1" t="n">
        <v>44489</v>
      </c>
      <c r="C1103" s="1" t="n">
        <v>45984</v>
      </c>
      <c r="D1103" t="inlineStr">
        <is>
          <t>VÄSTERNORRLANDS LÄN</t>
        </is>
      </c>
      <c r="E1103" t="inlineStr">
        <is>
          <t>ÅNGE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42969-2024</t>
        </is>
      </c>
      <c r="B1104" s="1" t="n">
        <v>45567.37300925926</v>
      </c>
      <c r="C1104" s="1" t="n">
        <v>45984</v>
      </c>
      <c r="D1104" t="inlineStr">
        <is>
          <t>VÄSTERNORRLANDS LÄN</t>
        </is>
      </c>
      <c r="E1104" t="inlineStr">
        <is>
          <t>ÅNGE</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52683-2024</t>
        </is>
      </c>
      <c r="B1105" s="1" t="n">
        <v>45610</v>
      </c>
      <c r="C1105" s="1" t="n">
        <v>45984</v>
      </c>
      <c r="D1105" t="inlineStr">
        <is>
          <t>VÄSTERNORRLANDS LÄN</t>
        </is>
      </c>
      <c r="E1105" t="inlineStr">
        <is>
          <t>ÅNGE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37558-2023</t>
        </is>
      </c>
      <c r="B1106" s="1" t="n">
        <v>45159.34511574074</v>
      </c>
      <c r="C1106" s="1" t="n">
        <v>45984</v>
      </c>
      <c r="D1106" t="inlineStr">
        <is>
          <t>VÄSTERNORRLANDS LÄN</t>
        </is>
      </c>
      <c r="E1106" t="inlineStr">
        <is>
          <t>ÅNGE</t>
        </is>
      </c>
      <c r="F1106" t="inlineStr">
        <is>
          <t>Kyrkan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34852-2023</t>
        </is>
      </c>
      <c r="B1107" s="1" t="n">
        <v>45141</v>
      </c>
      <c r="C1107" s="1" t="n">
        <v>45984</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19798-2025</t>
        </is>
      </c>
      <c r="B1108" s="1" t="n">
        <v>45771.44824074074</v>
      </c>
      <c r="C1108" s="1" t="n">
        <v>45984</v>
      </c>
      <c r="D1108" t="inlineStr">
        <is>
          <t>VÄSTERNORRLANDS LÄN</t>
        </is>
      </c>
      <c r="E1108" t="inlineStr">
        <is>
          <t>ÅNGE</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10558-2023</t>
        </is>
      </c>
      <c r="B1109" s="1" t="n">
        <v>44987.94438657408</v>
      </c>
      <c r="C1109" s="1" t="n">
        <v>45984</v>
      </c>
      <c r="D1109" t="inlineStr">
        <is>
          <t>VÄSTERNORRLANDS LÄN</t>
        </is>
      </c>
      <c r="E1109" t="inlineStr">
        <is>
          <t>ÅNGE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49487-2024</t>
        </is>
      </c>
      <c r="B1110" s="1" t="n">
        <v>45596.35813657408</v>
      </c>
      <c r="C1110" s="1" t="n">
        <v>45984</v>
      </c>
      <c r="D1110" t="inlineStr">
        <is>
          <t>VÄSTERNORRLANDS LÄN</t>
        </is>
      </c>
      <c r="E1110" t="inlineStr">
        <is>
          <t>ÅNGE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44606-2024</t>
        </is>
      </c>
      <c r="B1111" s="1" t="n">
        <v>45574.51195601852</v>
      </c>
      <c r="C1111" s="1" t="n">
        <v>45984</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44626-2024</t>
        </is>
      </c>
      <c r="B1112" s="1" t="n">
        <v>45574.51378472222</v>
      </c>
      <c r="C1112" s="1" t="n">
        <v>45984</v>
      </c>
      <c r="D1112" t="inlineStr">
        <is>
          <t>VÄSTERNORRLANDS LÄN</t>
        </is>
      </c>
      <c r="E1112" t="inlineStr">
        <is>
          <t>ÅNGE</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61781-2023</t>
        </is>
      </c>
      <c r="B1113" s="1" t="n">
        <v>45265.95708333333</v>
      </c>
      <c r="C1113" s="1" t="n">
        <v>45984</v>
      </c>
      <c r="D1113" t="inlineStr">
        <is>
          <t>VÄSTERNORRLANDS LÄN</t>
        </is>
      </c>
      <c r="E1113" t="inlineStr">
        <is>
          <t>ÅNGE</t>
        </is>
      </c>
      <c r="F1113" t="inlineStr">
        <is>
          <t>SCA</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49187-2024</t>
        </is>
      </c>
      <c r="B1114" s="1" t="n">
        <v>45595.34490740741</v>
      </c>
      <c r="C1114" s="1" t="n">
        <v>45984</v>
      </c>
      <c r="D1114" t="inlineStr">
        <is>
          <t>VÄSTERNORRLANDS LÄN</t>
        </is>
      </c>
      <c r="E1114" t="inlineStr">
        <is>
          <t>ÅNGE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28873-2024</t>
        </is>
      </c>
      <c r="B1115" s="1" t="n">
        <v>45478.94766203704</v>
      </c>
      <c r="C1115" s="1" t="n">
        <v>45984</v>
      </c>
      <c r="D1115" t="inlineStr">
        <is>
          <t>VÄSTERNORRLANDS LÄN</t>
        </is>
      </c>
      <c r="E1115" t="inlineStr">
        <is>
          <t>ÅNGE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31563-2024</t>
        </is>
      </c>
      <c r="B1116" s="1" t="n">
        <v>45505</v>
      </c>
      <c r="C1116" s="1" t="n">
        <v>45984</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34705-2023</t>
        </is>
      </c>
      <c r="B1117" s="1" t="n">
        <v>45140.96452546296</v>
      </c>
      <c r="C1117" s="1" t="n">
        <v>45984</v>
      </c>
      <c r="D1117" t="inlineStr">
        <is>
          <t>VÄSTERNORRLANDS LÄN</t>
        </is>
      </c>
      <c r="E1117" t="inlineStr">
        <is>
          <t>ÅNGE</t>
        </is>
      </c>
      <c r="F1117" t="inlineStr">
        <is>
          <t>SCA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34750-2023</t>
        </is>
      </c>
      <c r="B1118" s="1" t="n">
        <v>45139</v>
      </c>
      <c r="C1118" s="1" t="n">
        <v>45984</v>
      </c>
      <c r="D1118" t="inlineStr">
        <is>
          <t>VÄSTERNORRLANDS LÄN</t>
        </is>
      </c>
      <c r="E1118" t="inlineStr">
        <is>
          <t>ÅNGE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69790-2021</t>
        </is>
      </c>
      <c r="B1119" s="1" t="n">
        <v>44532.605625</v>
      </c>
      <c r="C1119" s="1" t="n">
        <v>45984</v>
      </c>
      <c r="D1119" t="inlineStr">
        <is>
          <t>VÄSTERNORRLANDS LÄN</t>
        </is>
      </c>
      <c r="E1119" t="inlineStr">
        <is>
          <t>ÅNGE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3330-2025</t>
        </is>
      </c>
      <c r="B1120" s="1" t="n">
        <v>45679.70041666667</v>
      </c>
      <c r="C1120" s="1" t="n">
        <v>45984</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31229-2023</t>
        </is>
      </c>
      <c r="B1121" s="1" t="n">
        <v>45114</v>
      </c>
      <c r="C1121" s="1" t="n">
        <v>45984</v>
      </c>
      <c r="D1121" t="inlineStr">
        <is>
          <t>VÄSTERNORRLANDS LÄN</t>
        </is>
      </c>
      <c r="E1121" t="inlineStr">
        <is>
          <t>ÅNGE</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48690-2024</t>
        </is>
      </c>
      <c r="B1122" s="1" t="n">
        <v>45593.50704861111</v>
      </c>
      <c r="C1122" s="1" t="n">
        <v>45984</v>
      </c>
      <c r="D1122" t="inlineStr">
        <is>
          <t>VÄSTERNORRLANDS LÄN</t>
        </is>
      </c>
      <c r="E1122" t="inlineStr">
        <is>
          <t>ÅNGE</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19342-2024</t>
        </is>
      </c>
      <c r="B1123" s="1" t="n">
        <v>45428</v>
      </c>
      <c r="C1123" s="1" t="n">
        <v>45984</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25035-2023</t>
        </is>
      </c>
      <c r="B1124" s="1" t="n">
        <v>45085</v>
      </c>
      <c r="C1124" s="1" t="n">
        <v>45984</v>
      </c>
      <c r="D1124" t="inlineStr">
        <is>
          <t>VÄSTERNORRLANDS LÄN</t>
        </is>
      </c>
      <c r="E1124" t="inlineStr">
        <is>
          <t>ÅNGE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40755-2023</t>
        </is>
      </c>
      <c r="B1125" s="1" t="n">
        <v>45170</v>
      </c>
      <c r="C1125" s="1" t="n">
        <v>45984</v>
      </c>
      <c r="D1125" t="inlineStr">
        <is>
          <t>VÄSTERNORRLANDS LÄN</t>
        </is>
      </c>
      <c r="E1125" t="inlineStr">
        <is>
          <t>ÅNGE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41284-2024</t>
        </is>
      </c>
      <c r="B1126" s="1" t="n">
        <v>45559.59520833333</v>
      </c>
      <c r="C1126" s="1" t="n">
        <v>45984</v>
      </c>
      <c r="D1126" t="inlineStr">
        <is>
          <t>VÄSTERNORRLANDS LÄN</t>
        </is>
      </c>
      <c r="E1126" t="inlineStr">
        <is>
          <t>ÅNGE</t>
        </is>
      </c>
      <c r="F1126" t="inlineStr">
        <is>
          <t>SCA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32901-2023</t>
        </is>
      </c>
      <c r="B1127" s="1" t="n">
        <v>45124.95063657407</v>
      </c>
      <c r="C1127" s="1" t="n">
        <v>45984</v>
      </c>
      <c r="D1127" t="inlineStr">
        <is>
          <t>VÄSTERNORRLANDS LÄN</t>
        </is>
      </c>
      <c r="E1127" t="inlineStr">
        <is>
          <t>ÅNGE</t>
        </is>
      </c>
      <c r="F1127" t="inlineStr">
        <is>
          <t>SCA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16903-2024</t>
        </is>
      </c>
      <c r="B1128" s="1" t="n">
        <v>45411.63106481481</v>
      </c>
      <c r="C1128" s="1" t="n">
        <v>45984</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16915-2024</t>
        </is>
      </c>
      <c r="B1129" s="1" t="n">
        <v>45411.65185185185</v>
      </c>
      <c r="C1129" s="1" t="n">
        <v>45984</v>
      </c>
      <c r="D1129" t="inlineStr">
        <is>
          <t>VÄSTERNORRLANDS LÄN</t>
        </is>
      </c>
      <c r="E1129" t="inlineStr">
        <is>
          <t>ÅNGE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5613-2024</t>
        </is>
      </c>
      <c r="B1130" s="1" t="n">
        <v>45334</v>
      </c>
      <c r="C1130" s="1" t="n">
        <v>45984</v>
      </c>
      <c r="D1130" t="inlineStr">
        <is>
          <t>VÄSTERNORRLANDS LÄN</t>
        </is>
      </c>
      <c r="E1130" t="inlineStr">
        <is>
          <t>ÅNGE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54456-2024</t>
        </is>
      </c>
      <c r="B1131" s="1" t="n">
        <v>45617.53160879629</v>
      </c>
      <c r="C1131" s="1" t="n">
        <v>45984</v>
      </c>
      <c r="D1131" t="inlineStr">
        <is>
          <t>VÄSTERNORRLANDS LÄN</t>
        </is>
      </c>
      <c r="E1131" t="inlineStr">
        <is>
          <t>ÅNGE</t>
        </is>
      </c>
      <c r="F1131" t="inlineStr">
        <is>
          <t>SCA</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25311-2023</t>
        </is>
      </c>
      <c r="B1132" s="1" t="n">
        <v>45086.93869212963</v>
      </c>
      <c r="C1132" s="1" t="n">
        <v>45984</v>
      </c>
      <c r="D1132" t="inlineStr">
        <is>
          <t>VÄSTERNORRLANDS LÄN</t>
        </is>
      </c>
      <c r="E1132" t="inlineStr">
        <is>
          <t>ÅNGE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4904-2024</t>
        </is>
      </c>
      <c r="B1133" s="1" t="n">
        <v>45329.47856481482</v>
      </c>
      <c r="C1133" s="1" t="n">
        <v>45984</v>
      </c>
      <c r="D1133" t="inlineStr">
        <is>
          <t>VÄSTERNORRLANDS LÄN</t>
        </is>
      </c>
      <c r="E1133" t="inlineStr">
        <is>
          <t>ÅNGE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29462-2024</t>
        </is>
      </c>
      <c r="B1134" s="1" t="n">
        <v>45483.96979166667</v>
      </c>
      <c r="C1134" s="1" t="n">
        <v>45984</v>
      </c>
      <c r="D1134" t="inlineStr">
        <is>
          <t>VÄSTERNORRLANDS LÄN</t>
        </is>
      </c>
      <c r="E1134" t="inlineStr">
        <is>
          <t>ÅNGE</t>
        </is>
      </c>
      <c r="F1134" t="inlineStr">
        <is>
          <t>SCA</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44178-2023</t>
        </is>
      </c>
      <c r="B1135" s="1" t="n">
        <v>45183</v>
      </c>
      <c r="C1135" s="1" t="n">
        <v>45984</v>
      </c>
      <c r="D1135" t="inlineStr">
        <is>
          <t>VÄSTERNORRLANDS LÄN</t>
        </is>
      </c>
      <c r="E1135" t="inlineStr">
        <is>
          <t>ÅNGE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8648-2025</t>
        </is>
      </c>
      <c r="B1136" s="1" t="n">
        <v>45712.34501157407</v>
      </c>
      <c r="C1136" s="1" t="n">
        <v>45984</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27952-2024</t>
        </is>
      </c>
      <c r="B1137" s="1" t="n">
        <v>45476.33063657407</v>
      </c>
      <c r="C1137" s="1" t="n">
        <v>45984</v>
      </c>
      <c r="D1137" t="inlineStr">
        <is>
          <t>VÄSTERNORRLANDS LÄN</t>
        </is>
      </c>
      <c r="E1137" t="inlineStr">
        <is>
          <t>ÅNGE</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32439-2024</t>
        </is>
      </c>
      <c r="B1138" s="1" t="n">
        <v>45512</v>
      </c>
      <c r="C1138" s="1" t="n">
        <v>45984</v>
      </c>
      <c r="D1138" t="inlineStr">
        <is>
          <t>VÄSTERNORRLANDS LÄN</t>
        </is>
      </c>
      <c r="E1138" t="inlineStr">
        <is>
          <t>ÅNGE</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60363-2024</t>
        </is>
      </c>
      <c r="B1139" s="1" t="n">
        <v>45643</v>
      </c>
      <c r="C1139" s="1" t="n">
        <v>45984</v>
      </c>
      <c r="D1139" t="inlineStr">
        <is>
          <t>VÄSTERNORRLANDS LÄN</t>
        </is>
      </c>
      <c r="E1139" t="inlineStr">
        <is>
          <t>ÅNGE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51070-2024</t>
        </is>
      </c>
      <c r="B1140" s="1" t="n">
        <v>45603</v>
      </c>
      <c r="C1140" s="1" t="n">
        <v>45984</v>
      </c>
      <c r="D1140" t="inlineStr">
        <is>
          <t>VÄSTERNORRLANDS LÄN</t>
        </is>
      </c>
      <c r="E1140" t="inlineStr">
        <is>
          <t>ÅNGE</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60514-2024</t>
        </is>
      </c>
      <c r="B1141" s="1" t="n">
        <v>45643.67474537037</v>
      </c>
      <c r="C1141" s="1" t="n">
        <v>45984</v>
      </c>
      <c r="D1141" t="inlineStr">
        <is>
          <t>VÄSTERNORRLANDS LÄN</t>
        </is>
      </c>
      <c r="E1141" t="inlineStr">
        <is>
          <t>ÅNGE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52665-2024</t>
        </is>
      </c>
      <c r="B1142" s="1" t="n">
        <v>45610.36549768518</v>
      </c>
      <c r="C1142" s="1" t="n">
        <v>45984</v>
      </c>
      <c r="D1142" t="inlineStr">
        <is>
          <t>VÄSTERNORRLANDS LÄN</t>
        </is>
      </c>
      <c r="E1142" t="inlineStr">
        <is>
          <t>ÅNGE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41831-2021</t>
        </is>
      </c>
      <c r="B1143" s="1" t="n">
        <v>44425.92212962963</v>
      </c>
      <c r="C1143" s="1" t="n">
        <v>45984</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57815-2024</t>
        </is>
      </c>
      <c r="B1144" s="1" t="n">
        <v>45631.37068287037</v>
      </c>
      <c r="C1144" s="1" t="n">
        <v>45984</v>
      </c>
      <c r="D1144" t="inlineStr">
        <is>
          <t>VÄSTERNORRLANDS LÄN</t>
        </is>
      </c>
      <c r="E1144" t="inlineStr">
        <is>
          <t>ÅNGE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6691-2024</t>
        </is>
      </c>
      <c r="B1145" s="1" t="n">
        <v>45341</v>
      </c>
      <c r="C1145" s="1" t="n">
        <v>45984</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12123-2024</t>
        </is>
      </c>
      <c r="B1146" s="1" t="n">
        <v>45377</v>
      </c>
      <c r="C1146" s="1" t="n">
        <v>45984</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12806-2025</t>
        </is>
      </c>
      <c r="B1147" s="1" t="n">
        <v>45733.61518518518</v>
      </c>
      <c r="C1147" s="1" t="n">
        <v>45984</v>
      </c>
      <c r="D1147" t="inlineStr">
        <is>
          <t>VÄSTERNORRLANDS LÄN</t>
        </is>
      </c>
      <c r="E1147" t="inlineStr">
        <is>
          <t>ÅNGE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20024-2023</t>
        </is>
      </c>
      <c r="B1148" s="1" t="n">
        <v>45051</v>
      </c>
      <c r="C1148" s="1" t="n">
        <v>45984</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13164-2022</t>
        </is>
      </c>
      <c r="B1149" s="1" t="n">
        <v>44644</v>
      </c>
      <c r="C1149" s="1" t="n">
        <v>45984</v>
      </c>
      <c r="D1149" t="inlineStr">
        <is>
          <t>VÄSTERNORRLANDS LÄN</t>
        </is>
      </c>
      <c r="E1149" t="inlineStr">
        <is>
          <t>ÅNGE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5456-2024</t>
        </is>
      </c>
      <c r="B1150" s="1" t="n">
        <v>45331</v>
      </c>
      <c r="C1150" s="1" t="n">
        <v>45984</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30474-2024</t>
        </is>
      </c>
      <c r="B1151" s="1" t="n">
        <v>45491</v>
      </c>
      <c r="C1151" s="1" t="n">
        <v>45984</v>
      </c>
      <c r="D1151" t="inlineStr">
        <is>
          <t>VÄSTERNORRLANDS LÄN</t>
        </is>
      </c>
      <c r="E1151" t="inlineStr">
        <is>
          <t>ÅNGE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30475-2024</t>
        </is>
      </c>
      <c r="B1152" s="1" t="n">
        <v>45491</v>
      </c>
      <c r="C1152" s="1" t="n">
        <v>45984</v>
      </c>
      <c r="D1152" t="inlineStr">
        <is>
          <t>VÄSTERNORRLANDS LÄN</t>
        </is>
      </c>
      <c r="E1152" t="inlineStr">
        <is>
          <t>ÅNGE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71965-2021</t>
        </is>
      </c>
      <c r="B1153" s="1" t="n">
        <v>44544.32483796297</v>
      </c>
      <c r="C1153" s="1" t="n">
        <v>45984</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56574-2024</t>
        </is>
      </c>
      <c r="B1154" s="1" t="n">
        <v>45625.59616898148</v>
      </c>
      <c r="C1154" s="1" t="n">
        <v>45984</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58087-2024</t>
        </is>
      </c>
      <c r="B1155" s="1" t="n">
        <v>45632.34502314815</v>
      </c>
      <c r="C1155" s="1" t="n">
        <v>45984</v>
      </c>
      <c r="D1155" t="inlineStr">
        <is>
          <t>VÄSTERNORRLANDS LÄN</t>
        </is>
      </c>
      <c r="E1155" t="inlineStr">
        <is>
          <t>ÅNGE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50231-2024</t>
        </is>
      </c>
      <c r="B1156" s="1" t="n">
        <v>45600.55251157407</v>
      </c>
      <c r="C1156" s="1" t="n">
        <v>45984</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59600-2024</t>
        </is>
      </c>
      <c r="B1157" s="1" t="n">
        <v>45638.71763888889</v>
      </c>
      <c r="C1157" s="1" t="n">
        <v>45984</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3133-2024</t>
        </is>
      </c>
      <c r="B1158" s="1" t="n">
        <v>45316.55885416667</v>
      </c>
      <c r="C1158" s="1" t="n">
        <v>45984</v>
      </c>
      <c r="D1158" t="inlineStr">
        <is>
          <t>VÄSTERNORRLANDS LÄN</t>
        </is>
      </c>
      <c r="E1158" t="inlineStr">
        <is>
          <t>ÅNGE</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17210-2022</t>
        </is>
      </c>
      <c r="B1159" s="1" t="n">
        <v>44677.92701388889</v>
      </c>
      <c r="C1159" s="1" t="n">
        <v>45984</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10195-2024</t>
        </is>
      </c>
      <c r="B1160" s="1" t="n">
        <v>45364</v>
      </c>
      <c r="C1160" s="1" t="n">
        <v>45984</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361-2025</t>
        </is>
      </c>
      <c r="B1161" s="1" t="n">
        <v>45660</v>
      </c>
      <c r="C1161" s="1" t="n">
        <v>45984</v>
      </c>
      <c r="D1161" t="inlineStr">
        <is>
          <t>VÄSTERNORRLANDS LÄN</t>
        </is>
      </c>
      <c r="E1161" t="inlineStr">
        <is>
          <t>ÅNGE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12021-2022</t>
        </is>
      </c>
      <c r="B1162" s="1" t="n">
        <v>44635</v>
      </c>
      <c r="C1162" s="1" t="n">
        <v>45984</v>
      </c>
      <c r="D1162" t="inlineStr">
        <is>
          <t>VÄSTERNORRLANDS LÄN</t>
        </is>
      </c>
      <c r="E1162" t="inlineStr">
        <is>
          <t>ÅNGE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6690-2024</t>
        </is>
      </c>
      <c r="B1163" s="1" t="n">
        <v>45341</v>
      </c>
      <c r="C1163" s="1" t="n">
        <v>45984</v>
      </c>
      <c r="D1163" t="inlineStr">
        <is>
          <t>VÄSTERNORRLANDS LÄN</t>
        </is>
      </c>
      <c r="E1163" t="inlineStr">
        <is>
          <t>ÅNGE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3977-2025</t>
        </is>
      </c>
      <c r="B1164" s="1" t="n">
        <v>45684</v>
      </c>
      <c r="C1164" s="1" t="n">
        <v>45984</v>
      </c>
      <c r="D1164" t="inlineStr">
        <is>
          <t>VÄSTERNORRLANDS LÄN</t>
        </is>
      </c>
      <c r="E1164" t="inlineStr">
        <is>
          <t>ÅNGE</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14976-2025</t>
        </is>
      </c>
      <c r="B1165" s="1" t="n">
        <v>45743</v>
      </c>
      <c r="C1165" s="1" t="n">
        <v>45984</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5249-2025</t>
        </is>
      </c>
      <c r="B1166" s="1" t="n">
        <v>45692.34465277778</v>
      </c>
      <c r="C1166" s="1" t="n">
        <v>45984</v>
      </c>
      <c r="D1166" t="inlineStr">
        <is>
          <t>VÄSTERNORRLANDS LÄN</t>
        </is>
      </c>
      <c r="E1166" t="inlineStr">
        <is>
          <t>ÅNGE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57271-2024</t>
        </is>
      </c>
      <c r="B1167" s="1" t="n">
        <v>45629.57364583333</v>
      </c>
      <c r="C1167" s="1" t="n">
        <v>45984</v>
      </c>
      <c r="D1167" t="inlineStr">
        <is>
          <t>VÄSTERNORRLANDS LÄN</t>
        </is>
      </c>
      <c r="E1167" t="inlineStr">
        <is>
          <t>ÅNGE</t>
        </is>
      </c>
      <c r="F1167" t="inlineStr">
        <is>
          <t>SCA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5369-2022</t>
        </is>
      </c>
      <c r="B1168" s="1" t="n">
        <v>44594.92113425926</v>
      </c>
      <c r="C1168" s="1" t="n">
        <v>45984</v>
      </c>
      <c r="D1168" t="inlineStr">
        <is>
          <t>VÄSTERNORRLANDS LÄN</t>
        </is>
      </c>
      <c r="E1168" t="inlineStr">
        <is>
          <t>ÅNGE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22755-2023</t>
        </is>
      </c>
      <c r="B1169" s="1" t="n">
        <v>45071.94127314815</v>
      </c>
      <c r="C1169" s="1" t="n">
        <v>45984</v>
      </c>
      <c r="D1169" t="inlineStr">
        <is>
          <t>VÄSTERNORRLANDS LÄN</t>
        </is>
      </c>
      <c r="E1169" t="inlineStr">
        <is>
          <t>ÅNGE</t>
        </is>
      </c>
      <c r="F1169" t="inlineStr">
        <is>
          <t>SCA</t>
        </is>
      </c>
      <c r="G1169" t="n">
        <v>12.6</v>
      </c>
      <c r="H1169" t="n">
        <v>0</v>
      </c>
      <c r="I1169" t="n">
        <v>0</v>
      </c>
      <c r="J1169" t="n">
        <v>0</v>
      </c>
      <c r="K1169" t="n">
        <v>0</v>
      </c>
      <c r="L1169" t="n">
        <v>0</v>
      </c>
      <c r="M1169" t="n">
        <v>0</v>
      </c>
      <c r="N1169" t="n">
        <v>0</v>
      </c>
      <c r="O1169" t="n">
        <v>0</v>
      </c>
      <c r="P1169" t="n">
        <v>0</v>
      </c>
      <c r="Q1169" t="n">
        <v>0</v>
      </c>
      <c r="R1169" s="2" t="inlineStr"/>
    </row>
    <row r="1170" ht="15" customHeight="1">
      <c r="A1170" t="inlineStr">
        <is>
          <t>A 50419-2022</t>
        </is>
      </c>
      <c r="B1170" s="1" t="n">
        <v>44861</v>
      </c>
      <c r="C1170" s="1" t="n">
        <v>45984</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42881-2023</t>
        </is>
      </c>
      <c r="B1171" s="1" t="n">
        <v>45182.45256944445</v>
      </c>
      <c r="C1171" s="1" t="n">
        <v>45984</v>
      </c>
      <c r="D1171" t="inlineStr">
        <is>
          <t>VÄSTERNORRLANDS LÄN</t>
        </is>
      </c>
      <c r="E1171" t="inlineStr">
        <is>
          <t>ÅNGE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18430-2025</t>
        </is>
      </c>
      <c r="B1172" s="1" t="n">
        <v>45762.63576388889</v>
      </c>
      <c r="C1172" s="1" t="n">
        <v>45984</v>
      </c>
      <c r="D1172" t="inlineStr">
        <is>
          <t>VÄSTERNORRLANDS LÄN</t>
        </is>
      </c>
      <c r="E1172" t="inlineStr">
        <is>
          <t>ÅNGE</t>
        </is>
      </c>
      <c r="F1172" t="inlineStr">
        <is>
          <t>SCA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43916-2023</t>
        </is>
      </c>
      <c r="B1173" s="1" t="n">
        <v>45187.72152777778</v>
      </c>
      <c r="C1173" s="1" t="n">
        <v>45984</v>
      </c>
      <c r="D1173" t="inlineStr">
        <is>
          <t>VÄSTERNORRLANDS LÄN</t>
        </is>
      </c>
      <c r="E1173" t="inlineStr">
        <is>
          <t>ÅNGE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20255-2023</t>
        </is>
      </c>
      <c r="B1174" s="1" t="n">
        <v>45055</v>
      </c>
      <c r="C1174" s="1" t="n">
        <v>45984</v>
      </c>
      <c r="D1174" t="inlineStr">
        <is>
          <t>VÄSTERNORRLANDS LÄN</t>
        </is>
      </c>
      <c r="E1174" t="inlineStr">
        <is>
          <t>ÅNGE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54429-2024</t>
        </is>
      </c>
      <c r="B1175" s="1" t="n">
        <v>45617.49087962963</v>
      </c>
      <c r="C1175" s="1" t="n">
        <v>45984</v>
      </c>
      <c r="D1175" t="inlineStr">
        <is>
          <t>VÄSTERNORRLANDS LÄN</t>
        </is>
      </c>
      <c r="E1175" t="inlineStr">
        <is>
          <t>ÅNGE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36492-2023</t>
        </is>
      </c>
      <c r="B1176" s="1" t="n">
        <v>45152.92479166666</v>
      </c>
      <c r="C1176" s="1" t="n">
        <v>45984</v>
      </c>
      <c r="D1176" t="inlineStr">
        <is>
          <t>VÄSTERNORRLANDS LÄN</t>
        </is>
      </c>
      <c r="E1176" t="inlineStr">
        <is>
          <t>ÅNGE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8650-2024</t>
        </is>
      </c>
      <c r="B1177" s="1" t="n">
        <v>45356</v>
      </c>
      <c r="C1177" s="1" t="n">
        <v>45984</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56569-2024</t>
        </is>
      </c>
      <c r="B1178" s="1" t="n">
        <v>45625</v>
      </c>
      <c r="C1178" s="1" t="n">
        <v>45984</v>
      </c>
      <c r="D1178" t="inlineStr">
        <is>
          <t>VÄSTERNORRLANDS LÄN</t>
        </is>
      </c>
      <c r="E1178" t="inlineStr">
        <is>
          <t>ÅNGE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57529-2024</t>
        </is>
      </c>
      <c r="B1179" s="1" t="n">
        <v>45630</v>
      </c>
      <c r="C1179" s="1" t="n">
        <v>45984</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4872-2025</t>
        </is>
      </c>
      <c r="B1180" s="1" t="n">
        <v>45688.67619212963</v>
      </c>
      <c r="C1180" s="1" t="n">
        <v>45984</v>
      </c>
      <c r="D1180" t="inlineStr">
        <is>
          <t>VÄSTERNORRLANDS LÄN</t>
        </is>
      </c>
      <c r="E1180" t="inlineStr">
        <is>
          <t>ÅNGE</t>
        </is>
      </c>
      <c r="F1180" t="inlineStr">
        <is>
          <t>SCA</t>
        </is>
      </c>
      <c r="G1180" t="n">
        <v>31.3</v>
      </c>
      <c r="H1180" t="n">
        <v>0</v>
      </c>
      <c r="I1180" t="n">
        <v>0</v>
      </c>
      <c r="J1180" t="n">
        <v>0</v>
      </c>
      <c r="K1180" t="n">
        <v>0</v>
      </c>
      <c r="L1180" t="n">
        <v>0</v>
      </c>
      <c r="M1180" t="n">
        <v>0</v>
      </c>
      <c r="N1180" t="n">
        <v>0</v>
      </c>
      <c r="O1180" t="n">
        <v>0</v>
      </c>
      <c r="P1180" t="n">
        <v>0</v>
      </c>
      <c r="Q1180" t="n">
        <v>0</v>
      </c>
      <c r="R1180" s="2" t="inlineStr"/>
      <c r="U1180">
        <f>HYPERLINK("https://klasma.github.io/Logging_2260/knärot/A 4872-2025 karta knärot.png", "A 4872-2025")</f>
        <v/>
      </c>
      <c r="V1180">
        <f>HYPERLINK("https://klasma.github.io/Logging_2260/klagomål/A 4872-2025 FSC-klagomål.docx", "A 4872-2025")</f>
        <v/>
      </c>
      <c r="W1180">
        <f>HYPERLINK("https://klasma.github.io/Logging_2260/klagomålsmail/A 4872-2025 FSC-klagomål mail.docx", "A 4872-2025")</f>
        <v/>
      </c>
      <c r="X1180">
        <f>HYPERLINK("https://klasma.github.io/Logging_2260/tillsyn/A 4872-2025 tillsynsbegäran.docx", "A 4872-2025")</f>
        <v/>
      </c>
      <c r="Y1180">
        <f>HYPERLINK("https://klasma.github.io/Logging_2260/tillsynsmail/A 4872-2025 tillsynsbegäran mail.docx", "A 4872-2025")</f>
        <v/>
      </c>
    </row>
    <row r="1181" ht="15" customHeight="1">
      <c r="A1181" t="inlineStr">
        <is>
          <t>A 16973-2025</t>
        </is>
      </c>
      <c r="B1181" s="1" t="n">
        <v>45755.46967592592</v>
      </c>
      <c r="C1181" s="1" t="n">
        <v>45984</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48632-2023</t>
        </is>
      </c>
      <c r="B1182" s="1" t="n">
        <v>45208.57944444445</v>
      </c>
      <c r="C1182" s="1" t="n">
        <v>45984</v>
      </c>
      <c r="D1182" t="inlineStr">
        <is>
          <t>VÄSTERNORRLANDS LÄN</t>
        </is>
      </c>
      <c r="E1182" t="inlineStr">
        <is>
          <t>ÅNGE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8747-2022</t>
        </is>
      </c>
      <c r="B1183" s="1" t="n">
        <v>44614.33912037037</v>
      </c>
      <c r="C1183" s="1" t="n">
        <v>45984</v>
      </c>
      <c r="D1183" t="inlineStr">
        <is>
          <t>VÄSTERNORRLANDS LÄN</t>
        </is>
      </c>
      <c r="E1183" t="inlineStr">
        <is>
          <t>ÅNGE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14888-2022</t>
        </is>
      </c>
      <c r="B1184" s="1" t="n">
        <v>44656</v>
      </c>
      <c r="C1184" s="1" t="n">
        <v>45984</v>
      </c>
      <c r="D1184" t="inlineStr">
        <is>
          <t>VÄSTERNORRLANDS LÄN</t>
        </is>
      </c>
      <c r="E1184" t="inlineStr">
        <is>
          <t>ÅNGE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55329-2023</t>
        </is>
      </c>
      <c r="B1185" s="1" t="n">
        <v>45237</v>
      </c>
      <c r="C1185" s="1" t="n">
        <v>45984</v>
      </c>
      <c r="D1185" t="inlineStr">
        <is>
          <t>VÄSTERNORRLANDS LÄN</t>
        </is>
      </c>
      <c r="E1185" t="inlineStr">
        <is>
          <t>ÅNGE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3986-2025</t>
        </is>
      </c>
      <c r="B1186" s="1" t="n">
        <v>45684.55262731481</v>
      </c>
      <c r="C1186" s="1" t="n">
        <v>45984</v>
      </c>
      <c r="D1186" t="inlineStr">
        <is>
          <t>VÄSTERNORRLANDS LÄN</t>
        </is>
      </c>
      <c r="E1186" t="inlineStr">
        <is>
          <t>ÅNGE</t>
        </is>
      </c>
      <c r="F1186" t="inlineStr">
        <is>
          <t>SCA</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46795-2023</t>
        </is>
      </c>
      <c r="B1187" s="1" t="n">
        <v>45198</v>
      </c>
      <c r="C1187" s="1" t="n">
        <v>45984</v>
      </c>
      <c r="D1187" t="inlineStr">
        <is>
          <t>VÄSTERNORRLANDS LÄN</t>
        </is>
      </c>
      <c r="E1187" t="inlineStr">
        <is>
          <t>ÅNGE</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4094-2025</t>
        </is>
      </c>
      <c r="B1188" s="1" t="n">
        <v>45684.6778125</v>
      </c>
      <c r="C1188" s="1" t="n">
        <v>45984</v>
      </c>
      <c r="D1188" t="inlineStr">
        <is>
          <t>VÄSTERNORRLANDS LÄN</t>
        </is>
      </c>
      <c r="E1188" t="inlineStr">
        <is>
          <t>ÅNGE</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39973-2023</t>
        </is>
      </c>
      <c r="B1189" s="1" t="n">
        <v>45168.5858912037</v>
      </c>
      <c r="C1189" s="1" t="n">
        <v>45984</v>
      </c>
      <c r="D1189" t="inlineStr">
        <is>
          <t>VÄSTERNORRLANDS LÄN</t>
        </is>
      </c>
      <c r="E1189" t="inlineStr">
        <is>
          <t>ÅNGE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58637-2023</t>
        </is>
      </c>
      <c r="B1190" s="1" t="n">
        <v>45251</v>
      </c>
      <c r="C1190" s="1" t="n">
        <v>45984</v>
      </c>
      <c r="D1190" t="inlineStr">
        <is>
          <t>VÄSTERNORRLANDS LÄN</t>
        </is>
      </c>
      <c r="E1190" t="inlineStr">
        <is>
          <t>ÅNGE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4236-2025</t>
        </is>
      </c>
      <c r="B1191" s="1" t="n">
        <v>45685.56534722223</v>
      </c>
      <c r="C1191" s="1" t="n">
        <v>45984</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51131-2022</t>
        </is>
      </c>
      <c r="B1192" s="1" t="n">
        <v>44868</v>
      </c>
      <c r="C1192" s="1" t="n">
        <v>45984</v>
      </c>
      <c r="D1192" t="inlineStr">
        <is>
          <t>VÄSTERNORRLANDS LÄN</t>
        </is>
      </c>
      <c r="E1192" t="inlineStr">
        <is>
          <t>ÅNGE</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5999-2025</t>
        </is>
      </c>
      <c r="B1193" s="1" t="n">
        <v>45695</v>
      </c>
      <c r="C1193" s="1" t="n">
        <v>45984</v>
      </c>
      <c r="D1193" t="inlineStr">
        <is>
          <t>VÄSTERNORRLANDS LÄN</t>
        </is>
      </c>
      <c r="E1193" t="inlineStr">
        <is>
          <t>ÅNGE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26015-2024</t>
        </is>
      </c>
      <c r="B1194" s="1" t="n">
        <v>45467.95872685185</v>
      </c>
      <c r="C1194" s="1" t="n">
        <v>45984</v>
      </c>
      <c r="D1194" t="inlineStr">
        <is>
          <t>VÄSTERNORRLANDS LÄN</t>
        </is>
      </c>
      <c r="E1194" t="inlineStr">
        <is>
          <t>ÅNGE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26010-2024</t>
        </is>
      </c>
      <c r="B1195" s="1" t="n">
        <v>45467.95819444444</v>
      </c>
      <c r="C1195" s="1" t="n">
        <v>45984</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60365-2024</t>
        </is>
      </c>
      <c r="B1196" s="1" t="n">
        <v>45643</v>
      </c>
      <c r="C1196" s="1" t="n">
        <v>45984</v>
      </c>
      <c r="D1196" t="inlineStr">
        <is>
          <t>VÄSTERNORRLANDS LÄN</t>
        </is>
      </c>
      <c r="E1196" t="inlineStr">
        <is>
          <t>ÅNGE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11871-2025</t>
        </is>
      </c>
      <c r="B1197" s="1" t="n">
        <v>45728.42740740741</v>
      </c>
      <c r="C1197" s="1" t="n">
        <v>45984</v>
      </c>
      <c r="D1197" t="inlineStr">
        <is>
          <t>VÄSTERNORRLANDS LÄN</t>
        </is>
      </c>
      <c r="E1197" t="inlineStr">
        <is>
          <t>ÅNGE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15799-2025</t>
        </is>
      </c>
      <c r="B1198" s="1" t="n">
        <v>45748.64768518518</v>
      </c>
      <c r="C1198" s="1" t="n">
        <v>45984</v>
      </c>
      <c r="D1198" t="inlineStr">
        <is>
          <t>VÄSTERNORRLANDS LÄN</t>
        </is>
      </c>
      <c r="E1198" t="inlineStr">
        <is>
          <t>ÅNGE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47488-2023</t>
        </is>
      </c>
      <c r="B1199" s="1" t="n">
        <v>45202.94168981481</v>
      </c>
      <c r="C1199" s="1" t="n">
        <v>45984</v>
      </c>
      <c r="D1199" t="inlineStr">
        <is>
          <t>VÄSTERNORRLANDS LÄN</t>
        </is>
      </c>
      <c r="E1199" t="inlineStr">
        <is>
          <t>ÅNGE</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54982-2023</t>
        </is>
      </c>
      <c r="B1200" s="1" t="n">
        <v>45236</v>
      </c>
      <c r="C1200" s="1" t="n">
        <v>45984</v>
      </c>
      <c r="D1200" t="inlineStr">
        <is>
          <t>VÄSTERNORRLANDS LÄN</t>
        </is>
      </c>
      <c r="E1200" t="inlineStr">
        <is>
          <t>ÅNGE</t>
        </is>
      </c>
      <c r="F1200" t="inlineStr">
        <is>
          <t>SCA</t>
        </is>
      </c>
      <c r="G1200" t="n">
        <v>26.2</v>
      </c>
      <c r="H1200" t="n">
        <v>0</v>
      </c>
      <c r="I1200" t="n">
        <v>0</v>
      </c>
      <c r="J1200" t="n">
        <v>0</v>
      </c>
      <c r="K1200" t="n">
        <v>0</v>
      </c>
      <c r="L1200" t="n">
        <v>0</v>
      </c>
      <c r="M1200" t="n">
        <v>0</v>
      </c>
      <c r="N1200" t="n">
        <v>0</v>
      </c>
      <c r="O1200" t="n">
        <v>0</v>
      </c>
      <c r="P1200" t="n">
        <v>0</v>
      </c>
      <c r="Q1200" t="n">
        <v>0</v>
      </c>
      <c r="R1200" s="2" t="inlineStr"/>
    </row>
    <row r="1201" ht="15" customHeight="1">
      <c r="A1201" t="inlineStr">
        <is>
          <t>A 57560-2023</t>
        </is>
      </c>
      <c r="B1201" s="1" t="n">
        <v>45243</v>
      </c>
      <c r="C1201" s="1" t="n">
        <v>45984</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57568-2023</t>
        </is>
      </c>
      <c r="B1202" s="1" t="n">
        <v>45246.50484953704</v>
      </c>
      <c r="C1202" s="1" t="n">
        <v>45984</v>
      </c>
      <c r="D1202" t="inlineStr">
        <is>
          <t>VÄSTERNORRLANDS LÄN</t>
        </is>
      </c>
      <c r="E1202" t="inlineStr">
        <is>
          <t>ÅNGE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63530-2023</t>
        </is>
      </c>
      <c r="B1203" s="1" t="n">
        <v>45274</v>
      </c>
      <c r="C1203" s="1" t="n">
        <v>45984</v>
      </c>
      <c r="D1203" t="inlineStr">
        <is>
          <t>VÄSTERNORRLANDS LÄN</t>
        </is>
      </c>
      <c r="E1203" t="inlineStr">
        <is>
          <t>ÅNGE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3253-2024</t>
        </is>
      </c>
      <c r="B1204" s="1" t="n">
        <v>45316</v>
      </c>
      <c r="C1204" s="1" t="n">
        <v>45984</v>
      </c>
      <c r="D1204" t="inlineStr">
        <is>
          <t>VÄSTERNORRLANDS LÄN</t>
        </is>
      </c>
      <c r="E1204" t="inlineStr">
        <is>
          <t>ÅNGE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49945-2023</t>
        </is>
      </c>
      <c r="B1205" s="1" t="n">
        <v>45215.3625462963</v>
      </c>
      <c r="C1205" s="1" t="n">
        <v>45984</v>
      </c>
      <c r="D1205" t="inlineStr">
        <is>
          <t>VÄSTERNORRLANDS LÄN</t>
        </is>
      </c>
      <c r="E1205" t="inlineStr">
        <is>
          <t>ÅNGE</t>
        </is>
      </c>
      <c r="F1205" t="inlineStr">
        <is>
          <t>Holmen skog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25903-2022</t>
        </is>
      </c>
      <c r="B1206" s="1" t="n">
        <v>44733</v>
      </c>
      <c r="C1206" s="1" t="n">
        <v>45984</v>
      </c>
      <c r="D1206" t="inlineStr">
        <is>
          <t>VÄSTERNORRLANDS LÄN</t>
        </is>
      </c>
      <c r="E1206" t="inlineStr">
        <is>
          <t>ÅNGE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19709-2025</t>
        </is>
      </c>
      <c r="B1207" s="1" t="n">
        <v>45771.34263888889</v>
      </c>
      <c r="C1207" s="1" t="n">
        <v>45984</v>
      </c>
      <c r="D1207" t="inlineStr">
        <is>
          <t>VÄSTERNORRLANDS LÄN</t>
        </is>
      </c>
      <c r="E1207" t="inlineStr">
        <is>
          <t>ÅNGE</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24324-2022</t>
        </is>
      </c>
      <c r="B1208" s="1" t="n">
        <v>44725.945</v>
      </c>
      <c r="C1208" s="1" t="n">
        <v>45984</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24325-2022</t>
        </is>
      </c>
      <c r="B1209" s="1" t="n">
        <v>44725.94506944445</v>
      </c>
      <c r="C1209" s="1" t="n">
        <v>45984</v>
      </c>
      <c r="D1209" t="inlineStr">
        <is>
          <t>VÄSTERNORRLANDS LÄN</t>
        </is>
      </c>
      <c r="E1209" t="inlineStr">
        <is>
          <t>ÅNGE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30803-2022</t>
        </is>
      </c>
      <c r="B1210" s="1" t="n">
        <v>44764</v>
      </c>
      <c r="C1210" s="1" t="n">
        <v>45984</v>
      </c>
      <c r="D1210" t="inlineStr">
        <is>
          <t>VÄSTERNORRLANDS LÄN</t>
        </is>
      </c>
      <c r="E1210" t="inlineStr">
        <is>
          <t>ÅNGE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17744-2025</t>
        </is>
      </c>
      <c r="B1211" s="1" t="n">
        <v>45758</v>
      </c>
      <c r="C1211" s="1" t="n">
        <v>45984</v>
      </c>
      <c r="D1211" t="inlineStr">
        <is>
          <t>VÄSTERNORRLANDS LÄN</t>
        </is>
      </c>
      <c r="E1211" t="inlineStr">
        <is>
          <t>ÅNGE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2433-2024</t>
        </is>
      </c>
      <c r="B1212" s="1" t="n">
        <v>45310</v>
      </c>
      <c r="C1212" s="1" t="n">
        <v>45984</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56615-2023</t>
        </is>
      </c>
      <c r="B1213" s="1" t="n">
        <v>45243</v>
      </c>
      <c r="C1213" s="1" t="n">
        <v>45984</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61461-2023</t>
        </is>
      </c>
      <c r="B1214" s="1" t="n">
        <v>45264.9261574074</v>
      </c>
      <c r="C1214" s="1" t="n">
        <v>45984</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27661-2024</t>
        </is>
      </c>
      <c r="B1215" s="1" t="n">
        <v>45474.95365740741</v>
      </c>
      <c r="C1215" s="1" t="n">
        <v>45984</v>
      </c>
      <c r="D1215" t="inlineStr">
        <is>
          <t>VÄSTERNORRLANDS LÄN</t>
        </is>
      </c>
      <c r="E1215" t="inlineStr">
        <is>
          <t>ÅNGE</t>
        </is>
      </c>
      <c r="F1215" t="inlineStr">
        <is>
          <t>SCA</t>
        </is>
      </c>
      <c r="G1215" t="n">
        <v>19.1</v>
      </c>
      <c r="H1215" t="n">
        <v>0</v>
      </c>
      <c r="I1215" t="n">
        <v>0</v>
      </c>
      <c r="J1215" t="n">
        <v>0</v>
      </c>
      <c r="K1215" t="n">
        <v>0</v>
      </c>
      <c r="L1215" t="n">
        <v>0</v>
      </c>
      <c r="M1215" t="n">
        <v>0</v>
      </c>
      <c r="N1215" t="n">
        <v>0</v>
      </c>
      <c r="O1215" t="n">
        <v>0</v>
      </c>
      <c r="P1215" t="n">
        <v>0</v>
      </c>
      <c r="Q1215" t="n">
        <v>0</v>
      </c>
      <c r="R1215" s="2" t="inlineStr"/>
    </row>
    <row r="1216" ht="15" customHeight="1">
      <c r="A1216" t="inlineStr">
        <is>
          <t>A 45890-2021</t>
        </is>
      </c>
      <c r="B1216" s="1" t="n">
        <v>44441</v>
      </c>
      <c r="C1216" s="1" t="n">
        <v>45984</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60003-2023</t>
        </is>
      </c>
      <c r="B1217" s="1" t="n">
        <v>45257</v>
      </c>
      <c r="C1217" s="1" t="n">
        <v>45984</v>
      </c>
      <c r="D1217" t="inlineStr">
        <is>
          <t>VÄSTERNORRLANDS LÄN</t>
        </is>
      </c>
      <c r="E1217" t="inlineStr">
        <is>
          <t>ÅNGE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213-2024</t>
        </is>
      </c>
      <c r="B1218" s="1" t="n">
        <v>45293</v>
      </c>
      <c r="C1218" s="1" t="n">
        <v>45984</v>
      </c>
      <c r="D1218" t="inlineStr">
        <is>
          <t>VÄSTERNORRLANDS LÄN</t>
        </is>
      </c>
      <c r="E1218" t="inlineStr">
        <is>
          <t>ÅNGE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40788-2024</t>
        </is>
      </c>
      <c r="B1219" s="1" t="n">
        <v>45558.50974537037</v>
      </c>
      <c r="C1219" s="1" t="n">
        <v>45984</v>
      </c>
      <c r="D1219" t="inlineStr">
        <is>
          <t>VÄSTERNORRLANDS LÄN</t>
        </is>
      </c>
      <c r="E1219" t="inlineStr">
        <is>
          <t>ÅNGE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741-2024</t>
        </is>
      </c>
      <c r="B1220" s="1" t="n">
        <v>45300.46591435185</v>
      </c>
      <c r="C1220" s="1" t="n">
        <v>45984</v>
      </c>
      <c r="D1220" t="inlineStr">
        <is>
          <t>VÄSTERNORRLANDS LÄN</t>
        </is>
      </c>
      <c r="E1220" t="inlineStr">
        <is>
          <t>ÅNGE</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54611-2023</t>
        </is>
      </c>
      <c r="B1221" s="1" t="n">
        <v>45233</v>
      </c>
      <c r="C1221" s="1" t="n">
        <v>45984</v>
      </c>
      <c r="D1221" t="inlineStr">
        <is>
          <t>VÄSTERNORRLANDS LÄN</t>
        </is>
      </c>
      <c r="E1221" t="inlineStr">
        <is>
          <t>ÅNGE</t>
        </is>
      </c>
      <c r="F1221" t="inlineStr">
        <is>
          <t>SCA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14673-2025</t>
        </is>
      </c>
      <c r="B1222" s="1" t="n">
        <v>45742.55309027778</v>
      </c>
      <c r="C1222" s="1" t="n">
        <v>45984</v>
      </c>
      <c r="D1222" t="inlineStr">
        <is>
          <t>VÄSTERNORRLANDS LÄN</t>
        </is>
      </c>
      <c r="E1222" t="inlineStr">
        <is>
          <t>ÅNGE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15032-2025</t>
        </is>
      </c>
      <c r="B1223" s="1" t="n">
        <v>45743.67748842593</v>
      </c>
      <c r="C1223" s="1" t="n">
        <v>45984</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7692-2024</t>
        </is>
      </c>
      <c r="B1224" s="1" t="n">
        <v>45349</v>
      </c>
      <c r="C1224" s="1" t="n">
        <v>45984</v>
      </c>
      <c r="D1224" t="inlineStr">
        <is>
          <t>VÄSTERNORRLANDS LÄN</t>
        </is>
      </c>
      <c r="E1224" t="inlineStr">
        <is>
          <t>ÅNGE</t>
        </is>
      </c>
      <c r="F1224" t="inlineStr">
        <is>
          <t>SCA</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29673-2024</t>
        </is>
      </c>
      <c r="B1225" s="1" t="n">
        <v>45484.94210648148</v>
      </c>
      <c r="C1225" s="1" t="n">
        <v>45984</v>
      </c>
      <c r="D1225" t="inlineStr">
        <is>
          <t>VÄSTERNORRLANDS LÄN</t>
        </is>
      </c>
      <c r="E1225" t="inlineStr">
        <is>
          <t>ÅNGE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5602-2025</t>
        </is>
      </c>
      <c r="B1226" s="1" t="n">
        <v>45693</v>
      </c>
      <c r="C1226" s="1" t="n">
        <v>45984</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30751-2024</t>
        </is>
      </c>
      <c r="B1227" s="1" t="n">
        <v>45496.69339120371</v>
      </c>
      <c r="C1227" s="1" t="n">
        <v>45984</v>
      </c>
      <c r="D1227" t="inlineStr">
        <is>
          <t>VÄSTERNORRLANDS LÄN</t>
        </is>
      </c>
      <c r="E1227" t="inlineStr">
        <is>
          <t>ÅNGE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38099-2024</t>
        </is>
      </c>
      <c r="B1228" s="1" t="n">
        <v>45545.35920138889</v>
      </c>
      <c r="C1228" s="1" t="n">
        <v>45984</v>
      </c>
      <c r="D1228" t="inlineStr">
        <is>
          <t>VÄSTERNORRLANDS LÄN</t>
        </is>
      </c>
      <c r="E1228" t="inlineStr">
        <is>
          <t>ÅNGE</t>
        </is>
      </c>
      <c r="F1228" t="inlineStr">
        <is>
          <t>Holmen skog AB</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44636-2024</t>
        </is>
      </c>
      <c r="B1229" s="1" t="n">
        <v>45574.51491898148</v>
      </c>
      <c r="C1229" s="1" t="n">
        <v>45984</v>
      </c>
      <c r="D1229" t="inlineStr">
        <is>
          <t>VÄSTERNORRLANDS LÄN</t>
        </is>
      </c>
      <c r="E1229" t="inlineStr">
        <is>
          <t>ÅNGE</t>
        </is>
      </c>
      <c r="F1229" t="inlineStr">
        <is>
          <t>SCA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64375-2023</t>
        </is>
      </c>
      <c r="B1230" s="1" t="n">
        <v>45280</v>
      </c>
      <c r="C1230" s="1" t="n">
        <v>45984</v>
      </c>
      <c r="D1230" t="inlineStr">
        <is>
          <t>VÄSTERNORRLANDS LÄN</t>
        </is>
      </c>
      <c r="E1230" t="inlineStr">
        <is>
          <t>ÅNGE</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60296-2021</t>
        </is>
      </c>
      <c r="B1231" s="1" t="n">
        <v>44495</v>
      </c>
      <c r="C1231" s="1" t="n">
        <v>45984</v>
      </c>
      <c r="D1231" t="inlineStr">
        <is>
          <t>VÄSTERNORRLANDS LÄN</t>
        </is>
      </c>
      <c r="E1231" t="inlineStr">
        <is>
          <t>ÅNGE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63556-2021</t>
        </is>
      </c>
      <c r="B1232" s="1" t="n">
        <v>44508.70231481481</v>
      </c>
      <c r="C1232" s="1" t="n">
        <v>45984</v>
      </c>
      <c r="D1232" t="inlineStr">
        <is>
          <t>VÄSTERNORRLANDS LÄN</t>
        </is>
      </c>
      <c r="E1232" t="inlineStr">
        <is>
          <t>ÅNGE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10922-2024</t>
        </is>
      </c>
      <c r="B1233" s="1" t="n">
        <v>45370</v>
      </c>
      <c r="C1233" s="1" t="n">
        <v>45984</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21089-2024</t>
        </is>
      </c>
      <c r="B1234" s="1" t="n">
        <v>45439.94987268518</v>
      </c>
      <c r="C1234" s="1" t="n">
        <v>45984</v>
      </c>
      <c r="D1234" t="inlineStr">
        <is>
          <t>VÄSTERNORRLANDS LÄN</t>
        </is>
      </c>
      <c r="E1234" t="inlineStr">
        <is>
          <t>ÅNGE</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64950-2023</t>
        </is>
      </c>
      <c r="B1235" s="1" t="n">
        <v>45282</v>
      </c>
      <c r="C1235" s="1" t="n">
        <v>45984</v>
      </c>
      <c r="D1235" t="inlineStr">
        <is>
          <t>VÄSTERNORRLANDS LÄN</t>
        </is>
      </c>
      <c r="E1235" t="inlineStr">
        <is>
          <t>ÅNGE</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20393-2022</t>
        </is>
      </c>
      <c r="B1236" s="1" t="n">
        <v>44699</v>
      </c>
      <c r="C1236" s="1" t="n">
        <v>45984</v>
      </c>
      <c r="D1236" t="inlineStr">
        <is>
          <t>VÄSTERNORRLANDS LÄN</t>
        </is>
      </c>
      <c r="E1236" t="inlineStr">
        <is>
          <t>ÅNGE</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4727-2023</t>
        </is>
      </c>
      <c r="B1237" s="1" t="n">
        <v>44953</v>
      </c>
      <c r="C1237" s="1" t="n">
        <v>45984</v>
      </c>
      <c r="D1237" t="inlineStr">
        <is>
          <t>VÄSTERNORRLANDS LÄN</t>
        </is>
      </c>
      <c r="E1237" t="inlineStr">
        <is>
          <t>ÅNGE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35650-2024</t>
        </is>
      </c>
      <c r="B1238" s="1" t="n">
        <v>45532.34123842593</v>
      </c>
      <c r="C1238" s="1" t="n">
        <v>45984</v>
      </c>
      <c r="D1238" t="inlineStr">
        <is>
          <t>VÄSTERNORRLANDS LÄN</t>
        </is>
      </c>
      <c r="E1238" t="inlineStr">
        <is>
          <t>ÅNGE</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3357-2024</t>
        </is>
      </c>
      <c r="B1239" s="1" t="n">
        <v>45317</v>
      </c>
      <c r="C1239" s="1" t="n">
        <v>45984</v>
      </c>
      <c r="D1239" t="inlineStr">
        <is>
          <t>VÄSTERNORRLANDS LÄN</t>
        </is>
      </c>
      <c r="E1239" t="inlineStr">
        <is>
          <t>ÅNGE</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46332-2023</t>
        </is>
      </c>
      <c r="B1240" s="1" t="n">
        <v>45196</v>
      </c>
      <c r="C1240" s="1" t="n">
        <v>45984</v>
      </c>
      <c r="D1240" t="inlineStr">
        <is>
          <t>VÄSTERNORRLANDS LÄN</t>
        </is>
      </c>
      <c r="E1240" t="inlineStr">
        <is>
          <t>ÅNGE</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64945-2023</t>
        </is>
      </c>
      <c r="B1241" s="1" t="n">
        <v>45282.94668981482</v>
      </c>
      <c r="C1241" s="1" t="n">
        <v>45984</v>
      </c>
      <c r="D1241" t="inlineStr">
        <is>
          <t>VÄSTERNORRLANDS LÄN</t>
        </is>
      </c>
      <c r="E1241" t="inlineStr">
        <is>
          <t>ÅNGE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23018-2021</t>
        </is>
      </c>
      <c r="B1242" s="1" t="n">
        <v>44328</v>
      </c>
      <c r="C1242" s="1" t="n">
        <v>45984</v>
      </c>
      <c r="D1242" t="inlineStr">
        <is>
          <t>VÄSTERNORRLANDS LÄN</t>
        </is>
      </c>
      <c r="E1242" t="inlineStr">
        <is>
          <t>ÅNGE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31866-2024</t>
        </is>
      </c>
      <c r="B1243" s="1" t="n">
        <v>45509</v>
      </c>
      <c r="C1243" s="1" t="n">
        <v>45984</v>
      </c>
      <c r="D1243" t="inlineStr">
        <is>
          <t>VÄSTERNORRLANDS LÄN</t>
        </is>
      </c>
      <c r="E1243" t="inlineStr">
        <is>
          <t>ÅNGE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31867-2024</t>
        </is>
      </c>
      <c r="B1244" s="1" t="n">
        <v>45509</v>
      </c>
      <c r="C1244" s="1" t="n">
        <v>45984</v>
      </c>
      <c r="D1244" t="inlineStr">
        <is>
          <t>VÄSTERNORRLANDS LÄN</t>
        </is>
      </c>
      <c r="E1244" t="inlineStr">
        <is>
          <t>ÅNGE</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39178-2024</t>
        </is>
      </c>
      <c r="B1245" s="1" t="n">
        <v>45548.65692129629</v>
      </c>
      <c r="C1245" s="1" t="n">
        <v>45984</v>
      </c>
      <c r="D1245" t="inlineStr">
        <is>
          <t>VÄSTERNORRLANDS LÄN</t>
        </is>
      </c>
      <c r="E1245" t="inlineStr">
        <is>
          <t>ÅNGE</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29193-2024</t>
        </is>
      </c>
      <c r="B1246" s="1" t="n">
        <v>45482.56510416666</v>
      </c>
      <c r="C1246" s="1" t="n">
        <v>45984</v>
      </c>
      <c r="D1246" t="inlineStr">
        <is>
          <t>VÄSTERNORRLANDS LÄN</t>
        </is>
      </c>
      <c r="E1246" t="inlineStr">
        <is>
          <t>ÅNGE</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42040-2024</t>
        </is>
      </c>
      <c r="B1247" s="1" t="n">
        <v>45561.80983796297</v>
      </c>
      <c r="C1247" s="1" t="n">
        <v>45984</v>
      </c>
      <c r="D1247" t="inlineStr">
        <is>
          <t>VÄSTERNORRLANDS LÄN</t>
        </is>
      </c>
      <c r="E1247" t="inlineStr">
        <is>
          <t>ÅNGE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34691-2024</t>
        </is>
      </c>
      <c r="B1248" s="1" t="n">
        <v>45526.54516203704</v>
      </c>
      <c r="C1248" s="1" t="n">
        <v>45984</v>
      </c>
      <c r="D1248" t="inlineStr">
        <is>
          <t>VÄSTERNORRLANDS LÄN</t>
        </is>
      </c>
      <c r="E1248" t="inlineStr">
        <is>
          <t>ÅNGE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54210-2024</t>
        </is>
      </c>
      <c r="B1249" s="1" t="n">
        <v>45616.65662037037</v>
      </c>
      <c r="C1249" s="1" t="n">
        <v>45984</v>
      </c>
      <c r="D1249" t="inlineStr">
        <is>
          <t>VÄSTERNORRLANDS LÄN</t>
        </is>
      </c>
      <c r="E1249" t="inlineStr">
        <is>
          <t>ÅNGE</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52805-2024</t>
        </is>
      </c>
      <c r="B1250" s="1" t="n">
        <v>45610.57344907407</v>
      </c>
      <c r="C1250" s="1" t="n">
        <v>45984</v>
      </c>
      <c r="D1250" t="inlineStr">
        <is>
          <t>VÄSTERNORRLANDS LÄN</t>
        </is>
      </c>
      <c r="E1250" t="inlineStr">
        <is>
          <t>ÅNGE</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61577-2023</t>
        </is>
      </c>
      <c r="B1251" s="1" t="n">
        <v>45265.47366898148</v>
      </c>
      <c r="C1251" s="1" t="n">
        <v>45984</v>
      </c>
      <c r="D1251" t="inlineStr">
        <is>
          <t>VÄSTERNORRLANDS LÄN</t>
        </is>
      </c>
      <c r="E1251" t="inlineStr">
        <is>
          <t>ÅNGE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1735-2025</t>
        </is>
      </c>
      <c r="B1252" s="1" t="n">
        <v>45671.38594907407</v>
      </c>
      <c r="C1252" s="1" t="n">
        <v>45984</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45939-2023</t>
        </is>
      </c>
      <c r="B1253" s="1" t="n">
        <v>45195.94578703704</v>
      </c>
      <c r="C1253" s="1" t="n">
        <v>45984</v>
      </c>
      <c r="D1253" t="inlineStr">
        <is>
          <t>VÄSTERNORRLANDS LÄN</t>
        </is>
      </c>
      <c r="E1253" t="inlineStr">
        <is>
          <t>ÅNGE</t>
        </is>
      </c>
      <c r="F1253" t="inlineStr">
        <is>
          <t>SCA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61585-2022</t>
        </is>
      </c>
      <c r="B1254" s="1" t="n">
        <v>44916.63380787037</v>
      </c>
      <c r="C1254" s="1" t="n">
        <v>45984</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3574-2025</t>
        </is>
      </c>
      <c r="B1255" s="1" t="n">
        <v>45680.71916666667</v>
      </c>
      <c r="C1255" s="1" t="n">
        <v>45984</v>
      </c>
      <c r="D1255" t="inlineStr">
        <is>
          <t>VÄSTERNORRLANDS LÄN</t>
        </is>
      </c>
      <c r="E1255" t="inlineStr">
        <is>
          <t>ÅNGE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29048-2021</t>
        </is>
      </c>
      <c r="B1256" s="1" t="n">
        <v>44358</v>
      </c>
      <c r="C1256" s="1" t="n">
        <v>45984</v>
      </c>
      <c r="D1256" t="inlineStr">
        <is>
          <t>VÄSTERNORRLANDS LÄN</t>
        </is>
      </c>
      <c r="E1256" t="inlineStr">
        <is>
          <t>ÅNGE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3022-2023</t>
        </is>
      </c>
      <c r="B1257" s="1" t="n">
        <v>44945</v>
      </c>
      <c r="C1257" s="1" t="n">
        <v>45984</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39021-2024</t>
        </is>
      </c>
      <c r="B1258" s="1" t="n">
        <v>45548</v>
      </c>
      <c r="C1258" s="1" t="n">
        <v>45984</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13875-2022</t>
        </is>
      </c>
      <c r="B1259" s="1" t="n">
        <v>44649</v>
      </c>
      <c r="C1259" s="1" t="n">
        <v>45984</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4876-2023</t>
        </is>
      </c>
      <c r="B1260" s="1" t="n">
        <v>44957.94023148148</v>
      </c>
      <c r="C1260" s="1" t="n">
        <v>45984</v>
      </c>
      <c r="D1260" t="inlineStr">
        <is>
          <t>VÄSTERNORRLANDS LÄN</t>
        </is>
      </c>
      <c r="E1260" t="inlineStr">
        <is>
          <t>ÅNGE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3362-2023</t>
        </is>
      </c>
      <c r="B1261" s="1" t="n">
        <v>44945</v>
      </c>
      <c r="C1261" s="1" t="n">
        <v>45984</v>
      </c>
      <c r="D1261" t="inlineStr">
        <is>
          <t>VÄSTERNORRLANDS LÄN</t>
        </is>
      </c>
      <c r="E1261" t="inlineStr">
        <is>
          <t>ÅNGE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44415-2021</t>
        </is>
      </c>
      <c r="B1262" s="1" t="n">
        <v>44435</v>
      </c>
      <c r="C1262" s="1" t="n">
        <v>45984</v>
      </c>
      <c r="D1262" t="inlineStr">
        <is>
          <t>VÄSTERNORRLANDS LÄN</t>
        </is>
      </c>
      <c r="E1262" t="inlineStr">
        <is>
          <t>ÅNGE</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5455-2023</t>
        </is>
      </c>
      <c r="B1263" s="1" t="n">
        <v>44959.93983796296</v>
      </c>
      <c r="C1263" s="1" t="n">
        <v>45984</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59986-2021</t>
        </is>
      </c>
      <c r="B1264" s="1" t="n">
        <v>44494</v>
      </c>
      <c r="C1264" s="1" t="n">
        <v>45984</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50235-2021</t>
        </is>
      </c>
      <c r="B1265" s="1" t="n">
        <v>44457</v>
      </c>
      <c r="C1265" s="1" t="n">
        <v>45984</v>
      </c>
      <c r="D1265" t="inlineStr">
        <is>
          <t>VÄSTERNORRLANDS LÄN</t>
        </is>
      </c>
      <c r="E1265" t="inlineStr">
        <is>
          <t>ÅNGE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47950-2024</t>
        </is>
      </c>
      <c r="B1266" s="1" t="n">
        <v>45589.36511574074</v>
      </c>
      <c r="C1266" s="1" t="n">
        <v>45984</v>
      </c>
      <c r="D1266" t="inlineStr">
        <is>
          <t>VÄSTERNORRLANDS LÄN</t>
        </is>
      </c>
      <c r="E1266" t="inlineStr">
        <is>
          <t>ÅNGE</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11299-2023</t>
        </is>
      </c>
      <c r="B1267" s="1" t="n">
        <v>44993.01074074074</v>
      </c>
      <c r="C1267" s="1" t="n">
        <v>45984</v>
      </c>
      <c r="D1267" t="inlineStr">
        <is>
          <t>VÄSTERNORRLANDS LÄN</t>
        </is>
      </c>
      <c r="E1267" t="inlineStr">
        <is>
          <t>ÅNGE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11309-2023</t>
        </is>
      </c>
      <c r="B1268" s="1" t="n">
        <v>44993.0118287037</v>
      </c>
      <c r="C1268" s="1" t="n">
        <v>45984</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62834-2021</t>
        </is>
      </c>
      <c r="B1269" s="1" t="n">
        <v>44503</v>
      </c>
      <c r="C1269" s="1" t="n">
        <v>45984</v>
      </c>
      <c r="D1269" t="inlineStr">
        <is>
          <t>VÄSTERNORRLANDS LÄN</t>
        </is>
      </c>
      <c r="E1269" t="inlineStr">
        <is>
          <t>ÅNGE</t>
        </is>
      </c>
      <c r="F1269" t="inlineStr">
        <is>
          <t>Övriga statliga verk och myndigheter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10557-2023</t>
        </is>
      </c>
      <c r="B1270" s="1" t="n">
        <v>44987</v>
      </c>
      <c r="C1270" s="1" t="n">
        <v>45984</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8418-2023</t>
        </is>
      </c>
      <c r="B1271" s="1" t="n">
        <v>44971</v>
      </c>
      <c r="C1271" s="1" t="n">
        <v>45984</v>
      </c>
      <c r="D1271" t="inlineStr">
        <is>
          <t>VÄSTERNORRLANDS LÄN</t>
        </is>
      </c>
      <c r="E1271" t="inlineStr">
        <is>
          <t>ÅNGE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4006-2022</t>
        </is>
      </c>
      <c r="B1272" s="1" t="n">
        <v>44587.92019675926</v>
      </c>
      <c r="C1272" s="1" t="n">
        <v>45984</v>
      </c>
      <c r="D1272" t="inlineStr">
        <is>
          <t>VÄSTERNORRLANDS LÄN</t>
        </is>
      </c>
      <c r="E1272" t="inlineStr">
        <is>
          <t>ÅNGE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48725-2024</t>
        </is>
      </c>
      <c r="B1273" s="1" t="n">
        <v>45593.55793981482</v>
      </c>
      <c r="C1273" s="1" t="n">
        <v>45984</v>
      </c>
      <c r="D1273" t="inlineStr">
        <is>
          <t>VÄSTERNORRLANDS LÄN</t>
        </is>
      </c>
      <c r="E1273" t="inlineStr">
        <is>
          <t>ÅNGE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48988-2021</t>
        </is>
      </c>
      <c r="B1274" s="1" t="n">
        <v>44453.43</v>
      </c>
      <c r="C1274" s="1" t="n">
        <v>45984</v>
      </c>
      <c r="D1274" t="inlineStr">
        <is>
          <t>VÄSTERNORRLANDS LÄN</t>
        </is>
      </c>
      <c r="E1274" t="inlineStr">
        <is>
          <t>ÅNGE</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1886-2024</t>
        </is>
      </c>
      <c r="B1275" s="1" t="n">
        <v>45307.96335648148</v>
      </c>
      <c r="C1275" s="1" t="n">
        <v>45984</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44979-2023</t>
        </is>
      </c>
      <c r="B1276" s="1" t="n">
        <v>45190.95752314815</v>
      </c>
      <c r="C1276" s="1" t="n">
        <v>45984</v>
      </c>
      <c r="D1276" t="inlineStr">
        <is>
          <t>VÄSTERNORRLANDS LÄN</t>
        </is>
      </c>
      <c r="E1276" t="inlineStr">
        <is>
          <t>ÅNGE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17923-2025</t>
        </is>
      </c>
      <c r="B1277" s="1" t="n">
        <v>45759.34415509259</v>
      </c>
      <c r="C1277" s="1" t="n">
        <v>45984</v>
      </c>
      <c r="D1277" t="inlineStr">
        <is>
          <t>VÄSTERNORRLANDS LÄN</t>
        </is>
      </c>
      <c r="E1277" t="inlineStr">
        <is>
          <t>ÅNGE</t>
        </is>
      </c>
      <c r="F1277" t="inlineStr">
        <is>
          <t>SCA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1582-2025</t>
        </is>
      </c>
      <c r="B1278" s="1" t="n">
        <v>45670</v>
      </c>
      <c r="C1278" s="1" t="n">
        <v>45984</v>
      </c>
      <c r="D1278" t="inlineStr">
        <is>
          <t>VÄSTERNORRLANDS LÄN</t>
        </is>
      </c>
      <c r="E1278" t="inlineStr">
        <is>
          <t>ÅNGE</t>
        </is>
      </c>
      <c r="G1278" t="n">
        <v>7.3</v>
      </c>
      <c r="H1278" t="n">
        <v>0</v>
      </c>
      <c r="I1278" t="n">
        <v>0</v>
      </c>
      <c r="J1278" t="n">
        <v>0</v>
      </c>
      <c r="K1278" t="n">
        <v>0</v>
      </c>
      <c r="L1278" t="n">
        <v>0</v>
      </c>
      <c r="M1278" t="n">
        <v>0</v>
      </c>
      <c r="N1278" t="n">
        <v>0</v>
      </c>
      <c r="O1278" t="n">
        <v>0</v>
      </c>
      <c r="P1278" t="n">
        <v>0</v>
      </c>
      <c r="Q1278" t="n">
        <v>0</v>
      </c>
      <c r="R1278" s="2" t="inlineStr"/>
      <c r="U1278">
        <f>HYPERLINK("https://klasma.github.io/Logging_2260/knärot/A 1582-2025 karta knärot.png", "A 1582-2025")</f>
        <v/>
      </c>
      <c r="V1278">
        <f>HYPERLINK("https://klasma.github.io/Logging_2260/klagomål/A 1582-2025 FSC-klagomål.docx", "A 1582-2025")</f>
        <v/>
      </c>
      <c r="W1278">
        <f>HYPERLINK("https://klasma.github.io/Logging_2260/klagomålsmail/A 1582-2025 FSC-klagomål mail.docx", "A 1582-2025")</f>
        <v/>
      </c>
      <c r="X1278">
        <f>HYPERLINK("https://klasma.github.io/Logging_2260/tillsyn/A 1582-2025 tillsynsbegäran.docx", "A 1582-2025")</f>
        <v/>
      </c>
      <c r="Y1278">
        <f>HYPERLINK("https://klasma.github.io/Logging_2260/tillsynsmail/A 1582-2025 tillsynsbegäran mail.docx", "A 1582-2025")</f>
        <v/>
      </c>
    </row>
    <row r="1279" ht="15" customHeight="1">
      <c r="A1279" t="inlineStr">
        <is>
          <t>A 54908-2021</t>
        </is>
      </c>
      <c r="B1279" s="1" t="n">
        <v>44474.39769675926</v>
      </c>
      <c r="C1279" s="1" t="n">
        <v>45984</v>
      </c>
      <c r="D1279" t="inlineStr">
        <is>
          <t>VÄSTERNORRLANDS LÄN</t>
        </is>
      </c>
      <c r="E1279" t="inlineStr">
        <is>
          <t>ÅNGE</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27951-2021</t>
        </is>
      </c>
      <c r="B1280" s="1" t="n">
        <v>44354</v>
      </c>
      <c r="C1280" s="1" t="n">
        <v>45984</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22990-2024</t>
        </is>
      </c>
      <c r="B1281" s="1" t="n">
        <v>45449.94548611111</v>
      </c>
      <c r="C1281" s="1" t="n">
        <v>45984</v>
      </c>
      <c r="D1281" t="inlineStr">
        <is>
          <t>VÄSTERNORRLANDS LÄN</t>
        </is>
      </c>
      <c r="E1281" t="inlineStr">
        <is>
          <t>ÅNGE</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39589-2022</t>
        </is>
      </c>
      <c r="B1282" s="1" t="n">
        <v>44818</v>
      </c>
      <c r="C1282" s="1" t="n">
        <v>45984</v>
      </c>
      <c r="D1282" t="inlineStr">
        <is>
          <t>VÄSTERNORRLANDS LÄN</t>
        </is>
      </c>
      <c r="E1282" t="inlineStr">
        <is>
          <t>ÅNGE</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25320-2023</t>
        </is>
      </c>
      <c r="B1283" s="1" t="n">
        <v>45086.93929398148</v>
      </c>
      <c r="C1283" s="1" t="n">
        <v>45984</v>
      </c>
      <c r="D1283" t="inlineStr">
        <is>
          <t>VÄSTERNORRLANDS LÄN</t>
        </is>
      </c>
      <c r="E1283" t="inlineStr">
        <is>
          <t>ÅNGE</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45082.94135416667</v>
      </c>
      <c r="C1284" s="1" t="n">
        <v>45984</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18542-2022</t>
        </is>
      </c>
      <c r="B1285" s="1" t="n">
        <v>44686</v>
      </c>
      <c r="C1285" s="1" t="n">
        <v>45984</v>
      </c>
      <c r="D1285" t="inlineStr">
        <is>
          <t>VÄSTERNORRLANDS LÄN</t>
        </is>
      </c>
      <c r="E1285" t="inlineStr">
        <is>
          <t>ÅNGE</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44600-2024</t>
        </is>
      </c>
      <c r="B1286" s="1" t="n">
        <v>45574.51113425926</v>
      </c>
      <c r="C1286" s="1" t="n">
        <v>45984</v>
      </c>
      <c r="D1286" t="inlineStr">
        <is>
          <t>VÄSTERNORRLANDS LÄN</t>
        </is>
      </c>
      <c r="E1286" t="inlineStr">
        <is>
          <t>ÅNGE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26013-2024</t>
        </is>
      </c>
      <c r="B1287" s="1" t="n">
        <v>45467</v>
      </c>
      <c r="C1287" s="1" t="n">
        <v>45984</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25377-2024</t>
        </is>
      </c>
      <c r="B1288" s="1" t="n">
        <v>45462.96211805556</v>
      </c>
      <c r="C1288" s="1" t="n">
        <v>45984</v>
      </c>
      <c r="D1288" t="inlineStr">
        <is>
          <t>VÄSTERNORRLANDS LÄN</t>
        </is>
      </c>
      <c r="E1288" t="inlineStr">
        <is>
          <t>ÅNGE</t>
        </is>
      </c>
      <c r="F1288" t="inlineStr">
        <is>
          <t>SCA</t>
        </is>
      </c>
      <c r="G1288" t="n">
        <v>20.7</v>
      </c>
      <c r="H1288" t="n">
        <v>0</v>
      </c>
      <c r="I1288" t="n">
        <v>0</v>
      </c>
      <c r="J1288" t="n">
        <v>0</v>
      </c>
      <c r="K1288" t="n">
        <v>0</v>
      </c>
      <c r="L1288" t="n">
        <v>0</v>
      </c>
      <c r="M1288" t="n">
        <v>0</v>
      </c>
      <c r="N1288" t="n">
        <v>0</v>
      </c>
      <c r="O1288" t="n">
        <v>0</v>
      </c>
      <c r="P1288" t="n">
        <v>0</v>
      </c>
      <c r="Q1288" t="n">
        <v>0</v>
      </c>
      <c r="R1288" s="2" t="inlineStr"/>
    </row>
    <row r="1289" ht="15" customHeight="1">
      <c r="A1289" t="inlineStr">
        <is>
          <t>A 56956-2022</t>
        </is>
      </c>
      <c r="B1289" s="1" t="n">
        <v>44894</v>
      </c>
      <c r="C1289" s="1" t="n">
        <v>45984</v>
      </c>
      <c r="D1289" t="inlineStr">
        <is>
          <t>VÄSTERNORRLANDS LÄN</t>
        </is>
      </c>
      <c r="E1289" t="inlineStr">
        <is>
          <t>ÅNGE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4883-2023</t>
        </is>
      </c>
      <c r="B1290" s="1" t="n">
        <v>44957</v>
      </c>
      <c r="C1290" s="1" t="n">
        <v>45984</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8755-2022</t>
        </is>
      </c>
      <c r="B1291" s="1" t="n">
        <v>44614</v>
      </c>
      <c r="C1291" s="1" t="n">
        <v>45984</v>
      </c>
      <c r="D1291" t="inlineStr">
        <is>
          <t>VÄSTERNORRLANDS LÄN</t>
        </is>
      </c>
      <c r="E1291" t="inlineStr">
        <is>
          <t>ÅNGE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30747-2024</t>
        </is>
      </c>
      <c r="B1292" s="1" t="n">
        <v>45496</v>
      </c>
      <c r="C1292" s="1" t="n">
        <v>45984</v>
      </c>
      <c r="D1292" t="inlineStr">
        <is>
          <t>VÄSTERNORRLANDS LÄN</t>
        </is>
      </c>
      <c r="E1292" t="inlineStr">
        <is>
          <t>ÅNGE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58929-2024</t>
        </is>
      </c>
      <c r="B1293" s="1" t="n">
        <v>45636.51090277778</v>
      </c>
      <c r="C1293" s="1" t="n">
        <v>45984</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46254-2023</t>
        </is>
      </c>
      <c r="B1294" s="1" t="n">
        <v>45196</v>
      </c>
      <c r="C1294" s="1" t="n">
        <v>45984</v>
      </c>
      <c r="D1294" t="inlineStr">
        <is>
          <t>VÄSTERNORRLANDS LÄN</t>
        </is>
      </c>
      <c r="E1294" t="inlineStr">
        <is>
          <t>ÅNGE</t>
        </is>
      </c>
      <c r="F1294" t="inlineStr">
        <is>
          <t>SCA</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46262-2023</t>
        </is>
      </c>
      <c r="B1295" s="1" t="n">
        <v>45196.93855324074</v>
      </c>
      <c r="C1295" s="1" t="n">
        <v>45984</v>
      </c>
      <c r="D1295" t="inlineStr">
        <is>
          <t>VÄSTERNORRLANDS LÄN</t>
        </is>
      </c>
      <c r="E1295" t="inlineStr">
        <is>
          <t>ÅNGE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45027-2023</t>
        </is>
      </c>
      <c r="B1296" s="1" t="n">
        <v>45190.96303240741</v>
      </c>
      <c r="C1296" s="1" t="n">
        <v>45984</v>
      </c>
      <c r="D1296" t="inlineStr">
        <is>
          <t>VÄSTERNORRLANDS LÄN</t>
        </is>
      </c>
      <c r="E1296" t="inlineStr">
        <is>
          <t>ÅNGE</t>
        </is>
      </c>
      <c r="F1296" t="inlineStr">
        <is>
          <t>SCA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21409-2022</t>
        </is>
      </c>
      <c r="B1297" s="1" t="n">
        <v>44705.9406712963</v>
      </c>
      <c r="C1297" s="1" t="n">
        <v>45984</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55380-2024</t>
        </is>
      </c>
      <c r="B1298" s="1" t="n">
        <v>45622.28810185185</v>
      </c>
      <c r="C1298" s="1" t="n">
        <v>45984</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22678-2024</t>
        </is>
      </c>
      <c r="B1299" s="1" t="n">
        <v>45447.94533564815</v>
      </c>
      <c r="C1299" s="1" t="n">
        <v>45984</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10084-2023</t>
        </is>
      </c>
      <c r="B1300" s="1" t="n">
        <v>44985.94465277778</v>
      </c>
      <c r="C1300" s="1" t="n">
        <v>45984</v>
      </c>
      <c r="D1300" t="inlineStr">
        <is>
          <t>VÄSTERNORRLANDS LÄN</t>
        </is>
      </c>
      <c r="E1300" t="inlineStr">
        <is>
          <t>ÅNGE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39991-2023</t>
        </is>
      </c>
      <c r="B1301" s="1" t="n">
        <v>45168.6043287037</v>
      </c>
      <c r="C1301" s="1" t="n">
        <v>45984</v>
      </c>
      <c r="D1301" t="inlineStr">
        <is>
          <t>VÄSTERNORRLANDS LÄN</t>
        </is>
      </c>
      <c r="E1301" t="inlineStr">
        <is>
          <t>ÅNGE</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15167-2025</t>
        </is>
      </c>
      <c r="B1302" s="1" t="n">
        <v>45744.49009259259</v>
      </c>
      <c r="C1302" s="1" t="n">
        <v>45984</v>
      </c>
      <c r="D1302" t="inlineStr">
        <is>
          <t>VÄSTERNORRLANDS LÄN</t>
        </is>
      </c>
      <c r="E1302" t="inlineStr">
        <is>
          <t>ÅNGE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30556-2023</t>
        </is>
      </c>
      <c r="B1303" s="1" t="n">
        <v>45111.87935185185</v>
      </c>
      <c r="C1303" s="1" t="n">
        <v>45984</v>
      </c>
      <c r="D1303" t="inlineStr">
        <is>
          <t>VÄSTERNORRLANDS LÄN</t>
        </is>
      </c>
      <c r="E1303" t="inlineStr">
        <is>
          <t>ÅNGE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5393-2025</t>
        </is>
      </c>
      <c r="B1304" s="1" t="n">
        <v>45692.63574074074</v>
      </c>
      <c r="C1304" s="1" t="n">
        <v>45984</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34971-2023</t>
        </is>
      </c>
      <c r="B1305" s="1" t="n">
        <v>45142.61635416667</v>
      </c>
      <c r="C1305" s="1" t="n">
        <v>45984</v>
      </c>
      <c r="D1305" t="inlineStr">
        <is>
          <t>VÄSTERNORRLANDS LÄN</t>
        </is>
      </c>
      <c r="E1305" t="inlineStr">
        <is>
          <t>ÅNGE</t>
        </is>
      </c>
      <c r="F1305" t="inlineStr">
        <is>
          <t>Sveaskog</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9480-2022</t>
        </is>
      </c>
      <c r="B1306" s="1" t="n">
        <v>44616</v>
      </c>
      <c r="C1306" s="1" t="n">
        <v>45984</v>
      </c>
      <c r="D1306" t="inlineStr">
        <is>
          <t>VÄSTERNORRLANDS LÄN</t>
        </is>
      </c>
      <c r="E1306" t="inlineStr">
        <is>
          <t>ÅNGE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18617-2024</t>
        </is>
      </c>
      <c r="B1307" s="1" t="n">
        <v>45425</v>
      </c>
      <c r="C1307" s="1" t="n">
        <v>45984</v>
      </c>
      <c r="D1307" t="inlineStr">
        <is>
          <t>VÄSTERNORRLANDS LÄN</t>
        </is>
      </c>
      <c r="E1307" t="inlineStr">
        <is>
          <t>ÅNGE</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8868-2023</t>
        </is>
      </c>
      <c r="B1308" s="1" t="n">
        <v>44978</v>
      </c>
      <c r="C1308" s="1" t="n">
        <v>45984</v>
      </c>
      <c r="D1308" t="inlineStr">
        <is>
          <t>VÄSTERNORRLANDS LÄN</t>
        </is>
      </c>
      <c r="E1308" t="inlineStr">
        <is>
          <t>ÅNGE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10917-2024</t>
        </is>
      </c>
      <c r="B1309" s="1" t="n">
        <v>45370</v>
      </c>
      <c r="C1309" s="1" t="n">
        <v>45984</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43775-2022</t>
        </is>
      </c>
      <c r="B1310" s="1" t="n">
        <v>44837.95053240741</v>
      </c>
      <c r="C1310" s="1" t="n">
        <v>45984</v>
      </c>
      <c r="D1310" t="inlineStr">
        <is>
          <t>VÄSTERNORRLANDS LÄN</t>
        </is>
      </c>
      <c r="E1310" t="inlineStr">
        <is>
          <t>ÅNGE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27306-2024</t>
        </is>
      </c>
      <c r="B1311" s="1" t="n">
        <v>45471.94454861111</v>
      </c>
      <c r="C1311" s="1" t="n">
        <v>45984</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11396-2024</t>
        </is>
      </c>
      <c r="B1312" s="1" t="n">
        <v>45372</v>
      </c>
      <c r="C1312" s="1" t="n">
        <v>45984</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25680-2023</t>
        </is>
      </c>
      <c r="B1313" s="1" t="n">
        <v>45089</v>
      </c>
      <c r="C1313" s="1" t="n">
        <v>45984</v>
      </c>
      <c r="D1313" t="inlineStr">
        <is>
          <t>VÄSTERNORRLANDS LÄN</t>
        </is>
      </c>
      <c r="E1313" t="inlineStr">
        <is>
          <t>ÅNGE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59818-2024</t>
        </is>
      </c>
      <c r="B1314" s="1" t="n">
        <v>45639.63572916666</v>
      </c>
      <c r="C1314" s="1" t="n">
        <v>45984</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1769-2023</t>
        </is>
      </c>
      <c r="B1315" s="1" t="n">
        <v>44938.58025462963</v>
      </c>
      <c r="C1315" s="1" t="n">
        <v>45984</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1775-2023</t>
        </is>
      </c>
      <c r="B1316" s="1" t="n">
        <v>44938</v>
      </c>
      <c r="C1316" s="1" t="n">
        <v>45984</v>
      </c>
      <c r="D1316" t="inlineStr">
        <is>
          <t>VÄSTERNORRLANDS LÄN</t>
        </is>
      </c>
      <c r="E1316" t="inlineStr">
        <is>
          <t>ÅNGE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10878-2024</t>
        </is>
      </c>
      <c r="B1317" s="1" t="n">
        <v>45370</v>
      </c>
      <c r="C1317" s="1" t="n">
        <v>45984</v>
      </c>
      <c r="D1317" t="inlineStr">
        <is>
          <t>VÄSTERNORRLANDS LÄN</t>
        </is>
      </c>
      <c r="E1317" t="inlineStr">
        <is>
          <t>ÅNGE</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19066-2024</t>
        </is>
      </c>
      <c r="B1318" s="1" t="n">
        <v>45427</v>
      </c>
      <c r="C1318" s="1" t="n">
        <v>45984</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3629-2023</t>
        </is>
      </c>
      <c r="B1319" s="1" t="n">
        <v>44950</v>
      </c>
      <c r="C1319" s="1" t="n">
        <v>45984</v>
      </c>
      <c r="D1319" t="inlineStr">
        <is>
          <t>VÄSTERNORRLANDS LÄN</t>
        </is>
      </c>
      <c r="E1319" t="inlineStr">
        <is>
          <t>ÅNGE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3631-2023</t>
        </is>
      </c>
      <c r="B1320" s="1" t="n">
        <v>44950</v>
      </c>
      <c r="C1320" s="1" t="n">
        <v>45984</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31177-2024</t>
        </is>
      </c>
      <c r="B1321" s="1" t="n">
        <v>45503</v>
      </c>
      <c r="C1321" s="1" t="n">
        <v>45984</v>
      </c>
      <c r="D1321" t="inlineStr">
        <is>
          <t>VÄSTERNORRLANDS LÄN</t>
        </is>
      </c>
      <c r="E1321" t="inlineStr">
        <is>
          <t>ÅNGE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50179-2024</t>
        </is>
      </c>
      <c r="B1322" s="1" t="n">
        <v>45600</v>
      </c>
      <c r="C1322" s="1" t="n">
        <v>45984</v>
      </c>
      <c r="D1322" t="inlineStr">
        <is>
          <t>VÄSTERNORRLANDS LÄN</t>
        </is>
      </c>
      <c r="E1322" t="inlineStr">
        <is>
          <t>ÅNGE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2140-2023</t>
        </is>
      </c>
      <c r="B1323" s="1" t="n">
        <v>44940</v>
      </c>
      <c r="C1323" s="1" t="n">
        <v>45984</v>
      </c>
      <c r="D1323" t="inlineStr">
        <is>
          <t>VÄSTERNORRLANDS LÄN</t>
        </is>
      </c>
      <c r="E1323" t="inlineStr">
        <is>
          <t>ÅNGE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30347-2024</t>
        </is>
      </c>
      <c r="B1324" s="1" t="n">
        <v>45490.95515046296</v>
      </c>
      <c r="C1324" s="1" t="n">
        <v>45984</v>
      </c>
      <c r="D1324" t="inlineStr">
        <is>
          <t>VÄSTERNORRLANDS LÄN</t>
        </is>
      </c>
      <c r="E1324" t="inlineStr">
        <is>
          <t>ÅNGE</t>
        </is>
      </c>
      <c r="F1324" t="inlineStr">
        <is>
          <t>SCA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55177-2024</t>
        </is>
      </c>
      <c r="B1325" s="1" t="n">
        <v>45621.53179398148</v>
      </c>
      <c r="C1325" s="1" t="n">
        <v>45984</v>
      </c>
      <c r="D1325" t="inlineStr">
        <is>
          <t>VÄSTERNORRLANDS LÄN</t>
        </is>
      </c>
      <c r="E1325" t="inlineStr">
        <is>
          <t>ÅNGE</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43096-2023</t>
        </is>
      </c>
      <c r="B1326" s="1" t="n">
        <v>45182</v>
      </c>
      <c r="C1326" s="1" t="n">
        <v>45984</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3322-2025</t>
        </is>
      </c>
      <c r="B1327" s="1" t="n">
        <v>45679.6989699074</v>
      </c>
      <c r="C1327" s="1" t="n">
        <v>45984</v>
      </c>
      <c r="D1327" t="inlineStr">
        <is>
          <t>VÄSTERNORRLANDS LÄN</t>
        </is>
      </c>
      <c r="E1327" t="inlineStr">
        <is>
          <t>ÅNGE</t>
        </is>
      </c>
      <c r="F1327" t="inlineStr">
        <is>
          <t>SCA</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3327-2025</t>
        </is>
      </c>
      <c r="B1328" s="1" t="n">
        <v>45679.69967592593</v>
      </c>
      <c r="C1328" s="1" t="n">
        <v>45984</v>
      </c>
      <c r="D1328" t="inlineStr">
        <is>
          <t>VÄSTERNORRLANDS LÄN</t>
        </is>
      </c>
      <c r="E1328" t="inlineStr">
        <is>
          <t>ÅNGE</t>
        </is>
      </c>
      <c r="F1328" t="inlineStr">
        <is>
          <t>SCA</t>
        </is>
      </c>
      <c r="G1328" t="n">
        <v>12.9</v>
      </c>
      <c r="H1328" t="n">
        <v>0</v>
      </c>
      <c r="I1328" t="n">
        <v>0</v>
      </c>
      <c r="J1328" t="n">
        <v>0</v>
      </c>
      <c r="K1328" t="n">
        <v>0</v>
      </c>
      <c r="L1328" t="n">
        <v>0</v>
      </c>
      <c r="M1328" t="n">
        <v>0</v>
      </c>
      <c r="N1328" t="n">
        <v>0</v>
      </c>
      <c r="O1328" t="n">
        <v>0</v>
      </c>
      <c r="P1328" t="n">
        <v>0</v>
      </c>
      <c r="Q1328" t="n">
        <v>0</v>
      </c>
      <c r="R1328" s="2" t="inlineStr"/>
    </row>
    <row r="1329" ht="15" customHeight="1">
      <c r="A1329" t="inlineStr">
        <is>
          <t>A 3947-2025</t>
        </is>
      </c>
      <c r="B1329" s="1" t="n">
        <v>45684.49001157407</v>
      </c>
      <c r="C1329" s="1" t="n">
        <v>45984</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15603-2024</t>
        </is>
      </c>
      <c r="B1330" s="1" t="n">
        <v>45401.92501157407</v>
      </c>
      <c r="C1330" s="1" t="n">
        <v>45984</v>
      </c>
      <c r="D1330" t="inlineStr">
        <is>
          <t>VÄSTERNORRLANDS LÄN</t>
        </is>
      </c>
      <c r="E1330" t="inlineStr">
        <is>
          <t>ÅNGE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52804-2024</t>
        </is>
      </c>
      <c r="B1331" s="1" t="n">
        <v>45610.57322916666</v>
      </c>
      <c r="C1331" s="1" t="n">
        <v>45984</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21151-2024</t>
        </is>
      </c>
      <c r="B1332" s="1" t="n">
        <v>45440</v>
      </c>
      <c r="C1332" s="1" t="n">
        <v>45984</v>
      </c>
      <c r="D1332" t="inlineStr">
        <is>
          <t>VÄSTERNORRLANDS LÄN</t>
        </is>
      </c>
      <c r="E1332" t="inlineStr">
        <is>
          <t>ÅNGE</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13706-2023</t>
        </is>
      </c>
      <c r="B1333" s="1" t="n">
        <v>45006</v>
      </c>
      <c r="C1333" s="1" t="n">
        <v>45984</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6462-2024</t>
        </is>
      </c>
      <c r="B1334" s="1" t="n">
        <v>45338</v>
      </c>
      <c r="C1334" s="1" t="n">
        <v>45984</v>
      </c>
      <c r="D1334" t="inlineStr">
        <is>
          <t>VÄSTERNORRLANDS LÄN</t>
        </is>
      </c>
      <c r="E1334" t="inlineStr">
        <is>
          <t>ÅNGE</t>
        </is>
      </c>
      <c r="F1334" t="inlineStr">
        <is>
          <t>Kyrkan</t>
        </is>
      </c>
      <c r="G1334" t="n">
        <v>9.199999999999999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26490-2024</t>
        </is>
      </c>
      <c r="B1335" s="1" t="n">
        <v>45469</v>
      </c>
      <c r="C1335" s="1" t="n">
        <v>45984</v>
      </c>
      <c r="D1335" t="inlineStr">
        <is>
          <t>VÄSTERNORRLANDS LÄN</t>
        </is>
      </c>
      <c r="E1335" t="inlineStr">
        <is>
          <t>ÅNGE</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33747-2024</t>
        </is>
      </c>
      <c r="B1336" s="1" t="n">
        <v>45520</v>
      </c>
      <c r="C1336" s="1" t="n">
        <v>45984</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34754-2024</t>
        </is>
      </c>
      <c r="B1337" s="1" t="n">
        <v>45526</v>
      </c>
      <c r="C1337" s="1" t="n">
        <v>45984</v>
      </c>
      <c r="D1337" t="inlineStr">
        <is>
          <t>VÄSTERNORRLANDS LÄN</t>
        </is>
      </c>
      <c r="E1337" t="inlineStr">
        <is>
          <t>ÅNGE</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22411-2023</t>
        </is>
      </c>
      <c r="B1338" s="1" t="n">
        <v>45070</v>
      </c>
      <c r="C1338" s="1" t="n">
        <v>45984</v>
      </c>
      <c r="D1338" t="inlineStr">
        <is>
          <t>VÄSTERNORRLANDS LÄN</t>
        </is>
      </c>
      <c r="E1338" t="inlineStr">
        <is>
          <t>ÅNGE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4071-2025</t>
        </is>
      </c>
      <c r="B1339" s="1" t="n">
        <v>45684.63579861111</v>
      </c>
      <c r="C1339" s="1" t="n">
        <v>45984</v>
      </c>
      <c r="D1339" t="inlineStr">
        <is>
          <t>VÄSTERNORRLANDS LÄN</t>
        </is>
      </c>
      <c r="E1339" t="inlineStr">
        <is>
          <t>ÅNGE</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6619-2025</t>
        </is>
      </c>
      <c r="B1340" s="1" t="n">
        <v>45700.36541666667</v>
      </c>
      <c r="C1340" s="1" t="n">
        <v>45984</v>
      </c>
      <c r="D1340" t="inlineStr">
        <is>
          <t>VÄSTERNORRLANDS LÄN</t>
        </is>
      </c>
      <c r="E1340" t="inlineStr">
        <is>
          <t>ÅNGE</t>
        </is>
      </c>
      <c r="F1340" t="inlineStr">
        <is>
          <t>SCA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8070-2022</t>
        </is>
      </c>
      <c r="B1341" s="1" t="n">
        <v>44609.48665509259</v>
      </c>
      <c r="C1341" s="1" t="n">
        <v>45984</v>
      </c>
      <c r="D1341" t="inlineStr">
        <is>
          <t>VÄSTERNORRLANDS LÄN</t>
        </is>
      </c>
      <c r="E1341" t="inlineStr">
        <is>
          <t>ÅNGE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14097-2022</t>
        </is>
      </c>
      <c r="B1342" s="1" t="n">
        <v>44651</v>
      </c>
      <c r="C1342" s="1" t="n">
        <v>45984</v>
      </c>
      <c r="D1342" t="inlineStr">
        <is>
          <t>VÄSTERNORRLANDS LÄN</t>
        </is>
      </c>
      <c r="E1342" t="inlineStr">
        <is>
          <t>ÅNGE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29667-2024</t>
        </is>
      </c>
      <c r="B1343" s="1" t="n">
        <v>45484.94041666666</v>
      </c>
      <c r="C1343" s="1" t="n">
        <v>45984</v>
      </c>
      <c r="D1343" t="inlineStr">
        <is>
          <t>VÄSTERNORRLANDS LÄN</t>
        </is>
      </c>
      <c r="E1343" t="inlineStr">
        <is>
          <t>ÅNGE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39975-2023</t>
        </is>
      </c>
      <c r="B1344" s="1" t="n">
        <v>45168.58844907407</v>
      </c>
      <c r="C1344" s="1" t="n">
        <v>45984</v>
      </c>
      <c r="D1344" t="inlineStr">
        <is>
          <t>VÄSTERNORRLANDS LÄN</t>
        </is>
      </c>
      <c r="E1344" t="inlineStr">
        <is>
          <t>ÅNGE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32776-2022</t>
        </is>
      </c>
      <c r="B1345" s="1" t="n">
        <v>44783.94607638889</v>
      </c>
      <c r="C1345" s="1" t="n">
        <v>45984</v>
      </c>
      <c r="D1345" t="inlineStr">
        <is>
          <t>VÄSTERNORRLANDS LÄN</t>
        </is>
      </c>
      <c r="E1345" t="inlineStr">
        <is>
          <t>ÅNGE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11032-2025</t>
        </is>
      </c>
      <c r="B1346" s="1" t="n">
        <v>45723.47601851852</v>
      </c>
      <c r="C1346" s="1" t="n">
        <v>45984</v>
      </c>
      <c r="D1346" t="inlineStr">
        <is>
          <t>VÄSTERNORRLANDS LÄN</t>
        </is>
      </c>
      <c r="E1346" t="inlineStr">
        <is>
          <t>ÅNGE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56874-2024</t>
        </is>
      </c>
      <c r="B1347" s="1" t="n">
        <v>45628</v>
      </c>
      <c r="C1347" s="1" t="n">
        <v>45984</v>
      </c>
      <c r="D1347" t="inlineStr">
        <is>
          <t>VÄSTERNORRLANDS LÄN</t>
        </is>
      </c>
      <c r="E1347" t="inlineStr">
        <is>
          <t>ÅNGE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16657-2025</t>
        </is>
      </c>
      <c r="B1348" s="1" t="n">
        <v>45754.40700231482</v>
      </c>
      <c r="C1348" s="1" t="n">
        <v>45984</v>
      </c>
      <c r="D1348" t="inlineStr">
        <is>
          <t>VÄSTERNORRLANDS LÄN</t>
        </is>
      </c>
      <c r="E1348" t="inlineStr">
        <is>
          <t>ÅNGE</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6608-2025</t>
        </is>
      </c>
      <c r="B1349" s="1" t="n">
        <v>45700.34415509259</v>
      </c>
      <c r="C1349" s="1" t="n">
        <v>45984</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51871-2024</t>
        </is>
      </c>
      <c r="B1350" s="1" t="n">
        <v>45607</v>
      </c>
      <c r="C1350" s="1" t="n">
        <v>45984</v>
      </c>
      <c r="D1350" t="inlineStr">
        <is>
          <t>VÄSTERNORRLANDS LÄN</t>
        </is>
      </c>
      <c r="E1350" t="inlineStr">
        <is>
          <t>ÅNGE</t>
        </is>
      </c>
      <c r="F1350" t="inlineStr">
        <is>
          <t>SCA</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19065-2025</t>
        </is>
      </c>
      <c r="B1351" s="1" t="n">
        <v>45765</v>
      </c>
      <c r="C1351" s="1" t="n">
        <v>45984</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36290-2023</t>
        </is>
      </c>
      <c r="B1352" s="1" t="n">
        <v>45152.35467592593</v>
      </c>
      <c r="C1352" s="1" t="n">
        <v>45984</v>
      </c>
      <c r="D1352" t="inlineStr">
        <is>
          <t>VÄSTERNORRLANDS LÄN</t>
        </is>
      </c>
      <c r="E1352" t="inlineStr">
        <is>
          <t>ÅNGE</t>
        </is>
      </c>
      <c r="F1352" t="inlineStr">
        <is>
          <t>Övriga Aktiebolag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48369-2024</t>
        </is>
      </c>
      <c r="B1353" s="1" t="n">
        <v>45590.57960648148</v>
      </c>
      <c r="C1353" s="1" t="n">
        <v>45984</v>
      </c>
      <c r="D1353" t="inlineStr">
        <is>
          <t>VÄSTERNORRLANDS LÄN</t>
        </is>
      </c>
      <c r="E1353" t="inlineStr">
        <is>
          <t>ÅNGE</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1714-2025</t>
        </is>
      </c>
      <c r="B1354" s="1" t="n">
        <v>45671.32474537037</v>
      </c>
      <c r="C1354" s="1" t="n">
        <v>45984</v>
      </c>
      <c r="D1354" t="inlineStr">
        <is>
          <t>VÄSTERNORRLANDS LÄN</t>
        </is>
      </c>
      <c r="E1354" t="inlineStr">
        <is>
          <t>ÅNGE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11529-2023</t>
        </is>
      </c>
      <c r="B1355" s="1" t="n">
        <v>44993</v>
      </c>
      <c r="C1355" s="1" t="n">
        <v>45984</v>
      </c>
      <c r="D1355" t="inlineStr">
        <is>
          <t>VÄSTERNORRLANDS LÄN</t>
        </is>
      </c>
      <c r="E1355" t="inlineStr">
        <is>
          <t>ÅNGE</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31182-2024</t>
        </is>
      </c>
      <c r="B1356" s="1" t="n">
        <v>45503</v>
      </c>
      <c r="C1356" s="1" t="n">
        <v>45984</v>
      </c>
      <c r="D1356" t="inlineStr">
        <is>
          <t>VÄSTERNORRLANDS LÄN</t>
        </is>
      </c>
      <c r="E1356" t="inlineStr">
        <is>
          <t>ÅNGE</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41758-2024</t>
        </is>
      </c>
      <c r="B1357" s="1" t="n">
        <v>45561.34478009259</v>
      </c>
      <c r="C1357" s="1" t="n">
        <v>45984</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5433-2024</t>
        </is>
      </c>
      <c r="B1358" s="1" t="n">
        <v>45331</v>
      </c>
      <c r="C1358" s="1" t="n">
        <v>45984</v>
      </c>
      <c r="D1358" t="inlineStr">
        <is>
          <t>VÄSTERNORRLANDS LÄN</t>
        </is>
      </c>
      <c r="E1358" t="inlineStr">
        <is>
          <t>ÅNGE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19926-2025</t>
        </is>
      </c>
      <c r="B1359" s="1" t="n">
        <v>45771.6357175926</v>
      </c>
      <c r="C1359" s="1" t="n">
        <v>45984</v>
      </c>
      <c r="D1359" t="inlineStr">
        <is>
          <t>VÄSTERNORRLANDS LÄN</t>
        </is>
      </c>
      <c r="E1359" t="inlineStr">
        <is>
          <t>ÅNGE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51055-2023</t>
        </is>
      </c>
      <c r="B1360" s="1" t="n">
        <v>45218</v>
      </c>
      <c r="C1360" s="1" t="n">
        <v>45984</v>
      </c>
      <c r="D1360" t="inlineStr">
        <is>
          <t>VÄSTERNORRLANDS LÄN</t>
        </is>
      </c>
      <c r="E1360" t="inlineStr">
        <is>
          <t>ÅNGE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6684-2024</t>
        </is>
      </c>
      <c r="B1361" s="1" t="n">
        <v>45341.92555555556</v>
      </c>
      <c r="C1361" s="1" t="n">
        <v>45984</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113-2025</t>
        </is>
      </c>
      <c r="B1362" s="1" t="n">
        <v>45659.5106712963</v>
      </c>
      <c r="C1362" s="1" t="n">
        <v>45984</v>
      </c>
      <c r="D1362" t="inlineStr">
        <is>
          <t>VÄSTERNORRLANDS LÄN</t>
        </is>
      </c>
      <c r="E1362" t="inlineStr">
        <is>
          <t>ÅNGE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1403-2025</t>
        </is>
      </c>
      <c r="B1363" s="1" t="n">
        <v>45667.70548611111</v>
      </c>
      <c r="C1363" s="1" t="n">
        <v>45984</v>
      </c>
      <c r="D1363" t="inlineStr">
        <is>
          <t>VÄSTERNORRLANDS LÄN</t>
        </is>
      </c>
      <c r="E1363" t="inlineStr">
        <is>
          <t>ÅNGE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39619-2024</t>
        </is>
      </c>
      <c r="B1364" s="1" t="n">
        <v>45552</v>
      </c>
      <c r="C1364" s="1" t="n">
        <v>45984</v>
      </c>
      <c r="D1364" t="inlineStr">
        <is>
          <t>VÄSTERNORRLANDS LÄN</t>
        </is>
      </c>
      <c r="E1364" t="inlineStr">
        <is>
          <t>ÅNGE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58774-2023</t>
        </is>
      </c>
      <c r="B1365" s="1" t="n">
        <v>45251</v>
      </c>
      <c r="C1365" s="1" t="n">
        <v>45984</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4359-2025</t>
        </is>
      </c>
      <c r="B1366" s="1" t="n">
        <v>45686.33072916666</v>
      </c>
      <c r="C1366" s="1" t="n">
        <v>45984</v>
      </c>
      <c r="D1366" t="inlineStr">
        <is>
          <t>VÄSTERNORRLANDS LÄN</t>
        </is>
      </c>
      <c r="E1366" t="inlineStr">
        <is>
          <t>ÅNGE</t>
        </is>
      </c>
      <c r="F1366" t="inlineStr">
        <is>
          <t>Holmen skog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11399-2025</t>
        </is>
      </c>
      <c r="B1367" s="1" t="n">
        <v>45726.57364583333</v>
      </c>
      <c r="C1367" s="1" t="n">
        <v>45984</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15822-2025</t>
        </is>
      </c>
      <c r="B1368" s="1" t="n">
        <v>45748.70172453704</v>
      </c>
      <c r="C1368" s="1" t="n">
        <v>45984</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57591-2022</t>
        </is>
      </c>
      <c r="B1369" s="1" t="n">
        <v>44896.97834490741</v>
      </c>
      <c r="C1369" s="1" t="n">
        <v>45984</v>
      </c>
      <c r="D1369" t="inlineStr">
        <is>
          <t>VÄSTERNORRLANDS LÄN</t>
        </is>
      </c>
      <c r="E1369" t="inlineStr">
        <is>
          <t>ÅNGE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17044-2023</t>
        </is>
      </c>
      <c r="B1370" s="1" t="n">
        <v>45034</v>
      </c>
      <c r="C1370" s="1" t="n">
        <v>45984</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60812-2024</t>
        </is>
      </c>
      <c r="B1371" s="1" t="n">
        <v>45644</v>
      </c>
      <c r="C1371" s="1" t="n">
        <v>45984</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58943-2022</t>
        </is>
      </c>
      <c r="B1372" s="1" t="n">
        <v>44903.64400462963</v>
      </c>
      <c r="C1372" s="1" t="n">
        <v>45984</v>
      </c>
      <c r="D1372" t="inlineStr">
        <is>
          <t>VÄSTERNORRLANDS LÄN</t>
        </is>
      </c>
      <c r="E1372" t="inlineStr">
        <is>
          <t>ÅNGE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1103-2023</t>
        </is>
      </c>
      <c r="B1373" s="1" t="n">
        <v>44929</v>
      </c>
      <c r="C1373" s="1" t="n">
        <v>45984</v>
      </c>
      <c r="D1373" t="inlineStr">
        <is>
          <t>VÄSTERNORRLANDS LÄN</t>
        </is>
      </c>
      <c r="E1373" t="inlineStr">
        <is>
          <t>ÅNGE</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57526-2024</t>
        </is>
      </c>
      <c r="B1374" s="1" t="n">
        <v>45630</v>
      </c>
      <c r="C1374" s="1" t="n">
        <v>45984</v>
      </c>
      <c r="D1374" t="inlineStr">
        <is>
          <t>VÄSTERNORRLANDS LÄN</t>
        </is>
      </c>
      <c r="E1374" t="inlineStr">
        <is>
          <t>ÅNGE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18456-2024</t>
        </is>
      </c>
      <c r="B1375" s="1" t="n">
        <v>45425.46831018518</v>
      </c>
      <c r="C1375" s="1" t="n">
        <v>45984</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44180-2023</t>
        </is>
      </c>
      <c r="B1376" s="1" t="n">
        <v>45183</v>
      </c>
      <c r="C1376" s="1" t="n">
        <v>45984</v>
      </c>
      <c r="D1376" t="inlineStr">
        <is>
          <t>VÄSTERNORRLANDS LÄN</t>
        </is>
      </c>
      <c r="E1376" t="inlineStr">
        <is>
          <t>ÅNGE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5197-2025</t>
        </is>
      </c>
      <c r="B1377" s="1" t="n">
        <v>45691.65701388889</v>
      </c>
      <c r="C1377" s="1" t="n">
        <v>45984</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5246-2025</t>
        </is>
      </c>
      <c r="B1378" s="1" t="n">
        <v>45692.34427083333</v>
      </c>
      <c r="C1378" s="1" t="n">
        <v>45984</v>
      </c>
      <c r="D1378" t="inlineStr">
        <is>
          <t>VÄSTERNORRLANDS LÄN</t>
        </is>
      </c>
      <c r="E1378" t="inlineStr">
        <is>
          <t>ÅNGE</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41829-2021</t>
        </is>
      </c>
      <c r="B1379" s="1" t="n">
        <v>44425.92202546296</v>
      </c>
      <c r="C1379" s="1" t="n">
        <v>45984</v>
      </c>
      <c r="D1379" t="inlineStr">
        <is>
          <t>VÄSTERNORRLANDS LÄN</t>
        </is>
      </c>
      <c r="E1379" t="inlineStr">
        <is>
          <t>ÅNGE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50612-2024</t>
        </is>
      </c>
      <c r="B1380" s="1" t="n">
        <v>45601</v>
      </c>
      <c r="C1380" s="1" t="n">
        <v>45984</v>
      </c>
      <c r="D1380" t="inlineStr">
        <is>
          <t>VÄSTERNORRLANDS LÄN</t>
        </is>
      </c>
      <c r="E1380" t="inlineStr">
        <is>
          <t>ÅNGE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13491-2023</t>
        </is>
      </c>
      <c r="B1381" s="1" t="n">
        <v>45005.93929398148</v>
      </c>
      <c r="C1381" s="1" t="n">
        <v>45984</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47243-2024</t>
        </is>
      </c>
      <c r="B1382" s="1" t="n">
        <v>45586.6987962963</v>
      </c>
      <c r="C1382" s="1" t="n">
        <v>45984</v>
      </c>
      <c r="D1382" t="inlineStr">
        <is>
          <t>VÄSTERNORRLANDS LÄN</t>
        </is>
      </c>
      <c r="E1382" t="inlineStr">
        <is>
          <t>ÅNGE</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37540-2024</t>
        </is>
      </c>
      <c r="B1383" s="1" t="n">
        <v>45541.42111111111</v>
      </c>
      <c r="C1383" s="1" t="n">
        <v>45984</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42948-2024</t>
        </is>
      </c>
      <c r="B1384" s="1" t="n">
        <v>45567.36628472222</v>
      </c>
      <c r="C1384" s="1" t="n">
        <v>45984</v>
      </c>
      <c r="D1384" t="inlineStr">
        <is>
          <t>VÄSTERNORRLANDS LÄN</t>
        </is>
      </c>
      <c r="E1384" t="inlineStr">
        <is>
          <t>ÅNGE</t>
        </is>
      </c>
      <c r="F1384" t="inlineStr">
        <is>
          <t>SCA</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54585-2024</t>
        </is>
      </c>
      <c r="B1385" s="1" t="n">
        <v>45617.65762731482</v>
      </c>
      <c r="C1385" s="1" t="n">
        <v>45984</v>
      </c>
      <c r="D1385" t="inlineStr">
        <is>
          <t>VÄSTERNORRLANDS LÄN</t>
        </is>
      </c>
      <c r="E1385" t="inlineStr">
        <is>
          <t>ÅNGE</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15404-2025</t>
        </is>
      </c>
      <c r="B1386" s="1" t="n">
        <v>45747.44665509259</v>
      </c>
      <c r="C1386" s="1" t="n">
        <v>45984</v>
      </c>
      <c r="D1386" t="inlineStr">
        <is>
          <t>VÄSTERNORRLANDS LÄN</t>
        </is>
      </c>
      <c r="E1386" t="inlineStr">
        <is>
          <t>ÅNGE</t>
        </is>
      </c>
      <c r="G1386" t="n">
        <v>11.8</v>
      </c>
      <c r="H1386" t="n">
        <v>0</v>
      </c>
      <c r="I1386" t="n">
        <v>0</v>
      </c>
      <c r="J1386" t="n">
        <v>0</v>
      </c>
      <c r="K1386" t="n">
        <v>0</v>
      </c>
      <c r="L1386" t="n">
        <v>0</v>
      </c>
      <c r="M1386" t="n">
        <v>0</v>
      </c>
      <c r="N1386" t="n">
        <v>0</v>
      </c>
      <c r="O1386" t="n">
        <v>0</v>
      </c>
      <c r="P1386" t="n">
        <v>0</v>
      </c>
      <c r="Q1386" t="n">
        <v>0</v>
      </c>
      <c r="R1386" s="2" t="inlineStr"/>
    </row>
    <row r="1387" ht="15" customHeight="1">
      <c r="A1387" t="inlineStr">
        <is>
          <t>A 17703-2025</t>
        </is>
      </c>
      <c r="B1387" s="1" t="n">
        <v>45758.4275462963</v>
      </c>
      <c r="C1387" s="1" t="n">
        <v>45984</v>
      </c>
      <c r="D1387" t="inlineStr">
        <is>
          <t>VÄSTERNORRLANDS LÄN</t>
        </is>
      </c>
      <c r="E1387" t="inlineStr">
        <is>
          <t>ÅNGE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42529-2024</t>
        </is>
      </c>
      <c r="B1388" s="1" t="n">
        <v>45565.57324074074</v>
      </c>
      <c r="C1388" s="1" t="n">
        <v>45984</v>
      </c>
      <c r="D1388" t="inlineStr">
        <is>
          <t>VÄSTERNORRLANDS LÄN</t>
        </is>
      </c>
      <c r="E1388" t="inlineStr">
        <is>
          <t>ÅNGE</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3966-2025</t>
        </is>
      </c>
      <c r="B1389" s="1" t="n">
        <v>45684.51072916666</v>
      </c>
      <c r="C1389" s="1" t="n">
        <v>45984</v>
      </c>
      <c r="D1389" t="inlineStr">
        <is>
          <t>VÄSTERNORRLANDS LÄN</t>
        </is>
      </c>
      <c r="E1389" t="inlineStr">
        <is>
          <t>ÅNGE</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54316-2024</t>
        </is>
      </c>
      <c r="B1390" s="1" t="n">
        <v>45617.34443287037</v>
      </c>
      <c r="C1390" s="1" t="n">
        <v>45984</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4186-2025</t>
        </is>
      </c>
      <c r="B1391" s="1" t="n">
        <v>45685.44827546296</v>
      </c>
      <c r="C1391" s="1" t="n">
        <v>45984</v>
      </c>
      <c r="D1391" t="inlineStr">
        <is>
          <t>VÄSTERNORRLANDS LÄN</t>
        </is>
      </c>
      <c r="E1391" t="inlineStr">
        <is>
          <t>ÅNGE</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53209-2024</t>
        </is>
      </c>
      <c r="B1392" s="1" t="n">
        <v>45612.51079861111</v>
      </c>
      <c r="C1392" s="1" t="n">
        <v>45984</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15778-2025</t>
        </is>
      </c>
      <c r="B1393" s="1" t="n">
        <v>45748.60030092593</v>
      </c>
      <c r="C1393" s="1" t="n">
        <v>45984</v>
      </c>
      <c r="D1393" t="inlineStr">
        <is>
          <t>VÄSTERNORRLANDS LÄN</t>
        </is>
      </c>
      <c r="E1393" t="inlineStr">
        <is>
          <t>ÅNGE</t>
        </is>
      </c>
      <c r="F1393" t="inlineStr">
        <is>
          <t>SCA</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17718-2025</t>
        </is>
      </c>
      <c r="B1394" s="1" t="n">
        <v>45758.44815972223</v>
      </c>
      <c r="C1394" s="1" t="n">
        <v>45984</v>
      </c>
      <c r="D1394" t="inlineStr">
        <is>
          <t>VÄSTERNORRLANDS LÄN</t>
        </is>
      </c>
      <c r="E1394" t="inlineStr">
        <is>
          <t>ÅNGE</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38246-2024</t>
        </is>
      </c>
      <c r="B1395" s="1" t="n">
        <v>45545.57327546296</v>
      </c>
      <c r="C1395" s="1" t="n">
        <v>45984</v>
      </c>
      <c r="D1395" t="inlineStr">
        <is>
          <t>VÄSTERNORRLANDS LÄN</t>
        </is>
      </c>
      <c r="E1395" t="inlineStr">
        <is>
          <t>ÅNGE</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26943-2024</t>
        </is>
      </c>
      <c r="B1396" s="1" t="n">
        <v>45470</v>
      </c>
      <c r="C1396" s="1" t="n">
        <v>45984</v>
      </c>
      <c r="D1396" t="inlineStr">
        <is>
          <t>VÄSTERNORRLANDS LÄN</t>
        </is>
      </c>
      <c r="E1396" t="inlineStr">
        <is>
          <t>ÅNGE</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53512-2023</t>
        </is>
      </c>
      <c r="B1397" s="1" t="n">
        <v>45230</v>
      </c>
      <c r="C1397" s="1" t="n">
        <v>45984</v>
      </c>
      <c r="D1397" t="inlineStr">
        <is>
          <t>VÄSTERNORRLANDS LÄN</t>
        </is>
      </c>
      <c r="E1397" t="inlineStr">
        <is>
          <t>ÅNGE</t>
        </is>
      </c>
      <c r="F1397" t="inlineStr">
        <is>
          <t>Holmen skog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20776-2025</t>
        </is>
      </c>
      <c r="B1398" s="1" t="n">
        <v>45776.59410879629</v>
      </c>
      <c r="C1398" s="1" t="n">
        <v>45984</v>
      </c>
      <c r="D1398" t="inlineStr">
        <is>
          <t>VÄSTERNORRLANDS LÄN</t>
        </is>
      </c>
      <c r="E1398" t="inlineStr">
        <is>
          <t>ÅNGE</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20718-2025</t>
        </is>
      </c>
      <c r="B1399" s="1" t="n">
        <v>45776.49047453704</v>
      </c>
      <c r="C1399" s="1" t="n">
        <v>45984</v>
      </c>
      <c r="D1399" t="inlineStr">
        <is>
          <t>VÄSTERNORRLANDS LÄN</t>
        </is>
      </c>
      <c r="E1399" t="inlineStr">
        <is>
          <t>ÅNGE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20864-2025</t>
        </is>
      </c>
      <c r="B1400" s="1" t="n">
        <v>45777.34417824074</v>
      </c>
      <c r="C1400" s="1" t="n">
        <v>45984</v>
      </c>
      <c r="D1400" t="inlineStr">
        <is>
          <t>VÄSTERNORRLANDS LÄN</t>
        </is>
      </c>
      <c r="E1400" t="inlineStr">
        <is>
          <t>ÅNGE</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21068-2025</t>
        </is>
      </c>
      <c r="B1401" s="1" t="n">
        <v>45777.59413194445</v>
      </c>
      <c r="C1401" s="1" t="n">
        <v>45984</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20868-2025</t>
        </is>
      </c>
      <c r="B1402" s="1" t="n">
        <v>45777.34483796296</v>
      </c>
      <c r="C1402" s="1" t="n">
        <v>45984</v>
      </c>
      <c r="D1402" t="inlineStr">
        <is>
          <t>VÄSTERNORRLANDS LÄN</t>
        </is>
      </c>
      <c r="E1402" t="inlineStr">
        <is>
          <t>ÅNGE</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21176-2025</t>
        </is>
      </c>
      <c r="B1403" s="1" t="n">
        <v>45779.42798611111</v>
      </c>
      <c r="C1403" s="1" t="n">
        <v>45984</v>
      </c>
      <c r="D1403" t="inlineStr">
        <is>
          <t>VÄSTERNORRLANDS LÄN</t>
        </is>
      </c>
      <c r="E1403" t="inlineStr">
        <is>
          <t>ÅNGE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21197-2025</t>
        </is>
      </c>
      <c r="B1404" s="1" t="n">
        <v>45779.46949074074</v>
      </c>
      <c r="C1404" s="1" t="n">
        <v>45984</v>
      </c>
      <c r="D1404" t="inlineStr">
        <is>
          <t>VÄSTERNORRLANDS LÄN</t>
        </is>
      </c>
      <c r="E1404" t="inlineStr">
        <is>
          <t>ÅNGE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21563-2025</t>
        </is>
      </c>
      <c r="B1405" s="1" t="n">
        <v>45782.69822916666</v>
      </c>
      <c r="C1405" s="1" t="n">
        <v>45984</v>
      </c>
      <c r="D1405" t="inlineStr">
        <is>
          <t>VÄSTERNORRLANDS LÄN</t>
        </is>
      </c>
      <c r="E1405" t="inlineStr">
        <is>
          <t>ÅNGE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45030-2024</t>
        </is>
      </c>
      <c r="B1406" s="1" t="n">
        <v>45575.52089120371</v>
      </c>
      <c r="C1406" s="1" t="n">
        <v>45984</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21263-2025</t>
        </is>
      </c>
      <c r="B1407" s="1" t="n">
        <v>45779.61233796296</v>
      </c>
      <c r="C1407" s="1" t="n">
        <v>45984</v>
      </c>
      <c r="D1407" t="inlineStr">
        <is>
          <t>VÄSTERNORRLANDS LÄN</t>
        </is>
      </c>
      <c r="E1407" t="inlineStr">
        <is>
          <t>ÅNGE</t>
        </is>
      </c>
      <c r="F1407" t="inlineStr">
        <is>
          <t>Sveaskog</t>
        </is>
      </c>
      <c r="G1407" t="n">
        <v>14.9</v>
      </c>
      <c r="H1407" t="n">
        <v>0</v>
      </c>
      <c r="I1407" t="n">
        <v>0</v>
      </c>
      <c r="J1407" t="n">
        <v>0</v>
      </c>
      <c r="K1407" t="n">
        <v>0</v>
      </c>
      <c r="L1407" t="n">
        <v>0</v>
      </c>
      <c r="M1407" t="n">
        <v>0</v>
      </c>
      <c r="N1407" t="n">
        <v>0</v>
      </c>
      <c r="O1407" t="n">
        <v>0</v>
      </c>
      <c r="P1407" t="n">
        <v>0</v>
      </c>
      <c r="Q1407" t="n">
        <v>0</v>
      </c>
      <c r="R1407" s="2" t="inlineStr"/>
    </row>
    <row r="1408" ht="15" customHeight="1">
      <c r="A1408" t="inlineStr">
        <is>
          <t>A 21174-2025</t>
        </is>
      </c>
      <c r="B1408" s="1" t="n">
        <v>45779.42746527777</v>
      </c>
      <c r="C1408" s="1" t="n">
        <v>45984</v>
      </c>
      <c r="D1408" t="inlineStr">
        <is>
          <t>VÄSTERNORRLANDS LÄN</t>
        </is>
      </c>
      <c r="E1408" t="inlineStr">
        <is>
          <t>ÅNGE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21251-2025</t>
        </is>
      </c>
      <c r="B1409" s="1" t="n">
        <v>45779.57417824074</v>
      </c>
      <c r="C1409" s="1" t="n">
        <v>45984</v>
      </c>
      <c r="D1409" t="inlineStr">
        <is>
          <t>VÄSTERNORRLANDS LÄN</t>
        </is>
      </c>
      <c r="E1409" t="inlineStr">
        <is>
          <t>ÅNGE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21712-2025</t>
        </is>
      </c>
      <c r="B1410" s="1" t="n">
        <v>45783.53210648148</v>
      </c>
      <c r="C1410" s="1" t="n">
        <v>45984</v>
      </c>
      <c r="D1410" t="inlineStr">
        <is>
          <t>VÄSTERNORRLANDS LÄN</t>
        </is>
      </c>
      <c r="E1410" t="inlineStr">
        <is>
          <t>ÅNGE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2539-2025</t>
        </is>
      </c>
      <c r="B1411" s="1" t="n">
        <v>45674.61581018518</v>
      </c>
      <c r="C1411" s="1" t="n">
        <v>45984</v>
      </c>
      <c r="D1411" t="inlineStr">
        <is>
          <t>VÄSTERNORRLANDS LÄN</t>
        </is>
      </c>
      <c r="E1411" t="inlineStr">
        <is>
          <t>ÅNGE</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22187-2024</t>
        </is>
      </c>
      <c r="B1412" s="1" t="n">
        <v>45446.35222222222</v>
      </c>
      <c r="C1412" s="1" t="n">
        <v>45984</v>
      </c>
      <c r="D1412" t="inlineStr">
        <is>
          <t>VÄSTERNORRLANDS LÄN</t>
        </is>
      </c>
      <c r="E1412" t="inlineStr">
        <is>
          <t>ÅNGE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21883-2025</t>
        </is>
      </c>
      <c r="B1413" s="1" t="n">
        <v>45784.41361111111</v>
      </c>
      <c r="C1413" s="1" t="n">
        <v>45984</v>
      </c>
      <c r="D1413" t="inlineStr">
        <is>
          <t>VÄSTERNORRLANDS LÄN</t>
        </is>
      </c>
      <c r="E1413" t="inlineStr">
        <is>
          <t>ÅNGE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21597-2025</t>
        </is>
      </c>
      <c r="B1414" s="1" t="n">
        <v>45783.34493055556</v>
      </c>
      <c r="C1414" s="1" t="n">
        <v>45984</v>
      </c>
      <c r="D1414" t="inlineStr">
        <is>
          <t>VÄSTERNORRLANDS LÄN</t>
        </is>
      </c>
      <c r="E1414" t="inlineStr">
        <is>
          <t>ÅNGE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25867-2024</t>
        </is>
      </c>
      <c r="B1415" s="1" t="n">
        <v>45463</v>
      </c>
      <c r="C1415" s="1" t="n">
        <v>45984</v>
      </c>
      <c r="D1415" t="inlineStr">
        <is>
          <t>VÄSTERNORRLANDS LÄN</t>
        </is>
      </c>
      <c r="E1415" t="inlineStr">
        <is>
          <t>ÅNGE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17669-2023</t>
        </is>
      </c>
      <c r="B1416" s="1" t="n">
        <v>45036.94457175926</v>
      </c>
      <c r="C1416" s="1" t="n">
        <v>45984</v>
      </c>
      <c r="D1416" t="inlineStr">
        <is>
          <t>VÄSTERNORRLANDS LÄN</t>
        </is>
      </c>
      <c r="E1416" t="inlineStr">
        <is>
          <t>ÅNGE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29395-2023</t>
        </is>
      </c>
      <c r="B1417" s="1" t="n">
        <v>45106.4359837963</v>
      </c>
      <c r="C1417" s="1" t="n">
        <v>45984</v>
      </c>
      <c r="D1417" t="inlineStr">
        <is>
          <t>VÄSTERNORRLANDS LÄN</t>
        </is>
      </c>
      <c r="E1417" t="inlineStr">
        <is>
          <t>ÅNGE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21862-2025</t>
        </is>
      </c>
      <c r="B1418" s="1" t="n">
        <v>45784.36519675926</v>
      </c>
      <c r="C1418" s="1" t="n">
        <v>45984</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21982-2025</t>
        </is>
      </c>
      <c r="B1419" s="1" t="n">
        <v>45784.65660879629</v>
      </c>
      <c r="C1419" s="1" t="n">
        <v>45984</v>
      </c>
      <c r="D1419" t="inlineStr">
        <is>
          <t>VÄSTERNORRLANDS LÄN</t>
        </is>
      </c>
      <c r="E1419" t="inlineStr">
        <is>
          <t>ÅNGE</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54295-2024</t>
        </is>
      </c>
      <c r="B1420" s="1" t="n">
        <v>45617</v>
      </c>
      <c r="C1420" s="1" t="n">
        <v>45984</v>
      </c>
      <c r="D1420" t="inlineStr">
        <is>
          <t>VÄSTERNORRLANDS LÄN</t>
        </is>
      </c>
      <c r="E1420" t="inlineStr">
        <is>
          <t>ÅNGE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21686-2025</t>
        </is>
      </c>
      <c r="B1421" s="1" t="n">
        <v>45783.490625</v>
      </c>
      <c r="C1421" s="1" t="n">
        <v>45984</v>
      </c>
      <c r="D1421" t="inlineStr">
        <is>
          <t>VÄSTERNORRLANDS LÄN</t>
        </is>
      </c>
      <c r="E1421" t="inlineStr">
        <is>
          <t>ÅNGE</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21741-2025</t>
        </is>
      </c>
      <c r="B1422" s="1" t="n">
        <v>45783.59415509259</v>
      </c>
      <c r="C1422" s="1" t="n">
        <v>45984</v>
      </c>
      <c r="D1422" t="inlineStr">
        <is>
          <t>VÄSTERNORRLANDS LÄN</t>
        </is>
      </c>
      <c r="E1422" t="inlineStr">
        <is>
          <t>ÅNGE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39119-2024</t>
        </is>
      </c>
      <c r="B1423" s="1" t="n">
        <v>45548.58939814815</v>
      </c>
      <c r="C1423" s="1" t="n">
        <v>45984</v>
      </c>
      <c r="D1423" t="inlineStr">
        <is>
          <t>VÄSTERNORRLANDS LÄN</t>
        </is>
      </c>
      <c r="E1423" t="inlineStr">
        <is>
          <t>ÅNGE</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21685-2025</t>
        </is>
      </c>
      <c r="B1424" s="1" t="n">
        <v>45783.49050925926</v>
      </c>
      <c r="C1424" s="1" t="n">
        <v>45984</v>
      </c>
      <c r="D1424" t="inlineStr">
        <is>
          <t>VÄSTERNORRLANDS LÄN</t>
        </is>
      </c>
      <c r="E1424" t="inlineStr">
        <is>
          <t>ÅNGE</t>
        </is>
      </c>
      <c r="F1424" t="inlineStr">
        <is>
          <t>SCA</t>
        </is>
      </c>
      <c r="G1424" t="n">
        <v>1.4</v>
      </c>
      <c r="H1424" t="n">
        <v>0</v>
      </c>
      <c r="I1424" t="n">
        <v>0</v>
      </c>
      <c r="J1424" t="n">
        <v>0</v>
      </c>
      <c r="K1424" t="n">
        <v>0</v>
      </c>
      <c r="L1424" t="n">
        <v>0</v>
      </c>
      <c r="M1424" t="n">
        <v>0</v>
      </c>
      <c r="N1424" t="n">
        <v>0</v>
      </c>
      <c r="O1424" t="n">
        <v>0</v>
      </c>
      <c r="P1424" t="n">
        <v>0</v>
      </c>
      <c r="Q1424" t="n">
        <v>0</v>
      </c>
      <c r="R1424" s="2" t="inlineStr"/>
    </row>
    <row r="1425">
      <c r="A1425" t="inlineStr">
        <is>
          <t>A 32257-2024</t>
        </is>
      </c>
      <c r="B1425" s="1" t="n">
        <v>45511</v>
      </c>
      <c r="C1425" s="1" t="n">
        <v>45984</v>
      </c>
      <c r="D1425" t="inlineStr">
        <is>
          <t>VÄSTERNORRLANDS LÄN</t>
        </is>
      </c>
      <c r="E1425" t="inlineStr">
        <is>
          <t>ÅNGE</t>
        </is>
      </c>
      <c r="F1425" t="inlineStr">
        <is>
          <t>SCA</t>
        </is>
      </c>
      <c r="G1425" t="n">
        <v>4.7</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2025-11-23T10:16:06Z</dcterms:created>
  <dcterms:modified xmlns:dcterms="http://purl.org/dc/terms/" xmlns:xsi="http://www.w3.org/2001/XMLSchema-instance" xsi:type="dcterms:W3CDTF">2025-11-23T10:16:07Z</dcterms:modified>
</cp:coreProperties>
</file>