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46178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46178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46178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46178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46178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46178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46178</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46178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46178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46178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46178</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46178</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46178</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46178</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46178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46178</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46178</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46178</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51024-2024</t>
        </is>
      </c>
      <c r="B29" s="1" t="n">
        <v>45603</v>
      </c>
      <c r="C29" s="1" t="n">
        <v>46178</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30841-2023</t>
        </is>
      </c>
      <c r="B30" s="1" t="n">
        <v>45112</v>
      </c>
      <c r="C30" s="1" t="n">
        <v>46178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46178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46178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46375-2025</t>
        </is>
      </c>
      <c r="B33" s="1" t="n">
        <v>45925</v>
      </c>
      <c r="C33" s="1" t="n">
        <v>46178</v>
      </c>
      <c r="D33" t="inlineStr">
        <is>
          <t>VÄSTERNORRLANDS LÄN</t>
        </is>
      </c>
      <c r="E33" t="inlineStr">
        <is>
          <t>ÅNGE</t>
        </is>
      </c>
      <c r="F33" t="inlineStr">
        <is>
          <t>SCA</t>
        </is>
      </c>
      <c r="G33" t="n">
        <v>4.7</v>
      </c>
      <c r="H33" t="n">
        <v>4</v>
      </c>
      <c r="I33" t="n">
        <v>3</v>
      </c>
      <c r="J33" t="n">
        <v>7</v>
      </c>
      <c r="K33" t="n">
        <v>1</v>
      </c>
      <c r="L33" t="n">
        <v>0</v>
      </c>
      <c r="M33" t="n">
        <v>0</v>
      </c>
      <c r="N33" t="n">
        <v>0</v>
      </c>
      <c r="O33" t="n">
        <v>8</v>
      </c>
      <c r="P33" t="n">
        <v>1</v>
      </c>
      <c r="Q33" t="n">
        <v>12</v>
      </c>
      <c r="R33" s="2" t="inlineStr">
        <is>
          <t>Knärot
Brunpudrad nållav
Garnlav
Lunglav
Spillkråka
Tretåig hackspett
Ullticka
Vitgrynig nållav
Dropptaggsvamp
Gulnål
Nästlav
Tjäder</t>
        </is>
      </c>
      <c r="S33">
        <f>HYPERLINK("https://klasma.github.io/Logging_2260/artfynd/A 46375-2025 artfynd.xlsx", "A 46375-2025")</f>
        <v/>
      </c>
      <c r="T33">
        <f>HYPERLINK("https://klasma.github.io/Logging_2260/kartor/A 46375-2025 karta.png", "A 46375-2025")</f>
        <v/>
      </c>
      <c r="U33">
        <f>HYPERLINK("https://klasma.github.io/Logging_2260/knärot/A 46375-2025 karta knärot.png", "A 46375-2025")</f>
        <v/>
      </c>
      <c r="V33">
        <f>HYPERLINK("https://klasma.github.io/Logging_2260/klagomål/A 46375-2025 FSC-klagomål.docx", "A 46375-2025")</f>
        <v/>
      </c>
      <c r="W33">
        <f>HYPERLINK("https://klasma.github.io/Logging_2260/klagomålsmail/A 46375-2025 FSC-klagomål mail.docx", "A 46375-2025")</f>
        <v/>
      </c>
      <c r="X33">
        <f>HYPERLINK("https://klasma.github.io/Logging_2260/tillsyn/A 46375-2025 tillsynsbegäran.docx", "A 46375-2025")</f>
        <v/>
      </c>
      <c r="Y33">
        <f>HYPERLINK("https://klasma.github.io/Logging_2260/tillsynsmail/A 46375-2025 tillsynsbegäran mail.docx", "A 46375-2025")</f>
        <v/>
      </c>
      <c r="Z33">
        <f>HYPERLINK("https://klasma.github.io/Logging_2260/fåglar/A 46375-2025 prioriterade fågelarter.docx", "A 46375-2025")</f>
        <v/>
      </c>
    </row>
    <row r="34" ht="15" customHeight="1">
      <c r="A34" t="inlineStr">
        <is>
          <t>A 48738-2024</t>
        </is>
      </c>
      <c r="B34" s="1" t="n">
        <v>45593</v>
      </c>
      <c r="C34" s="1" t="n">
        <v>46178</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42309-2021</t>
        </is>
      </c>
      <c r="B35" s="1" t="n">
        <v>44427</v>
      </c>
      <c r="C35" s="1" t="n">
        <v>46178</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46178</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46178</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46178</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11894-2022</t>
        </is>
      </c>
      <c r="B39" s="1" t="n">
        <v>44635</v>
      </c>
      <c r="C39" s="1" t="n">
        <v>46178</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46178</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30474-2025</t>
        </is>
      </c>
      <c r="B41" s="1" t="n">
        <v>45828.34430555555</v>
      </c>
      <c r="C41" s="1" t="n">
        <v>46178</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5435-2026</t>
        </is>
      </c>
      <c r="B42" s="1" t="n">
        <v>46050</v>
      </c>
      <c r="C42" s="1" t="n">
        <v>46178</v>
      </c>
      <c r="D42" t="inlineStr">
        <is>
          <t>VÄSTERNORRLANDS LÄN</t>
        </is>
      </c>
      <c r="E42" t="inlineStr">
        <is>
          <t>ÅNGE</t>
        </is>
      </c>
      <c r="F42" t="inlineStr">
        <is>
          <t>SCA</t>
        </is>
      </c>
      <c r="G42" t="n">
        <v>19.9</v>
      </c>
      <c r="H42" t="n">
        <v>0</v>
      </c>
      <c r="I42" t="n">
        <v>1</v>
      </c>
      <c r="J42" t="n">
        <v>8</v>
      </c>
      <c r="K42" t="n">
        <v>1</v>
      </c>
      <c r="L42" t="n">
        <v>0</v>
      </c>
      <c r="M42" t="n">
        <v>0</v>
      </c>
      <c r="N42" t="n">
        <v>0</v>
      </c>
      <c r="O42" t="n">
        <v>9</v>
      </c>
      <c r="P42" t="n">
        <v>1</v>
      </c>
      <c r="Q42" t="n">
        <v>10</v>
      </c>
      <c r="R42" s="2" t="inlineStr">
        <is>
          <t>Gräddporing
Blanksvart spiklav
Blågrå svartspik
Dvärgbägarlav
Kolflarnlav
Mörk kolflarnlav
Nordtagging
Vedflamlav
Vedskivlav
Dropptaggsvamp</t>
        </is>
      </c>
      <c r="S42">
        <f>HYPERLINK("https://klasma.github.io/Logging_2260/artfynd/A 5435-2026 artfynd.xlsx", "A 5435-2026")</f>
        <v/>
      </c>
      <c r="T42">
        <f>HYPERLINK("https://klasma.github.io/Logging_2260/kartor/A 5435-2026 karta.png", "A 5435-2026")</f>
        <v/>
      </c>
      <c r="V42">
        <f>HYPERLINK("https://klasma.github.io/Logging_2260/klagomål/A 5435-2026 FSC-klagomål.docx", "A 5435-2026")</f>
        <v/>
      </c>
      <c r="W42">
        <f>HYPERLINK("https://klasma.github.io/Logging_2260/klagomålsmail/A 5435-2026 FSC-klagomål mail.docx", "A 5435-2026")</f>
        <v/>
      </c>
      <c r="X42">
        <f>HYPERLINK("https://klasma.github.io/Logging_2260/tillsyn/A 5435-2026 tillsynsbegäran.docx", "A 5435-2026")</f>
        <v/>
      </c>
      <c r="Y42">
        <f>HYPERLINK("https://klasma.github.io/Logging_2260/tillsynsmail/A 5435-2026 tillsynsbegäran mail.docx", "A 5435-2026")</f>
        <v/>
      </c>
    </row>
    <row r="43" ht="15" customHeight="1">
      <c r="A43" t="inlineStr">
        <is>
          <t>A 30840-2023</t>
        </is>
      </c>
      <c r="B43" s="1" t="n">
        <v>45112</v>
      </c>
      <c r="C43" s="1" t="n">
        <v>46178</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39496-2024</t>
        </is>
      </c>
      <c r="B44" s="1" t="n">
        <v>45551</v>
      </c>
      <c r="C44" s="1" t="n">
        <v>46178</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46178</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61524-2025</t>
        </is>
      </c>
      <c r="B46" s="1" t="n">
        <v>46001.68811342592</v>
      </c>
      <c r="C46" s="1" t="n">
        <v>46178</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25323-2023</t>
        </is>
      </c>
      <c r="B47" s="1" t="n">
        <v>45086</v>
      </c>
      <c r="C47" s="1" t="n">
        <v>46178</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34786-2021</t>
        </is>
      </c>
      <c r="B48" s="1" t="n">
        <v>44382</v>
      </c>
      <c r="C48" s="1" t="n">
        <v>46178</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46178</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46178</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46178</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46178</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46178</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46178</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46178</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31113-2025</t>
        </is>
      </c>
      <c r="B56" s="1" t="n">
        <v>45832.61501157407</v>
      </c>
      <c r="C56" s="1" t="n">
        <v>46178</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46178</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46417-2025</t>
        </is>
      </c>
      <c r="B58" s="1" t="n">
        <v>45925.59454861111</v>
      </c>
      <c r="C58" s="1" t="n">
        <v>46178</v>
      </c>
      <c r="D58" t="inlineStr">
        <is>
          <t>VÄSTERNORRLANDS LÄN</t>
        </is>
      </c>
      <c r="E58" t="inlineStr">
        <is>
          <t>ÅNGE</t>
        </is>
      </c>
      <c r="F58" t="inlineStr">
        <is>
          <t>SCA</t>
        </is>
      </c>
      <c r="G58" t="n">
        <v>6.6</v>
      </c>
      <c r="H58" t="n">
        <v>2</v>
      </c>
      <c r="I58" t="n">
        <v>1</v>
      </c>
      <c r="J58" t="n">
        <v>6</v>
      </c>
      <c r="K58" t="n">
        <v>0</v>
      </c>
      <c r="L58" t="n">
        <v>0</v>
      </c>
      <c r="M58" t="n">
        <v>0</v>
      </c>
      <c r="N58" t="n">
        <v>0</v>
      </c>
      <c r="O58" t="n">
        <v>6</v>
      </c>
      <c r="P58" t="n">
        <v>0</v>
      </c>
      <c r="Q58" t="n">
        <v>8</v>
      </c>
      <c r="R58" s="2" t="inlineStr">
        <is>
          <t>Garnlav
Kolflarnlav
Lunglav
Tretåig hackspett
Violettgrå tagellav
Vitgrynig nållav
Norrlandslav
Tjäder</t>
        </is>
      </c>
      <c r="S58">
        <f>HYPERLINK("https://klasma.github.io/Logging_2260/artfynd/A 46417-2025 artfynd.xlsx", "A 46417-2025")</f>
        <v/>
      </c>
      <c r="T58">
        <f>HYPERLINK("https://klasma.github.io/Logging_2260/kartor/A 46417-2025 karta.png", "A 46417-2025")</f>
        <v/>
      </c>
      <c r="V58">
        <f>HYPERLINK("https://klasma.github.io/Logging_2260/klagomål/A 46417-2025 FSC-klagomål.docx", "A 46417-2025")</f>
        <v/>
      </c>
      <c r="W58">
        <f>HYPERLINK("https://klasma.github.io/Logging_2260/klagomålsmail/A 46417-2025 FSC-klagomål mail.docx", "A 46417-2025")</f>
        <v/>
      </c>
      <c r="X58">
        <f>HYPERLINK("https://klasma.github.io/Logging_2260/tillsyn/A 46417-2025 tillsynsbegäran.docx", "A 46417-2025")</f>
        <v/>
      </c>
      <c r="Y58">
        <f>HYPERLINK("https://klasma.github.io/Logging_2260/tillsynsmail/A 46417-2025 tillsynsbegäran mail.docx", "A 46417-2025")</f>
        <v/>
      </c>
      <c r="Z58">
        <f>HYPERLINK("https://klasma.github.io/Logging_2260/fåglar/A 46417-2025 prioriterade fågelarter.docx", "A 46417-2025")</f>
        <v/>
      </c>
    </row>
    <row r="59" ht="15" customHeight="1">
      <c r="A59" t="inlineStr">
        <is>
          <t>A 3966-2025</t>
        </is>
      </c>
      <c r="B59" s="1" t="n">
        <v>45684.51072916666</v>
      </c>
      <c r="C59" s="1" t="n">
        <v>46178</v>
      </c>
      <c r="D59" t="inlineStr">
        <is>
          <t>VÄSTERNORRLANDS LÄN</t>
        </is>
      </c>
      <c r="E59" t="inlineStr">
        <is>
          <t>ÅNGE</t>
        </is>
      </c>
      <c r="F59" t="inlineStr">
        <is>
          <t>SCA</t>
        </is>
      </c>
      <c r="G59" t="n">
        <v>3.9</v>
      </c>
      <c r="H59" t="n">
        <v>4</v>
      </c>
      <c r="I59" t="n">
        <v>1</v>
      </c>
      <c r="J59" t="n">
        <v>4</v>
      </c>
      <c r="K59" t="n">
        <v>1</v>
      </c>
      <c r="L59" t="n">
        <v>0</v>
      </c>
      <c r="M59" t="n">
        <v>0</v>
      </c>
      <c r="N59" t="n">
        <v>0</v>
      </c>
      <c r="O59" t="n">
        <v>5</v>
      </c>
      <c r="P59" t="n">
        <v>1</v>
      </c>
      <c r="Q59" t="n">
        <v>8</v>
      </c>
      <c r="R59" s="2" t="inlineStr">
        <is>
          <t>Knärot
Rosenticka
Spillkråka
Stjärntagging
Ullticka
Vedticka
Tjäder
Revlummer</t>
        </is>
      </c>
      <c r="S59">
        <f>HYPERLINK("https://klasma.github.io/Logging_2260/artfynd/A 3966-2025 artfynd.xlsx", "A 3966-2025")</f>
        <v/>
      </c>
      <c r="T59">
        <f>HYPERLINK("https://klasma.github.io/Logging_2260/kartor/A 3966-2025 karta.png", "A 3966-2025")</f>
        <v/>
      </c>
      <c r="U59">
        <f>HYPERLINK("https://klasma.github.io/Logging_2260/knärot/A 3966-2025 karta knärot.png", "A 3966-2025")</f>
        <v/>
      </c>
      <c r="V59">
        <f>HYPERLINK("https://klasma.github.io/Logging_2260/klagomål/A 3966-2025 FSC-klagomål.docx", "A 3966-2025")</f>
        <v/>
      </c>
      <c r="W59">
        <f>HYPERLINK("https://klasma.github.io/Logging_2260/klagomålsmail/A 3966-2025 FSC-klagomål mail.docx", "A 3966-2025")</f>
        <v/>
      </c>
      <c r="X59">
        <f>HYPERLINK("https://klasma.github.io/Logging_2260/tillsyn/A 3966-2025 tillsynsbegäran.docx", "A 3966-2025")</f>
        <v/>
      </c>
      <c r="Y59">
        <f>HYPERLINK("https://klasma.github.io/Logging_2260/tillsynsmail/A 3966-2025 tillsynsbegäran mail.docx", "A 3966-2025")</f>
        <v/>
      </c>
      <c r="Z59">
        <f>HYPERLINK("https://klasma.github.io/Logging_2260/fåglar/A 3966-2025 prioriterade fågelarter.docx", "A 3966-2025")</f>
        <v/>
      </c>
    </row>
    <row r="60" ht="15" customHeight="1">
      <c r="A60" t="inlineStr">
        <is>
          <t>A 37450-2025</t>
        </is>
      </c>
      <c r="B60" s="1" t="n">
        <v>45877</v>
      </c>
      <c r="C60" s="1" t="n">
        <v>46178</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57843-2024</t>
        </is>
      </c>
      <c r="B61" s="1" t="n">
        <v>45631</v>
      </c>
      <c r="C61" s="1" t="n">
        <v>46178</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46178</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46178</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46178</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46178</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46178</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46178</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46178</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46178</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46178</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46178</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10085-2023</t>
        </is>
      </c>
      <c r="B72" s="1" t="n">
        <v>44985.9447337963</v>
      </c>
      <c r="C72" s="1" t="n">
        <v>46178</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53456-2023</t>
        </is>
      </c>
      <c r="B73" s="1" t="n">
        <v>45229</v>
      </c>
      <c r="C73" s="1" t="n">
        <v>46178</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46178</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49528-2025</t>
        </is>
      </c>
      <c r="B75" s="1" t="n">
        <v>45939.40664351852</v>
      </c>
      <c r="C75" s="1" t="n">
        <v>46178</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19010-2025</t>
        </is>
      </c>
      <c r="B76" s="1" t="n">
        <v>45764</v>
      </c>
      <c r="C76" s="1" t="n">
        <v>46178</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45402-2025</t>
        </is>
      </c>
      <c r="B77" s="1" t="n">
        <v>45922.4278587963</v>
      </c>
      <c r="C77" s="1" t="n">
        <v>46178</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46178</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20580-2026</t>
        </is>
      </c>
      <c r="B79" s="1" t="n">
        <v>46140.63605324074</v>
      </c>
      <c r="C79" s="1" t="n">
        <v>46178</v>
      </c>
      <c r="D79" t="inlineStr">
        <is>
          <t>VÄSTERNORRLANDS LÄN</t>
        </is>
      </c>
      <c r="E79" t="inlineStr">
        <is>
          <t>ÅNGE</t>
        </is>
      </c>
      <c r="F79" t="inlineStr">
        <is>
          <t>SCA</t>
        </is>
      </c>
      <c r="G79" t="n">
        <v>5.6</v>
      </c>
      <c r="H79" t="n">
        <v>1</v>
      </c>
      <c r="I79" t="n">
        <v>3</v>
      </c>
      <c r="J79" t="n">
        <v>2</v>
      </c>
      <c r="K79" t="n">
        <v>0</v>
      </c>
      <c r="L79" t="n">
        <v>0</v>
      </c>
      <c r="M79" t="n">
        <v>0</v>
      </c>
      <c r="N79" t="n">
        <v>0</v>
      </c>
      <c r="O79" t="n">
        <v>2</v>
      </c>
      <c r="P79" t="n">
        <v>0</v>
      </c>
      <c r="Q79" t="n">
        <v>6</v>
      </c>
      <c r="R79" s="2" t="inlineStr">
        <is>
          <t>Garnlav
Vedskivlav
Dropptaggsvamp
Stor aspticka
Vedticka
Tjäder</t>
        </is>
      </c>
      <c r="S79">
        <f>HYPERLINK("https://klasma.github.io/Logging_2260/artfynd/A 20580-2026 artfynd.xlsx", "A 20580-2026")</f>
        <v/>
      </c>
      <c r="T79">
        <f>HYPERLINK("https://klasma.github.io/Logging_2260/kartor/A 20580-2026 karta.png", "A 20580-2026")</f>
        <v/>
      </c>
      <c r="V79">
        <f>HYPERLINK("https://klasma.github.io/Logging_2260/klagomål/A 20580-2026 FSC-klagomål.docx", "A 20580-2026")</f>
        <v/>
      </c>
      <c r="W79">
        <f>HYPERLINK("https://klasma.github.io/Logging_2260/klagomålsmail/A 20580-2026 FSC-klagomål mail.docx", "A 20580-2026")</f>
        <v/>
      </c>
      <c r="X79">
        <f>HYPERLINK("https://klasma.github.io/Logging_2260/tillsyn/A 20580-2026 tillsynsbegäran.docx", "A 20580-2026")</f>
        <v/>
      </c>
      <c r="Y79">
        <f>HYPERLINK("https://klasma.github.io/Logging_2260/tillsynsmail/A 20580-2026 tillsynsbegäran mail.docx", "A 20580-2026")</f>
        <v/>
      </c>
      <c r="Z79">
        <f>HYPERLINK("https://klasma.github.io/Logging_2260/fåglar/A 20580-2026 prioriterade fågelarter.docx", "A 20580-2026")</f>
        <v/>
      </c>
    </row>
    <row r="80" ht="15" customHeight="1">
      <c r="A80" t="inlineStr">
        <is>
          <t>A 52601-2025</t>
        </is>
      </c>
      <c r="B80" s="1" t="n">
        <v>45954</v>
      </c>
      <c r="C80" s="1" t="n">
        <v>46178</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46178</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4130-2023</t>
        </is>
      </c>
      <c r="B82" s="1" t="n">
        <v>44952</v>
      </c>
      <c r="C82" s="1" t="n">
        <v>46178</v>
      </c>
      <c r="D82" t="inlineStr">
        <is>
          <t>VÄSTERNORRLANDS LÄN</t>
        </is>
      </c>
      <c r="E82" t="inlineStr">
        <is>
          <t>ÅNGE</t>
        </is>
      </c>
      <c r="F82" t="inlineStr">
        <is>
          <t>SCA</t>
        </is>
      </c>
      <c r="G82" t="n">
        <v>2.2</v>
      </c>
      <c r="H82" t="n">
        <v>3</v>
      </c>
      <c r="I82" t="n">
        <v>3</v>
      </c>
      <c r="J82" t="n">
        <v>3</v>
      </c>
      <c r="K82" t="n">
        <v>0</v>
      </c>
      <c r="L82" t="n">
        <v>0</v>
      </c>
      <c r="M82" t="n">
        <v>0</v>
      </c>
      <c r="N82" t="n">
        <v>0</v>
      </c>
      <c r="O82" t="n">
        <v>3</v>
      </c>
      <c r="P82" t="n">
        <v>0</v>
      </c>
      <c r="Q82" t="n">
        <v>6</v>
      </c>
      <c r="R82" s="2" t="inlineStr">
        <is>
          <t>Höstlåsbräken
Järpe
Månlåsbräken
Grönkulla
Spetsvaxing
Ängsfingersvamp</t>
        </is>
      </c>
      <c r="S82">
        <f>HYPERLINK("https://klasma.github.io/Logging_2260/artfynd/A 4130-2023 artfynd.xlsx", "A 4130-2023")</f>
        <v/>
      </c>
      <c r="T82">
        <f>HYPERLINK("https://klasma.github.io/Logging_2260/kartor/A 4130-2023 karta.png", "A 4130-2023")</f>
        <v/>
      </c>
      <c r="U82">
        <f>HYPERLINK("https://klasma.github.io/Logging_2260/knärot/A 4130-2023 karta knärot.png", "A 4130-2023")</f>
        <v/>
      </c>
      <c r="V82">
        <f>HYPERLINK("https://klasma.github.io/Logging_2260/klagomål/A 4130-2023 FSC-klagomål.docx", "A 4130-2023")</f>
        <v/>
      </c>
      <c r="W82">
        <f>HYPERLINK("https://klasma.github.io/Logging_2260/klagomålsmail/A 4130-2023 FSC-klagomål mail.docx", "A 4130-2023")</f>
        <v/>
      </c>
      <c r="X82">
        <f>HYPERLINK("https://klasma.github.io/Logging_2260/tillsyn/A 4130-2023 tillsynsbegäran.docx", "A 4130-2023")</f>
        <v/>
      </c>
      <c r="Y82">
        <f>HYPERLINK("https://klasma.github.io/Logging_2260/tillsynsmail/A 4130-2023 tillsynsbegäran mail.docx", "A 4130-2023")</f>
        <v/>
      </c>
      <c r="Z82">
        <f>HYPERLINK("https://klasma.github.io/Logging_2260/fåglar/A 4130-2023 prioriterade fågelarter.docx", "A 4130-2023")</f>
        <v/>
      </c>
    </row>
    <row r="83" ht="15" customHeight="1">
      <c r="A83" t="inlineStr">
        <is>
          <t>A 5637-2026</t>
        </is>
      </c>
      <c r="B83" s="1" t="n">
        <v>46051</v>
      </c>
      <c r="C83" s="1" t="n">
        <v>46178</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27955-2021</t>
        </is>
      </c>
      <c r="B84" s="1" t="n">
        <v>44354</v>
      </c>
      <c r="C84" s="1" t="n">
        <v>46178</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46178</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46178</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46178</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46178</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43520-2025</t>
        </is>
      </c>
      <c r="B89" s="1" t="n">
        <v>45911.57364583333</v>
      </c>
      <c r="C89" s="1" t="n">
        <v>46178</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46178</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47102-2025</t>
        </is>
      </c>
      <c r="B91" s="1" t="n">
        <v>45929</v>
      </c>
      <c r="C91" s="1" t="n">
        <v>46178</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26958-2024</t>
        </is>
      </c>
      <c r="B92" s="1" t="n">
        <v>45470</v>
      </c>
      <c r="C92" s="1" t="n">
        <v>46178</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38322-2025</t>
        </is>
      </c>
      <c r="B93" s="1" t="n">
        <v>45883.49003472222</v>
      </c>
      <c r="C93" s="1" t="n">
        <v>46178</v>
      </c>
      <c r="D93" t="inlineStr">
        <is>
          <t>VÄSTERNORRLANDS LÄN</t>
        </is>
      </c>
      <c r="E93" t="inlineStr">
        <is>
          <t>ÅNGE</t>
        </is>
      </c>
      <c r="F93" t="inlineStr">
        <is>
          <t>SCA</t>
        </is>
      </c>
      <c r="G93" t="n">
        <v>5.4</v>
      </c>
      <c r="H93" t="n">
        <v>1</v>
      </c>
      <c r="I93" t="n">
        <v>0</v>
      </c>
      <c r="J93" t="n">
        <v>4</v>
      </c>
      <c r="K93" t="n">
        <v>0</v>
      </c>
      <c r="L93" t="n">
        <v>0</v>
      </c>
      <c r="M93" t="n">
        <v>0</v>
      </c>
      <c r="N93" t="n">
        <v>0</v>
      </c>
      <c r="O93" t="n">
        <v>4</v>
      </c>
      <c r="P93" t="n">
        <v>0</v>
      </c>
      <c r="Q93" t="n">
        <v>5</v>
      </c>
      <c r="R93" s="2" t="inlineStr">
        <is>
          <t>Gammelgransskål
Garnlav
Skrovellav
Violettgrå tagellav
Revlummer</t>
        </is>
      </c>
      <c r="S93">
        <f>HYPERLINK("https://klasma.github.io/Logging_2260/artfynd/A 38322-2025 artfynd.xlsx", "A 38322-2025")</f>
        <v/>
      </c>
      <c r="T93">
        <f>HYPERLINK("https://klasma.github.io/Logging_2260/kartor/A 38322-2025 karta.png", "A 38322-2025")</f>
        <v/>
      </c>
      <c r="V93">
        <f>HYPERLINK("https://klasma.github.io/Logging_2260/klagomål/A 38322-2025 FSC-klagomål.docx", "A 38322-2025")</f>
        <v/>
      </c>
      <c r="W93">
        <f>HYPERLINK("https://klasma.github.io/Logging_2260/klagomålsmail/A 38322-2025 FSC-klagomål mail.docx", "A 38322-2025")</f>
        <v/>
      </c>
      <c r="X93">
        <f>HYPERLINK("https://klasma.github.io/Logging_2260/tillsyn/A 38322-2025 tillsynsbegäran.docx", "A 38322-2025")</f>
        <v/>
      </c>
      <c r="Y93">
        <f>HYPERLINK("https://klasma.github.io/Logging_2260/tillsynsmail/A 38322-2025 tillsynsbegäran mail.docx", "A 38322-2025")</f>
        <v/>
      </c>
    </row>
    <row r="94" ht="15" customHeight="1">
      <c r="A94" t="inlineStr">
        <is>
          <t>A 38327-2025</t>
        </is>
      </c>
      <c r="B94" s="1" t="n">
        <v>45883.49084490741</v>
      </c>
      <c r="C94" s="1" t="n">
        <v>46178</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52392-2025</t>
        </is>
      </c>
      <c r="B95" s="1" t="n">
        <v>45954.34424768519</v>
      </c>
      <c r="C95" s="1" t="n">
        <v>46178</v>
      </c>
      <c r="D95" t="inlineStr">
        <is>
          <t>VÄSTERNORRLANDS LÄN</t>
        </is>
      </c>
      <c r="E95" t="inlineStr">
        <is>
          <t>ÅNGE</t>
        </is>
      </c>
      <c r="F95" t="inlineStr">
        <is>
          <t>SCA</t>
        </is>
      </c>
      <c r="G95" t="n">
        <v>2.6</v>
      </c>
      <c r="H95" t="n">
        <v>1</v>
      </c>
      <c r="I95" t="n">
        <v>1</v>
      </c>
      <c r="J95" t="n">
        <v>4</v>
      </c>
      <c r="K95" t="n">
        <v>0</v>
      </c>
      <c r="L95" t="n">
        <v>0</v>
      </c>
      <c r="M95" t="n">
        <v>0</v>
      </c>
      <c r="N95" t="n">
        <v>0</v>
      </c>
      <c r="O95" t="n">
        <v>4</v>
      </c>
      <c r="P95" t="n">
        <v>0</v>
      </c>
      <c r="Q95" t="n">
        <v>5</v>
      </c>
      <c r="R95" s="2" t="inlineStr">
        <is>
          <t>Garnlav
Rosenticka
Tretåig hackspett
Ullticka
Brandticka</t>
        </is>
      </c>
      <c r="S95">
        <f>HYPERLINK("https://klasma.github.io/Logging_2260/artfynd/A 52392-2025 artfynd.xlsx", "A 52392-2025")</f>
        <v/>
      </c>
      <c r="T95">
        <f>HYPERLINK("https://klasma.github.io/Logging_2260/kartor/A 52392-2025 karta.png", "A 52392-2025")</f>
        <v/>
      </c>
      <c r="V95">
        <f>HYPERLINK("https://klasma.github.io/Logging_2260/klagomål/A 52392-2025 FSC-klagomål.docx", "A 52392-2025")</f>
        <v/>
      </c>
      <c r="W95">
        <f>HYPERLINK("https://klasma.github.io/Logging_2260/klagomålsmail/A 52392-2025 FSC-klagomål mail.docx", "A 52392-2025")</f>
        <v/>
      </c>
      <c r="X95">
        <f>HYPERLINK("https://klasma.github.io/Logging_2260/tillsyn/A 52392-2025 tillsynsbegäran.docx", "A 52392-2025")</f>
        <v/>
      </c>
      <c r="Y95">
        <f>HYPERLINK("https://klasma.github.io/Logging_2260/tillsynsmail/A 52392-2025 tillsynsbegäran mail.docx", "A 52392-2025")</f>
        <v/>
      </c>
      <c r="Z95">
        <f>HYPERLINK("https://klasma.github.io/Logging_2260/fåglar/A 52392-2025 prioriterade fågelarter.docx", "A 52392-2025")</f>
        <v/>
      </c>
    </row>
    <row r="96" ht="15" customHeight="1">
      <c r="A96" t="inlineStr">
        <is>
          <t>A 15784-2026</t>
        </is>
      </c>
      <c r="B96" s="1" t="n">
        <v>46107.46947916667</v>
      </c>
      <c r="C96" s="1" t="n">
        <v>46178</v>
      </c>
      <c r="D96" t="inlineStr">
        <is>
          <t>VÄSTERNORRLANDS LÄN</t>
        </is>
      </c>
      <c r="E96" t="inlineStr">
        <is>
          <t>ÅNGE</t>
        </is>
      </c>
      <c r="F96" t="inlineStr">
        <is>
          <t>SCA</t>
        </is>
      </c>
      <c r="G96" t="n">
        <v>10.4</v>
      </c>
      <c r="H96" t="n">
        <v>1</v>
      </c>
      <c r="I96" t="n">
        <v>2</v>
      </c>
      <c r="J96" t="n">
        <v>2</v>
      </c>
      <c r="K96" t="n">
        <v>0</v>
      </c>
      <c r="L96" t="n">
        <v>0</v>
      </c>
      <c r="M96" t="n">
        <v>0</v>
      </c>
      <c r="N96" t="n">
        <v>0</v>
      </c>
      <c r="O96" t="n">
        <v>2</v>
      </c>
      <c r="P96" t="n">
        <v>0</v>
      </c>
      <c r="Q96" t="n">
        <v>5</v>
      </c>
      <c r="R96" s="2" t="inlineStr">
        <is>
          <t>Lunglav
Ullticka
Bollvitmossa
Kransrams
Nattviol</t>
        </is>
      </c>
      <c r="S96">
        <f>HYPERLINK("https://klasma.github.io/Logging_2260/artfynd/A 15784-2026 artfynd.xlsx", "A 15784-2026")</f>
        <v/>
      </c>
      <c r="T96">
        <f>HYPERLINK("https://klasma.github.io/Logging_2260/kartor/A 15784-2026 karta.png", "A 15784-2026")</f>
        <v/>
      </c>
      <c r="V96">
        <f>HYPERLINK("https://klasma.github.io/Logging_2260/klagomål/A 15784-2026 FSC-klagomål.docx", "A 15784-2026")</f>
        <v/>
      </c>
      <c r="W96">
        <f>HYPERLINK("https://klasma.github.io/Logging_2260/klagomålsmail/A 15784-2026 FSC-klagomål mail.docx", "A 15784-2026")</f>
        <v/>
      </c>
      <c r="X96">
        <f>HYPERLINK("https://klasma.github.io/Logging_2260/tillsyn/A 15784-2026 tillsynsbegäran.docx", "A 15784-2026")</f>
        <v/>
      </c>
      <c r="Y96">
        <f>HYPERLINK("https://klasma.github.io/Logging_2260/tillsynsmail/A 15784-2026 tillsynsbegäran mail.docx", "A 15784-2026")</f>
        <v/>
      </c>
    </row>
    <row r="97" ht="15" customHeight="1">
      <c r="A97" t="inlineStr">
        <is>
          <t>A 59971-2025</t>
        </is>
      </c>
      <c r="B97" s="1" t="n">
        <v>45993.49002314815</v>
      </c>
      <c r="C97" s="1" t="n">
        <v>46178</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27914-2024</t>
        </is>
      </c>
      <c r="B98" s="1" t="n">
        <v>45475</v>
      </c>
      <c r="C98" s="1" t="n">
        <v>46178</v>
      </c>
      <c r="D98" t="inlineStr">
        <is>
          <t>VÄSTERNORRLANDS LÄN</t>
        </is>
      </c>
      <c r="E98" t="inlineStr">
        <is>
          <t>ÅNGE</t>
        </is>
      </c>
      <c r="F98" t="inlineStr">
        <is>
          <t>SCA</t>
        </is>
      </c>
      <c r="G98" t="n">
        <v>1.4</v>
      </c>
      <c r="H98" t="n">
        <v>0</v>
      </c>
      <c r="I98" t="n">
        <v>2</v>
      </c>
      <c r="J98" t="n">
        <v>3</v>
      </c>
      <c r="K98" t="n">
        <v>0</v>
      </c>
      <c r="L98" t="n">
        <v>0</v>
      </c>
      <c r="M98" t="n">
        <v>0</v>
      </c>
      <c r="N98" t="n">
        <v>0</v>
      </c>
      <c r="O98" t="n">
        <v>3</v>
      </c>
      <c r="P98" t="n">
        <v>0</v>
      </c>
      <c r="Q98" t="n">
        <v>5</v>
      </c>
      <c r="R98" s="2" t="inlineStr">
        <is>
          <t>Granticka
Lunglav
Vedtrappmossa
Korallblylav
Stuplav</t>
        </is>
      </c>
      <c r="S98">
        <f>HYPERLINK("https://klasma.github.io/Logging_2260/artfynd/A 27914-2024 artfynd.xlsx", "A 27914-2024")</f>
        <v/>
      </c>
      <c r="T98">
        <f>HYPERLINK("https://klasma.github.io/Logging_2260/kartor/A 27914-2024 karta.png", "A 27914-2024")</f>
        <v/>
      </c>
      <c r="V98">
        <f>HYPERLINK("https://klasma.github.io/Logging_2260/klagomål/A 27914-2024 FSC-klagomål.docx", "A 27914-2024")</f>
        <v/>
      </c>
      <c r="W98">
        <f>HYPERLINK("https://klasma.github.io/Logging_2260/klagomålsmail/A 27914-2024 FSC-klagomål mail.docx", "A 27914-2024")</f>
        <v/>
      </c>
      <c r="X98">
        <f>HYPERLINK("https://klasma.github.io/Logging_2260/tillsyn/A 27914-2024 tillsynsbegäran.docx", "A 27914-2024")</f>
        <v/>
      </c>
      <c r="Y98">
        <f>HYPERLINK("https://klasma.github.io/Logging_2260/tillsynsmail/A 27914-2024 tillsynsbegäran mail.docx", "A 27914-2024")</f>
        <v/>
      </c>
    </row>
    <row r="99" ht="15" customHeight="1">
      <c r="A99" t="inlineStr">
        <is>
          <t>A 42090-2024</t>
        </is>
      </c>
      <c r="B99" s="1" t="n">
        <v>45562</v>
      </c>
      <c r="C99" s="1" t="n">
        <v>46178</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55004-2023</t>
        </is>
      </c>
      <c r="B100" s="1" t="n">
        <v>45236</v>
      </c>
      <c r="C100" s="1" t="n">
        <v>46178</v>
      </c>
      <c r="D100" t="inlineStr">
        <is>
          <t>VÄSTERNORRLANDS LÄN</t>
        </is>
      </c>
      <c r="E100" t="inlineStr">
        <is>
          <t>ÅNGE</t>
        </is>
      </c>
      <c r="F100" t="inlineStr">
        <is>
          <t>SCA</t>
        </is>
      </c>
      <c r="G100" t="n">
        <v>3.7</v>
      </c>
      <c r="H100" t="n">
        <v>2</v>
      </c>
      <c r="I100" t="n">
        <v>3</v>
      </c>
      <c r="J100" t="n">
        <v>1</v>
      </c>
      <c r="K100" t="n">
        <v>0</v>
      </c>
      <c r="L100" t="n">
        <v>0</v>
      </c>
      <c r="M100" t="n">
        <v>0</v>
      </c>
      <c r="N100" t="n">
        <v>0</v>
      </c>
      <c r="O100" t="n">
        <v>1</v>
      </c>
      <c r="P100" t="n">
        <v>0</v>
      </c>
      <c r="Q100" t="n">
        <v>5</v>
      </c>
      <c r="R100" s="2" t="inlineStr">
        <is>
          <t>Storgröe
Kransrams
Spädstarr
Tvåblad
Fläcknycklar</t>
        </is>
      </c>
      <c r="S100">
        <f>HYPERLINK("https://klasma.github.io/Logging_2260/artfynd/A 55004-2023 artfynd.xlsx", "A 55004-2023")</f>
        <v/>
      </c>
      <c r="T100">
        <f>HYPERLINK("https://klasma.github.io/Logging_2260/kartor/A 55004-2023 karta.png", "A 55004-2023")</f>
        <v/>
      </c>
      <c r="V100">
        <f>HYPERLINK("https://klasma.github.io/Logging_2260/klagomål/A 55004-2023 FSC-klagomål.docx", "A 55004-2023")</f>
        <v/>
      </c>
      <c r="W100">
        <f>HYPERLINK("https://klasma.github.io/Logging_2260/klagomålsmail/A 55004-2023 FSC-klagomål mail.docx", "A 55004-2023")</f>
        <v/>
      </c>
      <c r="X100">
        <f>HYPERLINK("https://klasma.github.io/Logging_2260/tillsyn/A 55004-2023 tillsynsbegäran.docx", "A 55004-2023")</f>
        <v/>
      </c>
      <c r="Y100">
        <f>HYPERLINK("https://klasma.github.io/Logging_2260/tillsynsmail/A 55004-2023 tillsynsbegäran mail.docx", "A 55004-2023")</f>
        <v/>
      </c>
    </row>
    <row r="101" ht="15" customHeight="1">
      <c r="A101" t="inlineStr">
        <is>
          <t>A 32911-2024</t>
        </is>
      </c>
      <c r="B101" s="1" t="n">
        <v>45516</v>
      </c>
      <c r="C101" s="1" t="n">
        <v>46178</v>
      </c>
      <c r="D101" t="inlineStr">
        <is>
          <t>VÄSTERNORRLANDS LÄN</t>
        </is>
      </c>
      <c r="E101" t="inlineStr">
        <is>
          <t>ÅNGE</t>
        </is>
      </c>
      <c r="F101" t="inlineStr">
        <is>
          <t>SCA</t>
        </is>
      </c>
      <c r="G101" t="n">
        <v>1</v>
      </c>
      <c r="H101" t="n">
        <v>3</v>
      </c>
      <c r="I101" t="n">
        <v>0</v>
      </c>
      <c r="J101" t="n">
        <v>2</v>
      </c>
      <c r="K101" t="n">
        <v>2</v>
      </c>
      <c r="L101" t="n">
        <v>0</v>
      </c>
      <c r="M101" t="n">
        <v>0</v>
      </c>
      <c r="N101" t="n">
        <v>0</v>
      </c>
      <c r="O101" t="n">
        <v>4</v>
      </c>
      <c r="P101" t="n">
        <v>2</v>
      </c>
      <c r="Q101" t="n">
        <v>5</v>
      </c>
      <c r="R101" s="2" t="inlineStr">
        <is>
          <t>Doftticka
Knärot
Garnlav
Lunglav
Revlummer</t>
        </is>
      </c>
      <c r="S101">
        <f>HYPERLINK("https://klasma.github.io/Logging_2260/artfynd/A 32911-2024 artfynd.xlsx", "A 32911-2024")</f>
        <v/>
      </c>
      <c r="T101">
        <f>HYPERLINK("https://klasma.github.io/Logging_2260/kartor/A 32911-2024 karta.png", "A 32911-2024")</f>
        <v/>
      </c>
      <c r="U101">
        <f>HYPERLINK("https://klasma.github.io/Logging_2260/knärot/A 32911-2024 karta knärot.png", "A 32911-2024")</f>
        <v/>
      </c>
      <c r="V101">
        <f>HYPERLINK("https://klasma.github.io/Logging_2260/klagomål/A 32911-2024 FSC-klagomål.docx", "A 32911-2024")</f>
        <v/>
      </c>
      <c r="W101">
        <f>HYPERLINK("https://klasma.github.io/Logging_2260/klagomålsmail/A 32911-2024 FSC-klagomål mail.docx", "A 32911-2024")</f>
        <v/>
      </c>
      <c r="X101">
        <f>HYPERLINK("https://klasma.github.io/Logging_2260/tillsyn/A 32911-2024 tillsynsbegäran.docx", "A 32911-2024")</f>
        <v/>
      </c>
      <c r="Y101">
        <f>HYPERLINK("https://klasma.github.io/Logging_2260/tillsynsmail/A 32911-2024 tillsynsbegäran mail.docx", "A 32911-2024")</f>
        <v/>
      </c>
    </row>
    <row r="102" ht="15" customHeight="1">
      <c r="A102" t="inlineStr">
        <is>
          <t>A 2451-2024</t>
        </is>
      </c>
      <c r="B102" s="1" t="n">
        <v>45312.58627314815</v>
      </c>
      <c r="C102" s="1" t="n">
        <v>46178</v>
      </c>
      <c r="D102" t="inlineStr">
        <is>
          <t>VÄSTERNORRLANDS LÄN</t>
        </is>
      </c>
      <c r="E102" t="inlineStr">
        <is>
          <t>ÅNGE</t>
        </is>
      </c>
      <c r="G102" t="n">
        <v>3.5</v>
      </c>
      <c r="H102" t="n">
        <v>0</v>
      </c>
      <c r="I102" t="n">
        <v>1</v>
      </c>
      <c r="J102" t="n">
        <v>4</v>
      </c>
      <c r="K102" t="n">
        <v>0</v>
      </c>
      <c r="L102" t="n">
        <v>0</v>
      </c>
      <c r="M102" t="n">
        <v>0</v>
      </c>
      <c r="N102" t="n">
        <v>0</v>
      </c>
      <c r="O102" t="n">
        <v>4</v>
      </c>
      <c r="P102" t="n">
        <v>0</v>
      </c>
      <c r="Q102" t="n">
        <v>5</v>
      </c>
      <c r="R102" s="2" t="inlineStr">
        <is>
          <t>Garnlav
Mörk kolflarnlav
Rosenticka
Ullticka
Dropptaggsvamp</t>
        </is>
      </c>
      <c r="S102">
        <f>HYPERLINK("https://klasma.github.io/Logging_2260/artfynd/A 2451-2024 artfynd.xlsx", "A 2451-2024")</f>
        <v/>
      </c>
      <c r="T102">
        <f>HYPERLINK("https://klasma.github.io/Logging_2260/kartor/A 2451-2024 karta.png", "A 2451-2024")</f>
        <v/>
      </c>
      <c r="V102">
        <f>HYPERLINK("https://klasma.github.io/Logging_2260/klagomål/A 2451-2024 FSC-klagomål.docx", "A 2451-2024")</f>
        <v/>
      </c>
      <c r="W102">
        <f>HYPERLINK("https://klasma.github.io/Logging_2260/klagomålsmail/A 2451-2024 FSC-klagomål mail.docx", "A 2451-2024")</f>
        <v/>
      </c>
      <c r="X102">
        <f>HYPERLINK("https://klasma.github.io/Logging_2260/tillsyn/A 2451-2024 tillsynsbegäran.docx", "A 2451-2024")</f>
        <v/>
      </c>
      <c r="Y102">
        <f>HYPERLINK("https://klasma.github.io/Logging_2260/tillsynsmail/A 2451-2024 tillsynsbegäran mail.docx", "A 2451-2024")</f>
        <v/>
      </c>
    </row>
    <row r="103" ht="15" customHeight="1">
      <c r="A103" t="inlineStr">
        <is>
          <t>A 23601-2025</t>
        </is>
      </c>
      <c r="B103" s="1" t="n">
        <v>45792</v>
      </c>
      <c r="C103" s="1" t="n">
        <v>46178</v>
      </c>
      <c r="D103" t="inlineStr">
        <is>
          <t>VÄSTERNORRLANDS LÄN</t>
        </is>
      </c>
      <c r="E103" t="inlineStr">
        <is>
          <t>ÅNGE</t>
        </is>
      </c>
      <c r="G103" t="n">
        <v>13.3</v>
      </c>
      <c r="H103" t="n">
        <v>0</v>
      </c>
      <c r="I103" t="n">
        <v>1</v>
      </c>
      <c r="J103" t="n">
        <v>4</v>
      </c>
      <c r="K103" t="n">
        <v>0</v>
      </c>
      <c r="L103" t="n">
        <v>0</v>
      </c>
      <c r="M103" t="n">
        <v>0</v>
      </c>
      <c r="N103" t="n">
        <v>0</v>
      </c>
      <c r="O103" t="n">
        <v>4</v>
      </c>
      <c r="P103" t="n">
        <v>0</v>
      </c>
      <c r="Q103" t="n">
        <v>5</v>
      </c>
      <c r="R103" s="2" t="inlineStr">
        <is>
          <t>Garnlav
Lunglav
Mörk kolflarnlav
Småflikig brosklav
Korallblylav</t>
        </is>
      </c>
      <c r="S103">
        <f>HYPERLINK("https://klasma.github.io/Logging_2260/artfynd/A 23601-2025 artfynd.xlsx", "A 23601-2025")</f>
        <v/>
      </c>
      <c r="T103">
        <f>HYPERLINK("https://klasma.github.io/Logging_2260/kartor/A 23601-2025 karta.png", "A 23601-2025")</f>
        <v/>
      </c>
      <c r="U103">
        <f>HYPERLINK("https://klasma.github.io/Logging_2260/knärot/A 23601-2025 karta knärot.png", "A 23601-2025")</f>
        <v/>
      </c>
      <c r="V103">
        <f>HYPERLINK("https://klasma.github.io/Logging_2260/klagomål/A 23601-2025 FSC-klagomål.docx", "A 23601-2025")</f>
        <v/>
      </c>
      <c r="W103">
        <f>HYPERLINK("https://klasma.github.io/Logging_2260/klagomålsmail/A 23601-2025 FSC-klagomål mail.docx", "A 23601-2025")</f>
        <v/>
      </c>
      <c r="X103">
        <f>HYPERLINK("https://klasma.github.io/Logging_2260/tillsyn/A 23601-2025 tillsynsbegäran.docx", "A 23601-2025")</f>
        <v/>
      </c>
      <c r="Y103">
        <f>HYPERLINK("https://klasma.github.io/Logging_2260/tillsynsmail/A 23601-2025 tillsynsbegäran mail.docx", "A 23601-2025")</f>
        <v/>
      </c>
    </row>
    <row r="104" ht="15" customHeight="1">
      <c r="A104" t="inlineStr">
        <is>
          <t>A 24796-2024</t>
        </is>
      </c>
      <c r="B104" s="1" t="n">
        <v>45460</v>
      </c>
      <c r="C104" s="1" t="n">
        <v>46178</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61487-2025</t>
        </is>
      </c>
      <c r="B105" s="1" t="n">
        <v>46001.63628472222</v>
      </c>
      <c r="C105" s="1" t="n">
        <v>46178</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46548-2023</t>
        </is>
      </c>
      <c r="B106" s="1" t="n">
        <v>45197</v>
      </c>
      <c r="C106" s="1" t="n">
        <v>46178</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46178</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38713-2025</t>
        </is>
      </c>
      <c r="B108" s="1" t="n">
        <v>45886.34479166667</v>
      </c>
      <c r="C108" s="1" t="n">
        <v>46178</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46178</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54095-2025</t>
        </is>
      </c>
      <c r="B110" s="1" t="n">
        <v>45964.40685185185</v>
      </c>
      <c r="C110" s="1" t="n">
        <v>46178</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46178</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44558-2024</t>
        </is>
      </c>
      <c r="B112" s="1" t="n">
        <v>45574.47001157407</v>
      </c>
      <c r="C112" s="1" t="n">
        <v>46178</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57299-2022</t>
        </is>
      </c>
      <c r="B113" s="1" t="n">
        <v>44895.95090277777</v>
      </c>
      <c r="C113" s="1" t="n">
        <v>46178</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55179-2024</t>
        </is>
      </c>
      <c r="B114" s="1" t="n">
        <v>45621.53204861111</v>
      </c>
      <c r="C114" s="1" t="n">
        <v>46178</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39176-2024</t>
        </is>
      </c>
      <c r="B115" s="1" t="n">
        <v>45548</v>
      </c>
      <c r="C115" s="1" t="n">
        <v>46178</v>
      </c>
      <c r="D115" t="inlineStr">
        <is>
          <t>VÄSTERNORRLANDS LÄN</t>
        </is>
      </c>
      <c r="E115" t="inlineStr">
        <is>
          <t>ÅNGE</t>
        </is>
      </c>
      <c r="F115" t="inlineStr">
        <is>
          <t>SCA</t>
        </is>
      </c>
      <c r="G115" t="n">
        <v>6.9</v>
      </c>
      <c r="H115" t="n">
        <v>1</v>
      </c>
      <c r="I115" t="n">
        <v>0</v>
      </c>
      <c r="J115" t="n">
        <v>3</v>
      </c>
      <c r="K115" t="n">
        <v>1</v>
      </c>
      <c r="L115" t="n">
        <v>0</v>
      </c>
      <c r="M115" t="n">
        <v>0</v>
      </c>
      <c r="N115" t="n">
        <v>0</v>
      </c>
      <c r="O115" t="n">
        <v>4</v>
      </c>
      <c r="P115" t="n">
        <v>1</v>
      </c>
      <c r="Q115" t="n">
        <v>4</v>
      </c>
      <c r="R115" s="2" t="inlineStr">
        <is>
          <t>Knärot
Doftskinn
Skrovellav
Violettgrå tagellav</t>
        </is>
      </c>
      <c r="S115">
        <f>HYPERLINK("https://klasma.github.io/Logging_2260/artfynd/A 39176-2024 artfynd.xlsx", "A 39176-2024")</f>
        <v/>
      </c>
      <c r="T115">
        <f>HYPERLINK("https://klasma.github.io/Logging_2260/kartor/A 39176-2024 karta.png", "A 39176-2024")</f>
        <v/>
      </c>
      <c r="U115">
        <f>HYPERLINK("https://klasma.github.io/Logging_2260/knärot/A 39176-2024 karta knärot.png", "A 39176-2024")</f>
        <v/>
      </c>
      <c r="V115">
        <f>HYPERLINK("https://klasma.github.io/Logging_2260/klagomål/A 39176-2024 FSC-klagomål.docx", "A 39176-2024")</f>
        <v/>
      </c>
      <c r="W115">
        <f>HYPERLINK("https://klasma.github.io/Logging_2260/klagomålsmail/A 39176-2024 FSC-klagomål mail.docx", "A 39176-2024")</f>
        <v/>
      </c>
      <c r="X115">
        <f>HYPERLINK("https://klasma.github.io/Logging_2260/tillsyn/A 39176-2024 tillsynsbegäran.docx", "A 39176-2024")</f>
        <v/>
      </c>
      <c r="Y115">
        <f>HYPERLINK("https://klasma.github.io/Logging_2260/tillsynsmail/A 39176-2024 tillsynsbegäran mail.docx", "A 39176-2024")</f>
        <v/>
      </c>
    </row>
    <row r="116" ht="15" customHeight="1">
      <c r="A116" t="inlineStr">
        <is>
          <t>A 11029-2025</t>
        </is>
      </c>
      <c r="B116" s="1" t="n">
        <v>45723</v>
      </c>
      <c r="C116" s="1" t="n">
        <v>46178</v>
      </c>
      <c r="D116" t="inlineStr">
        <is>
          <t>VÄSTERNORRLANDS LÄN</t>
        </is>
      </c>
      <c r="E116" t="inlineStr">
        <is>
          <t>ÅNGE</t>
        </is>
      </c>
      <c r="G116" t="n">
        <v>1.3</v>
      </c>
      <c r="H116" t="n">
        <v>3</v>
      </c>
      <c r="I116" t="n">
        <v>0</v>
      </c>
      <c r="J116" t="n">
        <v>1</v>
      </c>
      <c r="K116" t="n">
        <v>1</v>
      </c>
      <c r="L116" t="n">
        <v>0</v>
      </c>
      <c r="M116" t="n">
        <v>0</v>
      </c>
      <c r="N116" t="n">
        <v>0</v>
      </c>
      <c r="O116" t="n">
        <v>2</v>
      </c>
      <c r="P116" t="n">
        <v>1</v>
      </c>
      <c r="Q116" t="n">
        <v>4</v>
      </c>
      <c r="R116" s="2" t="inlineStr">
        <is>
          <t>Knärot
Garnlav
Vanlig groda
Revlummer</t>
        </is>
      </c>
      <c r="S116">
        <f>HYPERLINK("https://klasma.github.io/Logging_2260/artfynd/A 11029-2025 artfynd.xlsx", "A 11029-2025")</f>
        <v/>
      </c>
      <c r="T116">
        <f>HYPERLINK("https://klasma.github.io/Logging_2260/kartor/A 11029-2025 karta.png", "A 11029-2025")</f>
        <v/>
      </c>
      <c r="U116">
        <f>HYPERLINK("https://klasma.github.io/Logging_2260/knärot/A 11029-2025 karta knärot.png", "A 11029-2025")</f>
        <v/>
      </c>
      <c r="V116">
        <f>HYPERLINK("https://klasma.github.io/Logging_2260/klagomål/A 11029-2025 FSC-klagomål.docx", "A 11029-2025")</f>
        <v/>
      </c>
      <c r="W116">
        <f>HYPERLINK("https://klasma.github.io/Logging_2260/klagomålsmail/A 11029-2025 FSC-klagomål mail.docx", "A 11029-2025")</f>
        <v/>
      </c>
      <c r="X116">
        <f>HYPERLINK("https://klasma.github.io/Logging_2260/tillsyn/A 11029-2025 tillsynsbegäran.docx", "A 11029-2025")</f>
        <v/>
      </c>
      <c r="Y116">
        <f>HYPERLINK("https://klasma.github.io/Logging_2260/tillsynsmail/A 11029-2025 tillsynsbegäran mail.docx", "A 11029-2025")</f>
        <v/>
      </c>
    </row>
    <row r="117" ht="15" customHeight="1">
      <c r="A117" t="inlineStr">
        <is>
          <t>A 723-2025</t>
        </is>
      </c>
      <c r="B117" s="1" t="n">
        <v>45665.38576388889</v>
      </c>
      <c r="C117" s="1" t="n">
        <v>46178</v>
      </c>
      <c r="D117" t="inlineStr">
        <is>
          <t>VÄSTERNORRLANDS LÄN</t>
        </is>
      </c>
      <c r="E117" t="inlineStr">
        <is>
          <t>ÅNGE</t>
        </is>
      </c>
      <c r="G117" t="n">
        <v>4.1</v>
      </c>
      <c r="H117" t="n">
        <v>2</v>
      </c>
      <c r="I117" t="n">
        <v>1</v>
      </c>
      <c r="J117" t="n">
        <v>1</v>
      </c>
      <c r="K117" t="n">
        <v>0</v>
      </c>
      <c r="L117" t="n">
        <v>0</v>
      </c>
      <c r="M117" t="n">
        <v>0</v>
      </c>
      <c r="N117" t="n">
        <v>0</v>
      </c>
      <c r="O117" t="n">
        <v>1</v>
      </c>
      <c r="P117" t="n">
        <v>0</v>
      </c>
      <c r="Q117" t="n">
        <v>4</v>
      </c>
      <c r="R117" s="2" t="inlineStr">
        <is>
          <t>Lunglav
Stuplav
Fläcknycklar
Revlummer</t>
        </is>
      </c>
      <c r="S117">
        <f>HYPERLINK("https://klasma.github.io/Logging_2260/artfynd/A 723-2025 artfynd.xlsx", "A 723-2025")</f>
        <v/>
      </c>
      <c r="T117">
        <f>HYPERLINK("https://klasma.github.io/Logging_2260/kartor/A 723-2025 karta.png", "A 723-2025")</f>
        <v/>
      </c>
      <c r="V117">
        <f>HYPERLINK("https://klasma.github.io/Logging_2260/klagomål/A 723-2025 FSC-klagomål.docx", "A 723-2025")</f>
        <v/>
      </c>
      <c r="W117">
        <f>HYPERLINK("https://klasma.github.io/Logging_2260/klagomålsmail/A 723-2025 FSC-klagomål mail.docx", "A 723-2025")</f>
        <v/>
      </c>
      <c r="X117">
        <f>HYPERLINK("https://klasma.github.io/Logging_2260/tillsyn/A 723-2025 tillsynsbegäran.docx", "A 723-2025")</f>
        <v/>
      </c>
      <c r="Y117">
        <f>HYPERLINK("https://klasma.github.io/Logging_2260/tillsynsmail/A 723-2025 tillsynsbegäran mail.docx", "A 723-2025")</f>
        <v/>
      </c>
    </row>
    <row r="118" ht="15" customHeight="1">
      <c r="A118" t="inlineStr">
        <is>
          <t>A 27956-2021</t>
        </is>
      </c>
      <c r="B118" s="1" t="n">
        <v>44354</v>
      </c>
      <c r="C118" s="1" t="n">
        <v>46178</v>
      </c>
      <c r="D118" t="inlineStr">
        <is>
          <t>VÄSTERNORRLANDS LÄN</t>
        </is>
      </c>
      <c r="E118" t="inlineStr">
        <is>
          <t>ÅNGE</t>
        </is>
      </c>
      <c r="G118" t="n">
        <v>1.4</v>
      </c>
      <c r="H118" t="n">
        <v>0</v>
      </c>
      <c r="I118" t="n">
        <v>0</v>
      </c>
      <c r="J118" t="n">
        <v>3</v>
      </c>
      <c r="K118" t="n">
        <v>0</v>
      </c>
      <c r="L118" t="n">
        <v>0</v>
      </c>
      <c r="M118" t="n">
        <v>0</v>
      </c>
      <c r="N118" t="n">
        <v>0</v>
      </c>
      <c r="O118" t="n">
        <v>3</v>
      </c>
      <c r="P118" t="n">
        <v>0</v>
      </c>
      <c r="Q118" t="n">
        <v>3</v>
      </c>
      <c r="R118" s="2" t="inlineStr">
        <is>
          <t>Garnlav
Lunglav
Ullticka</t>
        </is>
      </c>
      <c r="S118">
        <f>HYPERLINK("https://klasma.github.io/Logging_2260/artfynd/A 27956-2021 artfynd.xlsx", "A 27956-2021")</f>
        <v/>
      </c>
      <c r="T118">
        <f>HYPERLINK("https://klasma.github.io/Logging_2260/kartor/A 27956-2021 karta.png", "A 27956-2021")</f>
        <v/>
      </c>
      <c r="V118">
        <f>HYPERLINK("https://klasma.github.io/Logging_2260/klagomål/A 27956-2021 FSC-klagomål.docx", "A 27956-2021")</f>
        <v/>
      </c>
      <c r="W118">
        <f>HYPERLINK("https://klasma.github.io/Logging_2260/klagomålsmail/A 27956-2021 FSC-klagomål mail.docx", "A 27956-2021")</f>
        <v/>
      </c>
      <c r="X118">
        <f>HYPERLINK("https://klasma.github.io/Logging_2260/tillsyn/A 27956-2021 tillsynsbegäran.docx", "A 27956-2021")</f>
        <v/>
      </c>
      <c r="Y118">
        <f>HYPERLINK("https://klasma.github.io/Logging_2260/tillsynsmail/A 27956-2021 tillsynsbegäran mail.docx", "A 27956-2021")</f>
        <v/>
      </c>
    </row>
    <row r="119" ht="15" customHeight="1">
      <c r="A119" t="inlineStr">
        <is>
          <t>A 10317-2022</t>
        </is>
      </c>
      <c r="B119" s="1" t="n">
        <v>44622</v>
      </c>
      <c r="C119" s="1" t="n">
        <v>46178</v>
      </c>
      <c r="D119" t="inlineStr">
        <is>
          <t>VÄSTERNORRLANDS LÄN</t>
        </is>
      </c>
      <c r="E119" t="inlineStr">
        <is>
          <t>ÅNGE</t>
        </is>
      </c>
      <c r="F119" t="inlineStr">
        <is>
          <t>SCA</t>
        </is>
      </c>
      <c r="G119" t="n">
        <v>3</v>
      </c>
      <c r="H119" t="n">
        <v>2</v>
      </c>
      <c r="I119" t="n">
        <v>1</v>
      </c>
      <c r="J119" t="n">
        <v>1</v>
      </c>
      <c r="K119" t="n">
        <v>1</v>
      </c>
      <c r="L119" t="n">
        <v>0</v>
      </c>
      <c r="M119" t="n">
        <v>0</v>
      </c>
      <c r="N119" t="n">
        <v>0</v>
      </c>
      <c r="O119" t="n">
        <v>2</v>
      </c>
      <c r="P119" t="n">
        <v>1</v>
      </c>
      <c r="Q119" t="n">
        <v>3</v>
      </c>
      <c r="R119" s="2" t="inlineStr">
        <is>
          <t>Knärot
Granticka
Tvåblad</t>
        </is>
      </c>
      <c r="S119">
        <f>HYPERLINK("https://klasma.github.io/Logging_2260/artfynd/A 10317-2022 artfynd.xlsx", "A 10317-2022")</f>
        <v/>
      </c>
      <c r="T119">
        <f>HYPERLINK("https://klasma.github.io/Logging_2260/kartor/A 10317-2022 karta.png", "A 10317-2022")</f>
        <v/>
      </c>
      <c r="U119">
        <f>HYPERLINK("https://klasma.github.io/Logging_2260/knärot/A 10317-2022 karta knärot.png", "A 10317-2022")</f>
        <v/>
      </c>
      <c r="V119">
        <f>HYPERLINK("https://klasma.github.io/Logging_2260/klagomål/A 10317-2022 FSC-klagomål.docx", "A 10317-2022")</f>
        <v/>
      </c>
      <c r="W119">
        <f>HYPERLINK("https://klasma.github.io/Logging_2260/klagomålsmail/A 10317-2022 FSC-klagomål mail.docx", "A 10317-2022")</f>
        <v/>
      </c>
      <c r="X119">
        <f>HYPERLINK("https://klasma.github.io/Logging_2260/tillsyn/A 10317-2022 tillsynsbegäran.docx", "A 10317-2022")</f>
        <v/>
      </c>
      <c r="Y119">
        <f>HYPERLINK("https://klasma.github.io/Logging_2260/tillsynsmail/A 10317-2022 tillsynsbegäran mail.docx", "A 10317-2022")</f>
        <v/>
      </c>
    </row>
    <row r="120" ht="15" customHeight="1">
      <c r="A120" t="inlineStr">
        <is>
          <t>A 29665-2024</t>
        </is>
      </c>
      <c r="B120" s="1" t="n">
        <v>45484</v>
      </c>
      <c r="C120" s="1" t="n">
        <v>46178</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39179-2024</t>
        </is>
      </c>
      <c r="B121" s="1" t="n">
        <v>45548.65703703704</v>
      </c>
      <c r="C121" s="1" t="n">
        <v>46178</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22996-2023</t>
        </is>
      </c>
      <c r="B122" s="1" t="n">
        <v>45072</v>
      </c>
      <c r="C122" s="1" t="n">
        <v>46178</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22996-2023 artfynd.xlsx", "A 22996-2023")</f>
        <v/>
      </c>
      <c r="T122">
        <f>HYPERLINK("https://klasma.github.io/Logging_2260/kartor/A 22996-2023 karta.png", "A 22996-2023")</f>
        <v/>
      </c>
      <c r="U122">
        <f>HYPERLINK("https://klasma.github.io/Logging_2260/knärot/A 22996-2023 karta knärot.png", "A 22996-2023")</f>
        <v/>
      </c>
      <c r="V122">
        <f>HYPERLINK("https://klasma.github.io/Logging_2260/klagomål/A 22996-2023 FSC-klagomål.docx", "A 22996-2023")</f>
        <v/>
      </c>
      <c r="W122">
        <f>HYPERLINK("https://klasma.github.io/Logging_2260/klagomålsmail/A 22996-2023 FSC-klagomål mail.docx", "A 22996-2023")</f>
        <v/>
      </c>
      <c r="X122">
        <f>HYPERLINK("https://klasma.github.io/Logging_2260/tillsyn/A 22996-2023 tillsynsbegäran.docx", "A 22996-2023")</f>
        <v/>
      </c>
      <c r="Y122">
        <f>HYPERLINK("https://klasma.github.io/Logging_2260/tillsynsmail/A 22996-2023 tillsynsbegäran mail.docx", "A 22996-2023")</f>
        <v/>
      </c>
    </row>
    <row r="123" ht="15" customHeight="1">
      <c r="A123" t="inlineStr">
        <is>
          <t>A 38664-2025</t>
        </is>
      </c>
      <c r="B123" s="1" t="n">
        <v>45884.61503472222</v>
      </c>
      <c r="C123" s="1" t="n">
        <v>46178</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26679-2025</t>
        </is>
      </c>
      <c r="B124" s="1" t="n">
        <v>45810</v>
      </c>
      <c r="C124" s="1" t="n">
        <v>46178</v>
      </c>
      <c r="D124" t="inlineStr">
        <is>
          <t>VÄSTERNORRLANDS LÄN</t>
        </is>
      </c>
      <c r="E124" t="inlineStr">
        <is>
          <t>ÅNGE</t>
        </is>
      </c>
      <c r="F124" t="inlineStr">
        <is>
          <t>SCA</t>
        </is>
      </c>
      <c r="G124" t="n">
        <v>5.9</v>
      </c>
      <c r="H124" t="n">
        <v>0</v>
      </c>
      <c r="I124" t="n">
        <v>1</v>
      </c>
      <c r="J124" t="n">
        <v>2</v>
      </c>
      <c r="K124" t="n">
        <v>0</v>
      </c>
      <c r="L124" t="n">
        <v>0</v>
      </c>
      <c r="M124" t="n">
        <v>0</v>
      </c>
      <c r="N124" t="n">
        <v>0</v>
      </c>
      <c r="O124" t="n">
        <v>2</v>
      </c>
      <c r="P124" t="n">
        <v>0</v>
      </c>
      <c r="Q124" t="n">
        <v>3</v>
      </c>
      <c r="R124" s="2" t="inlineStr">
        <is>
          <t>Garnlav
Lunglav
Rödgul trumpetsvamp</t>
        </is>
      </c>
      <c r="S124">
        <f>HYPERLINK("https://klasma.github.io/Logging_2260/artfynd/A 26679-2025 artfynd.xlsx", "A 26679-2025")</f>
        <v/>
      </c>
      <c r="T124">
        <f>HYPERLINK("https://klasma.github.io/Logging_2260/kartor/A 26679-2025 karta.png", "A 26679-2025")</f>
        <v/>
      </c>
      <c r="V124">
        <f>HYPERLINK("https://klasma.github.io/Logging_2260/klagomål/A 26679-2025 FSC-klagomål.docx", "A 26679-2025")</f>
        <v/>
      </c>
      <c r="W124">
        <f>HYPERLINK("https://klasma.github.io/Logging_2260/klagomålsmail/A 26679-2025 FSC-klagomål mail.docx", "A 26679-2025")</f>
        <v/>
      </c>
      <c r="X124">
        <f>HYPERLINK("https://klasma.github.io/Logging_2260/tillsyn/A 26679-2025 tillsynsbegäran.docx", "A 26679-2025")</f>
        <v/>
      </c>
      <c r="Y124">
        <f>HYPERLINK("https://klasma.github.io/Logging_2260/tillsynsmail/A 26679-2025 tillsynsbegäran mail.docx", "A 26679-2025")</f>
        <v/>
      </c>
    </row>
    <row r="125" ht="15" customHeight="1">
      <c r="A125" t="inlineStr">
        <is>
          <t>A 49530-2025</t>
        </is>
      </c>
      <c r="B125" s="1" t="n">
        <v>45939.40700231482</v>
      </c>
      <c r="C125" s="1" t="n">
        <v>46178</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16307-2025</t>
        </is>
      </c>
      <c r="B126" s="1" t="n">
        <v>45751.34686342593</v>
      </c>
      <c r="C126" s="1" t="n">
        <v>46178</v>
      </c>
      <c r="D126" t="inlineStr">
        <is>
          <t>VÄSTERNORRLANDS LÄN</t>
        </is>
      </c>
      <c r="E126" t="inlineStr">
        <is>
          <t>ÅNGE</t>
        </is>
      </c>
      <c r="F126" t="inlineStr">
        <is>
          <t>SCA</t>
        </is>
      </c>
      <c r="G126" t="n">
        <v>12.3</v>
      </c>
      <c r="H126" t="n">
        <v>1</v>
      </c>
      <c r="I126" t="n">
        <v>2</v>
      </c>
      <c r="J126" t="n">
        <v>0</v>
      </c>
      <c r="K126" t="n">
        <v>0</v>
      </c>
      <c r="L126" t="n">
        <v>0</v>
      </c>
      <c r="M126" t="n">
        <v>0</v>
      </c>
      <c r="N126" t="n">
        <v>0</v>
      </c>
      <c r="O126" t="n">
        <v>0</v>
      </c>
      <c r="P126" t="n">
        <v>0</v>
      </c>
      <c r="Q126" t="n">
        <v>3</v>
      </c>
      <c r="R126" s="2" t="inlineStr">
        <is>
          <t>Stor aspticka
Vårärt
Blåsippa</t>
        </is>
      </c>
      <c r="S126">
        <f>HYPERLINK("https://klasma.github.io/Logging_2260/artfynd/A 16307-2025 artfynd.xlsx", "A 16307-2025")</f>
        <v/>
      </c>
      <c r="T126">
        <f>HYPERLINK("https://klasma.github.io/Logging_2260/kartor/A 16307-2025 karta.png", "A 16307-2025")</f>
        <v/>
      </c>
      <c r="V126">
        <f>HYPERLINK("https://klasma.github.io/Logging_2260/klagomål/A 16307-2025 FSC-klagomål.docx", "A 16307-2025")</f>
        <v/>
      </c>
      <c r="W126">
        <f>HYPERLINK("https://klasma.github.io/Logging_2260/klagomålsmail/A 16307-2025 FSC-klagomål mail.docx", "A 16307-2025")</f>
        <v/>
      </c>
      <c r="X126">
        <f>HYPERLINK("https://klasma.github.io/Logging_2260/tillsyn/A 16307-2025 tillsynsbegäran.docx", "A 16307-2025")</f>
        <v/>
      </c>
      <c r="Y126">
        <f>HYPERLINK("https://klasma.github.io/Logging_2260/tillsynsmail/A 16307-2025 tillsynsbegäran mail.docx", "A 16307-2025")</f>
        <v/>
      </c>
    </row>
    <row r="127" ht="15" customHeight="1">
      <c r="A127" t="inlineStr">
        <is>
          <t>A 63330-2025</t>
        </is>
      </c>
      <c r="B127" s="1" t="n">
        <v>46010</v>
      </c>
      <c r="C127" s="1" t="n">
        <v>46178</v>
      </c>
      <c r="D127" t="inlineStr">
        <is>
          <t>VÄSTERNORRLANDS LÄN</t>
        </is>
      </c>
      <c r="E127" t="inlineStr">
        <is>
          <t>ÅNGE</t>
        </is>
      </c>
      <c r="G127" t="n">
        <v>2.1</v>
      </c>
      <c r="H127" t="n">
        <v>0</v>
      </c>
      <c r="I127" t="n">
        <v>0</v>
      </c>
      <c r="J127" t="n">
        <v>3</v>
      </c>
      <c r="K127" t="n">
        <v>0</v>
      </c>
      <c r="L127" t="n">
        <v>0</v>
      </c>
      <c r="M127" t="n">
        <v>0</v>
      </c>
      <c r="N127" t="n">
        <v>0</v>
      </c>
      <c r="O127" t="n">
        <v>3</v>
      </c>
      <c r="P127" t="n">
        <v>0</v>
      </c>
      <c r="Q127" t="n">
        <v>3</v>
      </c>
      <c r="R127" s="2" t="inlineStr">
        <is>
          <t>Garnlav
Granticka
Lunglav</t>
        </is>
      </c>
      <c r="S127">
        <f>HYPERLINK("https://klasma.github.io/Logging_2260/artfynd/A 63330-2025 artfynd.xlsx", "A 63330-2025")</f>
        <v/>
      </c>
      <c r="T127">
        <f>HYPERLINK("https://klasma.github.io/Logging_2260/kartor/A 63330-2025 karta.png", "A 63330-2025")</f>
        <v/>
      </c>
      <c r="V127">
        <f>HYPERLINK("https://klasma.github.io/Logging_2260/klagomål/A 63330-2025 FSC-klagomål.docx", "A 63330-2025")</f>
        <v/>
      </c>
      <c r="W127">
        <f>HYPERLINK("https://klasma.github.io/Logging_2260/klagomålsmail/A 63330-2025 FSC-klagomål mail.docx", "A 63330-2025")</f>
        <v/>
      </c>
      <c r="X127">
        <f>HYPERLINK("https://klasma.github.io/Logging_2260/tillsyn/A 63330-2025 tillsynsbegäran.docx", "A 63330-2025")</f>
        <v/>
      </c>
      <c r="Y127">
        <f>HYPERLINK("https://klasma.github.io/Logging_2260/tillsynsmail/A 63330-2025 tillsynsbegäran mail.docx", "A 63330-2025")</f>
        <v/>
      </c>
    </row>
    <row r="128" ht="15" customHeight="1">
      <c r="A128" t="inlineStr">
        <is>
          <t>A 41868-2025</t>
        </is>
      </c>
      <c r="B128" s="1" t="n">
        <v>45903.34429398148</v>
      </c>
      <c r="C128" s="1" t="n">
        <v>46178</v>
      </c>
      <c r="D128" t="inlineStr">
        <is>
          <t>VÄSTERNORRLANDS LÄN</t>
        </is>
      </c>
      <c r="E128" t="inlineStr">
        <is>
          <t>ÅNGE</t>
        </is>
      </c>
      <c r="F128" t="inlineStr">
        <is>
          <t>SCA</t>
        </is>
      </c>
      <c r="G128" t="n">
        <v>5.4</v>
      </c>
      <c r="H128" t="n">
        <v>2</v>
      </c>
      <c r="I128" t="n">
        <v>1</v>
      </c>
      <c r="J128" t="n">
        <v>1</v>
      </c>
      <c r="K128" t="n">
        <v>0</v>
      </c>
      <c r="L128" t="n">
        <v>0</v>
      </c>
      <c r="M128" t="n">
        <v>0</v>
      </c>
      <c r="N128" t="n">
        <v>0</v>
      </c>
      <c r="O128" t="n">
        <v>1</v>
      </c>
      <c r="P128" t="n">
        <v>0</v>
      </c>
      <c r="Q128" t="n">
        <v>3</v>
      </c>
      <c r="R128" s="2" t="inlineStr">
        <is>
          <t>Garnlav
Spindelblomster
Revlummer</t>
        </is>
      </c>
      <c r="S128">
        <f>HYPERLINK("https://klasma.github.io/Logging_2260/artfynd/A 41868-2025 artfynd.xlsx", "A 41868-2025")</f>
        <v/>
      </c>
      <c r="T128">
        <f>HYPERLINK("https://klasma.github.io/Logging_2260/kartor/A 41868-2025 karta.png", "A 41868-2025")</f>
        <v/>
      </c>
      <c r="V128">
        <f>HYPERLINK("https://klasma.github.io/Logging_2260/klagomål/A 41868-2025 FSC-klagomål.docx", "A 41868-2025")</f>
        <v/>
      </c>
      <c r="W128">
        <f>HYPERLINK("https://klasma.github.io/Logging_2260/klagomålsmail/A 41868-2025 FSC-klagomål mail.docx", "A 41868-2025")</f>
        <v/>
      </c>
      <c r="X128">
        <f>HYPERLINK("https://klasma.github.io/Logging_2260/tillsyn/A 41868-2025 tillsynsbegäran.docx", "A 41868-2025")</f>
        <v/>
      </c>
      <c r="Y128">
        <f>HYPERLINK("https://klasma.github.io/Logging_2260/tillsynsmail/A 41868-2025 tillsynsbegäran mail.docx", "A 41868-2025")</f>
        <v/>
      </c>
    </row>
    <row r="129" ht="15" customHeight="1">
      <c r="A129" t="inlineStr">
        <is>
          <t>A 31212-2025</t>
        </is>
      </c>
      <c r="B129" s="1" t="n">
        <v>45832.71978009259</v>
      </c>
      <c r="C129" s="1" t="n">
        <v>46178</v>
      </c>
      <c r="D129" t="inlineStr">
        <is>
          <t>VÄSTERNORRLANDS LÄN</t>
        </is>
      </c>
      <c r="E129" t="inlineStr">
        <is>
          <t>ÅNGE</t>
        </is>
      </c>
      <c r="F129" t="inlineStr">
        <is>
          <t>SCA</t>
        </is>
      </c>
      <c r="G129" t="n">
        <v>1.6</v>
      </c>
      <c r="H129" t="n">
        <v>0</v>
      </c>
      <c r="I129" t="n">
        <v>2</v>
      </c>
      <c r="J129" t="n">
        <v>1</v>
      </c>
      <c r="K129" t="n">
        <v>0</v>
      </c>
      <c r="L129" t="n">
        <v>0</v>
      </c>
      <c r="M129" t="n">
        <v>0</v>
      </c>
      <c r="N129" t="n">
        <v>0</v>
      </c>
      <c r="O129" t="n">
        <v>1</v>
      </c>
      <c r="P129" t="n">
        <v>0</v>
      </c>
      <c r="Q129" t="n">
        <v>3</v>
      </c>
      <c r="R129" s="2" t="inlineStr">
        <is>
          <t>Ullticka
Barkticka
Korallblylav</t>
        </is>
      </c>
      <c r="S129">
        <f>HYPERLINK("https://klasma.github.io/Logging_2260/artfynd/A 31212-2025 artfynd.xlsx", "A 31212-2025")</f>
        <v/>
      </c>
      <c r="T129">
        <f>HYPERLINK("https://klasma.github.io/Logging_2260/kartor/A 31212-2025 karta.png", "A 31212-2025")</f>
        <v/>
      </c>
      <c r="V129">
        <f>HYPERLINK("https://klasma.github.io/Logging_2260/klagomål/A 31212-2025 FSC-klagomål.docx", "A 31212-2025")</f>
        <v/>
      </c>
      <c r="W129">
        <f>HYPERLINK("https://klasma.github.io/Logging_2260/klagomålsmail/A 31212-2025 FSC-klagomål mail.docx", "A 31212-2025")</f>
        <v/>
      </c>
      <c r="X129">
        <f>HYPERLINK("https://klasma.github.io/Logging_2260/tillsyn/A 31212-2025 tillsynsbegäran.docx", "A 31212-2025")</f>
        <v/>
      </c>
      <c r="Y129">
        <f>HYPERLINK("https://klasma.github.io/Logging_2260/tillsynsmail/A 31212-2025 tillsynsbegäran mail.docx", "A 31212-2025")</f>
        <v/>
      </c>
    </row>
    <row r="130" ht="15" customHeight="1">
      <c r="A130" t="inlineStr">
        <is>
          <t>A 43319-2025</t>
        </is>
      </c>
      <c r="B130" s="1" t="n">
        <v>45910.65681712963</v>
      </c>
      <c r="C130" s="1" t="n">
        <v>46178</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33806-2025</t>
        </is>
      </c>
      <c r="B131" s="1" t="n">
        <v>45842.44865740741</v>
      </c>
      <c r="C131" s="1" t="n">
        <v>46178</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43880-2025</t>
        </is>
      </c>
      <c r="B132" s="1" t="n">
        <v>45912</v>
      </c>
      <c r="C132" s="1" t="n">
        <v>46178</v>
      </c>
      <c r="D132" t="inlineStr">
        <is>
          <t>VÄSTERNORRLANDS LÄN</t>
        </is>
      </c>
      <c r="E132" t="inlineStr">
        <is>
          <t>ÅNGE</t>
        </is>
      </c>
      <c r="F132" t="inlineStr">
        <is>
          <t>SCA</t>
        </is>
      </c>
      <c r="G132" t="n">
        <v>3.5</v>
      </c>
      <c r="H132" t="n">
        <v>1</v>
      </c>
      <c r="I132" t="n">
        <v>0</v>
      </c>
      <c r="J132" t="n">
        <v>3</v>
      </c>
      <c r="K132" t="n">
        <v>0</v>
      </c>
      <c r="L132" t="n">
        <v>0</v>
      </c>
      <c r="M132" t="n">
        <v>0</v>
      </c>
      <c r="N132" t="n">
        <v>0</v>
      </c>
      <c r="O132" t="n">
        <v>3</v>
      </c>
      <c r="P132" t="n">
        <v>0</v>
      </c>
      <c r="Q132" t="n">
        <v>3</v>
      </c>
      <c r="R132" s="2" t="inlineStr">
        <is>
          <t>Granticka
Tretåig hackspett
Vitgrynig nållav</t>
        </is>
      </c>
      <c r="S132">
        <f>HYPERLINK("https://klasma.github.io/Logging_2260/artfynd/A 43880-2025 artfynd.xlsx", "A 43880-2025")</f>
        <v/>
      </c>
      <c r="T132">
        <f>HYPERLINK("https://klasma.github.io/Logging_2260/kartor/A 43880-2025 karta.png", "A 43880-2025")</f>
        <v/>
      </c>
      <c r="V132">
        <f>HYPERLINK("https://klasma.github.io/Logging_2260/klagomål/A 43880-2025 FSC-klagomål.docx", "A 43880-2025")</f>
        <v/>
      </c>
      <c r="W132">
        <f>HYPERLINK("https://klasma.github.io/Logging_2260/klagomålsmail/A 43880-2025 FSC-klagomål mail.docx", "A 43880-2025")</f>
        <v/>
      </c>
      <c r="X132">
        <f>HYPERLINK("https://klasma.github.io/Logging_2260/tillsyn/A 43880-2025 tillsynsbegäran.docx", "A 43880-2025")</f>
        <v/>
      </c>
      <c r="Y132">
        <f>HYPERLINK("https://klasma.github.io/Logging_2260/tillsynsmail/A 43880-2025 tillsynsbegäran mail.docx", "A 43880-2025")</f>
        <v/>
      </c>
      <c r="Z132">
        <f>HYPERLINK("https://klasma.github.io/Logging_2260/fåglar/A 43880-2025 prioriterade fågelarter.docx", "A 43880-2025")</f>
        <v/>
      </c>
    </row>
    <row r="133" ht="15" customHeight="1">
      <c r="A133" t="inlineStr">
        <is>
          <t>A 37184-2025</t>
        </is>
      </c>
      <c r="B133" s="1" t="n">
        <v>45875.63591435185</v>
      </c>
      <c r="C133" s="1" t="n">
        <v>46178</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38238-2025</t>
        </is>
      </c>
      <c r="B134" s="1" t="n">
        <v>45883.36497685185</v>
      </c>
      <c r="C134" s="1" t="n">
        <v>46178</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50259-2025</t>
        </is>
      </c>
      <c r="B135" s="1" t="n">
        <v>45944.34498842592</v>
      </c>
      <c r="C135" s="1" t="n">
        <v>46178</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53710-2025</t>
        </is>
      </c>
      <c r="B136" s="1" t="n">
        <v>45960.6153125</v>
      </c>
      <c r="C136" s="1" t="n">
        <v>46178</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7533-2023</t>
        </is>
      </c>
      <c r="B137" s="1" t="n">
        <v>44971</v>
      </c>
      <c r="C137" s="1" t="n">
        <v>46178</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45122-2021</t>
        </is>
      </c>
      <c r="B138" s="1" t="n">
        <v>44439</v>
      </c>
      <c r="C138" s="1" t="n">
        <v>46178</v>
      </c>
      <c r="D138" t="inlineStr">
        <is>
          <t>VÄSTERNORRLANDS LÄN</t>
        </is>
      </c>
      <c r="E138" t="inlineStr">
        <is>
          <t>ÅNGE</t>
        </is>
      </c>
      <c r="G138" t="n">
        <v>20.3</v>
      </c>
      <c r="H138" t="n">
        <v>0</v>
      </c>
      <c r="I138" t="n">
        <v>2</v>
      </c>
      <c r="J138" t="n">
        <v>1</v>
      </c>
      <c r="K138" t="n">
        <v>0</v>
      </c>
      <c r="L138" t="n">
        <v>0</v>
      </c>
      <c r="M138" t="n">
        <v>0</v>
      </c>
      <c r="N138" t="n">
        <v>0</v>
      </c>
      <c r="O138" t="n">
        <v>1</v>
      </c>
      <c r="P138" t="n">
        <v>0</v>
      </c>
      <c r="Q138" t="n">
        <v>3</v>
      </c>
      <c r="R138" s="2" t="inlineStr">
        <is>
          <t>Reliktbock
Cixidia
Skinnlav</t>
        </is>
      </c>
      <c r="S138">
        <f>HYPERLINK("https://klasma.github.io/Logging_2260/artfynd/A 45122-2021 artfynd.xlsx", "A 45122-2021")</f>
        <v/>
      </c>
      <c r="T138">
        <f>HYPERLINK("https://klasma.github.io/Logging_2260/kartor/A 45122-2021 karta.png", "A 45122-2021")</f>
        <v/>
      </c>
      <c r="V138">
        <f>HYPERLINK("https://klasma.github.io/Logging_2260/klagomål/A 45122-2021 FSC-klagomål.docx", "A 45122-2021")</f>
        <v/>
      </c>
      <c r="W138">
        <f>HYPERLINK("https://klasma.github.io/Logging_2260/klagomålsmail/A 45122-2021 FSC-klagomål mail.docx", "A 45122-2021")</f>
        <v/>
      </c>
      <c r="X138">
        <f>HYPERLINK("https://klasma.github.io/Logging_2260/tillsyn/A 45122-2021 tillsynsbegäran.docx", "A 45122-2021")</f>
        <v/>
      </c>
      <c r="Y138">
        <f>HYPERLINK("https://klasma.github.io/Logging_2260/tillsynsmail/A 45122-2021 tillsynsbegäran mail.docx", "A 45122-2021")</f>
        <v/>
      </c>
    </row>
    <row r="139" ht="15" customHeight="1">
      <c r="A139" t="inlineStr">
        <is>
          <t>A 39029-2025</t>
        </is>
      </c>
      <c r="B139" s="1" t="n">
        <v>45888.40684027778</v>
      </c>
      <c r="C139" s="1" t="n">
        <v>46178</v>
      </c>
      <c r="D139" t="inlineStr">
        <is>
          <t>VÄSTERNORRLANDS LÄN</t>
        </is>
      </c>
      <c r="E139" t="inlineStr">
        <is>
          <t>ÅNGE</t>
        </is>
      </c>
      <c r="F139" t="inlineStr">
        <is>
          <t>SCA</t>
        </is>
      </c>
      <c r="G139" t="n">
        <v>2.4</v>
      </c>
      <c r="H139" t="n">
        <v>2</v>
      </c>
      <c r="I139" t="n">
        <v>0</v>
      </c>
      <c r="J139" t="n">
        <v>1</v>
      </c>
      <c r="K139" t="n">
        <v>0</v>
      </c>
      <c r="L139" t="n">
        <v>0</v>
      </c>
      <c r="M139" t="n">
        <v>0</v>
      </c>
      <c r="N139" t="n">
        <v>0</v>
      </c>
      <c r="O139" t="n">
        <v>1</v>
      </c>
      <c r="P139" t="n">
        <v>0</v>
      </c>
      <c r="Q139" t="n">
        <v>3</v>
      </c>
      <c r="R139" s="2" t="inlineStr">
        <is>
          <t>Kolflarnlav
Fläcknycklar
Revlummer</t>
        </is>
      </c>
      <c r="S139">
        <f>HYPERLINK("https://klasma.github.io/Logging_2260/artfynd/A 39029-2025 artfynd.xlsx", "A 39029-2025")</f>
        <v/>
      </c>
      <c r="T139">
        <f>HYPERLINK("https://klasma.github.io/Logging_2260/kartor/A 39029-2025 karta.png", "A 39029-2025")</f>
        <v/>
      </c>
      <c r="V139">
        <f>HYPERLINK("https://klasma.github.io/Logging_2260/klagomål/A 39029-2025 FSC-klagomål.docx", "A 39029-2025")</f>
        <v/>
      </c>
      <c r="W139">
        <f>HYPERLINK("https://klasma.github.io/Logging_2260/klagomålsmail/A 39029-2025 FSC-klagomål mail.docx", "A 39029-2025")</f>
        <v/>
      </c>
      <c r="X139">
        <f>HYPERLINK("https://klasma.github.io/Logging_2260/tillsyn/A 39029-2025 tillsynsbegäran.docx", "A 39029-2025")</f>
        <v/>
      </c>
      <c r="Y139">
        <f>HYPERLINK("https://klasma.github.io/Logging_2260/tillsynsmail/A 39029-2025 tillsynsbegäran mail.docx", "A 39029-2025")</f>
        <v/>
      </c>
    </row>
    <row r="140" ht="15" customHeight="1">
      <c r="A140" t="inlineStr">
        <is>
          <t>A 39708-2024</t>
        </is>
      </c>
      <c r="B140" s="1" t="n">
        <v>45552.59408564815</v>
      </c>
      <c r="C140" s="1" t="n">
        <v>46178</v>
      </c>
      <c r="D140" t="inlineStr">
        <is>
          <t>VÄSTERNORRLANDS LÄN</t>
        </is>
      </c>
      <c r="E140" t="inlineStr">
        <is>
          <t>ÅNGE</t>
        </is>
      </c>
      <c r="F140" t="inlineStr">
        <is>
          <t>SCA</t>
        </is>
      </c>
      <c r="G140" t="n">
        <v>6.2</v>
      </c>
      <c r="H140" t="n">
        <v>0</v>
      </c>
      <c r="I140" t="n">
        <v>0</v>
      </c>
      <c r="J140" t="n">
        <v>3</v>
      </c>
      <c r="K140" t="n">
        <v>0</v>
      </c>
      <c r="L140" t="n">
        <v>0</v>
      </c>
      <c r="M140" t="n">
        <v>0</v>
      </c>
      <c r="N140" t="n">
        <v>0</v>
      </c>
      <c r="O140" t="n">
        <v>3</v>
      </c>
      <c r="P140" t="n">
        <v>0</v>
      </c>
      <c r="Q140" t="n">
        <v>3</v>
      </c>
      <c r="R140" s="2" t="inlineStr">
        <is>
          <t>Granticka
Ullticka
Vitgrynig nållav</t>
        </is>
      </c>
      <c r="S140">
        <f>HYPERLINK("https://klasma.github.io/Logging_2260/artfynd/A 39708-2024 artfynd.xlsx", "A 39708-2024")</f>
        <v/>
      </c>
      <c r="T140">
        <f>HYPERLINK("https://klasma.github.io/Logging_2260/kartor/A 39708-2024 karta.png", "A 39708-2024")</f>
        <v/>
      </c>
      <c r="V140">
        <f>HYPERLINK("https://klasma.github.io/Logging_2260/klagomål/A 39708-2024 FSC-klagomål.docx", "A 39708-2024")</f>
        <v/>
      </c>
      <c r="W140">
        <f>HYPERLINK("https://klasma.github.io/Logging_2260/klagomålsmail/A 39708-2024 FSC-klagomål mail.docx", "A 39708-2024")</f>
        <v/>
      </c>
      <c r="X140">
        <f>HYPERLINK("https://klasma.github.io/Logging_2260/tillsyn/A 39708-2024 tillsynsbegäran.docx", "A 39708-2024")</f>
        <v/>
      </c>
      <c r="Y140">
        <f>HYPERLINK("https://klasma.github.io/Logging_2260/tillsynsmail/A 39708-2024 tillsynsbegäran mail.docx", "A 39708-2024")</f>
        <v/>
      </c>
    </row>
    <row r="141" ht="15" customHeight="1">
      <c r="A141" t="inlineStr">
        <is>
          <t>A 29691-2024</t>
        </is>
      </c>
      <c r="B141" s="1" t="n">
        <v>45484.9446875</v>
      </c>
      <c r="C141" s="1" t="n">
        <v>46178</v>
      </c>
      <c r="D141" t="inlineStr">
        <is>
          <t>VÄSTERNORRLANDS LÄN</t>
        </is>
      </c>
      <c r="E141" t="inlineStr">
        <is>
          <t>ÅNGE</t>
        </is>
      </c>
      <c r="F141" t="inlineStr">
        <is>
          <t>SCA</t>
        </is>
      </c>
      <c r="G141" t="n">
        <v>6.8</v>
      </c>
      <c r="H141" t="n">
        <v>0</v>
      </c>
      <c r="I141" t="n">
        <v>1</v>
      </c>
      <c r="J141" t="n">
        <v>2</v>
      </c>
      <c r="K141" t="n">
        <v>0</v>
      </c>
      <c r="L141" t="n">
        <v>0</v>
      </c>
      <c r="M141" t="n">
        <v>0</v>
      </c>
      <c r="N141" t="n">
        <v>0</v>
      </c>
      <c r="O141" t="n">
        <v>2</v>
      </c>
      <c r="P141" t="n">
        <v>0</v>
      </c>
      <c r="Q141" t="n">
        <v>3</v>
      </c>
      <c r="R141" s="2" t="inlineStr">
        <is>
          <t>Lunglav
Rosenticka
Vedticka</t>
        </is>
      </c>
      <c r="S141">
        <f>HYPERLINK("https://klasma.github.io/Logging_2260/artfynd/A 29691-2024 artfynd.xlsx", "A 29691-2024")</f>
        <v/>
      </c>
      <c r="T141">
        <f>HYPERLINK("https://klasma.github.io/Logging_2260/kartor/A 29691-2024 karta.png", "A 29691-2024")</f>
        <v/>
      </c>
      <c r="V141">
        <f>HYPERLINK("https://klasma.github.io/Logging_2260/klagomål/A 29691-2024 FSC-klagomål.docx", "A 29691-2024")</f>
        <v/>
      </c>
      <c r="W141">
        <f>HYPERLINK("https://klasma.github.io/Logging_2260/klagomålsmail/A 29691-2024 FSC-klagomål mail.docx", "A 29691-2024")</f>
        <v/>
      </c>
      <c r="X141">
        <f>HYPERLINK("https://klasma.github.io/Logging_2260/tillsyn/A 29691-2024 tillsynsbegäran.docx", "A 29691-2024")</f>
        <v/>
      </c>
      <c r="Y141">
        <f>HYPERLINK("https://klasma.github.io/Logging_2260/tillsynsmail/A 29691-2024 tillsynsbegäran mail.docx", "A 29691-2024")</f>
        <v/>
      </c>
    </row>
    <row r="142" ht="15" customHeight="1">
      <c r="A142" t="inlineStr">
        <is>
          <t>A 39181-2024</t>
        </is>
      </c>
      <c r="B142" s="1" t="n">
        <v>45548</v>
      </c>
      <c r="C142" s="1" t="n">
        <v>46178</v>
      </c>
      <c r="D142" t="inlineStr">
        <is>
          <t>VÄSTERNORRLANDS LÄN</t>
        </is>
      </c>
      <c r="E142" t="inlineStr">
        <is>
          <t>ÅNGE</t>
        </is>
      </c>
      <c r="F142" t="inlineStr">
        <is>
          <t>SCA</t>
        </is>
      </c>
      <c r="G142" t="n">
        <v>21.1</v>
      </c>
      <c r="H142" t="n">
        <v>1</v>
      </c>
      <c r="I142" t="n">
        <v>1</v>
      </c>
      <c r="J142" t="n">
        <v>1</v>
      </c>
      <c r="K142" t="n">
        <v>1</v>
      </c>
      <c r="L142" t="n">
        <v>0</v>
      </c>
      <c r="M142" t="n">
        <v>0</v>
      </c>
      <c r="N142" t="n">
        <v>0</v>
      </c>
      <c r="O142" t="n">
        <v>2</v>
      </c>
      <c r="P142" t="n">
        <v>1</v>
      </c>
      <c r="Q142" t="n">
        <v>3</v>
      </c>
      <c r="R142" s="2" t="inlineStr">
        <is>
          <t>Knärot
Granticka
Kransrams</t>
        </is>
      </c>
      <c r="S142">
        <f>HYPERLINK("https://klasma.github.io/Logging_2260/artfynd/A 39181-2024 artfynd.xlsx", "A 39181-2024")</f>
        <v/>
      </c>
      <c r="T142">
        <f>HYPERLINK("https://klasma.github.io/Logging_2260/kartor/A 39181-2024 karta.png", "A 39181-2024")</f>
        <v/>
      </c>
      <c r="U142">
        <f>HYPERLINK("https://klasma.github.io/Logging_2260/knärot/A 39181-2024 karta knärot.png", "A 39181-2024")</f>
        <v/>
      </c>
      <c r="V142">
        <f>HYPERLINK("https://klasma.github.io/Logging_2260/klagomål/A 39181-2024 FSC-klagomål.docx", "A 39181-2024")</f>
        <v/>
      </c>
      <c r="W142">
        <f>HYPERLINK("https://klasma.github.io/Logging_2260/klagomålsmail/A 39181-2024 FSC-klagomål mail.docx", "A 39181-2024")</f>
        <v/>
      </c>
      <c r="X142">
        <f>HYPERLINK("https://klasma.github.io/Logging_2260/tillsyn/A 39181-2024 tillsynsbegäran.docx", "A 39181-2024")</f>
        <v/>
      </c>
      <c r="Y142">
        <f>HYPERLINK("https://klasma.github.io/Logging_2260/tillsynsmail/A 39181-2024 tillsynsbegäran mail.docx", "A 39181-2024")</f>
        <v/>
      </c>
    </row>
    <row r="143" ht="15" customHeight="1">
      <c r="A143" t="inlineStr">
        <is>
          <t>A 24795-2024</t>
        </is>
      </c>
      <c r="B143" s="1" t="n">
        <v>45460.95252314815</v>
      </c>
      <c r="C143" s="1" t="n">
        <v>46178</v>
      </c>
      <c r="D143" t="inlineStr">
        <is>
          <t>VÄSTERNORRLANDS LÄN</t>
        </is>
      </c>
      <c r="E143" t="inlineStr">
        <is>
          <t>ÅNGE</t>
        </is>
      </c>
      <c r="F143" t="inlineStr">
        <is>
          <t>SCA</t>
        </is>
      </c>
      <c r="G143" t="n">
        <v>2.2</v>
      </c>
      <c r="H143" t="n">
        <v>1</v>
      </c>
      <c r="I143" t="n">
        <v>2</v>
      </c>
      <c r="J143" t="n">
        <v>1</v>
      </c>
      <c r="K143" t="n">
        <v>0</v>
      </c>
      <c r="L143" t="n">
        <v>0</v>
      </c>
      <c r="M143" t="n">
        <v>0</v>
      </c>
      <c r="N143" t="n">
        <v>0</v>
      </c>
      <c r="O143" t="n">
        <v>1</v>
      </c>
      <c r="P143" t="n">
        <v>0</v>
      </c>
      <c r="Q143" t="n">
        <v>3</v>
      </c>
      <c r="R143" s="2" t="inlineStr">
        <is>
          <t>Lunglav
Plattlummer
Skinnlav</t>
        </is>
      </c>
      <c r="S143">
        <f>HYPERLINK("https://klasma.github.io/Logging_2260/artfynd/A 24795-2024 artfynd.xlsx", "A 24795-2024")</f>
        <v/>
      </c>
      <c r="T143">
        <f>HYPERLINK("https://klasma.github.io/Logging_2260/kartor/A 24795-2024 karta.png", "A 24795-2024")</f>
        <v/>
      </c>
      <c r="V143">
        <f>HYPERLINK("https://klasma.github.io/Logging_2260/klagomål/A 24795-2024 FSC-klagomål.docx", "A 24795-2024")</f>
        <v/>
      </c>
      <c r="W143">
        <f>HYPERLINK("https://klasma.github.io/Logging_2260/klagomålsmail/A 24795-2024 FSC-klagomål mail.docx", "A 24795-2024")</f>
        <v/>
      </c>
      <c r="X143">
        <f>HYPERLINK("https://klasma.github.io/Logging_2260/tillsyn/A 24795-2024 tillsynsbegäran.docx", "A 24795-2024")</f>
        <v/>
      </c>
      <c r="Y143">
        <f>HYPERLINK("https://klasma.github.io/Logging_2260/tillsynsmail/A 24795-2024 tillsynsbegäran mail.docx", "A 24795-2024")</f>
        <v/>
      </c>
    </row>
    <row r="144" ht="15" customHeight="1">
      <c r="A144" t="inlineStr">
        <is>
          <t>A 28274-2023</t>
        </is>
      </c>
      <c r="B144" s="1" t="n">
        <v>45099</v>
      </c>
      <c r="C144" s="1" t="n">
        <v>46178</v>
      </c>
      <c r="D144" t="inlineStr">
        <is>
          <t>VÄSTERNORRLANDS LÄN</t>
        </is>
      </c>
      <c r="E144" t="inlineStr">
        <is>
          <t>ÅNGE</t>
        </is>
      </c>
      <c r="G144" t="n">
        <v>19.2</v>
      </c>
      <c r="H144" t="n">
        <v>1</v>
      </c>
      <c r="I144" t="n">
        <v>1</v>
      </c>
      <c r="J144" t="n">
        <v>1</v>
      </c>
      <c r="K144" t="n">
        <v>1</v>
      </c>
      <c r="L144" t="n">
        <v>0</v>
      </c>
      <c r="M144" t="n">
        <v>0</v>
      </c>
      <c r="N144" t="n">
        <v>0</v>
      </c>
      <c r="O144" t="n">
        <v>2</v>
      </c>
      <c r="P144" t="n">
        <v>1</v>
      </c>
      <c r="Q144" t="n">
        <v>3</v>
      </c>
      <c r="R144" s="2" t="inlineStr">
        <is>
          <t>Knärot
Lunglav
Grönpyrola</t>
        </is>
      </c>
      <c r="S144">
        <f>HYPERLINK("https://klasma.github.io/Logging_2260/artfynd/A 28274-2023 artfynd.xlsx", "A 28274-2023")</f>
        <v/>
      </c>
      <c r="T144">
        <f>HYPERLINK("https://klasma.github.io/Logging_2260/kartor/A 28274-2023 karta.png", "A 28274-2023")</f>
        <v/>
      </c>
      <c r="U144">
        <f>HYPERLINK("https://klasma.github.io/Logging_2260/knärot/A 28274-2023 karta knärot.png", "A 28274-2023")</f>
        <v/>
      </c>
      <c r="V144">
        <f>HYPERLINK("https://klasma.github.io/Logging_2260/klagomål/A 28274-2023 FSC-klagomål.docx", "A 28274-2023")</f>
        <v/>
      </c>
      <c r="W144">
        <f>HYPERLINK("https://klasma.github.io/Logging_2260/klagomålsmail/A 28274-2023 FSC-klagomål mail.docx", "A 28274-2023")</f>
        <v/>
      </c>
      <c r="X144">
        <f>HYPERLINK("https://klasma.github.io/Logging_2260/tillsyn/A 28274-2023 tillsynsbegäran.docx", "A 28274-2023")</f>
        <v/>
      </c>
      <c r="Y144">
        <f>HYPERLINK("https://klasma.github.io/Logging_2260/tillsynsmail/A 28274-2023 tillsynsbegäran mail.docx", "A 28274-2023")</f>
        <v/>
      </c>
    </row>
    <row r="145" ht="15" customHeight="1">
      <c r="A145" t="inlineStr">
        <is>
          <t>A 21267-2025</t>
        </is>
      </c>
      <c r="B145" s="1" t="n">
        <v>45779</v>
      </c>
      <c r="C145" s="1" t="n">
        <v>46178</v>
      </c>
      <c r="D145" t="inlineStr">
        <is>
          <t>VÄSTERNORRLANDS LÄN</t>
        </is>
      </c>
      <c r="E145" t="inlineStr">
        <is>
          <t>ÅNGE</t>
        </is>
      </c>
      <c r="F145" t="inlineStr">
        <is>
          <t>Sveaskog</t>
        </is>
      </c>
      <c r="G145" t="n">
        <v>3.7</v>
      </c>
      <c r="H145" t="n">
        <v>2</v>
      </c>
      <c r="I145" t="n">
        <v>2</v>
      </c>
      <c r="J145" t="n">
        <v>1</v>
      </c>
      <c r="K145" t="n">
        <v>0</v>
      </c>
      <c r="L145" t="n">
        <v>0</v>
      </c>
      <c r="M145" t="n">
        <v>0</v>
      </c>
      <c r="N145" t="n">
        <v>0</v>
      </c>
      <c r="O145" t="n">
        <v>1</v>
      </c>
      <c r="P145" t="n">
        <v>0</v>
      </c>
      <c r="Q145" t="n">
        <v>3</v>
      </c>
      <c r="R145" s="2" t="inlineStr">
        <is>
          <t>Lunglav
Korallrot
Spindelblomster</t>
        </is>
      </c>
      <c r="S145">
        <f>HYPERLINK("https://klasma.github.io/Logging_2260/artfynd/A 21267-2025 artfynd.xlsx", "A 21267-2025")</f>
        <v/>
      </c>
      <c r="T145">
        <f>HYPERLINK("https://klasma.github.io/Logging_2260/kartor/A 21267-2025 karta.png", "A 21267-2025")</f>
        <v/>
      </c>
      <c r="V145">
        <f>HYPERLINK("https://klasma.github.io/Logging_2260/klagomål/A 21267-2025 FSC-klagomål.docx", "A 21267-2025")</f>
        <v/>
      </c>
      <c r="W145">
        <f>HYPERLINK("https://klasma.github.io/Logging_2260/klagomålsmail/A 21267-2025 FSC-klagomål mail.docx", "A 21267-2025")</f>
        <v/>
      </c>
      <c r="X145">
        <f>HYPERLINK("https://klasma.github.io/Logging_2260/tillsyn/A 21267-2025 tillsynsbegäran.docx", "A 21267-2025")</f>
        <v/>
      </c>
      <c r="Y145">
        <f>HYPERLINK("https://klasma.github.io/Logging_2260/tillsynsmail/A 21267-2025 tillsynsbegäran mail.docx", "A 21267-2025")</f>
        <v/>
      </c>
    </row>
    <row r="146" ht="15" customHeight="1">
      <c r="A146" t="inlineStr">
        <is>
          <t>A 23754-2025</t>
        </is>
      </c>
      <c r="B146" s="1" t="n">
        <v>45793.45782407407</v>
      </c>
      <c r="C146" s="1" t="n">
        <v>46178</v>
      </c>
      <c r="D146" t="inlineStr">
        <is>
          <t>VÄSTERNORRLANDS LÄN</t>
        </is>
      </c>
      <c r="E146" t="inlineStr">
        <is>
          <t>ÅNGE</t>
        </is>
      </c>
      <c r="F146" t="inlineStr">
        <is>
          <t>Sveaskog</t>
        </is>
      </c>
      <c r="G146" t="n">
        <v>4.3</v>
      </c>
      <c r="H146" t="n">
        <v>3</v>
      </c>
      <c r="I146" t="n">
        <v>0</v>
      </c>
      <c r="J146" t="n">
        <v>1</v>
      </c>
      <c r="K146" t="n">
        <v>0</v>
      </c>
      <c r="L146" t="n">
        <v>0</v>
      </c>
      <c r="M146" t="n">
        <v>0</v>
      </c>
      <c r="N146" t="n">
        <v>0</v>
      </c>
      <c r="O146" t="n">
        <v>1</v>
      </c>
      <c r="P146" t="n">
        <v>0</v>
      </c>
      <c r="Q146" t="n">
        <v>3</v>
      </c>
      <c r="R146" s="2" t="inlineStr">
        <is>
          <t>Spillkråka
Tjäder
Blåsippa</t>
        </is>
      </c>
      <c r="S146">
        <f>HYPERLINK("https://klasma.github.io/Logging_2260/artfynd/A 23754-2025 artfynd.xlsx", "A 23754-2025")</f>
        <v/>
      </c>
      <c r="T146">
        <f>HYPERLINK("https://klasma.github.io/Logging_2260/kartor/A 23754-2025 karta.png", "A 23754-2025")</f>
        <v/>
      </c>
      <c r="U146">
        <f>HYPERLINK("https://klasma.github.io/Logging_2260/knärot/A 23754-2025 karta knärot.png", "A 23754-2025")</f>
        <v/>
      </c>
      <c r="V146">
        <f>HYPERLINK("https://klasma.github.io/Logging_2260/klagomål/A 23754-2025 FSC-klagomål.docx", "A 23754-2025")</f>
        <v/>
      </c>
      <c r="W146">
        <f>HYPERLINK("https://klasma.github.io/Logging_2260/klagomålsmail/A 23754-2025 FSC-klagomål mail.docx", "A 23754-2025")</f>
        <v/>
      </c>
      <c r="X146">
        <f>HYPERLINK("https://klasma.github.io/Logging_2260/tillsyn/A 23754-2025 tillsynsbegäran.docx", "A 23754-2025")</f>
        <v/>
      </c>
      <c r="Y146">
        <f>HYPERLINK("https://klasma.github.io/Logging_2260/tillsynsmail/A 23754-2025 tillsynsbegäran mail.docx", "A 23754-2025")</f>
        <v/>
      </c>
      <c r="Z146">
        <f>HYPERLINK("https://klasma.github.io/Logging_2260/fåglar/A 23754-2025 prioriterade fågelarter.docx", "A 23754-2025")</f>
        <v/>
      </c>
    </row>
    <row r="147" ht="15" customHeight="1">
      <c r="A147" t="inlineStr">
        <is>
          <t>A 23759-2025</t>
        </is>
      </c>
      <c r="B147" s="1" t="n">
        <v>45793.46409722222</v>
      </c>
      <c r="C147" s="1" t="n">
        <v>46178</v>
      </c>
      <c r="D147" t="inlineStr">
        <is>
          <t>VÄSTERNORRLANDS LÄN</t>
        </is>
      </c>
      <c r="E147" t="inlineStr">
        <is>
          <t>ÅNGE</t>
        </is>
      </c>
      <c r="F147" t="inlineStr">
        <is>
          <t>Sveaskog</t>
        </is>
      </c>
      <c r="G147" t="n">
        <v>5.2</v>
      </c>
      <c r="H147" t="n">
        <v>0</v>
      </c>
      <c r="I147" t="n">
        <v>1</v>
      </c>
      <c r="J147" t="n">
        <v>2</v>
      </c>
      <c r="K147" t="n">
        <v>0</v>
      </c>
      <c r="L147" t="n">
        <v>0</v>
      </c>
      <c r="M147" t="n">
        <v>0</v>
      </c>
      <c r="N147" t="n">
        <v>0</v>
      </c>
      <c r="O147" t="n">
        <v>2</v>
      </c>
      <c r="P147" t="n">
        <v>0</v>
      </c>
      <c r="Q147" t="n">
        <v>3</v>
      </c>
      <c r="R147" s="2" t="inlineStr">
        <is>
          <t>Lunglav
Skrovellav
Korallblylav</t>
        </is>
      </c>
      <c r="S147">
        <f>HYPERLINK("https://klasma.github.io/Logging_2260/artfynd/A 23759-2025 artfynd.xlsx", "A 23759-2025")</f>
        <v/>
      </c>
      <c r="T147">
        <f>HYPERLINK("https://klasma.github.io/Logging_2260/kartor/A 23759-2025 karta.png", "A 23759-2025")</f>
        <v/>
      </c>
      <c r="V147">
        <f>HYPERLINK("https://klasma.github.io/Logging_2260/klagomål/A 23759-2025 FSC-klagomål.docx", "A 23759-2025")</f>
        <v/>
      </c>
      <c r="W147">
        <f>HYPERLINK("https://klasma.github.io/Logging_2260/klagomålsmail/A 23759-2025 FSC-klagomål mail.docx", "A 23759-2025")</f>
        <v/>
      </c>
      <c r="X147">
        <f>HYPERLINK("https://klasma.github.io/Logging_2260/tillsyn/A 23759-2025 tillsynsbegäran.docx", "A 23759-2025")</f>
        <v/>
      </c>
      <c r="Y147">
        <f>HYPERLINK("https://klasma.github.io/Logging_2260/tillsynsmail/A 23759-2025 tillsynsbegäran mail.docx", "A 23759-2025")</f>
        <v/>
      </c>
    </row>
    <row r="148" ht="15" customHeight="1">
      <c r="A148" t="inlineStr">
        <is>
          <t>A 36635-2021</t>
        </is>
      </c>
      <c r="B148" s="1" t="n">
        <v>44391</v>
      </c>
      <c r="C148" s="1" t="n">
        <v>46178</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46178</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46178</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46178</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46178</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46178</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46178</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55591-2021</t>
        </is>
      </c>
      <c r="B155" s="1" t="n">
        <v>44475</v>
      </c>
      <c r="C155" s="1" t="n">
        <v>46178</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18081-2025</t>
        </is>
      </c>
      <c r="B156" s="1" t="n">
        <v>45761.51086805556</v>
      </c>
      <c r="C156" s="1" t="n">
        <v>46178</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24176-2025</t>
        </is>
      </c>
      <c r="B157" s="1" t="n">
        <v>45796.69832175926</v>
      </c>
      <c r="C157" s="1" t="n">
        <v>46178</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57597-2022</t>
        </is>
      </c>
      <c r="B158" s="1" t="n">
        <v>44896.97878472223</v>
      </c>
      <c r="C158" s="1" t="n">
        <v>46178</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62861-2021</t>
        </is>
      </c>
      <c r="B159" s="1" t="n">
        <v>44503</v>
      </c>
      <c r="C159" s="1" t="n">
        <v>46178</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26906-2025</t>
        </is>
      </c>
      <c r="B160" s="1" t="n">
        <v>45811.34552083333</v>
      </c>
      <c r="C160" s="1" t="n">
        <v>46178</v>
      </c>
      <c r="D160" t="inlineStr">
        <is>
          <t>VÄSTERNORRLANDS LÄN</t>
        </is>
      </c>
      <c r="E160" t="inlineStr">
        <is>
          <t>ÅNGE</t>
        </is>
      </c>
      <c r="F160" t="inlineStr">
        <is>
          <t>SCA</t>
        </is>
      </c>
      <c r="G160" t="n">
        <v>7</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26906-2025 artfynd.xlsx", "A 26906-2025")</f>
        <v/>
      </c>
      <c r="T160">
        <f>HYPERLINK("https://klasma.github.io/Logging_2260/kartor/A 26906-2025 karta.png", "A 26906-2025")</f>
        <v/>
      </c>
      <c r="V160">
        <f>HYPERLINK("https://klasma.github.io/Logging_2260/klagomål/A 26906-2025 FSC-klagomål.docx", "A 26906-2025")</f>
        <v/>
      </c>
      <c r="W160">
        <f>HYPERLINK("https://klasma.github.io/Logging_2260/klagomålsmail/A 26906-2025 FSC-klagomål mail.docx", "A 26906-2025")</f>
        <v/>
      </c>
      <c r="X160">
        <f>HYPERLINK("https://klasma.github.io/Logging_2260/tillsyn/A 26906-2025 tillsynsbegäran.docx", "A 26906-2025")</f>
        <v/>
      </c>
      <c r="Y160">
        <f>HYPERLINK("https://klasma.github.io/Logging_2260/tillsynsmail/A 26906-2025 tillsynsbegäran mail.docx", "A 26906-2025")</f>
        <v/>
      </c>
    </row>
    <row r="161" ht="15" customHeight="1">
      <c r="A161" t="inlineStr">
        <is>
          <t>A 25034-2024</t>
        </is>
      </c>
      <c r="B161" s="1" t="n">
        <v>45461.96458333333</v>
      </c>
      <c r="C161" s="1" t="n">
        <v>46178</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46178</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46178</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42864-2025</t>
        </is>
      </c>
      <c r="B164" s="1" t="n">
        <v>45908</v>
      </c>
      <c r="C164" s="1" t="n">
        <v>46178</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49871-2024</t>
        </is>
      </c>
      <c r="B165" s="1" t="n">
        <v>45597.4903125</v>
      </c>
      <c r="C165" s="1" t="n">
        <v>46178</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43721-2025</t>
        </is>
      </c>
      <c r="B166" s="1" t="n">
        <v>45912.42800925926</v>
      </c>
      <c r="C166" s="1" t="n">
        <v>46178</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36414-2025</t>
        </is>
      </c>
      <c r="B167" s="1" t="n">
        <v>45868.69246527777</v>
      </c>
      <c r="C167" s="1" t="n">
        <v>46178</v>
      </c>
      <c r="D167" t="inlineStr">
        <is>
          <t>VÄSTERNORRLANDS LÄN</t>
        </is>
      </c>
      <c r="E167" t="inlineStr">
        <is>
          <t>ÅNGE</t>
        </is>
      </c>
      <c r="G167" t="n">
        <v>5.4</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36414-2025 artfynd.xlsx", "A 36414-2025")</f>
        <v/>
      </c>
      <c r="T167">
        <f>HYPERLINK("https://klasma.github.io/Logging_2260/kartor/A 36414-2025 karta.png", "A 36414-2025")</f>
        <v/>
      </c>
      <c r="V167">
        <f>HYPERLINK("https://klasma.github.io/Logging_2260/klagomål/A 36414-2025 FSC-klagomål.docx", "A 36414-2025")</f>
        <v/>
      </c>
      <c r="W167">
        <f>HYPERLINK("https://klasma.github.io/Logging_2260/klagomålsmail/A 36414-2025 FSC-klagomål mail.docx", "A 36414-2025")</f>
        <v/>
      </c>
      <c r="X167">
        <f>HYPERLINK("https://klasma.github.io/Logging_2260/tillsyn/A 36414-2025 tillsynsbegäran.docx", "A 36414-2025")</f>
        <v/>
      </c>
      <c r="Y167">
        <f>HYPERLINK("https://klasma.github.io/Logging_2260/tillsynsmail/A 36414-2025 tillsynsbegäran mail.docx", "A 36414-2025")</f>
        <v/>
      </c>
    </row>
    <row r="168" ht="15" customHeight="1">
      <c r="A168" t="inlineStr">
        <is>
          <t>A 26020-2024</t>
        </is>
      </c>
      <c r="B168" s="1" t="n">
        <v>45467.9603125</v>
      </c>
      <c r="C168" s="1" t="n">
        <v>46178</v>
      </c>
      <c r="D168" t="inlineStr">
        <is>
          <t>VÄSTERNORRLANDS LÄN</t>
        </is>
      </c>
      <c r="E168" t="inlineStr">
        <is>
          <t>ÅNGE</t>
        </is>
      </c>
      <c r="F168" t="inlineStr">
        <is>
          <t>SCA</t>
        </is>
      </c>
      <c r="G168" t="n">
        <v>4.8</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26020-2024 artfynd.xlsx", "A 26020-2024")</f>
        <v/>
      </c>
      <c r="T168">
        <f>HYPERLINK("https://klasma.github.io/Logging_2260/kartor/A 26020-2024 karta.png", "A 26020-2024")</f>
        <v/>
      </c>
      <c r="V168">
        <f>HYPERLINK("https://klasma.github.io/Logging_2260/klagomål/A 26020-2024 FSC-klagomål.docx", "A 26020-2024")</f>
        <v/>
      </c>
      <c r="W168">
        <f>HYPERLINK("https://klasma.github.io/Logging_2260/klagomålsmail/A 26020-2024 FSC-klagomål mail.docx", "A 26020-2024")</f>
        <v/>
      </c>
      <c r="X168">
        <f>HYPERLINK("https://klasma.github.io/Logging_2260/tillsyn/A 26020-2024 tillsynsbegäran.docx", "A 26020-2024")</f>
        <v/>
      </c>
      <c r="Y168">
        <f>HYPERLINK("https://klasma.github.io/Logging_2260/tillsynsmail/A 26020-2024 tillsynsbegäran mail.docx", "A 26020-2024")</f>
        <v/>
      </c>
    </row>
    <row r="169" ht="15" customHeight="1">
      <c r="A169" t="inlineStr">
        <is>
          <t>A 37800-2025</t>
        </is>
      </c>
      <c r="B169" s="1" t="n">
        <v>45881.34420138889</v>
      </c>
      <c r="C169" s="1" t="n">
        <v>46178</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38298-2025</t>
        </is>
      </c>
      <c r="B170" s="1" t="n">
        <v>45883.4568287037</v>
      </c>
      <c r="C170" s="1" t="n">
        <v>46178</v>
      </c>
      <c r="D170" t="inlineStr">
        <is>
          <t>VÄSTERNORRLANDS LÄN</t>
        </is>
      </c>
      <c r="E170" t="inlineStr">
        <is>
          <t>ÅNGE</t>
        </is>
      </c>
      <c r="G170" t="n">
        <v>4.5</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38298-2025 artfynd.xlsx", "A 38298-2025")</f>
        <v/>
      </c>
      <c r="T170">
        <f>HYPERLINK("https://klasma.github.io/Logging_2260/kartor/A 38298-2025 karta.png", "A 38298-2025")</f>
        <v/>
      </c>
      <c r="V170">
        <f>HYPERLINK("https://klasma.github.io/Logging_2260/klagomål/A 38298-2025 FSC-klagomål.docx", "A 38298-2025")</f>
        <v/>
      </c>
      <c r="W170">
        <f>HYPERLINK("https://klasma.github.io/Logging_2260/klagomålsmail/A 38298-2025 FSC-klagomål mail.docx", "A 38298-2025")</f>
        <v/>
      </c>
      <c r="X170">
        <f>HYPERLINK("https://klasma.github.io/Logging_2260/tillsyn/A 38298-2025 tillsynsbegäran.docx", "A 38298-2025")</f>
        <v/>
      </c>
      <c r="Y170">
        <f>HYPERLINK("https://klasma.github.io/Logging_2260/tillsynsmail/A 38298-2025 tillsynsbegäran mail.docx", "A 38298-2025")</f>
        <v/>
      </c>
    </row>
    <row r="171" ht="15" customHeight="1">
      <c r="A171" t="inlineStr">
        <is>
          <t>A 53683-2025</t>
        </is>
      </c>
      <c r="B171" s="1" t="n">
        <v>45960</v>
      </c>
      <c r="C171" s="1" t="n">
        <v>46178</v>
      </c>
      <c r="D171" t="inlineStr">
        <is>
          <t>VÄSTERNORRLANDS LÄN</t>
        </is>
      </c>
      <c r="E171" t="inlineStr">
        <is>
          <t>ÅNGE</t>
        </is>
      </c>
      <c r="F171" t="inlineStr">
        <is>
          <t>SCA</t>
        </is>
      </c>
      <c r="G171" t="n">
        <v>3.6</v>
      </c>
      <c r="H171" t="n">
        <v>1</v>
      </c>
      <c r="I171" t="n">
        <v>1</v>
      </c>
      <c r="J171" t="n">
        <v>1</v>
      </c>
      <c r="K171" t="n">
        <v>0</v>
      </c>
      <c r="L171" t="n">
        <v>0</v>
      </c>
      <c r="M171" t="n">
        <v>0</v>
      </c>
      <c r="N171" t="n">
        <v>0</v>
      </c>
      <c r="O171" t="n">
        <v>1</v>
      </c>
      <c r="P171" t="n">
        <v>0</v>
      </c>
      <c r="Q171" t="n">
        <v>2</v>
      </c>
      <c r="R171" s="2" t="inlineStr">
        <is>
          <t>Talltita
Ögonpyrola</t>
        </is>
      </c>
      <c r="S171">
        <f>HYPERLINK("https://klasma.github.io/Logging_2260/artfynd/A 53683-2025 artfynd.xlsx", "A 53683-2025")</f>
        <v/>
      </c>
      <c r="T171">
        <f>HYPERLINK("https://klasma.github.io/Logging_2260/kartor/A 53683-2025 karta.png", "A 53683-2025")</f>
        <v/>
      </c>
      <c r="U171">
        <f>HYPERLINK("https://klasma.github.io/Logging_2260/knärot/A 53683-2025 karta knärot.png", "A 53683-2025")</f>
        <v/>
      </c>
      <c r="V171">
        <f>HYPERLINK("https://klasma.github.io/Logging_2260/klagomål/A 53683-2025 FSC-klagomål.docx", "A 53683-2025")</f>
        <v/>
      </c>
      <c r="W171">
        <f>HYPERLINK("https://klasma.github.io/Logging_2260/klagomålsmail/A 53683-2025 FSC-klagomål mail.docx", "A 53683-2025")</f>
        <v/>
      </c>
      <c r="X171">
        <f>HYPERLINK("https://klasma.github.io/Logging_2260/tillsyn/A 53683-2025 tillsynsbegäran.docx", "A 53683-2025")</f>
        <v/>
      </c>
      <c r="Y171">
        <f>HYPERLINK("https://klasma.github.io/Logging_2260/tillsynsmail/A 53683-2025 tillsynsbegäran mail.docx", "A 53683-2025")</f>
        <v/>
      </c>
      <c r="Z171">
        <f>HYPERLINK("https://klasma.github.io/Logging_2260/fåglar/A 53683-2025 prioriterade fågelarter.docx", "A 53683-2025")</f>
        <v/>
      </c>
    </row>
    <row r="172" ht="15" customHeight="1">
      <c r="A172" t="inlineStr">
        <is>
          <t>A 39638-2024</t>
        </is>
      </c>
      <c r="B172" s="1" t="n">
        <v>45552</v>
      </c>
      <c r="C172" s="1" t="n">
        <v>46178</v>
      </c>
      <c r="D172" t="inlineStr">
        <is>
          <t>VÄSTERNORRLANDS LÄN</t>
        </is>
      </c>
      <c r="E172" t="inlineStr">
        <is>
          <t>ÅNGE</t>
        </is>
      </c>
      <c r="G172" t="n">
        <v>3</v>
      </c>
      <c r="H172" t="n">
        <v>1</v>
      </c>
      <c r="I172" t="n">
        <v>1</v>
      </c>
      <c r="J172" t="n">
        <v>0</v>
      </c>
      <c r="K172" t="n">
        <v>0</v>
      </c>
      <c r="L172" t="n">
        <v>0</v>
      </c>
      <c r="M172" t="n">
        <v>0</v>
      </c>
      <c r="N172" t="n">
        <v>0</v>
      </c>
      <c r="O172" t="n">
        <v>0</v>
      </c>
      <c r="P172" t="n">
        <v>0</v>
      </c>
      <c r="Q172" t="n">
        <v>2</v>
      </c>
      <c r="R172" s="2" t="inlineStr">
        <is>
          <t>Dropptaggsvamp
Tjäder</t>
        </is>
      </c>
      <c r="S172">
        <f>HYPERLINK("https://klasma.github.io/Logging_2260/artfynd/A 39638-2024 artfynd.xlsx", "A 39638-2024")</f>
        <v/>
      </c>
      <c r="T172">
        <f>HYPERLINK("https://klasma.github.io/Logging_2260/kartor/A 39638-2024 karta.png", "A 39638-2024")</f>
        <v/>
      </c>
      <c r="V172">
        <f>HYPERLINK("https://klasma.github.io/Logging_2260/klagomål/A 39638-2024 FSC-klagomål.docx", "A 39638-2024")</f>
        <v/>
      </c>
      <c r="W172">
        <f>HYPERLINK("https://klasma.github.io/Logging_2260/klagomålsmail/A 39638-2024 FSC-klagomål mail.docx", "A 39638-2024")</f>
        <v/>
      </c>
      <c r="X172">
        <f>HYPERLINK("https://klasma.github.io/Logging_2260/tillsyn/A 39638-2024 tillsynsbegäran.docx", "A 39638-2024")</f>
        <v/>
      </c>
      <c r="Y172">
        <f>HYPERLINK("https://klasma.github.io/Logging_2260/tillsynsmail/A 39638-2024 tillsynsbegäran mail.docx", "A 39638-2024")</f>
        <v/>
      </c>
      <c r="Z172">
        <f>HYPERLINK("https://klasma.github.io/Logging_2260/fåglar/A 39638-2024 prioriterade fågelarter.docx", "A 39638-2024")</f>
        <v/>
      </c>
    </row>
    <row r="173" ht="15" customHeight="1">
      <c r="A173" t="inlineStr">
        <is>
          <t>A 54625-2025</t>
        </is>
      </c>
      <c r="B173" s="1" t="n">
        <v>45966.34552083333</v>
      </c>
      <c r="C173" s="1" t="n">
        <v>46178</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21592-2026</t>
        </is>
      </c>
      <c r="B174" s="1" t="n">
        <v>46149.34606481482</v>
      </c>
      <c r="C174" s="1" t="n">
        <v>46178</v>
      </c>
      <c r="D174" t="inlineStr">
        <is>
          <t>VÄSTERNORRLANDS LÄN</t>
        </is>
      </c>
      <c r="E174" t="inlineStr">
        <is>
          <t>ÅNGE</t>
        </is>
      </c>
      <c r="F174" t="inlineStr">
        <is>
          <t>SCA</t>
        </is>
      </c>
      <c r="G174" t="n">
        <v>19.7</v>
      </c>
      <c r="H174" t="n">
        <v>1</v>
      </c>
      <c r="I174" t="n">
        <v>0</v>
      </c>
      <c r="J174" t="n">
        <v>1</v>
      </c>
      <c r="K174" t="n">
        <v>1</v>
      </c>
      <c r="L174" t="n">
        <v>0</v>
      </c>
      <c r="M174" t="n">
        <v>0</v>
      </c>
      <c r="N174" t="n">
        <v>0</v>
      </c>
      <c r="O174" t="n">
        <v>2</v>
      </c>
      <c r="P174" t="n">
        <v>1</v>
      </c>
      <c r="Q174" t="n">
        <v>2</v>
      </c>
      <c r="R174" s="2" t="inlineStr">
        <is>
          <t>Långskägg
Garnlav</t>
        </is>
      </c>
      <c r="S174">
        <f>HYPERLINK("https://klasma.github.io/Logging_2260/artfynd/A 21592-2026 artfynd.xlsx", "A 21592-2026")</f>
        <v/>
      </c>
      <c r="T174">
        <f>HYPERLINK("https://klasma.github.io/Logging_2260/kartor/A 21592-2026 karta.png", "A 21592-2026")</f>
        <v/>
      </c>
      <c r="V174">
        <f>HYPERLINK("https://klasma.github.io/Logging_2260/klagomål/A 21592-2026 FSC-klagomål.docx", "A 21592-2026")</f>
        <v/>
      </c>
      <c r="W174">
        <f>HYPERLINK("https://klasma.github.io/Logging_2260/klagomålsmail/A 21592-2026 FSC-klagomål mail.docx", "A 21592-2026")</f>
        <v/>
      </c>
      <c r="X174">
        <f>HYPERLINK("https://klasma.github.io/Logging_2260/tillsyn/A 21592-2026 tillsynsbegäran.docx", "A 21592-2026")</f>
        <v/>
      </c>
      <c r="Y174">
        <f>HYPERLINK("https://klasma.github.io/Logging_2260/tillsynsmail/A 21592-2026 tillsynsbegäran mail.docx", "A 21592-2026")</f>
        <v/>
      </c>
    </row>
    <row r="175" ht="15" customHeight="1">
      <c r="A175" t="inlineStr">
        <is>
          <t>A 48695-2024</t>
        </is>
      </c>
      <c r="B175" s="1" t="n">
        <v>45593.5109837963</v>
      </c>
      <c r="C175" s="1" t="n">
        <v>46178</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4873-2025</t>
        </is>
      </c>
      <c r="B176" s="1" t="n">
        <v>45688.67633101852</v>
      </c>
      <c r="C176" s="1" t="n">
        <v>46178</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57089-2024</t>
        </is>
      </c>
      <c r="B177" s="1" t="n">
        <v>45629.35665509259</v>
      </c>
      <c r="C177" s="1" t="n">
        <v>46178</v>
      </c>
      <c r="D177" t="inlineStr">
        <is>
          <t>VÄSTERNORRLANDS LÄN</t>
        </is>
      </c>
      <c r="E177" t="inlineStr">
        <is>
          <t>ÅNGE</t>
        </is>
      </c>
      <c r="F177" t="inlineStr">
        <is>
          <t>SCA</t>
        </is>
      </c>
      <c r="G177" t="n">
        <v>1.5</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57089-2024 artfynd.xlsx", "A 57089-2024")</f>
        <v/>
      </c>
      <c r="T177">
        <f>HYPERLINK("https://klasma.github.io/Logging_2260/kartor/A 57089-2024 karta.png", "A 57089-2024")</f>
        <v/>
      </c>
      <c r="V177">
        <f>HYPERLINK("https://klasma.github.io/Logging_2260/klagomål/A 57089-2024 FSC-klagomål.docx", "A 57089-2024")</f>
        <v/>
      </c>
      <c r="W177">
        <f>HYPERLINK("https://klasma.github.io/Logging_2260/klagomålsmail/A 57089-2024 FSC-klagomål mail.docx", "A 57089-2024")</f>
        <v/>
      </c>
      <c r="X177">
        <f>HYPERLINK("https://klasma.github.io/Logging_2260/tillsyn/A 57089-2024 tillsynsbegäran.docx", "A 57089-2024")</f>
        <v/>
      </c>
      <c r="Y177">
        <f>HYPERLINK("https://klasma.github.io/Logging_2260/tillsynsmail/A 57089-2024 tillsynsbegäran mail.docx", "A 57089-2024")</f>
        <v/>
      </c>
    </row>
    <row r="178" ht="15" customHeight="1">
      <c r="A178" t="inlineStr">
        <is>
          <t>A 47719-2024</t>
        </is>
      </c>
      <c r="B178" s="1" t="n">
        <v>45588.48996527777</v>
      </c>
      <c r="C178" s="1" t="n">
        <v>46178</v>
      </c>
      <c r="D178" t="inlineStr">
        <is>
          <t>VÄSTERNORRLANDS LÄN</t>
        </is>
      </c>
      <c r="E178" t="inlineStr">
        <is>
          <t>ÅNGE</t>
        </is>
      </c>
      <c r="F178" t="inlineStr">
        <is>
          <t>SCA</t>
        </is>
      </c>
      <c r="G178" t="n">
        <v>1.4</v>
      </c>
      <c r="H178" t="n">
        <v>0</v>
      </c>
      <c r="I178" t="n">
        <v>0</v>
      </c>
      <c r="J178" t="n">
        <v>2</v>
      </c>
      <c r="K178" t="n">
        <v>0</v>
      </c>
      <c r="L178" t="n">
        <v>0</v>
      </c>
      <c r="M178" t="n">
        <v>0</v>
      </c>
      <c r="N178" t="n">
        <v>0</v>
      </c>
      <c r="O178" t="n">
        <v>2</v>
      </c>
      <c r="P178" t="n">
        <v>0</v>
      </c>
      <c r="Q178" t="n">
        <v>2</v>
      </c>
      <c r="R178" s="2" t="inlineStr">
        <is>
          <t>Dvärgbägarlav
Vedskivlav</t>
        </is>
      </c>
      <c r="S178">
        <f>HYPERLINK("https://klasma.github.io/Logging_2260/artfynd/A 47719-2024 artfynd.xlsx", "A 47719-2024")</f>
        <v/>
      </c>
      <c r="T178">
        <f>HYPERLINK("https://klasma.github.io/Logging_2260/kartor/A 47719-2024 karta.png", "A 47719-2024")</f>
        <v/>
      </c>
      <c r="V178">
        <f>HYPERLINK("https://klasma.github.io/Logging_2260/klagomål/A 47719-2024 FSC-klagomål.docx", "A 47719-2024")</f>
        <v/>
      </c>
      <c r="W178">
        <f>HYPERLINK("https://klasma.github.io/Logging_2260/klagomålsmail/A 47719-2024 FSC-klagomål mail.docx", "A 47719-2024")</f>
        <v/>
      </c>
      <c r="X178">
        <f>HYPERLINK("https://klasma.github.io/Logging_2260/tillsyn/A 47719-2024 tillsynsbegäran.docx", "A 47719-2024")</f>
        <v/>
      </c>
      <c r="Y178">
        <f>HYPERLINK("https://klasma.github.io/Logging_2260/tillsynsmail/A 47719-2024 tillsynsbegäran mail.docx", "A 47719-2024")</f>
        <v/>
      </c>
    </row>
    <row r="179" ht="15" customHeight="1">
      <c r="A179" t="inlineStr">
        <is>
          <t>A 29325-2023</t>
        </is>
      </c>
      <c r="B179" s="1" t="n">
        <v>45105</v>
      </c>
      <c r="C179" s="1" t="n">
        <v>46178</v>
      </c>
      <c r="D179" t="inlineStr">
        <is>
          <t>VÄSTERNORRLANDS LÄN</t>
        </is>
      </c>
      <c r="E179" t="inlineStr">
        <is>
          <t>ÅNGE</t>
        </is>
      </c>
      <c r="G179" t="n">
        <v>12.4</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HYPERLINK("https://klasma.github.io/Logging_2260/artfynd/A 29325-2023 artfynd.xlsx", "A 29325-2023")</f>
        <v/>
      </c>
      <c r="T179">
        <f>HYPERLINK("https://klasma.github.io/Logging_2260/kartor/A 29325-2023 karta.png", "A 29325-2023")</f>
        <v/>
      </c>
      <c r="V179">
        <f>HYPERLINK("https://klasma.github.io/Logging_2260/klagomål/A 29325-2023 FSC-klagomål.docx", "A 29325-2023")</f>
        <v/>
      </c>
      <c r="W179">
        <f>HYPERLINK("https://klasma.github.io/Logging_2260/klagomålsmail/A 29325-2023 FSC-klagomål mail.docx", "A 29325-2023")</f>
        <v/>
      </c>
      <c r="X179">
        <f>HYPERLINK("https://klasma.github.io/Logging_2260/tillsyn/A 29325-2023 tillsynsbegäran.docx", "A 29325-2023")</f>
        <v/>
      </c>
      <c r="Y179">
        <f>HYPERLINK("https://klasma.github.io/Logging_2260/tillsynsmail/A 29325-2023 tillsynsbegäran mail.docx", "A 29325-2023")</f>
        <v/>
      </c>
    </row>
    <row r="180" ht="15" customHeight="1">
      <c r="A180" t="inlineStr">
        <is>
          <t>A 57594-2022</t>
        </is>
      </c>
      <c r="B180" s="1" t="n">
        <v>44896.97854166666</v>
      </c>
      <c r="C180" s="1" t="n">
        <v>46178</v>
      </c>
      <c r="D180" t="inlineStr">
        <is>
          <t>VÄSTERNORRLANDS LÄN</t>
        </is>
      </c>
      <c r="E180" t="inlineStr">
        <is>
          <t>ÅNGE</t>
        </is>
      </c>
      <c r="F180" t="inlineStr">
        <is>
          <t>SCA</t>
        </is>
      </c>
      <c r="G180" t="n">
        <v>5.3</v>
      </c>
      <c r="H180" t="n">
        <v>0</v>
      </c>
      <c r="I180" t="n">
        <v>0</v>
      </c>
      <c r="J180" t="n">
        <v>2</v>
      </c>
      <c r="K180" t="n">
        <v>0</v>
      </c>
      <c r="L180" t="n">
        <v>0</v>
      </c>
      <c r="M180" t="n">
        <v>0</v>
      </c>
      <c r="N180" t="n">
        <v>0</v>
      </c>
      <c r="O180" t="n">
        <v>2</v>
      </c>
      <c r="P180" t="n">
        <v>0</v>
      </c>
      <c r="Q180" t="n">
        <v>2</v>
      </c>
      <c r="R180" s="2" t="inlineStr">
        <is>
          <t>Granticka
Lunglav</t>
        </is>
      </c>
      <c r="S180">
        <f>HYPERLINK("https://klasma.github.io/Logging_2260/artfynd/A 57594-2022 artfynd.xlsx", "A 57594-2022")</f>
        <v/>
      </c>
      <c r="T180">
        <f>HYPERLINK("https://klasma.github.io/Logging_2260/kartor/A 57594-2022 karta.png", "A 57594-2022")</f>
        <v/>
      </c>
      <c r="V180">
        <f>HYPERLINK("https://klasma.github.io/Logging_2260/klagomål/A 57594-2022 FSC-klagomål.docx", "A 57594-2022")</f>
        <v/>
      </c>
      <c r="W180">
        <f>HYPERLINK("https://klasma.github.io/Logging_2260/klagomålsmail/A 57594-2022 FSC-klagomål mail.docx", "A 57594-2022")</f>
        <v/>
      </c>
      <c r="X180">
        <f>HYPERLINK("https://klasma.github.io/Logging_2260/tillsyn/A 57594-2022 tillsynsbegäran.docx", "A 57594-2022")</f>
        <v/>
      </c>
      <c r="Y180">
        <f>HYPERLINK("https://klasma.github.io/Logging_2260/tillsynsmail/A 57594-2022 tillsynsbegäran mail.docx", "A 57594-2022")</f>
        <v/>
      </c>
    </row>
    <row r="181" ht="15" customHeight="1">
      <c r="A181" t="inlineStr">
        <is>
          <t>A 4093-2025</t>
        </is>
      </c>
      <c r="B181" s="1" t="n">
        <v>45684.67762731481</v>
      </c>
      <c r="C181" s="1" t="n">
        <v>46178</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46178</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46178</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46178</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46178</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46178</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20367-2022</t>
        </is>
      </c>
      <c r="B187" s="1" t="n">
        <v>44699</v>
      </c>
      <c r="C187" s="1" t="n">
        <v>46178</v>
      </c>
      <c r="D187" t="inlineStr">
        <is>
          <t>VÄSTERNORRLANDS LÄN</t>
        </is>
      </c>
      <c r="E187" t="inlineStr">
        <is>
          <t>ÅNGE</t>
        </is>
      </c>
      <c r="G187" t="n">
        <v>9.6</v>
      </c>
      <c r="H187" t="n">
        <v>1</v>
      </c>
      <c r="I187" t="n">
        <v>0</v>
      </c>
      <c r="J187" t="n">
        <v>0</v>
      </c>
      <c r="K187" t="n">
        <v>0</v>
      </c>
      <c r="L187" t="n">
        <v>0</v>
      </c>
      <c r="M187" t="n">
        <v>0</v>
      </c>
      <c r="N187" t="n">
        <v>0</v>
      </c>
      <c r="O187" t="n">
        <v>0</v>
      </c>
      <c r="P187" t="n">
        <v>0</v>
      </c>
      <c r="Q187" t="n">
        <v>1</v>
      </c>
      <c r="R187" s="2" t="inlineStr">
        <is>
          <t>Fläcknycklar</t>
        </is>
      </c>
      <c r="S187">
        <f>HYPERLINK("https://klasma.github.io/Logging_2260/artfynd/A 20367-2022 artfynd.xlsx", "A 20367-2022")</f>
        <v/>
      </c>
      <c r="T187">
        <f>HYPERLINK("https://klasma.github.io/Logging_2260/kartor/A 20367-2022 karta.png", "A 20367-2022")</f>
        <v/>
      </c>
      <c r="V187">
        <f>HYPERLINK("https://klasma.github.io/Logging_2260/klagomål/A 20367-2022 FSC-klagomål.docx", "A 20367-2022")</f>
        <v/>
      </c>
      <c r="W187">
        <f>HYPERLINK("https://klasma.github.io/Logging_2260/klagomålsmail/A 20367-2022 FSC-klagomål mail.docx", "A 20367-2022")</f>
        <v/>
      </c>
      <c r="X187">
        <f>HYPERLINK("https://klasma.github.io/Logging_2260/tillsyn/A 20367-2022 tillsynsbegäran.docx", "A 20367-2022")</f>
        <v/>
      </c>
      <c r="Y187">
        <f>HYPERLINK("https://klasma.github.io/Logging_2260/tillsynsmail/A 20367-2022 tillsynsbegäran mail.docx", "A 20367-2022")</f>
        <v/>
      </c>
    </row>
    <row r="188" ht="15" customHeight="1">
      <c r="A188" t="inlineStr">
        <is>
          <t>A 31136-2022</t>
        </is>
      </c>
      <c r="B188" s="1" t="n">
        <v>44770.40920138889</v>
      </c>
      <c r="C188" s="1" t="n">
        <v>46178</v>
      </c>
      <c r="D188" t="inlineStr">
        <is>
          <t>VÄSTERNORRLANDS LÄN</t>
        </is>
      </c>
      <c r="E188" t="inlineStr">
        <is>
          <t>ÅNGE</t>
        </is>
      </c>
      <c r="F188" t="inlineStr">
        <is>
          <t>Övriga Aktiebolag</t>
        </is>
      </c>
      <c r="G188" t="n">
        <v>4.4</v>
      </c>
      <c r="H188" t="n">
        <v>1</v>
      </c>
      <c r="I188" t="n">
        <v>0</v>
      </c>
      <c r="J188" t="n">
        <v>0</v>
      </c>
      <c r="K188" t="n">
        <v>0</v>
      </c>
      <c r="L188" t="n">
        <v>0</v>
      </c>
      <c r="M188" t="n">
        <v>0</v>
      </c>
      <c r="N188" t="n">
        <v>0</v>
      </c>
      <c r="O188" t="n">
        <v>0</v>
      </c>
      <c r="P188" t="n">
        <v>0</v>
      </c>
      <c r="Q188" t="n">
        <v>1</v>
      </c>
      <c r="R188" s="2" t="inlineStr">
        <is>
          <t>Tjäder</t>
        </is>
      </c>
      <c r="S188">
        <f>HYPERLINK("https://klasma.github.io/Logging_2260/artfynd/A 31136-2022 artfynd.xlsx", "A 31136-2022")</f>
        <v/>
      </c>
      <c r="T188">
        <f>HYPERLINK("https://klasma.github.io/Logging_2260/kartor/A 31136-2022 karta.png", "A 31136-2022")</f>
        <v/>
      </c>
      <c r="V188">
        <f>HYPERLINK("https://klasma.github.io/Logging_2260/klagomål/A 31136-2022 FSC-klagomål.docx", "A 31136-2022")</f>
        <v/>
      </c>
      <c r="W188">
        <f>HYPERLINK("https://klasma.github.io/Logging_2260/klagomålsmail/A 31136-2022 FSC-klagomål mail.docx", "A 31136-2022")</f>
        <v/>
      </c>
      <c r="X188">
        <f>HYPERLINK("https://klasma.github.io/Logging_2260/tillsyn/A 31136-2022 tillsynsbegäran.docx", "A 31136-2022")</f>
        <v/>
      </c>
      <c r="Y188">
        <f>HYPERLINK("https://klasma.github.io/Logging_2260/tillsynsmail/A 31136-2022 tillsynsbegäran mail.docx", "A 31136-2022")</f>
        <v/>
      </c>
      <c r="Z188">
        <f>HYPERLINK("https://klasma.github.io/Logging_2260/fåglar/A 31136-2022 prioriterade fågelarter.docx", "A 31136-2022")</f>
        <v/>
      </c>
    </row>
    <row r="189" ht="15" customHeight="1">
      <c r="A189" t="inlineStr">
        <is>
          <t>A 61479-2021</t>
        </is>
      </c>
      <c r="B189" s="1" t="n">
        <v>44500</v>
      </c>
      <c r="C189" s="1" t="n">
        <v>46178</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31578-2021</t>
        </is>
      </c>
      <c r="B190" s="1" t="n">
        <v>44369</v>
      </c>
      <c r="C190" s="1" t="n">
        <v>46178</v>
      </c>
      <c r="D190" t="inlineStr">
        <is>
          <t>VÄSTERNORRLANDS LÄN</t>
        </is>
      </c>
      <c r="E190" t="inlineStr">
        <is>
          <t>ÅNGE</t>
        </is>
      </c>
      <c r="G190" t="n">
        <v>25.8</v>
      </c>
      <c r="H190" t="n">
        <v>1</v>
      </c>
      <c r="I190" t="n">
        <v>0</v>
      </c>
      <c r="J190" t="n">
        <v>0</v>
      </c>
      <c r="K190" t="n">
        <v>1</v>
      </c>
      <c r="L190" t="n">
        <v>0</v>
      </c>
      <c r="M190" t="n">
        <v>0</v>
      </c>
      <c r="N190" t="n">
        <v>0</v>
      </c>
      <c r="O190" t="n">
        <v>1</v>
      </c>
      <c r="P190" t="n">
        <v>1</v>
      </c>
      <c r="Q190" t="n">
        <v>1</v>
      </c>
      <c r="R190" s="2" t="inlineStr">
        <is>
          <t>Knärot</t>
        </is>
      </c>
      <c r="S190">
        <f>HYPERLINK("https://klasma.github.io/Logging_2260/artfynd/A 31578-2021 artfynd.xlsx", "A 31578-2021")</f>
        <v/>
      </c>
      <c r="T190">
        <f>HYPERLINK("https://klasma.github.io/Logging_2260/kartor/A 31578-2021 karta.png", "A 31578-2021")</f>
        <v/>
      </c>
      <c r="U190">
        <f>HYPERLINK("https://klasma.github.io/Logging_2260/knärot/A 31578-2021 karta knärot.png", "A 31578-2021")</f>
        <v/>
      </c>
      <c r="V190">
        <f>HYPERLINK("https://klasma.github.io/Logging_2260/klagomål/A 31578-2021 FSC-klagomål.docx", "A 31578-2021")</f>
        <v/>
      </c>
      <c r="W190">
        <f>HYPERLINK("https://klasma.github.io/Logging_2260/klagomålsmail/A 31578-2021 FSC-klagomål mail.docx", "A 31578-2021")</f>
        <v/>
      </c>
      <c r="X190">
        <f>HYPERLINK("https://klasma.github.io/Logging_2260/tillsyn/A 31578-2021 tillsynsbegäran.docx", "A 31578-2021")</f>
        <v/>
      </c>
      <c r="Y190">
        <f>HYPERLINK("https://klasma.github.io/Logging_2260/tillsynsmail/A 31578-2021 tillsynsbegäran mail.docx", "A 31578-2021")</f>
        <v/>
      </c>
    </row>
    <row r="191" ht="15" customHeight="1">
      <c r="A191" t="inlineStr">
        <is>
          <t>A 35018-2021</t>
        </is>
      </c>
      <c r="B191" s="1" t="n">
        <v>44383.69549768518</v>
      </c>
      <c r="C191" s="1" t="n">
        <v>46178</v>
      </c>
      <c r="D191" t="inlineStr">
        <is>
          <t>VÄSTERNORRLANDS LÄN</t>
        </is>
      </c>
      <c r="E191" t="inlineStr">
        <is>
          <t>ÅNGE</t>
        </is>
      </c>
      <c r="F191" t="inlineStr">
        <is>
          <t>Sveaskog</t>
        </is>
      </c>
      <c r="G191" t="n">
        <v>9.5</v>
      </c>
      <c r="H191" t="n">
        <v>1</v>
      </c>
      <c r="I191" t="n">
        <v>0</v>
      </c>
      <c r="J191" t="n">
        <v>1</v>
      </c>
      <c r="K191" t="n">
        <v>0</v>
      </c>
      <c r="L191" t="n">
        <v>0</v>
      </c>
      <c r="M191" t="n">
        <v>0</v>
      </c>
      <c r="N191" t="n">
        <v>0</v>
      </c>
      <c r="O191" t="n">
        <v>1</v>
      </c>
      <c r="P191" t="n">
        <v>0</v>
      </c>
      <c r="Q191" t="n">
        <v>1</v>
      </c>
      <c r="R191" s="2" t="inlineStr">
        <is>
          <t>Utter</t>
        </is>
      </c>
      <c r="S191">
        <f>HYPERLINK("https://klasma.github.io/Logging_2260/artfynd/A 35018-2021 artfynd.xlsx", "A 35018-2021")</f>
        <v/>
      </c>
      <c r="T191">
        <f>HYPERLINK("https://klasma.github.io/Logging_2260/kartor/A 35018-2021 karta.png", "A 35018-2021")</f>
        <v/>
      </c>
      <c r="V191">
        <f>HYPERLINK("https://klasma.github.io/Logging_2260/klagomål/A 35018-2021 FSC-klagomål.docx", "A 35018-2021")</f>
        <v/>
      </c>
      <c r="W191">
        <f>HYPERLINK("https://klasma.github.io/Logging_2260/klagomålsmail/A 35018-2021 FSC-klagomål mail.docx", "A 35018-2021")</f>
        <v/>
      </c>
      <c r="X191">
        <f>HYPERLINK("https://klasma.github.io/Logging_2260/tillsyn/A 35018-2021 tillsynsbegäran.docx", "A 35018-2021")</f>
        <v/>
      </c>
      <c r="Y191">
        <f>HYPERLINK("https://klasma.github.io/Logging_2260/tillsynsmail/A 35018-2021 tillsynsbegäran mail.docx", "A 35018-2021")</f>
        <v/>
      </c>
    </row>
    <row r="192" ht="15" customHeight="1">
      <c r="A192" t="inlineStr">
        <is>
          <t>A 32457-2024</t>
        </is>
      </c>
      <c r="B192" s="1" t="n">
        <v>45512</v>
      </c>
      <c r="C192" s="1" t="n">
        <v>46178</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Ullticka</t>
        </is>
      </c>
      <c r="S192">
        <f>HYPERLINK("https://klasma.github.io/Logging_2260/artfynd/A 32457-2024 artfynd.xlsx", "A 32457-2024")</f>
        <v/>
      </c>
      <c r="T192">
        <f>HYPERLINK("https://klasma.github.io/Logging_2260/kartor/A 32457-2024 karta.png", "A 32457-2024")</f>
        <v/>
      </c>
      <c r="V192">
        <f>HYPERLINK("https://klasma.github.io/Logging_2260/klagomål/A 32457-2024 FSC-klagomål.docx", "A 32457-2024")</f>
        <v/>
      </c>
      <c r="W192">
        <f>HYPERLINK("https://klasma.github.io/Logging_2260/klagomålsmail/A 32457-2024 FSC-klagomål mail.docx", "A 32457-2024")</f>
        <v/>
      </c>
      <c r="X192">
        <f>HYPERLINK("https://klasma.github.io/Logging_2260/tillsyn/A 32457-2024 tillsynsbegäran.docx", "A 32457-2024")</f>
        <v/>
      </c>
      <c r="Y192">
        <f>HYPERLINK("https://klasma.github.io/Logging_2260/tillsynsmail/A 32457-2024 tillsynsbegäran mail.docx", "A 32457-2024")</f>
        <v/>
      </c>
    </row>
    <row r="193" ht="15" customHeight="1">
      <c r="A193" t="inlineStr">
        <is>
          <t>A 71366-2021</t>
        </is>
      </c>
      <c r="B193" s="1" t="n">
        <v>44539</v>
      </c>
      <c r="C193" s="1" t="n">
        <v>46178</v>
      </c>
      <c r="D193" t="inlineStr">
        <is>
          <t>VÄSTERNORRLANDS LÄN</t>
        </is>
      </c>
      <c r="E193" t="inlineStr">
        <is>
          <t>ÅNGE</t>
        </is>
      </c>
      <c r="F193" t="inlineStr">
        <is>
          <t>SCA</t>
        </is>
      </c>
      <c r="G193" t="n">
        <v>2.3</v>
      </c>
      <c r="H193" t="n">
        <v>1</v>
      </c>
      <c r="I193" t="n">
        <v>0</v>
      </c>
      <c r="J193" t="n">
        <v>0</v>
      </c>
      <c r="K193" t="n">
        <v>1</v>
      </c>
      <c r="L193" t="n">
        <v>0</v>
      </c>
      <c r="M193" t="n">
        <v>0</v>
      </c>
      <c r="N193" t="n">
        <v>0</v>
      </c>
      <c r="O193" t="n">
        <v>1</v>
      </c>
      <c r="P193" t="n">
        <v>1</v>
      </c>
      <c r="Q193" t="n">
        <v>1</v>
      </c>
      <c r="R193" s="2" t="inlineStr">
        <is>
          <t>Knärot</t>
        </is>
      </c>
      <c r="S193">
        <f>HYPERLINK("https://klasma.github.io/Logging_2260/artfynd/A 71366-2021 artfynd.xlsx", "A 71366-2021")</f>
        <v/>
      </c>
      <c r="T193">
        <f>HYPERLINK("https://klasma.github.io/Logging_2260/kartor/A 71366-2021 karta.png", "A 71366-2021")</f>
        <v/>
      </c>
      <c r="U193">
        <f>HYPERLINK("https://klasma.github.io/Logging_2260/knärot/A 71366-2021 karta knärot.png", "A 71366-2021")</f>
        <v/>
      </c>
      <c r="V193">
        <f>HYPERLINK("https://klasma.github.io/Logging_2260/klagomål/A 71366-2021 FSC-klagomål.docx", "A 71366-2021")</f>
        <v/>
      </c>
      <c r="W193">
        <f>HYPERLINK("https://klasma.github.io/Logging_2260/klagomålsmail/A 71366-2021 FSC-klagomål mail.docx", "A 71366-2021")</f>
        <v/>
      </c>
      <c r="X193">
        <f>HYPERLINK("https://klasma.github.io/Logging_2260/tillsyn/A 71366-2021 tillsynsbegäran.docx", "A 71366-2021")</f>
        <v/>
      </c>
      <c r="Y193">
        <f>HYPERLINK("https://klasma.github.io/Logging_2260/tillsynsmail/A 71366-2021 tillsynsbegäran mail.docx", "A 71366-2021")</f>
        <v/>
      </c>
    </row>
    <row r="194" ht="15" customHeight="1">
      <c r="A194" t="inlineStr">
        <is>
          <t>A 30774-2024</t>
        </is>
      </c>
      <c r="B194" s="1" t="n">
        <v>45496.949375</v>
      </c>
      <c r="C194" s="1" t="n">
        <v>46178</v>
      </c>
      <c r="D194" t="inlineStr">
        <is>
          <t>VÄSTERNORRLANDS LÄN</t>
        </is>
      </c>
      <c r="E194" t="inlineStr">
        <is>
          <t>ÅNGE</t>
        </is>
      </c>
      <c r="F194" t="inlineStr">
        <is>
          <t>SCA</t>
        </is>
      </c>
      <c r="G194" t="n">
        <v>2.2</v>
      </c>
      <c r="H194" t="n">
        <v>1</v>
      </c>
      <c r="I194" t="n">
        <v>0</v>
      </c>
      <c r="J194" t="n">
        <v>0</v>
      </c>
      <c r="K194" t="n">
        <v>0</v>
      </c>
      <c r="L194" t="n">
        <v>0</v>
      </c>
      <c r="M194" t="n">
        <v>0</v>
      </c>
      <c r="N194" t="n">
        <v>0</v>
      </c>
      <c r="O194" t="n">
        <v>0</v>
      </c>
      <c r="P194" t="n">
        <v>0</v>
      </c>
      <c r="Q194" t="n">
        <v>1</v>
      </c>
      <c r="R194" s="2" t="inlineStr">
        <is>
          <t>Tjäder</t>
        </is>
      </c>
      <c r="S194">
        <f>HYPERLINK("https://klasma.github.io/Logging_2260/artfynd/A 30774-2024 artfynd.xlsx", "A 30774-2024")</f>
        <v/>
      </c>
      <c r="T194">
        <f>HYPERLINK("https://klasma.github.io/Logging_2260/kartor/A 30774-2024 karta.png", "A 30774-2024")</f>
        <v/>
      </c>
      <c r="V194">
        <f>HYPERLINK("https://klasma.github.io/Logging_2260/klagomål/A 30774-2024 FSC-klagomål.docx", "A 30774-2024")</f>
        <v/>
      </c>
      <c r="W194">
        <f>HYPERLINK("https://klasma.github.io/Logging_2260/klagomålsmail/A 30774-2024 FSC-klagomål mail.docx", "A 30774-2024")</f>
        <v/>
      </c>
      <c r="X194">
        <f>HYPERLINK("https://klasma.github.io/Logging_2260/tillsyn/A 30774-2024 tillsynsbegäran.docx", "A 30774-2024")</f>
        <v/>
      </c>
      <c r="Y194">
        <f>HYPERLINK("https://klasma.github.io/Logging_2260/tillsynsmail/A 30774-2024 tillsynsbegäran mail.docx", "A 30774-2024")</f>
        <v/>
      </c>
      <c r="Z194">
        <f>HYPERLINK("https://klasma.github.io/Logging_2260/fåglar/A 30774-2024 prioriterade fågelarter.docx", "A 30774-2024")</f>
        <v/>
      </c>
    </row>
    <row r="195" ht="15" customHeight="1">
      <c r="A195" t="inlineStr">
        <is>
          <t>A 39933-2022</t>
        </is>
      </c>
      <c r="B195" s="1" t="n">
        <v>44819</v>
      </c>
      <c r="C195" s="1" t="n">
        <v>46178</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329-2026</t>
        </is>
      </c>
      <c r="B196" s="1" t="n">
        <v>46027.59431712963</v>
      </c>
      <c r="C196" s="1" t="n">
        <v>46178</v>
      </c>
      <c r="D196" t="inlineStr">
        <is>
          <t>VÄSTERNORRLANDS LÄN</t>
        </is>
      </c>
      <c r="E196" t="inlineStr">
        <is>
          <t>ÅNGE</t>
        </is>
      </c>
      <c r="F196" t="inlineStr">
        <is>
          <t>SCA</t>
        </is>
      </c>
      <c r="G196" t="n">
        <v>3.3</v>
      </c>
      <c r="H196" t="n">
        <v>1</v>
      </c>
      <c r="I196" t="n">
        <v>0</v>
      </c>
      <c r="J196" t="n">
        <v>0</v>
      </c>
      <c r="K196" t="n">
        <v>0</v>
      </c>
      <c r="L196" t="n">
        <v>0</v>
      </c>
      <c r="M196" t="n">
        <v>0</v>
      </c>
      <c r="N196" t="n">
        <v>0</v>
      </c>
      <c r="O196" t="n">
        <v>0</v>
      </c>
      <c r="P196" t="n">
        <v>0</v>
      </c>
      <c r="Q196" t="n">
        <v>1</v>
      </c>
      <c r="R196" s="2" t="inlineStr">
        <is>
          <t>Revlummer</t>
        </is>
      </c>
      <c r="S196">
        <f>HYPERLINK("https://klasma.github.io/Logging_2260/artfynd/A 329-2026 artfynd.xlsx", "A 329-2026")</f>
        <v/>
      </c>
      <c r="T196">
        <f>HYPERLINK("https://klasma.github.io/Logging_2260/kartor/A 329-2026 karta.png", "A 329-2026")</f>
        <v/>
      </c>
      <c r="V196">
        <f>HYPERLINK("https://klasma.github.io/Logging_2260/klagomål/A 329-2026 FSC-klagomål.docx", "A 329-2026")</f>
        <v/>
      </c>
      <c r="W196">
        <f>HYPERLINK("https://klasma.github.io/Logging_2260/klagomålsmail/A 329-2026 FSC-klagomål mail.docx", "A 329-2026")</f>
        <v/>
      </c>
      <c r="X196">
        <f>HYPERLINK("https://klasma.github.io/Logging_2260/tillsyn/A 329-2026 tillsynsbegäran.docx", "A 329-2026")</f>
        <v/>
      </c>
      <c r="Y196">
        <f>HYPERLINK("https://klasma.github.io/Logging_2260/tillsynsmail/A 329-2026 tillsynsbegäran mail.docx", "A 329-2026")</f>
        <v/>
      </c>
    </row>
    <row r="197" ht="15" customHeight="1">
      <c r="A197" t="inlineStr">
        <is>
          <t>A 25332-2025</t>
        </is>
      </c>
      <c r="B197" s="1" t="n">
        <v>45800.59418981482</v>
      </c>
      <c r="C197" s="1" t="n">
        <v>46178</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46178</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38606-2024</t>
        </is>
      </c>
      <c r="B199" s="1" t="n">
        <v>45546.67804398148</v>
      </c>
      <c r="C199" s="1" t="n">
        <v>46178</v>
      </c>
      <c r="D199" t="inlineStr">
        <is>
          <t>VÄSTERNORRLANDS LÄN</t>
        </is>
      </c>
      <c r="E199" t="inlineStr">
        <is>
          <t>ÅNGE</t>
        </is>
      </c>
      <c r="F199" t="inlineStr">
        <is>
          <t>SCA</t>
        </is>
      </c>
      <c r="G199" t="n">
        <v>2.4</v>
      </c>
      <c r="H199" t="n">
        <v>0</v>
      </c>
      <c r="I199" t="n">
        <v>0</v>
      </c>
      <c r="J199" t="n">
        <v>1</v>
      </c>
      <c r="K199" t="n">
        <v>0</v>
      </c>
      <c r="L199" t="n">
        <v>0</v>
      </c>
      <c r="M199" t="n">
        <v>0</v>
      </c>
      <c r="N199" t="n">
        <v>0</v>
      </c>
      <c r="O199" t="n">
        <v>1</v>
      </c>
      <c r="P199" t="n">
        <v>0</v>
      </c>
      <c r="Q199" t="n">
        <v>1</v>
      </c>
      <c r="R199" s="2" t="inlineStr">
        <is>
          <t>Ullticka</t>
        </is>
      </c>
      <c r="S199">
        <f>HYPERLINK("https://klasma.github.io/Logging_2260/artfynd/A 38606-2024 artfynd.xlsx", "A 38606-2024")</f>
        <v/>
      </c>
      <c r="T199">
        <f>HYPERLINK("https://klasma.github.io/Logging_2260/kartor/A 38606-2024 karta.png", "A 38606-2024")</f>
        <v/>
      </c>
      <c r="V199">
        <f>HYPERLINK("https://klasma.github.io/Logging_2260/klagomål/A 38606-2024 FSC-klagomål.docx", "A 38606-2024")</f>
        <v/>
      </c>
      <c r="W199">
        <f>HYPERLINK("https://klasma.github.io/Logging_2260/klagomålsmail/A 38606-2024 FSC-klagomål mail.docx", "A 38606-2024")</f>
        <v/>
      </c>
      <c r="X199">
        <f>HYPERLINK("https://klasma.github.io/Logging_2260/tillsyn/A 38606-2024 tillsynsbegäran.docx", "A 38606-2024")</f>
        <v/>
      </c>
      <c r="Y199">
        <f>HYPERLINK("https://klasma.github.io/Logging_2260/tillsynsmail/A 38606-2024 tillsynsbegäran mail.docx", "A 38606-2024")</f>
        <v/>
      </c>
    </row>
    <row r="200" ht="15" customHeight="1">
      <c r="A200" t="inlineStr">
        <is>
          <t>A 27025-2025</t>
        </is>
      </c>
      <c r="B200" s="1" t="n">
        <v>45811</v>
      </c>
      <c r="C200" s="1" t="n">
        <v>46178</v>
      </c>
      <c r="D200" t="inlineStr">
        <is>
          <t>VÄSTERNORRLANDS LÄN</t>
        </is>
      </c>
      <c r="E200" t="inlineStr">
        <is>
          <t>ÅNGE</t>
        </is>
      </c>
      <c r="G200" t="n">
        <v>25.5</v>
      </c>
      <c r="H200" t="n">
        <v>0</v>
      </c>
      <c r="I200" t="n">
        <v>0</v>
      </c>
      <c r="J200" t="n">
        <v>1</v>
      </c>
      <c r="K200" t="n">
        <v>0</v>
      </c>
      <c r="L200" t="n">
        <v>0</v>
      </c>
      <c r="M200" t="n">
        <v>0</v>
      </c>
      <c r="N200" t="n">
        <v>0</v>
      </c>
      <c r="O200" t="n">
        <v>1</v>
      </c>
      <c r="P200" t="n">
        <v>0</v>
      </c>
      <c r="Q200" t="n">
        <v>1</v>
      </c>
      <c r="R200" s="2" t="inlineStr">
        <is>
          <t>Garnlav</t>
        </is>
      </c>
      <c r="S200">
        <f>HYPERLINK("https://klasma.github.io/Logging_2260/artfynd/A 27025-2025 artfynd.xlsx", "A 27025-2025")</f>
        <v/>
      </c>
      <c r="T200">
        <f>HYPERLINK("https://klasma.github.io/Logging_2260/kartor/A 27025-2025 karta.png", "A 27025-2025")</f>
        <v/>
      </c>
      <c r="U200">
        <f>HYPERLINK("https://klasma.github.io/Logging_2260/knärot/A 27025-2025 karta knärot.png", "A 27025-2025")</f>
        <v/>
      </c>
      <c r="V200">
        <f>HYPERLINK("https://klasma.github.io/Logging_2260/klagomål/A 27025-2025 FSC-klagomål.docx", "A 27025-2025")</f>
        <v/>
      </c>
      <c r="W200">
        <f>HYPERLINK("https://klasma.github.io/Logging_2260/klagomålsmail/A 27025-2025 FSC-klagomål mail.docx", "A 27025-2025")</f>
        <v/>
      </c>
      <c r="X200">
        <f>HYPERLINK("https://klasma.github.io/Logging_2260/tillsyn/A 27025-2025 tillsynsbegäran.docx", "A 27025-2025")</f>
        <v/>
      </c>
      <c r="Y200">
        <f>HYPERLINK("https://klasma.github.io/Logging_2260/tillsynsmail/A 27025-2025 tillsynsbegäran mail.docx", "A 27025-2025")</f>
        <v/>
      </c>
    </row>
    <row r="201" ht="15" customHeight="1">
      <c r="A201" t="inlineStr">
        <is>
          <t>A 42524-2025</t>
        </is>
      </c>
      <c r="B201" s="1" t="n">
        <v>45905.55262731481</v>
      </c>
      <c r="C201" s="1" t="n">
        <v>46178</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43590-2025</t>
        </is>
      </c>
      <c r="B202" s="1" t="n">
        <v>45911.65665509259</v>
      </c>
      <c r="C202" s="1" t="n">
        <v>46178</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35648-2025</t>
        </is>
      </c>
      <c r="B203" s="1" t="n">
        <v>45859.51670138889</v>
      </c>
      <c r="C203" s="1" t="n">
        <v>46178</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46094-2025</t>
        </is>
      </c>
      <c r="B204" s="1" t="n">
        <v>45924</v>
      </c>
      <c r="C204" s="1" t="n">
        <v>46178</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35839-2025</t>
        </is>
      </c>
      <c r="B205" s="1" t="n">
        <v>45861.53943287037</v>
      </c>
      <c r="C205" s="1" t="n">
        <v>46178</v>
      </c>
      <c r="D205" t="inlineStr">
        <is>
          <t>VÄSTERNORRLANDS LÄN</t>
        </is>
      </c>
      <c r="E205" t="inlineStr">
        <is>
          <t>ÅNGE</t>
        </is>
      </c>
      <c r="F205" t="inlineStr">
        <is>
          <t>Sveaskog</t>
        </is>
      </c>
      <c r="G205" t="n">
        <v>7.9</v>
      </c>
      <c r="H205" t="n">
        <v>0</v>
      </c>
      <c r="I205" t="n">
        <v>0</v>
      </c>
      <c r="J205" t="n">
        <v>1</v>
      </c>
      <c r="K205" t="n">
        <v>0</v>
      </c>
      <c r="L205" t="n">
        <v>0</v>
      </c>
      <c r="M205" t="n">
        <v>0</v>
      </c>
      <c r="N205" t="n">
        <v>0</v>
      </c>
      <c r="O205" t="n">
        <v>1</v>
      </c>
      <c r="P205" t="n">
        <v>0</v>
      </c>
      <c r="Q205" t="n">
        <v>1</v>
      </c>
      <c r="R205" s="2" t="inlineStr">
        <is>
          <t>Lunglav</t>
        </is>
      </c>
      <c r="S205">
        <f>HYPERLINK("https://klasma.github.io/Logging_2260/artfynd/A 35839-2025 artfynd.xlsx", "A 35839-2025")</f>
        <v/>
      </c>
      <c r="T205">
        <f>HYPERLINK("https://klasma.github.io/Logging_2260/kartor/A 35839-2025 karta.png", "A 35839-2025")</f>
        <v/>
      </c>
      <c r="V205">
        <f>HYPERLINK("https://klasma.github.io/Logging_2260/klagomål/A 35839-2025 FSC-klagomål.docx", "A 35839-2025")</f>
        <v/>
      </c>
      <c r="W205">
        <f>HYPERLINK("https://klasma.github.io/Logging_2260/klagomålsmail/A 35839-2025 FSC-klagomål mail.docx", "A 35839-2025")</f>
        <v/>
      </c>
      <c r="X205">
        <f>HYPERLINK("https://klasma.github.io/Logging_2260/tillsyn/A 35839-2025 tillsynsbegäran.docx", "A 35839-2025")</f>
        <v/>
      </c>
      <c r="Y205">
        <f>HYPERLINK("https://klasma.github.io/Logging_2260/tillsynsmail/A 35839-2025 tillsynsbegäran mail.docx", "A 35839-2025")</f>
        <v/>
      </c>
    </row>
    <row r="206" ht="15" customHeight="1">
      <c r="A206" t="inlineStr">
        <is>
          <t>A 64510-2023</t>
        </is>
      </c>
      <c r="B206" s="1" t="n">
        <v>45281</v>
      </c>
      <c r="C206" s="1" t="n">
        <v>46178</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46829-2025</t>
        </is>
      </c>
      <c r="B207" s="1" t="n">
        <v>45927.34513888889</v>
      </c>
      <c r="C207" s="1" t="n">
        <v>46178</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24798-2024</t>
        </is>
      </c>
      <c r="B208" s="1" t="n">
        <v>45460.95277777778</v>
      </c>
      <c r="C208" s="1" t="n">
        <v>46178</v>
      </c>
      <c r="D208" t="inlineStr">
        <is>
          <t>VÄSTERNORRLANDS LÄN</t>
        </is>
      </c>
      <c r="E208" t="inlineStr">
        <is>
          <t>ÅNGE</t>
        </is>
      </c>
      <c r="F208" t="inlineStr">
        <is>
          <t>SCA</t>
        </is>
      </c>
      <c r="G208" t="n">
        <v>1.3</v>
      </c>
      <c r="H208" t="n">
        <v>0</v>
      </c>
      <c r="I208" t="n">
        <v>0</v>
      </c>
      <c r="J208" t="n">
        <v>1</v>
      </c>
      <c r="K208" t="n">
        <v>0</v>
      </c>
      <c r="L208" t="n">
        <v>0</v>
      </c>
      <c r="M208" t="n">
        <v>0</v>
      </c>
      <c r="N208" t="n">
        <v>0</v>
      </c>
      <c r="O208" t="n">
        <v>1</v>
      </c>
      <c r="P208" t="n">
        <v>0</v>
      </c>
      <c r="Q208" t="n">
        <v>1</v>
      </c>
      <c r="R208" s="2" t="inlineStr">
        <is>
          <t>Lunglav</t>
        </is>
      </c>
      <c r="S208">
        <f>HYPERLINK("https://klasma.github.io/Logging_2260/artfynd/A 24798-2024 artfynd.xlsx", "A 24798-2024")</f>
        <v/>
      </c>
      <c r="T208">
        <f>HYPERLINK("https://klasma.github.io/Logging_2260/kartor/A 24798-2024 karta.png", "A 24798-2024")</f>
        <v/>
      </c>
      <c r="V208">
        <f>HYPERLINK("https://klasma.github.io/Logging_2260/klagomål/A 24798-2024 FSC-klagomål.docx", "A 24798-2024")</f>
        <v/>
      </c>
      <c r="W208">
        <f>HYPERLINK("https://klasma.github.io/Logging_2260/klagomålsmail/A 24798-2024 FSC-klagomål mail.docx", "A 24798-2024")</f>
        <v/>
      </c>
      <c r="X208">
        <f>HYPERLINK("https://klasma.github.io/Logging_2260/tillsyn/A 24798-2024 tillsynsbegäran.docx", "A 24798-2024")</f>
        <v/>
      </c>
      <c r="Y208">
        <f>HYPERLINK("https://klasma.github.io/Logging_2260/tillsynsmail/A 24798-2024 tillsynsbegäran mail.docx", "A 24798-2024")</f>
        <v/>
      </c>
    </row>
    <row r="209" ht="15" customHeight="1">
      <c r="A209" t="inlineStr">
        <is>
          <t>A 24799-2024</t>
        </is>
      </c>
      <c r="B209" s="1" t="n">
        <v>45460</v>
      </c>
      <c r="C209" s="1" t="n">
        <v>46178</v>
      </c>
      <c r="D209" t="inlineStr">
        <is>
          <t>VÄSTERNORRLANDS LÄN</t>
        </is>
      </c>
      <c r="E209" t="inlineStr">
        <is>
          <t>ÅNGE</t>
        </is>
      </c>
      <c r="F209" t="inlineStr">
        <is>
          <t>SCA</t>
        </is>
      </c>
      <c r="G209" t="n">
        <v>2.8</v>
      </c>
      <c r="H209" t="n">
        <v>1</v>
      </c>
      <c r="I209" t="n">
        <v>0</v>
      </c>
      <c r="J209" t="n">
        <v>0</v>
      </c>
      <c r="K209" t="n">
        <v>1</v>
      </c>
      <c r="L209" t="n">
        <v>0</v>
      </c>
      <c r="M209" t="n">
        <v>0</v>
      </c>
      <c r="N209" t="n">
        <v>0</v>
      </c>
      <c r="O209" t="n">
        <v>1</v>
      </c>
      <c r="P209" t="n">
        <v>1</v>
      </c>
      <c r="Q209" t="n">
        <v>1</v>
      </c>
      <c r="R209" s="2" t="inlineStr">
        <is>
          <t>Doftticka</t>
        </is>
      </c>
      <c r="S209">
        <f>HYPERLINK("https://klasma.github.io/Logging_2260/artfynd/A 24799-2024 artfynd.xlsx", "A 24799-2024")</f>
        <v/>
      </c>
      <c r="T209">
        <f>HYPERLINK("https://klasma.github.io/Logging_2260/kartor/A 24799-2024 karta.png", "A 24799-2024")</f>
        <v/>
      </c>
      <c r="V209">
        <f>HYPERLINK("https://klasma.github.io/Logging_2260/klagomål/A 24799-2024 FSC-klagomål.docx", "A 24799-2024")</f>
        <v/>
      </c>
      <c r="W209">
        <f>HYPERLINK("https://klasma.github.io/Logging_2260/klagomålsmail/A 24799-2024 FSC-klagomål mail.docx", "A 24799-2024")</f>
        <v/>
      </c>
      <c r="X209">
        <f>HYPERLINK("https://klasma.github.io/Logging_2260/tillsyn/A 24799-2024 tillsynsbegäran.docx", "A 24799-2024")</f>
        <v/>
      </c>
      <c r="Y209">
        <f>HYPERLINK("https://klasma.github.io/Logging_2260/tillsynsmail/A 24799-2024 tillsynsbegäran mail.docx", "A 24799-2024")</f>
        <v/>
      </c>
    </row>
    <row r="210" ht="15" customHeight="1">
      <c r="A210" t="inlineStr">
        <is>
          <t>A 27308-2024</t>
        </is>
      </c>
      <c r="B210" s="1" t="n">
        <v>45471</v>
      </c>
      <c r="C210" s="1" t="n">
        <v>46178</v>
      </c>
      <c r="D210" t="inlineStr">
        <is>
          <t>VÄSTERNORRLANDS LÄN</t>
        </is>
      </c>
      <c r="E210" t="inlineStr">
        <is>
          <t>ÅNGE</t>
        </is>
      </c>
      <c r="F210" t="inlineStr">
        <is>
          <t>SCA</t>
        </is>
      </c>
      <c r="G210" t="n">
        <v>15.9</v>
      </c>
      <c r="H210" t="n">
        <v>0</v>
      </c>
      <c r="I210" t="n">
        <v>0</v>
      </c>
      <c r="J210" t="n">
        <v>1</v>
      </c>
      <c r="K210" t="n">
        <v>0</v>
      </c>
      <c r="L210" t="n">
        <v>0</v>
      </c>
      <c r="M210" t="n">
        <v>0</v>
      </c>
      <c r="N210" t="n">
        <v>0</v>
      </c>
      <c r="O210" t="n">
        <v>1</v>
      </c>
      <c r="P210" t="n">
        <v>0</v>
      </c>
      <c r="Q210" t="n">
        <v>1</v>
      </c>
      <c r="R210" s="2" t="inlineStr">
        <is>
          <t>Lunglav</t>
        </is>
      </c>
      <c r="S210">
        <f>HYPERLINK("https://klasma.github.io/Logging_2260/artfynd/A 27308-2024 artfynd.xlsx", "A 27308-2024")</f>
        <v/>
      </c>
      <c r="T210">
        <f>HYPERLINK("https://klasma.github.io/Logging_2260/kartor/A 27308-2024 karta.png", "A 27308-2024")</f>
        <v/>
      </c>
      <c r="V210">
        <f>HYPERLINK("https://klasma.github.io/Logging_2260/klagomål/A 27308-2024 FSC-klagomål.docx", "A 27308-2024")</f>
        <v/>
      </c>
      <c r="W210">
        <f>HYPERLINK("https://klasma.github.io/Logging_2260/klagomålsmail/A 27308-2024 FSC-klagomål mail.docx", "A 27308-2024")</f>
        <v/>
      </c>
      <c r="X210">
        <f>HYPERLINK("https://klasma.github.io/Logging_2260/tillsyn/A 27308-2024 tillsynsbegäran.docx", "A 27308-2024")</f>
        <v/>
      </c>
      <c r="Y210">
        <f>HYPERLINK("https://klasma.github.io/Logging_2260/tillsynsmail/A 27308-2024 tillsynsbegäran mail.docx", "A 27308-2024")</f>
        <v/>
      </c>
    </row>
    <row r="211" ht="15" customHeight="1">
      <c r="A211" t="inlineStr">
        <is>
          <t>A 47857-2025</t>
        </is>
      </c>
      <c r="B211" s="1" t="n">
        <v>45932.4068287037</v>
      </c>
      <c r="C211" s="1" t="n">
        <v>46178</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48237-2025</t>
        </is>
      </c>
      <c r="B212" s="1" t="n">
        <v>45933</v>
      </c>
      <c r="C212" s="1" t="n">
        <v>46178</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37432-2025</t>
        </is>
      </c>
      <c r="B213" s="1" t="n">
        <v>45877.51106481482</v>
      </c>
      <c r="C213" s="1" t="n">
        <v>46178</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38603-2024</t>
        </is>
      </c>
      <c r="B214" s="1" t="n">
        <v>45546</v>
      </c>
      <c r="C214" s="1" t="n">
        <v>46178</v>
      </c>
      <c r="D214" t="inlineStr">
        <is>
          <t>VÄSTERNORRLANDS LÄN</t>
        </is>
      </c>
      <c r="E214" t="inlineStr">
        <is>
          <t>ÅNGE</t>
        </is>
      </c>
      <c r="F214" t="inlineStr">
        <is>
          <t>SCA</t>
        </is>
      </c>
      <c r="G214" t="n">
        <v>5.6</v>
      </c>
      <c r="H214" t="n">
        <v>0</v>
      </c>
      <c r="I214" t="n">
        <v>0</v>
      </c>
      <c r="J214" t="n">
        <v>0</v>
      </c>
      <c r="K214" t="n">
        <v>1</v>
      </c>
      <c r="L214" t="n">
        <v>0</v>
      </c>
      <c r="M214" t="n">
        <v>0</v>
      </c>
      <c r="N214" t="n">
        <v>0</v>
      </c>
      <c r="O214" t="n">
        <v>1</v>
      </c>
      <c r="P214" t="n">
        <v>1</v>
      </c>
      <c r="Q214" t="n">
        <v>1</v>
      </c>
      <c r="R214" s="2" t="inlineStr">
        <is>
          <t>Rynkskinn</t>
        </is>
      </c>
      <c r="S214">
        <f>HYPERLINK("https://klasma.github.io/Logging_2260/artfynd/A 38603-2024 artfynd.xlsx", "A 38603-2024")</f>
        <v/>
      </c>
      <c r="T214">
        <f>HYPERLINK("https://klasma.github.io/Logging_2260/kartor/A 38603-2024 karta.png", "A 38603-2024")</f>
        <v/>
      </c>
      <c r="V214">
        <f>HYPERLINK("https://klasma.github.io/Logging_2260/klagomål/A 38603-2024 FSC-klagomål.docx", "A 38603-2024")</f>
        <v/>
      </c>
      <c r="W214">
        <f>HYPERLINK("https://klasma.github.io/Logging_2260/klagomålsmail/A 38603-2024 FSC-klagomål mail.docx", "A 38603-2024")</f>
        <v/>
      </c>
      <c r="X214">
        <f>HYPERLINK("https://klasma.github.io/Logging_2260/tillsyn/A 38603-2024 tillsynsbegäran.docx", "A 38603-2024")</f>
        <v/>
      </c>
      <c r="Y214">
        <f>HYPERLINK("https://klasma.github.io/Logging_2260/tillsynsmail/A 38603-2024 tillsynsbegäran mail.docx", "A 38603-2024")</f>
        <v/>
      </c>
    </row>
    <row r="215" ht="15" customHeight="1">
      <c r="A215" t="inlineStr">
        <is>
          <t>A 34696-2024</t>
        </is>
      </c>
      <c r="B215" s="1" t="n">
        <v>45526</v>
      </c>
      <c r="C215" s="1" t="n">
        <v>46178</v>
      </c>
      <c r="D215" t="inlineStr">
        <is>
          <t>VÄSTERNORRLANDS LÄN</t>
        </is>
      </c>
      <c r="E215" t="inlineStr">
        <is>
          <t>ÅNGE</t>
        </is>
      </c>
      <c r="G215" t="n">
        <v>3.6</v>
      </c>
      <c r="H215" t="n">
        <v>1</v>
      </c>
      <c r="I215" t="n">
        <v>0</v>
      </c>
      <c r="J215" t="n">
        <v>0</v>
      </c>
      <c r="K215" t="n">
        <v>0</v>
      </c>
      <c r="L215" t="n">
        <v>0</v>
      </c>
      <c r="M215" t="n">
        <v>0</v>
      </c>
      <c r="N215" t="n">
        <v>0</v>
      </c>
      <c r="O215" t="n">
        <v>0</v>
      </c>
      <c r="P215" t="n">
        <v>0</v>
      </c>
      <c r="Q215" t="n">
        <v>1</v>
      </c>
      <c r="R215" s="2" t="inlineStr">
        <is>
          <t>Revlummer</t>
        </is>
      </c>
      <c r="S215">
        <f>HYPERLINK("https://klasma.github.io/Logging_2260/artfynd/A 34696-2024 artfynd.xlsx", "A 34696-2024")</f>
        <v/>
      </c>
      <c r="T215">
        <f>HYPERLINK("https://klasma.github.io/Logging_2260/kartor/A 34696-2024 karta.png", "A 34696-2024")</f>
        <v/>
      </c>
      <c r="V215">
        <f>HYPERLINK("https://klasma.github.io/Logging_2260/klagomål/A 34696-2024 FSC-klagomål.docx", "A 34696-2024")</f>
        <v/>
      </c>
      <c r="W215">
        <f>HYPERLINK("https://klasma.github.io/Logging_2260/klagomålsmail/A 34696-2024 FSC-klagomål mail.docx", "A 34696-2024")</f>
        <v/>
      </c>
      <c r="X215">
        <f>HYPERLINK("https://klasma.github.io/Logging_2260/tillsyn/A 34696-2024 tillsynsbegäran.docx", "A 34696-2024")</f>
        <v/>
      </c>
      <c r="Y215">
        <f>HYPERLINK("https://klasma.github.io/Logging_2260/tillsynsmail/A 34696-2024 tillsynsbegäran mail.docx", "A 34696-2024")</f>
        <v/>
      </c>
    </row>
    <row r="216" ht="15" customHeight="1">
      <c r="A216" t="inlineStr">
        <is>
          <t>A 29327-2023</t>
        </is>
      </c>
      <c r="B216" s="1" t="n">
        <v>45105.94349537037</v>
      </c>
      <c r="C216" s="1" t="n">
        <v>46178</v>
      </c>
      <c r="D216" t="inlineStr">
        <is>
          <t>VÄSTERNORRLANDS LÄN</t>
        </is>
      </c>
      <c r="E216" t="inlineStr">
        <is>
          <t>ÅNGE</t>
        </is>
      </c>
      <c r="G216" t="n">
        <v>7.8</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29327-2023 artfynd.xlsx", "A 29327-2023")</f>
        <v/>
      </c>
      <c r="T216">
        <f>HYPERLINK("https://klasma.github.io/Logging_2260/kartor/A 29327-2023 karta.png", "A 29327-2023")</f>
        <v/>
      </c>
      <c r="V216">
        <f>HYPERLINK("https://klasma.github.io/Logging_2260/klagomål/A 29327-2023 FSC-klagomål.docx", "A 29327-2023")</f>
        <v/>
      </c>
      <c r="W216">
        <f>HYPERLINK("https://klasma.github.io/Logging_2260/klagomålsmail/A 29327-2023 FSC-klagomål mail.docx", "A 29327-2023")</f>
        <v/>
      </c>
      <c r="X216">
        <f>HYPERLINK("https://klasma.github.io/Logging_2260/tillsyn/A 29327-2023 tillsynsbegäran.docx", "A 29327-2023")</f>
        <v/>
      </c>
      <c r="Y216">
        <f>HYPERLINK("https://klasma.github.io/Logging_2260/tillsynsmail/A 29327-2023 tillsynsbegäran mail.docx", "A 29327-2023")</f>
        <v/>
      </c>
    </row>
    <row r="217" ht="15" customHeight="1">
      <c r="A217" t="inlineStr">
        <is>
          <t>A 50460-2025</t>
        </is>
      </c>
      <c r="B217" s="1" t="n">
        <v>45945.345</v>
      </c>
      <c r="C217" s="1" t="n">
        <v>46178</v>
      </c>
      <c r="D217" t="inlineStr">
        <is>
          <t>VÄSTERNORRLANDS LÄN</t>
        </is>
      </c>
      <c r="E217" t="inlineStr">
        <is>
          <t>ÅNGE</t>
        </is>
      </c>
      <c r="F217" t="inlineStr">
        <is>
          <t>SCA</t>
        </is>
      </c>
      <c r="G217" t="n">
        <v>2.3</v>
      </c>
      <c r="H217" t="n">
        <v>0</v>
      </c>
      <c r="I217" t="n">
        <v>0</v>
      </c>
      <c r="J217" t="n">
        <v>1</v>
      </c>
      <c r="K217" t="n">
        <v>0</v>
      </c>
      <c r="L217" t="n">
        <v>0</v>
      </c>
      <c r="M217" t="n">
        <v>0</v>
      </c>
      <c r="N217" t="n">
        <v>0</v>
      </c>
      <c r="O217" t="n">
        <v>1</v>
      </c>
      <c r="P217" t="n">
        <v>0</v>
      </c>
      <c r="Q217" t="n">
        <v>1</v>
      </c>
      <c r="R217" s="2" t="inlineStr">
        <is>
          <t>Skogshare</t>
        </is>
      </c>
      <c r="S217">
        <f>HYPERLINK("https://klasma.github.io/Logging_2260/artfynd/A 50460-2025 artfynd.xlsx", "A 50460-2025")</f>
        <v/>
      </c>
      <c r="T217">
        <f>HYPERLINK("https://klasma.github.io/Logging_2260/kartor/A 50460-2025 karta.png", "A 50460-2025")</f>
        <v/>
      </c>
      <c r="V217">
        <f>HYPERLINK("https://klasma.github.io/Logging_2260/klagomål/A 50460-2025 FSC-klagomål.docx", "A 50460-2025")</f>
        <v/>
      </c>
      <c r="W217">
        <f>HYPERLINK("https://klasma.github.io/Logging_2260/klagomålsmail/A 50460-2025 FSC-klagomål mail.docx", "A 50460-2025")</f>
        <v/>
      </c>
      <c r="X217">
        <f>HYPERLINK("https://klasma.github.io/Logging_2260/tillsyn/A 50460-2025 tillsynsbegäran.docx", "A 50460-2025")</f>
        <v/>
      </c>
      <c r="Y217">
        <f>HYPERLINK("https://klasma.github.io/Logging_2260/tillsynsmail/A 50460-2025 tillsynsbegäran mail.docx", "A 50460-2025")</f>
        <v/>
      </c>
    </row>
    <row r="218" ht="15" customHeight="1">
      <c r="A218" t="inlineStr">
        <is>
          <t>A 31878-2024</t>
        </is>
      </c>
      <c r="B218" s="1" t="n">
        <v>45509</v>
      </c>
      <c r="C218" s="1" t="n">
        <v>46178</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25705-2024</t>
        </is>
      </c>
      <c r="B219" s="1" t="n">
        <v>45463.9428587963</v>
      </c>
      <c r="C219" s="1" t="n">
        <v>46178</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20192-2025</t>
        </is>
      </c>
      <c r="B220" s="1" t="n">
        <v>45772.60177083333</v>
      </c>
      <c r="C220" s="1" t="n">
        <v>46178</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13953-2026</t>
        </is>
      </c>
      <c r="B221" s="1" t="n">
        <v>46098.55194444444</v>
      </c>
      <c r="C221" s="1" t="n">
        <v>46178</v>
      </c>
      <c r="D221" t="inlineStr">
        <is>
          <t>VÄSTERNORRLANDS LÄN</t>
        </is>
      </c>
      <c r="E221" t="inlineStr">
        <is>
          <t>ÅNGE</t>
        </is>
      </c>
      <c r="F221" t="inlineStr">
        <is>
          <t>Holmen skog AB</t>
        </is>
      </c>
      <c r="G221" t="n">
        <v>3.1</v>
      </c>
      <c r="H221" t="n">
        <v>0</v>
      </c>
      <c r="I221" t="n">
        <v>1</v>
      </c>
      <c r="J221" t="n">
        <v>0</v>
      </c>
      <c r="K221" t="n">
        <v>0</v>
      </c>
      <c r="L221" t="n">
        <v>0</v>
      </c>
      <c r="M221" t="n">
        <v>0</v>
      </c>
      <c r="N221" t="n">
        <v>0</v>
      </c>
      <c r="O221" t="n">
        <v>0</v>
      </c>
      <c r="P221" t="n">
        <v>0</v>
      </c>
      <c r="Q221" t="n">
        <v>1</v>
      </c>
      <c r="R221" s="2" t="inlineStr">
        <is>
          <t>Stuplav</t>
        </is>
      </c>
      <c r="S221">
        <f>HYPERLINK("https://klasma.github.io/Logging_2260/artfynd/A 13953-2026 artfynd.xlsx", "A 13953-2026")</f>
        <v/>
      </c>
      <c r="T221">
        <f>HYPERLINK("https://klasma.github.io/Logging_2260/kartor/A 13953-2026 karta.png", "A 13953-2026")</f>
        <v/>
      </c>
      <c r="V221">
        <f>HYPERLINK("https://klasma.github.io/Logging_2260/klagomål/A 13953-2026 FSC-klagomål.docx", "A 13953-2026")</f>
        <v/>
      </c>
      <c r="W221">
        <f>HYPERLINK("https://klasma.github.io/Logging_2260/klagomålsmail/A 13953-2026 FSC-klagomål mail.docx", "A 13953-2026")</f>
        <v/>
      </c>
      <c r="X221">
        <f>HYPERLINK("https://klasma.github.io/Logging_2260/tillsyn/A 13953-2026 tillsynsbegäran.docx", "A 13953-2026")</f>
        <v/>
      </c>
      <c r="Y221">
        <f>HYPERLINK("https://klasma.github.io/Logging_2260/tillsynsmail/A 13953-2026 tillsynsbegäran mail.docx", "A 13953-2026")</f>
        <v/>
      </c>
    </row>
    <row r="222" ht="15" customHeight="1">
      <c r="A222" t="inlineStr">
        <is>
          <t>A 57272-2024</t>
        </is>
      </c>
      <c r="B222" s="1" t="n">
        <v>45629.57380787037</v>
      </c>
      <c r="C222" s="1" t="n">
        <v>46178</v>
      </c>
      <c r="D222" t="inlineStr">
        <is>
          <t>VÄSTERNORRLANDS LÄN</t>
        </is>
      </c>
      <c r="E222" t="inlineStr">
        <is>
          <t>ÅNGE</t>
        </is>
      </c>
      <c r="F222" t="inlineStr">
        <is>
          <t>SCA</t>
        </is>
      </c>
      <c r="G222" t="n">
        <v>5.4</v>
      </c>
      <c r="H222" t="n">
        <v>0</v>
      </c>
      <c r="I222" t="n">
        <v>0</v>
      </c>
      <c r="J222" t="n">
        <v>1</v>
      </c>
      <c r="K222" t="n">
        <v>0</v>
      </c>
      <c r="L222" t="n">
        <v>0</v>
      </c>
      <c r="M222" t="n">
        <v>0</v>
      </c>
      <c r="N222" t="n">
        <v>0</v>
      </c>
      <c r="O222" t="n">
        <v>1</v>
      </c>
      <c r="P222" t="n">
        <v>0</v>
      </c>
      <c r="Q222" t="n">
        <v>1</v>
      </c>
      <c r="R222" s="2" t="inlineStr">
        <is>
          <t>Orange taggsvamp</t>
        </is>
      </c>
      <c r="S222">
        <f>HYPERLINK("https://klasma.github.io/Logging_2260/artfynd/A 57272-2024 artfynd.xlsx", "A 57272-2024")</f>
        <v/>
      </c>
      <c r="T222">
        <f>HYPERLINK("https://klasma.github.io/Logging_2260/kartor/A 57272-2024 karta.png", "A 57272-2024")</f>
        <v/>
      </c>
      <c r="V222">
        <f>HYPERLINK("https://klasma.github.io/Logging_2260/klagomål/A 57272-2024 FSC-klagomål.docx", "A 57272-2024")</f>
        <v/>
      </c>
      <c r="W222">
        <f>HYPERLINK("https://klasma.github.io/Logging_2260/klagomålsmail/A 57272-2024 FSC-klagomål mail.docx", "A 57272-2024")</f>
        <v/>
      </c>
      <c r="X222">
        <f>HYPERLINK("https://klasma.github.io/Logging_2260/tillsyn/A 57272-2024 tillsynsbegäran.docx", "A 57272-2024")</f>
        <v/>
      </c>
      <c r="Y222">
        <f>HYPERLINK("https://klasma.github.io/Logging_2260/tillsynsmail/A 57272-2024 tillsynsbegäran mail.docx", "A 57272-2024")</f>
        <v/>
      </c>
    </row>
    <row r="223" ht="15" customHeight="1">
      <c r="A223" t="inlineStr">
        <is>
          <t>A 22262-2026</t>
        </is>
      </c>
      <c r="B223" s="1" t="n">
        <v>46154.37927083333</v>
      </c>
      <c r="C223" s="1" t="n">
        <v>46178</v>
      </c>
      <c r="D223" t="inlineStr">
        <is>
          <t>VÄSTERNORRLANDS LÄN</t>
        </is>
      </c>
      <c r="E223" t="inlineStr">
        <is>
          <t>ÅNGE</t>
        </is>
      </c>
      <c r="G223" t="n">
        <v>1</v>
      </c>
      <c r="H223" t="n">
        <v>1</v>
      </c>
      <c r="I223" t="n">
        <v>0</v>
      </c>
      <c r="J223" t="n">
        <v>0</v>
      </c>
      <c r="K223" t="n">
        <v>1</v>
      </c>
      <c r="L223" t="n">
        <v>0</v>
      </c>
      <c r="M223" t="n">
        <v>0</v>
      </c>
      <c r="N223" t="n">
        <v>0</v>
      </c>
      <c r="O223" t="n">
        <v>1</v>
      </c>
      <c r="P223" t="n">
        <v>1</v>
      </c>
      <c r="Q223" t="n">
        <v>1</v>
      </c>
      <c r="R223" s="2" t="inlineStr">
        <is>
          <t>Lappuggla</t>
        </is>
      </c>
      <c r="S223">
        <f>HYPERLINK("https://klasma.github.io/Logging_2260/artfynd/A 22262-2026 artfynd.xlsx", "A 22262-2026")</f>
        <v/>
      </c>
      <c r="T223">
        <f>HYPERLINK("https://klasma.github.io/Logging_2260/kartor/A 22262-2026 karta.png", "A 22262-2026")</f>
        <v/>
      </c>
      <c r="V223">
        <f>HYPERLINK("https://klasma.github.io/Logging_2260/klagomål/A 22262-2026 FSC-klagomål.docx", "A 22262-2026")</f>
        <v/>
      </c>
      <c r="W223">
        <f>HYPERLINK("https://klasma.github.io/Logging_2260/klagomålsmail/A 22262-2026 FSC-klagomål mail.docx", "A 22262-2026")</f>
        <v/>
      </c>
      <c r="X223">
        <f>HYPERLINK("https://klasma.github.io/Logging_2260/tillsyn/A 22262-2026 tillsynsbegäran.docx", "A 22262-2026")</f>
        <v/>
      </c>
      <c r="Y223">
        <f>HYPERLINK("https://klasma.github.io/Logging_2260/tillsynsmail/A 22262-2026 tillsynsbegäran mail.docx", "A 22262-2026")</f>
        <v/>
      </c>
      <c r="Z223">
        <f>HYPERLINK("https://klasma.github.io/Logging_2260/fåglar/A 22262-2026 prioriterade fågelarter.docx", "A 22262-2026")</f>
        <v/>
      </c>
    </row>
    <row r="224" ht="15" customHeight="1">
      <c r="A224" t="inlineStr">
        <is>
          <t>A 1449-2025</t>
        </is>
      </c>
      <c r="B224" s="1" t="n">
        <v>45670.27537037037</v>
      </c>
      <c r="C224" s="1" t="n">
        <v>46178</v>
      </c>
      <c r="D224" t="inlineStr">
        <is>
          <t>VÄSTERNORRLANDS LÄN</t>
        </is>
      </c>
      <c r="E224" t="inlineStr">
        <is>
          <t>ÅNGE</t>
        </is>
      </c>
      <c r="G224" t="n">
        <v>6.3</v>
      </c>
      <c r="H224" t="n">
        <v>0</v>
      </c>
      <c r="I224" t="n">
        <v>1</v>
      </c>
      <c r="J224" t="n">
        <v>0</v>
      </c>
      <c r="K224" t="n">
        <v>0</v>
      </c>
      <c r="L224" t="n">
        <v>0</v>
      </c>
      <c r="M224" t="n">
        <v>0</v>
      </c>
      <c r="N224" t="n">
        <v>0</v>
      </c>
      <c r="O224" t="n">
        <v>0</v>
      </c>
      <c r="P224" t="n">
        <v>0</v>
      </c>
      <c r="Q224" t="n">
        <v>1</v>
      </c>
      <c r="R224" s="2" t="inlineStr">
        <is>
          <t>Korallblylav</t>
        </is>
      </c>
      <c r="S224">
        <f>HYPERLINK("https://klasma.github.io/Logging_2260/artfynd/A 1449-2025 artfynd.xlsx", "A 1449-2025")</f>
        <v/>
      </c>
      <c r="T224">
        <f>HYPERLINK("https://klasma.github.io/Logging_2260/kartor/A 1449-2025 karta.png", "A 1449-2025")</f>
        <v/>
      </c>
      <c r="V224">
        <f>HYPERLINK("https://klasma.github.io/Logging_2260/klagomål/A 1449-2025 FSC-klagomål.docx", "A 1449-2025")</f>
        <v/>
      </c>
      <c r="W224">
        <f>HYPERLINK("https://klasma.github.io/Logging_2260/klagomålsmail/A 1449-2025 FSC-klagomål mail.docx", "A 1449-2025")</f>
        <v/>
      </c>
      <c r="X224">
        <f>HYPERLINK("https://klasma.github.io/Logging_2260/tillsyn/A 1449-2025 tillsynsbegäran.docx", "A 1449-2025")</f>
        <v/>
      </c>
      <c r="Y224">
        <f>HYPERLINK("https://klasma.github.io/Logging_2260/tillsynsmail/A 1449-2025 tillsynsbegäran mail.docx", "A 1449-2025")</f>
        <v/>
      </c>
    </row>
    <row r="225" ht="15" customHeight="1">
      <c r="A225" t="inlineStr">
        <is>
          <t>A 50651-2021</t>
        </is>
      </c>
      <c r="B225" s="1" t="n">
        <v>44459</v>
      </c>
      <c r="C225" s="1" t="n">
        <v>46178</v>
      </c>
      <c r="D225" t="inlineStr">
        <is>
          <t>VÄSTERNORRLANDS LÄN</t>
        </is>
      </c>
      <c r="E225" t="inlineStr">
        <is>
          <t>ÅNGE</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HYPERLINK("https://klasma.github.io/Logging_2260/artfynd/A 50651-2021 artfynd.xlsx", "A 50651-2021")</f>
        <v/>
      </c>
      <c r="T225">
        <f>HYPERLINK("https://klasma.github.io/Logging_2260/kartor/A 50651-2021 karta.png", "A 50651-2021")</f>
        <v/>
      </c>
      <c r="V225">
        <f>HYPERLINK("https://klasma.github.io/Logging_2260/klagomål/A 50651-2021 FSC-klagomål.docx", "A 50651-2021")</f>
        <v/>
      </c>
      <c r="W225">
        <f>HYPERLINK("https://klasma.github.io/Logging_2260/klagomålsmail/A 50651-2021 FSC-klagomål mail.docx", "A 50651-2021")</f>
        <v/>
      </c>
      <c r="X225">
        <f>HYPERLINK("https://klasma.github.io/Logging_2260/tillsyn/A 50651-2021 tillsynsbegäran.docx", "A 50651-2021")</f>
        <v/>
      </c>
      <c r="Y225">
        <f>HYPERLINK("https://klasma.github.io/Logging_2260/tillsynsmail/A 50651-2021 tillsynsbegäran mail.docx", "A 50651-2021")</f>
        <v/>
      </c>
    </row>
    <row r="226" ht="15" customHeight="1">
      <c r="A226" t="inlineStr">
        <is>
          <t>A 4351-2024</t>
        </is>
      </c>
      <c r="B226" s="1" t="n">
        <v>45324</v>
      </c>
      <c r="C226" s="1" t="n">
        <v>46178</v>
      </c>
      <c r="D226" t="inlineStr">
        <is>
          <t>VÄSTERNORRLANDS LÄN</t>
        </is>
      </c>
      <c r="E226" t="inlineStr">
        <is>
          <t>ÅNGE</t>
        </is>
      </c>
      <c r="F226" t="inlineStr">
        <is>
          <t>SCA</t>
        </is>
      </c>
      <c r="G226" t="n">
        <v>0.5</v>
      </c>
      <c r="H226" t="n">
        <v>0</v>
      </c>
      <c r="I226" t="n">
        <v>0</v>
      </c>
      <c r="J226" t="n">
        <v>1</v>
      </c>
      <c r="K226" t="n">
        <v>0</v>
      </c>
      <c r="L226" t="n">
        <v>0</v>
      </c>
      <c r="M226" t="n">
        <v>0</v>
      </c>
      <c r="N226" t="n">
        <v>0</v>
      </c>
      <c r="O226" t="n">
        <v>1</v>
      </c>
      <c r="P226" t="n">
        <v>0</v>
      </c>
      <c r="Q226" t="n">
        <v>1</v>
      </c>
      <c r="R226" s="2" t="inlineStr">
        <is>
          <t>Garnlav</t>
        </is>
      </c>
      <c r="S226">
        <f>HYPERLINK("https://klasma.github.io/Logging_2260/artfynd/A 4351-2024 artfynd.xlsx", "A 4351-2024")</f>
        <v/>
      </c>
      <c r="T226">
        <f>HYPERLINK("https://klasma.github.io/Logging_2260/kartor/A 4351-2024 karta.png", "A 4351-2024")</f>
        <v/>
      </c>
      <c r="V226">
        <f>HYPERLINK("https://klasma.github.io/Logging_2260/klagomål/A 4351-2024 FSC-klagomål.docx", "A 4351-2024")</f>
        <v/>
      </c>
      <c r="W226">
        <f>HYPERLINK("https://klasma.github.io/Logging_2260/klagomålsmail/A 4351-2024 FSC-klagomål mail.docx", "A 4351-2024")</f>
        <v/>
      </c>
      <c r="X226">
        <f>HYPERLINK("https://klasma.github.io/Logging_2260/tillsyn/A 4351-2024 tillsynsbegäran.docx", "A 4351-2024")</f>
        <v/>
      </c>
      <c r="Y226">
        <f>HYPERLINK("https://klasma.github.io/Logging_2260/tillsynsmail/A 4351-2024 tillsynsbegäran mail.docx", "A 4351-2024")</f>
        <v/>
      </c>
    </row>
    <row r="227" ht="15" customHeight="1">
      <c r="A227" t="inlineStr">
        <is>
          <t>A 58534-2025</t>
        </is>
      </c>
      <c r="B227" s="1" t="n">
        <v>45985.80396990741</v>
      </c>
      <c r="C227" s="1" t="n">
        <v>46178</v>
      </c>
      <c r="D227" t="inlineStr">
        <is>
          <t>VÄSTERNORRLANDS LÄN</t>
        </is>
      </c>
      <c r="E227" t="inlineStr">
        <is>
          <t>ÅNGE</t>
        </is>
      </c>
      <c r="F227" t="inlineStr">
        <is>
          <t>Holmen skog AB</t>
        </is>
      </c>
      <c r="G227" t="n">
        <v>2.2</v>
      </c>
      <c r="H227" t="n">
        <v>0</v>
      </c>
      <c r="I227" t="n">
        <v>0</v>
      </c>
      <c r="J227" t="n">
        <v>1</v>
      </c>
      <c r="K227" t="n">
        <v>0</v>
      </c>
      <c r="L227" t="n">
        <v>0</v>
      </c>
      <c r="M227" t="n">
        <v>0</v>
      </c>
      <c r="N227" t="n">
        <v>0</v>
      </c>
      <c r="O227" t="n">
        <v>1</v>
      </c>
      <c r="P227" t="n">
        <v>0</v>
      </c>
      <c r="Q227" t="n">
        <v>1</v>
      </c>
      <c r="R227" s="2" t="inlineStr">
        <is>
          <t>Ullticka</t>
        </is>
      </c>
      <c r="S227">
        <f>HYPERLINK("https://klasma.github.io/Logging_2260/artfynd/A 58534-2025 artfynd.xlsx", "A 58534-2025")</f>
        <v/>
      </c>
      <c r="T227">
        <f>HYPERLINK("https://klasma.github.io/Logging_2260/kartor/A 58534-2025 karta.png", "A 58534-2025")</f>
        <v/>
      </c>
      <c r="V227">
        <f>HYPERLINK("https://klasma.github.io/Logging_2260/klagomål/A 58534-2025 FSC-klagomål.docx", "A 58534-2025")</f>
        <v/>
      </c>
      <c r="W227">
        <f>HYPERLINK("https://klasma.github.io/Logging_2260/klagomålsmail/A 58534-2025 FSC-klagomål mail.docx", "A 58534-2025")</f>
        <v/>
      </c>
      <c r="X227">
        <f>HYPERLINK("https://klasma.github.io/Logging_2260/tillsyn/A 58534-2025 tillsynsbegäran.docx", "A 58534-2025")</f>
        <v/>
      </c>
      <c r="Y227">
        <f>HYPERLINK("https://klasma.github.io/Logging_2260/tillsynsmail/A 58534-2025 tillsynsbegäran mail.docx", "A 58534-2025")</f>
        <v/>
      </c>
    </row>
    <row r="228" ht="15" customHeight="1">
      <c r="A228" t="inlineStr">
        <is>
          <t>A 40214-2024</t>
        </is>
      </c>
      <c r="B228" s="1" t="n">
        <v>45554.59460648148</v>
      </c>
      <c r="C228" s="1" t="n">
        <v>46178</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61076-2025</t>
        </is>
      </c>
      <c r="B229" s="1" t="n">
        <v>46000.39689814814</v>
      </c>
      <c r="C229" s="1" t="n">
        <v>46178</v>
      </c>
      <c r="D229" t="inlineStr">
        <is>
          <t>VÄSTERNORRLANDS LÄN</t>
        </is>
      </c>
      <c r="E229" t="inlineStr">
        <is>
          <t>ÅNGE</t>
        </is>
      </c>
      <c r="F229" t="inlineStr">
        <is>
          <t>Holmen skog AB</t>
        </is>
      </c>
      <c r="G229" t="n">
        <v>2.7</v>
      </c>
      <c r="H229" t="n">
        <v>0</v>
      </c>
      <c r="I229" t="n">
        <v>1</v>
      </c>
      <c r="J229" t="n">
        <v>0</v>
      </c>
      <c r="K229" t="n">
        <v>0</v>
      </c>
      <c r="L229" t="n">
        <v>0</v>
      </c>
      <c r="M229" t="n">
        <v>0</v>
      </c>
      <c r="N229" t="n">
        <v>0</v>
      </c>
      <c r="O229" t="n">
        <v>0</v>
      </c>
      <c r="P229" t="n">
        <v>0</v>
      </c>
      <c r="Q229" t="n">
        <v>1</v>
      </c>
      <c r="R229" s="2" t="inlineStr">
        <is>
          <t>Stor aspticka</t>
        </is>
      </c>
      <c r="S229">
        <f>HYPERLINK("https://klasma.github.io/Logging_2260/artfynd/A 61076-2025 artfynd.xlsx", "A 61076-2025")</f>
        <v/>
      </c>
      <c r="T229">
        <f>HYPERLINK("https://klasma.github.io/Logging_2260/kartor/A 61076-2025 karta.png", "A 61076-2025")</f>
        <v/>
      </c>
      <c r="V229">
        <f>HYPERLINK("https://klasma.github.io/Logging_2260/klagomål/A 61076-2025 FSC-klagomål.docx", "A 61076-2025")</f>
        <v/>
      </c>
      <c r="W229">
        <f>HYPERLINK("https://klasma.github.io/Logging_2260/klagomålsmail/A 61076-2025 FSC-klagomål mail.docx", "A 61076-2025")</f>
        <v/>
      </c>
      <c r="X229">
        <f>HYPERLINK("https://klasma.github.io/Logging_2260/tillsyn/A 61076-2025 tillsynsbegäran.docx", "A 61076-2025")</f>
        <v/>
      </c>
      <c r="Y229">
        <f>HYPERLINK("https://klasma.github.io/Logging_2260/tillsynsmail/A 61076-2025 tillsynsbegäran mail.docx", "A 61076-2025")</f>
        <v/>
      </c>
    </row>
    <row r="230" ht="15" customHeight="1">
      <c r="A230" t="inlineStr">
        <is>
          <t>A 52424-2023</t>
        </is>
      </c>
      <c r="B230" s="1" t="n">
        <v>45217</v>
      </c>
      <c r="C230" s="1" t="n">
        <v>46178</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31544-2024</t>
        </is>
      </c>
      <c r="B231" s="1" t="n">
        <v>45505</v>
      </c>
      <c r="C231" s="1" t="n">
        <v>46178</v>
      </c>
      <c r="D231" t="inlineStr">
        <is>
          <t>VÄSTERNORRLANDS LÄN</t>
        </is>
      </c>
      <c r="E231" t="inlineStr">
        <is>
          <t>ÅNGE</t>
        </is>
      </c>
      <c r="F231" t="inlineStr">
        <is>
          <t>SCA</t>
        </is>
      </c>
      <c r="G231" t="n">
        <v>3.5</v>
      </c>
      <c r="H231" t="n">
        <v>0</v>
      </c>
      <c r="I231" t="n">
        <v>0</v>
      </c>
      <c r="J231" t="n">
        <v>1</v>
      </c>
      <c r="K231" t="n">
        <v>0</v>
      </c>
      <c r="L231" t="n">
        <v>0</v>
      </c>
      <c r="M231" t="n">
        <v>0</v>
      </c>
      <c r="N231" t="n">
        <v>0</v>
      </c>
      <c r="O231" t="n">
        <v>1</v>
      </c>
      <c r="P231" t="n">
        <v>0</v>
      </c>
      <c r="Q231" t="n">
        <v>1</v>
      </c>
      <c r="R231" s="2" t="inlineStr">
        <is>
          <t>Granticka</t>
        </is>
      </c>
      <c r="S231">
        <f>HYPERLINK("https://klasma.github.io/Logging_2260/artfynd/A 31544-2024 artfynd.xlsx", "A 31544-2024")</f>
        <v/>
      </c>
      <c r="T231">
        <f>HYPERLINK("https://klasma.github.io/Logging_2260/kartor/A 31544-2024 karta.png", "A 31544-2024")</f>
        <v/>
      </c>
      <c r="V231">
        <f>HYPERLINK("https://klasma.github.io/Logging_2260/klagomål/A 31544-2024 FSC-klagomål.docx", "A 31544-2024")</f>
        <v/>
      </c>
      <c r="W231">
        <f>HYPERLINK("https://klasma.github.io/Logging_2260/klagomålsmail/A 31544-2024 FSC-klagomål mail.docx", "A 31544-2024")</f>
        <v/>
      </c>
      <c r="X231">
        <f>HYPERLINK("https://klasma.github.io/Logging_2260/tillsyn/A 31544-2024 tillsynsbegäran.docx", "A 31544-2024")</f>
        <v/>
      </c>
      <c r="Y231">
        <f>HYPERLINK("https://klasma.github.io/Logging_2260/tillsynsmail/A 31544-2024 tillsynsbegäran mail.docx", "A 31544-2024")</f>
        <v/>
      </c>
    </row>
    <row r="232" ht="15" customHeight="1">
      <c r="A232" t="inlineStr">
        <is>
          <t>A 56091-2024</t>
        </is>
      </c>
      <c r="B232" s="1" t="n">
        <v>45624.40678240741</v>
      </c>
      <c r="C232" s="1" t="n">
        <v>46178</v>
      </c>
      <c r="D232" t="inlineStr">
        <is>
          <t>VÄSTERNORRLANDS LÄN</t>
        </is>
      </c>
      <c r="E232" t="inlineStr">
        <is>
          <t>ÅNGE</t>
        </is>
      </c>
      <c r="F232" t="inlineStr">
        <is>
          <t>SCA</t>
        </is>
      </c>
      <c r="G232" t="n">
        <v>2.5</v>
      </c>
      <c r="H232" t="n">
        <v>0</v>
      </c>
      <c r="I232" t="n">
        <v>0</v>
      </c>
      <c r="J232" t="n">
        <v>1</v>
      </c>
      <c r="K232" t="n">
        <v>0</v>
      </c>
      <c r="L232" t="n">
        <v>0</v>
      </c>
      <c r="M232" t="n">
        <v>0</v>
      </c>
      <c r="N232" t="n">
        <v>0</v>
      </c>
      <c r="O232" t="n">
        <v>1</v>
      </c>
      <c r="P232" t="n">
        <v>0</v>
      </c>
      <c r="Q232" t="n">
        <v>1</v>
      </c>
      <c r="R232" s="2" t="inlineStr">
        <is>
          <t>Mörk kolflarnlav</t>
        </is>
      </c>
      <c r="S232">
        <f>HYPERLINK("https://klasma.github.io/Logging_2260/artfynd/A 56091-2024 artfynd.xlsx", "A 56091-2024")</f>
        <v/>
      </c>
      <c r="T232">
        <f>HYPERLINK("https://klasma.github.io/Logging_2260/kartor/A 56091-2024 karta.png", "A 56091-2024")</f>
        <v/>
      </c>
      <c r="V232">
        <f>HYPERLINK("https://klasma.github.io/Logging_2260/klagomål/A 56091-2024 FSC-klagomål.docx", "A 56091-2024")</f>
        <v/>
      </c>
      <c r="W232">
        <f>HYPERLINK("https://klasma.github.io/Logging_2260/klagomålsmail/A 56091-2024 FSC-klagomål mail.docx", "A 56091-2024")</f>
        <v/>
      </c>
      <c r="X232">
        <f>HYPERLINK("https://klasma.github.io/Logging_2260/tillsyn/A 56091-2024 tillsynsbegäran.docx", "A 56091-2024")</f>
        <v/>
      </c>
      <c r="Y232">
        <f>HYPERLINK("https://klasma.github.io/Logging_2260/tillsynsmail/A 56091-2024 tillsynsbegäran mail.docx", "A 56091-2024")</f>
        <v/>
      </c>
    </row>
    <row r="233" ht="15" customHeight="1">
      <c r="A233" t="inlineStr">
        <is>
          <t>A 13934-2024</t>
        </is>
      </c>
      <c r="B233" s="1" t="n">
        <v>45391</v>
      </c>
      <c r="C233" s="1" t="n">
        <v>46178</v>
      </c>
      <c r="D233" t="inlineStr">
        <is>
          <t>VÄSTERNORRLANDS LÄN</t>
        </is>
      </c>
      <c r="E233" t="inlineStr">
        <is>
          <t>ÅNGE</t>
        </is>
      </c>
      <c r="F233" t="inlineStr">
        <is>
          <t>SCA</t>
        </is>
      </c>
      <c r="G233" t="n">
        <v>5.8</v>
      </c>
      <c r="H233" t="n">
        <v>0</v>
      </c>
      <c r="I233" t="n">
        <v>0</v>
      </c>
      <c r="J233" t="n">
        <v>1</v>
      </c>
      <c r="K233" t="n">
        <v>0</v>
      </c>
      <c r="L233" t="n">
        <v>0</v>
      </c>
      <c r="M233" t="n">
        <v>0</v>
      </c>
      <c r="N233" t="n">
        <v>0</v>
      </c>
      <c r="O233" t="n">
        <v>1</v>
      </c>
      <c r="P233" t="n">
        <v>0</v>
      </c>
      <c r="Q233" t="n">
        <v>1</v>
      </c>
      <c r="R233" s="2" t="inlineStr">
        <is>
          <t>Ullticka</t>
        </is>
      </c>
      <c r="S233">
        <f>HYPERLINK("https://klasma.github.io/Logging_2260/artfynd/A 13934-2024 artfynd.xlsx", "A 13934-2024")</f>
        <v/>
      </c>
      <c r="T233">
        <f>HYPERLINK("https://klasma.github.io/Logging_2260/kartor/A 13934-2024 karta.png", "A 13934-2024")</f>
        <v/>
      </c>
      <c r="V233">
        <f>HYPERLINK("https://klasma.github.io/Logging_2260/klagomål/A 13934-2024 FSC-klagomål.docx", "A 13934-2024")</f>
        <v/>
      </c>
      <c r="W233">
        <f>HYPERLINK("https://klasma.github.io/Logging_2260/klagomålsmail/A 13934-2024 FSC-klagomål mail.docx", "A 13934-2024")</f>
        <v/>
      </c>
      <c r="X233">
        <f>HYPERLINK("https://klasma.github.io/Logging_2260/tillsyn/A 13934-2024 tillsynsbegäran.docx", "A 13934-2024")</f>
        <v/>
      </c>
      <c r="Y233">
        <f>HYPERLINK("https://klasma.github.io/Logging_2260/tillsynsmail/A 13934-2024 tillsynsbegäran mail.docx", "A 13934-2024")</f>
        <v/>
      </c>
    </row>
    <row r="234" ht="15" customHeight="1">
      <c r="A234" t="inlineStr">
        <is>
          <t>A 43171-2024</t>
        </is>
      </c>
      <c r="B234" s="1" t="n">
        <v>45567</v>
      </c>
      <c r="C234" s="1" t="n">
        <v>46178</v>
      </c>
      <c r="D234" t="inlineStr">
        <is>
          <t>VÄSTERNORRLANDS LÄN</t>
        </is>
      </c>
      <c r="E234" t="inlineStr">
        <is>
          <t>ÅNGE</t>
        </is>
      </c>
      <c r="F234" t="inlineStr">
        <is>
          <t>SCA</t>
        </is>
      </c>
      <c r="G234" t="n">
        <v>3.4</v>
      </c>
      <c r="H234" t="n">
        <v>0</v>
      </c>
      <c r="I234" t="n">
        <v>0</v>
      </c>
      <c r="J234" t="n">
        <v>1</v>
      </c>
      <c r="K234" t="n">
        <v>0</v>
      </c>
      <c r="L234" t="n">
        <v>0</v>
      </c>
      <c r="M234" t="n">
        <v>0</v>
      </c>
      <c r="N234" t="n">
        <v>0</v>
      </c>
      <c r="O234" t="n">
        <v>1</v>
      </c>
      <c r="P234" t="n">
        <v>0</v>
      </c>
      <c r="Q234" t="n">
        <v>1</v>
      </c>
      <c r="R234" s="2" t="inlineStr">
        <is>
          <t>Rosenticka</t>
        </is>
      </c>
      <c r="S234">
        <f>HYPERLINK("https://klasma.github.io/Logging_2260/artfynd/A 43171-2024 artfynd.xlsx", "A 43171-2024")</f>
        <v/>
      </c>
      <c r="T234">
        <f>HYPERLINK("https://klasma.github.io/Logging_2260/kartor/A 43171-2024 karta.png", "A 43171-2024")</f>
        <v/>
      </c>
      <c r="V234">
        <f>HYPERLINK("https://klasma.github.io/Logging_2260/klagomål/A 43171-2024 FSC-klagomål.docx", "A 43171-2024")</f>
        <v/>
      </c>
      <c r="W234">
        <f>HYPERLINK("https://klasma.github.io/Logging_2260/klagomålsmail/A 43171-2024 FSC-klagomål mail.docx", "A 43171-2024")</f>
        <v/>
      </c>
      <c r="X234">
        <f>HYPERLINK("https://klasma.github.io/Logging_2260/tillsyn/A 43171-2024 tillsynsbegäran.docx", "A 43171-2024")</f>
        <v/>
      </c>
      <c r="Y234">
        <f>HYPERLINK("https://klasma.github.io/Logging_2260/tillsynsmail/A 43171-2024 tillsynsbegäran mail.docx", "A 43171-2024")</f>
        <v/>
      </c>
    </row>
    <row r="235" ht="15" customHeight="1">
      <c r="A235" t="inlineStr">
        <is>
          <t>A 55015-2023</t>
        </is>
      </c>
      <c r="B235" s="1" t="n">
        <v>45237.32185185186</v>
      </c>
      <c r="C235" s="1" t="n">
        <v>46178</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41493-2021</t>
        </is>
      </c>
      <c r="B236" s="1" t="n">
        <v>44424</v>
      </c>
      <c r="C236" s="1" t="n">
        <v>46178</v>
      </c>
      <c r="D236" t="inlineStr">
        <is>
          <t>VÄSTERNORRLANDS LÄN</t>
        </is>
      </c>
      <c r="E236" t="inlineStr">
        <is>
          <t>ÅNGE</t>
        </is>
      </c>
      <c r="F236" t="inlineStr">
        <is>
          <t>SCA</t>
        </is>
      </c>
      <c r="G236" t="n">
        <v>8</v>
      </c>
      <c r="H236" t="n">
        <v>1</v>
      </c>
      <c r="I236" t="n">
        <v>0</v>
      </c>
      <c r="J236" t="n">
        <v>0</v>
      </c>
      <c r="K236" t="n">
        <v>1</v>
      </c>
      <c r="L236" t="n">
        <v>0</v>
      </c>
      <c r="M236" t="n">
        <v>0</v>
      </c>
      <c r="N236" t="n">
        <v>0</v>
      </c>
      <c r="O236" t="n">
        <v>1</v>
      </c>
      <c r="P236" t="n">
        <v>1</v>
      </c>
      <c r="Q236" t="n">
        <v>1</v>
      </c>
      <c r="R236" s="2" t="inlineStr">
        <is>
          <t>Knärot</t>
        </is>
      </c>
      <c r="S236">
        <f>HYPERLINK("https://klasma.github.io/Logging_2260/artfynd/A 41493-2021 artfynd.xlsx", "A 41493-2021")</f>
        <v/>
      </c>
      <c r="T236">
        <f>HYPERLINK("https://klasma.github.io/Logging_2260/kartor/A 41493-2021 karta.png", "A 41493-2021")</f>
        <v/>
      </c>
      <c r="U236">
        <f>HYPERLINK("https://klasma.github.io/Logging_2260/knärot/A 41493-2021 karta knärot.png", "A 41493-2021")</f>
        <v/>
      </c>
      <c r="V236">
        <f>HYPERLINK("https://klasma.github.io/Logging_2260/klagomål/A 41493-2021 FSC-klagomål.docx", "A 41493-2021")</f>
        <v/>
      </c>
      <c r="W236">
        <f>HYPERLINK("https://klasma.github.io/Logging_2260/klagomålsmail/A 41493-2021 FSC-klagomål mail.docx", "A 41493-2021")</f>
        <v/>
      </c>
      <c r="X236">
        <f>HYPERLINK("https://klasma.github.io/Logging_2260/tillsyn/A 41493-2021 tillsynsbegäran.docx", "A 41493-2021")</f>
        <v/>
      </c>
      <c r="Y236">
        <f>HYPERLINK("https://klasma.github.io/Logging_2260/tillsynsmail/A 41493-2021 tillsynsbegäran mail.docx", "A 41493-2021")</f>
        <v/>
      </c>
    </row>
    <row r="237" ht="15" customHeight="1">
      <c r="A237" t="inlineStr">
        <is>
          <t>A 31510-2024</t>
        </is>
      </c>
      <c r="B237" s="1" t="n">
        <v>45505</v>
      </c>
      <c r="C237" s="1" t="n">
        <v>46178</v>
      </c>
      <c r="D237" t="inlineStr">
        <is>
          <t>VÄSTERNORRLANDS LÄN</t>
        </is>
      </c>
      <c r="E237" t="inlineStr">
        <is>
          <t>ÅNGE</t>
        </is>
      </c>
      <c r="F237" t="inlineStr">
        <is>
          <t>SCA</t>
        </is>
      </c>
      <c r="G237" t="n">
        <v>6</v>
      </c>
      <c r="H237" t="n">
        <v>1</v>
      </c>
      <c r="I237" t="n">
        <v>0</v>
      </c>
      <c r="J237" t="n">
        <v>0</v>
      </c>
      <c r="K237" t="n">
        <v>1</v>
      </c>
      <c r="L237" t="n">
        <v>0</v>
      </c>
      <c r="M237" t="n">
        <v>0</v>
      </c>
      <c r="N237" t="n">
        <v>0</v>
      </c>
      <c r="O237" t="n">
        <v>1</v>
      </c>
      <c r="P237" t="n">
        <v>1</v>
      </c>
      <c r="Q237" t="n">
        <v>1</v>
      </c>
      <c r="R237" s="2" t="inlineStr">
        <is>
          <t>Doftticka</t>
        </is>
      </c>
      <c r="S237">
        <f>HYPERLINK("https://klasma.github.io/Logging_2260/artfynd/A 31510-2024 artfynd.xlsx", "A 31510-2024")</f>
        <v/>
      </c>
      <c r="T237">
        <f>HYPERLINK("https://klasma.github.io/Logging_2260/kartor/A 31510-2024 karta.png", "A 31510-2024")</f>
        <v/>
      </c>
      <c r="V237">
        <f>HYPERLINK("https://klasma.github.io/Logging_2260/klagomål/A 31510-2024 FSC-klagomål.docx", "A 31510-2024")</f>
        <v/>
      </c>
      <c r="W237">
        <f>HYPERLINK("https://klasma.github.io/Logging_2260/klagomålsmail/A 31510-2024 FSC-klagomål mail.docx", "A 31510-2024")</f>
        <v/>
      </c>
      <c r="X237">
        <f>HYPERLINK("https://klasma.github.io/Logging_2260/tillsyn/A 31510-2024 tillsynsbegäran.docx", "A 31510-2024")</f>
        <v/>
      </c>
      <c r="Y237">
        <f>HYPERLINK("https://klasma.github.io/Logging_2260/tillsynsmail/A 31510-2024 tillsynsbegäran mail.docx", "A 31510-2024")</f>
        <v/>
      </c>
    </row>
    <row r="238" ht="15" customHeight="1">
      <c r="A238" t="inlineStr">
        <is>
          <t>A 37914-2024</t>
        </is>
      </c>
      <c r="B238" s="1" t="n">
        <v>45544</v>
      </c>
      <c r="C238" s="1" t="n">
        <v>46178</v>
      </c>
      <c r="D238" t="inlineStr">
        <is>
          <t>VÄSTERNORRLANDS LÄN</t>
        </is>
      </c>
      <c r="E238" t="inlineStr">
        <is>
          <t>ÅNGE</t>
        </is>
      </c>
      <c r="F238" t="inlineStr">
        <is>
          <t>SCA</t>
        </is>
      </c>
      <c r="G238" t="n">
        <v>9</v>
      </c>
      <c r="H238" t="n">
        <v>0</v>
      </c>
      <c r="I238" t="n">
        <v>0</v>
      </c>
      <c r="J238" t="n">
        <v>1</v>
      </c>
      <c r="K238" t="n">
        <v>0</v>
      </c>
      <c r="L238" t="n">
        <v>0</v>
      </c>
      <c r="M238" t="n">
        <v>0</v>
      </c>
      <c r="N238" t="n">
        <v>0</v>
      </c>
      <c r="O238" t="n">
        <v>1</v>
      </c>
      <c r="P238" t="n">
        <v>0</v>
      </c>
      <c r="Q238" t="n">
        <v>1</v>
      </c>
      <c r="R238" s="2" t="inlineStr">
        <is>
          <t>Granticka</t>
        </is>
      </c>
      <c r="S238">
        <f>HYPERLINK("https://klasma.github.io/Logging_2260/artfynd/A 37914-2024 artfynd.xlsx", "A 37914-2024")</f>
        <v/>
      </c>
      <c r="T238">
        <f>HYPERLINK("https://klasma.github.io/Logging_2260/kartor/A 37914-2024 karta.png", "A 37914-2024")</f>
        <v/>
      </c>
      <c r="V238">
        <f>HYPERLINK("https://klasma.github.io/Logging_2260/klagomål/A 37914-2024 FSC-klagomål.docx", "A 37914-2024")</f>
        <v/>
      </c>
      <c r="W238">
        <f>HYPERLINK("https://klasma.github.io/Logging_2260/klagomålsmail/A 37914-2024 FSC-klagomål mail.docx", "A 37914-2024")</f>
        <v/>
      </c>
      <c r="X238">
        <f>HYPERLINK("https://klasma.github.io/Logging_2260/tillsyn/A 37914-2024 tillsynsbegäran.docx", "A 37914-2024")</f>
        <v/>
      </c>
      <c r="Y238">
        <f>HYPERLINK("https://klasma.github.io/Logging_2260/tillsynsmail/A 37914-2024 tillsynsbegäran mail.docx", "A 37914-2024")</f>
        <v/>
      </c>
    </row>
    <row r="239" ht="15" customHeight="1">
      <c r="A239" t="inlineStr">
        <is>
          <t>A 54751-2021</t>
        </is>
      </c>
      <c r="B239" s="1" t="n">
        <v>44473</v>
      </c>
      <c r="C239" s="1" t="n">
        <v>46178</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39180-2024</t>
        </is>
      </c>
      <c r="B240" s="1" t="n">
        <v>45548.6571412037</v>
      </c>
      <c r="C240" s="1" t="n">
        <v>46178</v>
      </c>
      <c r="D240" t="inlineStr">
        <is>
          <t>VÄSTERNORRLANDS LÄN</t>
        </is>
      </c>
      <c r="E240" t="inlineStr">
        <is>
          <t>ÅNGE</t>
        </is>
      </c>
      <c r="F240" t="inlineStr">
        <is>
          <t>SCA</t>
        </is>
      </c>
      <c r="G240" t="n">
        <v>8.699999999999999</v>
      </c>
      <c r="H240" t="n">
        <v>0</v>
      </c>
      <c r="I240" t="n">
        <v>0</v>
      </c>
      <c r="J240" t="n">
        <v>1</v>
      </c>
      <c r="K240" t="n">
        <v>0</v>
      </c>
      <c r="L240" t="n">
        <v>0</v>
      </c>
      <c r="M240" t="n">
        <v>0</v>
      </c>
      <c r="N240" t="n">
        <v>0</v>
      </c>
      <c r="O240" t="n">
        <v>1</v>
      </c>
      <c r="P240" t="n">
        <v>0</v>
      </c>
      <c r="Q240" t="n">
        <v>1</v>
      </c>
      <c r="R240" s="2" t="inlineStr">
        <is>
          <t>Lunglav</t>
        </is>
      </c>
      <c r="S240">
        <f>HYPERLINK("https://klasma.github.io/Logging_2260/artfynd/A 39180-2024 artfynd.xlsx", "A 39180-2024")</f>
        <v/>
      </c>
      <c r="T240">
        <f>HYPERLINK("https://klasma.github.io/Logging_2260/kartor/A 39180-2024 karta.png", "A 39180-2024")</f>
        <v/>
      </c>
      <c r="V240">
        <f>HYPERLINK("https://klasma.github.io/Logging_2260/klagomål/A 39180-2024 FSC-klagomål.docx", "A 39180-2024")</f>
        <v/>
      </c>
      <c r="W240">
        <f>HYPERLINK("https://klasma.github.io/Logging_2260/klagomålsmail/A 39180-2024 FSC-klagomål mail.docx", "A 39180-2024")</f>
        <v/>
      </c>
      <c r="X240">
        <f>HYPERLINK("https://klasma.github.io/Logging_2260/tillsyn/A 39180-2024 tillsynsbegäran.docx", "A 39180-2024")</f>
        <v/>
      </c>
      <c r="Y240">
        <f>HYPERLINK("https://klasma.github.io/Logging_2260/tillsynsmail/A 39180-2024 tillsynsbegäran mail.docx", "A 39180-2024")</f>
        <v/>
      </c>
    </row>
    <row r="241" ht="15" customHeight="1">
      <c r="A241" t="inlineStr">
        <is>
          <t>A 23490-2025</t>
        </is>
      </c>
      <c r="B241" s="1" t="n">
        <v>45792.46907407408</v>
      </c>
      <c r="C241" s="1" t="n">
        <v>46178</v>
      </c>
      <c r="D241" t="inlineStr">
        <is>
          <t>VÄSTERNORRLANDS LÄN</t>
        </is>
      </c>
      <c r="E241" t="inlineStr">
        <is>
          <t>ÅNGE</t>
        </is>
      </c>
      <c r="F241" t="inlineStr">
        <is>
          <t>SCA</t>
        </is>
      </c>
      <c r="G241" t="n">
        <v>3.3</v>
      </c>
      <c r="H241" t="n">
        <v>0</v>
      </c>
      <c r="I241" t="n">
        <v>0</v>
      </c>
      <c r="J241" t="n">
        <v>1</v>
      </c>
      <c r="K241" t="n">
        <v>0</v>
      </c>
      <c r="L241" t="n">
        <v>0</v>
      </c>
      <c r="M241" t="n">
        <v>0</v>
      </c>
      <c r="N241" t="n">
        <v>0</v>
      </c>
      <c r="O241" t="n">
        <v>1</v>
      </c>
      <c r="P241" t="n">
        <v>0</v>
      </c>
      <c r="Q241" t="n">
        <v>1</v>
      </c>
      <c r="R241" s="2" t="inlineStr">
        <is>
          <t>Garnlav</t>
        </is>
      </c>
      <c r="S241">
        <f>HYPERLINK("https://klasma.github.io/Logging_2260/artfynd/A 23490-2025 artfynd.xlsx", "A 23490-2025")</f>
        <v/>
      </c>
      <c r="T241">
        <f>HYPERLINK("https://klasma.github.io/Logging_2260/kartor/A 23490-2025 karta.png", "A 23490-2025")</f>
        <v/>
      </c>
      <c r="V241">
        <f>HYPERLINK("https://klasma.github.io/Logging_2260/klagomål/A 23490-2025 FSC-klagomål.docx", "A 23490-2025")</f>
        <v/>
      </c>
      <c r="W241">
        <f>HYPERLINK("https://klasma.github.io/Logging_2260/klagomålsmail/A 23490-2025 FSC-klagomål mail.docx", "A 23490-2025")</f>
        <v/>
      </c>
      <c r="X241">
        <f>HYPERLINK("https://klasma.github.io/Logging_2260/tillsyn/A 23490-2025 tillsynsbegäran.docx", "A 23490-2025")</f>
        <v/>
      </c>
      <c r="Y241">
        <f>HYPERLINK("https://klasma.github.io/Logging_2260/tillsynsmail/A 23490-2025 tillsynsbegäran mail.docx", "A 23490-2025")</f>
        <v/>
      </c>
    </row>
    <row r="242" ht="15" customHeight="1">
      <c r="A242" t="inlineStr">
        <is>
          <t>A 37624-2021</t>
        </is>
      </c>
      <c r="B242" s="1" t="n">
        <v>44399</v>
      </c>
      <c r="C242" s="1" t="n">
        <v>46178</v>
      </c>
      <c r="D242" t="inlineStr">
        <is>
          <t>VÄSTERNORRLANDS LÄN</t>
        </is>
      </c>
      <c r="E242" t="inlineStr">
        <is>
          <t>ÅNGE</t>
        </is>
      </c>
      <c r="G242" t="n">
        <v>4.1</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46178</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5381-2022</t>
        </is>
      </c>
      <c r="B244" s="1" t="n">
        <v>44594.9337037037</v>
      </c>
      <c r="C244" s="1" t="n">
        <v>46178</v>
      </c>
      <c r="D244" t="inlineStr">
        <is>
          <t>VÄSTERNORRLANDS LÄN</t>
        </is>
      </c>
      <c r="E244" t="inlineStr">
        <is>
          <t>ÅNGE</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14433-2022</t>
        </is>
      </c>
      <c r="B245" s="1" t="n">
        <v>44652</v>
      </c>
      <c r="C245" s="1" t="n">
        <v>46178</v>
      </c>
      <c r="D245" t="inlineStr">
        <is>
          <t>VÄSTERNORRLANDS LÄN</t>
        </is>
      </c>
      <c r="E245" t="inlineStr">
        <is>
          <t>ÅNGE</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46178</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46178</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46178</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46178</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46178</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71396-2021</t>
        </is>
      </c>
      <c r="B251" s="1" t="n">
        <v>44540.35644675926</v>
      </c>
      <c r="C251" s="1" t="n">
        <v>46178</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66265-2021</t>
        </is>
      </c>
      <c r="B252" s="1" t="n">
        <v>44518.45263888889</v>
      </c>
      <c r="C252" s="1" t="n">
        <v>46178</v>
      </c>
      <c r="D252" t="inlineStr">
        <is>
          <t>VÄSTERNORRLANDS LÄN</t>
        </is>
      </c>
      <c r="E252" t="inlineStr">
        <is>
          <t>ÅNGE</t>
        </is>
      </c>
      <c r="G252" t="n">
        <v>6</v>
      </c>
      <c r="H252" t="n">
        <v>0</v>
      </c>
      <c r="I252" t="n">
        <v>0</v>
      </c>
      <c r="J252" t="n">
        <v>0</v>
      </c>
      <c r="K252" t="n">
        <v>0</v>
      </c>
      <c r="L252" t="n">
        <v>0</v>
      </c>
      <c r="M252" t="n">
        <v>0</v>
      </c>
      <c r="N252" t="n">
        <v>0</v>
      </c>
      <c r="O252" t="n">
        <v>0</v>
      </c>
      <c r="P252" t="n">
        <v>0</v>
      </c>
      <c r="Q252" t="n">
        <v>0</v>
      </c>
      <c r="R252" s="2" t="inlineStr"/>
    </row>
    <row r="253" ht="15" customHeight="1">
      <c r="A253" t="inlineStr">
        <is>
          <t>A 71669-2021</t>
        </is>
      </c>
      <c r="B253" s="1" t="n">
        <v>44538</v>
      </c>
      <c r="C253" s="1" t="n">
        <v>46178</v>
      </c>
      <c r="D253" t="inlineStr">
        <is>
          <t>VÄSTERNORRLANDS LÄN</t>
        </is>
      </c>
      <c r="E253" t="inlineStr">
        <is>
          <t>ÅNGE</t>
        </is>
      </c>
      <c r="G253" t="n">
        <v>2.1</v>
      </c>
      <c r="H253" t="n">
        <v>0</v>
      </c>
      <c r="I253" t="n">
        <v>0</v>
      </c>
      <c r="J253" t="n">
        <v>0</v>
      </c>
      <c r="K253" t="n">
        <v>0</v>
      </c>
      <c r="L253" t="n">
        <v>0</v>
      </c>
      <c r="M253" t="n">
        <v>0</v>
      </c>
      <c r="N253" t="n">
        <v>0</v>
      </c>
      <c r="O253" t="n">
        <v>0</v>
      </c>
      <c r="P253" t="n">
        <v>0</v>
      </c>
      <c r="Q253" t="n">
        <v>0</v>
      </c>
      <c r="R253" s="2" t="inlineStr"/>
    </row>
    <row r="254" ht="15" customHeight="1">
      <c r="A254" t="inlineStr">
        <is>
          <t>A 46350-2022</t>
        </is>
      </c>
      <c r="B254" s="1" t="n">
        <v>44847.95120370371</v>
      </c>
      <c r="C254" s="1" t="n">
        <v>46178</v>
      </c>
      <c r="D254" t="inlineStr">
        <is>
          <t>VÄSTERNORRLANDS LÄN</t>
        </is>
      </c>
      <c r="E254" t="inlineStr">
        <is>
          <t>ÅNGE</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53969-2021</t>
        </is>
      </c>
      <c r="B255" s="1" t="n">
        <v>44469</v>
      </c>
      <c r="C255" s="1" t="n">
        <v>46178</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35359-2021</t>
        </is>
      </c>
      <c r="B256" s="1" t="n">
        <v>44384.93608796296</v>
      </c>
      <c r="C256" s="1" t="n">
        <v>46178</v>
      </c>
      <c r="D256" t="inlineStr">
        <is>
          <t>VÄSTERNORRLANDS LÄN</t>
        </is>
      </c>
      <c r="E256" t="inlineStr">
        <is>
          <t>ÅNGE</t>
        </is>
      </c>
      <c r="F256" t="inlineStr">
        <is>
          <t>SCA</t>
        </is>
      </c>
      <c r="G256" t="n">
        <v>10.1</v>
      </c>
      <c r="H256" t="n">
        <v>0</v>
      </c>
      <c r="I256" t="n">
        <v>0</v>
      </c>
      <c r="J256" t="n">
        <v>0</v>
      </c>
      <c r="K256" t="n">
        <v>0</v>
      </c>
      <c r="L256" t="n">
        <v>0</v>
      </c>
      <c r="M256" t="n">
        <v>0</v>
      </c>
      <c r="N256" t="n">
        <v>0</v>
      </c>
      <c r="O256" t="n">
        <v>0</v>
      </c>
      <c r="P256" t="n">
        <v>0</v>
      </c>
      <c r="Q256" t="n">
        <v>0</v>
      </c>
      <c r="R256" s="2" t="inlineStr"/>
    </row>
    <row r="257" ht="15" customHeight="1">
      <c r="A257" t="inlineStr">
        <is>
          <t>A 31191-2021</t>
        </is>
      </c>
      <c r="B257" s="1" t="n">
        <v>44368</v>
      </c>
      <c r="C257" s="1" t="n">
        <v>46178</v>
      </c>
      <c r="D257" t="inlineStr">
        <is>
          <t>VÄSTERNORRLANDS LÄN</t>
        </is>
      </c>
      <c r="E257" t="inlineStr">
        <is>
          <t>ÅNGE</t>
        </is>
      </c>
      <c r="F257" t="inlineStr">
        <is>
          <t>Sveaskog</t>
        </is>
      </c>
      <c r="G257" t="n">
        <v>21.6</v>
      </c>
      <c r="H257" t="n">
        <v>0</v>
      </c>
      <c r="I257" t="n">
        <v>0</v>
      </c>
      <c r="J257" t="n">
        <v>0</v>
      </c>
      <c r="K257" t="n">
        <v>0</v>
      </c>
      <c r="L257" t="n">
        <v>0</v>
      </c>
      <c r="M257" t="n">
        <v>0</v>
      </c>
      <c r="N257" t="n">
        <v>0</v>
      </c>
      <c r="O257" t="n">
        <v>0</v>
      </c>
      <c r="P257" t="n">
        <v>0</v>
      </c>
      <c r="Q257" t="n">
        <v>0</v>
      </c>
      <c r="R257" s="2" t="inlineStr"/>
    </row>
    <row r="258" ht="15" customHeight="1">
      <c r="A258" t="inlineStr">
        <is>
          <t>A 63609-2021</t>
        </is>
      </c>
      <c r="B258" s="1" t="n">
        <v>44508.94660879629</v>
      </c>
      <c r="C258" s="1" t="n">
        <v>46178</v>
      </c>
      <c r="D258" t="inlineStr">
        <is>
          <t>VÄSTERNORRLANDS LÄN</t>
        </is>
      </c>
      <c r="E258" t="inlineStr">
        <is>
          <t>ÅNGE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7158-2022</t>
        </is>
      </c>
      <c r="B259" s="1" t="n">
        <v>44603.96534722222</v>
      </c>
      <c r="C259" s="1" t="n">
        <v>46178</v>
      </c>
      <c r="D259" t="inlineStr">
        <is>
          <t>VÄSTERNORRLANDS LÄN</t>
        </is>
      </c>
      <c r="E259" t="inlineStr">
        <is>
          <t>ÅNGE</t>
        </is>
      </c>
      <c r="G259" t="n">
        <v>0.4</v>
      </c>
      <c r="H259" t="n">
        <v>0</v>
      </c>
      <c r="I259" t="n">
        <v>0</v>
      </c>
      <c r="J259" t="n">
        <v>0</v>
      </c>
      <c r="K259" t="n">
        <v>0</v>
      </c>
      <c r="L259" t="n">
        <v>0</v>
      </c>
      <c r="M259" t="n">
        <v>0</v>
      </c>
      <c r="N259" t="n">
        <v>0</v>
      </c>
      <c r="O259" t="n">
        <v>0</v>
      </c>
      <c r="P259" t="n">
        <v>0</v>
      </c>
      <c r="Q259" t="n">
        <v>0</v>
      </c>
      <c r="R259" s="2" t="inlineStr"/>
    </row>
    <row r="260" ht="15" customHeight="1">
      <c r="A260" t="inlineStr">
        <is>
          <t>A 52705-2021</t>
        </is>
      </c>
      <c r="B260" s="1" t="n">
        <v>44466</v>
      </c>
      <c r="C260" s="1" t="n">
        <v>46178</v>
      </c>
      <c r="D260" t="inlineStr">
        <is>
          <t>VÄSTERNORRLANDS LÄN</t>
        </is>
      </c>
      <c r="E260" t="inlineStr">
        <is>
          <t>ÅNGE</t>
        </is>
      </c>
      <c r="G260" t="n">
        <v>0.5</v>
      </c>
      <c r="H260" t="n">
        <v>0</v>
      </c>
      <c r="I260" t="n">
        <v>0</v>
      </c>
      <c r="J260" t="n">
        <v>0</v>
      </c>
      <c r="K260" t="n">
        <v>0</v>
      </c>
      <c r="L260" t="n">
        <v>0</v>
      </c>
      <c r="M260" t="n">
        <v>0</v>
      </c>
      <c r="N260" t="n">
        <v>0</v>
      </c>
      <c r="O260" t="n">
        <v>0</v>
      </c>
      <c r="P260" t="n">
        <v>0</v>
      </c>
      <c r="Q260" t="n">
        <v>0</v>
      </c>
      <c r="R260" s="2" t="inlineStr"/>
    </row>
    <row r="261" ht="15" customHeight="1">
      <c r="A261" t="inlineStr">
        <is>
          <t>A 52726-2021</t>
        </is>
      </c>
      <c r="B261" s="1" t="n">
        <v>44466</v>
      </c>
      <c r="C261" s="1" t="n">
        <v>46178</v>
      </c>
      <c r="D261" t="inlineStr">
        <is>
          <t>VÄSTERNORRLANDS LÄN</t>
        </is>
      </c>
      <c r="E261" t="inlineStr">
        <is>
          <t>ÅNGE</t>
        </is>
      </c>
      <c r="F261" t="inlineStr">
        <is>
          <t>SCA</t>
        </is>
      </c>
      <c r="G261" t="n">
        <v>9.5</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46178</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46178</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7649-2022</t>
        </is>
      </c>
      <c r="B264" s="1" t="n">
        <v>44607</v>
      </c>
      <c r="C264" s="1" t="n">
        <v>46178</v>
      </c>
      <c r="D264" t="inlineStr">
        <is>
          <t>VÄSTERNORRLANDS LÄN</t>
        </is>
      </c>
      <c r="E264" t="inlineStr">
        <is>
          <t>ÅNGE</t>
        </is>
      </c>
      <c r="G264" t="n">
        <v>1.9</v>
      </c>
      <c r="H264" t="n">
        <v>0</v>
      </c>
      <c r="I264" t="n">
        <v>0</v>
      </c>
      <c r="J264" t="n">
        <v>0</v>
      </c>
      <c r="K264" t="n">
        <v>0</v>
      </c>
      <c r="L264" t="n">
        <v>0</v>
      </c>
      <c r="M264" t="n">
        <v>0</v>
      </c>
      <c r="N264" t="n">
        <v>0</v>
      </c>
      <c r="O264" t="n">
        <v>0</v>
      </c>
      <c r="P264" t="n">
        <v>0</v>
      </c>
      <c r="Q264" t="n">
        <v>0</v>
      </c>
      <c r="R264" s="2" t="inlineStr"/>
    </row>
    <row r="265" ht="15" customHeight="1">
      <c r="A265" t="inlineStr">
        <is>
          <t>A 47282-2022</t>
        </is>
      </c>
      <c r="B265" s="1" t="n">
        <v>44852.95091435185</v>
      </c>
      <c r="C265" s="1" t="n">
        <v>46178</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70809-2021</t>
        </is>
      </c>
      <c r="B266" s="1" t="n">
        <v>44537.91950231481</v>
      </c>
      <c r="C266" s="1" t="n">
        <v>46178</v>
      </c>
      <c r="D266" t="inlineStr">
        <is>
          <t>VÄSTERNORRLANDS LÄN</t>
        </is>
      </c>
      <c r="E266" t="inlineStr">
        <is>
          <t>ÅNGE</t>
        </is>
      </c>
      <c r="G266" t="n">
        <v>2.4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46178</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46178</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46178</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46178</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46178</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46178</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46178</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46178</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46178</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46178</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46178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46178</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46178</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46178</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46178</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46178</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46178</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46178</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46178</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46178</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46178</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46178</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46178</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46178</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46178</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46178</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46178</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46178</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46178</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46178</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46178</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46178</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46178</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46178</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6898-2022</t>
        </is>
      </c>
      <c r="B301" s="1" t="n">
        <v>44602.92141203704</v>
      </c>
      <c r="C301" s="1" t="n">
        <v>46178</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46178</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46178</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57162-2021</t>
        </is>
      </c>
      <c r="B304" s="1" t="n">
        <v>44482</v>
      </c>
      <c r="C304" s="1" t="n">
        <v>46178</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55907-2022</t>
        </is>
      </c>
      <c r="B305" s="1" t="n">
        <v>44888.95457175926</v>
      </c>
      <c r="C305" s="1" t="n">
        <v>46178</v>
      </c>
      <c r="D305" t="inlineStr">
        <is>
          <t>VÄSTERNORRLANDS LÄN</t>
        </is>
      </c>
      <c r="E305" t="inlineStr">
        <is>
          <t>ÅNGE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66560-2021</t>
        </is>
      </c>
      <c r="B306" s="1" t="n">
        <v>44519</v>
      </c>
      <c r="C306" s="1" t="n">
        <v>46178</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31647-2022</t>
        </is>
      </c>
      <c r="B307" s="1" t="n">
        <v>44775.94328703704</v>
      </c>
      <c r="C307" s="1" t="n">
        <v>46178</v>
      </c>
      <c r="D307" t="inlineStr">
        <is>
          <t>VÄSTERNORRLANDS LÄN</t>
        </is>
      </c>
      <c r="E307" t="inlineStr">
        <is>
          <t>ÅNGE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24355-2022</t>
        </is>
      </c>
      <c r="B308" s="1" t="n">
        <v>44726.3816087963</v>
      </c>
      <c r="C308" s="1" t="n">
        <v>46178</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35507-2022</t>
        </is>
      </c>
      <c r="B309" s="1" t="n">
        <v>44798</v>
      </c>
      <c r="C309" s="1" t="n">
        <v>46178</v>
      </c>
      <c r="D309" t="inlineStr">
        <is>
          <t>VÄSTERNORRLANDS LÄN</t>
        </is>
      </c>
      <c r="E309" t="inlineStr">
        <is>
          <t>ÅNGE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10680-2022</t>
        </is>
      </c>
      <c r="B310" s="1" t="n">
        <v>44624</v>
      </c>
      <c r="C310" s="1" t="n">
        <v>46178</v>
      </c>
      <c r="D310" t="inlineStr">
        <is>
          <t>VÄSTERNORRLANDS LÄN</t>
        </is>
      </c>
      <c r="E310" t="inlineStr">
        <is>
          <t>ÅNGE</t>
        </is>
      </c>
      <c r="G310" t="n">
        <v>1</v>
      </c>
      <c r="H310" t="n">
        <v>0</v>
      </c>
      <c r="I310" t="n">
        <v>0</v>
      </c>
      <c r="J310" t="n">
        <v>0</v>
      </c>
      <c r="K310" t="n">
        <v>0</v>
      </c>
      <c r="L310" t="n">
        <v>0</v>
      </c>
      <c r="M310" t="n">
        <v>0</v>
      </c>
      <c r="N310" t="n">
        <v>0</v>
      </c>
      <c r="O310" t="n">
        <v>0</v>
      </c>
      <c r="P310" t="n">
        <v>0</v>
      </c>
      <c r="Q310" t="n">
        <v>0</v>
      </c>
      <c r="R310" s="2" t="inlineStr"/>
    </row>
    <row r="311" ht="15" customHeight="1">
      <c r="A311" t="inlineStr">
        <is>
          <t>A 10686-2022</t>
        </is>
      </c>
      <c r="B311" s="1" t="n">
        <v>44624.92680555556</v>
      </c>
      <c r="C311" s="1" t="n">
        <v>46178</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46178</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14084-2022</t>
        </is>
      </c>
      <c r="B313" s="1" t="n">
        <v>44651</v>
      </c>
      <c r="C313" s="1" t="n">
        <v>46178</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14091-2022</t>
        </is>
      </c>
      <c r="B314" s="1" t="n">
        <v>44651</v>
      </c>
      <c r="C314" s="1" t="n">
        <v>46178</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5366-2022</t>
        </is>
      </c>
      <c r="B315" s="1" t="n">
        <v>44594.92107638889</v>
      </c>
      <c r="C315" s="1" t="n">
        <v>46178</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46351-2022</t>
        </is>
      </c>
      <c r="B316" s="1" t="n">
        <v>44847</v>
      </c>
      <c r="C316" s="1" t="n">
        <v>46178</v>
      </c>
      <c r="D316" t="inlineStr">
        <is>
          <t>VÄSTERNORRLANDS LÄN</t>
        </is>
      </c>
      <c r="E316" t="inlineStr">
        <is>
          <t>ÅNGE</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44413-2022</t>
        </is>
      </c>
      <c r="B317" s="1" t="n">
        <v>44839.92630787037</v>
      </c>
      <c r="C317" s="1" t="n">
        <v>46178</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56907-2021</t>
        </is>
      </c>
      <c r="B318" s="1" t="n">
        <v>44481.93837962963</v>
      </c>
      <c r="C318" s="1" t="n">
        <v>46178</v>
      </c>
      <c r="D318" t="inlineStr">
        <is>
          <t>VÄSTERNORRLANDS LÄN</t>
        </is>
      </c>
      <c r="E318" t="inlineStr">
        <is>
          <t>ÅNGE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53010-2022</t>
        </is>
      </c>
      <c r="B319" s="1" t="n">
        <v>44875</v>
      </c>
      <c r="C319" s="1" t="n">
        <v>46178</v>
      </c>
      <c r="D319" t="inlineStr">
        <is>
          <t>VÄSTERNORRLANDS LÄN</t>
        </is>
      </c>
      <c r="E319" t="inlineStr">
        <is>
          <t>ÅNGE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55905-2021</t>
        </is>
      </c>
      <c r="B320" s="1" t="n">
        <v>44476.91895833334</v>
      </c>
      <c r="C320" s="1" t="n">
        <v>46178</v>
      </c>
      <c r="D320" t="inlineStr">
        <is>
          <t>VÄSTERNORRLANDS LÄN</t>
        </is>
      </c>
      <c r="E320" t="inlineStr">
        <is>
          <t>ÅNGE</t>
        </is>
      </c>
      <c r="G320" t="n">
        <v>0.9</v>
      </c>
      <c r="H320" t="n">
        <v>0</v>
      </c>
      <c r="I320" t="n">
        <v>0</v>
      </c>
      <c r="J320" t="n">
        <v>0</v>
      </c>
      <c r="K320" t="n">
        <v>0</v>
      </c>
      <c r="L320" t="n">
        <v>0</v>
      </c>
      <c r="M320" t="n">
        <v>0</v>
      </c>
      <c r="N320" t="n">
        <v>0</v>
      </c>
      <c r="O320" t="n">
        <v>0</v>
      </c>
      <c r="P320" t="n">
        <v>0</v>
      </c>
      <c r="Q320" t="n">
        <v>0</v>
      </c>
      <c r="R320" s="2" t="inlineStr"/>
    </row>
    <row r="321" ht="15" customHeight="1">
      <c r="A321" t="inlineStr">
        <is>
          <t>A 17580-2022</t>
        </is>
      </c>
      <c r="B321" s="1" t="n">
        <v>44679</v>
      </c>
      <c r="C321" s="1" t="n">
        <v>46178</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37605-2021</t>
        </is>
      </c>
      <c r="B322" s="1" t="n">
        <v>44399</v>
      </c>
      <c r="C322" s="1" t="n">
        <v>46178</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37620-2021</t>
        </is>
      </c>
      <c r="B323" s="1" t="n">
        <v>44399</v>
      </c>
      <c r="C323" s="1" t="n">
        <v>46178</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70893-2021</t>
        </is>
      </c>
      <c r="B324" s="1" t="n">
        <v>44538</v>
      </c>
      <c r="C324" s="1" t="n">
        <v>46178</v>
      </c>
      <c r="D324" t="inlineStr">
        <is>
          <t>VÄSTERNORRLANDS LÄN</t>
        </is>
      </c>
      <c r="E324" t="inlineStr">
        <is>
          <t>ÅNGE</t>
        </is>
      </c>
      <c r="G324" t="n">
        <v>6.2</v>
      </c>
      <c r="H324" t="n">
        <v>0</v>
      </c>
      <c r="I324" t="n">
        <v>0</v>
      </c>
      <c r="J324" t="n">
        <v>0</v>
      </c>
      <c r="K324" t="n">
        <v>0</v>
      </c>
      <c r="L324" t="n">
        <v>0</v>
      </c>
      <c r="M324" t="n">
        <v>0</v>
      </c>
      <c r="N324" t="n">
        <v>0</v>
      </c>
      <c r="O324" t="n">
        <v>0</v>
      </c>
      <c r="P324" t="n">
        <v>0</v>
      </c>
      <c r="Q324" t="n">
        <v>0</v>
      </c>
      <c r="R324" s="2" t="inlineStr"/>
    </row>
    <row r="325" ht="15" customHeight="1">
      <c r="A325" t="inlineStr">
        <is>
          <t>A 20369-2022</t>
        </is>
      </c>
      <c r="B325" s="1" t="n">
        <v>44699.41140046297</v>
      </c>
      <c r="C325" s="1" t="n">
        <v>46178</v>
      </c>
      <c r="D325" t="inlineStr">
        <is>
          <t>VÄSTERNORRLANDS LÄN</t>
        </is>
      </c>
      <c r="E325" t="inlineStr">
        <is>
          <t>ÅNGE</t>
        </is>
      </c>
      <c r="G325" t="n">
        <v>5.5</v>
      </c>
      <c r="H325" t="n">
        <v>0</v>
      </c>
      <c r="I325" t="n">
        <v>0</v>
      </c>
      <c r="J325" t="n">
        <v>0</v>
      </c>
      <c r="K325" t="n">
        <v>0</v>
      </c>
      <c r="L325" t="n">
        <v>0</v>
      </c>
      <c r="M325" t="n">
        <v>0</v>
      </c>
      <c r="N325" t="n">
        <v>0</v>
      </c>
      <c r="O325" t="n">
        <v>0</v>
      </c>
      <c r="P325" t="n">
        <v>0</v>
      </c>
      <c r="Q325" t="n">
        <v>0</v>
      </c>
      <c r="R325" s="2" t="inlineStr"/>
    </row>
    <row r="326" ht="15" customHeight="1">
      <c r="A326" t="inlineStr">
        <is>
          <t>A 5113-2022</t>
        </is>
      </c>
      <c r="B326" s="1" t="n">
        <v>44593.93362268519</v>
      </c>
      <c r="C326" s="1" t="n">
        <v>46178</v>
      </c>
      <c r="D326" t="inlineStr">
        <is>
          <t>VÄSTERNORRLANDS LÄN</t>
        </is>
      </c>
      <c r="E326" t="inlineStr">
        <is>
          <t>ÅNGE</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31668-2021</t>
        </is>
      </c>
      <c r="B327" s="1" t="n">
        <v>44369</v>
      </c>
      <c r="C327" s="1" t="n">
        <v>46178</v>
      </c>
      <c r="D327" t="inlineStr">
        <is>
          <t>VÄSTERNORRLANDS LÄN</t>
        </is>
      </c>
      <c r="E327" t="inlineStr">
        <is>
          <t>ÅNGE</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32328-2021</t>
        </is>
      </c>
      <c r="B328" s="1" t="n">
        <v>44371.55924768518</v>
      </c>
      <c r="C328" s="1" t="n">
        <v>46178</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61761-2021</t>
        </is>
      </c>
      <c r="B329" s="1" t="n">
        <v>44501</v>
      </c>
      <c r="C329" s="1" t="n">
        <v>46178</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46178</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30768-2022</t>
        </is>
      </c>
      <c r="B331" s="1" t="n">
        <v>44764.53608796297</v>
      </c>
      <c r="C331" s="1" t="n">
        <v>46178</v>
      </c>
      <c r="D331" t="inlineStr">
        <is>
          <t>VÄSTERNORRLANDS LÄN</t>
        </is>
      </c>
      <c r="E331" t="inlineStr">
        <is>
          <t>ÅNGE</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66233-2021</t>
        </is>
      </c>
      <c r="B332" s="1" t="n">
        <v>44518.39234953704</v>
      </c>
      <c r="C332" s="1" t="n">
        <v>46178</v>
      </c>
      <c r="D332" t="inlineStr">
        <is>
          <t>VÄSTERNORRLANDS LÄN</t>
        </is>
      </c>
      <c r="E332" t="inlineStr">
        <is>
          <t>ÅNGE</t>
        </is>
      </c>
      <c r="G332" t="n">
        <v>3.1</v>
      </c>
      <c r="H332" t="n">
        <v>0</v>
      </c>
      <c r="I332" t="n">
        <v>0</v>
      </c>
      <c r="J332" t="n">
        <v>0</v>
      </c>
      <c r="K332" t="n">
        <v>0</v>
      </c>
      <c r="L332" t="n">
        <v>0</v>
      </c>
      <c r="M332" t="n">
        <v>0</v>
      </c>
      <c r="N332" t="n">
        <v>0</v>
      </c>
      <c r="O332" t="n">
        <v>0</v>
      </c>
      <c r="P332" t="n">
        <v>0</v>
      </c>
      <c r="Q332" t="n">
        <v>0</v>
      </c>
      <c r="R332" s="2" t="inlineStr"/>
    </row>
    <row r="333" ht="15" customHeight="1">
      <c r="A333" t="inlineStr">
        <is>
          <t>A 51555-2022</t>
        </is>
      </c>
      <c r="B333" s="1" t="n">
        <v>44869.9495949074</v>
      </c>
      <c r="C333" s="1" t="n">
        <v>46178</v>
      </c>
      <c r="D333" t="inlineStr">
        <is>
          <t>VÄSTERNORRLANDS LÄN</t>
        </is>
      </c>
      <c r="E333" t="inlineStr">
        <is>
          <t>ÅNGE</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51494-2022</t>
        </is>
      </c>
      <c r="B334" s="1" t="n">
        <v>44869</v>
      </c>
      <c r="C334" s="1" t="n">
        <v>46178</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46178</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46178</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29509-2021</t>
        </is>
      </c>
      <c r="B337" s="1" t="n">
        <v>44361</v>
      </c>
      <c r="C337" s="1" t="n">
        <v>46178</v>
      </c>
      <c r="D337" t="inlineStr">
        <is>
          <t>VÄSTERNORRLANDS LÄN</t>
        </is>
      </c>
      <c r="E337" t="inlineStr">
        <is>
          <t>ÅNGE</t>
        </is>
      </c>
      <c r="G337" t="n">
        <v>3.6</v>
      </c>
      <c r="H337" t="n">
        <v>0</v>
      </c>
      <c r="I337" t="n">
        <v>0</v>
      </c>
      <c r="J337" t="n">
        <v>0</v>
      </c>
      <c r="K337" t="n">
        <v>0</v>
      </c>
      <c r="L337" t="n">
        <v>0</v>
      </c>
      <c r="M337" t="n">
        <v>0</v>
      </c>
      <c r="N337" t="n">
        <v>0</v>
      </c>
      <c r="O337" t="n">
        <v>0</v>
      </c>
      <c r="P337" t="n">
        <v>0</v>
      </c>
      <c r="Q337" t="n">
        <v>0</v>
      </c>
      <c r="R337" s="2" t="inlineStr"/>
    </row>
    <row r="338" ht="15" customHeight="1">
      <c r="A338" t="inlineStr">
        <is>
          <t>A 35283-2022</t>
        </is>
      </c>
      <c r="B338" s="1" t="n">
        <v>44798.39916666667</v>
      </c>
      <c r="C338" s="1" t="n">
        <v>46178</v>
      </c>
      <c r="D338" t="inlineStr">
        <is>
          <t>VÄSTERNORRLANDS LÄN</t>
        </is>
      </c>
      <c r="E338" t="inlineStr">
        <is>
          <t>ÅNGE</t>
        </is>
      </c>
      <c r="G338" t="n">
        <v>4.5</v>
      </c>
      <c r="H338" t="n">
        <v>0</v>
      </c>
      <c r="I338" t="n">
        <v>0</v>
      </c>
      <c r="J338" t="n">
        <v>0</v>
      </c>
      <c r="K338" t="n">
        <v>0</v>
      </c>
      <c r="L338" t="n">
        <v>0</v>
      </c>
      <c r="M338" t="n">
        <v>0</v>
      </c>
      <c r="N338" t="n">
        <v>0</v>
      </c>
      <c r="O338" t="n">
        <v>0</v>
      </c>
      <c r="P338" t="n">
        <v>0</v>
      </c>
      <c r="Q338" t="n">
        <v>0</v>
      </c>
      <c r="R338" s="2" t="inlineStr"/>
    </row>
    <row r="339" ht="15" customHeight="1">
      <c r="A339" t="inlineStr">
        <is>
          <t>A 33274-2022</t>
        </is>
      </c>
      <c r="B339" s="1" t="n">
        <v>44788</v>
      </c>
      <c r="C339" s="1" t="n">
        <v>46178</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47660-2022</t>
        </is>
      </c>
      <c r="B340" s="1" t="n">
        <v>44854.45766203704</v>
      </c>
      <c r="C340" s="1" t="n">
        <v>46178</v>
      </c>
      <c r="D340" t="inlineStr">
        <is>
          <t>VÄSTERNORRLANDS LÄN</t>
        </is>
      </c>
      <c r="E340" t="inlineStr">
        <is>
          <t>ÅNGE</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7633-2022</t>
        </is>
      </c>
      <c r="B341" s="1" t="n">
        <v>44607.71378472223</v>
      </c>
      <c r="C341" s="1" t="n">
        <v>46178</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50710-2021</t>
        </is>
      </c>
      <c r="B342" s="1" t="n">
        <v>44460.366875</v>
      </c>
      <c r="C342" s="1" t="n">
        <v>46178</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40476-2022</t>
        </is>
      </c>
      <c r="B343" s="1" t="n">
        <v>44823.54685185185</v>
      </c>
      <c r="C343" s="1" t="n">
        <v>46178</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14813-2022</t>
        </is>
      </c>
      <c r="B344" s="1" t="n">
        <v>44656</v>
      </c>
      <c r="C344" s="1" t="n">
        <v>46178</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57418-2021</t>
        </is>
      </c>
      <c r="B345" s="1" t="n">
        <v>44483</v>
      </c>
      <c r="C345" s="1" t="n">
        <v>46178</v>
      </c>
      <c r="D345" t="inlineStr">
        <is>
          <t>VÄSTERNORRLANDS LÄN</t>
        </is>
      </c>
      <c r="E345" t="inlineStr">
        <is>
          <t>ÅNGE</t>
        </is>
      </c>
      <c r="G345" t="n">
        <v>4.4</v>
      </c>
      <c r="H345" t="n">
        <v>0</v>
      </c>
      <c r="I345" t="n">
        <v>0</v>
      </c>
      <c r="J345" t="n">
        <v>0</v>
      </c>
      <c r="K345" t="n">
        <v>0</v>
      </c>
      <c r="L345" t="n">
        <v>0</v>
      </c>
      <c r="M345" t="n">
        <v>0</v>
      </c>
      <c r="N345" t="n">
        <v>0</v>
      </c>
      <c r="O345" t="n">
        <v>0</v>
      </c>
      <c r="P345" t="n">
        <v>0</v>
      </c>
      <c r="Q345" t="n">
        <v>0</v>
      </c>
      <c r="R345" s="2" t="inlineStr"/>
    </row>
    <row r="346" ht="15" customHeight="1">
      <c r="A346" t="inlineStr">
        <is>
          <t>A 53664-2022</t>
        </is>
      </c>
      <c r="B346" s="1" t="n">
        <v>44879.95643518519</v>
      </c>
      <c r="C346" s="1" t="n">
        <v>46178</v>
      </c>
      <c r="D346" t="inlineStr">
        <is>
          <t>VÄSTERNORRLANDS LÄN</t>
        </is>
      </c>
      <c r="E346" t="inlineStr">
        <is>
          <t>ÅNGE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1297-2022</t>
        </is>
      </c>
      <c r="B347" s="1" t="n">
        <v>44572.69135416667</v>
      </c>
      <c r="C347" s="1" t="n">
        <v>46178</v>
      </c>
      <c r="D347" t="inlineStr">
        <is>
          <t>VÄSTERNORRLANDS LÄN</t>
        </is>
      </c>
      <c r="E347" t="inlineStr">
        <is>
          <t>ÅNGE</t>
        </is>
      </c>
      <c r="G347" t="n">
        <v>2.3</v>
      </c>
      <c r="H347" t="n">
        <v>0</v>
      </c>
      <c r="I347" t="n">
        <v>0</v>
      </c>
      <c r="J347" t="n">
        <v>0</v>
      </c>
      <c r="K347" t="n">
        <v>0</v>
      </c>
      <c r="L347" t="n">
        <v>0</v>
      </c>
      <c r="M347" t="n">
        <v>0</v>
      </c>
      <c r="N347" t="n">
        <v>0</v>
      </c>
      <c r="O347" t="n">
        <v>0</v>
      </c>
      <c r="P347" t="n">
        <v>0</v>
      </c>
      <c r="Q347" t="n">
        <v>0</v>
      </c>
      <c r="R347" s="2" t="inlineStr"/>
    </row>
    <row r="348" ht="15" customHeight="1">
      <c r="A348" t="inlineStr">
        <is>
          <t>A 33408-2021</t>
        </is>
      </c>
      <c r="B348" s="1" t="n">
        <v>44377</v>
      </c>
      <c r="C348" s="1" t="n">
        <v>46178</v>
      </c>
      <c r="D348" t="inlineStr">
        <is>
          <t>VÄSTERNORRLANDS LÄN</t>
        </is>
      </c>
      <c r="E348" t="inlineStr">
        <is>
          <t>ÅNGE</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74194-2021</t>
        </is>
      </c>
      <c r="B349" s="1" t="n">
        <v>44558.47333333334</v>
      </c>
      <c r="C349" s="1" t="n">
        <v>46178</v>
      </c>
      <c r="D349" t="inlineStr">
        <is>
          <t>VÄSTERNORRLANDS LÄN</t>
        </is>
      </c>
      <c r="E349" t="inlineStr">
        <is>
          <t>ÅNGE</t>
        </is>
      </c>
      <c r="G349" t="n">
        <v>1.9</v>
      </c>
      <c r="H349" t="n">
        <v>0</v>
      </c>
      <c r="I349" t="n">
        <v>0</v>
      </c>
      <c r="J349" t="n">
        <v>0</v>
      </c>
      <c r="K349" t="n">
        <v>0</v>
      </c>
      <c r="L349" t="n">
        <v>0</v>
      </c>
      <c r="M349" t="n">
        <v>0</v>
      </c>
      <c r="N349" t="n">
        <v>0</v>
      </c>
      <c r="O349" t="n">
        <v>0</v>
      </c>
      <c r="P349" t="n">
        <v>0</v>
      </c>
      <c r="Q349" t="n">
        <v>0</v>
      </c>
      <c r="R349" s="2" t="inlineStr"/>
    </row>
    <row r="350" ht="15" customHeight="1">
      <c r="A350" t="inlineStr">
        <is>
          <t>A 70899-2021</t>
        </is>
      </c>
      <c r="B350" s="1" t="n">
        <v>44537</v>
      </c>
      <c r="C350" s="1" t="n">
        <v>46178</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13641-2022</t>
        </is>
      </c>
      <c r="B351" s="1" t="n">
        <v>44648</v>
      </c>
      <c r="C351" s="1" t="n">
        <v>46178</v>
      </c>
      <c r="D351" t="inlineStr">
        <is>
          <t>VÄSTERNORRLANDS LÄN</t>
        </is>
      </c>
      <c r="E351" t="inlineStr">
        <is>
          <t>ÅNGE</t>
        </is>
      </c>
      <c r="G351" t="n">
        <v>4.9</v>
      </c>
      <c r="H351" t="n">
        <v>0</v>
      </c>
      <c r="I351" t="n">
        <v>0</v>
      </c>
      <c r="J351" t="n">
        <v>0</v>
      </c>
      <c r="K351" t="n">
        <v>0</v>
      </c>
      <c r="L351" t="n">
        <v>0</v>
      </c>
      <c r="M351" t="n">
        <v>0</v>
      </c>
      <c r="N351" t="n">
        <v>0</v>
      </c>
      <c r="O351" t="n">
        <v>0</v>
      </c>
      <c r="P351" t="n">
        <v>0</v>
      </c>
      <c r="Q351" t="n">
        <v>0</v>
      </c>
      <c r="R351" s="2" t="inlineStr"/>
    </row>
    <row r="352" ht="15" customHeight="1">
      <c r="A352" t="inlineStr">
        <is>
          <t>A 61909-2021</t>
        </is>
      </c>
      <c r="B352" s="1" t="n">
        <v>44502.35310185186</v>
      </c>
      <c r="C352" s="1" t="n">
        <v>46178</v>
      </c>
      <c r="D352" t="inlineStr">
        <is>
          <t>VÄSTERNORRLANDS LÄN</t>
        </is>
      </c>
      <c r="E352" t="inlineStr">
        <is>
          <t>ÅNGE</t>
        </is>
      </c>
      <c r="G352" t="n">
        <v>2.4</v>
      </c>
      <c r="H352" t="n">
        <v>0</v>
      </c>
      <c r="I352" t="n">
        <v>0</v>
      </c>
      <c r="J352" t="n">
        <v>0</v>
      </c>
      <c r="K352" t="n">
        <v>0</v>
      </c>
      <c r="L352" t="n">
        <v>0</v>
      </c>
      <c r="M352" t="n">
        <v>0</v>
      </c>
      <c r="N352" t="n">
        <v>0</v>
      </c>
      <c r="O352" t="n">
        <v>0</v>
      </c>
      <c r="P352" t="n">
        <v>0</v>
      </c>
      <c r="Q352" t="n">
        <v>0</v>
      </c>
      <c r="R352" s="2" t="inlineStr"/>
    </row>
    <row r="353" ht="15" customHeight="1">
      <c r="A353" t="inlineStr">
        <is>
          <t>A 46053-2021</t>
        </is>
      </c>
      <c r="B353" s="1" t="n">
        <v>44441</v>
      </c>
      <c r="C353" s="1" t="n">
        <v>46178</v>
      </c>
      <c r="D353" t="inlineStr">
        <is>
          <t>VÄSTERNORRLANDS LÄN</t>
        </is>
      </c>
      <c r="E353" t="inlineStr">
        <is>
          <t>ÅNGE</t>
        </is>
      </c>
      <c r="F353" t="inlineStr">
        <is>
          <t>SCA</t>
        </is>
      </c>
      <c r="G353" t="n">
        <v>0.2</v>
      </c>
      <c r="H353" t="n">
        <v>0</v>
      </c>
      <c r="I353" t="n">
        <v>0</v>
      </c>
      <c r="J353" t="n">
        <v>0</v>
      </c>
      <c r="K353" t="n">
        <v>0</v>
      </c>
      <c r="L353" t="n">
        <v>0</v>
      </c>
      <c r="M353" t="n">
        <v>0</v>
      </c>
      <c r="N353" t="n">
        <v>0</v>
      </c>
      <c r="O353" t="n">
        <v>0</v>
      </c>
      <c r="P353" t="n">
        <v>0</v>
      </c>
      <c r="Q353" t="n">
        <v>0</v>
      </c>
      <c r="R353" s="2" t="inlineStr"/>
    </row>
    <row r="354" ht="15" customHeight="1">
      <c r="A354" t="inlineStr">
        <is>
          <t>A 45145-2021</t>
        </is>
      </c>
      <c r="B354" s="1" t="n">
        <v>44439</v>
      </c>
      <c r="C354" s="1" t="n">
        <v>46178</v>
      </c>
      <c r="D354" t="inlineStr">
        <is>
          <t>VÄSTERNORRLANDS LÄN</t>
        </is>
      </c>
      <c r="E354" t="inlineStr">
        <is>
          <t>ÅNGE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71302-2021</t>
        </is>
      </c>
      <c r="B355" s="1" t="n">
        <v>44539.63871527778</v>
      </c>
      <c r="C355" s="1" t="n">
        <v>46178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6732-2022</t>
        </is>
      </c>
      <c r="B356" s="1" t="n">
        <v>44602.46072916667</v>
      </c>
      <c r="C356" s="1" t="n">
        <v>46178</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44412-2022</t>
        </is>
      </c>
      <c r="B357" s="1" t="n">
        <v>44839.92626157407</v>
      </c>
      <c r="C357" s="1" t="n">
        <v>46178</v>
      </c>
      <c r="D357" t="inlineStr">
        <is>
          <t>VÄSTERNORRLANDS LÄN</t>
        </is>
      </c>
      <c r="E357" t="inlineStr">
        <is>
          <t>ÅNGE</t>
        </is>
      </c>
      <c r="G357" t="n">
        <v>1.6</v>
      </c>
      <c r="H357" t="n">
        <v>0</v>
      </c>
      <c r="I357" t="n">
        <v>0</v>
      </c>
      <c r="J357" t="n">
        <v>0</v>
      </c>
      <c r="K357" t="n">
        <v>0</v>
      </c>
      <c r="L357" t="n">
        <v>0</v>
      </c>
      <c r="M357" t="n">
        <v>0</v>
      </c>
      <c r="N357" t="n">
        <v>0</v>
      </c>
      <c r="O357" t="n">
        <v>0</v>
      </c>
      <c r="P357" t="n">
        <v>0</v>
      </c>
      <c r="Q357" t="n">
        <v>0</v>
      </c>
      <c r="R357" s="2" t="inlineStr"/>
    </row>
    <row r="358" ht="15" customHeight="1">
      <c r="A358" t="inlineStr">
        <is>
          <t>A 6263-2022</t>
        </is>
      </c>
      <c r="B358" s="1" t="n">
        <v>44600</v>
      </c>
      <c r="C358" s="1" t="n">
        <v>46178</v>
      </c>
      <c r="D358" t="inlineStr">
        <is>
          <t>VÄSTERNORRLANDS LÄN</t>
        </is>
      </c>
      <c r="E358" t="inlineStr">
        <is>
          <t>ÅNGE</t>
        </is>
      </c>
      <c r="G358" t="n">
        <v>1.4</v>
      </c>
      <c r="H358" t="n">
        <v>0</v>
      </c>
      <c r="I358" t="n">
        <v>0</v>
      </c>
      <c r="J358" t="n">
        <v>0</v>
      </c>
      <c r="K358" t="n">
        <v>0</v>
      </c>
      <c r="L358" t="n">
        <v>0</v>
      </c>
      <c r="M358" t="n">
        <v>0</v>
      </c>
      <c r="N358" t="n">
        <v>0</v>
      </c>
      <c r="O358" t="n">
        <v>0</v>
      </c>
      <c r="P358" t="n">
        <v>0</v>
      </c>
      <c r="Q358" t="n">
        <v>0</v>
      </c>
      <c r="R358" s="2" t="inlineStr"/>
    </row>
    <row r="359" ht="15" customHeight="1">
      <c r="A359" t="inlineStr">
        <is>
          <t>A 27953-2021</t>
        </is>
      </c>
      <c r="B359" s="1" t="n">
        <v>44354.9209375</v>
      </c>
      <c r="C359" s="1" t="n">
        <v>46178</v>
      </c>
      <c r="D359" t="inlineStr">
        <is>
          <t>VÄSTERNORRLANDS LÄN</t>
        </is>
      </c>
      <c r="E359" t="inlineStr">
        <is>
          <t>ÅNGE</t>
        </is>
      </c>
      <c r="G359" t="n">
        <v>2.9</v>
      </c>
      <c r="H359" t="n">
        <v>0</v>
      </c>
      <c r="I359" t="n">
        <v>0</v>
      </c>
      <c r="J359" t="n">
        <v>0</v>
      </c>
      <c r="K359" t="n">
        <v>0</v>
      </c>
      <c r="L359" t="n">
        <v>0</v>
      </c>
      <c r="M359" t="n">
        <v>0</v>
      </c>
      <c r="N359" t="n">
        <v>0</v>
      </c>
      <c r="O359" t="n">
        <v>0</v>
      </c>
      <c r="P359" t="n">
        <v>0</v>
      </c>
      <c r="Q359" t="n">
        <v>0</v>
      </c>
      <c r="R359" s="2" t="inlineStr"/>
    </row>
    <row r="360" ht="15" customHeight="1">
      <c r="A360" t="inlineStr">
        <is>
          <t>A 17044-2022</t>
        </is>
      </c>
      <c r="B360" s="1" t="n">
        <v>44676</v>
      </c>
      <c r="C360" s="1" t="n">
        <v>46178</v>
      </c>
      <c r="D360" t="inlineStr">
        <is>
          <t>VÄSTERNORRLANDS LÄN</t>
        </is>
      </c>
      <c r="E360" t="inlineStr">
        <is>
          <t>ÅNGE</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30365-2021</t>
        </is>
      </c>
      <c r="B361" s="1" t="n">
        <v>44364.45164351852</v>
      </c>
      <c r="C361" s="1" t="n">
        <v>46178</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50640-2022</t>
        </is>
      </c>
      <c r="B362" s="1" t="n">
        <v>44866.94734953704</v>
      </c>
      <c r="C362" s="1" t="n">
        <v>46178</v>
      </c>
      <c r="D362" t="inlineStr">
        <is>
          <t>VÄSTERNORRLANDS LÄN</t>
        </is>
      </c>
      <c r="E362" t="inlineStr">
        <is>
          <t>ÅNGE</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38369-2021</t>
        </is>
      </c>
      <c r="B363" s="1" t="n">
        <v>44406</v>
      </c>
      <c r="C363" s="1" t="n">
        <v>46178</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18024-2022</t>
        </is>
      </c>
      <c r="B364" s="1" t="n">
        <v>44683.94383101852</v>
      </c>
      <c r="C364" s="1" t="n">
        <v>46178</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17963-2022</t>
        </is>
      </c>
      <c r="B365" s="1" t="n">
        <v>44683</v>
      </c>
      <c r="C365" s="1" t="n">
        <v>46178</v>
      </c>
      <c r="D365" t="inlineStr">
        <is>
          <t>VÄSTERNORRLANDS LÄN</t>
        </is>
      </c>
      <c r="E365" t="inlineStr">
        <is>
          <t>ÅNGE</t>
        </is>
      </c>
      <c r="G365" t="n">
        <v>0.2</v>
      </c>
      <c r="H365" t="n">
        <v>0</v>
      </c>
      <c r="I365" t="n">
        <v>0</v>
      </c>
      <c r="J365" t="n">
        <v>0</v>
      </c>
      <c r="K365" t="n">
        <v>0</v>
      </c>
      <c r="L365" t="n">
        <v>0</v>
      </c>
      <c r="M365" t="n">
        <v>0</v>
      </c>
      <c r="N365" t="n">
        <v>0</v>
      </c>
      <c r="O365" t="n">
        <v>0</v>
      </c>
      <c r="P365" t="n">
        <v>0</v>
      </c>
      <c r="Q365" t="n">
        <v>0</v>
      </c>
      <c r="R365" s="2" t="inlineStr"/>
    </row>
    <row r="366" ht="15" customHeight="1">
      <c r="A366" t="inlineStr">
        <is>
          <t>A 35496-2022</t>
        </is>
      </c>
      <c r="B366" s="1" t="n">
        <v>44798</v>
      </c>
      <c r="C366" s="1" t="n">
        <v>46178</v>
      </c>
      <c r="D366" t="inlineStr">
        <is>
          <t>VÄSTERNORRLANDS LÄN</t>
        </is>
      </c>
      <c r="E366" t="inlineStr">
        <is>
          <t>ÅNGE</t>
        </is>
      </c>
      <c r="F366" t="inlineStr">
        <is>
          <t>SCA</t>
        </is>
      </c>
      <c r="G366" t="n">
        <v>15.6</v>
      </c>
      <c r="H366" t="n">
        <v>0</v>
      </c>
      <c r="I366" t="n">
        <v>0</v>
      </c>
      <c r="J366" t="n">
        <v>0</v>
      </c>
      <c r="K366" t="n">
        <v>0</v>
      </c>
      <c r="L366" t="n">
        <v>0</v>
      </c>
      <c r="M366" t="n">
        <v>0</v>
      </c>
      <c r="N366" t="n">
        <v>0</v>
      </c>
      <c r="O366" t="n">
        <v>0</v>
      </c>
      <c r="P366" t="n">
        <v>0</v>
      </c>
      <c r="Q366" t="n">
        <v>0</v>
      </c>
      <c r="R366" s="2" t="inlineStr"/>
    </row>
    <row r="367" ht="15" customHeight="1">
      <c r="A367" t="inlineStr">
        <is>
          <t>A 46824-2021</t>
        </is>
      </c>
      <c r="B367" s="1" t="n">
        <v>44446.34271990741</v>
      </c>
      <c r="C367" s="1" t="n">
        <v>46178</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51542-2022</t>
        </is>
      </c>
      <c r="B368" s="1" t="n">
        <v>44869.94850694444</v>
      </c>
      <c r="C368" s="1" t="n">
        <v>46178</v>
      </c>
      <c r="D368" t="inlineStr">
        <is>
          <t>VÄSTERNORRLANDS LÄN</t>
        </is>
      </c>
      <c r="E368" t="inlineStr">
        <is>
          <t>ÅNGE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46178</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32535-2022</t>
        </is>
      </c>
      <c r="B370" s="1" t="n">
        <v>44783.29856481482</v>
      </c>
      <c r="C370" s="1" t="n">
        <v>46178</v>
      </c>
      <c r="D370" t="inlineStr">
        <is>
          <t>VÄSTERNORRLANDS LÄN</t>
        </is>
      </c>
      <c r="E370" t="inlineStr">
        <is>
          <t>ÅNGE</t>
        </is>
      </c>
      <c r="G370" t="n">
        <v>10.3</v>
      </c>
      <c r="H370" t="n">
        <v>0</v>
      </c>
      <c r="I370" t="n">
        <v>0</v>
      </c>
      <c r="J370" t="n">
        <v>0</v>
      </c>
      <c r="K370" t="n">
        <v>0</v>
      </c>
      <c r="L370" t="n">
        <v>0</v>
      </c>
      <c r="M370" t="n">
        <v>0</v>
      </c>
      <c r="N370" t="n">
        <v>0</v>
      </c>
      <c r="O370" t="n">
        <v>0</v>
      </c>
      <c r="P370" t="n">
        <v>0</v>
      </c>
      <c r="Q370" t="n">
        <v>0</v>
      </c>
      <c r="R370" s="2" t="inlineStr"/>
    </row>
    <row r="371" ht="15" customHeight="1">
      <c r="A371" t="inlineStr">
        <is>
          <t>A 39594-2022</t>
        </is>
      </c>
      <c r="B371" s="1" t="n">
        <v>44818</v>
      </c>
      <c r="C371" s="1" t="n">
        <v>46178</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10313-2022</t>
        </is>
      </c>
      <c r="B372" s="1" t="n">
        <v>44622</v>
      </c>
      <c r="C372" s="1" t="n">
        <v>46178</v>
      </c>
      <c r="D372" t="inlineStr">
        <is>
          <t>VÄSTERNORRLANDS LÄN</t>
        </is>
      </c>
      <c r="E372" t="inlineStr">
        <is>
          <t>ÅNGE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5552-2022</t>
        </is>
      </c>
      <c r="B373" s="1" t="n">
        <v>44595.62966435185</v>
      </c>
      <c r="C373" s="1" t="n">
        <v>46178</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15368-2024</t>
        </is>
      </c>
      <c r="B374" s="1" t="n">
        <v>45400.92284722222</v>
      </c>
      <c r="C374" s="1" t="n">
        <v>46178</v>
      </c>
      <c r="D374" t="inlineStr">
        <is>
          <t>VÄSTERNORRLANDS LÄN</t>
        </is>
      </c>
      <c r="E374" t="inlineStr">
        <is>
          <t>ÅNGE</t>
        </is>
      </c>
      <c r="G374" t="n">
        <v>0.4</v>
      </c>
      <c r="H374" t="n">
        <v>0</v>
      </c>
      <c r="I374" t="n">
        <v>0</v>
      </c>
      <c r="J374" t="n">
        <v>0</v>
      </c>
      <c r="K374" t="n">
        <v>0</v>
      </c>
      <c r="L374" t="n">
        <v>0</v>
      </c>
      <c r="M374" t="n">
        <v>0</v>
      </c>
      <c r="N374" t="n">
        <v>0</v>
      </c>
      <c r="O374" t="n">
        <v>0</v>
      </c>
      <c r="P374" t="n">
        <v>0</v>
      </c>
      <c r="Q374" t="n">
        <v>0</v>
      </c>
      <c r="R374" s="2" t="inlineStr"/>
    </row>
    <row r="375" ht="15" customHeight="1">
      <c r="A375" t="inlineStr">
        <is>
          <t>A 37382-2021</t>
        </is>
      </c>
      <c r="B375" s="1" t="n">
        <v>44397</v>
      </c>
      <c r="C375" s="1" t="n">
        <v>46178</v>
      </c>
      <c r="D375" t="inlineStr">
        <is>
          <t>VÄSTERNORRLANDS LÄN</t>
        </is>
      </c>
      <c r="E375" t="inlineStr">
        <is>
          <t>ÅNGE</t>
        </is>
      </c>
      <c r="G375" t="n">
        <v>2.4</v>
      </c>
      <c r="H375" t="n">
        <v>0</v>
      </c>
      <c r="I375" t="n">
        <v>0</v>
      </c>
      <c r="J375" t="n">
        <v>0</v>
      </c>
      <c r="K375" t="n">
        <v>0</v>
      </c>
      <c r="L375" t="n">
        <v>0</v>
      </c>
      <c r="M375" t="n">
        <v>0</v>
      </c>
      <c r="N375" t="n">
        <v>0</v>
      </c>
      <c r="O375" t="n">
        <v>0</v>
      </c>
      <c r="P375" t="n">
        <v>0</v>
      </c>
      <c r="Q375" t="n">
        <v>0</v>
      </c>
      <c r="R375" s="2" t="inlineStr"/>
    </row>
    <row r="376" ht="15" customHeight="1">
      <c r="A376" t="inlineStr">
        <is>
          <t>A 6680-2024</t>
        </is>
      </c>
      <c r="B376" s="1" t="n">
        <v>45341</v>
      </c>
      <c r="C376" s="1" t="n">
        <v>46178</v>
      </c>
      <c r="D376" t="inlineStr">
        <is>
          <t>VÄSTERNORRLANDS LÄN</t>
        </is>
      </c>
      <c r="E376" t="inlineStr">
        <is>
          <t>ÅNGE</t>
        </is>
      </c>
      <c r="G376" t="n">
        <v>0.9</v>
      </c>
      <c r="H376" t="n">
        <v>0</v>
      </c>
      <c r="I376" t="n">
        <v>0</v>
      </c>
      <c r="J376" t="n">
        <v>0</v>
      </c>
      <c r="K376" t="n">
        <v>0</v>
      </c>
      <c r="L376" t="n">
        <v>0</v>
      </c>
      <c r="M376" t="n">
        <v>0</v>
      </c>
      <c r="N376" t="n">
        <v>0</v>
      </c>
      <c r="O376" t="n">
        <v>0</v>
      </c>
      <c r="P376" t="n">
        <v>0</v>
      </c>
      <c r="Q376" t="n">
        <v>0</v>
      </c>
      <c r="R376" s="2" t="inlineStr"/>
    </row>
    <row r="377" ht="15" customHeight="1">
      <c r="A377" t="inlineStr">
        <is>
          <t>A 15799-2025</t>
        </is>
      </c>
      <c r="B377" s="1" t="n">
        <v>45748.64768518518</v>
      </c>
      <c r="C377" s="1" t="n">
        <v>46178</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6685-2024</t>
        </is>
      </c>
      <c r="B378" s="1" t="n">
        <v>45341</v>
      </c>
      <c r="C378" s="1" t="n">
        <v>46178</v>
      </c>
      <c r="D378" t="inlineStr">
        <is>
          <t>VÄSTERNORRLANDS LÄN</t>
        </is>
      </c>
      <c r="E378" t="inlineStr">
        <is>
          <t>ÅNGE</t>
        </is>
      </c>
      <c r="G378" t="n">
        <v>0.5</v>
      </c>
      <c r="H378" t="n">
        <v>0</v>
      </c>
      <c r="I378" t="n">
        <v>0</v>
      </c>
      <c r="J378" t="n">
        <v>0</v>
      </c>
      <c r="K378" t="n">
        <v>0</v>
      </c>
      <c r="L378" t="n">
        <v>0</v>
      </c>
      <c r="M378" t="n">
        <v>0</v>
      </c>
      <c r="N378" t="n">
        <v>0</v>
      </c>
      <c r="O378" t="n">
        <v>0</v>
      </c>
      <c r="P378" t="n">
        <v>0</v>
      </c>
      <c r="Q378" t="n">
        <v>0</v>
      </c>
      <c r="R378" s="2" t="inlineStr"/>
    </row>
    <row r="379" ht="15" customHeight="1">
      <c r="A379" t="inlineStr">
        <is>
          <t>A 6689-2024</t>
        </is>
      </c>
      <c r="B379" s="1" t="n">
        <v>45341.9259375</v>
      </c>
      <c r="C379" s="1" t="n">
        <v>46178</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17009-2023</t>
        </is>
      </c>
      <c r="B380" s="1" t="n">
        <v>45033.9455787037</v>
      </c>
      <c r="C380" s="1" t="n">
        <v>46178</v>
      </c>
      <c r="D380" t="inlineStr">
        <is>
          <t>VÄSTERNORRLANDS LÄN</t>
        </is>
      </c>
      <c r="E380" t="inlineStr">
        <is>
          <t>ÅNGE</t>
        </is>
      </c>
      <c r="F380" t="inlineStr">
        <is>
          <t>SCA</t>
        </is>
      </c>
      <c r="G380" t="n">
        <v>5.8</v>
      </c>
      <c r="H380" t="n">
        <v>0</v>
      </c>
      <c r="I380" t="n">
        <v>0</v>
      </c>
      <c r="J380" t="n">
        <v>0</v>
      </c>
      <c r="K380" t="n">
        <v>0</v>
      </c>
      <c r="L380" t="n">
        <v>0</v>
      </c>
      <c r="M380" t="n">
        <v>0</v>
      </c>
      <c r="N380" t="n">
        <v>0</v>
      </c>
      <c r="O380" t="n">
        <v>0</v>
      </c>
      <c r="P380" t="n">
        <v>0</v>
      </c>
      <c r="Q380" t="n">
        <v>0</v>
      </c>
      <c r="R380" s="2" t="inlineStr"/>
    </row>
    <row r="381" ht="15" customHeight="1">
      <c r="A381" t="inlineStr">
        <is>
          <t>A 16303-2025</t>
        </is>
      </c>
      <c r="B381" s="1" t="n">
        <v>45751.3462037037</v>
      </c>
      <c r="C381" s="1" t="n">
        <v>46178</v>
      </c>
      <c r="D381" t="inlineStr">
        <is>
          <t>VÄSTERNORRLANDS LÄN</t>
        </is>
      </c>
      <c r="E381" t="inlineStr">
        <is>
          <t>ÅNGE</t>
        </is>
      </c>
      <c r="F381" t="inlineStr">
        <is>
          <t>SCA</t>
        </is>
      </c>
      <c r="G381" t="n">
        <v>0.3</v>
      </c>
      <c r="H381" t="n">
        <v>0</v>
      </c>
      <c r="I381" t="n">
        <v>0</v>
      </c>
      <c r="J381" t="n">
        <v>0</v>
      </c>
      <c r="K381" t="n">
        <v>0</v>
      </c>
      <c r="L381" t="n">
        <v>0</v>
      </c>
      <c r="M381" t="n">
        <v>0</v>
      </c>
      <c r="N381" t="n">
        <v>0</v>
      </c>
      <c r="O381" t="n">
        <v>0</v>
      </c>
      <c r="P381" t="n">
        <v>0</v>
      </c>
      <c r="Q381" t="n">
        <v>0</v>
      </c>
      <c r="R381" s="2" t="inlineStr"/>
    </row>
    <row r="382" ht="15" customHeight="1">
      <c r="A382" t="inlineStr">
        <is>
          <t>A 24324-2022</t>
        </is>
      </c>
      <c r="B382" s="1" t="n">
        <v>44725.945</v>
      </c>
      <c r="C382" s="1" t="n">
        <v>46178</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24325-2022</t>
        </is>
      </c>
      <c r="B383" s="1" t="n">
        <v>44725.94506944445</v>
      </c>
      <c r="C383" s="1" t="n">
        <v>46178</v>
      </c>
      <c r="D383" t="inlineStr">
        <is>
          <t>VÄSTERNORRLANDS LÄN</t>
        </is>
      </c>
      <c r="E383" t="inlineStr">
        <is>
          <t>ÅNGE</t>
        </is>
      </c>
      <c r="G383" t="n">
        <v>1.6</v>
      </c>
      <c r="H383" t="n">
        <v>0</v>
      </c>
      <c r="I383" t="n">
        <v>0</v>
      </c>
      <c r="J383" t="n">
        <v>0</v>
      </c>
      <c r="K383" t="n">
        <v>0</v>
      </c>
      <c r="L383" t="n">
        <v>0</v>
      </c>
      <c r="M383" t="n">
        <v>0</v>
      </c>
      <c r="N383" t="n">
        <v>0</v>
      </c>
      <c r="O383" t="n">
        <v>0</v>
      </c>
      <c r="P383" t="n">
        <v>0</v>
      </c>
      <c r="Q383" t="n">
        <v>0</v>
      </c>
      <c r="R383" s="2" t="inlineStr"/>
    </row>
    <row r="384" ht="15" customHeight="1">
      <c r="A384" t="inlineStr">
        <is>
          <t>A 19829-2025</t>
        </is>
      </c>
      <c r="B384" s="1" t="n">
        <v>45771.46944444445</v>
      </c>
      <c r="C384" s="1" t="n">
        <v>46178</v>
      </c>
      <c r="D384" t="inlineStr">
        <is>
          <t>VÄSTERNORRLANDS LÄN</t>
        </is>
      </c>
      <c r="E384" t="inlineStr">
        <is>
          <t>ÅNGE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16362-2023</t>
        </is>
      </c>
      <c r="B385" s="1" t="n">
        <v>45028.9250462963</v>
      </c>
      <c r="C385" s="1" t="n">
        <v>46178</v>
      </c>
      <c r="D385" t="inlineStr">
        <is>
          <t>VÄSTERNORRLANDS LÄN</t>
        </is>
      </c>
      <c r="E385" t="inlineStr">
        <is>
          <t>ÅNGE</t>
        </is>
      </c>
      <c r="G385" t="n">
        <v>4.8</v>
      </c>
      <c r="H385" t="n">
        <v>0</v>
      </c>
      <c r="I385" t="n">
        <v>0</v>
      </c>
      <c r="J385" t="n">
        <v>0</v>
      </c>
      <c r="K385" t="n">
        <v>0</v>
      </c>
      <c r="L385" t="n">
        <v>0</v>
      </c>
      <c r="M385" t="n">
        <v>0</v>
      </c>
      <c r="N385" t="n">
        <v>0</v>
      </c>
      <c r="O385" t="n">
        <v>0</v>
      </c>
      <c r="P385" t="n">
        <v>0</v>
      </c>
      <c r="Q385" t="n">
        <v>0</v>
      </c>
      <c r="R385" s="2" t="inlineStr"/>
    </row>
    <row r="386" ht="15" customHeight="1">
      <c r="A386" t="inlineStr">
        <is>
          <t>A 34851-2023</t>
        </is>
      </c>
      <c r="B386" s="1" t="n">
        <v>45141</v>
      </c>
      <c r="C386" s="1" t="n">
        <v>46178</v>
      </c>
      <c r="D386" t="inlineStr">
        <is>
          <t>VÄSTERNORRLANDS LÄN</t>
        </is>
      </c>
      <c r="E386" t="inlineStr">
        <is>
          <t>ÅNGE</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11529-2023</t>
        </is>
      </c>
      <c r="B387" s="1" t="n">
        <v>44993</v>
      </c>
      <c r="C387" s="1" t="n">
        <v>46178</v>
      </c>
      <c r="D387" t="inlineStr">
        <is>
          <t>VÄSTERNORRLANDS LÄN</t>
        </is>
      </c>
      <c r="E387" t="inlineStr">
        <is>
          <t>ÅNGE</t>
        </is>
      </c>
      <c r="G387" t="n">
        <v>8.9</v>
      </c>
      <c r="H387" t="n">
        <v>0</v>
      </c>
      <c r="I387" t="n">
        <v>0</v>
      </c>
      <c r="J387" t="n">
        <v>0</v>
      </c>
      <c r="K387" t="n">
        <v>0</v>
      </c>
      <c r="L387" t="n">
        <v>0</v>
      </c>
      <c r="M387" t="n">
        <v>0</v>
      </c>
      <c r="N387" t="n">
        <v>0</v>
      </c>
      <c r="O387" t="n">
        <v>0</v>
      </c>
      <c r="P387" t="n">
        <v>0</v>
      </c>
      <c r="Q387" t="n">
        <v>0</v>
      </c>
      <c r="R387" s="2" t="inlineStr"/>
    </row>
    <row r="388" ht="15" customHeight="1">
      <c r="A388" t="inlineStr">
        <is>
          <t>A 54946-2021</t>
        </is>
      </c>
      <c r="B388" s="1" t="n">
        <v>44474.46466435185</v>
      </c>
      <c r="C388" s="1" t="n">
        <v>46178</v>
      </c>
      <c r="D388" t="inlineStr">
        <is>
          <t>VÄSTERNORRLANDS LÄN</t>
        </is>
      </c>
      <c r="E388" t="inlineStr">
        <is>
          <t>ÅNGE</t>
        </is>
      </c>
      <c r="G388" t="n">
        <v>5.4</v>
      </c>
      <c r="H388" t="n">
        <v>0</v>
      </c>
      <c r="I388" t="n">
        <v>0</v>
      </c>
      <c r="J388" t="n">
        <v>0</v>
      </c>
      <c r="K388" t="n">
        <v>0</v>
      </c>
      <c r="L388" t="n">
        <v>0</v>
      </c>
      <c r="M388" t="n">
        <v>0</v>
      </c>
      <c r="N388" t="n">
        <v>0</v>
      </c>
      <c r="O388" t="n">
        <v>0</v>
      </c>
      <c r="P388" t="n">
        <v>0</v>
      </c>
      <c r="Q388" t="n">
        <v>0</v>
      </c>
      <c r="R388" s="2" t="inlineStr"/>
    </row>
    <row r="389" ht="15" customHeight="1">
      <c r="A389" t="inlineStr">
        <is>
          <t>A 38960-2021</t>
        </is>
      </c>
      <c r="B389" s="1" t="n">
        <v>44411</v>
      </c>
      <c r="C389" s="1" t="n">
        <v>46178</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39973-2023</t>
        </is>
      </c>
      <c r="B390" s="1" t="n">
        <v>45168.5858912037</v>
      </c>
      <c r="C390" s="1" t="n">
        <v>46178</v>
      </c>
      <c r="D390" t="inlineStr">
        <is>
          <t>VÄSTERNORRLANDS LÄN</t>
        </is>
      </c>
      <c r="E390" t="inlineStr">
        <is>
          <t>ÅNGE</t>
        </is>
      </c>
      <c r="G390" t="n">
        <v>3.6</v>
      </c>
      <c r="H390" t="n">
        <v>0</v>
      </c>
      <c r="I390" t="n">
        <v>0</v>
      </c>
      <c r="J390" t="n">
        <v>0</v>
      </c>
      <c r="K390" t="n">
        <v>0</v>
      </c>
      <c r="L390" t="n">
        <v>0</v>
      </c>
      <c r="M390" t="n">
        <v>0</v>
      </c>
      <c r="N390" t="n">
        <v>0</v>
      </c>
      <c r="O390" t="n">
        <v>0</v>
      </c>
      <c r="P390" t="n">
        <v>0</v>
      </c>
      <c r="Q390" t="n">
        <v>0</v>
      </c>
      <c r="R390" s="2" t="inlineStr"/>
    </row>
    <row r="391" ht="15" customHeight="1">
      <c r="A391" t="inlineStr">
        <is>
          <t>A 33747-2024</t>
        </is>
      </c>
      <c r="B391" s="1" t="n">
        <v>45520</v>
      </c>
      <c r="C391" s="1" t="n">
        <v>46178</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27002-2023</t>
        </is>
      </c>
      <c r="B392" s="1" t="n">
        <v>45093</v>
      </c>
      <c r="C392" s="1" t="n">
        <v>46178</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113-2025</t>
        </is>
      </c>
      <c r="B393" s="1" t="n">
        <v>45659.5106712963</v>
      </c>
      <c r="C393" s="1" t="n">
        <v>46178</v>
      </c>
      <c r="D393" t="inlineStr">
        <is>
          <t>VÄSTERNORRLANDS LÄN</t>
        </is>
      </c>
      <c r="E393" t="inlineStr">
        <is>
          <t>ÅNGE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45027-2023</t>
        </is>
      </c>
      <c r="B394" s="1" t="n">
        <v>45190.96303240741</v>
      </c>
      <c r="C394" s="1" t="n">
        <v>46178</v>
      </c>
      <c r="D394" t="inlineStr">
        <is>
          <t>VÄSTERNORRLANDS LÄN</t>
        </is>
      </c>
      <c r="E394" t="inlineStr">
        <is>
          <t>ÅNGE</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24231-2024</t>
        </is>
      </c>
      <c r="B395" s="1" t="n">
        <v>45457.34393518518</v>
      </c>
      <c r="C395" s="1" t="n">
        <v>46178</v>
      </c>
      <c r="D395" t="inlineStr">
        <is>
          <t>VÄSTERNORRLANDS LÄN</t>
        </is>
      </c>
      <c r="E395" t="inlineStr">
        <is>
          <t>ÅNGE</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36290-2023</t>
        </is>
      </c>
      <c r="B396" s="1" t="n">
        <v>45152.35467592593</v>
      </c>
      <c r="C396" s="1" t="n">
        <v>46178</v>
      </c>
      <c r="D396" t="inlineStr">
        <is>
          <t>VÄSTERNORRLANDS LÄN</t>
        </is>
      </c>
      <c r="E396" t="inlineStr">
        <is>
          <t>ÅNGE</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30273-2023</t>
        </is>
      </c>
      <c r="B397" s="1" t="n">
        <v>45099</v>
      </c>
      <c r="C397" s="1" t="n">
        <v>46178</v>
      </c>
      <c r="D397" t="inlineStr">
        <is>
          <t>VÄSTERNORRLANDS LÄN</t>
        </is>
      </c>
      <c r="E397" t="inlineStr">
        <is>
          <t>ÅNGE</t>
        </is>
      </c>
      <c r="G397" t="n">
        <v>3.9</v>
      </c>
      <c r="H397" t="n">
        <v>0</v>
      </c>
      <c r="I397" t="n">
        <v>0</v>
      </c>
      <c r="J397" t="n">
        <v>0</v>
      </c>
      <c r="K397" t="n">
        <v>0</v>
      </c>
      <c r="L397" t="n">
        <v>0</v>
      </c>
      <c r="M397" t="n">
        <v>0</v>
      </c>
      <c r="N397" t="n">
        <v>0</v>
      </c>
      <c r="O397" t="n">
        <v>0</v>
      </c>
      <c r="P397" t="n">
        <v>0</v>
      </c>
      <c r="Q397" t="n">
        <v>0</v>
      </c>
      <c r="R397" s="2" t="inlineStr"/>
    </row>
    <row r="398" ht="15" customHeight="1">
      <c r="A398" t="inlineStr">
        <is>
          <t>A 29048-2021</t>
        </is>
      </c>
      <c r="B398" s="1" t="n">
        <v>44358</v>
      </c>
      <c r="C398" s="1" t="n">
        <v>46178</v>
      </c>
      <c r="D398" t="inlineStr">
        <is>
          <t>VÄSTERNORRLANDS LÄN</t>
        </is>
      </c>
      <c r="E398" t="inlineStr">
        <is>
          <t>ÅNGE</t>
        </is>
      </c>
      <c r="G398" t="n">
        <v>2.5</v>
      </c>
      <c r="H398" t="n">
        <v>0</v>
      </c>
      <c r="I398" t="n">
        <v>0</v>
      </c>
      <c r="J398" t="n">
        <v>0</v>
      </c>
      <c r="K398" t="n">
        <v>0</v>
      </c>
      <c r="L398" t="n">
        <v>0</v>
      </c>
      <c r="M398" t="n">
        <v>0</v>
      </c>
      <c r="N398" t="n">
        <v>0</v>
      </c>
      <c r="O398" t="n">
        <v>0</v>
      </c>
      <c r="P398" t="n">
        <v>0</v>
      </c>
      <c r="Q398" t="n">
        <v>0</v>
      </c>
      <c r="R398" s="2" t="inlineStr"/>
    </row>
    <row r="399" ht="15" customHeight="1">
      <c r="A399" t="inlineStr">
        <is>
          <t>A 14889-2022</t>
        </is>
      </c>
      <c r="B399" s="1" t="n">
        <v>44656</v>
      </c>
      <c r="C399" s="1" t="n">
        <v>46178</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17044-2023</t>
        </is>
      </c>
      <c r="B400" s="1" t="n">
        <v>45034</v>
      </c>
      <c r="C400" s="1" t="n">
        <v>46178</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10087-2023</t>
        </is>
      </c>
      <c r="B401" s="1" t="n">
        <v>44985</v>
      </c>
      <c r="C401" s="1" t="n">
        <v>46178</v>
      </c>
      <c r="D401" t="inlineStr">
        <is>
          <t>VÄSTERNORRLANDS LÄN</t>
        </is>
      </c>
      <c r="E401" t="inlineStr">
        <is>
          <t>ÅNGE</t>
        </is>
      </c>
      <c r="F401" t="inlineStr">
        <is>
          <t>SCA</t>
        </is>
      </c>
      <c r="G401" t="n">
        <v>7.9</v>
      </c>
      <c r="H401" t="n">
        <v>0</v>
      </c>
      <c r="I401" t="n">
        <v>0</v>
      </c>
      <c r="J401" t="n">
        <v>0</v>
      </c>
      <c r="K401" t="n">
        <v>0</v>
      </c>
      <c r="L401" t="n">
        <v>0</v>
      </c>
      <c r="M401" t="n">
        <v>0</v>
      </c>
      <c r="N401" t="n">
        <v>0</v>
      </c>
      <c r="O401" t="n">
        <v>0</v>
      </c>
      <c r="P401" t="n">
        <v>0</v>
      </c>
      <c r="Q401" t="n">
        <v>0</v>
      </c>
      <c r="R401" s="2" t="inlineStr"/>
    </row>
    <row r="402" ht="15" customHeight="1">
      <c r="A402" t="inlineStr">
        <is>
          <t>A 34959-2023</t>
        </is>
      </c>
      <c r="B402" s="1" t="n">
        <v>45142</v>
      </c>
      <c r="C402" s="1" t="n">
        <v>46178</v>
      </c>
      <c r="D402" t="inlineStr">
        <is>
          <t>VÄSTERNORRLANDS LÄN</t>
        </is>
      </c>
      <c r="E402" t="inlineStr">
        <is>
          <t>ÅNGE</t>
        </is>
      </c>
      <c r="F402" t="inlineStr">
        <is>
          <t>Sveaskog</t>
        </is>
      </c>
      <c r="G402" t="n">
        <v>6.6</v>
      </c>
      <c r="H402" t="n">
        <v>0</v>
      </c>
      <c r="I402" t="n">
        <v>0</v>
      </c>
      <c r="J402" t="n">
        <v>0</v>
      </c>
      <c r="K402" t="n">
        <v>0</v>
      </c>
      <c r="L402" t="n">
        <v>0</v>
      </c>
      <c r="M402" t="n">
        <v>0</v>
      </c>
      <c r="N402" t="n">
        <v>0</v>
      </c>
      <c r="O402" t="n">
        <v>0</v>
      </c>
      <c r="P402" t="n">
        <v>0</v>
      </c>
      <c r="Q402" t="n">
        <v>0</v>
      </c>
      <c r="R402" s="2" t="inlineStr"/>
    </row>
    <row r="403" ht="15" customHeight="1">
      <c r="A403" t="inlineStr">
        <is>
          <t>A 61577-2023</t>
        </is>
      </c>
      <c r="B403" s="1" t="n">
        <v>45265.47366898148</v>
      </c>
      <c r="C403" s="1" t="n">
        <v>46178</v>
      </c>
      <c r="D403" t="inlineStr">
        <is>
          <t>VÄSTERNORRLANDS LÄN</t>
        </is>
      </c>
      <c r="E403" t="inlineStr">
        <is>
          <t>ÅNGE</t>
        </is>
      </c>
      <c r="G403" t="n">
        <v>2.9</v>
      </c>
      <c r="H403" t="n">
        <v>0</v>
      </c>
      <c r="I403" t="n">
        <v>0</v>
      </c>
      <c r="J403" t="n">
        <v>0</v>
      </c>
      <c r="K403" t="n">
        <v>0</v>
      </c>
      <c r="L403" t="n">
        <v>0</v>
      </c>
      <c r="M403" t="n">
        <v>0</v>
      </c>
      <c r="N403" t="n">
        <v>0</v>
      </c>
      <c r="O403" t="n">
        <v>0</v>
      </c>
      <c r="P403" t="n">
        <v>0</v>
      </c>
      <c r="Q403" t="n">
        <v>0</v>
      </c>
      <c r="R403" s="2" t="inlineStr"/>
    </row>
    <row r="404" ht="15" customHeight="1">
      <c r="A404" t="inlineStr">
        <is>
          <t>A 15288-2025</t>
        </is>
      </c>
      <c r="B404" s="1" t="n">
        <v>45745.34423611111</v>
      </c>
      <c r="C404" s="1" t="n">
        <v>46178</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8406-2023</t>
        </is>
      </c>
      <c r="B405" s="1" t="n">
        <v>44971</v>
      </c>
      <c r="C405" s="1" t="n">
        <v>46178</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17670-2023</t>
        </is>
      </c>
      <c r="B406" s="1" t="n">
        <v>45036</v>
      </c>
      <c r="C406" s="1" t="n">
        <v>46178</v>
      </c>
      <c r="D406" t="inlineStr">
        <is>
          <t>VÄSTERNORRLANDS LÄN</t>
        </is>
      </c>
      <c r="E406" t="inlineStr">
        <is>
          <t>ÅNGE</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57109-2023</t>
        </is>
      </c>
      <c r="B407" s="1" t="n">
        <v>45239</v>
      </c>
      <c r="C407" s="1" t="n">
        <v>46178</v>
      </c>
      <c r="D407" t="inlineStr">
        <is>
          <t>VÄSTERNORRLANDS LÄN</t>
        </is>
      </c>
      <c r="E407" t="inlineStr">
        <is>
          <t>ÅNGE</t>
        </is>
      </c>
      <c r="G407" t="n">
        <v>7</v>
      </c>
      <c r="H407" t="n">
        <v>0</v>
      </c>
      <c r="I407" t="n">
        <v>0</v>
      </c>
      <c r="J407" t="n">
        <v>0</v>
      </c>
      <c r="K407" t="n">
        <v>0</v>
      </c>
      <c r="L407" t="n">
        <v>0</v>
      </c>
      <c r="M407" t="n">
        <v>0</v>
      </c>
      <c r="N407" t="n">
        <v>0</v>
      </c>
      <c r="O407" t="n">
        <v>0</v>
      </c>
      <c r="P407" t="n">
        <v>0</v>
      </c>
      <c r="Q407" t="n">
        <v>0</v>
      </c>
      <c r="R407" s="2" t="inlineStr"/>
    </row>
    <row r="408" ht="15" customHeight="1">
      <c r="A408" t="inlineStr">
        <is>
          <t>A 42857-2022</t>
        </is>
      </c>
      <c r="B408" s="1" t="n">
        <v>44832</v>
      </c>
      <c r="C408" s="1" t="n">
        <v>46178</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54456-2024</t>
        </is>
      </c>
      <c r="B409" s="1" t="n">
        <v>45617.53160879629</v>
      </c>
      <c r="C409" s="1" t="n">
        <v>46178</v>
      </c>
      <c r="D409" t="inlineStr">
        <is>
          <t>VÄSTERNORRLANDS LÄN</t>
        </is>
      </c>
      <c r="E409" t="inlineStr">
        <is>
          <t>ÅNGE</t>
        </is>
      </c>
      <c r="F409" t="inlineStr">
        <is>
          <t>SCA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31325-2022</t>
        </is>
      </c>
      <c r="B410" s="1" t="n">
        <v>44774.41421296296</v>
      </c>
      <c r="C410" s="1" t="n">
        <v>46178</v>
      </c>
      <c r="D410" t="inlineStr">
        <is>
          <t>VÄSTERNORRLANDS LÄN</t>
        </is>
      </c>
      <c r="E410" t="inlineStr">
        <is>
          <t>ÅNGE</t>
        </is>
      </c>
      <c r="G410" t="n">
        <v>6.3</v>
      </c>
      <c r="H410" t="n">
        <v>0</v>
      </c>
      <c r="I410" t="n">
        <v>0</v>
      </c>
      <c r="J410" t="n">
        <v>0</v>
      </c>
      <c r="K410" t="n">
        <v>0</v>
      </c>
      <c r="L410" t="n">
        <v>0</v>
      </c>
      <c r="M410" t="n">
        <v>0</v>
      </c>
      <c r="N410" t="n">
        <v>0</v>
      </c>
      <c r="O410" t="n">
        <v>0</v>
      </c>
      <c r="P410" t="n">
        <v>0</v>
      </c>
      <c r="Q410" t="n">
        <v>0</v>
      </c>
      <c r="R410" s="2" t="inlineStr"/>
    </row>
    <row r="411" ht="15" customHeight="1">
      <c r="A411" t="inlineStr">
        <is>
          <t>A 6-2025</t>
        </is>
      </c>
      <c r="B411" s="1" t="n">
        <v>45658.50759259259</v>
      </c>
      <c r="C411" s="1" t="n">
        <v>46178</v>
      </c>
      <c r="D411" t="inlineStr">
        <is>
          <t>VÄSTERNORRLANDS LÄN</t>
        </is>
      </c>
      <c r="E411" t="inlineStr">
        <is>
          <t>ÅNGE</t>
        </is>
      </c>
      <c r="G411" t="n">
        <v>4.3</v>
      </c>
      <c r="H411" t="n">
        <v>0</v>
      </c>
      <c r="I411" t="n">
        <v>0</v>
      </c>
      <c r="J411" t="n">
        <v>0</v>
      </c>
      <c r="K411" t="n">
        <v>0</v>
      </c>
      <c r="L411" t="n">
        <v>0</v>
      </c>
      <c r="M411" t="n">
        <v>0</v>
      </c>
      <c r="N411" t="n">
        <v>0</v>
      </c>
      <c r="O411" t="n">
        <v>0</v>
      </c>
      <c r="P411" t="n">
        <v>0</v>
      </c>
      <c r="Q411" t="n">
        <v>0</v>
      </c>
      <c r="R411" s="2" t="inlineStr"/>
    </row>
    <row r="412" ht="15" customHeight="1">
      <c r="A412" t="inlineStr">
        <is>
          <t>A 24232-2024</t>
        </is>
      </c>
      <c r="B412" s="1" t="n">
        <v>45457.34686342593</v>
      </c>
      <c r="C412" s="1" t="n">
        <v>46178</v>
      </c>
      <c r="D412" t="inlineStr">
        <is>
          <t>VÄSTERNORRLANDS LÄN</t>
        </is>
      </c>
      <c r="E412" t="inlineStr">
        <is>
          <t>ÅNGE</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22411-2023</t>
        </is>
      </c>
      <c r="B413" s="1" t="n">
        <v>45070</v>
      </c>
      <c r="C413" s="1" t="n">
        <v>46178</v>
      </c>
      <c r="D413" t="inlineStr">
        <is>
          <t>VÄSTERNORRLANDS LÄN</t>
        </is>
      </c>
      <c r="E413" t="inlineStr">
        <is>
          <t>ÅNGE</t>
        </is>
      </c>
      <c r="G413" t="n">
        <v>2.8</v>
      </c>
      <c r="H413" t="n">
        <v>0</v>
      </c>
      <c r="I413" t="n">
        <v>0</v>
      </c>
      <c r="J413" t="n">
        <v>0</v>
      </c>
      <c r="K413" t="n">
        <v>0</v>
      </c>
      <c r="L413" t="n">
        <v>0</v>
      </c>
      <c r="M413" t="n">
        <v>0</v>
      </c>
      <c r="N413" t="n">
        <v>0</v>
      </c>
      <c r="O413" t="n">
        <v>0</v>
      </c>
      <c r="P413" t="n">
        <v>0</v>
      </c>
      <c r="Q413" t="n">
        <v>0</v>
      </c>
      <c r="R413" s="2" t="inlineStr"/>
    </row>
    <row r="414" ht="15" customHeight="1">
      <c r="A414" t="inlineStr">
        <is>
          <t>A 9382-2025</t>
        </is>
      </c>
      <c r="B414" s="1" t="n">
        <v>45715.34425925926</v>
      </c>
      <c r="C414" s="1" t="n">
        <v>46178</v>
      </c>
      <c r="D414" t="inlineStr">
        <is>
          <t>VÄSTERNORRLANDS LÄN</t>
        </is>
      </c>
      <c r="E414" t="inlineStr">
        <is>
          <t>ÅNGE</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56434-2021</t>
        </is>
      </c>
      <c r="B415" s="1" t="n">
        <v>44477</v>
      </c>
      <c r="C415" s="1" t="n">
        <v>46178</v>
      </c>
      <c r="D415" t="inlineStr">
        <is>
          <t>VÄSTERNORRLANDS LÄN</t>
        </is>
      </c>
      <c r="E415" t="inlineStr">
        <is>
          <t>ÅNGE</t>
        </is>
      </c>
      <c r="G415" t="n">
        <v>2.7</v>
      </c>
      <c r="H415" t="n">
        <v>0</v>
      </c>
      <c r="I415" t="n">
        <v>0</v>
      </c>
      <c r="J415" t="n">
        <v>0</v>
      </c>
      <c r="K415" t="n">
        <v>0</v>
      </c>
      <c r="L415" t="n">
        <v>0</v>
      </c>
      <c r="M415" t="n">
        <v>0</v>
      </c>
      <c r="N415" t="n">
        <v>0</v>
      </c>
      <c r="O415" t="n">
        <v>0</v>
      </c>
      <c r="P415" t="n">
        <v>0</v>
      </c>
      <c r="Q415" t="n">
        <v>0</v>
      </c>
      <c r="R415" s="2" t="inlineStr"/>
    </row>
    <row r="416" ht="15" customHeight="1">
      <c r="A416" t="inlineStr">
        <is>
          <t>A 15778-2025</t>
        </is>
      </c>
      <c r="B416" s="1" t="n">
        <v>45748.60030092593</v>
      </c>
      <c r="C416" s="1" t="n">
        <v>46178</v>
      </c>
      <c r="D416" t="inlineStr">
        <is>
          <t>VÄSTERNORRLANDS LÄN</t>
        </is>
      </c>
      <c r="E416" t="inlineStr">
        <is>
          <t>ÅNGE</t>
        </is>
      </c>
      <c r="F416" t="inlineStr">
        <is>
          <t>SCA</t>
        </is>
      </c>
      <c r="G416" t="n">
        <v>13.6</v>
      </c>
      <c r="H416" t="n">
        <v>0</v>
      </c>
      <c r="I416" t="n">
        <v>0</v>
      </c>
      <c r="J416" t="n">
        <v>0</v>
      </c>
      <c r="K416" t="n">
        <v>0</v>
      </c>
      <c r="L416" t="n">
        <v>0</v>
      </c>
      <c r="M416" t="n">
        <v>0</v>
      </c>
      <c r="N416" t="n">
        <v>0</v>
      </c>
      <c r="O416" t="n">
        <v>0</v>
      </c>
      <c r="P416" t="n">
        <v>0</v>
      </c>
      <c r="Q416" t="n">
        <v>0</v>
      </c>
      <c r="R416" s="2" t="inlineStr"/>
    </row>
    <row r="417" ht="15" customHeight="1">
      <c r="A417" t="inlineStr">
        <is>
          <t>A 18067-2025</t>
        </is>
      </c>
      <c r="B417" s="1" t="n">
        <v>45761.49016203704</v>
      </c>
      <c r="C417" s="1" t="n">
        <v>46178</v>
      </c>
      <c r="D417" t="inlineStr">
        <is>
          <t>VÄSTERNORRLANDS LÄN</t>
        </is>
      </c>
      <c r="E417" t="inlineStr">
        <is>
          <t>ÅNGE</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16606-2023</t>
        </is>
      </c>
      <c r="B418" s="1" t="n">
        <v>45030.3990625</v>
      </c>
      <c r="C418" s="1" t="n">
        <v>46178</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39764-2024</t>
        </is>
      </c>
      <c r="B419" s="1" t="n">
        <v>45552.7190162037</v>
      </c>
      <c r="C419" s="1" t="n">
        <v>46178</v>
      </c>
      <c r="D419" t="inlineStr">
        <is>
          <t>VÄSTERNORRLANDS LÄN</t>
        </is>
      </c>
      <c r="E419" t="inlineStr">
        <is>
          <t>ÅNGE</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60368-2024</t>
        </is>
      </c>
      <c r="B420" s="1" t="n">
        <v>45643</v>
      </c>
      <c r="C420" s="1" t="n">
        <v>46178</v>
      </c>
      <c r="D420" t="inlineStr">
        <is>
          <t>VÄSTERNORRLANDS LÄN</t>
        </is>
      </c>
      <c r="E420" t="inlineStr">
        <is>
          <t>ÅNGE</t>
        </is>
      </c>
      <c r="G420" t="n">
        <v>1.8</v>
      </c>
      <c r="H420" t="n">
        <v>0</v>
      </c>
      <c r="I420" t="n">
        <v>0</v>
      </c>
      <c r="J420" t="n">
        <v>0</v>
      </c>
      <c r="K420" t="n">
        <v>0</v>
      </c>
      <c r="L420" t="n">
        <v>0</v>
      </c>
      <c r="M420" t="n">
        <v>0</v>
      </c>
      <c r="N420" t="n">
        <v>0</v>
      </c>
      <c r="O420" t="n">
        <v>0</v>
      </c>
      <c r="P420" t="n">
        <v>0</v>
      </c>
      <c r="Q420" t="n">
        <v>0</v>
      </c>
      <c r="R420" s="2" t="inlineStr"/>
    </row>
    <row r="421" ht="15" customHeight="1">
      <c r="A421" t="inlineStr">
        <is>
          <t>A 11396-2024</t>
        </is>
      </c>
      <c r="B421" s="1" t="n">
        <v>45372</v>
      </c>
      <c r="C421" s="1" t="n">
        <v>46178</v>
      </c>
      <c r="D421" t="inlineStr">
        <is>
          <t>VÄSTERNORRLANDS LÄN</t>
        </is>
      </c>
      <c r="E421" t="inlineStr">
        <is>
          <t>ÅNGE</t>
        </is>
      </c>
      <c r="G421" t="n">
        <v>2.2</v>
      </c>
      <c r="H421" t="n">
        <v>0</v>
      </c>
      <c r="I421" t="n">
        <v>0</v>
      </c>
      <c r="J421" t="n">
        <v>0</v>
      </c>
      <c r="K421" t="n">
        <v>0</v>
      </c>
      <c r="L421" t="n">
        <v>0</v>
      </c>
      <c r="M421" t="n">
        <v>0</v>
      </c>
      <c r="N421" t="n">
        <v>0</v>
      </c>
      <c r="O421" t="n">
        <v>0</v>
      </c>
      <c r="P421" t="n">
        <v>0</v>
      </c>
      <c r="Q421" t="n">
        <v>0</v>
      </c>
      <c r="R421" s="2" t="inlineStr"/>
    </row>
    <row r="422" ht="15" customHeight="1">
      <c r="A422" t="inlineStr">
        <is>
          <t>A 46775-2024</t>
        </is>
      </c>
      <c r="B422" s="1" t="n">
        <v>45583.49711805556</v>
      </c>
      <c r="C422" s="1" t="n">
        <v>46178</v>
      </c>
      <c r="D422" t="inlineStr">
        <is>
          <t>VÄSTERNORRLANDS LÄN</t>
        </is>
      </c>
      <c r="E422" t="inlineStr">
        <is>
          <t>ÅNGE</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46780-2024</t>
        </is>
      </c>
      <c r="B423" s="1" t="n">
        <v>45583.51076388889</v>
      </c>
      <c r="C423" s="1" t="n">
        <v>46178</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29462-2024</t>
        </is>
      </c>
      <c r="B424" s="1" t="n">
        <v>45483.96979166667</v>
      </c>
      <c r="C424" s="1" t="n">
        <v>46178</v>
      </c>
      <c r="D424" t="inlineStr">
        <is>
          <t>VÄSTERNORRLANDS LÄN</t>
        </is>
      </c>
      <c r="E424" t="inlineStr">
        <is>
          <t>ÅNGE</t>
        </is>
      </c>
      <c r="F424" t="inlineStr">
        <is>
          <t>SCA</t>
        </is>
      </c>
      <c r="G424" t="n">
        <v>8.4</v>
      </c>
      <c r="H424" t="n">
        <v>0</v>
      </c>
      <c r="I424" t="n">
        <v>0</v>
      </c>
      <c r="J424" t="n">
        <v>0</v>
      </c>
      <c r="K424" t="n">
        <v>0</v>
      </c>
      <c r="L424" t="n">
        <v>0</v>
      </c>
      <c r="M424" t="n">
        <v>0</v>
      </c>
      <c r="N424" t="n">
        <v>0</v>
      </c>
      <c r="O424" t="n">
        <v>0</v>
      </c>
      <c r="P424" t="n">
        <v>0</v>
      </c>
      <c r="Q424" t="n">
        <v>0</v>
      </c>
      <c r="R424" s="2" t="inlineStr"/>
    </row>
    <row r="425" ht="15" customHeight="1">
      <c r="A425" t="inlineStr">
        <is>
          <t>A 41355-2024</t>
        </is>
      </c>
      <c r="B425" s="1" t="n">
        <v>45559.69833333333</v>
      </c>
      <c r="C425" s="1" t="n">
        <v>46178</v>
      </c>
      <c r="D425" t="inlineStr">
        <is>
          <t>VÄSTERNORRLANDS LÄN</t>
        </is>
      </c>
      <c r="E425" t="inlineStr">
        <is>
          <t>ÅNGE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29270-2024</t>
        </is>
      </c>
      <c r="B426" s="1" t="n">
        <v>45482.94979166667</v>
      </c>
      <c r="C426" s="1" t="n">
        <v>46178</v>
      </c>
      <c r="D426" t="inlineStr">
        <is>
          <t>VÄSTERNORRLANDS LÄN</t>
        </is>
      </c>
      <c r="E426" t="inlineStr">
        <is>
          <t>ÅNGE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28506-2024</t>
        </is>
      </c>
      <c r="B427" s="1" t="n">
        <v>45477.9475</v>
      </c>
      <c r="C427" s="1" t="n">
        <v>46178</v>
      </c>
      <c r="D427" t="inlineStr">
        <is>
          <t>VÄSTERNORRLANDS LÄN</t>
        </is>
      </c>
      <c r="E427" t="inlineStr">
        <is>
          <t>ÅNGE</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55177-2024</t>
        </is>
      </c>
      <c r="B428" s="1" t="n">
        <v>45621.53179398148</v>
      </c>
      <c r="C428" s="1" t="n">
        <v>46178</v>
      </c>
      <c r="D428" t="inlineStr">
        <is>
          <t>VÄSTERNORRLANDS LÄN</t>
        </is>
      </c>
      <c r="E428" t="inlineStr">
        <is>
          <t>ÅNGE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732-2023</t>
        </is>
      </c>
      <c r="B429" s="1" t="n">
        <v>44931.29981481482</v>
      </c>
      <c r="C429" s="1" t="n">
        <v>46178</v>
      </c>
      <c r="D429" t="inlineStr">
        <is>
          <t>VÄSTERNORRLANDS LÄN</t>
        </is>
      </c>
      <c r="E429" t="inlineStr">
        <is>
          <t>ÅNGE</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33305-2024</t>
        </is>
      </c>
      <c r="B430" s="1" t="n">
        <v>45518</v>
      </c>
      <c r="C430" s="1" t="n">
        <v>46178</v>
      </c>
      <c r="D430" t="inlineStr">
        <is>
          <t>VÄSTERNORRLANDS LÄN</t>
        </is>
      </c>
      <c r="E430" t="inlineStr">
        <is>
          <t>ÅNGE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33306-2024</t>
        </is>
      </c>
      <c r="B431" s="1" t="n">
        <v>45518</v>
      </c>
      <c r="C431" s="1" t="n">
        <v>46178</v>
      </c>
      <c r="D431" t="inlineStr">
        <is>
          <t>VÄSTERNORRLANDS LÄN</t>
        </is>
      </c>
      <c r="E431" t="inlineStr">
        <is>
          <t>ÅNGE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34861-2024</t>
        </is>
      </c>
      <c r="B432" s="1" t="n">
        <v>45527.339375</v>
      </c>
      <c r="C432" s="1" t="n">
        <v>46178</v>
      </c>
      <c r="D432" t="inlineStr">
        <is>
          <t>VÄSTERNORRLANDS LÄN</t>
        </is>
      </c>
      <c r="E432" t="inlineStr">
        <is>
          <t>ÅNGE</t>
        </is>
      </c>
      <c r="F432" t="inlineStr">
        <is>
          <t>SCA</t>
        </is>
      </c>
      <c r="G432" t="n">
        <v>9.1</v>
      </c>
      <c r="H432" t="n">
        <v>0</v>
      </c>
      <c r="I432" t="n">
        <v>0</v>
      </c>
      <c r="J432" t="n">
        <v>0</v>
      </c>
      <c r="K432" t="n">
        <v>0</v>
      </c>
      <c r="L432" t="n">
        <v>0</v>
      </c>
      <c r="M432" t="n">
        <v>0</v>
      </c>
      <c r="N432" t="n">
        <v>0</v>
      </c>
      <c r="O432" t="n">
        <v>0</v>
      </c>
      <c r="P432" t="n">
        <v>0</v>
      </c>
      <c r="Q432" t="n">
        <v>0</v>
      </c>
      <c r="R432" s="2" t="inlineStr"/>
    </row>
    <row r="433" ht="15" customHeight="1">
      <c r="A433" t="inlineStr">
        <is>
          <t>A 58943-2022</t>
        </is>
      </c>
      <c r="B433" s="1" t="n">
        <v>44903.64400462963</v>
      </c>
      <c r="C433" s="1" t="n">
        <v>46178</v>
      </c>
      <c r="D433" t="inlineStr">
        <is>
          <t>VÄSTERNORRLANDS LÄN</t>
        </is>
      </c>
      <c r="E433" t="inlineStr">
        <is>
          <t>ÅNGE</t>
        </is>
      </c>
      <c r="G433" t="n">
        <v>5.6</v>
      </c>
      <c r="H433" t="n">
        <v>0</v>
      </c>
      <c r="I433" t="n">
        <v>0</v>
      </c>
      <c r="J433" t="n">
        <v>0</v>
      </c>
      <c r="K433" t="n">
        <v>0</v>
      </c>
      <c r="L433" t="n">
        <v>0</v>
      </c>
      <c r="M433" t="n">
        <v>0</v>
      </c>
      <c r="N433" t="n">
        <v>0</v>
      </c>
      <c r="O433" t="n">
        <v>0</v>
      </c>
      <c r="P433" t="n">
        <v>0</v>
      </c>
      <c r="Q433" t="n">
        <v>0</v>
      </c>
      <c r="R433" s="2" t="inlineStr"/>
    </row>
    <row r="434" ht="15" customHeight="1">
      <c r="A434" t="inlineStr">
        <is>
          <t>A 23063-2024</t>
        </is>
      </c>
      <c r="B434" s="1" t="n">
        <v>45450.44278935185</v>
      </c>
      <c r="C434" s="1" t="n">
        <v>46178</v>
      </c>
      <c r="D434" t="inlineStr">
        <is>
          <t>VÄSTERNORRLANDS LÄN</t>
        </is>
      </c>
      <c r="E434" t="inlineStr">
        <is>
          <t>ÅNGE</t>
        </is>
      </c>
      <c r="G434" t="n">
        <v>0.8</v>
      </c>
      <c r="H434" t="n">
        <v>0</v>
      </c>
      <c r="I434" t="n">
        <v>0</v>
      </c>
      <c r="J434" t="n">
        <v>0</v>
      </c>
      <c r="K434" t="n">
        <v>0</v>
      </c>
      <c r="L434" t="n">
        <v>0</v>
      </c>
      <c r="M434" t="n">
        <v>0</v>
      </c>
      <c r="N434" t="n">
        <v>0</v>
      </c>
      <c r="O434" t="n">
        <v>0</v>
      </c>
      <c r="P434" t="n">
        <v>0</v>
      </c>
      <c r="Q434" t="n">
        <v>0</v>
      </c>
      <c r="R434" s="2" t="inlineStr"/>
    </row>
    <row r="435" ht="15" customHeight="1">
      <c r="A435" t="inlineStr">
        <is>
          <t>A 24207-2025</t>
        </is>
      </c>
      <c r="B435" s="1" t="n">
        <v>45797.34439814815</v>
      </c>
      <c r="C435" s="1" t="n">
        <v>46178</v>
      </c>
      <c r="D435" t="inlineStr">
        <is>
          <t>VÄSTERNORRLANDS LÄN</t>
        </is>
      </c>
      <c r="E435" t="inlineStr">
        <is>
          <t>ÅNGE</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43145-2024</t>
        </is>
      </c>
      <c r="B436" s="1" t="n">
        <v>45567.63030092593</v>
      </c>
      <c r="C436" s="1" t="n">
        <v>46178</v>
      </c>
      <c r="D436" t="inlineStr">
        <is>
          <t>VÄSTERNORRLANDS LÄN</t>
        </is>
      </c>
      <c r="E436" t="inlineStr">
        <is>
          <t>ÅNGE</t>
        </is>
      </c>
      <c r="G436" t="n">
        <v>1.4</v>
      </c>
      <c r="H436" t="n">
        <v>0</v>
      </c>
      <c r="I436" t="n">
        <v>0</v>
      </c>
      <c r="J436" t="n">
        <v>0</v>
      </c>
      <c r="K436" t="n">
        <v>0</v>
      </c>
      <c r="L436" t="n">
        <v>0</v>
      </c>
      <c r="M436" t="n">
        <v>0</v>
      </c>
      <c r="N436" t="n">
        <v>0</v>
      </c>
      <c r="O436" t="n">
        <v>0</v>
      </c>
      <c r="P436" t="n">
        <v>0</v>
      </c>
      <c r="Q436" t="n">
        <v>0</v>
      </c>
      <c r="R436" s="2" t="inlineStr"/>
    </row>
    <row r="437" ht="15" customHeight="1">
      <c r="A437" t="inlineStr">
        <is>
          <t>A 23917-2025</t>
        </is>
      </c>
      <c r="B437" s="1" t="n">
        <v>45795.34481481482</v>
      </c>
      <c r="C437" s="1" t="n">
        <v>46178</v>
      </c>
      <c r="D437" t="inlineStr">
        <is>
          <t>VÄSTERNORRLANDS LÄN</t>
        </is>
      </c>
      <c r="E437" t="inlineStr">
        <is>
          <t>ÅNGE</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23921-2025</t>
        </is>
      </c>
      <c r="B438" s="1" t="n">
        <v>45795.34513888889</v>
      </c>
      <c r="C438" s="1" t="n">
        <v>46178</v>
      </c>
      <c r="D438" t="inlineStr">
        <is>
          <t>VÄSTERNORRLANDS LÄN</t>
        </is>
      </c>
      <c r="E438" t="inlineStr">
        <is>
          <t>ÅNGE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10558-2023</t>
        </is>
      </c>
      <c r="B439" s="1" t="n">
        <v>44987.94438657408</v>
      </c>
      <c r="C439" s="1" t="n">
        <v>46178</v>
      </c>
      <c r="D439" t="inlineStr">
        <is>
          <t>VÄSTERNORRLANDS LÄN</t>
        </is>
      </c>
      <c r="E439" t="inlineStr">
        <is>
          <t>ÅNGE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24232-2025</t>
        </is>
      </c>
      <c r="B440" s="1" t="n">
        <v>45797.37846064815</v>
      </c>
      <c r="C440" s="1" t="n">
        <v>46178</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46178</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57596-2022</t>
        </is>
      </c>
      <c r="B442" s="1" t="n">
        <v>44896.97871527778</v>
      </c>
      <c r="C442" s="1" t="n">
        <v>46178</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57598-2022</t>
        </is>
      </c>
      <c r="B443" s="1" t="n">
        <v>44896</v>
      </c>
      <c r="C443" s="1" t="n">
        <v>46178</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56188-2024</t>
        </is>
      </c>
      <c r="B444" s="1" t="n">
        <v>45624.57800925926</v>
      </c>
      <c r="C444" s="1" t="n">
        <v>46178</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44158-2024</t>
        </is>
      </c>
      <c r="B445" s="1" t="n">
        <v>45572</v>
      </c>
      <c r="C445" s="1" t="n">
        <v>46178</v>
      </c>
      <c r="D445" t="inlineStr">
        <is>
          <t>VÄSTERNORRLANDS LÄN</t>
        </is>
      </c>
      <c r="E445" t="inlineStr">
        <is>
          <t>ÅNGE</t>
        </is>
      </c>
      <c r="G445" t="n">
        <v>2.6</v>
      </c>
      <c r="H445" t="n">
        <v>0</v>
      </c>
      <c r="I445" t="n">
        <v>0</v>
      </c>
      <c r="J445" t="n">
        <v>0</v>
      </c>
      <c r="K445" t="n">
        <v>0</v>
      </c>
      <c r="L445" t="n">
        <v>0</v>
      </c>
      <c r="M445" t="n">
        <v>0</v>
      </c>
      <c r="N445" t="n">
        <v>0</v>
      </c>
      <c r="O445" t="n">
        <v>0</v>
      </c>
      <c r="P445" t="n">
        <v>0</v>
      </c>
      <c r="Q445" t="n">
        <v>0</v>
      </c>
      <c r="R445" s="2" t="inlineStr"/>
    </row>
    <row r="446" ht="15" customHeight="1">
      <c r="A446" t="inlineStr">
        <is>
          <t>A 24458-2025</t>
        </is>
      </c>
      <c r="B446" s="1" t="n">
        <v>45798.34476851852</v>
      </c>
      <c r="C446" s="1" t="n">
        <v>46178</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27951-2021</t>
        </is>
      </c>
      <c r="B447" s="1" t="n">
        <v>44354</v>
      </c>
      <c r="C447" s="1" t="n">
        <v>46178</v>
      </c>
      <c r="D447" t="inlineStr">
        <is>
          <t>VÄSTERNORRLANDS LÄN</t>
        </is>
      </c>
      <c r="E447" t="inlineStr">
        <is>
          <t>ÅNGE</t>
        </is>
      </c>
      <c r="G447" t="n">
        <v>3</v>
      </c>
      <c r="H447" t="n">
        <v>0</v>
      </c>
      <c r="I447" t="n">
        <v>0</v>
      </c>
      <c r="J447" t="n">
        <v>0</v>
      </c>
      <c r="K447" t="n">
        <v>0</v>
      </c>
      <c r="L447" t="n">
        <v>0</v>
      </c>
      <c r="M447" t="n">
        <v>0</v>
      </c>
      <c r="N447" t="n">
        <v>0</v>
      </c>
      <c r="O447" t="n">
        <v>0</v>
      </c>
      <c r="P447" t="n">
        <v>0</v>
      </c>
      <c r="Q447" t="n">
        <v>0</v>
      </c>
      <c r="R447" s="2" t="inlineStr"/>
    </row>
    <row r="448" ht="15" customHeight="1">
      <c r="A448" t="inlineStr">
        <is>
          <t>A 61461-2023</t>
        </is>
      </c>
      <c r="B448" s="1" t="n">
        <v>45264.9261574074</v>
      </c>
      <c r="C448" s="1" t="n">
        <v>46178</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24627-2025</t>
        </is>
      </c>
      <c r="B449" s="1" t="n">
        <v>45798.59471064815</v>
      </c>
      <c r="C449" s="1" t="n">
        <v>46178</v>
      </c>
      <c r="D449" t="inlineStr">
        <is>
          <t>VÄSTERNORRLANDS LÄN</t>
        </is>
      </c>
      <c r="E449" t="inlineStr">
        <is>
          <t>ÅNGE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39005-2024</t>
        </is>
      </c>
      <c r="B450" s="1" t="n">
        <v>45548.42743055556</v>
      </c>
      <c r="C450" s="1" t="n">
        <v>46178</v>
      </c>
      <c r="D450" t="inlineStr">
        <is>
          <t>VÄSTERNORRLANDS LÄN</t>
        </is>
      </c>
      <c r="E450" t="inlineStr">
        <is>
          <t>ÅNGE</t>
        </is>
      </c>
      <c r="F450" t="inlineStr">
        <is>
          <t>SCA</t>
        </is>
      </c>
      <c r="G450" t="n">
        <v>2.6</v>
      </c>
      <c r="H450" t="n">
        <v>0</v>
      </c>
      <c r="I450" t="n">
        <v>0</v>
      </c>
      <c r="J450" t="n">
        <v>0</v>
      </c>
      <c r="K450" t="n">
        <v>0</v>
      </c>
      <c r="L450" t="n">
        <v>0</v>
      </c>
      <c r="M450" t="n">
        <v>0</v>
      </c>
      <c r="N450" t="n">
        <v>0</v>
      </c>
      <c r="O450" t="n">
        <v>0</v>
      </c>
      <c r="P450" t="n">
        <v>0</v>
      </c>
      <c r="Q450" t="n">
        <v>0</v>
      </c>
      <c r="R450" s="2" t="inlineStr"/>
      <c r="U450">
        <f>HYPERLINK("https://klasma.github.io/Logging_2260/knärot/A 39005-2024 karta knärot.png", "A 39005-2024")</f>
        <v/>
      </c>
      <c r="V450">
        <f>HYPERLINK("https://klasma.github.io/Logging_2260/klagomål/A 39005-2024 FSC-klagomål.docx", "A 39005-2024")</f>
        <v/>
      </c>
      <c r="W450">
        <f>HYPERLINK("https://klasma.github.io/Logging_2260/klagomålsmail/A 39005-2024 FSC-klagomål mail.docx", "A 39005-2024")</f>
        <v/>
      </c>
      <c r="X450">
        <f>HYPERLINK("https://klasma.github.io/Logging_2260/tillsyn/A 39005-2024 tillsynsbegäran.docx", "A 39005-2024")</f>
        <v/>
      </c>
      <c r="Y450">
        <f>HYPERLINK("https://klasma.github.io/Logging_2260/tillsynsmail/A 39005-2024 tillsynsbegäran mail.docx", "A 39005-2024")</f>
        <v/>
      </c>
    </row>
    <row r="451" ht="15" customHeight="1">
      <c r="A451" t="inlineStr">
        <is>
          <t>A 41829-2021</t>
        </is>
      </c>
      <c r="B451" s="1" t="n">
        <v>44425.92202546296</v>
      </c>
      <c r="C451" s="1" t="n">
        <v>46178</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62092-2025</t>
        </is>
      </c>
      <c r="B452" s="1" t="n">
        <v>46006.38613425926</v>
      </c>
      <c r="C452" s="1" t="n">
        <v>46178</v>
      </c>
      <c r="D452" t="inlineStr">
        <is>
          <t>VÄSTERNORRLANDS LÄN</t>
        </is>
      </c>
      <c r="E452" t="inlineStr">
        <is>
          <t>ÅNGE</t>
        </is>
      </c>
      <c r="F452" t="inlineStr">
        <is>
          <t>SCA</t>
        </is>
      </c>
      <c r="G452" t="n">
        <v>16.3</v>
      </c>
      <c r="H452" t="n">
        <v>0</v>
      </c>
      <c r="I452" t="n">
        <v>0</v>
      </c>
      <c r="J452" t="n">
        <v>0</v>
      </c>
      <c r="K452" t="n">
        <v>0</v>
      </c>
      <c r="L452" t="n">
        <v>0</v>
      </c>
      <c r="M452" t="n">
        <v>0</v>
      </c>
      <c r="N452" t="n">
        <v>0</v>
      </c>
      <c r="O452" t="n">
        <v>0</v>
      </c>
      <c r="P452" t="n">
        <v>0</v>
      </c>
      <c r="Q452" t="n">
        <v>0</v>
      </c>
      <c r="R452" s="2" t="inlineStr"/>
    </row>
    <row r="453" ht="15" customHeight="1">
      <c r="A453" t="inlineStr">
        <is>
          <t>A 60960-2025</t>
        </is>
      </c>
      <c r="B453" s="1" t="n">
        <v>45999</v>
      </c>
      <c r="C453" s="1" t="n">
        <v>46178</v>
      </c>
      <c r="D453" t="inlineStr">
        <is>
          <t>VÄSTERNORRLANDS LÄN</t>
        </is>
      </c>
      <c r="E453" t="inlineStr">
        <is>
          <t>ÅNGE</t>
        </is>
      </c>
      <c r="G453" t="n">
        <v>3.3</v>
      </c>
      <c r="H453" t="n">
        <v>0</v>
      </c>
      <c r="I453" t="n">
        <v>0</v>
      </c>
      <c r="J453" t="n">
        <v>0</v>
      </c>
      <c r="K453" t="n">
        <v>0</v>
      </c>
      <c r="L453" t="n">
        <v>0</v>
      </c>
      <c r="M453" t="n">
        <v>0</v>
      </c>
      <c r="N453" t="n">
        <v>0</v>
      </c>
      <c r="O453" t="n">
        <v>0</v>
      </c>
      <c r="P453" t="n">
        <v>0</v>
      </c>
      <c r="Q453" t="n">
        <v>0</v>
      </c>
      <c r="R453" s="2" t="inlineStr"/>
    </row>
    <row r="454" ht="15" customHeight="1">
      <c r="A454" t="inlineStr">
        <is>
          <t>A 27853-2024</t>
        </is>
      </c>
      <c r="B454" s="1" t="n">
        <v>45475</v>
      </c>
      <c r="C454" s="1" t="n">
        <v>46178</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49669-2025</t>
        </is>
      </c>
      <c r="B455" s="1" t="n">
        <v>45939.63710648148</v>
      </c>
      <c r="C455" s="1" t="n">
        <v>46178</v>
      </c>
      <c r="D455" t="inlineStr">
        <is>
          <t>VÄSTERNORRLANDS LÄN</t>
        </is>
      </c>
      <c r="E455" t="inlineStr">
        <is>
          <t>ÅNGE</t>
        </is>
      </c>
      <c r="F455" t="inlineStr">
        <is>
          <t>SCA</t>
        </is>
      </c>
      <c r="G455" t="n">
        <v>7.1</v>
      </c>
      <c r="H455" t="n">
        <v>0</v>
      </c>
      <c r="I455" t="n">
        <v>0</v>
      </c>
      <c r="J455" t="n">
        <v>0</v>
      </c>
      <c r="K455" t="n">
        <v>0</v>
      </c>
      <c r="L455" t="n">
        <v>0</v>
      </c>
      <c r="M455" t="n">
        <v>0</v>
      </c>
      <c r="N455" t="n">
        <v>0</v>
      </c>
      <c r="O455" t="n">
        <v>0</v>
      </c>
      <c r="P455" t="n">
        <v>0</v>
      </c>
      <c r="Q455" t="n">
        <v>0</v>
      </c>
      <c r="R455" s="2" t="inlineStr"/>
    </row>
    <row r="456" ht="15" customHeight="1">
      <c r="A456" t="inlineStr">
        <is>
          <t>A 62091-2025</t>
        </is>
      </c>
      <c r="B456" s="1" t="n">
        <v>46006.3859375</v>
      </c>
      <c r="C456" s="1" t="n">
        <v>46178</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38693-2025</t>
        </is>
      </c>
      <c r="B457" s="1" t="n">
        <v>45884.69829861111</v>
      </c>
      <c r="C457" s="1" t="n">
        <v>46178</v>
      </c>
      <c r="D457" t="inlineStr">
        <is>
          <t>VÄSTERNORRLANDS LÄN</t>
        </is>
      </c>
      <c r="E457" t="inlineStr">
        <is>
          <t>ÅNGE</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38703-2025</t>
        </is>
      </c>
      <c r="B458" s="1" t="n">
        <v>45885.34440972222</v>
      </c>
      <c r="C458" s="1" t="n">
        <v>46178</v>
      </c>
      <c r="D458" t="inlineStr">
        <is>
          <t>VÄSTERNORRLANDS LÄN</t>
        </is>
      </c>
      <c r="E458" t="inlineStr">
        <is>
          <t>ÅNGE</t>
        </is>
      </c>
      <c r="F458" t="inlineStr">
        <is>
          <t>SCA</t>
        </is>
      </c>
      <c r="G458" t="n">
        <v>0.5</v>
      </c>
      <c r="H458" t="n">
        <v>0</v>
      </c>
      <c r="I458" t="n">
        <v>0</v>
      </c>
      <c r="J458" t="n">
        <v>0</v>
      </c>
      <c r="K458" t="n">
        <v>0</v>
      </c>
      <c r="L458" t="n">
        <v>0</v>
      </c>
      <c r="M458" t="n">
        <v>0</v>
      </c>
      <c r="N458" t="n">
        <v>0</v>
      </c>
      <c r="O458" t="n">
        <v>0</v>
      </c>
      <c r="P458" t="n">
        <v>0</v>
      </c>
      <c r="Q458" t="n">
        <v>0</v>
      </c>
      <c r="R458" s="2" t="inlineStr"/>
    </row>
    <row r="459" ht="15" customHeight="1">
      <c r="A459" t="inlineStr">
        <is>
          <t>A 38711-2025</t>
        </is>
      </c>
      <c r="B459" s="1" t="n">
        <v>45886.34450231482</v>
      </c>
      <c r="C459" s="1" t="n">
        <v>46178</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38715-2025</t>
        </is>
      </c>
      <c r="B460" s="1" t="n">
        <v>45886.34501157407</v>
      </c>
      <c r="C460" s="1" t="n">
        <v>46178</v>
      </c>
      <c r="D460" t="inlineStr">
        <is>
          <t>VÄSTERNORRLANDS LÄN</t>
        </is>
      </c>
      <c r="E460" t="inlineStr">
        <is>
          <t>ÅNGE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25903-2022</t>
        </is>
      </c>
      <c r="B461" s="1" t="n">
        <v>44733</v>
      </c>
      <c r="C461" s="1" t="n">
        <v>46178</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1103-2023</t>
        </is>
      </c>
      <c r="B462" s="1" t="n">
        <v>44929</v>
      </c>
      <c r="C462" s="1" t="n">
        <v>46178</v>
      </c>
      <c r="D462" t="inlineStr">
        <is>
          <t>VÄSTERNORRLANDS LÄN</t>
        </is>
      </c>
      <c r="E462" t="inlineStr">
        <is>
          <t>ÅNGE</t>
        </is>
      </c>
      <c r="G462" t="n">
        <v>7.3</v>
      </c>
      <c r="H462" t="n">
        <v>0</v>
      </c>
      <c r="I462" t="n">
        <v>0</v>
      </c>
      <c r="J462" t="n">
        <v>0</v>
      </c>
      <c r="K462" t="n">
        <v>0</v>
      </c>
      <c r="L462" t="n">
        <v>0</v>
      </c>
      <c r="M462" t="n">
        <v>0</v>
      </c>
      <c r="N462" t="n">
        <v>0</v>
      </c>
      <c r="O462" t="n">
        <v>0</v>
      </c>
      <c r="P462" t="n">
        <v>0</v>
      </c>
      <c r="Q462" t="n">
        <v>0</v>
      </c>
      <c r="R462" s="2" t="inlineStr"/>
    </row>
    <row r="463" ht="15" customHeight="1">
      <c r="A463" t="inlineStr">
        <is>
          <t>A 64080-2025</t>
        </is>
      </c>
      <c r="B463" s="1" t="n">
        <v>46021.67752314815</v>
      </c>
      <c r="C463" s="1" t="n">
        <v>46178</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24847-2025</t>
        </is>
      </c>
      <c r="B464" s="1" t="n">
        <v>45799.46907407408</v>
      </c>
      <c r="C464" s="1" t="n">
        <v>46178</v>
      </c>
      <c r="D464" t="inlineStr">
        <is>
          <t>VÄSTERNORRLANDS LÄN</t>
        </is>
      </c>
      <c r="E464" t="inlineStr">
        <is>
          <t>ÅNGE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25017-2025</t>
        </is>
      </c>
      <c r="B465" s="1" t="n">
        <v>45799.63791666667</v>
      </c>
      <c r="C465" s="1" t="n">
        <v>46178</v>
      </c>
      <c r="D465" t="inlineStr">
        <is>
          <t>VÄSTERNORRLANDS LÄN</t>
        </is>
      </c>
      <c r="E465" t="inlineStr">
        <is>
          <t>ÅNGE</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30054-2024</t>
        </is>
      </c>
      <c r="B466" s="1" t="n">
        <v>45488.94758101852</v>
      </c>
      <c r="C466" s="1" t="n">
        <v>46178</v>
      </c>
      <c r="D466" t="inlineStr">
        <is>
          <t>VÄSTERNORRLANDS LÄN</t>
        </is>
      </c>
      <c r="E466" t="inlineStr">
        <is>
          <t>ÅNGE</t>
        </is>
      </c>
      <c r="F466" t="inlineStr">
        <is>
          <t>SCA</t>
        </is>
      </c>
      <c r="G466" t="n">
        <v>11.7</v>
      </c>
      <c r="H466" t="n">
        <v>0</v>
      </c>
      <c r="I466" t="n">
        <v>0</v>
      </c>
      <c r="J466" t="n">
        <v>0</v>
      </c>
      <c r="K466" t="n">
        <v>0</v>
      </c>
      <c r="L466" t="n">
        <v>0</v>
      </c>
      <c r="M466" t="n">
        <v>0</v>
      </c>
      <c r="N466" t="n">
        <v>0</v>
      </c>
      <c r="O466" t="n">
        <v>0</v>
      </c>
      <c r="P466" t="n">
        <v>0</v>
      </c>
      <c r="Q466" t="n">
        <v>0</v>
      </c>
      <c r="R466" s="2" t="inlineStr"/>
    </row>
    <row r="467" ht="15" customHeight="1">
      <c r="A467" t="inlineStr">
        <is>
          <t>A 63965-2025</t>
        </is>
      </c>
      <c r="B467" s="1" t="n">
        <v>46020.93445601852</v>
      </c>
      <c r="C467" s="1" t="n">
        <v>46178</v>
      </c>
      <c r="D467" t="inlineStr">
        <is>
          <t>VÄSTERNORRLANDS LÄN</t>
        </is>
      </c>
      <c r="E467" t="inlineStr">
        <is>
          <t>ÅNGE</t>
        </is>
      </c>
      <c r="G467" t="n">
        <v>11.1</v>
      </c>
      <c r="H467" t="n">
        <v>0</v>
      </c>
      <c r="I467" t="n">
        <v>0</v>
      </c>
      <c r="J467" t="n">
        <v>0</v>
      </c>
      <c r="K467" t="n">
        <v>0</v>
      </c>
      <c r="L467" t="n">
        <v>0</v>
      </c>
      <c r="M467" t="n">
        <v>0</v>
      </c>
      <c r="N467" t="n">
        <v>0</v>
      </c>
      <c r="O467" t="n">
        <v>0</v>
      </c>
      <c r="P467" t="n">
        <v>0</v>
      </c>
      <c r="Q467" t="n">
        <v>0</v>
      </c>
      <c r="R467" s="2" t="inlineStr"/>
    </row>
    <row r="468" ht="15" customHeight="1">
      <c r="A468" t="inlineStr">
        <is>
          <t>A 24852-2025</t>
        </is>
      </c>
      <c r="B468" s="1" t="n">
        <v>45799.46975694445</v>
      </c>
      <c r="C468" s="1" t="n">
        <v>46178</v>
      </c>
      <c r="D468" t="inlineStr">
        <is>
          <t>VÄSTERNORRLANDS LÄN</t>
        </is>
      </c>
      <c r="E468" t="inlineStr">
        <is>
          <t>ÅNGE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2140-2023</t>
        </is>
      </c>
      <c r="B469" s="1" t="n">
        <v>44940</v>
      </c>
      <c r="C469" s="1" t="n">
        <v>46178</v>
      </c>
      <c r="D469" t="inlineStr">
        <is>
          <t>VÄSTERNORRLANDS LÄN</t>
        </is>
      </c>
      <c r="E469" t="inlineStr">
        <is>
          <t>ÅNGE</t>
        </is>
      </c>
      <c r="G469" t="n">
        <v>2.9</v>
      </c>
      <c r="H469" t="n">
        <v>0</v>
      </c>
      <c r="I469" t="n">
        <v>0</v>
      </c>
      <c r="J469" t="n">
        <v>0</v>
      </c>
      <c r="K469" t="n">
        <v>0</v>
      </c>
      <c r="L469" t="n">
        <v>0</v>
      </c>
      <c r="M469" t="n">
        <v>0</v>
      </c>
      <c r="N469" t="n">
        <v>0</v>
      </c>
      <c r="O469" t="n">
        <v>0</v>
      </c>
      <c r="P469" t="n">
        <v>0</v>
      </c>
      <c r="Q469" t="n">
        <v>0</v>
      </c>
      <c r="R469" s="2" t="inlineStr"/>
    </row>
    <row r="470" ht="15" customHeight="1">
      <c r="A470" t="inlineStr">
        <is>
          <t>A 63978-2025</t>
        </is>
      </c>
      <c r="B470" s="1" t="n">
        <v>46021.34421296296</v>
      </c>
      <c r="C470" s="1" t="n">
        <v>46178</v>
      </c>
      <c r="D470" t="inlineStr">
        <is>
          <t>VÄSTERNORRLANDS LÄN</t>
        </is>
      </c>
      <c r="E470" t="inlineStr">
        <is>
          <t>ÅNGE</t>
        </is>
      </c>
      <c r="F470" t="inlineStr">
        <is>
          <t>SCA</t>
        </is>
      </c>
      <c r="G470" t="n">
        <v>8.6</v>
      </c>
      <c r="H470" t="n">
        <v>0</v>
      </c>
      <c r="I470" t="n">
        <v>0</v>
      </c>
      <c r="J470" t="n">
        <v>0</v>
      </c>
      <c r="K470" t="n">
        <v>0</v>
      </c>
      <c r="L470" t="n">
        <v>0</v>
      </c>
      <c r="M470" t="n">
        <v>0</v>
      </c>
      <c r="N470" t="n">
        <v>0</v>
      </c>
      <c r="O470" t="n">
        <v>0</v>
      </c>
      <c r="P470" t="n">
        <v>0</v>
      </c>
      <c r="Q470" t="n">
        <v>0</v>
      </c>
      <c r="R470" s="2" t="inlineStr"/>
    </row>
    <row r="471" ht="15" customHeight="1">
      <c r="A471" t="inlineStr">
        <is>
          <t>A 43622-2023</t>
        </is>
      </c>
      <c r="B471" s="1" t="n">
        <v>45184.70777777778</v>
      </c>
      <c r="C471" s="1" t="n">
        <v>46178</v>
      </c>
      <c r="D471" t="inlineStr">
        <is>
          <t>VÄSTERNORRLANDS LÄN</t>
        </is>
      </c>
      <c r="E471" t="inlineStr">
        <is>
          <t>ÅNGE</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25067-2025</t>
        </is>
      </c>
      <c r="B472" s="1" t="n">
        <v>45799.71908564815</v>
      </c>
      <c r="C472" s="1" t="n">
        <v>46178</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38686-2025</t>
        </is>
      </c>
      <c r="B473" s="1" t="n">
        <v>45884.65658564815</v>
      </c>
      <c r="C473" s="1" t="n">
        <v>46178</v>
      </c>
      <c r="D473" t="inlineStr">
        <is>
          <t>VÄSTERNORRLANDS LÄN</t>
        </is>
      </c>
      <c r="E473" t="inlineStr">
        <is>
          <t>ÅNGE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47488-2023</t>
        </is>
      </c>
      <c r="B474" s="1" t="n">
        <v>45202.94168981481</v>
      </c>
      <c r="C474" s="1" t="n">
        <v>46178</v>
      </c>
      <c r="D474" t="inlineStr">
        <is>
          <t>VÄSTERNORRLANDS LÄN</t>
        </is>
      </c>
      <c r="E474" t="inlineStr">
        <is>
          <t>ÅNGE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34754-2024</t>
        </is>
      </c>
      <c r="B475" s="1" t="n">
        <v>45526</v>
      </c>
      <c r="C475" s="1" t="n">
        <v>46178</v>
      </c>
      <c r="D475" t="inlineStr">
        <is>
          <t>VÄSTERNORRLANDS LÄN</t>
        </is>
      </c>
      <c r="E475" t="inlineStr">
        <is>
          <t>ÅNGE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29390-2021</t>
        </is>
      </c>
      <c r="B476" s="1" t="n">
        <v>44361</v>
      </c>
      <c r="C476" s="1" t="n">
        <v>46178</v>
      </c>
      <c r="D476" t="inlineStr">
        <is>
          <t>VÄSTERNORRLANDS LÄN</t>
        </is>
      </c>
      <c r="E476" t="inlineStr">
        <is>
          <t>ÅNGE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3362-2023</t>
        </is>
      </c>
      <c r="B477" s="1" t="n">
        <v>44945</v>
      </c>
      <c r="C477" s="1" t="n">
        <v>46178</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59600-2024</t>
        </is>
      </c>
      <c r="B478" s="1" t="n">
        <v>45638.71763888889</v>
      </c>
      <c r="C478" s="1" t="n">
        <v>46178</v>
      </c>
      <c r="D478" t="inlineStr">
        <is>
          <t>VÄSTERNORRLANDS LÄN</t>
        </is>
      </c>
      <c r="E478" t="inlineStr">
        <is>
          <t>ÅNGE</t>
        </is>
      </c>
      <c r="G478" t="n">
        <v>1.3</v>
      </c>
      <c r="H478" t="n">
        <v>0</v>
      </c>
      <c r="I478" t="n">
        <v>0</v>
      </c>
      <c r="J478" t="n">
        <v>0</v>
      </c>
      <c r="K478" t="n">
        <v>0</v>
      </c>
      <c r="L478" t="n">
        <v>0</v>
      </c>
      <c r="M478" t="n">
        <v>0</v>
      </c>
      <c r="N478" t="n">
        <v>0</v>
      </c>
      <c r="O478" t="n">
        <v>0</v>
      </c>
      <c r="P478" t="n">
        <v>0</v>
      </c>
      <c r="Q478" t="n">
        <v>0</v>
      </c>
      <c r="R478" s="2" t="inlineStr"/>
    </row>
    <row r="479" ht="15" customHeight="1">
      <c r="A479" t="inlineStr">
        <is>
          <t>A 36877-2024</t>
        </is>
      </c>
      <c r="B479" s="1" t="n">
        <v>45538.59418981482</v>
      </c>
      <c r="C479" s="1" t="n">
        <v>46178</v>
      </c>
      <c r="D479" t="inlineStr">
        <is>
          <t>VÄSTERNORRLANDS LÄN</t>
        </is>
      </c>
      <c r="E479" t="inlineStr">
        <is>
          <t>ÅNGE</t>
        </is>
      </c>
      <c r="G479" t="n">
        <v>3.3</v>
      </c>
      <c r="H479" t="n">
        <v>0</v>
      </c>
      <c r="I479" t="n">
        <v>0</v>
      </c>
      <c r="J479" t="n">
        <v>0</v>
      </c>
      <c r="K479" t="n">
        <v>0</v>
      </c>
      <c r="L479" t="n">
        <v>0</v>
      </c>
      <c r="M479" t="n">
        <v>0</v>
      </c>
      <c r="N479" t="n">
        <v>0</v>
      </c>
      <c r="O479" t="n">
        <v>0</v>
      </c>
      <c r="P479" t="n">
        <v>0</v>
      </c>
      <c r="Q479" t="n">
        <v>0</v>
      </c>
      <c r="R479" s="2" t="inlineStr"/>
    </row>
    <row r="480" ht="15" customHeight="1">
      <c r="A480" t="inlineStr">
        <is>
          <t>A 52685-2024</t>
        </is>
      </c>
      <c r="B480" s="1" t="n">
        <v>45610</v>
      </c>
      <c r="C480" s="1" t="n">
        <v>46178</v>
      </c>
      <c r="D480" t="inlineStr">
        <is>
          <t>VÄSTERNORRLANDS LÄN</t>
        </is>
      </c>
      <c r="E480" t="inlineStr">
        <is>
          <t>ÅNGE</t>
        </is>
      </c>
      <c r="G480" t="n">
        <v>2.3</v>
      </c>
      <c r="H480" t="n">
        <v>0</v>
      </c>
      <c r="I480" t="n">
        <v>0</v>
      </c>
      <c r="J480" t="n">
        <v>0</v>
      </c>
      <c r="K480" t="n">
        <v>0</v>
      </c>
      <c r="L480" t="n">
        <v>0</v>
      </c>
      <c r="M480" t="n">
        <v>0</v>
      </c>
      <c r="N480" t="n">
        <v>0</v>
      </c>
      <c r="O480" t="n">
        <v>0</v>
      </c>
      <c r="P480" t="n">
        <v>0</v>
      </c>
      <c r="Q480" t="n">
        <v>0</v>
      </c>
      <c r="R480" s="2" t="inlineStr"/>
    </row>
    <row r="481" ht="15" customHeight="1">
      <c r="A481" t="inlineStr">
        <is>
          <t>A 25352-2025</t>
        </is>
      </c>
      <c r="B481" s="1" t="n">
        <v>45800.61552083334</v>
      </c>
      <c r="C481" s="1" t="n">
        <v>46178</v>
      </c>
      <c r="D481" t="inlineStr">
        <is>
          <t>VÄSTERNORRLANDS LÄN</t>
        </is>
      </c>
      <c r="E481" t="inlineStr">
        <is>
          <t>ÅNGE</t>
        </is>
      </c>
      <c r="F481" t="inlineStr">
        <is>
          <t>SCA</t>
        </is>
      </c>
      <c r="G481" t="n">
        <v>6.3</v>
      </c>
      <c r="H481" t="n">
        <v>0</v>
      </c>
      <c r="I481" t="n">
        <v>0</v>
      </c>
      <c r="J481" t="n">
        <v>0</v>
      </c>
      <c r="K481" t="n">
        <v>0</v>
      </c>
      <c r="L481" t="n">
        <v>0</v>
      </c>
      <c r="M481" t="n">
        <v>0</v>
      </c>
      <c r="N481" t="n">
        <v>0</v>
      </c>
      <c r="O481" t="n">
        <v>0</v>
      </c>
      <c r="P481" t="n">
        <v>0</v>
      </c>
      <c r="Q481" t="n">
        <v>0</v>
      </c>
      <c r="R481" s="2" t="inlineStr"/>
    </row>
    <row r="482" ht="15" customHeight="1">
      <c r="A482" t="inlineStr">
        <is>
          <t>A 53651-2023</t>
        </is>
      </c>
      <c r="B482" s="1" t="n">
        <v>45230.60815972222</v>
      </c>
      <c r="C482" s="1" t="n">
        <v>46178</v>
      </c>
      <c r="D482" t="inlineStr">
        <is>
          <t>VÄSTERNORRLANDS LÄN</t>
        </is>
      </c>
      <c r="E482" t="inlineStr">
        <is>
          <t>ÅNGE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345-2026</t>
        </is>
      </c>
      <c r="B483" s="1" t="n">
        <v>46027.61515046296</v>
      </c>
      <c r="C483" s="1" t="n">
        <v>46178</v>
      </c>
      <c r="D483" t="inlineStr">
        <is>
          <t>VÄSTERNORRLANDS LÄN</t>
        </is>
      </c>
      <c r="E483" t="inlineStr">
        <is>
          <t>ÅNGE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36466-2024</t>
        </is>
      </c>
      <c r="B484" s="1" t="n">
        <v>45537.35872685185</v>
      </c>
      <c r="C484" s="1" t="n">
        <v>46178</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25340-2025</t>
        </is>
      </c>
      <c r="B485" s="1" t="n">
        <v>45800.60074074074</v>
      </c>
      <c r="C485" s="1" t="n">
        <v>46178</v>
      </c>
      <c r="D485" t="inlineStr">
        <is>
          <t>VÄSTERNORRLANDS LÄN</t>
        </is>
      </c>
      <c r="E485" t="inlineStr">
        <is>
          <t>ÅNGE</t>
        </is>
      </c>
      <c r="G485" t="n">
        <v>2.7</v>
      </c>
      <c r="H485" t="n">
        <v>0</v>
      </c>
      <c r="I485" t="n">
        <v>0</v>
      </c>
      <c r="J485" t="n">
        <v>0</v>
      </c>
      <c r="K485" t="n">
        <v>0</v>
      </c>
      <c r="L485" t="n">
        <v>0</v>
      </c>
      <c r="M485" t="n">
        <v>0</v>
      </c>
      <c r="N485" t="n">
        <v>0</v>
      </c>
      <c r="O485" t="n">
        <v>0</v>
      </c>
      <c r="P485" t="n">
        <v>0</v>
      </c>
      <c r="Q485" t="n">
        <v>0</v>
      </c>
      <c r="R485" s="2" t="inlineStr"/>
    </row>
    <row r="486" ht="15" customHeight="1">
      <c r="A486" t="inlineStr">
        <is>
          <t>A 58-2026</t>
        </is>
      </c>
      <c r="B486" s="1" t="n">
        <v>46024</v>
      </c>
      <c r="C486" s="1" t="n">
        <v>46178</v>
      </c>
      <c r="D486" t="inlineStr">
        <is>
          <t>VÄSTERNORRLANDS LÄN</t>
        </is>
      </c>
      <c r="E486" t="inlineStr">
        <is>
          <t>ÅNGE</t>
        </is>
      </c>
      <c r="F486" t="inlineStr">
        <is>
          <t>Kyrkan</t>
        </is>
      </c>
      <c r="G486" t="n">
        <v>7.2</v>
      </c>
      <c r="H486" t="n">
        <v>0</v>
      </c>
      <c r="I486" t="n">
        <v>0</v>
      </c>
      <c r="J486" t="n">
        <v>0</v>
      </c>
      <c r="K486" t="n">
        <v>0</v>
      </c>
      <c r="L486" t="n">
        <v>0</v>
      </c>
      <c r="M486" t="n">
        <v>0</v>
      </c>
      <c r="N486" t="n">
        <v>0</v>
      </c>
      <c r="O486" t="n">
        <v>0</v>
      </c>
      <c r="P486" t="n">
        <v>0</v>
      </c>
      <c r="Q486" t="n">
        <v>0</v>
      </c>
      <c r="R486" s="2" t="inlineStr"/>
    </row>
    <row r="487" ht="15" customHeight="1">
      <c r="A487" t="inlineStr">
        <is>
          <t>A 25532-2025</t>
        </is>
      </c>
      <c r="B487" s="1" t="n">
        <v>45803.4065162037</v>
      </c>
      <c r="C487" s="1" t="n">
        <v>46178</v>
      </c>
      <c r="D487" t="inlineStr">
        <is>
          <t>VÄSTERNORRLANDS LÄN</t>
        </is>
      </c>
      <c r="E487" t="inlineStr">
        <is>
          <t>ÅNGE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232-2026</t>
        </is>
      </c>
      <c r="B488" s="1" t="n">
        <v>46027.34425925926</v>
      </c>
      <c r="C488" s="1" t="n">
        <v>46178</v>
      </c>
      <c r="D488" t="inlineStr">
        <is>
          <t>VÄSTERNORRLANDS LÄN</t>
        </is>
      </c>
      <c r="E488" t="inlineStr">
        <is>
          <t>ÅNGE</t>
        </is>
      </c>
      <c r="F488" t="inlineStr">
        <is>
          <t>SCA</t>
        </is>
      </c>
      <c r="G488" t="n">
        <v>37.7</v>
      </c>
      <c r="H488" t="n">
        <v>0</v>
      </c>
      <c r="I488" t="n">
        <v>0</v>
      </c>
      <c r="J488" t="n">
        <v>0</v>
      </c>
      <c r="K488" t="n">
        <v>0</v>
      </c>
      <c r="L488" t="n">
        <v>0</v>
      </c>
      <c r="M488" t="n">
        <v>0</v>
      </c>
      <c r="N488" t="n">
        <v>0</v>
      </c>
      <c r="O488" t="n">
        <v>0</v>
      </c>
      <c r="P488" t="n">
        <v>0</v>
      </c>
      <c r="Q488" t="n">
        <v>0</v>
      </c>
      <c r="R488" s="2" t="inlineStr"/>
    </row>
    <row r="489" ht="15" customHeight="1">
      <c r="A489" t="inlineStr">
        <is>
          <t>A 54720-2024</t>
        </is>
      </c>
      <c r="B489" s="1" t="n">
        <v>45618.43715277778</v>
      </c>
      <c r="C489" s="1" t="n">
        <v>46178</v>
      </c>
      <c r="D489" t="inlineStr">
        <is>
          <t>VÄSTERNORRLANDS LÄN</t>
        </is>
      </c>
      <c r="E489" t="inlineStr">
        <is>
          <t>ÅNGE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25499-2025</t>
        </is>
      </c>
      <c r="B490" s="1" t="n">
        <v>45803.344375</v>
      </c>
      <c r="C490" s="1" t="n">
        <v>46178</v>
      </c>
      <c r="D490" t="inlineStr">
        <is>
          <t>VÄSTERNORRLANDS LÄN</t>
        </is>
      </c>
      <c r="E490" t="inlineStr">
        <is>
          <t>ÅNGE</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35650-2024</t>
        </is>
      </c>
      <c r="B491" s="1" t="n">
        <v>45532.34123842593</v>
      </c>
      <c r="C491" s="1" t="n">
        <v>46178</v>
      </c>
      <c r="D491" t="inlineStr">
        <is>
          <t>VÄSTERNORRLANDS LÄN</t>
        </is>
      </c>
      <c r="E491" t="inlineStr">
        <is>
          <t>ÅNGE</t>
        </is>
      </c>
      <c r="G491" t="n">
        <v>3.8</v>
      </c>
      <c r="H491" t="n">
        <v>0</v>
      </c>
      <c r="I491" t="n">
        <v>0</v>
      </c>
      <c r="J491" t="n">
        <v>0</v>
      </c>
      <c r="K491" t="n">
        <v>0</v>
      </c>
      <c r="L491" t="n">
        <v>0</v>
      </c>
      <c r="M491" t="n">
        <v>0</v>
      </c>
      <c r="N491" t="n">
        <v>0</v>
      </c>
      <c r="O491" t="n">
        <v>0</v>
      </c>
      <c r="P491" t="n">
        <v>0</v>
      </c>
      <c r="Q491" t="n">
        <v>0</v>
      </c>
      <c r="R491" s="2" t="inlineStr"/>
    </row>
    <row r="492" ht="15" customHeight="1">
      <c r="A492" t="inlineStr">
        <is>
          <t>A 353-2026</t>
        </is>
      </c>
      <c r="B492" s="1" t="n">
        <v>46027.63585648148</v>
      </c>
      <c r="C492" s="1" t="n">
        <v>46178</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19709-2025</t>
        </is>
      </c>
      <c r="B493" s="1" t="n">
        <v>45771.34263888889</v>
      </c>
      <c r="C493" s="1" t="n">
        <v>46178</v>
      </c>
      <c r="D493" t="inlineStr">
        <is>
          <t>VÄSTERNORRLANDS LÄN</t>
        </is>
      </c>
      <c r="E493" t="inlineStr">
        <is>
          <t>ÅNGE</t>
        </is>
      </c>
      <c r="G493" t="n">
        <v>3.8</v>
      </c>
      <c r="H493" t="n">
        <v>0</v>
      </c>
      <c r="I493" t="n">
        <v>0</v>
      </c>
      <c r="J493" t="n">
        <v>0</v>
      </c>
      <c r="K493" t="n">
        <v>0</v>
      </c>
      <c r="L493" t="n">
        <v>0</v>
      </c>
      <c r="M493" t="n">
        <v>0</v>
      </c>
      <c r="N493" t="n">
        <v>0</v>
      </c>
      <c r="O493" t="n">
        <v>0</v>
      </c>
      <c r="P493" t="n">
        <v>0</v>
      </c>
      <c r="Q493" t="n">
        <v>0</v>
      </c>
      <c r="R493" s="2" t="inlineStr"/>
    </row>
    <row r="494" ht="15" customHeight="1">
      <c r="A494" t="inlineStr">
        <is>
          <t>A 25274-2025</t>
        </is>
      </c>
      <c r="B494" s="1" t="n">
        <v>45800.55276620371</v>
      </c>
      <c r="C494" s="1" t="n">
        <v>46178</v>
      </c>
      <c r="D494" t="inlineStr">
        <is>
          <t>VÄSTERNORRLANDS LÄN</t>
        </is>
      </c>
      <c r="E494" t="inlineStr">
        <is>
          <t>ÅNGE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25241-2025</t>
        </is>
      </c>
      <c r="B495" s="1" t="n">
        <v>45800.49053240741</v>
      </c>
      <c r="C495" s="1" t="n">
        <v>46178</v>
      </c>
      <c r="D495" t="inlineStr">
        <is>
          <t>VÄSTERNORRLANDS LÄN</t>
        </is>
      </c>
      <c r="E495" t="inlineStr">
        <is>
          <t>ÅNGE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703-2026</t>
        </is>
      </c>
      <c r="B496" s="1" t="n">
        <v>46029.61604166667</v>
      </c>
      <c r="C496" s="1" t="n">
        <v>46178</v>
      </c>
      <c r="D496" t="inlineStr">
        <is>
          <t>VÄSTERNORRLANDS LÄN</t>
        </is>
      </c>
      <c r="E496" t="inlineStr">
        <is>
          <t>ÅNGE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31863-2024</t>
        </is>
      </c>
      <c r="B497" s="1" t="n">
        <v>45509.74121527778</v>
      </c>
      <c r="C497" s="1" t="n">
        <v>46178</v>
      </c>
      <c r="D497" t="inlineStr">
        <is>
          <t>VÄSTERNORRLANDS LÄN</t>
        </is>
      </c>
      <c r="E497" t="inlineStr">
        <is>
          <t>ÅNGE</t>
        </is>
      </c>
      <c r="G497" t="n">
        <v>4.5</v>
      </c>
      <c r="H497" t="n">
        <v>0</v>
      </c>
      <c r="I497" t="n">
        <v>0</v>
      </c>
      <c r="J497" t="n">
        <v>0</v>
      </c>
      <c r="K497" t="n">
        <v>0</v>
      </c>
      <c r="L497" t="n">
        <v>0</v>
      </c>
      <c r="M497" t="n">
        <v>0</v>
      </c>
      <c r="N497" t="n">
        <v>0</v>
      </c>
      <c r="O497" t="n">
        <v>0</v>
      </c>
      <c r="P497" t="n">
        <v>0</v>
      </c>
      <c r="Q497" t="n">
        <v>0</v>
      </c>
      <c r="R497" s="2" t="inlineStr"/>
    </row>
    <row r="498" ht="15" customHeight="1">
      <c r="A498" t="inlineStr">
        <is>
          <t>A 25273-2025</t>
        </is>
      </c>
      <c r="B498" s="1" t="n">
        <v>45800.55253472222</v>
      </c>
      <c r="C498" s="1" t="n">
        <v>46178</v>
      </c>
      <c r="D498" t="inlineStr">
        <is>
          <t>VÄSTERNORRLANDS LÄN</t>
        </is>
      </c>
      <c r="E498" t="inlineStr">
        <is>
          <t>ÅNGE</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61486-2025</t>
        </is>
      </c>
      <c r="B499" s="1" t="n">
        <v>46001.63607638889</v>
      </c>
      <c r="C499" s="1" t="n">
        <v>46178</v>
      </c>
      <c r="D499" t="inlineStr">
        <is>
          <t>VÄSTERNORRLANDS LÄN</t>
        </is>
      </c>
      <c r="E499" t="inlineStr">
        <is>
          <t>ÅNGE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627-2026</t>
        </is>
      </c>
      <c r="B500" s="1" t="n">
        <v>46029.55262731481</v>
      </c>
      <c r="C500" s="1" t="n">
        <v>46178</v>
      </c>
      <c r="D500" t="inlineStr">
        <is>
          <t>VÄSTERNORRLANDS LÄN</t>
        </is>
      </c>
      <c r="E500" t="inlineStr">
        <is>
          <t>ÅNGE</t>
        </is>
      </c>
      <c r="G500" t="n">
        <v>0.9</v>
      </c>
      <c r="H500" t="n">
        <v>0</v>
      </c>
      <c r="I500" t="n">
        <v>0</v>
      </c>
      <c r="J500" t="n">
        <v>0</v>
      </c>
      <c r="K500" t="n">
        <v>0</v>
      </c>
      <c r="L500" t="n">
        <v>0</v>
      </c>
      <c r="M500" t="n">
        <v>0</v>
      </c>
      <c r="N500" t="n">
        <v>0</v>
      </c>
      <c r="O500" t="n">
        <v>0</v>
      </c>
      <c r="P500" t="n">
        <v>0</v>
      </c>
      <c r="Q500" t="n">
        <v>0</v>
      </c>
      <c r="R500" s="2" t="inlineStr"/>
    </row>
    <row r="501" ht="15" customHeight="1">
      <c r="A501" t="inlineStr">
        <is>
          <t>A 11531-2023</t>
        </is>
      </c>
      <c r="B501" s="1" t="n">
        <v>44993.77038194444</v>
      </c>
      <c r="C501" s="1" t="n">
        <v>46178</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11532-2023</t>
        </is>
      </c>
      <c r="B502" s="1" t="n">
        <v>44993.77212962963</v>
      </c>
      <c r="C502" s="1" t="n">
        <v>46178</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35781-2025</t>
        </is>
      </c>
      <c r="B503" s="1" t="n">
        <v>45860</v>
      </c>
      <c r="C503" s="1" t="n">
        <v>46178</v>
      </c>
      <c r="D503" t="inlineStr">
        <is>
          <t>VÄSTERNORRLANDS LÄN</t>
        </is>
      </c>
      <c r="E503" t="inlineStr">
        <is>
          <t>ÅNGE</t>
        </is>
      </c>
      <c r="G503" t="n">
        <v>2.2</v>
      </c>
      <c r="H503" t="n">
        <v>0</v>
      </c>
      <c r="I503" t="n">
        <v>0</v>
      </c>
      <c r="J503" t="n">
        <v>0</v>
      </c>
      <c r="K503" t="n">
        <v>0</v>
      </c>
      <c r="L503" t="n">
        <v>0</v>
      </c>
      <c r="M503" t="n">
        <v>0</v>
      </c>
      <c r="N503" t="n">
        <v>0</v>
      </c>
      <c r="O503" t="n">
        <v>0</v>
      </c>
      <c r="P503" t="n">
        <v>0</v>
      </c>
      <c r="Q503" t="n">
        <v>0</v>
      </c>
      <c r="R503" s="2" t="inlineStr"/>
    </row>
    <row r="504" ht="15" customHeight="1">
      <c r="A504" t="inlineStr">
        <is>
          <t>A 25772-2025</t>
        </is>
      </c>
      <c r="B504" s="1" t="n">
        <v>45804.34520833333</v>
      </c>
      <c r="C504" s="1" t="n">
        <v>46178</v>
      </c>
      <c r="D504" t="inlineStr">
        <is>
          <t>VÄSTERNORRLANDS LÄN</t>
        </is>
      </c>
      <c r="E504" t="inlineStr">
        <is>
          <t>ÅNGE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21262-2025</t>
        </is>
      </c>
      <c r="B505" s="1" t="n">
        <v>45779</v>
      </c>
      <c r="C505" s="1" t="n">
        <v>46178</v>
      </c>
      <c r="D505" t="inlineStr">
        <is>
          <t>VÄSTERNORRLANDS LÄN</t>
        </is>
      </c>
      <c r="E505" t="inlineStr">
        <is>
          <t>ÅNGE</t>
        </is>
      </c>
      <c r="F505" t="inlineStr">
        <is>
          <t>Sveaskog</t>
        </is>
      </c>
      <c r="G505" t="n">
        <v>9</v>
      </c>
      <c r="H505" t="n">
        <v>0</v>
      </c>
      <c r="I505" t="n">
        <v>0</v>
      </c>
      <c r="J505" t="n">
        <v>0</v>
      </c>
      <c r="K505" t="n">
        <v>0</v>
      </c>
      <c r="L505" t="n">
        <v>0</v>
      </c>
      <c r="M505" t="n">
        <v>0</v>
      </c>
      <c r="N505" t="n">
        <v>0</v>
      </c>
      <c r="O505" t="n">
        <v>0</v>
      </c>
      <c r="P505" t="n">
        <v>0</v>
      </c>
      <c r="Q505" t="n">
        <v>0</v>
      </c>
      <c r="R505" s="2" t="inlineStr"/>
    </row>
    <row r="506" ht="15" customHeight="1">
      <c r="A506" t="inlineStr">
        <is>
          <t>A 45459-2022</t>
        </is>
      </c>
      <c r="B506" s="1" t="n">
        <v>44845</v>
      </c>
      <c r="C506" s="1" t="n">
        <v>46178</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41758-2024</t>
        </is>
      </c>
      <c r="B507" s="1" t="n">
        <v>45561.34478009259</v>
      </c>
      <c r="C507" s="1" t="n">
        <v>46178</v>
      </c>
      <c r="D507" t="inlineStr">
        <is>
          <t>VÄSTERNORRLANDS LÄN</t>
        </is>
      </c>
      <c r="E507" t="inlineStr">
        <is>
          <t>ÅNGE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9759-2024</t>
        </is>
      </c>
      <c r="B508" s="1" t="n">
        <v>45362</v>
      </c>
      <c r="C508" s="1" t="n">
        <v>46178</v>
      </c>
      <c r="D508" t="inlineStr">
        <is>
          <t>VÄSTERNORRLANDS LÄN</t>
        </is>
      </c>
      <c r="E508" t="inlineStr">
        <is>
          <t>ÅNGE</t>
        </is>
      </c>
      <c r="G508" t="n">
        <v>2.5</v>
      </c>
      <c r="H508" t="n">
        <v>0</v>
      </c>
      <c r="I508" t="n">
        <v>0</v>
      </c>
      <c r="J508" t="n">
        <v>0</v>
      </c>
      <c r="K508" t="n">
        <v>0</v>
      </c>
      <c r="L508" t="n">
        <v>0</v>
      </c>
      <c r="M508" t="n">
        <v>0</v>
      </c>
      <c r="N508" t="n">
        <v>0</v>
      </c>
      <c r="O508" t="n">
        <v>0</v>
      </c>
      <c r="P508" t="n">
        <v>0</v>
      </c>
      <c r="Q508" t="n">
        <v>0</v>
      </c>
      <c r="R508" s="2" t="inlineStr"/>
    </row>
    <row r="509" ht="15" customHeight="1">
      <c r="A509" t="inlineStr">
        <is>
          <t>A 55328-2023</t>
        </is>
      </c>
      <c r="B509" s="1" t="n">
        <v>45237</v>
      </c>
      <c r="C509" s="1" t="n">
        <v>46178</v>
      </c>
      <c r="D509" t="inlineStr">
        <is>
          <t>VÄSTERNORRLANDS LÄN</t>
        </is>
      </c>
      <c r="E509" t="inlineStr">
        <is>
          <t>ÅNGE</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15863-2022</t>
        </is>
      </c>
      <c r="B510" s="1" t="n">
        <v>44664</v>
      </c>
      <c r="C510" s="1" t="n">
        <v>46178</v>
      </c>
      <c r="D510" t="inlineStr">
        <is>
          <t>VÄSTERNORRLANDS LÄN</t>
        </is>
      </c>
      <c r="E510" t="inlineStr">
        <is>
          <t>ÅNGE</t>
        </is>
      </c>
      <c r="G510" t="n">
        <v>3.6</v>
      </c>
      <c r="H510" t="n">
        <v>0</v>
      </c>
      <c r="I510" t="n">
        <v>0</v>
      </c>
      <c r="J510" t="n">
        <v>0</v>
      </c>
      <c r="K510" t="n">
        <v>0</v>
      </c>
      <c r="L510" t="n">
        <v>0</v>
      </c>
      <c r="M510" t="n">
        <v>0</v>
      </c>
      <c r="N510" t="n">
        <v>0</v>
      </c>
      <c r="O510" t="n">
        <v>0</v>
      </c>
      <c r="P510" t="n">
        <v>0</v>
      </c>
      <c r="Q510" t="n">
        <v>0</v>
      </c>
      <c r="R510" s="2" t="inlineStr"/>
    </row>
    <row r="511" ht="15" customHeight="1">
      <c r="A511" t="inlineStr">
        <is>
          <t>A 5369-2022</t>
        </is>
      </c>
      <c r="B511" s="1" t="n">
        <v>44594.92113425926</v>
      </c>
      <c r="C511" s="1" t="n">
        <v>46178</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213-2024</t>
        </is>
      </c>
      <c r="B512" s="1" t="n">
        <v>45293</v>
      </c>
      <c r="C512" s="1" t="n">
        <v>46178</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25810-2025</t>
        </is>
      </c>
      <c r="B513" s="1" t="n">
        <v>45804.42083333333</v>
      </c>
      <c r="C513" s="1" t="n">
        <v>46178</v>
      </c>
      <c r="D513" t="inlineStr">
        <is>
          <t>VÄSTERNORRLANDS LÄN</t>
        </is>
      </c>
      <c r="E513" t="inlineStr">
        <is>
          <t>ÅNGE</t>
        </is>
      </c>
      <c r="G513" t="n">
        <v>6.2</v>
      </c>
      <c r="H513" t="n">
        <v>0</v>
      </c>
      <c r="I513" t="n">
        <v>0</v>
      </c>
      <c r="J513" t="n">
        <v>0</v>
      </c>
      <c r="K513" t="n">
        <v>0</v>
      </c>
      <c r="L513" t="n">
        <v>0</v>
      </c>
      <c r="M513" t="n">
        <v>0</v>
      </c>
      <c r="N513" t="n">
        <v>0</v>
      </c>
      <c r="O513" t="n">
        <v>0</v>
      </c>
      <c r="P513" t="n">
        <v>0</v>
      </c>
      <c r="Q513" t="n">
        <v>0</v>
      </c>
      <c r="R513" s="2" t="inlineStr"/>
    </row>
    <row r="514" ht="15" customHeight="1">
      <c r="A514" t="inlineStr">
        <is>
          <t>A 21456-2025</t>
        </is>
      </c>
      <c r="B514" s="1" t="n">
        <v>45782</v>
      </c>
      <c r="C514" s="1" t="n">
        <v>46178</v>
      </c>
      <c r="D514" t="inlineStr">
        <is>
          <t>VÄSTERNORRLANDS LÄN</t>
        </is>
      </c>
      <c r="E514" t="inlineStr">
        <is>
          <t>ÅNGE</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26193-2025</t>
        </is>
      </c>
      <c r="B515" s="1" t="n">
        <v>45805.48922453704</v>
      </c>
      <c r="C515" s="1" t="n">
        <v>46178</v>
      </c>
      <c r="D515" t="inlineStr">
        <is>
          <t>VÄSTERNORRLANDS LÄN</t>
        </is>
      </c>
      <c r="E515" t="inlineStr">
        <is>
          <t>ÅNGE</t>
        </is>
      </c>
      <c r="G515" t="n">
        <v>2.3</v>
      </c>
      <c r="H515" t="n">
        <v>0</v>
      </c>
      <c r="I515" t="n">
        <v>0</v>
      </c>
      <c r="J515" t="n">
        <v>0</v>
      </c>
      <c r="K515" t="n">
        <v>0</v>
      </c>
      <c r="L515" t="n">
        <v>0</v>
      </c>
      <c r="M515" t="n">
        <v>0</v>
      </c>
      <c r="N515" t="n">
        <v>0</v>
      </c>
      <c r="O515" t="n">
        <v>0</v>
      </c>
      <c r="P515" t="n">
        <v>0</v>
      </c>
      <c r="Q515" t="n">
        <v>0</v>
      </c>
      <c r="R515" s="2" t="inlineStr"/>
    </row>
    <row r="516" ht="15" customHeight="1">
      <c r="A516" t="inlineStr">
        <is>
          <t>A 39434-2025</t>
        </is>
      </c>
      <c r="B516" s="1" t="n">
        <v>45889.67811342593</v>
      </c>
      <c r="C516" s="1" t="n">
        <v>46178</v>
      </c>
      <c r="D516" t="inlineStr">
        <is>
          <t>VÄSTERNORRLANDS LÄN</t>
        </is>
      </c>
      <c r="E516" t="inlineStr">
        <is>
          <t>ÅNGE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39444-2025</t>
        </is>
      </c>
      <c r="B517" s="1" t="n">
        <v>45889.69826388889</v>
      </c>
      <c r="C517" s="1" t="n">
        <v>46178</v>
      </c>
      <c r="D517" t="inlineStr">
        <is>
          <t>VÄSTERNORRLANDS LÄN</t>
        </is>
      </c>
      <c r="E517" t="inlineStr">
        <is>
          <t>ÅNGE</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26365-2025</t>
        </is>
      </c>
      <c r="B518" s="1" t="n">
        <v>45806.34412037037</v>
      </c>
      <c r="C518" s="1" t="n">
        <v>46178</v>
      </c>
      <c r="D518" t="inlineStr">
        <is>
          <t>VÄSTERNORRLANDS LÄN</t>
        </is>
      </c>
      <c r="E518" t="inlineStr">
        <is>
          <t>ÅNGE</t>
        </is>
      </c>
      <c r="F518" t="inlineStr">
        <is>
          <t>SCA</t>
        </is>
      </c>
      <c r="G518" t="n">
        <v>3.2</v>
      </c>
      <c r="H518" t="n">
        <v>0</v>
      </c>
      <c r="I518" t="n">
        <v>0</v>
      </c>
      <c r="J518" t="n">
        <v>0</v>
      </c>
      <c r="K518" t="n">
        <v>0</v>
      </c>
      <c r="L518" t="n">
        <v>0</v>
      </c>
      <c r="M518" t="n">
        <v>0</v>
      </c>
      <c r="N518" t="n">
        <v>0</v>
      </c>
      <c r="O518" t="n">
        <v>0</v>
      </c>
      <c r="P518" t="n">
        <v>0</v>
      </c>
      <c r="Q518" t="n">
        <v>0</v>
      </c>
      <c r="R518" s="2" t="inlineStr"/>
    </row>
    <row r="519" ht="15" customHeight="1">
      <c r="A519" t="inlineStr">
        <is>
          <t>A 1266-2026</t>
        </is>
      </c>
      <c r="B519" s="1" t="n">
        <v>46031.46269675926</v>
      </c>
      <c r="C519" s="1" t="n">
        <v>46178</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4872-2025</t>
        </is>
      </c>
      <c r="B520" s="1" t="n">
        <v>45688.67619212963</v>
      </c>
      <c r="C520" s="1" t="n">
        <v>46178</v>
      </c>
      <c r="D520" t="inlineStr">
        <is>
          <t>VÄSTERNORRLANDS LÄN</t>
        </is>
      </c>
      <c r="E520" t="inlineStr">
        <is>
          <t>ÅNGE</t>
        </is>
      </c>
      <c r="F520" t="inlineStr">
        <is>
          <t>SCA</t>
        </is>
      </c>
      <c r="G520" t="n">
        <v>31.3</v>
      </c>
      <c r="H520" t="n">
        <v>0</v>
      </c>
      <c r="I520" t="n">
        <v>0</v>
      </c>
      <c r="J520" t="n">
        <v>0</v>
      </c>
      <c r="K520" t="n">
        <v>0</v>
      </c>
      <c r="L520" t="n">
        <v>0</v>
      </c>
      <c r="M520" t="n">
        <v>0</v>
      </c>
      <c r="N520" t="n">
        <v>0</v>
      </c>
      <c r="O520" t="n">
        <v>0</v>
      </c>
      <c r="P520" t="n">
        <v>0</v>
      </c>
      <c r="Q520" t="n">
        <v>0</v>
      </c>
      <c r="R520" s="2" t="inlineStr"/>
      <c r="U520">
        <f>HYPERLINK("https://klasma.github.io/Logging_2260/knärot/A 4872-2025 karta knärot.png", "A 4872-2025")</f>
        <v/>
      </c>
      <c r="V520">
        <f>HYPERLINK("https://klasma.github.io/Logging_2260/klagomål/A 4872-2025 FSC-klagomål.docx", "A 4872-2025")</f>
        <v/>
      </c>
      <c r="W520">
        <f>HYPERLINK("https://klasma.github.io/Logging_2260/klagomålsmail/A 4872-2025 FSC-klagomål mail.docx", "A 4872-2025")</f>
        <v/>
      </c>
      <c r="X520">
        <f>HYPERLINK("https://klasma.github.io/Logging_2260/tillsyn/A 4872-2025 tillsynsbegäran.docx", "A 4872-2025")</f>
        <v/>
      </c>
      <c r="Y520">
        <f>HYPERLINK("https://klasma.github.io/Logging_2260/tillsynsmail/A 4872-2025 tillsynsbegäran mail.docx", "A 4872-2025")</f>
        <v/>
      </c>
    </row>
    <row r="521" ht="15" customHeight="1">
      <c r="A521" t="inlineStr">
        <is>
          <t>A 26389-2025</t>
        </is>
      </c>
      <c r="B521" s="1" t="n">
        <v>45806.51078703703</v>
      </c>
      <c r="C521" s="1" t="n">
        <v>46178</v>
      </c>
      <c r="D521" t="inlineStr">
        <is>
          <t>VÄSTERNORRLANDS LÄN</t>
        </is>
      </c>
      <c r="E521" t="inlineStr">
        <is>
          <t>ÅNGE</t>
        </is>
      </c>
      <c r="F521" t="inlineStr">
        <is>
          <t>SCA</t>
        </is>
      </c>
      <c r="G521" t="n">
        <v>11.9</v>
      </c>
      <c r="H521" t="n">
        <v>0</v>
      </c>
      <c r="I521" t="n">
        <v>0</v>
      </c>
      <c r="J521" t="n">
        <v>0</v>
      </c>
      <c r="K521" t="n">
        <v>0</v>
      </c>
      <c r="L521" t="n">
        <v>0</v>
      </c>
      <c r="M521" t="n">
        <v>0</v>
      </c>
      <c r="N521" t="n">
        <v>0</v>
      </c>
      <c r="O521" t="n">
        <v>0</v>
      </c>
      <c r="P521" t="n">
        <v>0</v>
      </c>
      <c r="Q521" t="n">
        <v>0</v>
      </c>
      <c r="R521" s="2" t="inlineStr"/>
    </row>
    <row r="522" ht="15" customHeight="1">
      <c r="A522" t="inlineStr">
        <is>
          <t>A 26388-2025</t>
        </is>
      </c>
      <c r="B522" s="1" t="n">
        <v>45806.51069444444</v>
      </c>
      <c r="C522" s="1" t="n">
        <v>46178</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26366-2025</t>
        </is>
      </c>
      <c r="B523" s="1" t="n">
        <v>45806.34424768519</v>
      </c>
      <c r="C523" s="1" t="n">
        <v>46178</v>
      </c>
      <c r="D523" t="inlineStr">
        <is>
          <t>VÄSTERNORRLANDS LÄN</t>
        </is>
      </c>
      <c r="E523" t="inlineStr">
        <is>
          <t>ÅNGE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32051-2025</t>
        </is>
      </c>
      <c r="B524" s="1" t="n">
        <v>45835.44185185185</v>
      </c>
      <c r="C524" s="1" t="n">
        <v>46178</v>
      </c>
      <c r="D524" t="inlineStr">
        <is>
          <t>VÄSTERNORRLANDS LÄN</t>
        </is>
      </c>
      <c r="E524" t="inlineStr">
        <is>
          <t>ÅNGE</t>
        </is>
      </c>
      <c r="G524" t="n">
        <v>4</v>
      </c>
      <c r="H524" t="n">
        <v>0</v>
      </c>
      <c r="I524" t="n">
        <v>0</v>
      </c>
      <c r="J524" t="n">
        <v>0</v>
      </c>
      <c r="K524" t="n">
        <v>0</v>
      </c>
      <c r="L524" t="n">
        <v>0</v>
      </c>
      <c r="M524" t="n">
        <v>0</v>
      </c>
      <c r="N524" t="n">
        <v>0</v>
      </c>
      <c r="O524" t="n">
        <v>0</v>
      </c>
      <c r="P524" t="n">
        <v>0</v>
      </c>
      <c r="Q524" t="n">
        <v>0</v>
      </c>
      <c r="R524" s="2" t="inlineStr"/>
    </row>
    <row r="525" ht="15" customHeight="1">
      <c r="A525" t="inlineStr">
        <is>
          <t>A 1280-2026</t>
        </is>
      </c>
      <c r="B525" s="1" t="n">
        <v>46031.47851851852</v>
      </c>
      <c r="C525" s="1" t="n">
        <v>46178</v>
      </c>
      <c r="D525" t="inlineStr">
        <is>
          <t>VÄSTERNORRLANDS LÄN</t>
        </is>
      </c>
      <c r="E525" t="inlineStr">
        <is>
          <t>ÅNGE</t>
        </is>
      </c>
      <c r="G525" t="n">
        <v>9.5</v>
      </c>
      <c r="H525" t="n">
        <v>0</v>
      </c>
      <c r="I525" t="n">
        <v>0</v>
      </c>
      <c r="J525" t="n">
        <v>0</v>
      </c>
      <c r="K525" t="n">
        <v>0</v>
      </c>
      <c r="L525" t="n">
        <v>0</v>
      </c>
      <c r="M525" t="n">
        <v>0</v>
      </c>
      <c r="N525" t="n">
        <v>0</v>
      </c>
      <c r="O525" t="n">
        <v>0</v>
      </c>
      <c r="P525" t="n">
        <v>0</v>
      </c>
      <c r="Q525" t="n">
        <v>0</v>
      </c>
      <c r="R525" s="2" t="inlineStr"/>
    </row>
    <row r="526" ht="15" customHeight="1">
      <c r="A526" t="inlineStr">
        <is>
          <t>A 26734-2025</t>
        </is>
      </c>
      <c r="B526" s="1" t="n">
        <v>45810.51087962963</v>
      </c>
      <c r="C526" s="1" t="n">
        <v>46178</v>
      </c>
      <c r="D526" t="inlineStr">
        <is>
          <t>VÄSTERNORRLANDS LÄN</t>
        </is>
      </c>
      <c r="E526" t="inlineStr">
        <is>
          <t>ÅNGE</t>
        </is>
      </c>
      <c r="G526" t="n">
        <v>1.5</v>
      </c>
      <c r="H526" t="n">
        <v>0</v>
      </c>
      <c r="I526" t="n">
        <v>0</v>
      </c>
      <c r="J526" t="n">
        <v>0</v>
      </c>
      <c r="K526" t="n">
        <v>0</v>
      </c>
      <c r="L526" t="n">
        <v>0</v>
      </c>
      <c r="M526" t="n">
        <v>0</v>
      </c>
      <c r="N526" t="n">
        <v>0</v>
      </c>
      <c r="O526" t="n">
        <v>0</v>
      </c>
      <c r="P526" t="n">
        <v>0</v>
      </c>
      <c r="Q526" t="n">
        <v>0</v>
      </c>
      <c r="R526" s="2" t="inlineStr"/>
    </row>
    <row r="527" ht="15" customHeight="1">
      <c r="A527" t="inlineStr">
        <is>
          <t>A 35426-2024</t>
        </is>
      </c>
      <c r="B527" s="1" t="n">
        <v>45531</v>
      </c>
      <c r="C527" s="1" t="n">
        <v>46178</v>
      </c>
      <c r="D527" t="inlineStr">
        <is>
          <t>VÄSTERNORRLANDS LÄN</t>
        </is>
      </c>
      <c r="E527" t="inlineStr">
        <is>
          <t>ÅNGE</t>
        </is>
      </c>
      <c r="F527" t="inlineStr">
        <is>
          <t>SCA</t>
        </is>
      </c>
      <c r="G527" t="n">
        <v>10.9</v>
      </c>
      <c r="H527" t="n">
        <v>0</v>
      </c>
      <c r="I527" t="n">
        <v>0</v>
      </c>
      <c r="J527" t="n">
        <v>0</v>
      </c>
      <c r="K527" t="n">
        <v>0</v>
      </c>
      <c r="L527" t="n">
        <v>0</v>
      </c>
      <c r="M527" t="n">
        <v>0</v>
      </c>
      <c r="N527" t="n">
        <v>0</v>
      </c>
      <c r="O527" t="n">
        <v>0</v>
      </c>
      <c r="P527" t="n">
        <v>0</v>
      </c>
      <c r="Q527" t="n">
        <v>0</v>
      </c>
      <c r="R527" s="2" t="inlineStr"/>
    </row>
    <row r="528" ht="15" customHeight="1">
      <c r="A528" t="inlineStr">
        <is>
          <t>A 35488-2024</t>
        </is>
      </c>
      <c r="B528" s="1" t="n">
        <v>45531</v>
      </c>
      <c r="C528" s="1" t="n">
        <v>46178</v>
      </c>
      <c r="D528" t="inlineStr">
        <is>
          <t>VÄSTERNORRLANDS LÄN</t>
        </is>
      </c>
      <c r="E528" t="inlineStr">
        <is>
          <t>ÅNGE</t>
        </is>
      </c>
      <c r="G528" t="n">
        <v>2.4</v>
      </c>
      <c r="H528" t="n">
        <v>0</v>
      </c>
      <c r="I528" t="n">
        <v>0</v>
      </c>
      <c r="J528" t="n">
        <v>0</v>
      </c>
      <c r="K528" t="n">
        <v>0</v>
      </c>
      <c r="L528" t="n">
        <v>0</v>
      </c>
      <c r="M528" t="n">
        <v>0</v>
      </c>
      <c r="N528" t="n">
        <v>0</v>
      </c>
      <c r="O528" t="n">
        <v>0</v>
      </c>
      <c r="P528" t="n">
        <v>0</v>
      </c>
      <c r="Q528" t="n">
        <v>0</v>
      </c>
      <c r="R528" s="2" t="inlineStr"/>
    </row>
    <row r="529" ht="15" customHeight="1">
      <c r="A529" t="inlineStr">
        <is>
          <t>A 3347-2024</t>
        </is>
      </c>
      <c r="B529" s="1" t="n">
        <v>45317</v>
      </c>
      <c r="C529" s="1" t="n">
        <v>46178</v>
      </c>
      <c r="D529" t="inlineStr">
        <is>
          <t>VÄSTERNORRLANDS LÄN</t>
        </is>
      </c>
      <c r="E529" t="inlineStr">
        <is>
          <t>ÅNGE</t>
        </is>
      </c>
      <c r="G529" t="n">
        <v>0.5</v>
      </c>
      <c r="H529" t="n">
        <v>0</v>
      </c>
      <c r="I529" t="n">
        <v>0</v>
      </c>
      <c r="J529" t="n">
        <v>0</v>
      </c>
      <c r="K529" t="n">
        <v>0</v>
      </c>
      <c r="L529" t="n">
        <v>0</v>
      </c>
      <c r="M529" t="n">
        <v>0</v>
      </c>
      <c r="N529" t="n">
        <v>0</v>
      </c>
      <c r="O529" t="n">
        <v>0</v>
      </c>
      <c r="P529" t="n">
        <v>0</v>
      </c>
      <c r="Q529" t="n">
        <v>0</v>
      </c>
      <c r="R529" s="2" t="inlineStr"/>
    </row>
    <row r="530" ht="15" customHeight="1">
      <c r="A530" t="inlineStr">
        <is>
          <t>A 31563-2024</t>
        </is>
      </c>
      <c r="B530" s="1" t="n">
        <v>45505</v>
      </c>
      <c r="C530" s="1" t="n">
        <v>46178</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26901-2025</t>
        </is>
      </c>
      <c r="B531" s="1" t="n">
        <v>45811.34457175926</v>
      </c>
      <c r="C531" s="1" t="n">
        <v>46178</v>
      </c>
      <c r="D531" t="inlineStr">
        <is>
          <t>VÄSTERNORRLANDS LÄN</t>
        </is>
      </c>
      <c r="E531" t="inlineStr">
        <is>
          <t>ÅNGE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1375-2026</t>
        </is>
      </c>
      <c r="B532" s="1" t="n">
        <v>46031.61520833334</v>
      </c>
      <c r="C532" s="1" t="n">
        <v>46178</v>
      </c>
      <c r="D532" t="inlineStr">
        <is>
          <t>VÄSTERNORRLANDS LÄN</t>
        </is>
      </c>
      <c r="E532" t="inlineStr">
        <is>
          <t>ÅNGE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1270-2026</t>
        </is>
      </c>
      <c r="B533" s="1" t="n">
        <v>46031.46538194444</v>
      </c>
      <c r="C533" s="1" t="n">
        <v>46178</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1971-2026</t>
        </is>
      </c>
      <c r="B534" s="1" t="n">
        <v>46035.64133101852</v>
      </c>
      <c r="C534" s="1" t="n">
        <v>46178</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1544-2026</t>
        </is>
      </c>
      <c r="B535" s="1" t="n">
        <v>46034.38653935185</v>
      </c>
      <c r="C535" s="1" t="n">
        <v>46178</v>
      </c>
      <c r="D535" t="inlineStr">
        <is>
          <t>VÄSTERNORRLANDS LÄN</t>
        </is>
      </c>
      <c r="E535" t="inlineStr">
        <is>
          <t>ÅNGE</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1543-2026</t>
        </is>
      </c>
      <c r="B536" s="1" t="n">
        <v>46034.38636574074</v>
      </c>
      <c r="C536" s="1" t="n">
        <v>46178</v>
      </c>
      <c r="D536" t="inlineStr">
        <is>
          <t>VÄSTERNORRLANDS LÄN</t>
        </is>
      </c>
      <c r="E536" t="inlineStr">
        <is>
          <t>ÅNGE</t>
        </is>
      </c>
      <c r="F536" t="inlineStr">
        <is>
          <t>SCA</t>
        </is>
      </c>
      <c r="G536" t="n">
        <v>17.3</v>
      </c>
      <c r="H536" t="n">
        <v>0</v>
      </c>
      <c r="I536" t="n">
        <v>0</v>
      </c>
      <c r="J536" t="n">
        <v>0</v>
      </c>
      <c r="K536" t="n">
        <v>0</v>
      </c>
      <c r="L536" t="n">
        <v>0</v>
      </c>
      <c r="M536" t="n">
        <v>0</v>
      </c>
      <c r="N536" t="n">
        <v>0</v>
      </c>
      <c r="O536" t="n">
        <v>0</v>
      </c>
      <c r="P536" t="n">
        <v>0</v>
      </c>
      <c r="Q536" t="n">
        <v>0</v>
      </c>
      <c r="R536" s="2" t="inlineStr"/>
    </row>
    <row r="537" ht="15" customHeight="1">
      <c r="A537" t="inlineStr">
        <is>
          <t>A 1969-2026</t>
        </is>
      </c>
      <c r="B537" s="1" t="n">
        <v>46035.64024305555</v>
      </c>
      <c r="C537" s="1" t="n">
        <v>46178</v>
      </c>
      <c r="D537" t="inlineStr">
        <is>
          <t>VÄSTERNORRLANDS LÄN</t>
        </is>
      </c>
      <c r="E537" t="inlineStr">
        <is>
          <t>ÅNGE</t>
        </is>
      </c>
      <c r="G537" t="n">
        <v>3.6</v>
      </c>
      <c r="H537" t="n">
        <v>0</v>
      </c>
      <c r="I537" t="n">
        <v>0</v>
      </c>
      <c r="J537" t="n">
        <v>0</v>
      </c>
      <c r="K537" t="n">
        <v>0</v>
      </c>
      <c r="L537" t="n">
        <v>0</v>
      </c>
      <c r="M537" t="n">
        <v>0</v>
      </c>
      <c r="N537" t="n">
        <v>0</v>
      </c>
      <c r="O537" t="n">
        <v>0</v>
      </c>
      <c r="P537" t="n">
        <v>0</v>
      </c>
      <c r="Q537" t="n">
        <v>0</v>
      </c>
      <c r="R537" s="2" t="inlineStr"/>
    </row>
    <row r="538" ht="15" customHeight="1">
      <c r="A538" t="inlineStr">
        <is>
          <t>A 1541-2026</t>
        </is>
      </c>
      <c r="B538" s="1" t="n">
        <v>46034.38606481482</v>
      </c>
      <c r="C538" s="1" t="n">
        <v>46178</v>
      </c>
      <c r="D538" t="inlineStr">
        <is>
          <t>VÄSTERNORRLANDS LÄN</t>
        </is>
      </c>
      <c r="E538" t="inlineStr">
        <is>
          <t>ÅNGE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1547-2026</t>
        </is>
      </c>
      <c r="B539" s="1" t="n">
        <v>46034.38689814815</v>
      </c>
      <c r="C539" s="1" t="n">
        <v>46178</v>
      </c>
      <c r="D539" t="inlineStr">
        <is>
          <t>VÄSTERNORRLANDS LÄN</t>
        </is>
      </c>
      <c r="E539" t="inlineStr">
        <is>
          <t>ÅNGE</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26655-2025</t>
        </is>
      </c>
      <c r="B540" s="1" t="n">
        <v>45810.39047453704</v>
      </c>
      <c r="C540" s="1" t="n">
        <v>46178</v>
      </c>
      <c r="D540" t="inlineStr">
        <is>
          <t>VÄSTERNORRLANDS LÄN</t>
        </is>
      </c>
      <c r="E540" t="inlineStr">
        <is>
          <t>ÅNGE</t>
        </is>
      </c>
      <c r="G540" t="n">
        <v>0.6</v>
      </c>
      <c r="H540" t="n">
        <v>0</v>
      </c>
      <c r="I540" t="n">
        <v>0</v>
      </c>
      <c r="J540" t="n">
        <v>0</v>
      </c>
      <c r="K540" t="n">
        <v>0</v>
      </c>
      <c r="L540" t="n">
        <v>0</v>
      </c>
      <c r="M540" t="n">
        <v>0</v>
      </c>
      <c r="N540" t="n">
        <v>0</v>
      </c>
      <c r="O540" t="n">
        <v>0</v>
      </c>
      <c r="P540" t="n">
        <v>0</v>
      </c>
      <c r="Q540" t="n">
        <v>0</v>
      </c>
      <c r="R540" s="2" t="inlineStr"/>
    </row>
    <row r="541" ht="15" customHeight="1">
      <c r="A541" t="inlineStr">
        <is>
          <t>A 5931-2025</t>
        </is>
      </c>
      <c r="B541" s="1" t="n">
        <v>45695.44827546296</v>
      </c>
      <c r="C541" s="1" t="n">
        <v>46178</v>
      </c>
      <c r="D541" t="inlineStr">
        <is>
          <t>VÄSTERNORRLANDS LÄN</t>
        </is>
      </c>
      <c r="E541" t="inlineStr">
        <is>
          <t>ÅNGE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39768-2025</t>
        </is>
      </c>
      <c r="B542" s="1" t="n">
        <v>45891.44842592593</v>
      </c>
      <c r="C542" s="1" t="n">
        <v>46178</v>
      </c>
      <c r="D542" t="inlineStr">
        <is>
          <t>VÄSTERNORRLANDS LÄN</t>
        </is>
      </c>
      <c r="E542" t="inlineStr">
        <is>
          <t>ÅNGE</t>
        </is>
      </c>
      <c r="G542" t="n">
        <v>10.4</v>
      </c>
      <c r="H542" t="n">
        <v>0</v>
      </c>
      <c r="I542" t="n">
        <v>0</v>
      </c>
      <c r="J542" t="n">
        <v>0</v>
      </c>
      <c r="K542" t="n">
        <v>0</v>
      </c>
      <c r="L542" t="n">
        <v>0</v>
      </c>
      <c r="M542" t="n">
        <v>0</v>
      </c>
      <c r="N542" t="n">
        <v>0</v>
      </c>
      <c r="O542" t="n">
        <v>0</v>
      </c>
      <c r="P542" t="n">
        <v>0</v>
      </c>
      <c r="Q542" t="n">
        <v>0</v>
      </c>
      <c r="R542" s="2" t="inlineStr"/>
    </row>
    <row r="543" ht="15" customHeight="1">
      <c r="A543" t="inlineStr">
        <is>
          <t>A 39729-2025</t>
        </is>
      </c>
      <c r="B543" s="1" t="n">
        <v>45891</v>
      </c>
      <c r="C543" s="1" t="n">
        <v>46178</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26608-2025</t>
        </is>
      </c>
      <c r="B544" s="1" t="n">
        <v>45809.98600694445</v>
      </c>
      <c r="C544" s="1" t="n">
        <v>46178</v>
      </c>
      <c r="D544" t="inlineStr">
        <is>
          <t>VÄSTERNORRLANDS LÄN</t>
        </is>
      </c>
      <c r="E544" t="inlineStr">
        <is>
          <t>ÅNGE</t>
        </is>
      </c>
      <c r="G544" t="n">
        <v>4.5</v>
      </c>
      <c r="H544" t="n">
        <v>0</v>
      </c>
      <c r="I544" t="n">
        <v>0</v>
      </c>
      <c r="J544" t="n">
        <v>0</v>
      </c>
      <c r="K544" t="n">
        <v>0</v>
      </c>
      <c r="L544" t="n">
        <v>0</v>
      </c>
      <c r="M544" t="n">
        <v>0</v>
      </c>
      <c r="N544" t="n">
        <v>0</v>
      </c>
      <c r="O544" t="n">
        <v>0</v>
      </c>
      <c r="P544" t="n">
        <v>0</v>
      </c>
      <c r="Q544" t="n">
        <v>0</v>
      </c>
      <c r="R544" s="2" t="inlineStr"/>
    </row>
    <row r="545" ht="15" customHeight="1">
      <c r="A545" t="inlineStr">
        <is>
          <t>A 27023-2025</t>
        </is>
      </c>
      <c r="B545" s="1" t="n">
        <v>45811.57342592593</v>
      </c>
      <c r="C545" s="1" t="n">
        <v>46178</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2485-2026</t>
        </is>
      </c>
      <c r="B546" s="1" t="n">
        <v>46037.38591435185</v>
      </c>
      <c r="C546" s="1" t="n">
        <v>46178</v>
      </c>
      <c r="D546" t="inlineStr">
        <is>
          <t>VÄSTERNORRLANDS LÄN</t>
        </is>
      </c>
      <c r="E546" t="inlineStr">
        <is>
          <t>ÅNGE</t>
        </is>
      </c>
      <c r="G546" t="n">
        <v>0.7</v>
      </c>
      <c r="H546" t="n">
        <v>0</v>
      </c>
      <c r="I546" t="n">
        <v>0</v>
      </c>
      <c r="J546" t="n">
        <v>0</v>
      </c>
      <c r="K546" t="n">
        <v>0</v>
      </c>
      <c r="L546" t="n">
        <v>0</v>
      </c>
      <c r="M546" t="n">
        <v>0</v>
      </c>
      <c r="N546" t="n">
        <v>0</v>
      </c>
      <c r="O546" t="n">
        <v>0</v>
      </c>
      <c r="P546" t="n">
        <v>0</v>
      </c>
      <c r="Q546" t="n">
        <v>0</v>
      </c>
      <c r="R546" s="2" t="inlineStr"/>
    </row>
    <row r="547" ht="15" customHeight="1">
      <c r="A547" t="inlineStr">
        <is>
          <t>A 36790-2023</t>
        </is>
      </c>
      <c r="B547" s="1" t="n">
        <v>45154.36418981481</v>
      </c>
      <c r="C547" s="1" t="n">
        <v>46178</v>
      </c>
      <c r="D547" t="inlineStr">
        <is>
          <t>VÄSTERNORRLANDS LÄN</t>
        </is>
      </c>
      <c r="E547" t="inlineStr">
        <is>
          <t>ÅNGE</t>
        </is>
      </c>
      <c r="G547" t="n">
        <v>1.4</v>
      </c>
      <c r="H547" t="n">
        <v>0</v>
      </c>
      <c r="I547" t="n">
        <v>0</v>
      </c>
      <c r="J547" t="n">
        <v>0</v>
      </c>
      <c r="K547" t="n">
        <v>0</v>
      </c>
      <c r="L547" t="n">
        <v>0</v>
      </c>
      <c r="M547" t="n">
        <v>0</v>
      </c>
      <c r="N547" t="n">
        <v>0</v>
      </c>
      <c r="O547" t="n">
        <v>0</v>
      </c>
      <c r="P547" t="n">
        <v>0</v>
      </c>
      <c r="Q547" t="n">
        <v>0</v>
      </c>
      <c r="R547" s="2" t="inlineStr"/>
    </row>
    <row r="548" ht="15" customHeight="1">
      <c r="A548" t="inlineStr">
        <is>
          <t>A 42242-2023</t>
        </is>
      </c>
      <c r="B548" s="1" t="n">
        <v>45180.35025462963</v>
      </c>
      <c r="C548" s="1" t="n">
        <v>46178</v>
      </c>
      <c r="D548" t="inlineStr">
        <is>
          <t>VÄSTERNORRLANDS LÄN</t>
        </is>
      </c>
      <c r="E548" t="inlineStr">
        <is>
          <t>ÅNGE</t>
        </is>
      </c>
      <c r="G548" t="n">
        <v>5.7</v>
      </c>
      <c r="H548" t="n">
        <v>0</v>
      </c>
      <c r="I548" t="n">
        <v>0</v>
      </c>
      <c r="J548" t="n">
        <v>0</v>
      </c>
      <c r="K548" t="n">
        <v>0</v>
      </c>
      <c r="L548" t="n">
        <v>0</v>
      </c>
      <c r="M548" t="n">
        <v>0</v>
      </c>
      <c r="N548" t="n">
        <v>0</v>
      </c>
      <c r="O548" t="n">
        <v>0</v>
      </c>
      <c r="P548" t="n">
        <v>0</v>
      </c>
      <c r="Q548" t="n">
        <v>0</v>
      </c>
      <c r="R548" s="2" t="inlineStr"/>
    </row>
    <row r="549" ht="15" customHeight="1">
      <c r="A549" t="inlineStr">
        <is>
          <t>A 16450-2025</t>
        </is>
      </c>
      <c r="B549" s="1" t="n">
        <v>45751.51081018519</v>
      </c>
      <c r="C549" s="1" t="n">
        <v>46178</v>
      </c>
      <c r="D549" t="inlineStr">
        <is>
          <t>VÄSTERNORRLANDS LÄN</t>
        </is>
      </c>
      <c r="E549" t="inlineStr">
        <is>
          <t>ÅNGE</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25973-2022</t>
        </is>
      </c>
      <c r="B550" s="1" t="n">
        <v>44734</v>
      </c>
      <c r="C550" s="1" t="n">
        <v>46178</v>
      </c>
      <c r="D550" t="inlineStr">
        <is>
          <t>VÄSTERNORRLANDS LÄN</t>
        </is>
      </c>
      <c r="E550" t="inlineStr">
        <is>
          <t>ÅNGE</t>
        </is>
      </c>
      <c r="G550" t="n">
        <v>4.1</v>
      </c>
      <c r="H550" t="n">
        <v>0</v>
      </c>
      <c r="I550" t="n">
        <v>0</v>
      </c>
      <c r="J550" t="n">
        <v>0</v>
      </c>
      <c r="K550" t="n">
        <v>0</v>
      </c>
      <c r="L550" t="n">
        <v>0</v>
      </c>
      <c r="M550" t="n">
        <v>0</v>
      </c>
      <c r="N550" t="n">
        <v>0</v>
      </c>
      <c r="O550" t="n">
        <v>0</v>
      </c>
      <c r="P550" t="n">
        <v>0</v>
      </c>
      <c r="Q550" t="n">
        <v>0</v>
      </c>
      <c r="R550" s="2" t="inlineStr"/>
    </row>
    <row r="551" ht="15" customHeight="1">
      <c r="A551" t="inlineStr">
        <is>
          <t>A 741-2024</t>
        </is>
      </c>
      <c r="B551" s="1" t="n">
        <v>45300.46591435185</v>
      </c>
      <c r="C551" s="1" t="n">
        <v>46178</v>
      </c>
      <c r="D551" t="inlineStr">
        <is>
          <t>VÄSTERNORRLANDS LÄN</t>
        </is>
      </c>
      <c r="E551" t="inlineStr">
        <is>
          <t>ÅNGE</t>
        </is>
      </c>
      <c r="G551" t="n">
        <v>8</v>
      </c>
      <c r="H551" t="n">
        <v>0</v>
      </c>
      <c r="I551" t="n">
        <v>0</v>
      </c>
      <c r="J551" t="n">
        <v>0</v>
      </c>
      <c r="K551" t="n">
        <v>0</v>
      </c>
      <c r="L551" t="n">
        <v>0</v>
      </c>
      <c r="M551" t="n">
        <v>0</v>
      </c>
      <c r="N551" t="n">
        <v>0</v>
      </c>
      <c r="O551" t="n">
        <v>0</v>
      </c>
      <c r="P551" t="n">
        <v>0</v>
      </c>
      <c r="Q551" t="n">
        <v>0</v>
      </c>
      <c r="R551" s="2" t="inlineStr"/>
    </row>
    <row r="552" ht="15" customHeight="1">
      <c r="A552" t="inlineStr">
        <is>
          <t>A 48369-2024</t>
        </is>
      </c>
      <c r="B552" s="1" t="n">
        <v>45590.57960648148</v>
      </c>
      <c r="C552" s="1" t="n">
        <v>46178</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27164-2025</t>
        </is>
      </c>
      <c r="B553" s="1" t="n">
        <v>45812.34430555555</v>
      </c>
      <c r="C553" s="1" t="n">
        <v>46178</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33720-2025</t>
        </is>
      </c>
      <c r="B554" s="1" t="n">
        <v>45841.90605324074</v>
      </c>
      <c r="C554" s="1" t="n">
        <v>46178</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27606-2025</t>
        </is>
      </c>
      <c r="B555" s="1" t="n">
        <v>45813.53200231482</v>
      </c>
      <c r="C555" s="1" t="n">
        <v>46178</v>
      </c>
      <c r="D555" t="inlineStr">
        <is>
          <t>VÄSTERNORRLANDS LÄN</t>
        </is>
      </c>
      <c r="E555" t="inlineStr">
        <is>
          <t>ÅNGE</t>
        </is>
      </c>
      <c r="F555" t="inlineStr">
        <is>
          <t>SCA</t>
        </is>
      </c>
      <c r="G555" t="n">
        <v>6.3</v>
      </c>
      <c r="H555" t="n">
        <v>0</v>
      </c>
      <c r="I555" t="n">
        <v>0</v>
      </c>
      <c r="J555" t="n">
        <v>0</v>
      </c>
      <c r="K555" t="n">
        <v>0</v>
      </c>
      <c r="L555" t="n">
        <v>0</v>
      </c>
      <c r="M555" t="n">
        <v>0</v>
      </c>
      <c r="N555" t="n">
        <v>0</v>
      </c>
      <c r="O555" t="n">
        <v>0</v>
      </c>
      <c r="P555" t="n">
        <v>0</v>
      </c>
      <c r="Q555" t="n">
        <v>0</v>
      </c>
      <c r="R555" s="2" t="inlineStr"/>
    </row>
    <row r="556" ht="15" customHeight="1">
      <c r="A556" t="inlineStr">
        <is>
          <t>A 16524-2025</t>
        </is>
      </c>
      <c r="B556" s="1" t="n">
        <v>45751.64310185185</v>
      </c>
      <c r="C556" s="1" t="n">
        <v>46178</v>
      </c>
      <c r="D556" t="inlineStr">
        <is>
          <t>VÄSTERNORRLANDS LÄN</t>
        </is>
      </c>
      <c r="E556" t="inlineStr">
        <is>
          <t>ÅNGE</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33750-2024</t>
        </is>
      </c>
      <c r="B557" s="1" t="n">
        <v>45520.56475694444</v>
      </c>
      <c r="C557" s="1" t="n">
        <v>46178</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52683-2024</t>
        </is>
      </c>
      <c r="B558" s="1" t="n">
        <v>45610</v>
      </c>
      <c r="C558" s="1" t="n">
        <v>46178</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40790-2023</t>
        </is>
      </c>
      <c r="B559" s="1" t="n">
        <v>45170.95814814815</v>
      </c>
      <c r="C559" s="1" t="n">
        <v>46178</v>
      </c>
      <c r="D559" t="inlineStr">
        <is>
          <t>VÄSTERNORRLANDS LÄN</t>
        </is>
      </c>
      <c r="E559" t="inlineStr">
        <is>
          <t>ÅNGE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35578-2025</t>
        </is>
      </c>
      <c r="B560" s="1" t="n">
        <v>45856.67797453704</v>
      </c>
      <c r="C560" s="1" t="n">
        <v>46178</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38002-2024</t>
        </is>
      </c>
      <c r="B561" s="1" t="n">
        <v>45544.61484953704</v>
      </c>
      <c r="C561" s="1" t="n">
        <v>46178</v>
      </c>
      <c r="D561" t="inlineStr">
        <is>
          <t>VÄSTERNORRLANDS LÄN</t>
        </is>
      </c>
      <c r="E561" t="inlineStr">
        <is>
          <t>ÅNGE</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60514-2024</t>
        </is>
      </c>
      <c r="B562" s="1" t="n">
        <v>45643.67474537037</v>
      </c>
      <c r="C562" s="1" t="n">
        <v>46178</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6684-2024</t>
        </is>
      </c>
      <c r="B563" s="1" t="n">
        <v>45341.92555555556</v>
      </c>
      <c r="C563" s="1" t="n">
        <v>46178</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6691-2024</t>
        </is>
      </c>
      <c r="B564" s="1" t="n">
        <v>45341</v>
      </c>
      <c r="C564" s="1" t="n">
        <v>46178</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27639-2025</t>
        </is>
      </c>
      <c r="B565" s="1" t="n">
        <v>45813</v>
      </c>
      <c r="C565" s="1" t="n">
        <v>46178</v>
      </c>
      <c r="D565" t="inlineStr">
        <is>
          <t>VÄSTERNORRLANDS LÄN</t>
        </is>
      </c>
      <c r="E565" t="inlineStr">
        <is>
          <t>ÅNGE</t>
        </is>
      </c>
      <c r="G565" t="n">
        <v>22.9</v>
      </c>
      <c r="H565" t="n">
        <v>0</v>
      </c>
      <c r="I565" t="n">
        <v>0</v>
      </c>
      <c r="J565" t="n">
        <v>0</v>
      </c>
      <c r="K565" t="n">
        <v>0</v>
      </c>
      <c r="L565" t="n">
        <v>0</v>
      </c>
      <c r="M565" t="n">
        <v>0</v>
      </c>
      <c r="N565" t="n">
        <v>0</v>
      </c>
      <c r="O565" t="n">
        <v>0</v>
      </c>
      <c r="P565" t="n">
        <v>0</v>
      </c>
      <c r="Q565" t="n">
        <v>0</v>
      </c>
      <c r="R565" s="2" t="inlineStr"/>
    </row>
    <row r="566" ht="15" customHeight="1">
      <c r="A566" t="inlineStr">
        <is>
          <t>A 27572-2025</t>
        </is>
      </c>
      <c r="B566" s="1" t="n">
        <v>45813.49049768518</v>
      </c>
      <c r="C566" s="1" t="n">
        <v>46178</v>
      </c>
      <c r="D566" t="inlineStr">
        <is>
          <t>VÄSTERNORRLANDS LÄN</t>
        </is>
      </c>
      <c r="E566" t="inlineStr">
        <is>
          <t>ÅNGE</t>
        </is>
      </c>
      <c r="F566" t="inlineStr">
        <is>
          <t>SCA</t>
        </is>
      </c>
      <c r="G566" t="n">
        <v>14.3</v>
      </c>
      <c r="H566" t="n">
        <v>0</v>
      </c>
      <c r="I566" t="n">
        <v>0</v>
      </c>
      <c r="J566" t="n">
        <v>0</v>
      </c>
      <c r="K566" t="n">
        <v>0</v>
      </c>
      <c r="L566" t="n">
        <v>0</v>
      </c>
      <c r="M566" t="n">
        <v>0</v>
      </c>
      <c r="N566" t="n">
        <v>0</v>
      </c>
      <c r="O566" t="n">
        <v>0</v>
      </c>
      <c r="P566" t="n">
        <v>0</v>
      </c>
      <c r="Q566" t="n">
        <v>0</v>
      </c>
      <c r="R566" s="2" t="inlineStr"/>
    </row>
    <row r="567" ht="15" customHeight="1">
      <c r="A567" t="inlineStr">
        <is>
          <t>A 27165-2025</t>
        </is>
      </c>
      <c r="B567" s="1" t="n">
        <v>45812.34440972222</v>
      </c>
      <c r="C567" s="1" t="n">
        <v>46178</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27545-2025</t>
        </is>
      </c>
      <c r="B568" s="1" t="n">
        <v>45813.46942129629</v>
      </c>
      <c r="C568" s="1" t="n">
        <v>46178</v>
      </c>
      <c r="D568" t="inlineStr">
        <is>
          <t>VÄSTERNORRLANDS LÄN</t>
        </is>
      </c>
      <c r="E568" t="inlineStr">
        <is>
          <t>ÅNGE</t>
        </is>
      </c>
      <c r="F568" t="inlineStr">
        <is>
          <t>SCA</t>
        </is>
      </c>
      <c r="G568" t="n">
        <v>14.3</v>
      </c>
      <c r="H568" t="n">
        <v>0</v>
      </c>
      <c r="I568" t="n">
        <v>0</v>
      </c>
      <c r="J568" t="n">
        <v>0</v>
      </c>
      <c r="K568" t="n">
        <v>0</v>
      </c>
      <c r="L568" t="n">
        <v>0</v>
      </c>
      <c r="M568" t="n">
        <v>0</v>
      </c>
      <c r="N568" t="n">
        <v>0</v>
      </c>
      <c r="O568" t="n">
        <v>0</v>
      </c>
      <c r="P568" t="n">
        <v>0</v>
      </c>
      <c r="Q568" t="n">
        <v>0</v>
      </c>
      <c r="R568" s="2" t="inlineStr"/>
    </row>
    <row r="569" ht="15" customHeight="1">
      <c r="A569" t="inlineStr">
        <is>
          <t>A 40818-2025</t>
        </is>
      </c>
      <c r="B569" s="1" t="n">
        <v>45897.48881944444</v>
      </c>
      <c r="C569" s="1" t="n">
        <v>46178</v>
      </c>
      <c r="D569" t="inlineStr">
        <is>
          <t>VÄSTERNORRLANDS LÄN</t>
        </is>
      </c>
      <c r="E569" t="inlineStr">
        <is>
          <t>ÅNGE</t>
        </is>
      </c>
      <c r="G569" t="n">
        <v>2.9</v>
      </c>
      <c r="H569" t="n">
        <v>0</v>
      </c>
      <c r="I569" t="n">
        <v>0</v>
      </c>
      <c r="J569" t="n">
        <v>0</v>
      </c>
      <c r="K569" t="n">
        <v>0</v>
      </c>
      <c r="L569" t="n">
        <v>0</v>
      </c>
      <c r="M569" t="n">
        <v>0</v>
      </c>
      <c r="N569" t="n">
        <v>0</v>
      </c>
      <c r="O569" t="n">
        <v>0</v>
      </c>
      <c r="P569" t="n">
        <v>0</v>
      </c>
      <c r="Q569" t="n">
        <v>0</v>
      </c>
      <c r="R569" s="2" t="inlineStr"/>
    </row>
    <row r="570" ht="15" customHeight="1">
      <c r="A570" t="inlineStr">
        <is>
          <t>A 40830-2025</t>
        </is>
      </c>
      <c r="B570" s="1" t="n">
        <v>45897.51079861111</v>
      </c>
      <c r="C570" s="1" t="n">
        <v>46178</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40872-2025</t>
        </is>
      </c>
      <c r="B571" s="1" t="n">
        <v>45897.574375</v>
      </c>
      <c r="C571" s="1" t="n">
        <v>46178</v>
      </c>
      <c r="D571" t="inlineStr">
        <is>
          <t>VÄSTERNORRLANDS LÄN</t>
        </is>
      </c>
      <c r="E571" t="inlineStr">
        <is>
          <t>ÅNGE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28085-2025</t>
        </is>
      </c>
      <c r="B572" s="1" t="n">
        <v>45817.71924768519</v>
      </c>
      <c r="C572" s="1" t="n">
        <v>46178</v>
      </c>
      <c r="D572" t="inlineStr">
        <is>
          <t>VÄSTERNORRLANDS LÄN</t>
        </is>
      </c>
      <c r="E572" t="inlineStr">
        <is>
          <t>ÅNGE</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40665-2025</t>
        </is>
      </c>
      <c r="B573" s="1" t="n">
        <v>45896.65663194445</v>
      </c>
      <c r="C573" s="1" t="n">
        <v>46178</v>
      </c>
      <c r="D573" t="inlineStr">
        <is>
          <t>VÄSTERNORRLANDS LÄN</t>
        </is>
      </c>
      <c r="E573" t="inlineStr">
        <is>
          <t>ÅNGE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40898-2025</t>
        </is>
      </c>
      <c r="B574" s="1" t="n">
        <v>45897.61503472222</v>
      </c>
      <c r="C574" s="1" t="n">
        <v>46178</v>
      </c>
      <c r="D574" t="inlineStr">
        <is>
          <t>VÄSTERNORRLANDS LÄN</t>
        </is>
      </c>
      <c r="E574" t="inlineStr">
        <is>
          <t>ÅNGE</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40899-2025</t>
        </is>
      </c>
      <c r="B575" s="1" t="n">
        <v>45897.61528935185</v>
      </c>
      <c r="C575" s="1" t="n">
        <v>46178</v>
      </c>
      <c r="D575" t="inlineStr">
        <is>
          <t>VÄSTERNORRLANDS LÄN</t>
        </is>
      </c>
      <c r="E575" t="inlineStr">
        <is>
          <t>ÅNGE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56874-2024</t>
        </is>
      </c>
      <c r="B576" s="1" t="n">
        <v>45628</v>
      </c>
      <c r="C576" s="1" t="n">
        <v>46178</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58087-2024</t>
        </is>
      </c>
      <c r="B577" s="1" t="n">
        <v>45632.34502314815</v>
      </c>
      <c r="C577" s="1" t="n">
        <v>46178</v>
      </c>
      <c r="D577" t="inlineStr">
        <is>
          <t>VÄSTERNORRLANDS LÄN</t>
        </is>
      </c>
      <c r="E577" t="inlineStr">
        <is>
          <t>ÅNGE</t>
        </is>
      </c>
      <c r="G577" t="n">
        <v>2.6</v>
      </c>
      <c r="H577" t="n">
        <v>0</v>
      </c>
      <c r="I577" t="n">
        <v>0</v>
      </c>
      <c r="J577" t="n">
        <v>0</v>
      </c>
      <c r="K577" t="n">
        <v>0</v>
      </c>
      <c r="L577" t="n">
        <v>0</v>
      </c>
      <c r="M577" t="n">
        <v>0</v>
      </c>
      <c r="N577" t="n">
        <v>0</v>
      </c>
      <c r="O577" t="n">
        <v>0</v>
      </c>
      <c r="P577" t="n">
        <v>0</v>
      </c>
      <c r="Q577" t="n">
        <v>0</v>
      </c>
      <c r="R577" s="2" t="inlineStr"/>
    </row>
    <row r="578" ht="15" customHeight="1">
      <c r="A578" t="inlineStr">
        <is>
          <t>A 28070-2025</t>
        </is>
      </c>
      <c r="B578" s="1" t="n">
        <v>45817.67739583334</v>
      </c>
      <c r="C578" s="1" t="n">
        <v>46178</v>
      </c>
      <c r="D578" t="inlineStr">
        <is>
          <t>VÄSTERNORRLANDS LÄN</t>
        </is>
      </c>
      <c r="E578" t="inlineStr">
        <is>
          <t>ÅNGE</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41179-2025</t>
        </is>
      </c>
      <c r="B579" s="1" t="n">
        <v>45898.55277777778</v>
      </c>
      <c r="C579" s="1" t="n">
        <v>46178</v>
      </c>
      <c r="D579" t="inlineStr">
        <is>
          <t>VÄSTERNORRLANDS LÄN</t>
        </is>
      </c>
      <c r="E579" t="inlineStr">
        <is>
          <t>ÅNGE</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41173-2025</t>
        </is>
      </c>
      <c r="B580" s="1" t="n">
        <v>45898</v>
      </c>
      <c r="C580" s="1" t="n">
        <v>46178</v>
      </c>
      <c r="D580" t="inlineStr">
        <is>
          <t>VÄSTERNORRLANDS LÄN</t>
        </is>
      </c>
      <c r="E580" t="inlineStr">
        <is>
          <t>ÅNGE</t>
        </is>
      </c>
      <c r="G580" t="n">
        <v>3.6</v>
      </c>
      <c r="H580" t="n">
        <v>0</v>
      </c>
      <c r="I580" t="n">
        <v>0</v>
      </c>
      <c r="J580" t="n">
        <v>0</v>
      </c>
      <c r="K580" t="n">
        <v>0</v>
      </c>
      <c r="L580" t="n">
        <v>0</v>
      </c>
      <c r="M580" t="n">
        <v>0</v>
      </c>
      <c r="N580" t="n">
        <v>0</v>
      </c>
      <c r="O580" t="n">
        <v>0</v>
      </c>
      <c r="P580" t="n">
        <v>0</v>
      </c>
      <c r="Q580" t="n">
        <v>0</v>
      </c>
      <c r="R580" s="2" t="inlineStr"/>
    </row>
    <row r="581" ht="15" customHeight="1">
      <c r="A581" t="inlineStr">
        <is>
          <t>A 21200-2024</t>
        </is>
      </c>
      <c r="B581" s="1" t="n">
        <v>45440</v>
      </c>
      <c r="C581" s="1" t="n">
        <v>46178</v>
      </c>
      <c r="D581" t="inlineStr">
        <is>
          <t>VÄSTERNORRLANDS LÄN</t>
        </is>
      </c>
      <c r="E581" t="inlineStr">
        <is>
          <t>ÅNGE</t>
        </is>
      </c>
      <c r="G581" t="n">
        <v>1.1</v>
      </c>
      <c r="H581" t="n">
        <v>0</v>
      </c>
      <c r="I581" t="n">
        <v>0</v>
      </c>
      <c r="J581" t="n">
        <v>0</v>
      </c>
      <c r="K581" t="n">
        <v>0</v>
      </c>
      <c r="L581" t="n">
        <v>0</v>
      </c>
      <c r="M581" t="n">
        <v>0</v>
      </c>
      <c r="N581" t="n">
        <v>0</v>
      </c>
      <c r="O581" t="n">
        <v>0</v>
      </c>
      <c r="P581" t="n">
        <v>0</v>
      </c>
      <c r="Q581" t="n">
        <v>0</v>
      </c>
      <c r="R581" s="2" t="inlineStr"/>
    </row>
    <row r="582" ht="15" customHeight="1">
      <c r="A582" t="inlineStr">
        <is>
          <t>A 10017-2025</t>
        </is>
      </c>
      <c r="B582" s="1" t="n">
        <v>45719.46957175926</v>
      </c>
      <c r="C582" s="1" t="n">
        <v>46178</v>
      </c>
      <c r="D582" t="inlineStr">
        <is>
          <t>VÄSTERNORRLANDS LÄN</t>
        </is>
      </c>
      <c r="E582" t="inlineStr">
        <is>
          <t>ÅNGE</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46178</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1127-2023</t>
        </is>
      </c>
      <c r="B584" s="1" t="n">
        <v>44929</v>
      </c>
      <c r="C584" s="1" t="n">
        <v>46178</v>
      </c>
      <c r="D584" t="inlineStr">
        <is>
          <t>VÄSTERNORRLANDS LÄN</t>
        </is>
      </c>
      <c r="E584" t="inlineStr">
        <is>
          <t>ÅNGE</t>
        </is>
      </c>
      <c r="G584" t="n">
        <v>10.5</v>
      </c>
      <c r="H584" t="n">
        <v>0</v>
      </c>
      <c r="I584" t="n">
        <v>0</v>
      </c>
      <c r="J584" t="n">
        <v>0</v>
      </c>
      <c r="K584" t="n">
        <v>0</v>
      </c>
      <c r="L584" t="n">
        <v>0</v>
      </c>
      <c r="M584" t="n">
        <v>0</v>
      </c>
      <c r="N584" t="n">
        <v>0</v>
      </c>
      <c r="O584" t="n">
        <v>0</v>
      </c>
      <c r="P584" t="n">
        <v>0</v>
      </c>
      <c r="Q584" t="n">
        <v>0</v>
      </c>
      <c r="R584" s="2" t="inlineStr"/>
    </row>
    <row r="585" ht="15" customHeight="1">
      <c r="A585" t="inlineStr">
        <is>
          <t>A 22755-2023</t>
        </is>
      </c>
      <c r="B585" s="1" t="n">
        <v>45071.94127314815</v>
      </c>
      <c r="C585" s="1" t="n">
        <v>46178</v>
      </c>
      <c r="D585" t="inlineStr">
        <is>
          <t>VÄSTERNORRLANDS LÄN</t>
        </is>
      </c>
      <c r="E585" t="inlineStr">
        <is>
          <t>ÅNGE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4727-2023</t>
        </is>
      </c>
      <c r="B586" s="1" t="n">
        <v>44953</v>
      </c>
      <c r="C586" s="1" t="n">
        <v>46178</v>
      </c>
      <c r="D586" t="inlineStr">
        <is>
          <t>VÄSTERNORRLANDS LÄN</t>
        </is>
      </c>
      <c r="E586" t="inlineStr">
        <is>
          <t>ÅNGE</t>
        </is>
      </c>
      <c r="G586" t="n">
        <v>0.4</v>
      </c>
      <c r="H586" t="n">
        <v>0</v>
      </c>
      <c r="I586" t="n">
        <v>0</v>
      </c>
      <c r="J586" t="n">
        <v>0</v>
      </c>
      <c r="K586" t="n">
        <v>0</v>
      </c>
      <c r="L586" t="n">
        <v>0</v>
      </c>
      <c r="M586" t="n">
        <v>0</v>
      </c>
      <c r="N586" t="n">
        <v>0</v>
      </c>
      <c r="O586" t="n">
        <v>0</v>
      </c>
      <c r="P586" t="n">
        <v>0</v>
      </c>
      <c r="Q586" t="n">
        <v>0</v>
      </c>
      <c r="R586" s="2" t="inlineStr"/>
    </row>
    <row r="587" ht="15" customHeight="1">
      <c r="A587" t="inlineStr">
        <is>
          <t>A 35540-2025</t>
        </is>
      </c>
      <c r="B587" s="1" t="n">
        <v>45856.46912037037</v>
      </c>
      <c r="C587" s="1" t="n">
        <v>46178</v>
      </c>
      <c r="D587" t="inlineStr">
        <is>
          <t>VÄSTERNORRLANDS LÄN</t>
        </is>
      </c>
      <c r="E587" t="inlineStr">
        <is>
          <t>ÅNGE</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3289-2026</t>
        </is>
      </c>
      <c r="B588" s="1" t="n">
        <v>46041.63581018519</v>
      </c>
      <c r="C588" s="1" t="n">
        <v>46178</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28143-2025</t>
        </is>
      </c>
      <c r="B589" s="1" t="n">
        <v>45818.34546296296</v>
      </c>
      <c r="C589" s="1" t="n">
        <v>46178</v>
      </c>
      <c r="D589" t="inlineStr">
        <is>
          <t>VÄSTERNORRLANDS LÄN</t>
        </is>
      </c>
      <c r="E589" t="inlineStr">
        <is>
          <t>ÅNGE</t>
        </is>
      </c>
      <c r="F589" t="inlineStr">
        <is>
          <t>SCA</t>
        </is>
      </c>
      <c r="G589" t="n">
        <v>6.8</v>
      </c>
      <c r="H589" t="n">
        <v>0</v>
      </c>
      <c r="I589" t="n">
        <v>0</v>
      </c>
      <c r="J589" t="n">
        <v>0</v>
      </c>
      <c r="K589" t="n">
        <v>0</v>
      </c>
      <c r="L589" t="n">
        <v>0</v>
      </c>
      <c r="M589" t="n">
        <v>0</v>
      </c>
      <c r="N589" t="n">
        <v>0</v>
      </c>
      <c r="O589" t="n">
        <v>0</v>
      </c>
      <c r="P589" t="n">
        <v>0</v>
      </c>
      <c r="Q589" t="n">
        <v>0</v>
      </c>
      <c r="R589" s="2" t="inlineStr"/>
    </row>
    <row r="590" ht="15" customHeight="1">
      <c r="A590" t="inlineStr">
        <is>
          <t>A 28404-2025</t>
        </is>
      </c>
      <c r="B590" s="1" t="n">
        <v>45819.34532407407</v>
      </c>
      <c r="C590" s="1" t="n">
        <v>46178</v>
      </c>
      <c r="D590" t="inlineStr">
        <is>
          <t>VÄSTERNORRLANDS LÄN</t>
        </is>
      </c>
      <c r="E590" t="inlineStr">
        <is>
          <t>ÅNGE</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35143-2025</t>
        </is>
      </c>
      <c r="B591" s="1" t="n">
        <v>45852.65660879629</v>
      </c>
      <c r="C591" s="1" t="n">
        <v>46178</v>
      </c>
      <c r="D591" t="inlineStr">
        <is>
          <t>VÄSTERNORRLANDS LÄN</t>
        </is>
      </c>
      <c r="E591" t="inlineStr">
        <is>
          <t>ÅNGE</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29153-2025</t>
        </is>
      </c>
      <c r="B592" s="1" t="n">
        <v>45821.63574074074</v>
      </c>
      <c r="C592" s="1" t="n">
        <v>46178</v>
      </c>
      <c r="D592" t="inlineStr">
        <is>
          <t>VÄSTERNORRLANDS LÄN</t>
        </is>
      </c>
      <c r="E592" t="inlineStr">
        <is>
          <t>ÅNGE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28896-2025</t>
        </is>
      </c>
      <c r="B593" s="1" t="n">
        <v>45820.63584490741</v>
      </c>
      <c r="C593" s="1" t="n">
        <v>46178</v>
      </c>
      <c r="D593" t="inlineStr">
        <is>
          <t>VÄSTERNORRLANDS LÄN</t>
        </is>
      </c>
      <c r="E593" t="inlineStr">
        <is>
          <t>ÅNGE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3290-2026</t>
        </is>
      </c>
      <c r="B594" s="1" t="n">
        <v>46041</v>
      </c>
      <c r="C594" s="1" t="n">
        <v>46178</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42881-2023</t>
        </is>
      </c>
      <c r="B595" s="1" t="n">
        <v>45182.45256944445</v>
      </c>
      <c r="C595" s="1" t="n">
        <v>46178</v>
      </c>
      <c r="D595" t="inlineStr">
        <is>
          <t>VÄSTERNORRLANDS LÄN</t>
        </is>
      </c>
      <c r="E595" t="inlineStr">
        <is>
          <t>ÅNGE</t>
        </is>
      </c>
      <c r="G595" t="n">
        <v>3.9</v>
      </c>
      <c r="H595" t="n">
        <v>0</v>
      </c>
      <c r="I595" t="n">
        <v>0</v>
      </c>
      <c r="J595" t="n">
        <v>0</v>
      </c>
      <c r="K595" t="n">
        <v>0</v>
      </c>
      <c r="L595" t="n">
        <v>0</v>
      </c>
      <c r="M595" t="n">
        <v>0</v>
      </c>
      <c r="N595" t="n">
        <v>0</v>
      </c>
      <c r="O595" t="n">
        <v>0</v>
      </c>
      <c r="P595" t="n">
        <v>0</v>
      </c>
      <c r="Q595" t="n">
        <v>0</v>
      </c>
      <c r="R595" s="2" t="inlineStr"/>
    </row>
    <row r="596" ht="15" customHeight="1">
      <c r="A596" t="inlineStr">
        <is>
          <t>A 28814-2025</t>
        </is>
      </c>
      <c r="B596" s="1" t="n">
        <v>45820.52846064815</v>
      </c>
      <c r="C596" s="1" t="n">
        <v>46178</v>
      </c>
      <c r="D596" t="inlineStr">
        <is>
          <t>VÄSTERNORRLANDS LÄN</t>
        </is>
      </c>
      <c r="E596" t="inlineStr">
        <is>
          <t>ÅNGE</t>
        </is>
      </c>
      <c r="G596" t="n">
        <v>2.6</v>
      </c>
      <c r="H596" t="n">
        <v>0</v>
      </c>
      <c r="I596" t="n">
        <v>0</v>
      </c>
      <c r="J596" t="n">
        <v>0</v>
      </c>
      <c r="K596" t="n">
        <v>0</v>
      </c>
      <c r="L596" t="n">
        <v>0</v>
      </c>
      <c r="M596" t="n">
        <v>0</v>
      </c>
      <c r="N596" t="n">
        <v>0</v>
      </c>
      <c r="O596" t="n">
        <v>0</v>
      </c>
      <c r="P596" t="n">
        <v>0</v>
      </c>
      <c r="Q596" t="n">
        <v>0</v>
      </c>
      <c r="R596" s="2" t="inlineStr"/>
    </row>
    <row r="597" ht="15" customHeight="1">
      <c r="A597" t="inlineStr">
        <is>
          <t>A 30474-2024</t>
        </is>
      </c>
      <c r="B597" s="1" t="n">
        <v>45491</v>
      </c>
      <c r="C597" s="1" t="n">
        <v>46178</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30475-2024</t>
        </is>
      </c>
      <c r="B598" s="1" t="n">
        <v>45491</v>
      </c>
      <c r="C598" s="1" t="n">
        <v>46178</v>
      </c>
      <c r="D598" t="inlineStr">
        <is>
          <t>VÄSTERNORRLANDS LÄN</t>
        </is>
      </c>
      <c r="E598" t="inlineStr">
        <is>
          <t>ÅNGE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47243-2024</t>
        </is>
      </c>
      <c r="B599" s="1" t="n">
        <v>45586.6987962963</v>
      </c>
      <c r="C599" s="1" t="n">
        <v>46178</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28717-2025</t>
        </is>
      </c>
      <c r="B600" s="1" t="n">
        <v>45820</v>
      </c>
      <c r="C600" s="1" t="n">
        <v>46178</v>
      </c>
      <c r="D600" t="inlineStr">
        <is>
          <t>VÄSTERNORRLANDS LÄN</t>
        </is>
      </c>
      <c r="E600" t="inlineStr">
        <is>
          <t>ÅNGE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3811-2026</t>
        </is>
      </c>
      <c r="B601" s="1" t="n">
        <v>46043</v>
      </c>
      <c r="C601" s="1" t="n">
        <v>46178</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42043-2024</t>
        </is>
      </c>
      <c r="B602" s="1" t="n">
        <v>45561</v>
      </c>
      <c r="C602" s="1" t="n">
        <v>46178</v>
      </c>
      <c r="D602" t="inlineStr">
        <is>
          <t>VÄSTERNORRLANDS LÄN</t>
        </is>
      </c>
      <c r="E602" t="inlineStr">
        <is>
          <t>ÅNGE</t>
        </is>
      </c>
      <c r="G602" t="n">
        <v>3.1</v>
      </c>
      <c r="H602" t="n">
        <v>0</v>
      </c>
      <c r="I602" t="n">
        <v>0</v>
      </c>
      <c r="J602" t="n">
        <v>0</v>
      </c>
      <c r="K602" t="n">
        <v>0</v>
      </c>
      <c r="L602" t="n">
        <v>0</v>
      </c>
      <c r="M602" t="n">
        <v>0</v>
      </c>
      <c r="N602" t="n">
        <v>0</v>
      </c>
      <c r="O602" t="n">
        <v>0</v>
      </c>
      <c r="P602" t="n">
        <v>0</v>
      </c>
      <c r="Q602" t="n">
        <v>0</v>
      </c>
      <c r="R602" s="2" t="inlineStr"/>
    </row>
    <row r="603" ht="15" customHeight="1">
      <c r="A603" t="inlineStr">
        <is>
          <t>A 42046-2024</t>
        </is>
      </c>
      <c r="B603" s="1" t="n">
        <v>45561.83422453704</v>
      </c>
      <c r="C603" s="1" t="n">
        <v>46178</v>
      </c>
      <c r="D603" t="inlineStr">
        <is>
          <t>VÄSTERNORRLANDS LÄN</t>
        </is>
      </c>
      <c r="E603" t="inlineStr">
        <is>
          <t>ÅNGE</t>
        </is>
      </c>
      <c r="G603" t="n">
        <v>0.6</v>
      </c>
      <c r="H603" t="n">
        <v>0</v>
      </c>
      <c r="I603" t="n">
        <v>0</v>
      </c>
      <c r="J603" t="n">
        <v>0</v>
      </c>
      <c r="K603" t="n">
        <v>0</v>
      </c>
      <c r="L603" t="n">
        <v>0</v>
      </c>
      <c r="M603" t="n">
        <v>0</v>
      </c>
      <c r="N603" t="n">
        <v>0</v>
      </c>
      <c r="O603" t="n">
        <v>0</v>
      </c>
      <c r="P603" t="n">
        <v>0</v>
      </c>
      <c r="Q603" t="n">
        <v>0</v>
      </c>
      <c r="R603" s="2" t="inlineStr"/>
    </row>
    <row r="604" ht="15" customHeight="1">
      <c r="A604" t="inlineStr">
        <is>
          <t>A 28819-2025</t>
        </is>
      </c>
      <c r="B604" s="1" t="n">
        <v>45820.53758101852</v>
      </c>
      <c r="C604" s="1" t="n">
        <v>46178</v>
      </c>
      <c r="D604" t="inlineStr">
        <is>
          <t>VÄSTERNORRLANDS LÄN</t>
        </is>
      </c>
      <c r="E604" t="inlineStr">
        <is>
          <t>ÅNGE</t>
        </is>
      </c>
      <c r="G604" t="n">
        <v>2.9</v>
      </c>
      <c r="H604" t="n">
        <v>0</v>
      </c>
      <c r="I604" t="n">
        <v>0</v>
      </c>
      <c r="J604" t="n">
        <v>0</v>
      </c>
      <c r="K604" t="n">
        <v>0</v>
      </c>
      <c r="L604" t="n">
        <v>0</v>
      </c>
      <c r="M604" t="n">
        <v>0</v>
      </c>
      <c r="N604" t="n">
        <v>0</v>
      </c>
      <c r="O604" t="n">
        <v>0</v>
      </c>
      <c r="P604" t="n">
        <v>0</v>
      </c>
      <c r="Q604" t="n">
        <v>0</v>
      </c>
      <c r="R604" s="2" t="inlineStr"/>
    </row>
    <row r="605" ht="15" customHeight="1">
      <c r="A605" t="inlineStr">
        <is>
          <t>A 28845-2025</t>
        </is>
      </c>
      <c r="B605" s="1" t="n">
        <v>45820.57324074074</v>
      </c>
      <c r="C605" s="1" t="n">
        <v>46178</v>
      </c>
      <c r="D605" t="inlineStr">
        <is>
          <t>VÄSTERNORRLANDS LÄN</t>
        </is>
      </c>
      <c r="E605" t="inlineStr">
        <is>
          <t>ÅNGE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29786-2025</t>
        </is>
      </c>
      <c r="B606" s="1" t="n">
        <v>45825.65663194445</v>
      </c>
      <c r="C606" s="1" t="n">
        <v>46178</v>
      </c>
      <c r="D606" t="inlineStr">
        <is>
          <t>VÄSTERNORRLANDS LÄN</t>
        </is>
      </c>
      <c r="E606" t="inlineStr">
        <is>
          <t>ÅNGE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3534-2026</t>
        </is>
      </c>
      <c r="B607" s="1" t="n">
        <v>46042.62432870371</v>
      </c>
      <c r="C607" s="1" t="n">
        <v>46178</v>
      </c>
      <c r="D607" t="inlineStr">
        <is>
          <t>VÄSTERNORRLANDS LÄN</t>
        </is>
      </c>
      <c r="E607" t="inlineStr">
        <is>
          <t>ÅNGE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41872-2025</t>
        </is>
      </c>
      <c r="B608" s="1" t="n">
        <v>45903.34497685185</v>
      </c>
      <c r="C608" s="1" t="n">
        <v>46178</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29350-2025</t>
        </is>
      </c>
      <c r="B609" s="1" t="n">
        <v>45824.53206018519</v>
      </c>
      <c r="C609" s="1" t="n">
        <v>46178</v>
      </c>
      <c r="D609" t="inlineStr">
        <is>
          <t>VÄSTERNORRLANDS LÄN</t>
        </is>
      </c>
      <c r="E609" t="inlineStr">
        <is>
          <t>ÅNGE</t>
        </is>
      </c>
      <c r="G609" t="n">
        <v>8.6</v>
      </c>
      <c r="H609" t="n">
        <v>0</v>
      </c>
      <c r="I609" t="n">
        <v>0</v>
      </c>
      <c r="J609" t="n">
        <v>0</v>
      </c>
      <c r="K609" t="n">
        <v>0</v>
      </c>
      <c r="L609" t="n">
        <v>0</v>
      </c>
      <c r="M609" t="n">
        <v>0</v>
      </c>
      <c r="N609" t="n">
        <v>0</v>
      </c>
      <c r="O609" t="n">
        <v>0</v>
      </c>
      <c r="P609" t="n">
        <v>0</v>
      </c>
      <c r="Q609" t="n">
        <v>0</v>
      </c>
      <c r="R609" s="2" t="inlineStr"/>
    </row>
    <row r="610" ht="15" customHeight="1">
      <c r="A610" t="inlineStr">
        <is>
          <t>A 3800-2026</t>
        </is>
      </c>
      <c r="B610" s="1" t="n">
        <v>46043.58267361111</v>
      </c>
      <c r="C610" s="1" t="n">
        <v>46178</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55664-2023</t>
        </is>
      </c>
      <c r="B611" s="1" t="n">
        <v>45238.96748842593</v>
      </c>
      <c r="C611" s="1" t="n">
        <v>46178</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57595-2022</t>
        </is>
      </c>
      <c r="B612" s="1" t="n">
        <v>44896.97862268519</v>
      </c>
      <c r="C612" s="1" t="n">
        <v>46178</v>
      </c>
      <c r="D612" t="inlineStr">
        <is>
          <t>VÄSTERNORRLANDS LÄN</t>
        </is>
      </c>
      <c r="E612" t="inlineStr">
        <is>
          <t>ÅNGE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30747-2024</t>
        </is>
      </c>
      <c r="B613" s="1" t="n">
        <v>45496</v>
      </c>
      <c r="C613" s="1" t="n">
        <v>46178</v>
      </c>
      <c r="D613" t="inlineStr">
        <is>
          <t>VÄSTERNORRLANDS LÄN</t>
        </is>
      </c>
      <c r="E613" t="inlineStr">
        <is>
          <t>ÅNGE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3889-2026</t>
        </is>
      </c>
      <c r="B614" s="1" t="n">
        <v>46043.67015046296</v>
      </c>
      <c r="C614" s="1" t="n">
        <v>46178</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58939-2021</t>
        </is>
      </c>
      <c r="B615" s="1" t="n">
        <v>44489</v>
      </c>
      <c r="C615" s="1" t="n">
        <v>46178</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29560-2025</t>
        </is>
      </c>
      <c r="B616" s="1" t="n">
        <v>45825.36497685185</v>
      </c>
      <c r="C616" s="1" t="n">
        <v>46178</v>
      </c>
      <c r="D616" t="inlineStr">
        <is>
          <t>VÄSTERNORRLANDS LÄN</t>
        </is>
      </c>
      <c r="E616" t="inlineStr">
        <is>
          <t>ÅNGE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58639-2023</t>
        </is>
      </c>
      <c r="B617" s="1" t="n">
        <v>45251</v>
      </c>
      <c r="C617" s="1" t="n">
        <v>46178</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3801-2026</t>
        </is>
      </c>
      <c r="B618" s="1" t="n">
        <v>46043.58273148148</v>
      </c>
      <c r="C618" s="1" t="n">
        <v>46178</v>
      </c>
      <c r="D618" t="inlineStr">
        <is>
          <t>VÄSTERNORRLANDS LÄN</t>
        </is>
      </c>
      <c r="E618" t="inlineStr">
        <is>
          <t>ÅNGE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3872-2026</t>
        </is>
      </c>
      <c r="B619" s="1" t="n">
        <v>46043.64314814815</v>
      </c>
      <c r="C619" s="1" t="n">
        <v>46178</v>
      </c>
      <c r="D619" t="inlineStr">
        <is>
          <t>VÄSTERNORRLANDS LÄN</t>
        </is>
      </c>
      <c r="E619" t="inlineStr">
        <is>
          <t>ÅNGE</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4209-2026</t>
        </is>
      </c>
      <c r="B620" s="1" t="n">
        <v>46044.72609953704</v>
      </c>
      <c r="C620" s="1" t="n">
        <v>46178</v>
      </c>
      <c r="D620" t="inlineStr">
        <is>
          <t>VÄSTERNORRLANDS LÄN</t>
        </is>
      </c>
      <c r="E620" t="inlineStr">
        <is>
          <t>ÅNGE</t>
        </is>
      </c>
      <c r="G620" t="n">
        <v>5.2</v>
      </c>
      <c r="H620" t="n">
        <v>0</v>
      </c>
      <c r="I620" t="n">
        <v>0</v>
      </c>
      <c r="J620" t="n">
        <v>0</v>
      </c>
      <c r="K620" t="n">
        <v>0</v>
      </c>
      <c r="L620" t="n">
        <v>0</v>
      </c>
      <c r="M620" t="n">
        <v>0</v>
      </c>
      <c r="N620" t="n">
        <v>0</v>
      </c>
      <c r="O620" t="n">
        <v>0</v>
      </c>
      <c r="P620" t="n">
        <v>0</v>
      </c>
      <c r="Q620" t="n">
        <v>0</v>
      </c>
      <c r="R620" s="2" t="inlineStr"/>
    </row>
    <row r="621" ht="15" customHeight="1">
      <c r="A621" t="inlineStr">
        <is>
          <t>A 44635-2024</t>
        </is>
      </c>
      <c r="B621" s="1" t="n">
        <v>45574.51488425926</v>
      </c>
      <c r="C621" s="1" t="n">
        <v>46178</v>
      </c>
      <c r="D621" t="inlineStr">
        <is>
          <t>VÄSTERNORRLANDS LÄN</t>
        </is>
      </c>
      <c r="E621" t="inlineStr">
        <is>
          <t>ÅNGE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4262-2026</t>
        </is>
      </c>
      <c r="B622" s="1" t="n">
        <v>46045.34431712963</v>
      </c>
      <c r="C622" s="1" t="n">
        <v>46178</v>
      </c>
      <c r="D622" t="inlineStr">
        <is>
          <t>VÄSTERNORRLANDS LÄN</t>
        </is>
      </c>
      <c r="E622" t="inlineStr">
        <is>
          <t>ÅNGE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4263-2026</t>
        </is>
      </c>
      <c r="B623" s="1" t="n">
        <v>46045.34451388889</v>
      </c>
      <c r="C623" s="1" t="n">
        <v>46178</v>
      </c>
      <c r="D623" t="inlineStr">
        <is>
          <t>VÄSTERNORRLANDS LÄN</t>
        </is>
      </c>
      <c r="E623" t="inlineStr">
        <is>
          <t>ÅNGE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3970-2026</t>
        </is>
      </c>
      <c r="B624" s="1" t="n">
        <v>46044.3521875</v>
      </c>
      <c r="C624" s="1" t="n">
        <v>46178</v>
      </c>
      <c r="D624" t="inlineStr">
        <is>
          <t>VÄSTERNORRLANDS LÄN</t>
        </is>
      </c>
      <c r="E624" t="inlineStr">
        <is>
          <t>ÅNGE</t>
        </is>
      </c>
      <c r="G624" t="n">
        <v>1.2</v>
      </c>
      <c r="H624" t="n">
        <v>0</v>
      </c>
      <c r="I624" t="n">
        <v>0</v>
      </c>
      <c r="J624" t="n">
        <v>0</v>
      </c>
      <c r="K624" t="n">
        <v>0</v>
      </c>
      <c r="L624" t="n">
        <v>0</v>
      </c>
      <c r="M624" t="n">
        <v>0</v>
      </c>
      <c r="N624" t="n">
        <v>0</v>
      </c>
      <c r="O624" t="n">
        <v>0</v>
      </c>
      <c r="P624" t="n">
        <v>0</v>
      </c>
      <c r="Q624" t="n">
        <v>0</v>
      </c>
      <c r="R624" s="2" t="inlineStr"/>
    </row>
    <row r="625" ht="15" customHeight="1">
      <c r="A625" t="inlineStr">
        <is>
          <t>A 43066-2022</t>
        </is>
      </c>
      <c r="B625" s="1" t="n">
        <v>44833</v>
      </c>
      <c r="C625" s="1" t="n">
        <v>46178</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29862-2025</t>
        </is>
      </c>
      <c r="B626" s="1" t="n">
        <v>45826.3465625</v>
      </c>
      <c r="C626" s="1" t="n">
        <v>46178</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29882-2025</t>
        </is>
      </c>
      <c r="B627" s="1" t="n">
        <v>45826.36548611111</v>
      </c>
      <c r="C627" s="1" t="n">
        <v>46178</v>
      </c>
      <c r="D627" t="inlineStr">
        <is>
          <t>VÄSTERNORRLANDS LÄN</t>
        </is>
      </c>
      <c r="E627" t="inlineStr">
        <is>
          <t>ÅNGE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4327-2026</t>
        </is>
      </c>
      <c r="B628" s="1" t="n">
        <v>46045.46930555555</v>
      </c>
      <c r="C628" s="1" t="n">
        <v>46178</v>
      </c>
      <c r="D628" t="inlineStr">
        <is>
          <t>VÄSTERNORRLANDS LÄN</t>
        </is>
      </c>
      <c r="E628" t="inlineStr">
        <is>
          <t>ÅNGE</t>
        </is>
      </c>
      <c r="G628" t="n">
        <v>2.2</v>
      </c>
      <c r="H628" t="n">
        <v>0</v>
      </c>
      <c r="I628" t="n">
        <v>0</v>
      </c>
      <c r="J628" t="n">
        <v>0</v>
      </c>
      <c r="K628" t="n">
        <v>0</v>
      </c>
      <c r="L628" t="n">
        <v>0</v>
      </c>
      <c r="M628" t="n">
        <v>0</v>
      </c>
      <c r="N628" t="n">
        <v>0</v>
      </c>
      <c r="O628" t="n">
        <v>0</v>
      </c>
      <c r="P628" t="n">
        <v>0</v>
      </c>
      <c r="Q628" t="n">
        <v>0</v>
      </c>
      <c r="R628" s="2" t="inlineStr"/>
    </row>
    <row r="629" ht="15" customHeight="1">
      <c r="A629" t="inlineStr">
        <is>
          <t>A 4442-2026</t>
        </is>
      </c>
      <c r="B629" s="1" t="n">
        <v>46045.63625</v>
      </c>
      <c r="C629" s="1" t="n">
        <v>46178</v>
      </c>
      <c r="D629" t="inlineStr">
        <is>
          <t>VÄSTERNORRLANDS LÄN</t>
        </is>
      </c>
      <c r="E629" t="inlineStr">
        <is>
          <t>ÅNGE</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29916-2025</t>
        </is>
      </c>
      <c r="B630" s="1" t="n">
        <v>45826.41822916667</v>
      </c>
      <c r="C630" s="1" t="n">
        <v>46178</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54346-2023</t>
        </is>
      </c>
      <c r="B631" s="1" t="n">
        <v>45232.96087962963</v>
      </c>
      <c r="C631" s="1" t="n">
        <v>46178</v>
      </c>
      <c r="D631" t="inlineStr">
        <is>
          <t>VÄSTERNORRLANDS LÄN</t>
        </is>
      </c>
      <c r="E631" t="inlineStr">
        <is>
          <t>ÅNGE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4376-2026</t>
        </is>
      </c>
      <c r="B632" s="1" t="n">
        <v>46045.55318287037</v>
      </c>
      <c r="C632" s="1" t="n">
        <v>46178</v>
      </c>
      <c r="D632" t="inlineStr">
        <is>
          <t>VÄSTERNORRLANDS LÄN</t>
        </is>
      </c>
      <c r="E632" t="inlineStr">
        <is>
          <t>ÅNGE</t>
        </is>
      </c>
      <c r="F632" t="inlineStr">
        <is>
          <t>SCA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41870-2025</t>
        </is>
      </c>
      <c r="B633" s="1" t="n">
        <v>45903.3446412037</v>
      </c>
      <c r="C633" s="1" t="n">
        <v>46178</v>
      </c>
      <c r="D633" t="inlineStr">
        <is>
          <t>VÄSTERNORRLANDS LÄN</t>
        </is>
      </c>
      <c r="E633" t="inlineStr">
        <is>
          <t>ÅNGE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30475-2025</t>
        </is>
      </c>
      <c r="B634" s="1" t="n">
        <v>45828.34444444445</v>
      </c>
      <c r="C634" s="1" t="n">
        <v>46178</v>
      </c>
      <c r="D634" t="inlineStr">
        <is>
          <t>VÄSTERNORRLANDS LÄN</t>
        </is>
      </c>
      <c r="E634" t="inlineStr">
        <is>
          <t>ÅNGE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4328-2026</t>
        </is>
      </c>
      <c r="B635" s="1" t="n">
        <v>46045.46940972222</v>
      </c>
      <c r="C635" s="1" t="n">
        <v>46178</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63530-2023</t>
        </is>
      </c>
      <c r="B636" s="1" t="n">
        <v>45274</v>
      </c>
      <c r="C636" s="1" t="n">
        <v>46178</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4441-2026</t>
        </is>
      </c>
      <c r="B637" s="1" t="n">
        <v>46045.63600694444</v>
      </c>
      <c r="C637" s="1" t="n">
        <v>46178</v>
      </c>
      <c r="D637" t="inlineStr">
        <is>
          <t>VÄSTERNORRLANDS LÄN</t>
        </is>
      </c>
      <c r="E637" t="inlineStr">
        <is>
          <t>ÅNGE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30618-2025</t>
        </is>
      </c>
      <c r="B638" s="1" t="n">
        <v>45831.46909722222</v>
      </c>
      <c r="C638" s="1" t="n">
        <v>46178</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30598-2025</t>
        </is>
      </c>
      <c r="B639" s="1" t="n">
        <v>45831.44834490741</v>
      </c>
      <c r="C639" s="1" t="n">
        <v>46178</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3249-2024</t>
        </is>
      </c>
      <c r="B640" s="1" t="n">
        <v>45316</v>
      </c>
      <c r="C640" s="1" t="n">
        <v>46178</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58275-2022</t>
        </is>
      </c>
      <c r="B641" s="1" t="n">
        <v>44901.47865740741</v>
      </c>
      <c r="C641" s="1" t="n">
        <v>46178</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42948-2024</t>
        </is>
      </c>
      <c r="B642" s="1" t="n">
        <v>45567.36628472222</v>
      </c>
      <c r="C642" s="1" t="n">
        <v>46178</v>
      </c>
      <c r="D642" t="inlineStr">
        <is>
          <t>VÄSTERNORRLANDS LÄN</t>
        </is>
      </c>
      <c r="E642" t="inlineStr">
        <is>
          <t>ÅNGE</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42953-2024</t>
        </is>
      </c>
      <c r="B643" s="1" t="n">
        <v>45567</v>
      </c>
      <c r="C643" s="1" t="n">
        <v>46178</v>
      </c>
      <c r="D643" t="inlineStr">
        <is>
          <t>VÄSTERNORRLANDS LÄN</t>
        </is>
      </c>
      <c r="E643" t="inlineStr">
        <is>
          <t>ÅNGE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42968-2024</t>
        </is>
      </c>
      <c r="B644" s="1" t="n">
        <v>45567</v>
      </c>
      <c r="C644" s="1" t="n">
        <v>46178</v>
      </c>
      <c r="D644" t="inlineStr">
        <is>
          <t>VÄSTERNORRLANDS LÄN</t>
        </is>
      </c>
      <c r="E644" t="inlineStr">
        <is>
          <t>ÅNGE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30892-2025</t>
        </is>
      </c>
      <c r="B645" s="1" t="n">
        <v>45832.34663194444</v>
      </c>
      <c r="C645" s="1" t="n">
        <v>46178</v>
      </c>
      <c r="D645" t="inlineStr">
        <is>
          <t>VÄSTERNORRLANDS LÄN</t>
        </is>
      </c>
      <c r="E645" t="inlineStr">
        <is>
          <t>ÅNGE</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31188-2025</t>
        </is>
      </c>
      <c r="B646" s="1" t="n">
        <v>45832.67842592593</v>
      </c>
      <c r="C646" s="1" t="n">
        <v>46178</v>
      </c>
      <c r="D646" t="inlineStr">
        <is>
          <t>VÄSTERNORRLANDS LÄN</t>
        </is>
      </c>
      <c r="E646" t="inlineStr">
        <is>
          <t>ÅNGE</t>
        </is>
      </c>
      <c r="F646" t="inlineStr">
        <is>
          <t>SCA</t>
        </is>
      </c>
      <c r="G646" t="n">
        <v>14.9</v>
      </c>
      <c r="H646" t="n">
        <v>0</v>
      </c>
      <c r="I646" t="n">
        <v>0</v>
      </c>
      <c r="J646" t="n">
        <v>0</v>
      </c>
      <c r="K646" t="n">
        <v>0</v>
      </c>
      <c r="L646" t="n">
        <v>0</v>
      </c>
      <c r="M646" t="n">
        <v>0</v>
      </c>
      <c r="N646" t="n">
        <v>0</v>
      </c>
      <c r="O646" t="n">
        <v>0</v>
      </c>
      <c r="P646" t="n">
        <v>0</v>
      </c>
      <c r="Q646" t="n">
        <v>0</v>
      </c>
      <c r="R646" s="2" t="inlineStr"/>
    </row>
    <row r="647" ht="15" customHeight="1">
      <c r="A647" t="inlineStr">
        <is>
          <t>A 5035-2025</t>
        </is>
      </c>
      <c r="B647" s="1" t="n">
        <v>45691</v>
      </c>
      <c r="C647" s="1" t="n">
        <v>46178</v>
      </c>
      <c r="D647" t="inlineStr">
        <is>
          <t>VÄSTERNORRLANDS LÄN</t>
        </is>
      </c>
      <c r="E647" t="inlineStr">
        <is>
          <t>ÅNGE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31452-2025</t>
        </is>
      </c>
      <c r="B648" s="1" t="n">
        <v>45833.53179398148</v>
      </c>
      <c r="C648" s="1" t="n">
        <v>46178</v>
      </c>
      <c r="D648" t="inlineStr">
        <is>
          <t>VÄSTERNORRLANDS LÄN</t>
        </is>
      </c>
      <c r="E648" t="inlineStr">
        <is>
          <t>ÅNGE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31544-2025</t>
        </is>
      </c>
      <c r="B649" s="1" t="n">
        <v>45833.63597222222</v>
      </c>
      <c r="C649" s="1" t="n">
        <v>46178</v>
      </c>
      <c r="D649" t="inlineStr">
        <is>
          <t>VÄSTERNORRLANDS LÄN</t>
        </is>
      </c>
      <c r="E649" t="inlineStr">
        <is>
          <t>ÅNGE</t>
        </is>
      </c>
      <c r="G649" t="n">
        <v>2.1</v>
      </c>
      <c r="H649" t="n">
        <v>0</v>
      </c>
      <c r="I649" t="n">
        <v>0</v>
      </c>
      <c r="J649" t="n">
        <v>0</v>
      </c>
      <c r="K649" t="n">
        <v>0</v>
      </c>
      <c r="L649" t="n">
        <v>0</v>
      </c>
      <c r="M649" t="n">
        <v>0</v>
      </c>
      <c r="N649" t="n">
        <v>0</v>
      </c>
      <c r="O649" t="n">
        <v>0</v>
      </c>
      <c r="P649" t="n">
        <v>0</v>
      </c>
      <c r="Q649" t="n">
        <v>0</v>
      </c>
      <c r="R649" s="2" t="inlineStr"/>
    </row>
    <row r="650" ht="15" customHeight="1">
      <c r="A650" t="inlineStr">
        <is>
          <t>A 14673-2025</t>
        </is>
      </c>
      <c r="B650" s="1" t="n">
        <v>45742.55309027778</v>
      </c>
      <c r="C650" s="1" t="n">
        <v>46178</v>
      </c>
      <c r="D650" t="inlineStr">
        <is>
          <t>VÄSTERNORRLANDS LÄN</t>
        </is>
      </c>
      <c r="E650" t="inlineStr">
        <is>
          <t>ÅNGE</t>
        </is>
      </c>
      <c r="G650" t="n">
        <v>2.5</v>
      </c>
      <c r="H650" t="n">
        <v>0</v>
      </c>
      <c r="I650" t="n">
        <v>0</v>
      </c>
      <c r="J650" t="n">
        <v>0</v>
      </c>
      <c r="K650" t="n">
        <v>0</v>
      </c>
      <c r="L650" t="n">
        <v>0</v>
      </c>
      <c r="M650" t="n">
        <v>0</v>
      </c>
      <c r="N650" t="n">
        <v>0</v>
      </c>
      <c r="O650" t="n">
        <v>0</v>
      </c>
      <c r="P650" t="n">
        <v>0</v>
      </c>
      <c r="Q650" t="n">
        <v>0</v>
      </c>
      <c r="R650" s="2" t="inlineStr"/>
    </row>
    <row r="651" ht="15" customHeight="1">
      <c r="A651" t="inlineStr">
        <is>
          <t>A 16191-2023</t>
        </is>
      </c>
      <c r="B651" s="1" t="n">
        <v>45027.94111111111</v>
      </c>
      <c r="C651" s="1" t="n">
        <v>46178</v>
      </c>
      <c r="D651" t="inlineStr">
        <is>
          <t>VÄSTERNORRLANDS LÄN</t>
        </is>
      </c>
      <c r="E651" t="inlineStr">
        <is>
          <t>ÅNGE</t>
        </is>
      </c>
      <c r="F651" t="inlineStr">
        <is>
          <t>SCA</t>
        </is>
      </c>
      <c r="G651" t="n">
        <v>6.8</v>
      </c>
      <c r="H651" t="n">
        <v>0</v>
      </c>
      <c r="I651" t="n">
        <v>0</v>
      </c>
      <c r="J651" t="n">
        <v>0</v>
      </c>
      <c r="K651" t="n">
        <v>0</v>
      </c>
      <c r="L651" t="n">
        <v>0</v>
      </c>
      <c r="M651" t="n">
        <v>0</v>
      </c>
      <c r="N651" t="n">
        <v>0</v>
      </c>
      <c r="O651" t="n">
        <v>0</v>
      </c>
      <c r="P651" t="n">
        <v>0</v>
      </c>
      <c r="Q651" t="n">
        <v>0</v>
      </c>
      <c r="R651" s="2" t="inlineStr"/>
    </row>
    <row r="652" ht="15" customHeight="1">
      <c r="A652" t="inlineStr">
        <is>
          <t>A 31042-2025</t>
        </is>
      </c>
      <c r="B652" s="1" t="n">
        <v>45832.55267361111</v>
      </c>
      <c r="C652" s="1" t="n">
        <v>46178</v>
      </c>
      <c r="D652" t="inlineStr">
        <is>
          <t>VÄSTERNORRLANDS LÄN</t>
        </is>
      </c>
      <c r="E652" t="inlineStr">
        <is>
          <t>ÅNGE</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42589-2025</t>
        </is>
      </c>
      <c r="B653" s="1" t="n">
        <v>45905.63585648148</v>
      </c>
      <c r="C653" s="1" t="n">
        <v>46178</v>
      </c>
      <c r="D653" t="inlineStr">
        <is>
          <t>VÄSTERNORRLANDS LÄN</t>
        </is>
      </c>
      <c r="E653" t="inlineStr">
        <is>
          <t>ÅNGE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5136-2026</t>
        </is>
      </c>
      <c r="B654" s="1" t="n">
        <v>46049.59420138889</v>
      </c>
      <c r="C654" s="1" t="n">
        <v>46178</v>
      </c>
      <c r="D654" t="inlineStr">
        <is>
          <t>VÄSTERNORRLANDS LÄN</t>
        </is>
      </c>
      <c r="E654" t="inlineStr">
        <is>
          <t>ÅNGE</t>
        </is>
      </c>
      <c r="G654" t="n">
        <v>2.1</v>
      </c>
      <c r="H654" t="n">
        <v>0</v>
      </c>
      <c r="I654" t="n">
        <v>0</v>
      </c>
      <c r="J654" t="n">
        <v>0</v>
      </c>
      <c r="K654" t="n">
        <v>0</v>
      </c>
      <c r="L654" t="n">
        <v>0</v>
      </c>
      <c r="M654" t="n">
        <v>0</v>
      </c>
      <c r="N654" t="n">
        <v>0</v>
      </c>
      <c r="O654" t="n">
        <v>0</v>
      </c>
      <c r="P654" t="n">
        <v>0</v>
      </c>
      <c r="Q654" t="n">
        <v>0</v>
      </c>
      <c r="R654" s="2" t="inlineStr"/>
    </row>
    <row r="655" ht="15" customHeight="1">
      <c r="A655" t="inlineStr">
        <is>
          <t>A 31275-2025</t>
        </is>
      </c>
      <c r="B655" s="1" t="n">
        <v>45833.34459490741</v>
      </c>
      <c r="C655" s="1" t="n">
        <v>46178</v>
      </c>
      <c r="D655" t="inlineStr">
        <is>
          <t>VÄSTERNORRLANDS LÄN</t>
        </is>
      </c>
      <c r="E655" t="inlineStr">
        <is>
          <t>ÅNGE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31135-2025</t>
        </is>
      </c>
      <c r="B656" s="1" t="n">
        <v>45832.63581018519</v>
      </c>
      <c r="C656" s="1" t="n">
        <v>46178</v>
      </c>
      <c r="D656" t="inlineStr">
        <is>
          <t>VÄSTERNORRLANDS LÄN</t>
        </is>
      </c>
      <c r="E656" t="inlineStr">
        <is>
          <t>ÅNGE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4612-2026</t>
        </is>
      </c>
      <c r="B657" s="1" t="n">
        <v>46048.36509259259</v>
      </c>
      <c r="C657" s="1" t="n">
        <v>46178</v>
      </c>
      <c r="D657" t="inlineStr">
        <is>
          <t>VÄSTERNORRLANDS LÄN</t>
        </is>
      </c>
      <c r="E657" t="inlineStr">
        <is>
          <t>ÅNGE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35498-2022</t>
        </is>
      </c>
      <c r="B658" s="1" t="n">
        <v>44798.94810185185</v>
      </c>
      <c r="C658" s="1" t="n">
        <v>46178</v>
      </c>
      <c r="D658" t="inlineStr">
        <is>
          <t>VÄSTERNORRLANDS LÄN</t>
        </is>
      </c>
      <c r="E658" t="inlineStr">
        <is>
          <t>ÅNGE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4586-2026</t>
        </is>
      </c>
      <c r="B659" s="1" t="n">
        <v>46048.33769675926</v>
      </c>
      <c r="C659" s="1" t="n">
        <v>46178</v>
      </c>
      <c r="D659" t="inlineStr">
        <is>
          <t>VÄSTERNORRLANDS LÄN</t>
        </is>
      </c>
      <c r="E659" t="inlineStr">
        <is>
          <t>ÅNGE</t>
        </is>
      </c>
      <c r="G659" t="n">
        <v>5</v>
      </c>
      <c r="H659" t="n">
        <v>0</v>
      </c>
      <c r="I659" t="n">
        <v>0</v>
      </c>
      <c r="J659" t="n">
        <v>0</v>
      </c>
      <c r="K659" t="n">
        <v>0</v>
      </c>
      <c r="L659" t="n">
        <v>0</v>
      </c>
      <c r="M659" t="n">
        <v>0</v>
      </c>
      <c r="N659" t="n">
        <v>0</v>
      </c>
      <c r="O659" t="n">
        <v>0</v>
      </c>
      <c r="P659" t="n">
        <v>0</v>
      </c>
      <c r="Q659" t="n">
        <v>0</v>
      </c>
      <c r="R659" s="2" t="inlineStr"/>
    </row>
    <row r="660" ht="15" customHeight="1">
      <c r="A660" t="inlineStr">
        <is>
          <t>A 4592-2026</t>
        </is>
      </c>
      <c r="B660" s="1" t="n">
        <v>46048.34451388889</v>
      </c>
      <c r="C660" s="1" t="n">
        <v>46178</v>
      </c>
      <c r="D660" t="inlineStr">
        <is>
          <t>VÄSTERNORRLANDS LÄN</t>
        </is>
      </c>
      <c r="E660" t="inlineStr">
        <is>
          <t>ÅNGE</t>
        </is>
      </c>
      <c r="F660" t="inlineStr">
        <is>
          <t>SCA</t>
        </is>
      </c>
      <c r="G660" t="n">
        <v>0.2</v>
      </c>
      <c r="H660" t="n">
        <v>0</v>
      </c>
      <c r="I660" t="n">
        <v>0</v>
      </c>
      <c r="J660" t="n">
        <v>0</v>
      </c>
      <c r="K660" t="n">
        <v>0</v>
      </c>
      <c r="L660" t="n">
        <v>0</v>
      </c>
      <c r="M660" t="n">
        <v>0</v>
      </c>
      <c r="N660" t="n">
        <v>0</v>
      </c>
      <c r="O660" t="n">
        <v>0</v>
      </c>
      <c r="P660" t="n">
        <v>0</v>
      </c>
      <c r="Q660" t="n">
        <v>0</v>
      </c>
      <c r="R660" s="2" t="inlineStr"/>
    </row>
    <row r="661" ht="15" customHeight="1">
      <c r="A661" t="inlineStr">
        <is>
          <t>A 5135-2026</t>
        </is>
      </c>
      <c r="B661" s="1" t="n">
        <v>46049.59417824074</v>
      </c>
      <c r="C661" s="1" t="n">
        <v>46178</v>
      </c>
      <c r="D661" t="inlineStr">
        <is>
          <t>VÄSTERNORRLANDS LÄN</t>
        </is>
      </c>
      <c r="E661" t="inlineStr">
        <is>
          <t>ÅNGE</t>
        </is>
      </c>
      <c r="G661" t="n">
        <v>0.2</v>
      </c>
      <c r="H661" t="n">
        <v>0</v>
      </c>
      <c r="I661" t="n">
        <v>0</v>
      </c>
      <c r="J661" t="n">
        <v>0</v>
      </c>
      <c r="K661" t="n">
        <v>0</v>
      </c>
      <c r="L661" t="n">
        <v>0</v>
      </c>
      <c r="M661" t="n">
        <v>0</v>
      </c>
      <c r="N661" t="n">
        <v>0</v>
      </c>
      <c r="O661" t="n">
        <v>0</v>
      </c>
      <c r="P661" t="n">
        <v>0</v>
      </c>
      <c r="Q661" t="n">
        <v>0</v>
      </c>
      <c r="R661" s="2" t="inlineStr"/>
    </row>
    <row r="662" ht="15" customHeight="1">
      <c r="A662" t="inlineStr">
        <is>
          <t>A 30888-2025</t>
        </is>
      </c>
      <c r="B662" s="1" t="n">
        <v>45832.34606481482</v>
      </c>
      <c r="C662" s="1" t="n">
        <v>46178</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30875-2025</t>
        </is>
      </c>
      <c r="B663" s="1" t="n">
        <v>45832.34447916667</v>
      </c>
      <c r="C663" s="1" t="n">
        <v>46178</v>
      </c>
      <c r="D663" t="inlineStr">
        <is>
          <t>VÄSTERNORRLANDS LÄN</t>
        </is>
      </c>
      <c r="E663" t="inlineStr">
        <is>
          <t>ÅNGE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31211-2025</t>
        </is>
      </c>
      <c r="B664" s="1" t="n">
        <v>45832.71938657408</v>
      </c>
      <c r="C664" s="1" t="n">
        <v>46178</v>
      </c>
      <c r="D664" t="inlineStr">
        <is>
          <t>VÄSTERNORRLANDS LÄN</t>
        </is>
      </c>
      <c r="E664" t="inlineStr">
        <is>
          <t>ÅNGE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2299-2025</t>
        </is>
      </c>
      <c r="B665" s="1" t="n">
        <v>45673.59516203704</v>
      </c>
      <c r="C665" s="1" t="n">
        <v>46178</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31484-2025</t>
        </is>
      </c>
      <c r="B666" s="1" t="n">
        <v>45833.57418981481</v>
      </c>
      <c r="C666" s="1" t="n">
        <v>46178</v>
      </c>
      <c r="D666" t="inlineStr">
        <is>
          <t>VÄSTERNORRLANDS LÄN</t>
        </is>
      </c>
      <c r="E666" t="inlineStr">
        <is>
          <t>ÅNGE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30877-2025</t>
        </is>
      </c>
      <c r="B667" s="1" t="n">
        <v>45832.34478009259</v>
      </c>
      <c r="C667" s="1" t="n">
        <v>46178</v>
      </c>
      <c r="D667" t="inlineStr">
        <is>
          <t>VÄSTERNORRLANDS LÄN</t>
        </is>
      </c>
      <c r="E667" t="inlineStr">
        <is>
          <t>ÅNGE</t>
        </is>
      </c>
      <c r="F667" t="inlineStr">
        <is>
          <t>SCA</t>
        </is>
      </c>
      <c r="G667" t="n">
        <v>4.6</v>
      </c>
      <c r="H667" t="n">
        <v>0</v>
      </c>
      <c r="I667" t="n">
        <v>0</v>
      </c>
      <c r="J667" t="n">
        <v>0</v>
      </c>
      <c r="K667" t="n">
        <v>0</v>
      </c>
      <c r="L667" t="n">
        <v>0</v>
      </c>
      <c r="M667" t="n">
        <v>0</v>
      </c>
      <c r="N667" t="n">
        <v>0</v>
      </c>
      <c r="O667" t="n">
        <v>0</v>
      </c>
      <c r="P667" t="n">
        <v>0</v>
      </c>
      <c r="Q667" t="n">
        <v>0</v>
      </c>
      <c r="R667" s="2" t="inlineStr"/>
    </row>
    <row r="668" ht="15" customHeight="1">
      <c r="A668" t="inlineStr">
        <is>
          <t>A 31139-2025</t>
        </is>
      </c>
      <c r="B668" s="1" t="n">
        <v>45832.63633101852</v>
      </c>
      <c r="C668" s="1" t="n">
        <v>46178</v>
      </c>
      <c r="D668" t="inlineStr">
        <is>
          <t>VÄSTERNORRLANDS LÄN</t>
        </is>
      </c>
      <c r="E668" t="inlineStr">
        <is>
          <t>ÅNGE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4591-2026</t>
        </is>
      </c>
      <c r="B669" s="1" t="n">
        <v>46048.34443287037</v>
      </c>
      <c r="C669" s="1" t="n">
        <v>46178</v>
      </c>
      <c r="D669" t="inlineStr">
        <is>
          <t>VÄSTERNORRLANDS LÄN</t>
        </is>
      </c>
      <c r="E669" t="inlineStr">
        <is>
          <t>ÅNGE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4593-2026</t>
        </is>
      </c>
      <c r="B670" s="1" t="n">
        <v>46048.3446412037</v>
      </c>
      <c r="C670" s="1" t="n">
        <v>46178</v>
      </c>
      <c r="D670" t="inlineStr">
        <is>
          <t>VÄSTERNORRLANDS LÄN</t>
        </is>
      </c>
      <c r="E670" t="inlineStr">
        <is>
          <t>ÅNGE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1826-2026</t>
        </is>
      </c>
      <c r="B671" s="1" t="n">
        <v>46035</v>
      </c>
      <c r="C671" s="1" t="n">
        <v>46178</v>
      </c>
      <c r="D671" t="inlineStr">
        <is>
          <t>VÄSTERNORRLANDS LÄN</t>
        </is>
      </c>
      <c r="E671" t="inlineStr">
        <is>
          <t>ÅNGE</t>
        </is>
      </c>
      <c r="G671" t="n">
        <v>3.1</v>
      </c>
      <c r="H671" t="n">
        <v>0</v>
      </c>
      <c r="I671" t="n">
        <v>0</v>
      </c>
      <c r="J671" t="n">
        <v>0</v>
      </c>
      <c r="K671" t="n">
        <v>0</v>
      </c>
      <c r="L671" t="n">
        <v>0</v>
      </c>
      <c r="M671" t="n">
        <v>0</v>
      </c>
      <c r="N671" t="n">
        <v>0</v>
      </c>
      <c r="O671" t="n">
        <v>0</v>
      </c>
      <c r="P671" t="n">
        <v>0</v>
      </c>
      <c r="Q671" t="n">
        <v>0</v>
      </c>
      <c r="R671" s="2" t="inlineStr"/>
    </row>
    <row r="672" ht="15" customHeight="1">
      <c r="A672" t="inlineStr">
        <is>
          <t>A 31041-2025</t>
        </is>
      </c>
      <c r="B672" s="1" t="n">
        <v>45832.55247685185</v>
      </c>
      <c r="C672" s="1" t="n">
        <v>46178</v>
      </c>
      <c r="D672" t="inlineStr">
        <is>
          <t>VÄSTERNORRLANDS LÄN</t>
        </is>
      </c>
      <c r="E672" t="inlineStr">
        <is>
          <t>ÅNGE</t>
        </is>
      </c>
      <c r="F672" t="inlineStr">
        <is>
          <t>SCA</t>
        </is>
      </c>
      <c r="G672" t="n">
        <v>15.1</v>
      </c>
      <c r="H672" t="n">
        <v>0</v>
      </c>
      <c r="I672" t="n">
        <v>0</v>
      </c>
      <c r="J672" t="n">
        <v>0</v>
      </c>
      <c r="K672" t="n">
        <v>0</v>
      </c>
      <c r="L672" t="n">
        <v>0</v>
      </c>
      <c r="M672" t="n">
        <v>0</v>
      </c>
      <c r="N672" t="n">
        <v>0</v>
      </c>
      <c r="O672" t="n">
        <v>0</v>
      </c>
      <c r="P672" t="n">
        <v>0</v>
      </c>
      <c r="Q672" t="n">
        <v>0</v>
      </c>
      <c r="R672" s="2" t="inlineStr"/>
    </row>
    <row r="673" ht="15" customHeight="1">
      <c r="A673" t="inlineStr">
        <is>
          <t>A 31457-2024</t>
        </is>
      </c>
      <c r="B673" s="1" t="n">
        <v>45505</v>
      </c>
      <c r="C673" s="1" t="n">
        <v>46178</v>
      </c>
      <c r="D673" t="inlineStr">
        <is>
          <t>VÄSTERNORRLANDS LÄN</t>
        </is>
      </c>
      <c r="E673" t="inlineStr">
        <is>
          <t>ÅNGE</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54771-2023</t>
        </is>
      </c>
      <c r="B674" s="1" t="n">
        <v>45229</v>
      </c>
      <c r="C674" s="1" t="n">
        <v>46178</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42786-2025</t>
        </is>
      </c>
      <c r="B675" s="1" t="n">
        <v>45908.51097222222</v>
      </c>
      <c r="C675" s="1" t="n">
        <v>46178</v>
      </c>
      <c r="D675" t="inlineStr">
        <is>
          <t>VÄSTERNORRLANDS LÄN</t>
        </is>
      </c>
      <c r="E675" t="inlineStr">
        <is>
          <t>ÅNGE</t>
        </is>
      </c>
      <c r="G675" t="n">
        <v>0.4</v>
      </c>
      <c r="H675" t="n">
        <v>0</v>
      </c>
      <c r="I675" t="n">
        <v>0</v>
      </c>
      <c r="J675" t="n">
        <v>0</v>
      </c>
      <c r="K675" t="n">
        <v>0</v>
      </c>
      <c r="L675" t="n">
        <v>0</v>
      </c>
      <c r="M675" t="n">
        <v>0</v>
      </c>
      <c r="N675" t="n">
        <v>0</v>
      </c>
      <c r="O675" t="n">
        <v>0</v>
      </c>
      <c r="P675" t="n">
        <v>0</v>
      </c>
      <c r="Q675" t="n">
        <v>0</v>
      </c>
      <c r="R675" s="2" t="inlineStr"/>
    </row>
    <row r="676" ht="15" customHeight="1">
      <c r="A676" t="inlineStr">
        <is>
          <t>A 42863-2025</t>
        </is>
      </c>
      <c r="B676" s="1" t="n">
        <v>45908.61527777778</v>
      </c>
      <c r="C676" s="1" t="n">
        <v>46178</v>
      </c>
      <c r="D676" t="inlineStr">
        <is>
          <t>VÄSTERNORRLANDS LÄN</t>
        </is>
      </c>
      <c r="E676" t="inlineStr">
        <is>
          <t>ÅNGE</t>
        </is>
      </c>
      <c r="G676" t="n">
        <v>1.1</v>
      </c>
      <c r="H676" t="n">
        <v>0</v>
      </c>
      <c r="I676" t="n">
        <v>0</v>
      </c>
      <c r="J676" t="n">
        <v>0</v>
      </c>
      <c r="K676" t="n">
        <v>0</v>
      </c>
      <c r="L676" t="n">
        <v>0</v>
      </c>
      <c r="M676" t="n">
        <v>0</v>
      </c>
      <c r="N676" t="n">
        <v>0</v>
      </c>
      <c r="O676" t="n">
        <v>0</v>
      </c>
      <c r="P676" t="n">
        <v>0</v>
      </c>
      <c r="Q676" t="n">
        <v>0</v>
      </c>
      <c r="R676" s="2" t="inlineStr"/>
    </row>
    <row r="677" ht="15" customHeight="1">
      <c r="A677" t="inlineStr">
        <is>
          <t>A 31646-2025</t>
        </is>
      </c>
      <c r="B677" s="1" t="n">
        <v>45834.34563657407</v>
      </c>
      <c r="C677" s="1" t="n">
        <v>46178</v>
      </c>
      <c r="D677" t="inlineStr">
        <is>
          <t>VÄSTERNORRLANDS LÄN</t>
        </is>
      </c>
      <c r="E677" t="inlineStr">
        <is>
          <t>ÅNGE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31642-2025</t>
        </is>
      </c>
      <c r="B678" s="1" t="n">
        <v>45834.34474537037</v>
      </c>
      <c r="C678" s="1" t="n">
        <v>46178</v>
      </c>
      <c r="D678" t="inlineStr">
        <is>
          <t>VÄSTERNORRLANDS LÄN</t>
        </is>
      </c>
      <c r="E678" t="inlineStr">
        <is>
          <t>ÅNGE</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32025-2025</t>
        </is>
      </c>
      <c r="B679" s="1" t="n">
        <v>45835.40721064815</v>
      </c>
      <c r="C679" s="1" t="n">
        <v>46178</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42785-2025</t>
        </is>
      </c>
      <c r="B680" s="1" t="n">
        <v>45908.51083333333</v>
      </c>
      <c r="C680" s="1" t="n">
        <v>46178</v>
      </c>
      <c r="D680" t="inlineStr">
        <is>
          <t>VÄSTERNORRLANDS LÄN</t>
        </is>
      </c>
      <c r="E680" t="inlineStr">
        <is>
          <t>ÅNGE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42889-2025</t>
        </is>
      </c>
      <c r="B681" s="1" t="n">
        <v>45908.65546296296</v>
      </c>
      <c r="C681" s="1" t="n">
        <v>46178</v>
      </c>
      <c r="D681" t="inlineStr">
        <is>
          <t>VÄSTERNORRLANDS LÄN</t>
        </is>
      </c>
      <c r="E681" t="inlineStr">
        <is>
          <t>ÅNGE</t>
        </is>
      </c>
      <c r="G681" t="n">
        <v>11.9</v>
      </c>
      <c r="H681" t="n">
        <v>0</v>
      </c>
      <c r="I681" t="n">
        <v>0</v>
      </c>
      <c r="J681" t="n">
        <v>0</v>
      </c>
      <c r="K681" t="n">
        <v>0</v>
      </c>
      <c r="L681" t="n">
        <v>0</v>
      </c>
      <c r="M681" t="n">
        <v>0</v>
      </c>
      <c r="N681" t="n">
        <v>0</v>
      </c>
      <c r="O681" t="n">
        <v>0</v>
      </c>
      <c r="P681" t="n">
        <v>0</v>
      </c>
      <c r="Q681" t="n">
        <v>0</v>
      </c>
      <c r="R681" s="2" t="inlineStr"/>
    </row>
    <row r="682" ht="15" customHeight="1">
      <c r="A682" t="inlineStr">
        <is>
          <t>A 42764-2025</t>
        </is>
      </c>
      <c r="B682" s="1" t="n">
        <v>45908.46943287037</v>
      </c>
      <c r="C682" s="1" t="n">
        <v>46178</v>
      </c>
      <c r="D682" t="inlineStr">
        <is>
          <t>VÄSTERNORRLANDS LÄN</t>
        </is>
      </c>
      <c r="E682" t="inlineStr">
        <is>
          <t>ÅNGE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32024-2025</t>
        </is>
      </c>
      <c r="B683" s="1" t="n">
        <v>45835.40706018519</v>
      </c>
      <c r="C683" s="1" t="n">
        <v>46178</v>
      </c>
      <c r="D683" t="inlineStr">
        <is>
          <t>VÄSTERNORRLANDS LÄN</t>
        </is>
      </c>
      <c r="E683" t="inlineStr">
        <is>
          <t>ÅNGE</t>
        </is>
      </c>
      <c r="F683" t="inlineStr">
        <is>
          <t>SCA</t>
        </is>
      </c>
      <c r="G683" t="n">
        <v>12.3</v>
      </c>
      <c r="H683" t="n">
        <v>0</v>
      </c>
      <c r="I683" t="n">
        <v>0</v>
      </c>
      <c r="J683" t="n">
        <v>0</v>
      </c>
      <c r="K683" t="n">
        <v>0</v>
      </c>
      <c r="L683" t="n">
        <v>0</v>
      </c>
      <c r="M683" t="n">
        <v>0</v>
      </c>
      <c r="N683" t="n">
        <v>0</v>
      </c>
      <c r="O683" t="n">
        <v>0</v>
      </c>
      <c r="P683" t="n">
        <v>0</v>
      </c>
      <c r="Q683" t="n">
        <v>0</v>
      </c>
      <c r="R683" s="2" t="inlineStr"/>
    </row>
    <row r="684" ht="15" customHeight="1">
      <c r="A684" t="inlineStr">
        <is>
          <t>A 26011-2024</t>
        </is>
      </c>
      <c r="B684" s="1" t="n">
        <v>45467.95828703704</v>
      </c>
      <c r="C684" s="1" t="n">
        <v>46178</v>
      </c>
      <c r="D684" t="inlineStr">
        <is>
          <t>VÄSTERNORRLANDS LÄN</t>
        </is>
      </c>
      <c r="E684" t="inlineStr">
        <is>
          <t>ÅNGE</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26014-2024</t>
        </is>
      </c>
      <c r="B685" s="1" t="n">
        <v>45467.95862268518</v>
      </c>
      <c r="C685" s="1" t="n">
        <v>46178</v>
      </c>
      <c r="D685" t="inlineStr">
        <is>
          <t>VÄSTERNORRLANDS LÄN</t>
        </is>
      </c>
      <c r="E685" t="inlineStr">
        <is>
          <t>ÅNGE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3631-2023</t>
        </is>
      </c>
      <c r="B686" s="1" t="n">
        <v>44950</v>
      </c>
      <c r="C686" s="1" t="n">
        <v>46178</v>
      </c>
      <c r="D686" t="inlineStr">
        <is>
          <t>VÄSTERNORRLANDS LÄN</t>
        </is>
      </c>
      <c r="E686" t="inlineStr">
        <is>
          <t>ÅNGE</t>
        </is>
      </c>
      <c r="G686" t="n">
        <v>0.8</v>
      </c>
      <c r="H686" t="n">
        <v>0</v>
      </c>
      <c r="I686" t="n">
        <v>0</v>
      </c>
      <c r="J686" t="n">
        <v>0</v>
      </c>
      <c r="K686" t="n">
        <v>0</v>
      </c>
      <c r="L686" t="n">
        <v>0</v>
      </c>
      <c r="M686" t="n">
        <v>0</v>
      </c>
      <c r="N686" t="n">
        <v>0</v>
      </c>
      <c r="O686" t="n">
        <v>0</v>
      </c>
      <c r="P686" t="n">
        <v>0</v>
      </c>
      <c r="Q686" t="n">
        <v>0</v>
      </c>
      <c r="R686" s="2" t="inlineStr"/>
    </row>
    <row r="687" ht="15" customHeight="1">
      <c r="A687" t="inlineStr">
        <is>
          <t>A 26092-2025</t>
        </is>
      </c>
      <c r="B687" s="1" t="n">
        <v>45805</v>
      </c>
      <c r="C687" s="1" t="n">
        <v>46178</v>
      </c>
      <c r="D687" t="inlineStr">
        <is>
          <t>VÄSTERNORRLANDS LÄN</t>
        </is>
      </c>
      <c r="E687" t="inlineStr">
        <is>
          <t>ÅNGE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42731-2025</t>
        </is>
      </c>
      <c r="B688" s="1" t="n">
        <v>45908.40686342592</v>
      </c>
      <c r="C688" s="1" t="n">
        <v>46178</v>
      </c>
      <c r="D688" t="inlineStr">
        <is>
          <t>VÄSTERNORRLANDS LÄN</t>
        </is>
      </c>
      <c r="E688" t="inlineStr">
        <is>
          <t>ÅNGE</t>
        </is>
      </c>
      <c r="G688" t="n">
        <v>14.1</v>
      </c>
      <c r="H688" t="n">
        <v>0</v>
      </c>
      <c r="I688" t="n">
        <v>0</v>
      </c>
      <c r="J688" t="n">
        <v>0</v>
      </c>
      <c r="K688" t="n">
        <v>0</v>
      </c>
      <c r="L688" t="n">
        <v>0</v>
      </c>
      <c r="M688" t="n">
        <v>0</v>
      </c>
      <c r="N688" t="n">
        <v>0</v>
      </c>
      <c r="O688" t="n">
        <v>0</v>
      </c>
      <c r="P688" t="n">
        <v>0</v>
      </c>
      <c r="Q688" t="n">
        <v>0</v>
      </c>
      <c r="R688" s="2" t="inlineStr"/>
    </row>
    <row r="689" ht="15" customHeight="1">
      <c r="A689" t="inlineStr">
        <is>
          <t>A 43077-2025</t>
        </is>
      </c>
      <c r="B689" s="1" t="n">
        <v>45909.6046412037</v>
      </c>
      <c r="C689" s="1" t="n">
        <v>46178</v>
      </c>
      <c r="D689" t="inlineStr">
        <is>
          <t>VÄSTERNORRLANDS LÄN</t>
        </is>
      </c>
      <c r="E689" t="inlineStr">
        <is>
          <t>ÅNGE</t>
        </is>
      </c>
      <c r="F689" t="inlineStr">
        <is>
          <t>Kyrkan</t>
        </is>
      </c>
      <c r="G689" t="n">
        <v>7.6</v>
      </c>
      <c r="H689" t="n">
        <v>0</v>
      </c>
      <c r="I689" t="n">
        <v>0</v>
      </c>
      <c r="J689" t="n">
        <v>0</v>
      </c>
      <c r="K689" t="n">
        <v>0</v>
      </c>
      <c r="L689" t="n">
        <v>0</v>
      </c>
      <c r="M689" t="n">
        <v>0</v>
      </c>
      <c r="N689" t="n">
        <v>0</v>
      </c>
      <c r="O689" t="n">
        <v>0</v>
      </c>
      <c r="P689" t="n">
        <v>0</v>
      </c>
      <c r="Q689" t="n">
        <v>0</v>
      </c>
      <c r="R689" s="2" t="inlineStr"/>
    </row>
    <row r="690" ht="15" customHeight="1">
      <c r="A690" t="inlineStr">
        <is>
          <t>A 31666-2025</t>
        </is>
      </c>
      <c r="B690" s="1" t="n">
        <v>45834.36519675926</v>
      </c>
      <c r="C690" s="1" t="n">
        <v>46178</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42880-2025</t>
        </is>
      </c>
      <c r="B691" s="1" t="n">
        <v>45908.63599537037</v>
      </c>
      <c r="C691" s="1" t="n">
        <v>46178</v>
      </c>
      <c r="D691" t="inlineStr">
        <is>
          <t>VÄSTERNORRLANDS LÄN</t>
        </is>
      </c>
      <c r="E691" t="inlineStr">
        <is>
          <t>ÅNGE</t>
        </is>
      </c>
      <c r="G691" t="n">
        <v>4.3</v>
      </c>
      <c r="H691" t="n">
        <v>0</v>
      </c>
      <c r="I691" t="n">
        <v>0</v>
      </c>
      <c r="J691" t="n">
        <v>0</v>
      </c>
      <c r="K691" t="n">
        <v>0</v>
      </c>
      <c r="L691" t="n">
        <v>0</v>
      </c>
      <c r="M691" t="n">
        <v>0</v>
      </c>
      <c r="N691" t="n">
        <v>0</v>
      </c>
      <c r="O691" t="n">
        <v>0</v>
      </c>
      <c r="P691" t="n">
        <v>0</v>
      </c>
      <c r="Q691" t="n">
        <v>0</v>
      </c>
      <c r="R691" s="2" t="inlineStr"/>
    </row>
    <row r="692" ht="15" customHeight="1">
      <c r="A692" t="inlineStr">
        <is>
          <t>A 5669-2026</t>
        </is>
      </c>
      <c r="B692" s="1" t="n">
        <v>46051.46931712963</v>
      </c>
      <c r="C692" s="1" t="n">
        <v>46178</v>
      </c>
      <c r="D692" t="inlineStr">
        <is>
          <t>VÄSTERNORRLANDS LÄN</t>
        </is>
      </c>
      <c r="E692" t="inlineStr">
        <is>
          <t>ÅNGE</t>
        </is>
      </c>
      <c r="F692" t="inlineStr">
        <is>
          <t>SCA</t>
        </is>
      </c>
      <c r="G692" t="n">
        <v>13.6</v>
      </c>
      <c r="H692" t="n">
        <v>0</v>
      </c>
      <c r="I692" t="n">
        <v>0</v>
      </c>
      <c r="J692" t="n">
        <v>0</v>
      </c>
      <c r="K692" t="n">
        <v>0</v>
      </c>
      <c r="L692" t="n">
        <v>0</v>
      </c>
      <c r="M692" t="n">
        <v>0</v>
      </c>
      <c r="N692" t="n">
        <v>0</v>
      </c>
      <c r="O692" t="n">
        <v>0</v>
      </c>
      <c r="P692" t="n">
        <v>0</v>
      </c>
      <c r="Q692" t="n">
        <v>0</v>
      </c>
      <c r="R692" s="2" t="inlineStr"/>
    </row>
    <row r="693" ht="15" customHeight="1">
      <c r="A693" t="inlineStr">
        <is>
          <t>A 5670-2026</t>
        </is>
      </c>
      <c r="B693" s="1" t="n">
        <v>46051.46958333333</v>
      </c>
      <c r="C693" s="1" t="n">
        <v>46178</v>
      </c>
      <c r="D693" t="inlineStr">
        <is>
          <t>VÄSTERNORRLANDS LÄN</t>
        </is>
      </c>
      <c r="E693" t="inlineStr">
        <is>
          <t>ÅNGE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17703-2025</t>
        </is>
      </c>
      <c r="B694" s="1" t="n">
        <v>45758.4275462963</v>
      </c>
      <c r="C694" s="1" t="n">
        <v>46178</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3-2025</t>
        </is>
      </c>
      <c r="B695" s="1" t="n">
        <v>45658.49819444444</v>
      </c>
      <c r="C695" s="1" t="n">
        <v>46178</v>
      </c>
      <c r="D695" t="inlineStr">
        <is>
          <t>VÄSTERNORRLANDS LÄN</t>
        </is>
      </c>
      <c r="E695" t="inlineStr">
        <is>
          <t>ÅNGE</t>
        </is>
      </c>
      <c r="G695" t="n">
        <v>2</v>
      </c>
      <c r="H695" t="n">
        <v>0</v>
      </c>
      <c r="I695" t="n">
        <v>0</v>
      </c>
      <c r="J695" t="n">
        <v>0</v>
      </c>
      <c r="K695" t="n">
        <v>0</v>
      </c>
      <c r="L695" t="n">
        <v>0</v>
      </c>
      <c r="M695" t="n">
        <v>0</v>
      </c>
      <c r="N695" t="n">
        <v>0</v>
      </c>
      <c r="O695" t="n">
        <v>0</v>
      </c>
      <c r="P695" t="n">
        <v>0</v>
      </c>
      <c r="Q695" t="n">
        <v>0</v>
      </c>
      <c r="R695" s="2" t="inlineStr"/>
    </row>
    <row r="696" ht="15" customHeight="1">
      <c r="A696" t="inlineStr">
        <is>
          <t>A 28779-2023</t>
        </is>
      </c>
      <c r="B696" s="1" t="n">
        <v>45104.34314814815</v>
      </c>
      <c r="C696" s="1" t="n">
        <v>46178</v>
      </c>
      <c r="D696" t="inlineStr">
        <is>
          <t>VÄSTERNORRLANDS LÄN</t>
        </is>
      </c>
      <c r="E696" t="inlineStr">
        <is>
          <t>ÅNGE</t>
        </is>
      </c>
      <c r="G696" t="n">
        <v>1.3</v>
      </c>
      <c r="H696" t="n">
        <v>0</v>
      </c>
      <c r="I696" t="n">
        <v>0</v>
      </c>
      <c r="J696" t="n">
        <v>0</v>
      </c>
      <c r="K696" t="n">
        <v>0</v>
      </c>
      <c r="L696" t="n">
        <v>0</v>
      </c>
      <c r="M696" t="n">
        <v>0</v>
      </c>
      <c r="N696" t="n">
        <v>0</v>
      </c>
      <c r="O696" t="n">
        <v>0</v>
      </c>
      <c r="P696" t="n">
        <v>0</v>
      </c>
      <c r="Q696" t="n">
        <v>0</v>
      </c>
      <c r="R696" s="2" t="inlineStr"/>
    </row>
    <row r="697" ht="15" customHeight="1">
      <c r="A697" t="inlineStr">
        <is>
          <t>A 25311-2023</t>
        </is>
      </c>
      <c r="B697" s="1" t="n">
        <v>45086.93869212963</v>
      </c>
      <c r="C697" s="1" t="n">
        <v>46178</v>
      </c>
      <c r="D697" t="inlineStr">
        <is>
          <t>VÄSTERNORRLANDS LÄN</t>
        </is>
      </c>
      <c r="E697" t="inlineStr">
        <is>
          <t>ÅNGE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5391-2026</t>
        </is>
      </c>
      <c r="B698" s="1" t="n">
        <v>46050.47145833333</v>
      </c>
      <c r="C698" s="1" t="n">
        <v>46178</v>
      </c>
      <c r="D698" t="inlineStr">
        <is>
          <t>VÄSTERNORRLANDS LÄN</t>
        </is>
      </c>
      <c r="E698" t="inlineStr">
        <is>
          <t>ÅNGE</t>
        </is>
      </c>
      <c r="G698" t="n">
        <v>1.9</v>
      </c>
      <c r="H698" t="n">
        <v>0</v>
      </c>
      <c r="I698" t="n">
        <v>0</v>
      </c>
      <c r="J698" t="n">
        <v>0</v>
      </c>
      <c r="K698" t="n">
        <v>0</v>
      </c>
      <c r="L698" t="n">
        <v>0</v>
      </c>
      <c r="M698" t="n">
        <v>0</v>
      </c>
      <c r="N698" t="n">
        <v>0</v>
      </c>
      <c r="O698" t="n">
        <v>0</v>
      </c>
      <c r="P698" t="n">
        <v>0</v>
      </c>
      <c r="Q698" t="n">
        <v>0</v>
      </c>
      <c r="R698" s="2" t="inlineStr"/>
    </row>
    <row r="699" ht="15" customHeight="1">
      <c r="A699" t="inlineStr">
        <is>
          <t>A 43091-2025</t>
        </is>
      </c>
      <c r="B699" s="1" t="n">
        <v>45909.62511574074</v>
      </c>
      <c r="C699" s="1" t="n">
        <v>46178</v>
      </c>
      <c r="D699" t="inlineStr">
        <is>
          <t>VÄSTERNORRLANDS LÄN</t>
        </is>
      </c>
      <c r="E699" t="inlineStr">
        <is>
          <t>ÅNGE</t>
        </is>
      </c>
      <c r="F699" t="inlineStr">
        <is>
          <t>Kyrkan</t>
        </is>
      </c>
      <c r="G699" t="n">
        <v>0.5</v>
      </c>
      <c r="H699" t="n">
        <v>0</v>
      </c>
      <c r="I699" t="n">
        <v>0</v>
      </c>
      <c r="J699" t="n">
        <v>0</v>
      </c>
      <c r="K699" t="n">
        <v>0</v>
      </c>
      <c r="L699" t="n">
        <v>0</v>
      </c>
      <c r="M699" t="n">
        <v>0</v>
      </c>
      <c r="N699" t="n">
        <v>0</v>
      </c>
      <c r="O699" t="n">
        <v>0</v>
      </c>
      <c r="P699" t="n">
        <v>0</v>
      </c>
      <c r="Q699" t="n">
        <v>0</v>
      </c>
      <c r="R699" s="2" t="inlineStr"/>
    </row>
    <row r="700" ht="15" customHeight="1">
      <c r="A700" t="inlineStr">
        <is>
          <t>A 28873-2024</t>
        </is>
      </c>
      <c r="B700" s="1" t="n">
        <v>45478.94766203704</v>
      </c>
      <c r="C700" s="1" t="n">
        <v>46178</v>
      </c>
      <c r="D700" t="inlineStr">
        <is>
          <t>VÄSTERNORRLANDS LÄN</t>
        </is>
      </c>
      <c r="E700" t="inlineStr">
        <is>
          <t>ÅNGE</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42730-2025</t>
        </is>
      </c>
      <c r="B701" s="1" t="n">
        <v>45908.40666666667</v>
      </c>
      <c r="C701" s="1" t="n">
        <v>46178</v>
      </c>
      <c r="D701" t="inlineStr">
        <is>
          <t>VÄSTERNORRLANDS LÄN</t>
        </is>
      </c>
      <c r="E701" t="inlineStr">
        <is>
          <t>ÅNGE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27682-2023</t>
        </is>
      </c>
      <c r="B702" s="1" t="n">
        <v>45097.93758101852</v>
      </c>
      <c r="C702" s="1" t="n">
        <v>46178</v>
      </c>
      <c r="D702" t="inlineStr">
        <is>
          <t>VÄSTERNORRLANDS LÄN</t>
        </is>
      </c>
      <c r="E702" t="inlineStr">
        <is>
          <t>ÅNGE</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43237-2025</t>
        </is>
      </c>
      <c r="B703" s="1" t="n">
        <v>45910.51670138889</v>
      </c>
      <c r="C703" s="1" t="n">
        <v>46178</v>
      </c>
      <c r="D703" t="inlineStr">
        <is>
          <t>VÄSTERNORRLANDS LÄN</t>
        </is>
      </c>
      <c r="E703" t="inlineStr">
        <is>
          <t>ÅNGE</t>
        </is>
      </c>
      <c r="G703" t="n">
        <v>0.7</v>
      </c>
      <c r="H703" t="n">
        <v>0</v>
      </c>
      <c r="I703" t="n">
        <v>0</v>
      </c>
      <c r="J703" t="n">
        <v>0</v>
      </c>
      <c r="K703" t="n">
        <v>0</v>
      </c>
      <c r="L703" t="n">
        <v>0</v>
      </c>
      <c r="M703" t="n">
        <v>0</v>
      </c>
      <c r="N703" t="n">
        <v>0</v>
      </c>
      <c r="O703" t="n">
        <v>0</v>
      </c>
      <c r="P703" t="n">
        <v>0</v>
      </c>
      <c r="Q703" t="n">
        <v>0</v>
      </c>
      <c r="R703" s="2" t="inlineStr"/>
    </row>
    <row r="704" ht="15" customHeight="1">
      <c r="A704" t="inlineStr">
        <is>
          <t>A 43250-2025</t>
        </is>
      </c>
      <c r="B704" s="1" t="n">
        <v>45910.5525462963</v>
      </c>
      <c r="C704" s="1" t="n">
        <v>46178</v>
      </c>
      <c r="D704" t="inlineStr">
        <is>
          <t>VÄSTERNORRLANDS LÄN</t>
        </is>
      </c>
      <c r="E704" t="inlineStr">
        <is>
          <t>ÅNGE</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50612-2024</t>
        </is>
      </c>
      <c r="B705" s="1" t="n">
        <v>45601</v>
      </c>
      <c r="C705" s="1" t="n">
        <v>46178</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5671-2026</t>
        </is>
      </c>
      <c r="B706" s="1" t="n">
        <v>46051.46965277778</v>
      </c>
      <c r="C706" s="1" t="n">
        <v>46178</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43252-2025</t>
        </is>
      </c>
      <c r="B707" s="1" t="n">
        <v>45910.55292824074</v>
      </c>
      <c r="C707" s="1" t="n">
        <v>46178</v>
      </c>
      <c r="D707" t="inlineStr">
        <is>
          <t>VÄSTERNORRLANDS LÄN</t>
        </is>
      </c>
      <c r="E707" t="inlineStr">
        <is>
          <t>ÅNGE</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43415-2025</t>
        </is>
      </c>
      <c r="B708" s="1" t="n">
        <v>45911.40662037037</v>
      </c>
      <c r="C708" s="1" t="n">
        <v>46178</v>
      </c>
      <c r="D708" t="inlineStr">
        <is>
          <t>VÄSTERNORRLANDS LÄN</t>
        </is>
      </c>
      <c r="E708" t="inlineStr">
        <is>
          <t>ÅNGE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43386-2025</t>
        </is>
      </c>
      <c r="B709" s="1" t="n">
        <v>45911.36520833334</v>
      </c>
      <c r="C709" s="1" t="n">
        <v>46178</v>
      </c>
      <c r="D709" t="inlineStr">
        <is>
          <t>VÄSTERNORRLANDS LÄN</t>
        </is>
      </c>
      <c r="E709" t="inlineStr">
        <is>
          <t>ÅNGE</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5223-2026</t>
        </is>
      </c>
      <c r="B710" s="1" t="n">
        <v>46049.79012731482</v>
      </c>
      <c r="C710" s="1" t="n">
        <v>46178</v>
      </c>
      <c r="D710" t="inlineStr">
        <is>
          <t>VÄSTERNORRLANDS LÄN</t>
        </is>
      </c>
      <c r="E710" t="inlineStr">
        <is>
          <t>ÅNGE</t>
        </is>
      </c>
      <c r="G710" t="n">
        <v>1.9</v>
      </c>
      <c r="H710" t="n">
        <v>0</v>
      </c>
      <c r="I710" t="n">
        <v>0</v>
      </c>
      <c r="J710" t="n">
        <v>0</v>
      </c>
      <c r="K710" t="n">
        <v>0</v>
      </c>
      <c r="L710" t="n">
        <v>0</v>
      </c>
      <c r="M710" t="n">
        <v>0</v>
      </c>
      <c r="N710" t="n">
        <v>0</v>
      </c>
      <c r="O710" t="n">
        <v>0</v>
      </c>
      <c r="P710" t="n">
        <v>0</v>
      </c>
      <c r="Q710" t="n">
        <v>0</v>
      </c>
      <c r="R710" s="2" t="inlineStr"/>
    </row>
    <row r="711" ht="15" customHeight="1">
      <c r="A711" t="inlineStr">
        <is>
          <t>A 43385-2025</t>
        </is>
      </c>
      <c r="B711" s="1" t="n">
        <v>45911.36508101852</v>
      </c>
      <c r="C711" s="1" t="n">
        <v>46178</v>
      </c>
      <c r="D711" t="inlineStr">
        <is>
          <t>VÄSTERNORRLANDS LÄN</t>
        </is>
      </c>
      <c r="E711" t="inlineStr">
        <is>
          <t>ÅNGE</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43546-2025</t>
        </is>
      </c>
      <c r="B712" s="1" t="n">
        <v>45911.6153125</v>
      </c>
      <c r="C712" s="1" t="n">
        <v>46178</v>
      </c>
      <c r="D712" t="inlineStr">
        <is>
          <t>VÄSTERNORRLANDS LÄN</t>
        </is>
      </c>
      <c r="E712" t="inlineStr">
        <is>
          <t>ÅNGE</t>
        </is>
      </c>
      <c r="F712" t="inlineStr">
        <is>
          <t>SCA</t>
        </is>
      </c>
      <c r="G712" t="n">
        <v>9.6</v>
      </c>
      <c r="H712" t="n">
        <v>0</v>
      </c>
      <c r="I712" t="n">
        <v>0</v>
      </c>
      <c r="J712" t="n">
        <v>0</v>
      </c>
      <c r="K712" t="n">
        <v>0</v>
      </c>
      <c r="L712" t="n">
        <v>0</v>
      </c>
      <c r="M712" t="n">
        <v>0</v>
      </c>
      <c r="N712" t="n">
        <v>0</v>
      </c>
      <c r="O712" t="n">
        <v>0</v>
      </c>
      <c r="P712" t="n">
        <v>0</v>
      </c>
      <c r="Q712" t="n">
        <v>0</v>
      </c>
      <c r="R712" s="2" t="inlineStr"/>
    </row>
    <row r="713" ht="15" customHeight="1">
      <c r="A713" t="inlineStr">
        <is>
          <t>A 43389-2025</t>
        </is>
      </c>
      <c r="B713" s="1" t="n">
        <v>45911.36560185185</v>
      </c>
      <c r="C713" s="1" t="n">
        <v>46178</v>
      </c>
      <c r="D713" t="inlineStr">
        <is>
          <t>VÄSTERNORRLANDS LÄN</t>
        </is>
      </c>
      <c r="E713" t="inlineStr">
        <is>
          <t>ÅNGE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43221-2025</t>
        </is>
      </c>
      <c r="B714" s="1" t="n">
        <v>45910.47981481482</v>
      </c>
      <c r="C714" s="1" t="n">
        <v>46178</v>
      </c>
      <c r="D714" t="inlineStr">
        <is>
          <t>VÄSTERNORRLANDS LÄN</t>
        </is>
      </c>
      <c r="E714" t="inlineStr">
        <is>
          <t>ÅNGE</t>
        </is>
      </c>
      <c r="G714" t="n">
        <v>0.9</v>
      </c>
      <c r="H714" t="n">
        <v>0</v>
      </c>
      <c r="I714" t="n">
        <v>0</v>
      </c>
      <c r="J714" t="n">
        <v>0</v>
      </c>
      <c r="K714" t="n">
        <v>0</v>
      </c>
      <c r="L714" t="n">
        <v>0</v>
      </c>
      <c r="M714" t="n">
        <v>0</v>
      </c>
      <c r="N714" t="n">
        <v>0</v>
      </c>
      <c r="O714" t="n">
        <v>0</v>
      </c>
      <c r="P714" t="n">
        <v>0</v>
      </c>
      <c r="Q714" t="n">
        <v>0</v>
      </c>
      <c r="R714" s="2" t="inlineStr"/>
    </row>
    <row r="715" ht="15" customHeight="1">
      <c r="A715" t="inlineStr">
        <is>
          <t>A 56699-2023</t>
        </is>
      </c>
      <c r="B715" s="1" t="n">
        <v>45243</v>
      </c>
      <c r="C715" s="1" t="n">
        <v>46178</v>
      </c>
      <c r="D715" t="inlineStr">
        <is>
          <t>VÄSTERNORRLANDS LÄN</t>
        </is>
      </c>
      <c r="E715" t="inlineStr">
        <is>
          <t>ÅNGE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5673-2026</t>
        </is>
      </c>
      <c r="B716" s="1" t="n">
        <v>46051.4699537037</v>
      </c>
      <c r="C716" s="1" t="n">
        <v>46178</v>
      </c>
      <c r="D716" t="inlineStr">
        <is>
          <t>VÄSTERNORRLANDS LÄN</t>
        </is>
      </c>
      <c r="E716" t="inlineStr">
        <is>
          <t>ÅNGE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5478-2026</t>
        </is>
      </c>
      <c r="B717" s="1" t="n">
        <v>46050.60172453704</v>
      </c>
      <c r="C717" s="1" t="n">
        <v>46178</v>
      </c>
      <c r="D717" t="inlineStr">
        <is>
          <t>VÄSTERNORRLANDS LÄN</t>
        </is>
      </c>
      <c r="E717" t="inlineStr">
        <is>
          <t>ÅNGE</t>
        </is>
      </c>
      <c r="G717" t="n">
        <v>7.6</v>
      </c>
      <c r="H717" t="n">
        <v>0</v>
      </c>
      <c r="I717" t="n">
        <v>0</v>
      </c>
      <c r="J717" t="n">
        <v>0</v>
      </c>
      <c r="K717" t="n">
        <v>0</v>
      </c>
      <c r="L717" t="n">
        <v>0</v>
      </c>
      <c r="M717" t="n">
        <v>0</v>
      </c>
      <c r="N717" t="n">
        <v>0</v>
      </c>
      <c r="O717" t="n">
        <v>0</v>
      </c>
      <c r="P717" t="n">
        <v>0</v>
      </c>
      <c r="Q717" t="n">
        <v>0</v>
      </c>
      <c r="R717" s="2" t="inlineStr"/>
    </row>
    <row r="718" ht="15" customHeight="1">
      <c r="A718" t="inlineStr">
        <is>
          <t>A 5672-2026</t>
        </is>
      </c>
      <c r="B718" s="1" t="n">
        <v>46051.46989583333</v>
      </c>
      <c r="C718" s="1" t="n">
        <v>46178</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5470-2026</t>
        </is>
      </c>
      <c r="B719" s="1" t="n">
        <v>46050.59548611111</v>
      </c>
      <c r="C719" s="1" t="n">
        <v>46178</v>
      </c>
      <c r="D719" t="inlineStr">
        <is>
          <t>VÄSTERNORRLANDS LÄN</t>
        </is>
      </c>
      <c r="E719" t="inlineStr">
        <is>
          <t>ÅNGE</t>
        </is>
      </c>
      <c r="G719" t="n">
        <v>4.1</v>
      </c>
      <c r="H719" t="n">
        <v>0</v>
      </c>
      <c r="I719" t="n">
        <v>0</v>
      </c>
      <c r="J719" t="n">
        <v>0</v>
      </c>
      <c r="K719" t="n">
        <v>0</v>
      </c>
      <c r="L719" t="n">
        <v>0</v>
      </c>
      <c r="M719" t="n">
        <v>0</v>
      </c>
      <c r="N719" t="n">
        <v>0</v>
      </c>
      <c r="O719" t="n">
        <v>0</v>
      </c>
      <c r="P719" t="n">
        <v>0</v>
      </c>
      <c r="Q719" t="n">
        <v>0</v>
      </c>
      <c r="R719" s="2" t="inlineStr"/>
    </row>
    <row r="720" ht="15" customHeight="1">
      <c r="A720" t="inlineStr">
        <is>
          <t>A 30751-2024</t>
        </is>
      </c>
      <c r="B720" s="1" t="n">
        <v>45496.69339120371</v>
      </c>
      <c r="C720" s="1" t="n">
        <v>46178</v>
      </c>
      <c r="D720" t="inlineStr">
        <is>
          <t>VÄSTERNORRLANDS LÄN</t>
        </is>
      </c>
      <c r="E720" t="inlineStr">
        <is>
          <t>ÅNGE</t>
        </is>
      </c>
      <c r="G720" t="n">
        <v>0.3</v>
      </c>
      <c r="H720" t="n">
        <v>0</v>
      </c>
      <c r="I720" t="n">
        <v>0</v>
      </c>
      <c r="J720" t="n">
        <v>0</v>
      </c>
      <c r="K720" t="n">
        <v>0</v>
      </c>
      <c r="L720" t="n">
        <v>0</v>
      </c>
      <c r="M720" t="n">
        <v>0</v>
      </c>
      <c r="N720" t="n">
        <v>0</v>
      </c>
      <c r="O720" t="n">
        <v>0</v>
      </c>
      <c r="P720" t="n">
        <v>0</v>
      </c>
      <c r="Q720" t="n">
        <v>0</v>
      </c>
      <c r="R720" s="2" t="inlineStr"/>
    </row>
    <row r="721" ht="15" customHeight="1">
      <c r="A721" t="inlineStr">
        <is>
          <t>A 43265-2025</t>
        </is>
      </c>
      <c r="B721" s="1" t="n">
        <v>45910.57377314815</v>
      </c>
      <c r="C721" s="1" t="n">
        <v>46178</v>
      </c>
      <c r="D721" t="inlineStr">
        <is>
          <t>VÄSTERNORRLANDS LÄN</t>
        </is>
      </c>
      <c r="E721" t="inlineStr">
        <is>
          <t>ÅNGE</t>
        </is>
      </c>
      <c r="F721" t="inlineStr">
        <is>
          <t>SCA</t>
        </is>
      </c>
      <c r="G721" t="n">
        <v>7</v>
      </c>
      <c r="H721" t="n">
        <v>0</v>
      </c>
      <c r="I721" t="n">
        <v>0</v>
      </c>
      <c r="J721" t="n">
        <v>0</v>
      </c>
      <c r="K721" t="n">
        <v>0</v>
      </c>
      <c r="L721" t="n">
        <v>0</v>
      </c>
      <c r="M721" t="n">
        <v>0</v>
      </c>
      <c r="N721" t="n">
        <v>0</v>
      </c>
      <c r="O721" t="n">
        <v>0</v>
      </c>
      <c r="P721" t="n">
        <v>0</v>
      </c>
      <c r="Q721" t="n">
        <v>0</v>
      </c>
      <c r="R721" s="2" t="inlineStr"/>
    </row>
    <row r="722" ht="15" customHeight="1">
      <c r="A722" t="inlineStr">
        <is>
          <t>A 55324-2023</t>
        </is>
      </c>
      <c r="B722" s="1" t="n">
        <v>45237.9734837963</v>
      </c>
      <c r="C722" s="1" t="n">
        <v>46178</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32847-2025</t>
        </is>
      </c>
      <c r="B723" s="1" t="n">
        <v>45839.57354166666</v>
      </c>
      <c r="C723" s="1" t="n">
        <v>46178</v>
      </c>
      <c r="D723" t="inlineStr">
        <is>
          <t>VÄSTERNORRLANDS LÄN</t>
        </is>
      </c>
      <c r="E723" t="inlineStr">
        <is>
          <t>ÅNGE</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53856-2024</t>
        </is>
      </c>
      <c r="B724" s="1" t="n">
        <v>45615</v>
      </c>
      <c r="C724" s="1" t="n">
        <v>46178</v>
      </c>
      <c r="D724" t="inlineStr">
        <is>
          <t>VÄSTERNORRLANDS LÄN</t>
        </is>
      </c>
      <c r="E724" t="inlineStr">
        <is>
          <t>ÅNGE</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58445-2022</t>
        </is>
      </c>
      <c r="B725" s="1" t="n">
        <v>44901.95453703704</v>
      </c>
      <c r="C725" s="1" t="n">
        <v>46178</v>
      </c>
      <c r="D725" t="inlineStr">
        <is>
          <t>VÄSTERNORRLANDS LÄN</t>
        </is>
      </c>
      <c r="E725" t="inlineStr">
        <is>
          <t>ÅNGE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25680-2023</t>
        </is>
      </c>
      <c r="B726" s="1" t="n">
        <v>45089</v>
      </c>
      <c r="C726" s="1" t="n">
        <v>46178</v>
      </c>
      <c r="D726" t="inlineStr">
        <is>
          <t>VÄSTERNORRLANDS LÄN</t>
        </is>
      </c>
      <c r="E726" t="inlineStr">
        <is>
          <t>ÅNGE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44165-2025</t>
        </is>
      </c>
      <c r="B727" s="1" t="n">
        <v>45915.59840277778</v>
      </c>
      <c r="C727" s="1" t="n">
        <v>46178</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51059-2024</t>
        </is>
      </c>
      <c r="B728" s="1" t="n">
        <v>45603</v>
      </c>
      <c r="C728" s="1" t="n">
        <v>46178</v>
      </c>
      <c r="D728" t="inlineStr">
        <is>
          <t>VÄSTERNORRLANDS LÄN</t>
        </is>
      </c>
      <c r="E728" t="inlineStr">
        <is>
          <t>ÅNGE</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51054-2024</t>
        </is>
      </c>
      <c r="B729" s="1" t="n">
        <v>45603</v>
      </c>
      <c r="C729" s="1" t="n">
        <v>46178</v>
      </c>
      <c r="D729" t="inlineStr">
        <is>
          <t>VÄSTERNORRLANDS LÄN</t>
        </is>
      </c>
      <c r="E729" t="inlineStr">
        <is>
          <t>ÅNGE</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18542-2022</t>
        </is>
      </c>
      <c r="B730" s="1" t="n">
        <v>44686</v>
      </c>
      <c r="C730" s="1" t="n">
        <v>46178</v>
      </c>
      <c r="D730" t="inlineStr">
        <is>
          <t>VÄSTERNORRLANDS LÄN</t>
        </is>
      </c>
      <c r="E730" t="inlineStr">
        <is>
          <t>ÅNGE</t>
        </is>
      </c>
      <c r="G730" t="n">
        <v>0.2</v>
      </c>
      <c r="H730" t="n">
        <v>0</v>
      </c>
      <c r="I730" t="n">
        <v>0</v>
      </c>
      <c r="J730" t="n">
        <v>0</v>
      </c>
      <c r="K730" t="n">
        <v>0</v>
      </c>
      <c r="L730" t="n">
        <v>0</v>
      </c>
      <c r="M730" t="n">
        <v>0</v>
      </c>
      <c r="N730" t="n">
        <v>0</v>
      </c>
      <c r="O730" t="n">
        <v>0</v>
      </c>
      <c r="P730" t="n">
        <v>0</v>
      </c>
      <c r="Q730" t="n">
        <v>0</v>
      </c>
      <c r="R730" s="2" t="inlineStr"/>
    </row>
    <row r="731" ht="15" customHeight="1">
      <c r="A731" t="inlineStr">
        <is>
          <t>A 55007-2022</t>
        </is>
      </c>
      <c r="B731" s="1" t="n">
        <v>44881</v>
      </c>
      <c r="C731" s="1" t="n">
        <v>46178</v>
      </c>
      <c r="D731" t="inlineStr">
        <is>
          <t>VÄSTERNORRLANDS LÄN</t>
        </is>
      </c>
      <c r="E731" t="inlineStr">
        <is>
          <t>ÅNGE</t>
        </is>
      </c>
      <c r="G731" t="n">
        <v>2</v>
      </c>
      <c r="H731" t="n">
        <v>0</v>
      </c>
      <c r="I731" t="n">
        <v>0</v>
      </c>
      <c r="J731" t="n">
        <v>0</v>
      </c>
      <c r="K731" t="n">
        <v>0</v>
      </c>
      <c r="L731" t="n">
        <v>0</v>
      </c>
      <c r="M731" t="n">
        <v>0</v>
      </c>
      <c r="N731" t="n">
        <v>0</v>
      </c>
      <c r="O731" t="n">
        <v>0</v>
      </c>
      <c r="P731" t="n">
        <v>0</v>
      </c>
      <c r="Q731" t="n">
        <v>0</v>
      </c>
      <c r="R731" s="2" t="inlineStr"/>
    </row>
    <row r="732" ht="15" customHeight="1">
      <c r="A732" t="inlineStr">
        <is>
          <t>A 63607-2021</t>
        </is>
      </c>
      <c r="B732" s="1" t="n">
        <v>44508.94650462963</v>
      </c>
      <c r="C732" s="1" t="n">
        <v>46178</v>
      </c>
      <c r="D732" t="inlineStr">
        <is>
          <t>VÄSTERNORRLANDS LÄN</t>
        </is>
      </c>
      <c r="E732" t="inlineStr">
        <is>
          <t>ÅNGE</t>
        </is>
      </c>
      <c r="F732" t="inlineStr">
        <is>
          <t>SCA</t>
        </is>
      </c>
      <c r="G732" t="n">
        <v>6.7</v>
      </c>
      <c r="H732" t="n">
        <v>0</v>
      </c>
      <c r="I732" t="n">
        <v>0</v>
      </c>
      <c r="J732" t="n">
        <v>0</v>
      </c>
      <c r="K732" t="n">
        <v>0</v>
      </c>
      <c r="L732" t="n">
        <v>0</v>
      </c>
      <c r="M732" t="n">
        <v>0</v>
      </c>
      <c r="N732" t="n">
        <v>0</v>
      </c>
      <c r="O732" t="n">
        <v>0</v>
      </c>
      <c r="P732" t="n">
        <v>0</v>
      </c>
      <c r="Q732" t="n">
        <v>0</v>
      </c>
      <c r="R732" s="2" t="inlineStr"/>
    </row>
    <row r="733" ht="15" customHeight="1">
      <c r="A733" t="inlineStr">
        <is>
          <t>A 41222-2024</t>
        </is>
      </c>
      <c r="B733" s="1" t="n">
        <v>45559.55306712963</v>
      </c>
      <c r="C733" s="1" t="n">
        <v>46178</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13706-2023</t>
        </is>
      </c>
      <c r="B734" s="1" t="n">
        <v>45006</v>
      </c>
      <c r="C734" s="1" t="n">
        <v>46178</v>
      </c>
      <c r="D734" t="inlineStr">
        <is>
          <t>VÄSTERNORRLANDS LÄN</t>
        </is>
      </c>
      <c r="E734" t="inlineStr">
        <is>
          <t>ÅNGE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5882-2026</t>
        </is>
      </c>
      <c r="B735" s="1" t="n">
        <v>46052.39703703704</v>
      </c>
      <c r="C735" s="1" t="n">
        <v>46178</v>
      </c>
      <c r="D735" t="inlineStr">
        <is>
          <t>VÄSTERNORRLANDS LÄN</t>
        </is>
      </c>
      <c r="E735" t="inlineStr">
        <is>
          <t>ÅNGE</t>
        </is>
      </c>
      <c r="G735" t="n">
        <v>1.6</v>
      </c>
      <c r="H735" t="n">
        <v>0</v>
      </c>
      <c r="I735" t="n">
        <v>0</v>
      </c>
      <c r="J735" t="n">
        <v>0</v>
      </c>
      <c r="K735" t="n">
        <v>0</v>
      </c>
      <c r="L735" t="n">
        <v>0</v>
      </c>
      <c r="M735" t="n">
        <v>0</v>
      </c>
      <c r="N735" t="n">
        <v>0</v>
      </c>
      <c r="O735" t="n">
        <v>0</v>
      </c>
      <c r="P735" t="n">
        <v>0</v>
      </c>
      <c r="Q735" t="n">
        <v>0</v>
      </c>
      <c r="R735" s="2" t="inlineStr"/>
    </row>
    <row r="736" ht="15" customHeight="1">
      <c r="A736" t="inlineStr">
        <is>
          <t>A 34031-2025</t>
        </is>
      </c>
      <c r="B736" s="1" t="n">
        <v>45845.36508101852</v>
      </c>
      <c r="C736" s="1" t="n">
        <v>46178</v>
      </c>
      <c r="D736" t="inlineStr">
        <is>
          <t>VÄSTERNORRLANDS LÄN</t>
        </is>
      </c>
      <c r="E736" t="inlineStr">
        <is>
          <t>ÅNGE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6692-2026</t>
        </is>
      </c>
      <c r="B737" s="1" t="n">
        <v>46056.63623842593</v>
      </c>
      <c r="C737" s="1" t="n">
        <v>46178</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43707-2025</t>
        </is>
      </c>
      <c r="B738" s="1" t="n">
        <v>45912.40668981482</v>
      </c>
      <c r="C738" s="1" t="n">
        <v>46178</v>
      </c>
      <c r="D738" t="inlineStr">
        <is>
          <t>VÄSTERNORRLANDS LÄN</t>
        </is>
      </c>
      <c r="E738" t="inlineStr">
        <is>
          <t>ÅNGE</t>
        </is>
      </c>
      <c r="F738" t="inlineStr">
        <is>
          <t>SCA</t>
        </is>
      </c>
      <c r="G738" t="n">
        <v>12.5</v>
      </c>
      <c r="H738" t="n">
        <v>0</v>
      </c>
      <c r="I738" t="n">
        <v>0</v>
      </c>
      <c r="J738" t="n">
        <v>0</v>
      </c>
      <c r="K738" t="n">
        <v>0</v>
      </c>
      <c r="L738" t="n">
        <v>0</v>
      </c>
      <c r="M738" t="n">
        <v>0</v>
      </c>
      <c r="N738" t="n">
        <v>0</v>
      </c>
      <c r="O738" t="n">
        <v>0</v>
      </c>
      <c r="P738" t="n">
        <v>0</v>
      </c>
      <c r="Q738" t="n">
        <v>0</v>
      </c>
      <c r="R738" s="2" t="inlineStr"/>
      <c r="U738">
        <f>HYPERLINK("https://klasma.github.io/Logging_2260/knärot/A 43707-2025 karta knärot.png", "A 43707-2025")</f>
        <v/>
      </c>
      <c r="V738">
        <f>HYPERLINK("https://klasma.github.io/Logging_2260/klagomål/A 43707-2025 FSC-klagomål.docx", "A 43707-2025")</f>
        <v/>
      </c>
      <c r="W738">
        <f>HYPERLINK("https://klasma.github.io/Logging_2260/klagomålsmail/A 43707-2025 FSC-klagomål mail.docx", "A 43707-2025")</f>
        <v/>
      </c>
      <c r="X738">
        <f>HYPERLINK("https://klasma.github.io/Logging_2260/tillsyn/A 43707-2025 tillsynsbegäran.docx", "A 43707-2025")</f>
        <v/>
      </c>
      <c r="Y738">
        <f>HYPERLINK("https://klasma.github.io/Logging_2260/tillsynsmail/A 43707-2025 tillsynsbegäran mail.docx", "A 43707-2025")</f>
        <v/>
      </c>
    </row>
    <row r="739" ht="15" customHeight="1">
      <c r="A739" t="inlineStr">
        <is>
          <t>A 6901-2026</t>
        </is>
      </c>
      <c r="B739" s="1" t="n">
        <v>46057.4903587963</v>
      </c>
      <c r="C739" s="1" t="n">
        <v>46178</v>
      </c>
      <c r="D739" t="inlineStr">
        <is>
          <t>VÄSTERNORRLANDS LÄN</t>
        </is>
      </c>
      <c r="E739" t="inlineStr">
        <is>
          <t>ÅNGE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7005-2026</t>
        </is>
      </c>
      <c r="B740" s="1" t="n">
        <v>46057.63594907407</v>
      </c>
      <c r="C740" s="1" t="n">
        <v>46178</v>
      </c>
      <c r="D740" t="inlineStr">
        <is>
          <t>VÄSTERNORRLANDS LÄN</t>
        </is>
      </c>
      <c r="E740" t="inlineStr">
        <is>
          <t>ÅNGE</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33738-2025</t>
        </is>
      </c>
      <c r="B741" s="1" t="n">
        <v>45842.33795138889</v>
      </c>
      <c r="C741" s="1" t="n">
        <v>46178</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6542-2026</t>
        </is>
      </c>
      <c r="B742" s="1" t="n">
        <v>46056.42770833334</v>
      </c>
      <c r="C742" s="1" t="n">
        <v>46178</v>
      </c>
      <c r="D742" t="inlineStr">
        <is>
          <t>VÄSTERNORRLANDS LÄN</t>
        </is>
      </c>
      <c r="E742" t="inlineStr">
        <is>
          <t>ÅNGE</t>
        </is>
      </c>
      <c r="F742" t="inlineStr">
        <is>
          <t>SCA</t>
        </is>
      </c>
      <c r="G742" t="n">
        <v>28.5</v>
      </c>
      <c r="H742" t="n">
        <v>0</v>
      </c>
      <c r="I742" t="n">
        <v>0</v>
      </c>
      <c r="J742" t="n">
        <v>0</v>
      </c>
      <c r="K742" t="n">
        <v>0</v>
      </c>
      <c r="L742" t="n">
        <v>0</v>
      </c>
      <c r="M742" t="n">
        <v>0</v>
      </c>
      <c r="N742" t="n">
        <v>0</v>
      </c>
      <c r="O742" t="n">
        <v>0</v>
      </c>
      <c r="P742" t="n">
        <v>0</v>
      </c>
      <c r="Q742" t="n">
        <v>0</v>
      </c>
      <c r="R742" s="2" t="inlineStr"/>
    </row>
    <row r="743" ht="15" customHeight="1">
      <c r="A743" t="inlineStr">
        <is>
          <t>A 6547-2026</t>
        </is>
      </c>
      <c r="B743" s="1" t="n">
        <v>46056.42825231481</v>
      </c>
      <c r="C743" s="1" t="n">
        <v>46178</v>
      </c>
      <c r="D743" t="inlineStr">
        <is>
          <t>VÄSTERNORRLANDS LÄN</t>
        </is>
      </c>
      <c r="E743" t="inlineStr">
        <is>
          <t>ÅNGE</t>
        </is>
      </c>
      <c r="F743" t="inlineStr">
        <is>
          <t>SCA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6795-2026</t>
        </is>
      </c>
      <c r="B744" s="1" t="n">
        <v>46057.34429398148</v>
      </c>
      <c r="C744" s="1" t="n">
        <v>46178</v>
      </c>
      <c r="D744" t="inlineStr">
        <is>
          <t>VÄSTERNORRLANDS LÄN</t>
        </is>
      </c>
      <c r="E744" t="inlineStr">
        <is>
          <t>ÅNGE</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6797-2026</t>
        </is>
      </c>
      <c r="B745" s="1" t="n">
        <v>46057.34459490741</v>
      </c>
      <c r="C745" s="1" t="n">
        <v>46178</v>
      </c>
      <c r="D745" t="inlineStr">
        <is>
          <t>VÄSTERNORRLANDS LÄN</t>
        </is>
      </c>
      <c r="E745" t="inlineStr">
        <is>
          <t>ÅNGE</t>
        </is>
      </c>
      <c r="F745" t="inlineStr">
        <is>
          <t>SCA</t>
        </is>
      </c>
      <c r="G745" t="n">
        <v>10.7</v>
      </c>
      <c r="H745" t="n">
        <v>0</v>
      </c>
      <c r="I745" t="n">
        <v>0</v>
      </c>
      <c r="J745" t="n">
        <v>0</v>
      </c>
      <c r="K745" t="n">
        <v>0</v>
      </c>
      <c r="L745" t="n">
        <v>0</v>
      </c>
      <c r="M745" t="n">
        <v>0</v>
      </c>
      <c r="N745" t="n">
        <v>0</v>
      </c>
      <c r="O745" t="n">
        <v>0</v>
      </c>
      <c r="P745" t="n">
        <v>0</v>
      </c>
      <c r="Q745" t="n">
        <v>0</v>
      </c>
      <c r="R745" s="2" t="inlineStr"/>
    </row>
    <row r="746" ht="15" customHeight="1">
      <c r="A746" t="inlineStr">
        <is>
          <t>A 6883-2026</t>
        </is>
      </c>
      <c r="B746" s="1" t="n">
        <v>46057.46607638889</v>
      </c>
      <c r="C746" s="1" t="n">
        <v>46178</v>
      </c>
      <c r="D746" t="inlineStr">
        <is>
          <t>VÄSTERNORRLANDS LÄN</t>
        </is>
      </c>
      <c r="E746" t="inlineStr">
        <is>
          <t>ÅNGE</t>
        </is>
      </c>
      <c r="G746" t="n">
        <v>1.5</v>
      </c>
      <c r="H746" t="n">
        <v>0</v>
      </c>
      <c r="I746" t="n">
        <v>0</v>
      </c>
      <c r="J746" t="n">
        <v>0</v>
      </c>
      <c r="K746" t="n">
        <v>0</v>
      </c>
      <c r="L746" t="n">
        <v>0</v>
      </c>
      <c r="M746" t="n">
        <v>0</v>
      </c>
      <c r="N746" t="n">
        <v>0</v>
      </c>
      <c r="O746" t="n">
        <v>0</v>
      </c>
      <c r="P746" t="n">
        <v>0</v>
      </c>
      <c r="Q746" t="n">
        <v>0</v>
      </c>
      <c r="R746" s="2" t="inlineStr"/>
    </row>
    <row r="747" ht="15" customHeight="1">
      <c r="A747" t="inlineStr">
        <is>
          <t>A 6918-2026</t>
        </is>
      </c>
      <c r="B747" s="1" t="n">
        <v>46057.53289351852</v>
      </c>
      <c r="C747" s="1" t="n">
        <v>46178</v>
      </c>
      <c r="D747" t="inlineStr">
        <is>
          <t>VÄSTERNORRLANDS LÄN</t>
        </is>
      </c>
      <c r="E747" t="inlineStr">
        <is>
          <t>ÅNGE</t>
        </is>
      </c>
      <c r="G747" t="n">
        <v>0.8</v>
      </c>
      <c r="H747" t="n">
        <v>0</v>
      </c>
      <c r="I747" t="n">
        <v>0</v>
      </c>
      <c r="J747" t="n">
        <v>0</v>
      </c>
      <c r="K747" t="n">
        <v>0</v>
      </c>
      <c r="L747" t="n">
        <v>0</v>
      </c>
      <c r="M747" t="n">
        <v>0</v>
      </c>
      <c r="N747" t="n">
        <v>0</v>
      </c>
      <c r="O747" t="n">
        <v>0</v>
      </c>
      <c r="P747" t="n">
        <v>0</v>
      </c>
      <c r="Q747" t="n">
        <v>0</v>
      </c>
      <c r="R747" s="2" t="inlineStr"/>
    </row>
    <row r="748" ht="15" customHeight="1">
      <c r="A748" t="inlineStr">
        <is>
          <t>A 6932-2026</t>
        </is>
      </c>
      <c r="B748" s="1" t="n">
        <v>46057.55331018518</v>
      </c>
      <c r="C748" s="1" t="n">
        <v>46178</v>
      </c>
      <c r="D748" t="inlineStr">
        <is>
          <t>VÄSTERNORRLANDS LÄN</t>
        </is>
      </c>
      <c r="E748" t="inlineStr">
        <is>
          <t>ÅNGE</t>
        </is>
      </c>
      <c r="G748" t="n">
        <v>11.2</v>
      </c>
      <c r="H748" t="n">
        <v>0</v>
      </c>
      <c r="I748" t="n">
        <v>0</v>
      </c>
      <c r="J748" t="n">
        <v>0</v>
      </c>
      <c r="K748" t="n">
        <v>0</v>
      </c>
      <c r="L748" t="n">
        <v>0</v>
      </c>
      <c r="M748" t="n">
        <v>0</v>
      </c>
      <c r="N748" t="n">
        <v>0</v>
      </c>
      <c r="O748" t="n">
        <v>0</v>
      </c>
      <c r="P748" t="n">
        <v>0</v>
      </c>
      <c r="Q748" t="n">
        <v>0</v>
      </c>
      <c r="R748" s="2" t="inlineStr"/>
    </row>
    <row r="749" ht="15" customHeight="1">
      <c r="A749" t="inlineStr">
        <is>
          <t>A 6975-2026</t>
        </is>
      </c>
      <c r="B749" s="1" t="n">
        <v>46057.59436342592</v>
      </c>
      <c r="C749" s="1" t="n">
        <v>46178</v>
      </c>
      <c r="D749" t="inlineStr">
        <is>
          <t>VÄSTERNORRLANDS LÄN</t>
        </is>
      </c>
      <c r="E749" t="inlineStr">
        <is>
          <t>ÅNGE</t>
        </is>
      </c>
      <c r="F749" t="inlineStr">
        <is>
          <t>SCA</t>
        </is>
      </c>
      <c r="G749" t="n">
        <v>20.7</v>
      </c>
      <c r="H749" t="n">
        <v>0</v>
      </c>
      <c r="I749" t="n">
        <v>0</v>
      </c>
      <c r="J749" t="n">
        <v>0</v>
      </c>
      <c r="K749" t="n">
        <v>0</v>
      </c>
      <c r="L749" t="n">
        <v>0</v>
      </c>
      <c r="M749" t="n">
        <v>0</v>
      </c>
      <c r="N749" t="n">
        <v>0</v>
      </c>
      <c r="O749" t="n">
        <v>0</v>
      </c>
      <c r="P749" t="n">
        <v>0</v>
      </c>
      <c r="Q749" t="n">
        <v>0</v>
      </c>
      <c r="R749" s="2" t="inlineStr"/>
    </row>
    <row r="750" ht="15" customHeight="1">
      <c r="A750" t="inlineStr">
        <is>
          <t>A 7016-2026</t>
        </is>
      </c>
      <c r="B750" s="1" t="n">
        <v>46057.64766203704</v>
      </c>
      <c r="C750" s="1" t="n">
        <v>46178</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36342-2024</t>
        </is>
      </c>
      <c r="B751" s="1" t="n">
        <v>45534.64315972223</v>
      </c>
      <c r="C751" s="1" t="n">
        <v>46178</v>
      </c>
      <c r="D751" t="inlineStr">
        <is>
          <t>VÄSTERNORRLANDS LÄN</t>
        </is>
      </c>
      <c r="E751" t="inlineStr">
        <is>
          <t>ÅNGE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33782-2025</t>
        </is>
      </c>
      <c r="B752" s="1" t="n">
        <v>45842.40678240741</v>
      </c>
      <c r="C752" s="1" t="n">
        <v>46178</v>
      </c>
      <c r="D752" t="inlineStr">
        <is>
          <t>VÄSTERNORRLANDS LÄN</t>
        </is>
      </c>
      <c r="E752" t="inlineStr">
        <is>
          <t>ÅNGE</t>
        </is>
      </c>
      <c r="F752" t="inlineStr">
        <is>
          <t>SCA</t>
        </is>
      </c>
      <c r="G752" t="n">
        <v>8.4</v>
      </c>
      <c r="H752" t="n">
        <v>0</v>
      </c>
      <c r="I752" t="n">
        <v>0</v>
      </c>
      <c r="J752" t="n">
        <v>0</v>
      </c>
      <c r="K752" t="n">
        <v>0</v>
      </c>
      <c r="L752" t="n">
        <v>0</v>
      </c>
      <c r="M752" t="n">
        <v>0</v>
      </c>
      <c r="N752" t="n">
        <v>0</v>
      </c>
      <c r="O752" t="n">
        <v>0</v>
      </c>
      <c r="P752" t="n">
        <v>0</v>
      </c>
      <c r="Q752" t="n">
        <v>0</v>
      </c>
      <c r="R752" s="2" t="inlineStr"/>
    </row>
    <row r="753" ht="15" customHeight="1">
      <c r="A753" t="inlineStr">
        <is>
          <t>A 7026-2026</t>
        </is>
      </c>
      <c r="B753" s="1" t="n">
        <v>46057.67420138889</v>
      </c>
      <c r="C753" s="1" t="n">
        <v>46178</v>
      </c>
      <c r="D753" t="inlineStr">
        <is>
          <t>VÄSTERNORRLANDS LÄN</t>
        </is>
      </c>
      <c r="E753" t="inlineStr">
        <is>
          <t>ÅNGE</t>
        </is>
      </c>
      <c r="G753" t="n">
        <v>18.4</v>
      </c>
      <c r="H753" t="n">
        <v>0</v>
      </c>
      <c r="I753" t="n">
        <v>0</v>
      </c>
      <c r="J753" t="n">
        <v>0</v>
      </c>
      <c r="K753" t="n">
        <v>0</v>
      </c>
      <c r="L753" t="n">
        <v>0</v>
      </c>
      <c r="M753" t="n">
        <v>0</v>
      </c>
      <c r="N753" t="n">
        <v>0</v>
      </c>
      <c r="O753" t="n">
        <v>0</v>
      </c>
      <c r="P753" t="n">
        <v>0</v>
      </c>
      <c r="Q753" t="n">
        <v>0</v>
      </c>
      <c r="R753" s="2" t="inlineStr"/>
    </row>
    <row r="754" ht="15" customHeight="1">
      <c r="A754" t="inlineStr">
        <is>
          <t>A 24552-2023</t>
        </is>
      </c>
      <c r="B754" s="1" t="n">
        <v>45082.94226851852</v>
      </c>
      <c r="C754" s="1" t="n">
        <v>46178</v>
      </c>
      <c r="D754" t="inlineStr">
        <is>
          <t>VÄSTERNORRLANDS LÄN</t>
        </is>
      </c>
      <c r="E754" t="inlineStr">
        <is>
          <t>ÅNGE</t>
        </is>
      </c>
      <c r="G754" t="n">
        <v>1.5</v>
      </c>
      <c r="H754" t="n">
        <v>0</v>
      </c>
      <c r="I754" t="n">
        <v>0</v>
      </c>
      <c r="J754" t="n">
        <v>0</v>
      </c>
      <c r="K754" t="n">
        <v>0</v>
      </c>
      <c r="L754" t="n">
        <v>0</v>
      </c>
      <c r="M754" t="n">
        <v>0</v>
      </c>
      <c r="N754" t="n">
        <v>0</v>
      </c>
      <c r="O754" t="n">
        <v>0</v>
      </c>
      <c r="P754" t="n">
        <v>0</v>
      </c>
      <c r="Q754" t="n">
        <v>0</v>
      </c>
      <c r="R754" s="2" t="inlineStr"/>
    </row>
    <row r="755" ht="15" customHeight="1">
      <c r="A755" t="inlineStr">
        <is>
          <t>A 34019-2025</t>
        </is>
      </c>
      <c r="B755" s="1" t="n">
        <v>45845.34416666667</v>
      </c>
      <c r="C755" s="1" t="n">
        <v>46178</v>
      </c>
      <c r="D755" t="inlineStr">
        <is>
          <t>VÄSTERNORRLANDS LÄN</t>
        </is>
      </c>
      <c r="E755" t="inlineStr">
        <is>
          <t>ÅNGE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33717-2025</t>
        </is>
      </c>
      <c r="B756" s="1" t="n">
        <v>45841.89357638889</v>
      </c>
      <c r="C756" s="1" t="n">
        <v>46178</v>
      </c>
      <c r="D756" t="inlineStr">
        <is>
          <t>VÄSTERNORRLANDS LÄN</t>
        </is>
      </c>
      <c r="E756" t="inlineStr">
        <is>
          <t>ÅNGE</t>
        </is>
      </c>
      <c r="G756" t="n">
        <v>14.3</v>
      </c>
      <c r="H756" t="n">
        <v>0</v>
      </c>
      <c r="I756" t="n">
        <v>0</v>
      </c>
      <c r="J756" t="n">
        <v>0</v>
      </c>
      <c r="K756" t="n">
        <v>0</v>
      </c>
      <c r="L756" t="n">
        <v>0</v>
      </c>
      <c r="M756" t="n">
        <v>0</v>
      </c>
      <c r="N756" t="n">
        <v>0</v>
      </c>
      <c r="O756" t="n">
        <v>0</v>
      </c>
      <c r="P756" t="n">
        <v>0</v>
      </c>
      <c r="Q756" t="n">
        <v>0</v>
      </c>
      <c r="R756" s="2" t="inlineStr"/>
    </row>
    <row r="757" ht="15" customHeight="1">
      <c r="A757" t="inlineStr">
        <is>
          <t>A 17749-2025</t>
        </is>
      </c>
      <c r="B757" s="1" t="n">
        <v>45758.48380787037</v>
      </c>
      <c r="C757" s="1" t="n">
        <v>46178</v>
      </c>
      <c r="D757" t="inlineStr">
        <is>
          <t>VÄSTERNORRLANDS LÄN</t>
        </is>
      </c>
      <c r="E757" t="inlineStr">
        <is>
          <t>ÅNGE</t>
        </is>
      </c>
      <c r="G757" t="n">
        <v>7.3</v>
      </c>
      <c r="H757" t="n">
        <v>0</v>
      </c>
      <c r="I757" t="n">
        <v>0</v>
      </c>
      <c r="J757" t="n">
        <v>0</v>
      </c>
      <c r="K757" t="n">
        <v>0</v>
      </c>
      <c r="L757" t="n">
        <v>0</v>
      </c>
      <c r="M757" t="n">
        <v>0</v>
      </c>
      <c r="N757" t="n">
        <v>0</v>
      </c>
      <c r="O757" t="n">
        <v>0</v>
      </c>
      <c r="P757" t="n">
        <v>0</v>
      </c>
      <c r="Q757" t="n">
        <v>0</v>
      </c>
      <c r="R757" s="2" t="inlineStr"/>
    </row>
    <row r="758" ht="15" customHeight="1">
      <c r="A758" t="inlineStr">
        <is>
          <t>A 7284-2026</t>
        </is>
      </c>
      <c r="B758" s="1" t="n">
        <v>46058.63614583333</v>
      </c>
      <c r="C758" s="1" t="n">
        <v>46178</v>
      </c>
      <c r="D758" t="inlineStr">
        <is>
          <t>VÄSTERNORRLANDS LÄN</t>
        </is>
      </c>
      <c r="E758" t="inlineStr">
        <is>
          <t>ÅNGE</t>
        </is>
      </c>
      <c r="G758" t="n">
        <v>2.2</v>
      </c>
      <c r="H758" t="n">
        <v>0</v>
      </c>
      <c r="I758" t="n">
        <v>0</v>
      </c>
      <c r="J758" t="n">
        <v>0</v>
      </c>
      <c r="K758" t="n">
        <v>0</v>
      </c>
      <c r="L758" t="n">
        <v>0</v>
      </c>
      <c r="M758" t="n">
        <v>0</v>
      </c>
      <c r="N758" t="n">
        <v>0</v>
      </c>
      <c r="O758" t="n">
        <v>0</v>
      </c>
      <c r="P758" t="n">
        <v>0</v>
      </c>
      <c r="Q758" t="n">
        <v>0</v>
      </c>
      <c r="R758" s="2" t="inlineStr"/>
    </row>
    <row r="759" ht="15" customHeight="1">
      <c r="A759" t="inlineStr">
        <is>
          <t>A 7184-2026</t>
        </is>
      </c>
      <c r="B759" s="1" t="n">
        <v>46058.49020833334</v>
      </c>
      <c r="C759" s="1" t="n">
        <v>46178</v>
      </c>
      <c r="D759" t="inlineStr">
        <is>
          <t>VÄSTERNORRLANDS LÄN</t>
        </is>
      </c>
      <c r="E759" t="inlineStr">
        <is>
          <t>ÅNGE</t>
        </is>
      </c>
      <c r="F759" t="inlineStr">
        <is>
          <t>SCA</t>
        </is>
      </c>
      <c r="G759" t="n">
        <v>19.3</v>
      </c>
      <c r="H759" t="n">
        <v>0</v>
      </c>
      <c r="I759" t="n">
        <v>0</v>
      </c>
      <c r="J759" t="n">
        <v>0</v>
      </c>
      <c r="K759" t="n">
        <v>0</v>
      </c>
      <c r="L759" t="n">
        <v>0</v>
      </c>
      <c r="M759" t="n">
        <v>0</v>
      </c>
      <c r="N759" t="n">
        <v>0</v>
      </c>
      <c r="O759" t="n">
        <v>0</v>
      </c>
      <c r="P759" t="n">
        <v>0</v>
      </c>
      <c r="Q759" t="n">
        <v>0</v>
      </c>
      <c r="R759" s="2" t="inlineStr"/>
    </row>
    <row r="760" ht="15" customHeight="1">
      <c r="A760" t="inlineStr">
        <is>
          <t>A 7547-2026</t>
        </is>
      </c>
      <c r="B760" s="1" t="n">
        <v>46059.67755787037</v>
      </c>
      <c r="C760" s="1" t="n">
        <v>46178</v>
      </c>
      <c r="D760" t="inlineStr">
        <is>
          <t>VÄSTERNORRLANDS LÄN</t>
        </is>
      </c>
      <c r="E760" t="inlineStr">
        <is>
          <t>ÅNGE</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34591-2025</t>
        </is>
      </c>
      <c r="B761" s="1" t="n">
        <v>45847.62920138889</v>
      </c>
      <c r="C761" s="1" t="n">
        <v>46178</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34593-2025</t>
        </is>
      </c>
      <c r="B762" s="1" t="n">
        <v>45847.6316087963</v>
      </c>
      <c r="C762" s="1" t="n">
        <v>46178</v>
      </c>
      <c r="D762" t="inlineStr">
        <is>
          <t>VÄSTERNORRLANDS LÄN</t>
        </is>
      </c>
      <c r="E762" t="inlineStr">
        <is>
          <t>ÅNGE</t>
        </is>
      </c>
      <c r="G762" t="n">
        <v>5.3</v>
      </c>
      <c r="H762" t="n">
        <v>0</v>
      </c>
      <c r="I762" t="n">
        <v>0</v>
      </c>
      <c r="J762" t="n">
        <v>0</v>
      </c>
      <c r="K762" t="n">
        <v>0</v>
      </c>
      <c r="L762" t="n">
        <v>0</v>
      </c>
      <c r="M762" t="n">
        <v>0</v>
      </c>
      <c r="N762" t="n">
        <v>0</v>
      </c>
      <c r="O762" t="n">
        <v>0</v>
      </c>
      <c r="P762" t="n">
        <v>0</v>
      </c>
      <c r="Q762" t="n">
        <v>0</v>
      </c>
      <c r="R762" s="2" t="inlineStr"/>
    </row>
    <row r="763" ht="15" customHeight="1">
      <c r="A763" t="inlineStr">
        <is>
          <t>A 7283-2026</t>
        </is>
      </c>
      <c r="B763" s="1" t="n">
        <v>46058.63606481482</v>
      </c>
      <c r="C763" s="1" t="n">
        <v>46178</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34785-2025</t>
        </is>
      </c>
      <c r="B764" s="1" t="n">
        <v>45848.67771990741</v>
      </c>
      <c r="C764" s="1" t="n">
        <v>46178</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41781-2024</t>
        </is>
      </c>
      <c r="B765" s="1" t="n">
        <v>45561.34938657407</v>
      </c>
      <c r="C765" s="1" t="n">
        <v>46178</v>
      </c>
      <c r="D765" t="inlineStr">
        <is>
          <t>VÄSTERNORRLANDS LÄN</t>
        </is>
      </c>
      <c r="E765" t="inlineStr">
        <is>
          <t>ÅNGE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3330-2025</t>
        </is>
      </c>
      <c r="B766" s="1" t="n">
        <v>45679.70041666667</v>
      </c>
      <c r="C766" s="1" t="n">
        <v>46178</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7480-2026</t>
        </is>
      </c>
      <c r="B767" s="1" t="n">
        <v>46059</v>
      </c>
      <c r="C767" s="1" t="n">
        <v>46178</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7548-2026</t>
        </is>
      </c>
      <c r="B768" s="1" t="n">
        <v>46059.67776620371</v>
      </c>
      <c r="C768" s="1" t="n">
        <v>46178</v>
      </c>
      <c r="D768" t="inlineStr">
        <is>
          <t>VÄSTERNORRLANDS LÄN</t>
        </is>
      </c>
      <c r="E768" t="inlineStr">
        <is>
          <t>ÅNGE</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7634-2026</t>
        </is>
      </c>
      <c r="B769" s="1" t="n">
        <v>46062.36506944444</v>
      </c>
      <c r="C769" s="1" t="n">
        <v>46178</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7946-2026</t>
        </is>
      </c>
      <c r="B770" s="1" t="n">
        <v>46062</v>
      </c>
      <c r="C770" s="1" t="n">
        <v>46178</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45403-2025</t>
        </is>
      </c>
      <c r="B771" s="1" t="n">
        <v>45922.42803240741</v>
      </c>
      <c r="C771" s="1" t="n">
        <v>46178</v>
      </c>
      <c r="D771" t="inlineStr">
        <is>
          <t>VÄSTERNORRLANDS LÄN</t>
        </is>
      </c>
      <c r="E771" t="inlineStr">
        <is>
          <t>ÅNGE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7826-2026</t>
        </is>
      </c>
      <c r="B772" s="1" t="n">
        <v>46062</v>
      </c>
      <c r="C772" s="1" t="n">
        <v>46178</v>
      </c>
      <c r="D772" t="inlineStr">
        <is>
          <t>VÄSTERNORRLANDS LÄN</t>
        </is>
      </c>
      <c r="E772" t="inlineStr">
        <is>
          <t>ÅNGE</t>
        </is>
      </c>
      <c r="G772" t="n">
        <v>2.8</v>
      </c>
      <c r="H772" t="n">
        <v>0</v>
      </c>
      <c r="I772" t="n">
        <v>0</v>
      </c>
      <c r="J772" t="n">
        <v>0</v>
      </c>
      <c r="K772" t="n">
        <v>0</v>
      </c>
      <c r="L772" t="n">
        <v>0</v>
      </c>
      <c r="M772" t="n">
        <v>0</v>
      </c>
      <c r="N772" t="n">
        <v>0</v>
      </c>
      <c r="O772" t="n">
        <v>0</v>
      </c>
      <c r="P772" t="n">
        <v>0</v>
      </c>
      <c r="Q772" t="n">
        <v>0</v>
      </c>
      <c r="R772" s="2" t="inlineStr"/>
    </row>
    <row r="773" ht="15" customHeight="1">
      <c r="A773" t="inlineStr">
        <is>
          <t>A 38272-2024</t>
        </is>
      </c>
      <c r="B773" s="1" t="n">
        <v>45545.60392361111</v>
      </c>
      <c r="C773" s="1" t="n">
        <v>46178</v>
      </c>
      <c r="D773" t="inlineStr">
        <is>
          <t>VÄSTERNORRLANDS LÄN</t>
        </is>
      </c>
      <c r="E773" t="inlineStr">
        <is>
          <t>ÅNGE</t>
        </is>
      </c>
      <c r="G773" t="n">
        <v>1.7</v>
      </c>
      <c r="H773" t="n">
        <v>0</v>
      </c>
      <c r="I773" t="n">
        <v>0</v>
      </c>
      <c r="J773" t="n">
        <v>0</v>
      </c>
      <c r="K773" t="n">
        <v>0</v>
      </c>
      <c r="L773" t="n">
        <v>0</v>
      </c>
      <c r="M773" t="n">
        <v>0</v>
      </c>
      <c r="N773" t="n">
        <v>0</v>
      </c>
      <c r="O773" t="n">
        <v>0</v>
      </c>
      <c r="P773" t="n">
        <v>0</v>
      </c>
      <c r="Q773" t="n">
        <v>0</v>
      </c>
      <c r="R773" s="2" t="inlineStr"/>
    </row>
    <row r="774" ht="15" customHeight="1">
      <c r="A774" t="inlineStr">
        <is>
          <t>A 35061-2025</t>
        </is>
      </c>
      <c r="B774" s="1" t="n">
        <v>45852</v>
      </c>
      <c r="C774" s="1" t="n">
        <v>46178</v>
      </c>
      <c r="D774" t="inlineStr">
        <is>
          <t>VÄSTERNORRLANDS LÄN</t>
        </is>
      </c>
      <c r="E774" t="inlineStr">
        <is>
          <t>ÅNGE</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1897-2026</t>
        </is>
      </c>
      <c r="B775" s="1" t="n">
        <v>46035</v>
      </c>
      <c r="C775" s="1" t="n">
        <v>46178</v>
      </c>
      <c r="D775" t="inlineStr">
        <is>
          <t>VÄSTERNORRLANDS LÄN</t>
        </is>
      </c>
      <c r="E775" t="inlineStr">
        <is>
          <t>ÅNGE</t>
        </is>
      </c>
      <c r="G775" t="n">
        <v>4.1</v>
      </c>
      <c r="H775" t="n">
        <v>0</v>
      </c>
      <c r="I775" t="n">
        <v>0</v>
      </c>
      <c r="J775" t="n">
        <v>0</v>
      </c>
      <c r="K775" t="n">
        <v>0</v>
      </c>
      <c r="L775" t="n">
        <v>0</v>
      </c>
      <c r="M775" t="n">
        <v>0</v>
      </c>
      <c r="N775" t="n">
        <v>0</v>
      </c>
      <c r="O775" t="n">
        <v>0</v>
      </c>
      <c r="P775" t="n">
        <v>0</v>
      </c>
      <c r="Q775" t="n">
        <v>0</v>
      </c>
      <c r="R775" s="2" t="inlineStr"/>
    </row>
    <row r="776" ht="15" customHeight="1">
      <c r="A776" t="inlineStr">
        <is>
          <t>A 45401-2025</t>
        </is>
      </c>
      <c r="B776" s="1" t="n">
        <v>45922.42767361111</v>
      </c>
      <c r="C776" s="1" t="n">
        <v>46178</v>
      </c>
      <c r="D776" t="inlineStr">
        <is>
          <t>VÄSTERNORRLANDS LÄN</t>
        </is>
      </c>
      <c r="E776" t="inlineStr">
        <is>
          <t>ÅNGE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41831-2021</t>
        </is>
      </c>
      <c r="B777" s="1" t="n">
        <v>44425.92212962963</v>
      </c>
      <c r="C777" s="1" t="n">
        <v>46178</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45404-2025</t>
        </is>
      </c>
      <c r="B778" s="1" t="n">
        <v>45922.42820601852</v>
      </c>
      <c r="C778" s="1" t="n">
        <v>46178</v>
      </c>
      <c r="D778" t="inlineStr">
        <is>
          <t>VÄSTERNORRLANDS LÄN</t>
        </is>
      </c>
      <c r="E778" t="inlineStr">
        <is>
          <t>ÅNGE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35432-2025</t>
        </is>
      </c>
      <c r="B779" s="1" t="n">
        <v>45855.44831018519</v>
      </c>
      <c r="C779" s="1" t="n">
        <v>46178</v>
      </c>
      <c r="D779" t="inlineStr">
        <is>
          <t>VÄSTERNORRLANDS LÄN</t>
        </is>
      </c>
      <c r="E779" t="inlineStr">
        <is>
          <t>ÅNGE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32922-2024</t>
        </is>
      </c>
      <c r="B780" s="1" t="n">
        <v>45516.95263888889</v>
      </c>
      <c r="C780" s="1" t="n">
        <v>46178</v>
      </c>
      <c r="D780" t="inlineStr">
        <is>
          <t>VÄSTERNORRLANDS LÄN</t>
        </is>
      </c>
      <c r="E780" t="inlineStr">
        <is>
          <t>ÅNGE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8035-2026</t>
        </is>
      </c>
      <c r="B781" s="1" t="n">
        <v>46063.59454861111</v>
      </c>
      <c r="C781" s="1" t="n">
        <v>46178</v>
      </c>
      <c r="D781" t="inlineStr">
        <is>
          <t>VÄSTERNORRLANDS LÄN</t>
        </is>
      </c>
      <c r="E781" t="inlineStr">
        <is>
          <t>ÅNGE</t>
        </is>
      </c>
      <c r="F781" t="inlineStr">
        <is>
          <t>SCA</t>
        </is>
      </c>
      <c r="G781" t="n">
        <v>51.4</v>
      </c>
      <c r="H781" t="n">
        <v>0</v>
      </c>
      <c r="I781" t="n">
        <v>0</v>
      </c>
      <c r="J781" t="n">
        <v>0</v>
      </c>
      <c r="K781" t="n">
        <v>0</v>
      </c>
      <c r="L781" t="n">
        <v>0</v>
      </c>
      <c r="M781" t="n">
        <v>0</v>
      </c>
      <c r="N781" t="n">
        <v>0</v>
      </c>
      <c r="O781" t="n">
        <v>0</v>
      </c>
      <c r="P781" t="n">
        <v>0</v>
      </c>
      <c r="Q781" t="n">
        <v>0</v>
      </c>
      <c r="R781" s="2" t="inlineStr"/>
    </row>
    <row r="782" ht="15" customHeight="1">
      <c r="A782" t="inlineStr">
        <is>
          <t>A 45660-2025</t>
        </is>
      </c>
      <c r="B782" s="1" t="n">
        <v>45923.34494212963</v>
      </c>
      <c r="C782" s="1" t="n">
        <v>46178</v>
      </c>
      <c r="D782" t="inlineStr">
        <is>
          <t>VÄSTERNORRLANDS LÄN</t>
        </is>
      </c>
      <c r="E782" t="inlineStr">
        <is>
          <t>ÅNGE</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45875-2025</t>
        </is>
      </c>
      <c r="B783" s="1" t="n">
        <v>45923.65690972222</v>
      </c>
      <c r="C783" s="1" t="n">
        <v>46178</v>
      </c>
      <c r="D783" t="inlineStr">
        <is>
          <t>VÄSTERNORRLANDS LÄN</t>
        </is>
      </c>
      <c r="E783" t="inlineStr">
        <is>
          <t>ÅNGE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35497-2025</t>
        </is>
      </c>
      <c r="B784" s="1" t="n">
        <v>45856.29752314815</v>
      </c>
      <c r="C784" s="1" t="n">
        <v>46178</v>
      </c>
      <c r="D784" t="inlineStr">
        <is>
          <t>VÄSTERNORRLANDS LÄN</t>
        </is>
      </c>
      <c r="E784" t="inlineStr">
        <is>
          <t>ÅNGE</t>
        </is>
      </c>
      <c r="G784" t="n">
        <v>0.7</v>
      </c>
      <c r="H784" t="n">
        <v>0</v>
      </c>
      <c r="I784" t="n">
        <v>0</v>
      </c>
      <c r="J784" t="n">
        <v>0</v>
      </c>
      <c r="K784" t="n">
        <v>0</v>
      </c>
      <c r="L784" t="n">
        <v>0</v>
      </c>
      <c r="M784" t="n">
        <v>0</v>
      </c>
      <c r="N784" t="n">
        <v>0</v>
      </c>
      <c r="O784" t="n">
        <v>0</v>
      </c>
      <c r="P784" t="n">
        <v>0</v>
      </c>
      <c r="Q784" t="n">
        <v>0</v>
      </c>
      <c r="R784" s="2" t="inlineStr"/>
    </row>
    <row r="785" ht="15" customHeight="1">
      <c r="A785" t="inlineStr">
        <is>
          <t>A 45659-2025</t>
        </is>
      </c>
      <c r="B785" s="1" t="n">
        <v>45923.34471064815</v>
      </c>
      <c r="C785" s="1" t="n">
        <v>46178</v>
      </c>
      <c r="D785" t="inlineStr">
        <is>
          <t>VÄSTERNORRLANDS LÄN</t>
        </is>
      </c>
      <c r="E785" t="inlineStr">
        <is>
          <t>ÅNGE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10282-2025</t>
        </is>
      </c>
      <c r="B786" s="1" t="n">
        <v>45720.40659722222</v>
      </c>
      <c r="C786" s="1" t="n">
        <v>46178</v>
      </c>
      <c r="D786" t="inlineStr">
        <is>
          <t>VÄSTERNORRLANDS LÄN</t>
        </is>
      </c>
      <c r="E786" t="inlineStr">
        <is>
          <t>ÅNGE</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35577-2025</t>
        </is>
      </c>
      <c r="B787" s="1" t="n">
        <v>45856.67762731481</v>
      </c>
      <c r="C787" s="1" t="n">
        <v>46178</v>
      </c>
      <c r="D787" t="inlineStr">
        <is>
          <t>VÄSTERNORRLANDS LÄN</t>
        </is>
      </c>
      <c r="E787" t="inlineStr">
        <is>
          <t>ÅNGE</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1846-2026</t>
        </is>
      </c>
      <c r="B788" s="1" t="n">
        <v>46035</v>
      </c>
      <c r="C788" s="1" t="n">
        <v>46178</v>
      </c>
      <c r="D788" t="inlineStr">
        <is>
          <t>VÄSTERNORRLANDS LÄN</t>
        </is>
      </c>
      <c r="E788" t="inlineStr">
        <is>
          <t>ÅNGE</t>
        </is>
      </c>
      <c r="G788" t="n">
        <v>2.5</v>
      </c>
      <c r="H788" t="n">
        <v>0</v>
      </c>
      <c r="I788" t="n">
        <v>0</v>
      </c>
      <c r="J788" t="n">
        <v>0</v>
      </c>
      <c r="K788" t="n">
        <v>0</v>
      </c>
      <c r="L788" t="n">
        <v>0</v>
      </c>
      <c r="M788" t="n">
        <v>0</v>
      </c>
      <c r="N788" t="n">
        <v>0</v>
      </c>
      <c r="O788" t="n">
        <v>0</v>
      </c>
      <c r="P788" t="n">
        <v>0</v>
      </c>
      <c r="Q788" t="n">
        <v>0</v>
      </c>
      <c r="R788" s="2" t="inlineStr"/>
    </row>
    <row r="789" ht="15" customHeight="1">
      <c r="A789" t="inlineStr">
        <is>
          <t>A 35548-2025</t>
        </is>
      </c>
      <c r="B789" s="1" t="n">
        <v>45856.48995370371</v>
      </c>
      <c r="C789" s="1" t="n">
        <v>46178</v>
      </c>
      <c r="D789" t="inlineStr">
        <is>
          <t>VÄSTERNORRLANDS LÄN</t>
        </is>
      </c>
      <c r="E789" t="inlineStr">
        <is>
          <t>ÅNGE</t>
        </is>
      </c>
      <c r="F789" t="inlineStr">
        <is>
          <t>SCA</t>
        </is>
      </c>
      <c r="G789" t="n">
        <v>14.6</v>
      </c>
      <c r="H789" t="n">
        <v>0</v>
      </c>
      <c r="I789" t="n">
        <v>0</v>
      </c>
      <c r="J789" t="n">
        <v>0</v>
      </c>
      <c r="K789" t="n">
        <v>0</v>
      </c>
      <c r="L789" t="n">
        <v>0</v>
      </c>
      <c r="M789" t="n">
        <v>0</v>
      </c>
      <c r="N789" t="n">
        <v>0</v>
      </c>
      <c r="O789" t="n">
        <v>0</v>
      </c>
      <c r="P789" t="n">
        <v>0</v>
      </c>
      <c r="Q789" t="n">
        <v>0</v>
      </c>
      <c r="R789" s="2" t="inlineStr"/>
    </row>
    <row r="790" ht="15" customHeight="1">
      <c r="A790" t="inlineStr">
        <is>
          <t>A 35575-2025</t>
        </is>
      </c>
      <c r="B790" s="1" t="n">
        <v>45856.63591435185</v>
      </c>
      <c r="C790" s="1" t="n">
        <v>46178</v>
      </c>
      <c r="D790" t="inlineStr">
        <is>
          <t>VÄSTERNORRLANDS LÄN</t>
        </is>
      </c>
      <c r="E790" t="inlineStr">
        <is>
          <t>ÅNGE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8448-2026</t>
        </is>
      </c>
      <c r="B791" s="1" t="n">
        <v>46065.40693287037</v>
      </c>
      <c r="C791" s="1" t="n">
        <v>46178</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35503-2025</t>
        </is>
      </c>
      <c r="B792" s="1" t="n">
        <v>45856</v>
      </c>
      <c r="C792" s="1" t="n">
        <v>46178</v>
      </c>
      <c r="D792" t="inlineStr">
        <is>
          <t>VÄSTERNORRLANDS LÄN</t>
        </is>
      </c>
      <c r="E792" t="inlineStr">
        <is>
          <t>ÅNGE</t>
        </is>
      </c>
      <c r="G792" t="n">
        <v>5.2</v>
      </c>
      <c r="H792" t="n">
        <v>0</v>
      </c>
      <c r="I792" t="n">
        <v>0</v>
      </c>
      <c r="J792" t="n">
        <v>0</v>
      </c>
      <c r="K792" t="n">
        <v>0</v>
      </c>
      <c r="L792" t="n">
        <v>0</v>
      </c>
      <c r="M792" t="n">
        <v>0</v>
      </c>
      <c r="N792" t="n">
        <v>0</v>
      </c>
      <c r="O792" t="n">
        <v>0</v>
      </c>
      <c r="P792" t="n">
        <v>0</v>
      </c>
      <c r="Q792" t="n">
        <v>0</v>
      </c>
      <c r="R792" s="2" t="inlineStr"/>
    </row>
    <row r="793" ht="15" customHeight="1">
      <c r="A793" t="inlineStr">
        <is>
          <t>A 8499-2026</t>
        </is>
      </c>
      <c r="B793" s="1" t="n">
        <v>46065.49912037037</v>
      </c>
      <c r="C793" s="1" t="n">
        <v>46178</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46419-2025</t>
        </is>
      </c>
      <c r="B794" s="1" t="n">
        <v>45925.5949537037</v>
      </c>
      <c r="C794" s="1" t="n">
        <v>46178</v>
      </c>
      <c r="D794" t="inlineStr">
        <is>
          <t>VÄSTERNORRLANDS LÄN</t>
        </is>
      </c>
      <c r="E794" t="inlineStr">
        <is>
          <t>ÅNGE</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35838-2025</t>
        </is>
      </c>
      <c r="B795" s="1" t="n">
        <v>45861.53829861111</v>
      </c>
      <c r="C795" s="1" t="n">
        <v>46178</v>
      </c>
      <c r="D795" t="inlineStr">
        <is>
          <t>VÄSTERNORRLANDS LÄN</t>
        </is>
      </c>
      <c r="E795" t="inlineStr">
        <is>
          <t>ÅNGE</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30683-2024</t>
        </is>
      </c>
      <c r="B796" s="1" t="n">
        <v>45495</v>
      </c>
      <c r="C796" s="1" t="n">
        <v>46178</v>
      </c>
      <c r="D796" t="inlineStr">
        <is>
          <t>VÄSTERNORRLANDS LÄN</t>
        </is>
      </c>
      <c r="E796" t="inlineStr">
        <is>
          <t>ÅNGE</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51055-2023</t>
        </is>
      </c>
      <c r="B797" s="1" t="n">
        <v>45218</v>
      </c>
      <c r="C797" s="1" t="n">
        <v>46178</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5455-2023</t>
        </is>
      </c>
      <c r="B798" s="1" t="n">
        <v>44959.93983796296</v>
      </c>
      <c r="C798" s="1" t="n">
        <v>46178</v>
      </c>
      <c r="D798" t="inlineStr">
        <is>
          <t>VÄSTERNORRLANDS LÄN</t>
        </is>
      </c>
      <c r="E798" t="inlineStr">
        <is>
          <t>ÅNGE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8284-2026</t>
        </is>
      </c>
      <c r="B799" s="1" t="n">
        <v>46064.56364583333</v>
      </c>
      <c r="C799" s="1" t="n">
        <v>46178</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8431-2026</t>
        </is>
      </c>
      <c r="B800" s="1" t="n">
        <v>46065.38619212963</v>
      </c>
      <c r="C800" s="1" t="n">
        <v>46178</v>
      </c>
      <c r="D800" t="inlineStr">
        <is>
          <t>VÄSTERNORRLANDS LÄN</t>
        </is>
      </c>
      <c r="E800" t="inlineStr">
        <is>
          <t>ÅNGE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8432-2026</t>
        </is>
      </c>
      <c r="B801" s="1" t="n">
        <v>46065.3862962963</v>
      </c>
      <c r="C801" s="1" t="n">
        <v>46178</v>
      </c>
      <c r="D801" t="inlineStr">
        <is>
          <t>VÄSTERNORRLANDS LÄN</t>
        </is>
      </c>
      <c r="E801" t="inlineStr">
        <is>
          <t>ÅNGE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46111-2025</t>
        </is>
      </c>
      <c r="B802" s="1" t="n">
        <v>45924.56684027778</v>
      </c>
      <c r="C802" s="1" t="n">
        <v>46178</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35826-2025</t>
        </is>
      </c>
      <c r="B803" s="1" t="n">
        <v>45861.48997685185</v>
      </c>
      <c r="C803" s="1" t="n">
        <v>46178</v>
      </c>
      <c r="D803" t="inlineStr">
        <is>
          <t>VÄSTERNORRLANDS LÄN</t>
        </is>
      </c>
      <c r="E803" t="inlineStr">
        <is>
          <t>ÅNGE</t>
        </is>
      </c>
      <c r="G803" t="n">
        <v>2.5</v>
      </c>
      <c r="H803" t="n">
        <v>0</v>
      </c>
      <c r="I803" t="n">
        <v>0</v>
      </c>
      <c r="J803" t="n">
        <v>0</v>
      </c>
      <c r="K803" t="n">
        <v>0</v>
      </c>
      <c r="L803" t="n">
        <v>0</v>
      </c>
      <c r="M803" t="n">
        <v>0</v>
      </c>
      <c r="N803" t="n">
        <v>0</v>
      </c>
      <c r="O803" t="n">
        <v>0</v>
      </c>
      <c r="P803" t="n">
        <v>0</v>
      </c>
      <c r="Q803" t="n">
        <v>0</v>
      </c>
      <c r="R803" s="2" t="inlineStr"/>
      <c r="U803">
        <f>HYPERLINK("https://klasma.github.io/Logging_2260/knärot/A 35826-2025 karta knärot.png", "A 35826-2025")</f>
        <v/>
      </c>
      <c r="V803">
        <f>HYPERLINK("https://klasma.github.io/Logging_2260/klagomål/A 35826-2025 FSC-klagomål.docx", "A 35826-2025")</f>
        <v/>
      </c>
      <c r="W803">
        <f>HYPERLINK("https://klasma.github.io/Logging_2260/klagomålsmail/A 35826-2025 FSC-klagomål mail.docx", "A 35826-2025")</f>
        <v/>
      </c>
      <c r="X803">
        <f>HYPERLINK("https://klasma.github.io/Logging_2260/tillsyn/A 35826-2025 tillsynsbegäran.docx", "A 35826-2025")</f>
        <v/>
      </c>
      <c r="Y803">
        <f>HYPERLINK("https://klasma.github.io/Logging_2260/tillsynsmail/A 35826-2025 tillsynsbegäran mail.docx", "A 35826-2025")</f>
        <v/>
      </c>
    </row>
    <row r="804" ht="15" customHeight="1">
      <c r="A804" t="inlineStr">
        <is>
          <t>A 43775-2022</t>
        </is>
      </c>
      <c r="B804" s="1" t="n">
        <v>44837.95053240741</v>
      </c>
      <c r="C804" s="1" t="n">
        <v>46178</v>
      </c>
      <c r="D804" t="inlineStr">
        <is>
          <t>VÄSTERNORRLANDS LÄN</t>
        </is>
      </c>
      <c r="E804" t="inlineStr">
        <is>
          <t>ÅNGE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35827-2025</t>
        </is>
      </c>
      <c r="B805" s="1" t="n">
        <v>45861.49017361111</v>
      </c>
      <c r="C805" s="1" t="n">
        <v>46178</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35690-2025</t>
        </is>
      </c>
      <c r="B806" s="1" t="n">
        <v>45860.34421296296</v>
      </c>
      <c r="C806" s="1" t="n">
        <v>46178</v>
      </c>
      <c r="D806" t="inlineStr">
        <is>
          <t>VÄSTERNORRLANDS LÄN</t>
        </is>
      </c>
      <c r="E806" t="inlineStr">
        <is>
          <t>ÅNGE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46267-2025</t>
        </is>
      </c>
      <c r="B807" s="1" t="n">
        <v>45925.36578703704</v>
      </c>
      <c r="C807" s="1" t="n">
        <v>46178</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35766-2025</t>
        </is>
      </c>
      <c r="B808" s="1" t="n">
        <v>45860.63077546296</v>
      </c>
      <c r="C808" s="1" t="n">
        <v>46178</v>
      </c>
      <c r="D808" t="inlineStr">
        <is>
          <t>VÄSTERNORRLANDS LÄN</t>
        </is>
      </c>
      <c r="E808" t="inlineStr">
        <is>
          <t>ÅNGE</t>
        </is>
      </c>
      <c r="G808" t="n">
        <v>10.7</v>
      </c>
      <c r="H808" t="n">
        <v>0</v>
      </c>
      <c r="I808" t="n">
        <v>0</v>
      </c>
      <c r="J808" t="n">
        <v>0</v>
      </c>
      <c r="K808" t="n">
        <v>0</v>
      </c>
      <c r="L808" t="n">
        <v>0</v>
      </c>
      <c r="M808" t="n">
        <v>0</v>
      </c>
      <c r="N808" t="n">
        <v>0</v>
      </c>
      <c r="O808" t="n">
        <v>0</v>
      </c>
      <c r="P808" t="n">
        <v>0</v>
      </c>
      <c r="Q808" t="n">
        <v>0</v>
      </c>
      <c r="R808" s="2" t="inlineStr"/>
    </row>
    <row r="809" ht="15" customHeight="1">
      <c r="A809" t="inlineStr">
        <is>
          <t>A 46416-2025</t>
        </is>
      </c>
      <c r="B809" s="1" t="n">
        <v>45925.594375</v>
      </c>
      <c r="C809" s="1" t="n">
        <v>46178</v>
      </c>
      <c r="D809" t="inlineStr">
        <is>
          <t>VÄSTERNORRLANDS LÄN</t>
        </is>
      </c>
      <c r="E809" t="inlineStr">
        <is>
          <t>ÅNGE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8143-2026</t>
        </is>
      </c>
      <c r="B810" s="1" t="n">
        <v>46064.34438657408</v>
      </c>
      <c r="C810" s="1" t="n">
        <v>46178</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16915-2024</t>
        </is>
      </c>
      <c r="B811" s="1" t="n">
        <v>45411.65185185185</v>
      </c>
      <c r="C811" s="1" t="n">
        <v>46178</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8569-2026</t>
        </is>
      </c>
      <c r="B812" s="1" t="n">
        <v>46065.67476851852</v>
      </c>
      <c r="C812" s="1" t="n">
        <v>46178</v>
      </c>
      <c r="D812" t="inlineStr">
        <is>
          <t>VÄSTERNORRLANDS LÄN</t>
        </is>
      </c>
      <c r="E812" t="inlineStr">
        <is>
          <t>ÅNGE</t>
        </is>
      </c>
      <c r="F812" t="inlineStr">
        <is>
          <t>SCA</t>
        </is>
      </c>
      <c r="G812" t="n">
        <v>30.5</v>
      </c>
      <c r="H812" t="n">
        <v>0</v>
      </c>
      <c r="I812" t="n">
        <v>0</v>
      </c>
      <c r="J812" t="n">
        <v>0</v>
      </c>
      <c r="K812" t="n">
        <v>0</v>
      </c>
      <c r="L812" t="n">
        <v>0</v>
      </c>
      <c r="M812" t="n">
        <v>0</v>
      </c>
      <c r="N812" t="n">
        <v>0</v>
      </c>
      <c r="O812" t="n">
        <v>0</v>
      </c>
      <c r="P812" t="n">
        <v>0</v>
      </c>
      <c r="Q812" t="n">
        <v>0</v>
      </c>
      <c r="R812" s="2" t="inlineStr"/>
    </row>
    <row r="813" ht="15" customHeight="1">
      <c r="A813" t="inlineStr">
        <is>
          <t>A 46109-2025</t>
        </is>
      </c>
      <c r="B813" s="1" t="n">
        <v>45924.5596412037</v>
      </c>
      <c r="C813" s="1" t="n">
        <v>46178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45970-2025</t>
        </is>
      </c>
      <c r="B814" s="1" t="n">
        <v>45924.36519675926</v>
      </c>
      <c r="C814" s="1" t="n">
        <v>46178</v>
      </c>
      <c r="D814" t="inlineStr">
        <is>
          <t>VÄSTERNORRLANDS LÄN</t>
        </is>
      </c>
      <c r="E814" t="inlineStr">
        <is>
          <t>ÅNGE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36237-2025</t>
        </is>
      </c>
      <c r="B815" s="1" t="n">
        <v>45867.55263888889</v>
      </c>
      <c r="C815" s="1" t="n">
        <v>46178</v>
      </c>
      <c r="D815" t="inlineStr">
        <is>
          <t>VÄSTERNORRLANDS LÄN</t>
        </is>
      </c>
      <c r="E815" t="inlineStr">
        <is>
          <t>ÅNGE</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36240-2025</t>
        </is>
      </c>
      <c r="B816" s="1" t="n">
        <v>45867.55298611111</v>
      </c>
      <c r="C816" s="1" t="n">
        <v>46178</v>
      </c>
      <c r="D816" t="inlineStr">
        <is>
          <t>VÄSTERNORRLANDS LÄN</t>
        </is>
      </c>
      <c r="E816" t="inlineStr">
        <is>
          <t>ÅNGE</t>
        </is>
      </c>
      <c r="G816" t="n">
        <v>0.5</v>
      </c>
      <c r="H816" t="n">
        <v>0</v>
      </c>
      <c r="I816" t="n">
        <v>0</v>
      </c>
      <c r="J816" t="n">
        <v>0</v>
      </c>
      <c r="K816" t="n">
        <v>0</v>
      </c>
      <c r="L816" t="n">
        <v>0</v>
      </c>
      <c r="M816" t="n">
        <v>0</v>
      </c>
      <c r="N816" t="n">
        <v>0</v>
      </c>
      <c r="O816" t="n">
        <v>0</v>
      </c>
      <c r="P816" t="n">
        <v>0</v>
      </c>
      <c r="Q816" t="n">
        <v>0</v>
      </c>
      <c r="R816" s="2" t="inlineStr"/>
    </row>
    <row r="817" ht="15" customHeight="1">
      <c r="A817" t="inlineStr">
        <is>
          <t>A 57560-2023</t>
        </is>
      </c>
      <c r="B817" s="1" t="n">
        <v>45243</v>
      </c>
      <c r="C817" s="1" t="n">
        <v>46178</v>
      </c>
      <c r="D817" t="inlineStr">
        <is>
          <t>VÄSTERNORRLANDS LÄN</t>
        </is>
      </c>
      <c r="E817" t="inlineStr">
        <is>
          <t>ÅNGE</t>
        </is>
      </c>
      <c r="G817" t="n">
        <v>7.4</v>
      </c>
      <c r="H817" t="n">
        <v>0</v>
      </c>
      <c r="I817" t="n">
        <v>0</v>
      </c>
      <c r="J817" t="n">
        <v>0</v>
      </c>
      <c r="K817" t="n">
        <v>0</v>
      </c>
      <c r="L817" t="n">
        <v>0</v>
      </c>
      <c r="M817" t="n">
        <v>0</v>
      </c>
      <c r="N817" t="n">
        <v>0</v>
      </c>
      <c r="O817" t="n">
        <v>0</v>
      </c>
      <c r="P817" t="n">
        <v>0</v>
      </c>
      <c r="Q817" t="n">
        <v>0</v>
      </c>
      <c r="R817" s="2" t="inlineStr"/>
    </row>
    <row r="818" ht="15" customHeight="1">
      <c r="A818" t="inlineStr">
        <is>
          <t>A 57568-2023</t>
        </is>
      </c>
      <c r="B818" s="1" t="n">
        <v>45246.50484953704</v>
      </c>
      <c r="C818" s="1" t="n">
        <v>46178</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16576-2023</t>
        </is>
      </c>
      <c r="B819" s="1" t="n">
        <v>45029.94251157407</v>
      </c>
      <c r="C819" s="1" t="n">
        <v>46178</v>
      </c>
      <c r="D819" t="inlineStr">
        <is>
          <t>VÄSTERNORRLANDS LÄN</t>
        </is>
      </c>
      <c r="E819" t="inlineStr">
        <is>
          <t>ÅNGE</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36210-2025</t>
        </is>
      </c>
      <c r="B820" s="1" t="n">
        <v>45867.46930555555</v>
      </c>
      <c r="C820" s="1" t="n">
        <v>46178</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36236-2025</t>
        </is>
      </c>
      <c r="B821" s="1" t="n">
        <v>45867.55245370371</v>
      </c>
      <c r="C821" s="1" t="n">
        <v>46178</v>
      </c>
      <c r="D821" t="inlineStr">
        <is>
          <t>VÄSTERNORRLANDS LÄN</t>
        </is>
      </c>
      <c r="E821" t="inlineStr">
        <is>
          <t>ÅNGE</t>
        </is>
      </c>
      <c r="G821" t="n">
        <v>0.9</v>
      </c>
      <c r="H821" t="n">
        <v>0</v>
      </c>
      <c r="I821" t="n">
        <v>0</v>
      </c>
      <c r="J821" t="n">
        <v>0</v>
      </c>
      <c r="K821" t="n">
        <v>0</v>
      </c>
      <c r="L821" t="n">
        <v>0</v>
      </c>
      <c r="M821" t="n">
        <v>0</v>
      </c>
      <c r="N821" t="n">
        <v>0</v>
      </c>
      <c r="O821" t="n">
        <v>0</v>
      </c>
      <c r="P821" t="n">
        <v>0</v>
      </c>
      <c r="Q821" t="n">
        <v>0</v>
      </c>
      <c r="R821" s="2" t="inlineStr"/>
    </row>
    <row r="822" ht="15" customHeight="1">
      <c r="A822" t="inlineStr">
        <is>
          <t>A 4374-2026</t>
        </is>
      </c>
      <c r="B822" s="1" t="n">
        <v>46045</v>
      </c>
      <c r="C822" s="1" t="n">
        <v>46178</v>
      </c>
      <c r="D822" t="inlineStr">
        <is>
          <t>VÄSTERNORRLANDS LÄN</t>
        </is>
      </c>
      <c r="E822" t="inlineStr">
        <is>
          <t>ÅNGE</t>
        </is>
      </c>
      <c r="G822" t="n">
        <v>13.5</v>
      </c>
      <c r="H822" t="n">
        <v>0</v>
      </c>
      <c r="I822" t="n">
        <v>0</v>
      </c>
      <c r="J822" t="n">
        <v>0</v>
      </c>
      <c r="K822" t="n">
        <v>0</v>
      </c>
      <c r="L822" t="n">
        <v>0</v>
      </c>
      <c r="M822" t="n">
        <v>0</v>
      </c>
      <c r="N822" t="n">
        <v>0</v>
      </c>
      <c r="O822" t="n">
        <v>0</v>
      </c>
      <c r="P822" t="n">
        <v>0</v>
      </c>
      <c r="Q822" t="n">
        <v>0</v>
      </c>
      <c r="R822" s="2" t="inlineStr"/>
    </row>
    <row r="823" ht="15" customHeight="1">
      <c r="A823" t="inlineStr">
        <is>
          <t>A 8145-2026</t>
        </is>
      </c>
      <c r="B823" s="1" t="n">
        <v>46064.34459490741</v>
      </c>
      <c r="C823" s="1" t="n">
        <v>46178</v>
      </c>
      <c r="D823" t="inlineStr">
        <is>
          <t>VÄSTERNORRLANDS LÄN</t>
        </is>
      </c>
      <c r="E823" t="inlineStr">
        <is>
          <t>ÅNGE</t>
        </is>
      </c>
      <c r="F823" t="inlineStr">
        <is>
          <t>SCA</t>
        </is>
      </c>
      <c r="G823" t="n">
        <v>11.6</v>
      </c>
      <c r="H823" t="n">
        <v>0</v>
      </c>
      <c r="I823" t="n">
        <v>0</v>
      </c>
      <c r="J823" t="n">
        <v>0</v>
      </c>
      <c r="K823" t="n">
        <v>0</v>
      </c>
      <c r="L823" t="n">
        <v>0</v>
      </c>
      <c r="M823" t="n">
        <v>0</v>
      </c>
      <c r="N823" t="n">
        <v>0</v>
      </c>
      <c r="O823" t="n">
        <v>0</v>
      </c>
      <c r="P823" t="n">
        <v>0</v>
      </c>
      <c r="Q823" t="n">
        <v>0</v>
      </c>
      <c r="R823" s="2" t="inlineStr"/>
    </row>
    <row r="824" ht="15" customHeight="1">
      <c r="A824" t="inlineStr">
        <is>
          <t>A 8995-2026</t>
        </is>
      </c>
      <c r="B824" s="1" t="n">
        <v>46069.46938657408</v>
      </c>
      <c r="C824" s="1" t="n">
        <v>46178</v>
      </c>
      <c r="D824" t="inlineStr">
        <is>
          <t>VÄSTERNORRLANDS LÄN</t>
        </is>
      </c>
      <c r="E824" t="inlineStr">
        <is>
          <t>ÅNGE</t>
        </is>
      </c>
      <c r="F824" t="inlineStr">
        <is>
          <t>SCA</t>
        </is>
      </c>
      <c r="G824" t="n">
        <v>8.6</v>
      </c>
      <c r="H824" t="n">
        <v>0</v>
      </c>
      <c r="I824" t="n">
        <v>0</v>
      </c>
      <c r="J824" t="n">
        <v>0</v>
      </c>
      <c r="K824" t="n">
        <v>0</v>
      </c>
      <c r="L824" t="n">
        <v>0</v>
      </c>
      <c r="M824" t="n">
        <v>0</v>
      </c>
      <c r="N824" t="n">
        <v>0</v>
      </c>
      <c r="O824" t="n">
        <v>0</v>
      </c>
      <c r="P824" t="n">
        <v>0</v>
      </c>
      <c r="Q824" t="n">
        <v>0</v>
      </c>
      <c r="R824" s="2" t="inlineStr"/>
    </row>
    <row r="825" ht="15" customHeight="1">
      <c r="A825" t="inlineStr">
        <is>
          <t>A 8926-2026</t>
        </is>
      </c>
      <c r="B825" s="1" t="n">
        <v>46069.34429398148</v>
      </c>
      <c r="C825" s="1" t="n">
        <v>46178</v>
      </c>
      <c r="D825" t="inlineStr">
        <is>
          <t>VÄSTERNORRLANDS LÄN</t>
        </is>
      </c>
      <c r="E825" t="inlineStr">
        <is>
          <t>ÅNGE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8874-2026</t>
        </is>
      </c>
      <c r="B826" s="1" t="n">
        <v>46067.34431712963</v>
      </c>
      <c r="C826" s="1" t="n">
        <v>46178</v>
      </c>
      <c r="D826" t="inlineStr">
        <is>
          <t>VÄSTERNORRLANDS LÄN</t>
        </is>
      </c>
      <c r="E826" t="inlineStr">
        <is>
          <t>ÅNGE</t>
        </is>
      </c>
      <c r="F826" t="inlineStr">
        <is>
          <t>SCA</t>
        </is>
      </c>
      <c r="G826" t="n">
        <v>6.7</v>
      </c>
      <c r="H826" t="n">
        <v>0</v>
      </c>
      <c r="I826" t="n">
        <v>0</v>
      </c>
      <c r="J826" t="n">
        <v>0</v>
      </c>
      <c r="K826" t="n">
        <v>0</v>
      </c>
      <c r="L826" t="n">
        <v>0</v>
      </c>
      <c r="M826" t="n">
        <v>0</v>
      </c>
      <c r="N826" t="n">
        <v>0</v>
      </c>
      <c r="O826" t="n">
        <v>0</v>
      </c>
      <c r="P826" t="n">
        <v>0</v>
      </c>
      <c r="Q826" t="n">
        <v>0</v>
      </c>
      <c r="R826" s="2" t="inlineStr"/>
    </row>
    <row r="827" ht="15" customHeight="1">
      <c r="A827" t="inlineStr">
        <is>
          <t>A 46933-2025</t>
        </is>
      </c>
      <c r="B827" s="1" t="n">
        <v>45929.44645833333</v>
      </c>
      <c r="C827" s="1" t="n">
        <v>46178</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8856-2026</t>
        </is>
      </c>
      <c r="B828" s="1" t="n">
        <v>46066.67790509259</v>
      </c>
      <c r="C828" s="1" t="n">
        <v>46178</v>
      </c>
      <c r="D828" t="inlineStr">
        <is>
          <t>VÄSTERNORRLANDS LÄN</t>
        </is>
      </c>
      <c r="E828" t="inlineStr">
        <is>
          <t>ÅNGE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8859-2026</t>
        </is>
      </c>
      <c r="B829" s="1" t="n">
        <v>46066.69863425926</v>
      </c>
      <c r="C829" s="1" t="n">
        <v>46178</v>
      </c>
      <c r="D829" t="inlineStr">
        <is>
          <t>VÄSTERNORRLANDS LÄN</t>
        </is>
      </c>
      <c r="E829" t="inlineStr">
        <is>
          <t>ÅNGE</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8836-2026</t>
        </is>
      </c>
      <c r="B830" s="1" t="n">
        <v>46066.63701388889</v>
      </c>
      <c r="C830" s="1" t="n">
        <v>46178</v>
      </c>
      <c r="D830" t="inlineStr">
        <is>
          <t>VÄSTERNORRLANDS LÄN</t>
        </is>
      </c>
      <c r="E830" t="inlineStr">
        <is>
          <t>ÅNGE</t>
        </is>
      </c>
      <c r="G830" t="n">
        <v>3.2</v>
      </c>
      <c r="H830" t="n">
        <v>0</v>
      </c>
      <c r="I830" t="n">
        <v>0</v>
      </c>
      <c r="J830" t="n">
        <v>0</v>
      </c>
      <c r="K830" t="n">
        <v>0</v>
      </c>
      <c r="L830" t="n">
        <v>0</v>
      </c>
      <c r="M830" t="n">
        <v>0</v>
      </c>
      <c r="N830" t="n">
        <v>0</v>
      </c>
      <c r="O830" t="n">
        <v>0</v>
      </c>
      <c r="P830" t="n">
        <v>0</v>
      </c>
      <c r="Q830" t="n">
        <v>0</v>
      </c>
      <c r="R830" s="2" t="inlineStr"/>
    </row>
    <row r="831" ht="15" customHeight="1">
      <c r="A831" t="inlineStr">
        <is>
          <t>A 8858-2026</t>
        </is>
      </c>
      <c r="B831" s="1" t="n">
        <v>46066.69833333333</v>
      </c>
      <c r="C831" s="1" t="n">
        <v>46178</v>
      </c>
      <c r="D831" t="inlineStr">
        <is>
          <t>VÄSTERNORRLANDS LÄN</t>
        </is>
      </c>
      <c r="E831" t="inlineStr">
        <is>
          <t>ÅNGE</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8879-2026</t>
        </is>
      </c>
      <c r="B832" s="1" t="n">
        <v>46067.53172453704</v>
      </c>
      <c r="C832" s="1" t="n">
        <v>46178</v>
      </c>
      <c r="D832" t="inlineStr">
        <is>
          <t>VÄSTERNORRLANDS LÄN</t>
        </is>
      </c>
      <c r="E832" t="inlineStr">
        <is>
          <t>ÅNGE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36248-2025</t>
        </is>
      </c>
      <c r="B833" s="1" t="n">
        <v>45867.57326388889</v>
      </c>
      <c r="C833" s="1" t="n">
        <v>46178</v>
      </c>
      <c r="D833" t="inlineStr">
        <is>
          <t>VÄSTERNORRLANDS LÄN</t>
        </is>
      </c>
      <c r="E833" t="inlineStr">
        <is>
          <t>ÅNGE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8635-2026</t>
        </is>
      </c>
      <c r="B834" s="1" t="n">
        <v>46066.3543287037</v>
      </c>
      <c r="C834" s="1" t="n">
        <v>46178</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36193-2025</t>
        </is>
      </c>
      <c r="B835" s="1" t="n">
        <v>45867.42741898148</v>
      </c>
      <c r="C835" s="1" t="n">
        <v>46178</v>
      </c>
      <c r="D835" t="inlineStr">
        <is>
          <t>VÄSTERNORRLANDS LÄN</t>
        </is>
      </c>
      <c r="E835" t="inlineStr">
        <is>
          <t>ÅNGE</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46897-2025</t>
        </is>
      </c>
      <c r="B836" s="1" t="n">
        <v>45929.38597222222</v>
      </c>
      <c r="C836" s="1" t="n">
        <v>46178</v>
      </c>
      <c r="D836" t="inlineStr">
        <is>
          <t>VÄSTERNORRLANDS LÄN</t>
        </is>
      </c>
      <c r="E836" t="inlineStr">
        <is>
          <t>ÅNGE</t>
        </is>
      </c>
      <c r="G836" t="n">
        <v>10.6</v>
      </c>
      <c r="H836" t="n">
        <v>0</v>
      </c>
      <c r="I836" t="n">
        <v>0</v>
      </c>
      <c r="J836" t="n">
        <v>0</v>
      </c>
      <c r="K836" t="n">
        <v>0</v>
      </c>
      <c r="L836" t="n">
        <v>0</v>
      </c>
      <c r="M836" t="n">
        <v>0</v>
      </c>
      <c r="N836" t="n">
        <v>0</v>
      </c>
      <c r="O836" t="n">
        <v>0</v>
      </c>
      <c r="P836" t="n">
        <v>0</v>
      </c>
      <c r="Q836" t="n">
        <v>0</v>
      </c>
      <c r="R836" s="2" t="inlineStr"/>
    </row>
    <row r="837" ht="15" customHeight="1">
      <c r="A837" t="inlineStr">
        <is>
          <t>A 36205-2025</t>
        </is>
      </c>
      <c r="B837" s="1" t="n">
        <v>45867.44855324074</v>
      </c>
      <c r="C837" s="1" t="n">
        <v>46178</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4359-2025</t>
        </is>
      </c>
      <c r="B838" s="1" t="n">
        <v>45686.33072916666</v>
      </c>
      <c r="C838" s="1" t="n">
        <v>46178</v>
      </c>
      <c r="D838" t="inlineStr">
        <is>
          <t>VÄSTERNORRLANDS LÄN</t>
        </is>
      </c>
      <c r="E838" t="inlineStr">
        <is>
          <t>ÅNGE</t>
        </is>
      </c>
      <c r="F838" t="inlineStr">
        <is>
          <t>Holmen skog AB</t>
        </is>
      </c>
      <c r="G838" t="n">
        <v>22</v>
      </c>
      <c r="H838" t="n">
        <v>0</v>
      </c>
      <c r="I838" t="n">
        <v>0</v>
      </c>
      <c r="J838" t="n">
        <v>0</v>
      </c>
      <c r="K838" t="n">
        <v>0</v>
      </c>
      <c r="L838" t="n">
        <v>0</v>
      </c>
      <c r="M838" t="n">
        <v>0</v>
      </c>
      <c r="N838" t="n">
        <v>0</v>
      </c>
      <c r="O838" t="n">
        <v>0</v>
      </c>
      <c r="P838" t="n">
        <v>0</v>
      </c>
      <c r="Q838" t="n">
        <v>0</v>
      </c>
      <c r="R838" s="2" t="inlineStr"/>
    </row>
    <row r="839" ht="15" customHeight="1">
      <c r="A839" t="inlineStr">
        <is>
          <t>A 36491-2025</t>
        </is>
      </c>
      <c r="B839" s="1" t="n">
        <v>45869.53173611111</v>
      </c>
      <c r="C839" s="1" t="n">
        <v>46178</v>
      </c>
      <c r="D839" t="inlineStr">
        <is>
          <t>VÄSTERNORRLANDS LÄN</t>
        </is>
      </c>
      <c r="E839" t="inlineStr">
        <is>
          <t>ÅNGE</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8928-2026</t>
        </is>
      </c>
      <c r="B840" s="1" t="n">
        <v>46069.34454861111</v>
      </c>
      <c r="C840" s="1" t="n">
        <v>46178</v>
      </c>
      <c r="D840" t="inlineStr">
        <is>
          <t>VÄSTERNORRLANDS LÄN</t>
        </is>
      </c>
      <c r="E840" t="inlineStr">
        <is>
          <t>ÅNGE</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8860-2026</t>
        </is>
      </c>
      <c r="B841" s="1" t="n">
        <v>46066.6987037037</v>
      </c>
      <c r="C841" s="1" t="n">
        <v>46178</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9126-2026</t>
        </is>
      </c>
      <c r="B842" s="1" t="n">
        <v>46069.68767361111</v>
      </c>
      <c r="C842" s="1" t="n">
        <v>46178</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36336-2025</t>
        </is>
      </c>
      <c r="B843" s="1" t="n">
        <v>45868.44751157407</v>
      </c>
      <c r="C843" s="1" t="n">
        <v>46178</v>
      </c>
      <c r="D843" t="inlineStr">
        <is>
          <t>VÄSTERNORRLANDS LÄN</t>
        </is>
      </c>
      <c r="E843" t="inlineStr">
        <is>
          <t>ÅNGE</t>
        </is>
      </c>
      <c r="G843" t="n">
        <v>7.3</v>
      </c>
      <c r="H843" t="n">
        <v>0</v>
      </c>
      <c r="I843" t="n">
        <v>0</v>
      </c>
      <c r="J843" t="n">
        <v>0</v>
      </c>
      <c r="K843" t="n">
        <v>0</v>
      </c>
      <c r="L843" t="n">
        <v>0</v>
      </c>
      <c r="M843" t="n">
        <v>0</v>
      </c>
      <c r="N843" t="n">
        <v>0</v>
      </c>
      <c r="O843" t="n">
        <v>0</v>
      </c>
      <c r="P843" t="n">
        <v>0</v>
      </c>
      <c r="Q843" t="n">
        <v>0</v>
      </c>
      <c r="R843" s="2" t="inlineStr"/>
    </row>
    <row r="844" ht="15" customHeight="1">
      <c r="A844" t="inlineStr">
        <is>
          <t>A 36457-2025</t>
        </is>
      </c>
      <c r="B844" s="1" t="n">
        <v>45869.44842592593</v>
      </c>
      <c r="C844" s="1" t="n">
        <v>46178</v>
      </c>
      <c r="D844" t="inlineStr">
        <is>
          <t>VÄSTERNORRLANDS LÄN</t>
        </is>
      </c>
      <c r="E844" t="inlineStr">
        <is>
          <t>ÅNGE</t>
        </is>
      </c>
      <c r="F844" t="inlineStr">
        <is>
          <t>SCA</t>
        </is>
      </c>
      <c r="G844" t="n">
        <v>6.3</v>
      </c>
      <c r="H844" t="n">
        <v>0</v>
      </c>
      <c r="I844" t="n">
        <v>0</v>
      </c>
      <c r="J844" t="n">
        <v>0</v>
      </c>
      <c r="K844" t="n">
        <v>0</v>
      </c>
      <c r="L844" t="n">
        <v>0</v>
      </c>
      <c r="M844" t="n">
        <v>0</v>
      </c>
      <c r="N844" t="n">
        <v>0</v>
      </c>
      <c r="O844" t="n">
        <v>0</v>
      </c>
      <c r="P844" t="n">
        <v>0</v>
      </c>
      <c r="Q844" t="n">
        <v>0</v>
      </c>
      <c r="R844" s="2" t="inlineStr"/>
    </row>
    <row r="845" ht="15" customHeight="1">
      <c r="A845" t="inlineStr">
        <is>
          <t>A 47118-2025</t>
        </is>
      </c>
      <c r="B845" s="1" t="n">
        <v>45929.67770833334</v>
      </c>
      <c r="C845" s="1" t="n">
        <v>46178</v>
      </c>
      <c r="D845" t="inlineStr">
        <is>
          <t>VÄSTERNORRLANDS LÄN</t>
        </is>
      </c>
      <c r="E845" t="inlineStr">
        <is>
          <t>ÅNGE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8638-2026</t>
        </is>
      </c>
      <c r="B846" s="1" t="n">
        <v>46066.3546875</v>
      </c>
      <c r="C846" s="1" t="n">
        <v>46178</v>
      </c>
      <c r="D846" t="inlineStr">
        <is>
          <t>VÄSTERNORRLANDS LÄN</t>
        </is>
      </c>
      <c r="E846" t="inlineStr">
        <is>
          <t>ÅNGE</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24797-2024</t>
        </is>
      </c>
      <c r="B847" s="1" t="n">
        <v>45460.95269675926</v>
      </c>
      <c r="C847" s="1" t="n">
        <v>46178</v>
      </c>
      <c r="D847" t="inlineStr">
        <is>
          <t>VÄSTERNORRLANDS LÄN</t>
        </is>
      </c>
      <c r="E847" t="inlineStr">
        <is>
          <t>ÅNGE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9328-2026</t>
        </is>
      </c>
      <c r="B848" s="1" t="n">
        <v>46070</v>
      </c>
      <c r="C848" s="1" t="n">
        <v>46178</v>
      </c>
      <c r="D848" t="inlineStr">
        <is>
          <t>VÄSTERNORRLANDS LÄN</t>
        </is>
      </c>
      <c r="E848" t="inlineStr">
        <is>
          <t>ÅNGE</t>
        </is>
      </c>
      <c r="F848" t="inlineStr">
        <is>
          <t>SCA</t>
        </is>
      </c>
      <c r="G848" t="n">
        <v>6.4</v>
      </c>
      <c r="H848" t="n">
        <v>0</v>
      </c>
      <c r="I848" t="n">
        <v>0</v>
      </c>
      <c r="J848" t="n">
        <v>0</v>
      </c>
      <c r="K848" t="n">
        <v>0</v>
      </c>
      <c r="L848" t="n">
        <v>0</v>
      </c>
      <c r="M848" t="n">
        <v>0</v>
      </c>
      <c r="N848" t="n">
        <v>0</v>
      </c>
      <c r="O848" t="n">
        <v>0</v>
      </c>
      <c r="P848" t="n">
        <v>0</v>
      </c>
      <c r="Q848" t="n">
        <v>0</v>
      </c>
      <c r="R848" s="2" t="inlineStr"/>
    </row>
    <row r="849" ht="15" customHeight="1">
      <c r="A849" t="inlineStr">
        <is>
          <t>A 47305-2025</t>
        </is>
      </c>
      <c r="B849" s="1" t="n">
        <v>45930</v>
      </c>
      <c r="C849" s="1" t="n">
        <v>46178</v>
      </c>
      <c r="D849" t="inlineStr">
        <is>
          <t>VÄSTERNORRLANDS LÄN</t>
        </is>
      </c>
      <c r="E849" t="inlineStr">
        <is>
          <t>ÅNGE</t>
        </is>
      </c>
      <c r="G849" t="n">
        <v>10.9</v>
      </c>
      <c r="H849" t="n">
        <v>0</v>
      </c>
      <c r="I849" t="n">
        <v>0</v>
      </c>
      <c r="J849" t="n">
        <v>0</v>
      </c>
      <c r="K849" t="n">
        <v>0</v>
      </c>
      <c r="L849" t="n">
        <v>0</v>
      </c>
      <c r="M849" t="n">
        <v>0</v>
      </c>
      <c r="N849" t="n">
        <v>0</v>
      </c>
      <c r="O849" t="n">
        <v>0</v>
      </c>
      <c r="P849" t="n">
        <v>0</v>
      </c>
      <c r="Q849" t="n">
        <v>0</v>
      </c>
      <c r="R849" s="2" t="inlineStr"/>
    </row>
    <row r="850" ht="15" customHeight="1">
      <c r="A850" t="inlineStr">
        <is>
          <t>A 32069-2023</t>
        </is>
      </c>
      <c r="B850" s="1" t="n">
        <v>45107</v>
      </c>
      <c r="C850" s="1" t="n">
        <v>46178</v>
      </c>
      <c r="D850" t="inlineStr">
        <is>
          <t>VÄSTERNORRLANDS LÄN</t>
        </is>
      </c>
      <c r="E850" t="inlineStr">
        <is>
          <t>ÅNGE</t>
        </is>
      </c>
      <c r="G850" t="n">
        <v>4.4</v>
      </c>
      <c r="H850" t="n">
        <v>0</v>
      </c>
      <c r="I850" t="n">
        <v>0</v>
      </c>
      <c r="J850" t="n">
        <v>0</v>
      </c>
      <c r="K850" t="n">
        <v>0</v>
      </c>
      <c r="L850" t="n">
        <v>0</v>
      </c>
      <c r="M850" t="n">
        <v>0</v>
      </c>
      <c r="N850" t="n">
        <v>0</v>
      </c>
      <c r="O850" t="n">
        <v>0</v>
      </c>
      <c r="P850" t="n">
        <v>0</v>
      </c>
      <c r="Q850" t="n">
        <v>0</v>
      </c>
      <c r="R850" s="2" t="inlineStr"/>
    </row>
    <row r="851" ht="15" customHeight="1">
      <c r="A851" t="inlineStr">
        <is>
          <t>A 36723-2025</t>
        </is>
      </c>
      <c r="B851" s="1" t="n">
        <v>45873.47770833333</v>
      </c>
      <c r="C851" s="1" t="n">
        <v>46178</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26013-2024</t>
        </is>
      </c>
      <c r="B852" s="1" t="n">
        <v>45467</v>
      </c>
      <c r="C852" s="1" t="n">
        <v>46178</v>
      </c>
      <c r="D852" t="inlineStr">
        <is>
          <t>VÄSTERNORRLANDS LÄN</t>
        </is>
      </c>
      <c r="E852" t="inlineStr">
        <is>
          <t>ÅNGE</t>
        </is>
      </c>
      <c r="F852" t="inlineStr">
        <is>
          <t>SCA</t>
        </is>
      </c>
      <c r="G852" t="n">
        <v>6.8</v>
      </c>
      <c r="H852" t="n">
        <v>0</v>
      </c>
      <c r="I852" t="n">
        <v>0</v>
      </c>
      <c r="J852" t="n">
        <v>0</v>
      </c>
      <c r="K852" t="n">
        <v>0</v>
      </c>
      <c r="L852" t="n">
        <v>0</v>
      </c>
      <c r="M852" t="n">
        <v>0</v>
      </c>
      <c r="N852" t="n">
        <v>0</v>
      </c>
      <c r="O852" t="n">
        <v>0</v>
      </c>
      <c r="P852" t="n">
        <v>0</v>
      </c>
      <c r="Q852" t="n">
        <v>0</v>
      </c>
      <c r="R852" s="2" t="inlineStr"/>
    </row>
    <row r="853" ht="15" customHeight="1">
      <c r="A853" t="inlineStr">
        <is>
          <t>A 9330-2026</t>
        </is>
      </c>
      <c r="B853" s="1" t="n">
        <v>46070</v>
      </c>
      <c r="C853" s="1" t="n">
        <v>46178</v>
      </c>
      <c r="D853" t="inlineStr">
        <is>
          <t>VÄSTERNORRLANDS LÄN</t>
        </is>
      </c>
      <c r="E853" t="inlineStr">
        <is>
          <t>ÅNGE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36674-2025</t>
        </is>
      </c>
      <c r="B854" s="1" t="n">
        <v>45873.3930787037</v>
      </c>
      <c r="C854" s="1" t="n">
        <v>46178</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9334-2026</t>
        </is>
      </c>
      <c r="B855" s="1" t="n">
        <v>46070</v>
      </c>
      <c r="C855" s="1" t="n">
        <v>46178</v>
      </c>
      <c r="D855" t="inlineStr">
        <is>
          <t>VÄSTERNORRLANDS LÄN</t>
        </is>
      </c>
      <c r="E855" t="inlineStr">
        <is>
          <t>ÅNGE</t>
        </is>
      </c>
      <c r="F855" t="inlineStr">
        <is>
          <t>SCA</t>
        </is>
      </c>
      <c r="G855" t="n">
        <v>0.3</v>
      </c>
      <c r="H855" t="n">
        <v>0</v>
      </c>
      <c r="I855" t="n">
        <v>0</v>
      </c>
      <c r="J855" t="n">
        <v>0</v>
      </c>
      <c r="K855" t="n">
        <v>0</v>
      </c>
      <c r="L855" t="n">
        <v>0</v>
      </c>
      <c r="M855" t="n">
        <v>0</v>
      </c>
      <c r="N855" t="n">
        <v>0</v>
      </c>
      <c r="O855" t="n">
        <v>0</v>
      </c>
      <c r="P855" t="n">
        <v>0</v>
      </c>
      <c r="Q855" t="n">
        <v>0</v>
      </c>
      <c r="R855" s="2" t="inlineStr"/>
    </row>
    <row r="856" ht="15" customHeight="1">
      <c r="A856" t="inlineStr">
        <is>
          <t>A 58613-2023</t>
        </is>
      </c>
      <c r="B856" s="1" t="n">
        <v>45251.50709490741</v>
      </c>
      <c r="C856" s="1" t="n">
        <v>46178</v>
      </c>
      <c r="D856" t="inlineStr">
        <is>
          <t>VÄSTERNORRLANDS LÄN</t>
        </is>
      </c>
      <c r="E856" t="inlineStr">
        <is>
          <t>ÅNGE</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9333-2026</t>
        </is>
      </c>
      <c r="B857" s="1" t="n">
        <v>46070</v>
      </c>
      <c r="C857" s="1" t="n">
        <v>46178</v>
      </c>
      <c r="D857" t="inlineStr">
        <is>
          <t>VÄSTERNORRLANDS LÄN</t>
        </is>
      </c>
      <c r="E857" t="inlineStr">
        <is>
          <t>ÅNGE</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47752-2025</t>
        </is>
      </c>
      <c r="B858" s="1" t="n">
        <v>45931.66358796296</v>
      </c>
      <c r="C858" s="1" t="n">
        <v>46178</v>
      </c>
      <c r="D858" t="inlineStr">
        <is>
          <t>VÄSTERNORRLANDS LÄN</t>
        </is>
      </c>
      <c r="E858" t="inlineStr">
        <is>
          <t>ÅNGE</t>
        </is>
      </c>
      <c r="G858" t="n">
        <v>3.9</v>
      </c>
      <c r="H858" t="n">
        <v>0</v>
      </c>
      <c r="I858" t="n">
        <v>0</v>
      </c>
      <c r="J858" t="n">
        <v>0</v>
      </c>
      <c r="K858" t="n">
        <v>0</v>
      </c>
      <c r="L858" t="n">
        <v>0</v>
      </c>
      <c r="M858" t="n">
        <v>0</v>
      </c>
      <c r="N858" t="n">
        <v>0</v>
      </c>
      <c r="O858" t="n">
        <v>0</v>
      </c>
      <c r="P858" t="n">
        <v>0</v>
      </c>
      <c r="Q858" t="n">
        <v>0</v>
      </c>
      <c r="R858" s="2" t="inlineStr"/>
    </row>
    <row r="859" ht="15" customHeight="1">
      <c r="A859" t="inlineStr">
        <is>
          <t>A 36740-2025</t>
        </is>
      </c>
      <c r="B859" s="1" t="n">
        <v>45873.53237268519</v>
      </c>
      <c r="C859" s="1" t="n">
        <v>46178</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47440-2025</t>
        </is>
      </c>
      <c r="B860" s="1" t="n">
        <v>45930.63766203704</v>
      </c>
      <c r="C860" s="1" t="n">
        <v>46178</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47488-2025</t>
        </is>
      </c>
      <c r="B861" s="1" t="n">
        <v>45930.69890046296</v>
      </c>
      <c r="C861" s="1" t="n">
        <v>46178</v>
      </c>
      <c r="D861" t="inlineStr">
        <is>
          <t>VÄSTERNORRLANDS LÄN</t>
        </is>
      </c>
      <c r="E861" t="inlineStr">
        <is>
          <t>ÅNGE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47196-2025</t>
        </is>
      </c>
      <c r="B862" s="1" t="n">
        <v>45930.34520833333</v>
      </c>
      <c r="C862" s="1" t="n">
        <v>46178</v>
      </c>
      <c r="D862" t="inlineStr">
        <is>
          <t>VÄSTERNORRLANDS LÄN</t>
        </is>
      </c>
      <c r="E862" t="inlineStr">
        <is>
          <t>ÅNGE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47377-2025</t>
        </is>
      </c>
      <c r="B863" s="1" t="n">
        <v>45930.59469907408</v>
      </c>
      <c r="C863" s="1" t="n">
        <v>46178</v>
      </c>
      <c r="D863" t="inlineStr">
        <is>
          <t>VÄSTERNORRLANDS LÄN</t>
        </is>
      </c>
      <c r="E863" t="inlineStr">
        <is>
          <t>ÅNGE</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9845-2026</t>
        </is>
      </c>
      <c r="B864" s="1" t="n">
        <v>46072.73510416667</v>
      </c>
      <c r="C864" s="1" t="n">
        <v>46178</v>
      </c>
      <c r="D864" t="inlineStr">
        <is>
          <t>VÄSTERNORRLANDS LÄN</t>
        </is>
      </c>
      <c r="E864" t="inlineStr">
        <is>
          <t>ÅNGE</t>
        </is>
      </c>
      <c r="G864" t="n">
        <v>2.8</v>
      </c>
      <c r="H864" t="n">
        <v>0</v>
      </c>
      <c r="I864" t="n">
        <v>0</v>
      </c>
      <c r="J864" t="n">
        <v>0</v>
      </c>
      <c r="K864" t="n">
        <v>0</v>
      </c>
      <c r="L864" t="n">
        <v>0</v>
      </c>
      <c r="M864" t="n">
        <v>0</v>
      </c>
      <c r="N864" t="n">
        <v>0</v>
      </c>
      <c r="O864" t="n">
        <v>0</v>
      </c>
      <c r="P864" t="n">
        <v>0</v>
      </c>
      <c r="Q864" t="n">
        <v>0</v>
      </c>
      <c r="R864" s="2" t="inlineStr"/>
    </row>
    <row r="865" ht="15" customHeight="1">
      <c r="A865" t="inlineStr">
        <is>
          <t>A 48234-2025</t>
        </is>
      </c>
      <c r="B865" s="1" t="n">
        <v>45933.53211805555</v>
      </c>
      <c r="C865" s="1" t="n">
        <v>46178</v>
      </c>
      <c r="D865" t="inlineStr">
        <is>
          <t>VÄSTERNORRLANDS LÄN</t>
        </is>
      </c>
      <c r="E865" t="inlineStr">
        <is>
          <t>ÅNGE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48235-2025</t>
        </is>
      </c>
      <c r="B866" s="1" t="n">
        <v>45933.5321412037</v>
      </c>
      <c r="C866" s="1" t="n">
        <v>46178</v>
      </c>
      <c r="D866" t="inlineStr">
        <is>
          <t>VÄSTERNORRLANDS LÄN</t>
        </is>
      </c>
      <c r="E866" t="inlineStr">
        <is>
          <t>ÅNGE</t>
        </is>
      </c>
      <c r="G866" t="n">
        <v>3.1</v>
      </c>
      <c r="H866" t="n">
        <v>0</v>
      </c>
      <c r="I866" t="n">
        <v>0</v>
      </c>
      <c r="J866" t="n">
        <v>0</v>
      </c>
      <c r="K866" t="n">
        <v>0</v>
      </c>
      <c r="L866" t="n">
        <v>0</v>
      </c>
      <c r="M866" t="n">
        <v>0</v>
      </c>
      <c r="N866" t="n">
        <v>0</v>
      </c>
      <c r="O866" t="n">
        <v>0</v>
      </c>
      <c r="P866" t="n">
        <v>0</v>
      </c>
      <c r="Q866" t="n">
        <v>0</v>
      </c>
      <c r="R866" s="2" t="inlineStr"/>
    </row>
    <row r="867" ht="15" customHeight="1">
      <c r="A867" t="inlineStr">
        <is>
          <t>A 36456-2025</t>
        </is>
      </c>
      <c r="B867" s="1" t="n">
        <v>45869.44827546296</v>
      </c>
      <c r="C867" s="1" t="n">
        <v>46178</v>
      </c>
      <c r="D867" t="inlineStr">
        <is>
          <t>VÄSTERNORRLANDS LÄN</t>
        </is>
      </c>
      <c r="E867" t="inlineStr">
        <is>
          <t>ÅNGE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9705-2026</t>
        </is>
      </c>
      <c r="B868" s="1" t="n">
        <v>46072.42768518518</v>
      </c>
      <c r="C868" s="1" t="n">
        <v>46178</v>
      </c>
      <c r="D868" t="inlineStr">
        <is>
          <t>VÄSTERNORRLANDS LÄN</t>
        </is>
      </c>
      <c r="E868" t="inlineStr">
        <is>
          <t>ÅNGE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36873-2025</t>
        </is>
      </c>
      <c r="B869" s="1" t="n">
        <v>45874.42935185185</v>
      </c>
      <c r="C869" s="1" t="n">
        <v>46178</v>
      </c>
      <c r="D869" t="inlineStr">
        <is>
          <t>VÄSTERNORRLANDS LÄN</t>
        </is>
      </c>
      <c r="E869" t="inlineStr">
        <is>
          <t>ÅNGE</t>
        </is>
      </c>
      <c r="F869" t="inlineStr">
        <is>
          <t>SCA</t>
        </is>
      </c>
      <c r="G869" t="n">
        <v>16.9</v>
      </c>
      <c r="H869" t="n">
        <v>0</v>
      </c>
      <c r="I869" t="n">
        <v>0</v>
      </c>
      <c r="J869" t="n">
        <v>0</v>
      </c>
      <c r="K869" t="n">
        <v>0</v>
      </c>
      <c r="L869" t="n">
        <v>0</v>
      </c>
      <c r="M869" t="n">
        <v>0</v>
      </c>
      <c r="N869" t="n">
        <v>0</v>
      </c>
      <c r="O869" t="n">
        <v>0</v>
      </c>
      <c r="P869" t="n">
        <v>0</v>
      </c>
      <c r="Q869" t="n">
        <v>0</v>
      </c>
      <c r="R869" s="2" t="inlineStr"/>
    </row>
    <row r="870" ht="15" customHeight="1">
      <c r="A870" t="inlineStr">
        <is>
          <t>A 16903-2024</t>
        </is>
      </c>
      <c r="B870" s="1" t="n">
        <v>45411.63106481481</v>
      </c>
      <c r="C870" s="1" t="n">
        <v>46178</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9798-2026</t>
        </is>
      </c>
      <c r="B871" s="1" t="n">
        <v>46072</v>
      </c>
      <c r="C871" s="1" t="n">
        <v>46178</v>
      </c>
      <c r="D871" t="inlineStr">
        <is>
          <t>VÄSTERNORRLANDS LÄN</t>
        </is>
      </c>
      <c r="E871" t="inlineStr">
        <is>
          <t>ÅNGE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32439-2024</t>
        </is>
      </c>
      <c r="B872" s="1" t="n">
        <v>45512</v>
      </c>
      <c r="C872" s="1" t="n">
        <v>46178</v>
      </c>
      <c r="D872" t="inlineStr">
        <is>
          <t>VÄSTERNORRLANDS LÄN</t>
        </is>
      </c>
      <c r="E872" t="inlineStr">
        <is>
          <t>ÅNGE</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37045-2025</t>
        </is>
      </c>
      <c r="B873" s="1" t="n">
        <v>45875.34451388889</v>
      </c>
      <c r="C873" s="1" t="n">
        <v>46178</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37047-2025</t>
        </is>
      </c>
      <c r="B874" s="1" t="n">
        <v>45875.34489583333</v>
      </c>
      <c r="C874" s="1" t="n">
        <v>46178</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16572-2023</t>
        </is>
      </c>
      <c r="B875" s="1" t="n">
        <v>45029.94224537037</v>
      </c>
      <c r="C875" s="1" t="n">
        <v>46178</v>
      </c>
      <c r="D875" t="inlineStr">
        <is>
          <t>VÄSTERNORRLANDS LÄN</t>
        </is>
      </c>
      <c r="E875" t="inlineStr">
        <is>
          <t>ÅNGE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9882-2026</t>
        </is>
      </c>
      <c r="B876" s="1" t="n">
        <v>46073.34444444445</v>
      </c>
      <c r="C876" s="1" t="n">
        <v>46178</v>
      </c>
      <c r="D876" t="inlineStr">
        <is>
          <t>VÄSTERNORRLANDS LÄN</t>
        </is>
      </c>
      <c r="E876" t="inlineStr">
        <is>
          <t>ÅNGE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37108-2025</t>
        </is>
      </c>
      <c r="B877" s="1" t="n">
        <v>45875</v>
      </c>
      <c r="C877" s="1" t="n">
        <v>46178</v>
      </c>
      <c r="D877" t="inlineStr">
        <is>
          <t>VÄSTERNORRLANDS LÄN</t>
        </is>
      </c>
      <c r="E877" t="inlineStr">
        <is>
          <t>ÅNGE</t>
        </is>
      </c>
      <c r="G877" t="n">
        <v>4</v>
      </c>
      <c r="H877" t="n">
        <v>0</v>
      </c>
      <c r="I877" t="n">
        <v>0</v>
      </c>
      <c r="J877" t="n">
        <v>0</v>
      </c>
      <c r="K877" t="n">
        <v>0</v>
      </c>
      <c r="L877" t="n">
        <v>0</v>
      </c>
      <c r="M877" t="n">
        <v>0</v>
      </c>
      <c r="N877" t="n">
        <v>0</v>
      </c>
      <c r="O877" t="n">
        <v>0</v>
      </c>
      <c r="P877" t="n">
        <v>0</v>
      </c>
      <c r="Q877" t="n">
        <v>0</v>
      </c>
      <c r="R877" s="2" t="inlineStr"/>
    </row>
    <row r="878" ht="15" customHeight="1">
      <c r="A878" t="inlineStr">
        <is>
          <t>A 10741-2026</t>
        </is>
      </c>
      <c r="B878" s="1" t="n">
        <v>46078</v>
      </c>
      <c r="C878" s="1" t="n">
        <v>46178</v>
      </c>
      <c r="D878" t="inlineStr">
        <is>
          <t>VÄSTERNORRLANDS LÄN</t>
        </is>
      </c>
      <c r="E878" t="inlineStr">
        <is>
          <t>ÅNGE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10648-2026</t>
        </is>
      </c>
      <c r="B879" s="1" t="n">
        <v>46078.3446412037</v>
      </c>
      <c r="C879" s="1" t="n">
        <v>46178</v>
      </c>
      <c r="D879" t="inlineStr">
        <is>
          <t>VÄSTERNORRLANDS LÄN</t>
        </is>
      </c>
      <c r="E879" t="inlineStr">
        <is>
          <t>ÅNGE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10706-2026</t>
        </is>
      </c>
      <c r="B880" s="1" t="n">
        <v>46078.44876157407</v>
      </c>
      <c r="C880" s="1" t="n">
        <v>46178</v>
      </c>
      <c r="D880" t="inlineStr">
        <is>
          <t>VÄSTERNORRLANDS LÄN</t>
        </is>
      </c>
      <c r="E880" t="inlineStr">
        <is>
          <t>ÅNGE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10708-2026</t>
        </is>
      </c>
      <c r="B881" s="1" t="n">
        <v>46078.44883101852</v>
      </c>
      <c r="C881" s="1" t="n">
        <v>46178</v>
      </c>
      <c r="D881" t="inlineStr">
        <is>
          <t>VÄSTERNORRLANDS LÄN</t>
        </is>
      </c>
      <c r="E881" t="inlineStr">
        <is>
          <t>ÅNGE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10707-2026</t>
        </is>
      </c>
      <c r="B882" s="1" t="n">
        <v>46078.4487962963</v>
      </c>
      <c r="C882" s="1" t="n">
        <v>46178</v>
      </c>
      <c r="D882" t="inlineStr">
        <is>
          <t>VÄSTERNORRLANDS LÄN</t>
        </is>
      </c>
      <c r="E882" t="inlineStr">
        <is>
          <t>ÅNGE</t>
        </is>
      </c>
      <c r="F882" t="inlineStr">
        <is>
          <t>SCA</t>
        </is>
      </c>
      <c r="G882" t="n">
        <v>12.2</v>
      </c>
      <c r="H882" t="n">
        <v>0</v>
      </c>
      <c r="I882" t="n">
        <v>0</v>
      </c>
      <c r="J882" t="n">
        <v>0</v>
      </c>
      <c r="K882" t="n">
        <v>0</v>
      </c>
      <c r="L882" t="n">
        <v>0</v>
      </c>
      <c r="M882" t="n">
        <v>0</v>
      </c>
      <c r="N882" t="n">
        <v>0</v>
      </c>
      <c r="O882" t="n">
        <v>0</v>
      </c>
      <c r="P882" t="n">
        <v>0</v>
      </c>
      <c r="Q882" t="n">
        <v>0</v>
      </c>
      <c r="R882" s="2" t="inlineStr"/>
    </row>
    <row r="883" ht="15" customHeight="1">
      <c r="A883" t="inlineStr">
        <is>
          <t>A 10722-2026</t>
        </is>
      </c>
      <c r="B883" s="1" t="n">
        <v>46078.46929398148</v>
      </c>
      <c r="C883" s="1" t="n">
        <v>46178</v>
      </c>
      <c r="D883" t="inlineStr">
        <is>
          <t>VÄSTERNORRLANDS LÄN</t>
        </is>
      </c>
      <c r="E883" t="inlineStr">
        <is>
          <t>ÅNGE</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10854-2026</t>
        </is>
      </c>
      <c r="B884" s="1" t="n">
        <v>46078.65730324074</v>
      </c>
      <c r="C884" s="1" t="n">
        <v>46178</v>
      </c>
      <c r="D884" t="inlineStr">
        <is>
          <t>VÄSTERNORRLANDS LÄN</t>
        </is>
      </c>
      <c r="E884" t="inlineStr">
        <is>
          <t>ÅNGE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36249-2025</t>
        </is>
      </c>
      <c r="B885" s="1" t="n">
        <v>45867</v>
      </c>
      <c r="C885" s="1" t="n">
        <v>46178</v>
      </c>
      <c r="D885" t="inlineStr">
        <is>
          <t>VÄSTERNORRLANDS LÄN</t>
        </is>
      </c>
      <c r="E885" t="inlineStr">
        <is>
          <t>ÅNGE</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10647-2026</t>
        </is>
      </c>
      <c r="B886" s="1" t="n">
        <v>46078.344375</v>
      </c>
      <c r="C886" s="1" t="n">
        <v>46178</v>
      </c>
      <c r="D886" t="inlineStr">
        <is>
          <t>VÄSTERNORRLANDS LÄN</t>
        </is>
      </c>
      <c r="E886" t="inlineStr">
        <is>
          <t>ÅNGE</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10678-2026</t>
        </is>
      </c>
      <c r="B887" s="1" t="n">
        <v>46078.40769675926</v>
      </c>
      <c r="C887" s="1" t="n">
        <v>46178</v>
      </c>
      <c r="D887" t="inlineStr">
        <is>
          <t>VÄSTERNORRLANDS LÄN</t>
        </is>
      </c>
      <c r="E887" t="inlineStr">
        <is>
          <t>ÅNGE</t>
        </is>
      </c>
      <c r="F887" t="inlineStr">
        <is>
          <t>SCA</t>
        </is>
      </c>
      <c r="G887" t="n">
        <v>19.9</v>
      </c>
      <c r="H887" t="n">
        <v>0</v>
      </c>
      <c r="I887" t="n">
        <v>0</v>
      </c>
      <c r="J887" t="n">
        <v>0</v>
      </c>
      <c r="K887" t="n">
        <v>0</v>
      </c>
      <c r="L887" t="n">
        <v>0</v>
      </c>
      <c r="M887" t="n">
        <v>0</v>
      </c>
      <c r="N887" t="n">
        <v>0</v>
      </c>
      <c r="O887" t="n">
        <v>0</v>
      </c>
      <c r="P887" t="n">
        <v>0</v>
      </c>
      <c r="Q887" t="n">
        <v>0</v>
      </c>
      <c r="R887" s="2" t="inlineStr"/>
    </row>
    <row r="888" ht="15" customHeight="1">
      <c r="A888" t="inlineStr">
        <is>
          <t>A 3256-2024</t>
        </is>
      </c>
      <c r="B888" s="1" t="n">
        <v>45316</v>
      </c>
      <c r="C888" s="1" t="n">
        <v>46178</v>
      </c>
      <c r="D888" t="inlineStr">
        <is>
          <t>VÄSTERNORRLANDS LÄN</t>
        </is>
      </c>
      <c r="E888" t="inlineStr">
        <is>
          <t>ÅNGE</t>
        </is>
      </c>
      <c r="G888" t="n">
        <v>3.7</v>
      </c>
      <c r="H888" t="n">
        <v>0</v>
      </c>
      <c r="I888" t="n">
        <v>0</v>
      </c>
      <c r="J888" t="n">
        <v>0</v>
      </c>
      <c r="K888" t="n">
        <v>0</v>
      </c>
      <c r="L888" t="n">
        <v>0</v>
      </c>
      <c r="M888" t="n">
        <v>0</v>
      </c>
      <c r="N888" t="n">
        <v>0</v>
      </c>
      <c r="O888" t="n">
        <v>0</v>
      </c>
      <c r="P888" t="n">
        <v>0</v>
      </c>
      <c r="Q888" t="n">
        <v>0</v>
      </c>
      <c r="R888" s="2" t="inlineStr"/>
    </row>
    <row r="889" ht="15" customHeight="1">
      <c r="A889" t="inlineStr">
        <is>
          <t>A 49487-2024</t>
        </is>
      </c>
      <c r="B889" s="1" t="n">
        <v>45596.35813657408</v>
      </c>
      <c r="C889" s="1" t="n">
        <v>46178</v>
      </c>
      <c r="D889" t="inlineStr">
        <is>
          <t>VÄSTERNORRLANDS LÄN</t>
        </is>
      </c>
      <c r="E889" t="inlineStr">
        <is>
          <t>ÅNGE</t>
        </is>
      </c>
      <c r="G889" t="n">
        <v>4.3</v>
      </c>
      <c r="H889" t="n">
        <v>0</v>
      </c>
      <c r="I889" t="n">
        <v>0</v>
      </c>
      <c r="J889" t="n">
        <v>0</v>
      </c>
      <c r="K889" t="n">
        <v>0</v>
      </c>
      <c r="L889" t="n">
        <v>0</v>
      </c>
      <c r="M889" t="n">
        <v>0</v>
      </c>
      <c r="N889" t="n">
        <v>0</v>
      </c>
      <c r="O889" t="n">
        <v>0</v>
      </c>
      <c r="P889" t="n">
        <v>0</v>
      </c>
      <c r="Q889" t="n">
        <v>0</v>
      </c>
      <c r="R889" s="2" t="inlineStr"/>
    </row>
    <row r="890" ht="15" customHeight="1">
      <c r="A890" t="inlineStr">
        <is>
          <t>A 37177-2025</t>
        </is>
      </c>
      <c r="B890" s="1" t="n">
        <v>45875.61539351852</v>
      </c>
      <c r="C890" s="1" t="n">
        <v>46178</v>
      </c>
      <c r="D890" t="inlineStr">
        <is>
          <t>VÄSTERNORRLANDS LÄN</t>
        </is>
      </c>
      <c r="E890" t="inlineStr">
        <is>
          <t>ÅNGE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10352-2026</t>
        </is>
      </c>
      <c r="B891" s="1" t="n">
        <v>46076.71934027778</v>
      </c>
      <c r="C891" s="1" t="n">
        <v>46178</v>
      </c>
      <c r="D891" t="inlineStr">
        <is>
          <t>VÄSTERNORRLANDS LÄN</t>
        </is>
      </c>
      <c r="E891" t="inlineStr">
        <is>
          <t>ÅNGE</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10411-2026</t>
        </is>
      </c>
      <c r="B892" s="1" t="n">
        <v>46077.34547453704</v>
      </c>
      <c r="C892" s="1" t="n">
        <v>46178</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10412-2026</t>
        </is>
      </c>
      <c r="B893" s="1" t="n">
        <v>46077.34564814815</v>
      </c>
      <c r="C893" s="1" t="n">
        <v>46178</v>
      </c>
      <c r="D893" t="inlineStr">
        <is>
          <t>VÄSTERNORRLANDS LÄN</t>
        </is>
      </c>
      <c r="E893" t="inlineStr">
        <is>
          <t>ÅNGE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48055-2025</t>
        </is>
      </c>
      <c r="B894" s="1" t="n">
        <v>45932.67922453704</v>
      </c>
      <c r="C894" s="1" t="n">
        <v>46178</v>
      </c>
      <c r="D894" t="inlineStr">
        <is>
          <t>VÄSTERNORRLANDS LÄN</t>
        </is>
      </c>
      <c r="E894" t="inlineStr">
        <is>
          <t>ÅNGE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48069-2025</t>
        </is>
      </c>
      <c r="B895" s="1" t="n">
        <v>45932.69865740741</v>
      </c>
      <c r="C895" s="1" t="n">
        <v>46178</v>
      </c>
      <c r="D895" t="inlineStr">
        <is>
          <t>VÄSTERNORRLANDS LÄN</t>
        </is>
      </c>
      <c r="E895" t="inlineStr">
        <is>
          <t>ÅNGE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10407-2026</t>
        </is>
      </c>
      <c r="B896" s="1" t="n">
        <v>46077.34465277778</v>
      </c>
      <c r="C896" s="1" t="n">
        <v>46178</v>
      </c>
      <c r="D896" t="inlineStr">
        <is>
          <t>VÄSTERNORRLANDS LÄN</t>
        </is>
      </c>
      <c r="E896" t="inlineStr">
        <is>
          <t>ÅNGE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37275-2025</t>
        </is>
      </c>
      <c r="B897" s="1" t="n">
        <v>45876.49003472222</v>
      </c>
      <c r="C897" s="1" t="n">
        <v>46178</v>
      </c>
      <c r="D897" t="inlineStr">
        <is>
          <t>VÄSTERNORRLANDS LÄN</t>
        </is>
      </c>
      <c r="E897" t="inlineStr">
        <is>
          <t>ÅNGE</t>
        </is>
      </c>
      <c r="G897" t="n">
        <v>3.5</v>
      </c>
      <c r="H897" t="n">
        <v>0</v>
      </c>
      <c r="I897" t="n">
        <v>0</v>
      </c>
      <c r="J897" t="n">
        <v>0</v>
      </c>
      <c r="K897" t="n">
        <v>0</v>
      </c>
      <c r="L897" t="n">
        <v>0</v>
      </c>
      <c r="M897" t="n">
        <v>0</v>
      </c>
      <c r="N897" t="n">
        <v>0</v>
      </c>
      <c r="O897" t="n">
        <v>0</v>
      </c>
      <c r="P897" t="n">
        <v>0</v>
      </c>
      <c r="Q897" t="n">
        <v>0</v>
      </c>
      <c r="R897" s="2" t="inlineStr"/>
    </row>
    <row r="898" ht="15" customHeight="1">
      <c r="A898" t="inlineStr">
        <is>
          <t>A 37303-2025</t>
        </is>
      </c>
      <c r="B898" s="1" t="n">
        <v>45876.59445601852</v>
      </c>
      <c r="C898" s="1" t="n">
        <v>46178</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10705-2026</t>
        </is>
      </c>
      <c r="B899" s="1" t="n">
        <v>46078.44865740741</v>
      </c>
      <c r="C899" s="1" t="n">
        <v>46178</v>
      </c>
      <c r="D899" t="inlineStr">
        <is>
          <t>VÄSTERNORRLANDS LÄN</t>
        </is>
      </c>
      <c r="E899" t="inlineStr">
        <is>
          <t>ÅNGE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37233-2025</t>
        </is>
      </c>
      <c r="B900" s="1" t="n">
        <v>45876.34474537037</v>
      </c>
      <c r="C900" s="1" t="n">
        <v>46178</v>
      </c>
      <c r="D900" t="inlineStr">
        <is>
          <t>VÄSTERNORRLANDS LÄN</t>
        </is>
      </c>
      <c r="E900" t="inlineStr">
        <is>
          <t>ÅNGE</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10777-2026</t>
        </is>
      </c>
      <c r="B901" s="1" t="n">
        <v>46078.57386574074</v>
      </c>
      <c r="C901" s="1" t="n">
        <v>46178</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37384-2025</t>
        </is>
      </c>
      <c r="B902" s="1" t="n">
        <v>45877.3859837963</v>
      </c>
      <c r="C902" s="1" t="n">
        <v>46178</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48679-2025</t>
        </is>
      </c>
      <c r="B903" s="1" t="n">
        <v>45936.59196759259</v>
      </c>
      <c r="C903" s="1" t="n">
        <v>46178</v>
      </c>
      <c r="D903" t="inlineStr">
        <is>
          <t>VÄSTERNORRLANDS LÄN</t>
        </is>
      </c>
      <c r="E903" t="inlineStr">
        <is>
          <t>ÅNGE</t>
        </is>
      </c>
      <c r="G903" t="n">
        <v>2.1</v>
      </c>
      <c r="H903" t="n">
        <v>0</v>
      </c>
      <c r="I903" t="n">
        <v>0</v>
      </c>
      <c r="J903" t="n">
        <v>0</v>
      </c>
      <c r="K903" t="n">
        <v>0</v>
      </c>
      <c r="L903" t="n">
        <v>0</v>
      </c>
      <c r="M903" t="n">
        <v>0</v>
      </c>
      <c r="N903" t="n">
        <v>0</v>
      </c>
      <c r="O903" t="n">
        <v>0</v>
      </c>
      <c r="P903" t="n">
        <v>0</v>
      </c>
      <c r="Q903" t="n">
        <v>0</v>
      </c>
      <c r="R903" s="2" t="inlineStr"/>
    </row>
    <row r="904" ht="15" customHeight="1">
      <c r="A904" t="inlineStr">
        <is>
          <t>A 10749-2026</t>
        </is>
      </c>
      <c r="B904" s="1" t="n">
        <v>46078.53174768519</v>
      </c>
      <c r="C904" s="1" t="n">
        <v>46178</v>
      </c>
      <c r="D904" t="inlineStr">
        <is>
          <t>VÄSTERNORRLANDS LÄN</t>
        </is>
      </c>
      <c r="E904" t="inlineStr">
        <is>
          <t>ÅNGE</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10878-2026</t>
        </is>
      </c>
      <c r="B905" s="1" t="n">
        <v>46078.71934027778</v>
      </c>
      <c r="C905" s="1" t="n">
        <v>46178</v>
      </c>
      <c r="D905" t="inlineStr">
        <is>
          <t>VÄSTERNORRLANDS LÄN</t>
        </is>
      </c>
      <c r="E905" t="inlineStr">
        <is>
          <t>ÅNGE</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10409-2026</t>
        </is>
      </c>
      <c r="B906" s="1" t="n">
        <v>46077.34508101852</v>
      </c>
      <c r="C906" s="1" t="n">
        <v>46178</v>
      </c>
      <c r="D906" t="inlineStr">
        <is>
          <t>VÄSTERNORRLANDS LÄN</t>
        </is>
      </c>
      <c r="E906" t="inlineStr">
        <is>
          <t>ÅNGE</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10657-2026</t>
        </is>
      </c>
      <c r="B907" s="1" t="n">
        <v>46078.36505787037</v>
      </c>
      <c r="C907" s="1" t="n">
        <v>46178</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11075-2026</t>
        </is>
      </c>
      <c r="B908" s="1" t="n">
        <v>46079.61521990741</v>
      </c>
      <c r="C908" s="1" t="n">
        <v>46178</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37371-2025</t>
        </is>
      </c>
      <c r="B909" s="1" t="n">
        <v>45877.34472222222</v>
      </c>
      <c r="C909" s="1" t="n">
        <v>46178</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57287-2022</t>
        </is>
      </c>
      <c r="B910" s="1" t="n">
        <v>44895.95</v>
      </c>
      <c r="C910" s="1" t="n">
        <v>46178</v>
      </c>
      <c r="D910" t="inlineStr">
        <is>
          <t>VÄSTERNORRLANDS LÄN</t>
        </is>
      </c>
      <c r="E910" t="inlineStr">
        <is>
          <t>ÅNGE</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11159-2026</t>
        </is>
      </c>
      <c r="B911" s="1" t="n">
        <v>46080</v>
      </c>
      <c r="C911" s="1" t="n">
        <v>46178</v>
      </c>
      <c r="D911" t="inlineStr">
        <is>
          <t>VÄSTERNORRLANDS LÄN</t>
        </is>
      </c>
      <c r="E911" t="inlineStr">
        <is>
          <t>ÅNGE</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37383-2025</t>
        </is>
      </c>
      <c r="B912" s="1" t="n">
        <v>45877.38581018519</v>
      </c>
      <c r="C912" s="1" t="n">
        <v>46178</v>
      </c>
      <c r="D912" t="inlineStr">
        <is>
          <t>VÄSTERNORRLANDS LÄN</t>
        </is>
      </c>
      <c r="E912" t="inlineStr">
        <is>
          <t>ÅNGE</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37719-2025</t>
        </is>
      </c>
      <c r="B913" s="1" t="n">
        <v>45880.61505787037</v>
      </c>
      <c r="C913" s="1" t="n">
        <v>46178</v>
      </c>
      <c r="D913" t="inlineStr">
        <is>
          <t>VÄSTERNORRLANDS LÄN</t>
        </is>
      </c>
      <c r="E913" t="inlineStr">
        <is>
          <t>ÅNGE</t>
        </is>
      </c>
      <c r="G913" t="n">
        <v>1.7</v>
      </c>
      <c r="H913" t="n">
        <v>0</v>
      </c>
      <c r="I913" t="n">
        <v>0</v>
      </c>
      <c r="J913" t="n">
        <v>0</v>
      </c>
      <c r="K913" t="n">
        <v>0</v>
      </c>
      <c r="L913" t="n">
        <v>0</v>
      </c>
      <c r="M913" t="n">
        <v>0</v>
      </c>
      <c r="N913" t="n">
        <v>0</v>
      </c>
      <c r="O913" t="n">
        <v>0</v>
      </c>
      <c r="P913" t="n">
        <v>0</v>
      </c>
      <c r="Q913" t="n">
        <v>0</v>
      </c>
      <c r="R913" s="2" t="inlineStr"/>
    </row>
    <row r="914" ht="15" customHeight="1">
      <c r="A914" t="inlineStr">
        <is>
          <t>A 1090-2023</t>
        </is>
      </c>
      <c r="B914" s="1" t="n">
        <v>44929</v>
      </c>
      <c r="C914" s="1" t="n">
        <v>46178</v>
      </c>
      <c r="D914" t="inlineStr">
        <is>
          <t>VÄSTERNORRLANDS LÄN</t>
        </is>
      </c>
      <c r="E914" t="inlineStr">
        <is>
          <t>ÅNGE</t>
        </is>
      </c>
      <c r="G914" t="n">
        <v>0.7</v>
      </c>
      <c r="H914" t="n">
        <v>0</v>
      </c>
      <c r="I914" t="n">
        <v>0</v>
      </c>
      <c r="J914" t="n">
        <v>0</v>
      </c>
      <c r="K914" t="n">
        <v>0</v>
      </c>
      <c r="L914" t="n">
        <v>0</v>
      </c>
      <c r="M914" t="n">
        <v>0</v>
      </c>
      <c r="N914" t="n">
        <v>0</v>
      </c>
      <c r="O914" t="n">
        <v>0</v>
      </c>
      <c r="P914" t="n">
        <v>0</v>
      </c>
      <c r="Q914" t="n">
        <v>0</v>
      </c>
      <c r="R914" s="2" t="inlineStr"/>
    </row>
    <row r="915" ht="15" customHeight="1">
      <c r="A915" t="inlineStr">
        <is>
          <t>A 1116-2023</t>
        </is>
      </c>
      <c r="B915" s="1" t="n">
        <v>44929</v>
      </c>
      <c r="C915" s="1" t="n">
        <v>46178</v>
      </c>
      <c r="D915" t="inlineStr">
        <is>
          <t>VÄSTERNORRLANDS LÄN</t>
        </is>
      </c>
      <c r="E915" t="inlineStr">
        <is>
          <t>ÅNGE</t>
        </is>
      </c>
      <c r="G915" t="n">
        <v>17.2</v>
      </c>
      <c r="H915" t="n">
        <v>0</v>
      </c>
      <c r="I915" t="n">
        <v>0</v>
      </c>
      <c r="J915" t="n">
        <v>0</v>
      </c>
      <c r="K915" t="n">
        <v>0</v>
      </c>
      <c r="L915" t="n">
        <v>0</v>
      </c>
      <c r="M915" t="n">
        <v>0</v>
      </c>
      <c r="N915" t="n">
        <v>0</v>
      </c>
      <c r="O915" t="n">
        <v>0</v>
      </c>
      <c r="P915" t="n">
        <v>0</v>
      </c>
      <c r="Q915" t="n">
        <v>0</v>
      </c>
      <c r="R915" s="2" t="inlineStr"/>
    </row>
    <row r="916" ht="15" customHeight="1">
      <c r="A916" t="inlineStr">
        <is>
          <t>A 51609-2023</t>
        </is>
      </c>
      <c r="B916" s="1" t="n">
        <v>45215</v>
      </c>
      <c r="C916" s="1" t="n">
        <v>46178</v>
      </c>
      <c r="D916" t="inlineStr">
        <is>
          <t>VÄSTERNORRLANDS LÄN</t>
        </is>
      </c>
      <c r="E916" t="inlineStr">
        <is>
          <t>ÅNGE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27661-2024</t>
        </is>
      </c>
      <c r="B917" s="1" t="n">
        <v>45474.95365740741</v>
      </c>
      <c r="C917" s="1" t="n">
        <v>46178</v>
      </c>
      <c r="D917" t="inlineStr">
        <is>
          <t>VÄSTERNORRLANDS LÄN</t>
        </is>
      </c>
      <c r="E917" t="inlineStr">
        <is>
          <t>ÅNGE</t>
        </is>
      </c>
      <c r="F917" t="inlineStr">
        <is>
          <t>SCA</t>
        </is>
      </c>
      <c r="G917" t="n">
        <v>19.1</v>
      </c>
      <c r="H917" t="n">
        <v>0</v>
      </c>
      <c r="I917" t="n">
        <v>0</v>
      </c>
      <c r="J917" t="n">
        <v>0</v>
      </c>
      <c r="K917" t="n">
        <v>0</v>
      </c>
      <c r="L917" t="n">
        <v>0</v>
      </c>
      <c r="M917" t="n">
        <v>0</v>
      </c>
      <c r="N917" t="n">
        <v>0</v>
      </c>
      <c r="O917" t="n">
        <v>0</v>
      </c>
      <c r="P917" t="n">
        <v>0</v>
      </c>
      <c r="Q917" t="n">
        <v>0</v>
      </c>
      <c r="R917" s="2" t="inlineStr"/>
    </row>
    <row r="918" ht="15" customHeight="1">
      <c r="A918" t="inlineStr">
        <is>
          <t>A 27668-2024</t>
        </is>
      </c>
      <c r="B918" s="1" t="n">
        <v>45474.95435185185</v>
      </c>
      <c r="C918" s="1" t="n">
        <v>46178</v>
      </c>
      <c r="D918" t="inlineStr">
        <is>
          <t>VÄSTERNORRLANDS LÄN</t>
        </is>
      </c>
      <c r="E918" t="inlineStr">
        <is>
          <t>ÅNGE</t>
        </is>
      </c>
      <c r="F918" t="inlineStr">
        <is>
          <t>SCA</t>
        </is>
      </c>
      <c r="G918" t="n">
        <v>5.5</v>
      </c>
      <c r="H918" t="n">
        <v>0</v>
      </c>
      <c r="I918" t="n">
        <v>0</v>
      </c>
      <c r="J918" t="n">
        <v>0</v>
      </c>
      <c r="K918" t="n">
        <v>0</v>
      </c>
      <c r="L918" t="n">
        <v>0</v>
      </c>
      <c r="M918" t="n">
        <v>0</v>
      </c>
      <c r="N918" t="n">
        <v>0</v>
      </c>
      <c r="O918" t="n">
        <v>0</v>
      </c>
      <c r="P918" t="n">
        <v>0</v>
      </c>
      <c r="Q918" t="n">
        <v>0</v>
      </c>
      <c r="R918" s="2" t="inlineStr"/>
    </row>
    <row r="919" ht="15" customHeight="1">
      <c r="A919" t="inlineStr">
        <is>
          <t>A 49562-2025</t>
        </is>
      </c>
      <c r="B919" s="1" t="n">
        <v>45939.46524305556</v>
      </c>
      <c r="C919" s="1" t="n">
        <v>46178</v>
      </c>
      <c r="D919" t="inlineStr">
        <is>
          <t>VÄSTERNORRLANDS LÄN</t>
        </is>
      </c>
      <c r="E919" t="inlineStr">
        <is>
          <t>ÅNGE</t>
        </is>
      </c>
      <c r="G919" t="n">
        <v>4.4</v>
      </c>
      <c r="H919" t="n">
        <v>0</v>
      </c>
      <c r="I919" t="n">
        <v>0</v>
      </c>
      <c r="J919" t="n">
        <v>0</v>
      </c>
      <c r="K919" t="n">
        <v>0</v>
      </c>
      <c r="L919" t="n">
        <v>0</v>
      </c>
      <c r="M919" t="n">
        <v>0</v>
      </c>
      <c r="N919" t="n">
        <v>0</v>
      </c>
      <c r="O919" t="n">
        <v>0</v>
      </c>
      <c r="P919" t="n">
        <v>0</v>
      </c>
      <c r="Q919" t="n">
        <v>0</v>
      </c>
      <c r="R919" s="2" t="inlineStr"/>
    </row>
    <row r="920" ht="15" customHeight="1">
      <c r="A920" t="inlineStr">
        <is>
          <t>A 12021-2022</t>
        </is>
      </c>
      <c r="B920" s="1" t="n">
        <v>44635</v>
      </c>
      <c r="C920" s="1" t="n">
        <v>46178</v>
      </c>
      <c r="D920" t="inlineStr">
        <is>
          <t>VÄSTERNORRLANDS LÄN</t>
        </is>
      </c>
      <c r="E920" t="inlineStr">
        <is>
          <t>ÅNGE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11157-2026</t>
        </is>
      </c>
      <c r="B921" s="1" t="n">
        <v>46080.34425925926</v>
      </c>
      <c r="C921" s="1" t="n">
        <v>46178</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37663-2025</t>
        </is>
      </c>
      <c r="B922" s="1" t="n">
        <v>45880.51079861111</v>
      </c>
      <c r="C922" s="1" t="n">
        <v>46178</v>
      </c>
      <c r="D922" t="inlineStr">
        <is>
          <t>VÄSTERNORRLANDS LÄN</t>
        </is>
      </c>
      <c r="E922" t="inlineStr">
        <is>
          <t>ÅNGE</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11054-2026</t>
        </is>
      </c>
      <c r="B923" s="1" t="n">
        <v>46079.59443287037</v>
      </c>
      <c r="C923" s="1" t="n">
        <v>46178</v>
      </c>
      <c r="D923" t="inlineStr">
        <is>
          <t>VÄSTERNORRLANDS LÄN</t>
        </is>
      </c>
      <c r="E923" t="inlineStr">
        <is>
          <t>ÅNGE</t>
        </is>
      </c>
      <c r="F923" t="inlineStr">
        <is>
          <t>SCA</t>
        </is>
      </c>
      <c r="G923" t="n">
        <v>26.2</v>
      </c>
      <c r="H923" t="n">
        <v>0</v>
      </c>
      <c r="I923" t="n">
        <v>0</v>
      </c>
      <c r="J923" t="n">
        <v>0</v>
      </c>
      <c r="K923" t="n">
        <v>0</v>
      </c>
      <c r="L923" t="n">
        <v>0</v>
      </c>
      <c r="M923" t="n">
        <v>0</v>
      </c>
      <c r="N923" t="n">
        <v>0</v>
      </c>
      <c r="O923" t="n">
        <v>0</v>
      </c>
      <c r="P923" t="n">
        <v>0</v>
      </c>
      <c r="Q923" t="n">
        <v>0</v>
      </c>
      <c r="R923" s="2" t="inlineStr"/>
    </row>
    <row r="924" ht="15" customHeight="1">
      <c r="A924" t="inlineStr">
        <is>
          <t>A 5492-2026</t>
        </is>
      </c>
      <c r="B924" s="1" t="n">
        <v>46050</v>
      </c>
      <c r="C924" s="1" t="n">
        <v>46178</v>
      </c>
      <c r="D924" t="inlineStr">
        <is>
          <t>VÄSTERNORRLANDS LÄN</t>
        </is>
      </c>
      <c r="E924" t="inlineStr">
        <is>
          <t>ÅNGE</t>
        </is>
      </c>
      <c r="G924" t="n">
        <v>11.3</v>
      </c>
      <c r="H924" t="n">
        <v>0</v>
      </c>
      <c r="I924" t="n">
        <v>0</v>
      </c>
      <c r="J924" t="n">
        <v>0</v>
      </c>
      <c r="K924" t="n">
        <v>0</v>
      </c>
      <c r="L924" t="n">
        <v>0</v>
      </c>
      <c r="M924" t="n">
        <v>0</v>
      </c>
      <c r="N924" t="n">
        <v>0</v>
      </c>
      <c r="O924" t="n">
        <v>0</v>
      </c>
      <c r="P924" t="n">
        <v>0</v>
      </c>
      <c r="Q924" t="n">
        <v>0</v>
      </c>
      <c r="R924" s="2" t="inlineStr"/>
    </row>
    <row r="925" ht="15" customHeight="1">
      <c r="A925" t="inlineStr">
        <is>
          <t>A 11158-2026</t>
        </is>
      </c>
      <c r="B925" s="1" t="n">
        <v>46080</v>
      </c>
      <c r="C925" s="1" t="n">
        <v>46178</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11256-2026</t>
        </is>
      </c>
      <c r="B926" s="1" t="n">
        <v>46080</v>
      </c>
      <c r="C926" s="1" t="n">
        <v>46178</v>
      </c>
      <c r="D926" t="inlineStr">
        <is>
          <t>VÄSTERNORRLANDS LÄN</t>
        </is>
      </c>
      <c r="E926" t="inlineStr">
        <is>
          <t>ÅNGE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11271-2026</t>
        </is>
      </c>
      <c r="B927" s="1" t="n">
        <v>46080.57349537037</v>
      </c>
      <c r="C927" s="1" t="n">
        <v>46178</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37723-2025</t>
        </is>
      </c>
      <c r="B928" s="1" t="n">
        <v>45880.61528935185</v>
      </c>
      <c r="C928" s="1" t="n">
        <v>46178</v>
      </c>
      <c r="D928" t="inlineStr">
        <is>
          <t>VÄSTERNORRLANDS LÄN</t>
        </is>
      </c>
      <c r="E928" t="inlineStr">
        <is>
          <t>ÅNGE</t>
        </is>
      </c>
      <c r="G928" t="n">
        <v>3</v>
      </c>
      <c r="H928" t="n">
        <v>0</v>
      </c>
      <c r="I928" t="n">
        <v>0</v>
      </c>
      <c r="J928" t="n">
        <v>0</v>
      </c>
      <c r="K928" t="n">
        <v>0</v>
      </c>
      <c r="L928" t="n">
        <v>0</v>
      </c>
      <c r="M928" t="n">
        <v>0</v>
      </c>
      <c r="N928" t="n">
        <v>0</v>
      </c>
      <c r="O928" t="n">
        <v>0</v>
      </c>
      <c r="P928" t="n">
        <v>0</v>
      </c>
      <c r="Q928" t="n">
        <v>0</v>
      </c>
      <c r="R928" s="2" t="inlineStr"/>
    </row>
    <row r="929" ht="15" customHeight="1">
      <c r="A929" t="inlineStr">
        <is>
          <t>A 34726-2024</t>
        </is>
      </c>
      <c r="B929" s="1" t="n">
        <v>45526.5733912037</v>
      </c>
      <c r="C929" s="1" t="n">
        <v>46178</v>
      </c>
      <c r="D929" t="inlineStr">
        <is>
          <t>VÄSTERNORRLANDS LÄN</t>
        </is>
      </c>
      <c r="E929" t="inlineStr">
        <is>
          <t>ÅNGE</t>
        </is>
      </c>
      <c r="G929" t="n">
        <v>1.9</v>
      </c>
      <c r="H929" t="n">
        <v>0</v>
      </c>
      <c r="I929" t="n">
        <v>0</v>
      </c>
      <c r="J929" t="n">
        <v>0</v>
      </c>
      <c r="K929" t="n">
        <v>0</v>
      </c>
      <c r="L929" t="n">
        <v>0</v>
      </c>
      <c r="M929" t="n">
        <v>0</v>
      </c>
      <c r="N929" t="n">
        <v>0</v>
      </c>
      <c r="O929" t="n">
        <v>0</v>
      </c>
      <c r="P929" t="n">
        <v>0</v>
      </c>
      <c r="Q929" t="n">
        <v>0</v>
      </c>
      <c r="R929" s="2" t="inlineStr"/>
    </row>
    <row r="930" ht="15" customHeight="1">
      <c r="A930" t="inlineStr">
        <is>
          <t>A 49377-2025</t>
        </is>
      </c>
      <c r="B930" s="1" t="n">
        <v>45938.63626157407</v>
      </c>
      <c r="C930" s="1" t="n">
        <v>46178</v>
      </c>
      <c r="D930" t="inlineStr">
        <is>
          <t>VÄSTERNORRLANDS LÄN</t>
        </is>
      </c>
      <c r="E930" t="inlineStr">
        <is>
          <t>ÅNGE</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11743-2026</t>
        </is>
      </c>
      <c r="B931" s="1" t="n">
        <v>46084.65674768519</v>
      </c>
      <c r="C931" s="1" t="n">
        <v>46178</v>
      </c>
      <c r="D931" t="inlineStr">
        <is>
          <t>VÄSTERNORRLANDS LÄN</t>
        </is>
      </c>
      <c r="E931" t="inlineStr">
        <is>
          <t>ÅNGE</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11645-2026</t>
        </is>
      </c>
      <c r="B932" s="1" t="n">
        <v>46084.51116898148</v>
      </c>
      <c r="C932" s="1" t="n">
        <v>46178</v>
      </c>
      <c r="D932" t="inlineStr">
        <is>
          <t>VÄSTERNORRLANDS LÄN</t>
        </is>
      </c>
      <c r="E932" t="inlineStr">
        <is>
          <t>ÅNGE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11644-2026</t>
        </is>
      </c>
      <c r="B933" s="1" t="n">
        <v>46084.5109375</v>
      </c>
      <c r="C933" s="1" t="n">
        <v>46178</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11744-2026</t>
        </is>
      </c>
      <c r="B934" s="1" t="n">
        <v>46084.65695601852</v>
      </c>
      <c r="C934" s="1" t="n">
        <v>46178</v>
      </c>
      <c r="D934" t="inlineStr">
        <is>
          <t>VÄSTERNORRLANDS LÄN</t>
        </is>
      </c>
      <c r="E934" t="inlineStr">
        <is>
          <t>ÅNGE</t>
        </is>
      </c>
      <c r="F934" t="inlineStr">
        <is>
          <t>SCA</t>
        </is>
      </c>
      <c r="G934" t="n">
        <v>8.9</v>
      </c>
      <c r="H934" t="n">
        <v>0</v>
      </c>
      <c r="I934" t="n">
        <v>0</v>
      </c>
      <c r="J934" t="n">
        <v>0</v>
      </c>
      <c r="K934" t="n">
        <v>0</v>
      </c>
      <c r="L934" t="n">
        <v>0</v>
      </c>
      <c r="M934" t="n">
        <v>0</v>
      </c>
      <c r="N934" t="n">
        <v>0</v>
      </c>
      <c r="O934" t="n">
        <v>0</v>
      </c>
      <c r="P934" t="n">
        <v>0</v>
      </c>
      <c r="Q934" t="n">
        <v>0</v>
      </c>
      <c r="R934" s="2" t="inlineStr"/>
    </row>
    <row r="935" ht="15" customHeight="1">
      <c r="A935" t="inlineStr">
        <is>
          <t>A 35399-2024</t>
        </is>
      </c>
      <c r="B935" s="1" t="n">
        <v>45531.40438657408</v>
      </c>
      <c r="C935" s="1" t="n">
        <v>46178</v>
      </c>
      <c r="D935" t="inlineStr">
        <is>
          <t>VÄSTERNORRLANDS LÄN</t>
        </is>
      </c>
      <c r="E935" t="inlineStr">
        <is>
          <t>ÅNGE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49156-2025</t>
        </is>
      </c>
      <c r="B936" s="1" t="n">
        <v>45938.3458912037</v>
      </c>
      <c r="C936" s="1" t="n">
        <v>46178</v>
      </c>
      <c r="D936" t="inlineStr">
        <is>
          <t>VÄSTERNORRLANDS LÄN</t>
        </is>
      </c>
      <c r="E936" t="inlineStr">
        <is>
          <t>ÅNGE</t>
        </is>
      </c>
      <c r="G936" t="n">
        <v>2.3</v>
      </c>
      <c r="H936" t="n">
        <v>0</v>
      </c>
      <c r="I936" t="n">
        <v>0</v>
      </c>
      <c r="J936" t="n">
        <v>0</v>
      </c>
      <c r="K936" t="n">
        <v>0</v>
      </c>
      <c r="L936" t="n">
        <v>0</v>
      </c>
      <c r="M936" t="n">
        <v>0</v>
      </c>
      <c r="N936" t="n">
        <v>0</v>
      </c>
      <c r="O936" t="n">
        <v>0</v>
      </c>
      <c r="P936" t="n">
        <v>0</v>
      </c>
      <c r="Q936" t="n">
        <v>0</v>
      </c>
      <c r="R936" s="2" t="inlineStr"/>
    </row>
    <row r="937" ht="15" customHeight="1">
      <c r="A937" t="inlineStr">
        <is>
          <t>A 11461-2026</t>
        </is>
      </c>
      <c r="B937" s="1" t="n">
        <v>46083.57335648148</v>
      </c>
      <c r="C937" s="1" t="n">
        <v>46178</v>
      </c>
      <c r="D937" t="inlineStr">
        <is>
          <t>VÄSTERNORRLANDS LÄN</t>
        </is>
      </c>
      <c r="E937" t="inlineStr">
        <is>
          <t>ÅNGE</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20110-2023</t>
        </is>
      </c>
      <c r="B938" s="1" t="n">
        <v>45051</v>
      </c>
      <c r="C938" s="1" t="n">
        <v>46178</v>
      </c>
      <c r="D938" t="inlineStr">
        <is>
          <t>VÄSTERNORRLANDS LÄN</t>
        </is>
      </c>
      <c r="E938" t="inlineStr">
        <is>
          <t>ÅNGE</t>
        </is>
      </c>
      <c r="G938" t="n">
        <v>2.5</v>
      </c>
      <c r="H938" t="n">
        <v>0</v>
      </c>
      <c r="I938" t="n">
        <v>0</v>
      </c>
      <c r="J938" t="n">
        <v>0</v>
      </c>
      <c r="K938" t="n">
        <v>0</v>
      </c>
      <c r="L938" t="n">
        <v>0</v>
      </c>
      <c r="M938" t="n">
        <v>0</v>
      </c>
      <c r="N938" t="n">
        <v>0</v>
      </c>
      <c r="O938" t="n">
        <v>0</v>
      </c>
      <c r="P938" t="n">
        <v>0</v>
      </c>
      <c r="Q938" t="n">
        <v>0</v>
      </c>
      <c r="R938" s="2" t="inlineStr"/>
    </row>
    <row r="939" ht="15" customHeight="1">
      <c r="A939" t="inlineStr">
        <is>
          <t>A 38078-2025</t>
        </is>
      </c>
      <c r="B939" s="1" t="n">
        <v>45882.46918981482</v>
      </c>
      <c r="C939" s="1" t="n">
        <v>46178</v>
      </c>
      <c r="D939" t="inlineStr">
        <is>
          <t>VÄSTERNORRLANDS LÄN</t>
        </is>
      </c>
      <c r="E939" t="inlineStr">
        <is>
          <t>ÅNGE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18112-2025</t>
        </is>
      </c>
      <c r="B940" s="1" t="n">
        <v>45761.57350694444</v>
      </c>
      <c r="C940" s="1" t="n">
        <v>46178</v>
      </c>
      <c r="D940" t="inlineStr">
        <is>
          <t>VÄSTERNORRLANDS LÄN</t>
        </is>
      </c>
      <c r="E940" t="inlineStr">
        <is>
          <t>ÅNGE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49603-2025</t>
        </is>
      </c>
      <c r="B941" s="1" t="n">
        <v>45939.5484375</v>
      </c>
      <c r="C941" s="1" t="n">
        <v>46178</v>
      </c>
      <c r="D941" t="inlineStr">
        <is>
          <t>VÄSTERNORRLANDS LÄN</t>
        </is>
      </c>
      <c r="E941" t="inlineStr">
        <is>
          <t>ÅNGE</t>
        </is>
      </c>
      <c r="G941" t="n">
        <v>1</v>
      </c>
      <c r="H941" t="n">
        <v>0</v>
      </c>
      <c r="I941" t="n">
        <v>0</v>
      </c>
      <c r="J941" t="n">
        <v>0</v>
      </c>
      <c r="K941" t="n">
        <v>0</v>
      </c>
      <c r="L941" t="n">
        <v>0</v>
      </c>
      <c r="M941" t="n">
        <v>0</v>
      </c>
      <c r="N941" t="n">
        <v>0</v>
      </c>
      <c r="O941" t="n">
        <v>0</v>
      </c>
      <c r="P941" t="n">
        <v>0</v>
      </c>
      <c r="Q941" t="n">
        <v>0</v>
      </c>
      <c r="R941" s="2" t="inlineStr"/>
    </row>
    <row r="942" ht="15" customHeight="1">
      <c r="A942" t="inlineStr">
        <is>
          <t>A 11564-2026</t>
        </is>
      </c>
      <c r="B942" s="1" t="n">
        <v>46084.36503472222</v>
      </c>
      <c r="C942" s="1" t="n">
        <v>46178</v>
      </c>
      <c r="D942" t="inlineStr">
        <is>
          <t>VÄSTERNORRLANDS LÄN</t>
        </is>
      </c>
      <c r="E942" t="inlineStr">
        <is>
          <t>ÅNGE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49381-2025</t>
        </is>
      </c>
      <c r="B943" s="1" t="n">
        <v>45938.63694444444</v>
      </c>
      <c r="C943" s="1" t="n">
        <v>46178</v>
      </c>
      <c r="D943" t="inlineStr">
        <is>
          <t>VÄSTERNORRLANDS LÄN</t>
        </is>
      </c>
      <c r="E943" t="inlineStr">
        <is>
          <t>ÅNGE</t>
        </is>
      </c>
      <c r="F943" t="inlineStr">
        <is>
          <t>SCA</t>
        </is>
      </c>
      <c r="G943" t="n">
        <v>20.6</v>
      </c>
      <c r="H943" t="n">
        <v>0</v>
      </c>
      <c r="I943" t="n">
        <v>0</v>
      </c>
      <c r="J943" t="n">
        <v>0</v>
      </c>
      <c r="K943" t="n">
        <v>0</v>
      </c>
      <c r="L943" t="n">
        <v>0</v>
      </c>
      <c r="M943" t="n">
        <v>0</v>
      </c>
      <c r="N943" t="n">
        <v>0</v>
      </c>
      <c r="O943" t="n">
        <v>0</v>
      </c>
      <c r="P943" t="n">
        <v>0</v>
      </c>
      <c r="Q943" t="n">
        <v>0</v>
      </c>
      <c r="R943" s="2" t="inlineStr"/>
    </row>
    <row r="944" ht="15" customHeight="1">
      <c r="A944" t="inlineStr">
        <is>
          <t>A 38332-2025</t>
        </is>
      </c>
      <c r="B944" s="1" t="n">
        <v>45883.49151620371</v>
      </c>
      <c r="C944" s="1" t="n">
        <v>46178</v>
      </c>
      <c r="D944" t="inlineStr">
        <is>
          <t>VÄSTERNORRLANDS LÄN</t>
        </is>
      </c>
      <c r="E944" t="inlineStr">
        <is>
          <t>ÅNGE</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49566-2025</t>
        </is>
      </c>
      <c r="B945" s="1" t="n">
        <v>45939.46939814815</v>
      </c>
      <c r="C945" s="1" t="n">
        <v>46178</v>
      </c>
      <c r="D945" t="inlineStr">
        <is>
          <t>VÄSTERNORRLANDS LÄN</t>
        </is>
      </c>
      <c r="E945" t="inlineStr">
        <is>
          <t>ÅNGE</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49476-2025</t>
        </is>
      </c>
      <c r="B946" s="1" t="n">
        <v>45939.34506944445</v>
      </c>
      <c r="C946" s="1" t="n">
        <v>46178</v>
      </c>
      <c r="D946" t="inlineStr">
        <is>
          <t>VÄSTERNORRLANDS LÄN</t>
        </is>
      </c>
      <c r="E946" t="inlineStr">
        <is>
          <t>ÅNGE</t>
        </is>
      </c>
      <c r="F946" t="inlineStr">
        <is>
          <t>SCA</t>
        </is>
      </c>
      <c r="G946" t="n">
        <v>11.4</v>
      </c>
      <c r="H946" t="n">
        <v>0</v>
      </c>
      <c r="I946" t="n">
        <v>0</v>
      </c>
      <c r="J946" t="n">
        <v>0</v>
      </c>
      <c r="K946" t="n">
        <v>0</v>
      </c>
      <c r="L946" t="n">
        <v>0</v>
      </c>
      <c r="M946" t="n">
        <v>0</v>
      </c>
      <c r="N946" t="n">
        <v>0</v>
      </c>
      <c r="O946" t="n">
        <v>0</v>
      </c>
      <c r="P946" t="n">
        <v>0</v>
      </c>
      <c r="Q946" t="n">
        <v>0</v>
      </c>
      <c r="R946" s="2" t="inlineStr"/>
    </row>
    <row r="947" ht="15" customHeight="1">
      <c r="A947" t="inlineStr">
        <is>
          <t>A 38386-2025</t>
        </is>
      </c>
      <c r="B947" s="1" t="n">
        <v>45883.57430555556</v>
      </c>
      <c r="C947" s="1" t="n">
        <v>46178</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49600-2025</t>
        </is>
      </c>
      <c r="B948" s="1" t="n">
        <v>45939.54434027777</v>
      </c>
      <c r="C948" s="1" t="n">
        <v>46178</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11472-2026</t>
        </is>
      </c>
      <c r="B949" s="1" t="n">
        <v>46083.59460648148</v>
      </c>
      <c r="C949" s="1" t="n">
        <v>46178</v>
      </c>
      <c r="D949" t="inlineStr">
        <is>
          <t>VÄSTERNORRLANDS LÄN</t>
        </is>
      </c>
      <c r="E949" t="inlineStr">
        <is>
          <t>ÅNGE</t>
        </is>
      </c>
      <c r="F949" t="inlineStr">
        <is>
          <t>SCA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11473-2026</t>
        </is>
      </c>
      <c r="B950" s="1" t="n">
        <v>46083.59467592592</v>
      </c>
      <c r="C950" s="1" t="n">
        <v>46178</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34815-2024</t>
        </is>
      </c>
      <c r="B951" s="1" t="n">
        <v>45526.70732638889</v>
      </c>
      <c r="C951" s="1" t="n">
        <v>46178</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37919-2025</t>
        </is>
      </c>
      <c r="B952" s="1" t="n">
        <v>45881.57478009259</v>
      </c>
      <c r="C952" s="1" t="n">
        <v>46178</v>
      </c>
      <c r="D952" t="inlineStr">
        <is>
          <t>VÄSTERNORRLANDS LÄN</t>
        </is>
      </c>
      <c r="E952" t="inlineStr">
        <is>
          <t>ÅNGE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12176-2026</t>
        </is>
      </c>
      <c r="B953" s="1" t="n">
        <v>46086.67760416667</v>
      </c>
      <c r="C953" s="1" t="n">
        <v>46178</v>
      </c>
      <c r="D953" t="inlineStr">
        <is>
          <t>VÄSTERNORRLANDS LÄN</t>
        </is>
      </c>
      <c r="E953" t="inlineStr">
        <is>
          <t>ÅNGE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11924-2026</t>
        </is>
      </c>
      <c r="B954" s="1" t="n">
        <v>46085.5734837963</v>
      </c>
      <c r="C954" s="1" t="n">
        <v>46178</v>
      </c>
      <c r="D954" t="inlineStr">
        <is>
          <t>VÄSTERNORRLANDS LÄN</t>
        </is>
      </c>
      <c r="E954" t="inlineStr">
        <is>
          <t>ÅNGE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50009-2025</t>
        </is>
      </c>
      <c r="B955" s="1" t="n">
        <v>45943.34527777778</v>
      </c>
      <c r="C955" s="1" t="n">
        <v>46178</v>
      </c>
      <c r="D955" t="inlineStr">
        <is>
          <t>VÄSTERNORRLANDS LÄN</t>
        </is>
      </c>
      <c r="E955" t="inlineStr">
        <is>
          <t>ÅNGE</t>
        </is>
      </c>
      <c r="G955" t="n">
        <v>0.6</v>
      </c>
      <c r="H955" t="n">
        <v>0</v>
      </c>
      <c r="I955" t="n">
        <v>0</v>
      </c>
      <c r="J955" t="n">
        <v>0</v>
      </c>
      <c r="K955" t="n">
        <v>0</v>
      </c>
      <c r="L955" t="n">
        <v>0</v>
      </c>
      <c r="M955" t="n">
        <v>0</v>
      </c>
      <c r="N955" t="n">
        <v>0</v>
      </c>
      <c r="O955" t="n">
        <v>0</v>
      </c>
      <c r="P955" t="n">
        <v>0</v>
      </c>
      <c r="Q955" t="n">
        <v>0</v>
      </c>
      <c r="R955" s="2" t="inlineStr"/>
    </row>
    <row r="956" ht="15" customHeight="1">
      <c r="A956" t="inlineStr">
        <is>
          <t>A 37802-2025</t>
        </is>
      </c>
      <c r="B956" s="1" t="n">
        <v>45881.34447916667</v>
      </c>
      <c r="C956" s="1" t="n">
        <v>46178</v>
      </c>
      <c r="D956" t="inlineStr">
        <is>
          <t>VÄSTERNORRLANDS LÄN</t>
        </is>
      </c>
      <c r="E956" t="inlineStr">
        <is>
          <t>ÅNGE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38273-2025</t>
        </is>
      </c>
      <c r="B957" s="1" t="n">
        <v>45883.40740740741</v>
      </c>
      <c r="C957" s="1" t="n">
        <v>46178</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11816-2026</t>
        </is>
      </c>
      <c r="B958" s="1" t="n">
        <v>46085.38608796296</v>
      </c>
      <c r="C958" s="1" t="n">
        <v>46178</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50210-2025</t>
        </is>
      </c>
      <c r="B959" s="1" t="n">
        <v>45943.67379629629</v>
      </c>
      <c r="C959" s="1" t="n">
        <v>46178</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50001-2025</t>
        </is>
      </c>
      <c r="B960" s="1" t="n">
        <v>45943.34421296296</v>
      </c>
      <c r="C960" s="1" t="n">
        <v>46178</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50008-2025</t>
        </is>
      </c>
      <c r="B961" s="1" t="n">
        <v>45943.34515046296</v>
      </c>
      <c r="C961" s="1" t="n">
        <v>46178</v>
      </c>
      <c r="D961" t="inlineStr">
        <is>
          <t>VÄSTERNORRLANDS LÄN</t>
        </is>
      </c>
      <c r="E961" t="inlineStr">
        <is>
          <t>ÅNGE</t>
        </is>
      </c>
      <c r="G961" t="n">
        <v>13.9</v>
      </c>
      <c r="H961" t="n">
        <v>0</v>
      </c>
      <c r="I961" t="n">
        <v>0</v>
      </c>
      <c r="J961" t="n">
        <v>0</v>
      </c>
      <c r="K961" t="n">
        <v>0</v>
      </c>
      <c r="L961" t="n">
        <v>0</v>
      </c>
      <c r="M961" t="n">
        <v>0</v>
      </c>
      <c r="N961" t="n">
        <v>0</v>
      </c>
      <c r="O961" t="n">
        <v>0</v>
      </c>
      <c r="P961" t="n">
        <v>0</v>
      </c>
      <c r="Q961" t="n">
        <v>0</v>
      </c>
      <c r="R961" s="2" t="inlineStr"/>
    </row>
    <row r="962" ht="15" customHeight="1">
      <c r="A962" t="inlineStr">
        <is>
          <t>A 11804-2026</t>
        </is>
      </c>
      <c r="B962" s="1" t="n">
        <v>46085.35903935185</v>
      </c>
      <c r="C962" s="1" t="n">
        <v>46178</v>
      </c>
      <c r="D962" t="inlineStr">
        <is>
          <t>VÄSTERNORRLANDS LÄN</t>
        </is>
      </c>
      <c r="E962" t="inlineStr">
        <is>
          <t>ÅNGE</t>
        </is>
      </c>
      <c r="G962" t="n">
        <v>2.6</v>
      </c>
      <c r="H962" t="n">
        <v>0</v>
      </c>
      <c r="I962" t="n">
        <v>0</v>
      </c>
      <c r="J962" t="n">
        <v>0</v>
      </c>
      <c r="K962" t="n">
        <v>0</v>
      </c>
      <c r="L962" t="n">
        <v>0</v>
      </c>
      <c r="M962" t="n">
        <v>0</v>
      </c>
      <c r="N962" t="n">
        <v>0</v>
      </c>
      <c r="O962" t="n">
        <v>0</v>
      </c>
      <c r="P962" t="n">
        <v>0</v>
      </c>
      <c r="Q962" t="n">
        <v>0</v>
      </c>
      <c r="R962" s="2" t="inlineStr"/>
    </row>
    <row r="963" ht="15" customHeight="1">
      <c r="A963" t="inlineStr">
        <is>
          <t>A 3977-2025</t>
        </is>
      </c>
      <c r="B963" s="1" t="n">
        <v>45684</v>
      </c>
      <c r="C963" s="1" t="n">
        <v>46178</v>
      </c>
      <c r="D963" t="inlineStr">
        <is>
          <t>VÄSTERNORRLANDS LÄN</t>
        </is>
      </c>
      <c r="E963" t="inlineStr">
        <is>
          <t>ÅNGE</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11803-2026</t>
        </is>
      </c>
      <c r="B964" s="1" t="n">
        <v>46085</v>
      </c>
      <c r="C964" s="1" t="n">
        <v>46178</v>
      </c>
      <c r="D964" t="inlineStr">
        <is>
          <t>VÄSTERNORRLANDS LÄN</t>
        </is>
      </c>
      <c r="E964" t="inlineStr">
        <is>
          <t>ÅNGE</t>
        </is>
      </c>
      <c r="G964" t="n">
        <v>5.8</v>
      </c>
      <c r="H964" t="n">
        <v>0</v>
      </c>
      <c r="I964" t="n">
        <v>0</v>
      </c>
      <c r="J964" t="n">
        <v>0</v>
      </c>
      <c r="K964" t="n">
        <v>0</v>
      </c>
      <c r="L964" t="n">
        <v>0</v>
      </c>
      <c r="M964" t="n">
        <v>0</v>
      </c>
      <c r="N964" t="n">
        <v>0</v>
      </c>
      <c r="O964" t="n">
        <v>0</v>
      </c>
      <c r="P964" t="n">
        <v>0</v>
      </c>
      <c r="Q964" t="n">
        <v>0</v>
      </c>
      <c r="R964" s="2" t="inlineStr"/>
    </row>
    <row r="965" ht="15" customHeight="1">
      <c r="A965" t="inlineStr">
        <is>
          <t>A 11992-2026</t>
        </is>
      </c>
      <c r="B965" s="1" t="n">
        <v>46085.65706018519</v>
      </c>
      <c r="C965" s="1" t="n">
        <v>46178</v>
      </c>
      <c r="D965" t="inlineStr">
        <is>
          <t>VÄSTERNORRLANDS LÄN</t>
        </is>
      </c>
      <c r="E965" t="inlineStr">
        <is>
          <t>ÅNGE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50291-2025</t>
        </is>
      </c>
      <c r="B966" s="1" t="n">
        <v>45944.40677083333</v>
      </c>
      <c r="C966" s="1" t="n">
        <v>46178</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12439-2026</t>
        </is>
      </c>
      <c r="B967" s="1" t="n">
        <v>46090.47541666667</v>
      </c>
      <c r="C967" s="1" t="n">
        <v>46178</v>
      </c>
      <c r="D967" t="inlineStr">
        <is>
          <t>VÄSTERNORRLANDS LÄN</t>
        </is>
      </c>
      <c r="E967" t="inlineStr">
        <is>
          <t>ÅNGE</t>
        </is>
      </c>
      <c r="G967" t="n">
        <v>1.8</v>
      </c>
      <c r="H967" t="n">
        <v>0</v>
      </c>
      <c r="I967" t="n">
        <v>0</v>
      </c>
      <c r="J967" t="n">
        <v>0</v>
      </c>
      <c r="K967" t="n">
        <v>0</v>
      </c>
      <c r="L967" t="n">
        <v>0</v>
      </c>
      <c r="M967" t="n">
        <v>0</v>
      </c>
      <c r="N967" t="n">
        <v>0</v>
      </c>
      <c r="O967" t="n">
        <v>0</v>
      </c>
      <c r="P967" t="n">
        <v>0</v>
      </c>
      <c r="Q967" t="n">
        <v>0</v>
      </c>
      <c r="R967" s="2" t="inlineStr"/>
    </row>
    <row r="968" ht="15" customHeight="1">
      <c r="A968" t="inlineStr">
        <is>
          <t>A 50571-2025</t>
        </is>
      </c>
      <c r="B968" s="1" t="n">
        <v>45945.57443287037</v>
      </c>
      <c r="C968" s="1" t="n">
        <v>46178</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12553-2026</t>
        </is>
      </c>
      <c r="B969" s="1" t="n">
        <v>46090.63738425926</v>
      </c>
      <c r="C969" s="1" t="n">
        <v>46178</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12287-2026</t>
        </is>
      </c>
      <c r="B970" s="1" t="n">
        <v>46087.55252314815</v>
      </c>
      <c r="C970" s="1" t="n">
        <v>46178</v>
      </c>
      <c r="D970" t="inlineStr">
        <is>
          <t>VÄSTERNORRLANDS LÄN</t>
        </is>
      </c>
      <c r="E970" t="inlineStr">
        <is>
          <t>ÅNGE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53512-2023</t>
        </is>
      </c>
      <c r="B971" s="1" t="n">
        <v>45230</v>
      </c>
      <c r="C971" s="1" t="n">
        <v>46178</v>
      </c>
      <c r="D971" t="inlineStr">
        <is>
          <t>VÄSTERNORRLANDS LÄN</t>
        </is>
      </c>
      <c r="E971" t="inlineStr">
        <is>
          <t>ÅNGE</t>
        </is>
      </c>
      <c r="F971" t="inlineStr">
        <is>
          <t>Holmen skog AB</t>
        </is>
      </c>
      <c r="G971" t="n">
        <v>3</v>
      </c>
      <c r="H971" t="n">
        <v>0</v>
      </c>
      <c r="I971" t="n">
        <v>0</v>
      </c>
      <c r="J971" t="n">
        <v>0</v>
      </c>
      <c r="K971" t="n">
        <v>0</v>
      </c>
      <c r="L971" t="n">
        <v>0</v>
      </c>
      <c r="M971" t="n">
        <v>0</v>
      </c>
      <c r="N971" t="n">
        <v>0</v>
      </c>
      <c r="O971" t="n">
        <v>0</v>
      </c>
      <c r="P971" t="n">
        <v>0</v>
      </c>
      <c r="Q971" t="n">
        <v>0</v>
      </c>
      <c r="R971" s="2" t="inlineStr"/>
    </row>
    <row r="972" ht="15" customHeight="1">
      <c r="A972" t="inlineStr">
        <is>
          <t>A 37558-2023</t>
        </is>
      </c>
      <c r="B972" s="1" t="n">
        <v>45159.34511574074</v>
      </c>
      <c r="C972" s="1" t="n">
        <v>46178</v>
      </c>
      <c r="D972" t="inlineStr">
        <is>
          <t>VÄSTERNORRLANDS LÄN</t>
        </is>
      </c>
      <c r="E972" t="inlineStr">
        <is>
          <t>ÅNGE</t>
        </is>
      </c>
      <c r="F972" t="inlineStr">
        <is>
          <t>Kyrkan</t>
        </is>
      </c>
      <c r="G972" t="n">
        <v>5.6</v>
      </c>
      <c r="H972" t="n">
        <v>0</v>
      </c>
      <c r="I972" t="n">
        <v>0</v>
      </c>
      <c r="J972" t="n">
        <v>0</v>
      </c>
      <c r="K972" t="n">
        <v>0</v>
      </c>
      <c r="L972" t="n">
        <v>0</v>
      </c>
      <c r="M972" t="n">
        <v>0</v>
      </c>
      <c r="N972" t="n">
        <v>0</v>
      </c>
      <c r="O972" t="n">
        <v>0</v>
      </c>
      <c r="P972" t="n">
        <v>0</v>
      </c>
      <c r="Q972" t="n">
        <v>0</v>
      </c>
      <c r="R972" s="2" t="inlineStr"/>
    </row>
    <row r="973" ht="15" customHeight="1">
      <c r="A973" t="inlineStr">
        <is>
          <t>A 12412-2026</t>
        </is>
      </c>
      <c r="B973" s="1" t="n">
        <v>46090.42895833333</v>
      </c>
      <c r="C973" s="1" t="n">
        <v>46178</v>
      </c>
      <c r="D973" t="inlineStr">
        <is>
          <t>VÄSTERNORRLANDS LÄN</t>
        </is>
      </c>
      <c r="E973" t="inlineStr">
        <is>
          <t>ÅNGE</t>
        </is>
      </c>
      <c r="G973" t="n">
        <v>7.1</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46178</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50767-2025</t>
        </is>
      </c>
      <c r="B975" s="1" t="n">
        <v>45946</v>
      </c>
      <c r="C975" s="1" t="n">
        <v>46178</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50769-2025</t>
        </is>
      </c>
      <c r="B976" s="1" t="n">
        <v>45946.44864583333</v>
      </c>
      <c r="C976" s="1" t="n">
        <v>46178</v>
      </c>
      <c r="D976" t="inlineStr">
        <is>
          <t>VÄSTERNORRLANDS LÄN</t>
        </is>
      </c>
      <c r="E976" t="inlineStr">
        <is>
          <t>ÅNGE</t>
        </is>
      </c>
      <c r="G976" t="n">
        <v>3.4</v>
      </c>
      <c r="H976" t="n">
        <v>0</v>
      </c>
      <c r="I976" t="n">
        <v>0</v>
      </c>
      <c r="J976" t="n">
        <v>0</v>
      </c>
      <c r="K976" t="n">
        <v>0</v>
      </c>
      <c r="L976" t="n">
        <v>0</v>
      </c>
      <c r="M976" t="n">
        <v>0</v>
      </c>
      <c r="N976" t="n">
        <v>0</v>
      </c>
      <c r="O976" t="n">
        <v>0</v>
      </c>
      <c r="P976" t="n">
        <v>0</v>
      </c>
      <c r="Q976" t="n">
        <v>0</v>
      </c>
      <c r="R976" s="2" t="inlineStr"/>
    </row>
    <row r="977" ht="15" customHeight="1">
      <c r="A977" t="inlineStr">
        <is>
          <t>A 58774-2023</t>
        </is>
      </c>
      <c r="B977" s="1" t="n">
        <v>45251</v>
      </c>
      <c r="C977" s="1" t="n">
        <v>46178</v>
      </c>
      <c r="D977" t="inlineStr">
        <is>
          <t>VÄSTERNORRLANDS LÄN</t>
        </is>
      </c>
      <c r="E977" t="inlineStr">
        <is>
          <t>ÅNGE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21089-2024</t>
        </is>
      </c>
      <c r="B978" s="1" t="n">
        <v>45439.94987268518</v>
      </c>
      <c r="C978" s="1" t="n">
        <v>46178</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12398-2026</t>
        </is>
      </c>
      <c r="B979" s="1" t="n">
        <v>46090.39175925926</v>
      </c>
      <c r="C979" s="1" t="n">
        <v>46178</v>
      </c>
      <c r="D979" t="inlineStr">
        <is>
          <t>VÄSTERNORRLANDS LÄN</t>
        </is>
      </c>
      <c r="E979" t="inlineStr">
        <is>
          <t>ÅNGE</t>
        </is>
      </c>
      <c r="G979" t="n">
        <v>2.5</v>
      </c>
      <c r="H979" t="n">
        <v>0</v>
      </c>
      <c r="I979" t="n">
        <v>0</v>
      </c>
      <c r="J979" t="n">
        <v>0</v>
      </c>
      <c r="K979" t="n">
        <v>0</v>
      </c>
      <c r="L979" t="n">
        <v>0</v>
      </c>
      <c r="M979" t="n">
        <v>0</v>
      </c>
      <c r="N979" t="n">
        <v>0</v>
      </c>
      <c r="O979" t="n">
        <v>0</v>
      </c>
      <c r="P979" t="n">
        <v>0</v>
      </c>
      <c r="Q979" t="n">
        <v>0</v>
      </c>
      <c r="R979" s="2" t="inlineStr"/>
    </row>
    <row r="980" ht="15" customHeight="1">
      <c r="A980" t="inlineStr">
        <is>
          <t>A 21151-2024</t>
        </is>
      </c>
      <c r="B980" s="1" t="n">
        <v>45440</v>
      </c>
      <c r="C980" s="1" t="n">
        <v>46178</v>
      </c>
      <c r="D980" t="inlineStr">
        <is>
          <t>VÄSTERNORRLANDS LÄN</t>
        </is>
      </c>
      <c r="E980" t="inlineStr">
        <is>
          <t>ÅNGE</t>
        </is>
      </c>
      <c r="G980" t="n">
        <v>3.7</v>
      </c>
      <c r="H980" t="n">
        <v>0</v>
      </c>
      <c r="I980" t="n">
        <v>0</v>
      </c>
      <c r="J980" t="n">
        <v>0</v>
      </c>
      <c r="K980" t="n">
        <v>0</v>
      </c>
      <c r="L980" t="n">
        <v>0</v>
      </c>
      <c r="M980" t="n">
        <v>0</v>
      </c>
      <c r="N980" t="n">
        <v>0</v>
      </c>
      <c r="O980" t="n">
        <v>0</v>
      </c>
      <c r="P980" t="n">
        <v>0</v>
      </c>
      <c r="Q980" t="n">
        <v>0</v>
      </c>
      <c r="R980" s="2" t="inlineStr"/>
    </row>
    <row r="981" ht="15" customHeight="1">
      <c r="A981" t="inlineStr">
        <is>
          <t>A 12437-2026</t>
        </is>
      </c>
      <c r="B981" s="1" t="n">
        <v>46090.47096064815</v>
      </c>
      <c r="C981" s="1" t="n">
        <v>46178</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17923-2025</t>
        </is>
      </c>
      <c r="B982" s="1" t="n">
        <v>45759.34415509259</v>
      </c>
      <c r="C982" s="1" t="n">
        <v>46178</v>
      </c>
      <c r="D982" t="inlineStr">
        <is>
          <t>VÄSTERNORRLANDS LÄN</t>
        </is>
      </c>
      <c r="E982" t="inlineStr">
        <is>
          <t>ÅNGE</t>
        </is>
      </c>
      <c r="F982" t="inlineStr">
        <is>
          <t>SCA</t>
        </is>
      </c>
      <c r="G982" t="n">
        <v>9.6</v>
      </c>
      <c r="H982" t="n">
        <v>0</v>
      </c>
      <c r="I982" t="n">
        <v>0</v>
      </c>
      <c r="J982" t="n">
        <v>0</v>
      </c>
      <c r="K982" t="n">
        <v>0</v>
      </c>
      <c r="L982" t="n">
        <v>0</v>
      </c>
      <c r="M982" t="n">
        <v>0</v>
      </c>
      <c r="N982" t="n">
        <v>0</v>
      </c>
      <c r="O982" t="n">
        <v>0</v>
      </c>
      <c r="P982" t="n">
        <v>0</v>
      </c>
      <c r="Q982" t="n">
        <v>0</v>
      </c>
      <c r="R982" s="2" t="inlineStr"/>
    </row>
    <row r="983" ht="15" customHeight="1">
      <c r="A983" t="inlineStr">
        <is>
          <t>A 13164-2022</t>
        </is>
      </c>
      <c r="B983" s="1" t="n">
        <v>44644</v>
      </c>
      <c r="C983" s="1" t="n">
        <v>46178</v>
      </c>
      <c r="D983" t="inlineStr">
        <is>
          <t>VÄSTERNORRLANDS LÄN</t>
        </is>
      </c>
      <c r="E983" t="inlineStr">
        <is>
          <t>ÅNGE</t>
        </is>
      </c>
      <c r="G983" t="n">
        <v>1.8</v>
      </c>
      <c r="H983" t="n">
        <v>0</v>
      </c>
      <c r="I983" t="n">
        <v>0</v>
      </c>
      <c r="J983" t="n">
        <v>0</v>
      </c>
      <c r="K983" t="n">
        <v>0</v>
      </c>
      <c r="L983" t="n">
        <v>0</v>
      </c>
      <c r="M983" t="n">
        <v>0</v>
      </c>
      <c r="N983" t="n">
        <v>0</v>
      </c>
      <c r="O983" t="n">
        <v>0</v>
      </c>
      <c r="P983" t="n">
        <v>0</v>
      </c>
      <c r="Q983" t="n">
        <v>0</v>
      </c>
      <c r="R983" s="2" t="inlineStr"/>
    </row>
    <row r="984" ht="15" customHeight="1">
      <c r="A984" t="inlineStr">
        <is>
          <t>A 51109-2025</t>
        </is>
      </c>
      <c r="B984" s="1" t="n">
        <v>45947.50263888889</v>
      </c>
      <c r="C984" s="1" t="n">
        <v>46178</v>
      </c>
      <c r="D984" t="inlineStr">
        <is>
          <t>VÄSTERNORRLANDS LÄN</t>
        </is>
      </c>
      <c r="E984" t="inlineStr">
        <is>
          <t>ÅNGE</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12468-2026</t>
        </is>
      </c>
      <c r="B985" s="1" t="n">
        <v>46090.53908564815</v>
      </c>
      <c r="C985" s="1" t="n">
        <v>46178</v>
      </c>
      <c r="D985" t="inlineStr">
        <is>
          <t>VÄSTERNORRLANDS LÄN</t>
        </is>
      </c>
      <c r="E985" t="inlineStr">
        <is>
          <t>ÅNGE</t>
        </is>
      </c>
      <c r="G985" t="n">
        <v>0.4</v>
      </c>
      <c r="H985" t="n">
        <v>0</v>
      </c>
      <c r="I985" t="n">
        <v>0</v>
      </c>
      <c r="J985" t="n">
        <v>0</v>
      </c>
      <c r="K985" t="n">
        <v>0</v>
      </c>
      <c r="L985" t="n">
        <v>0</v>
      </c>
      <c r="M985" t="n">
        <v>0</v>
      </c>
      <c r="N985" t="n">
        <v>0</v>
      </c>
      <c r="O985" t="n">
        <v>0</v>
      </c>
      <c r="P985" t="n">
        <v>0</v>
      </c>
      <c r="Q985" t="n">
        <v>0</v>
      </c>
      <c r="R985" s="2" t="inlineStr"/>
    </row>
    <row r="986" ht="15" customHeight="1">
      <c r="A986" t="inlineStr">
        <is>
          <t>A 12476-2026</t>
        </is>
      </c>
      <c r="B986" s="1" t="n">
        <v>46090.55582175926</v>
      </c>
      <c r="C986" s="1" t="n">
        <v>46178</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12479-2026</t>
        </is>
      </c>
      <c r="B987" s="1" t="n">
        <v>46090.55809027778</v>
      </c>
      <c r="C987" s="1" t="n">
        <v>46178</v>
      </c>
      <c r="D987" t="inlineStr">
        <is>
          <t>VÄSTERNORRLANDS LÄN</t>
        </is>
      </c>
      <c r="E987" t="inlineStr">
        <is>
          <t>ÅNGE</t>
        </is>
      </c>
      <c r="G987" t="n">
        <v>1.6</v>
      </c>
      <c r="H987" t="n">
        <v>0</v>
      </c>
      <c r="I987" t="n">
        <v>0</v>
      </c>
      <c r="J987" t="n">
        <v>0</v>
      </c>
      <c r="K987" t="n">
        <v>0</v>
      </c>
      <c r="L987" t="n">
        <v>0</v>
      </c>
      <c r="M987" t="n">
        <v>0</v>
      </c>
      <c r="N987" t="n">
        <v>0</v>
      </c>
      <c r="O987" t="n">
        <v>0</v>
      </c>
      <c r="P987" t="n">
        <v>0</v>
      </c>
      <c r="Q987" t="n">
        <v>0</v>
      </c>
      <c r="R987" s="2" t="inlineStr"/>
    </row>
    <row r="988" ht="15" customHeight="1">
      <c r="A988" t="inlineStr">
        <is>
          <t>A 20231-2022</t>
        </is>
      </c>
      <c r="B988" s="1" t="n">
        <v>44698</v>
      </c>
      <c r="C988" s="1" t="n">
        <v>46178</v>
      </c>
      <c r="D988" t="inlineStr">
        <is>
          <t>VÄSTERNORRLANDS LÄN</t>
        </is>
      </c>
      <c r="E988" t="inlineStr">
        <is>
          <t>ÅNGE</t>
        </is>
      </c>
      <c r="G988" t="n">
        <v>4.2</v>
      </c>
      <c r="H988" t="n">
        <v>0</v>
      </c>
      <c r="I988" t="n">
        <v>0</v>
      </c>
      <c r="J988" t="n">
        <v>0</v>
      </c>
      <c r="K988" t="n">
        <v>0</v>
      </c>
      <c r="L988" t="n">
        <v>0</v>
      </c>
      <c r="M988" t="n">
        <v>0</v>
      </c>
      <c r="N988" t="n">
        <v>0</v>
      </c>
      <c r="O988" t="n">
        <v>0</v>
      </c>
      <c r="P988" t="n">
        <v>0</v>
      </c>
      <c r="Q988" t="n">
        <v>0</v>
      </c>
      <c r="R988" s="2" t="inlineStr"/>
    </row>
    <row r="989" ht="15" customHeight="1">
      <c r="A989" t="inlineStr">
        <is>
          <t>A 60363-2024</t>
        </is>
      </c>
      <c r="B989" s="1" t="n">
        <v>45643</v>
      </c>
      <c r="C989" s="1" t="n">
        <v>46178</v>
      </c>
      <c r="D989" t="inlineStr">
        <is>
          <t>VÄSTERNORRLANDS LÄN</t>
        </is>
      </c>
      <c r="E989" t="inlineStr">
        <is>
          <t>ÅNGE</t>
        </is>
      </c>
      <c r="G989" t="n">
        <v>1.3</v>
      </c>
      <c r="H989" t="n">
        <v>0</v>
      </c>
      <c r="I989" t="n">
        <v>0</v>
      </c>
      <c r="J989" t="n">
        <v>0</v>
      </c>
      <c r="K989" t="n">
        <v>0</v>
      </c>
      <c r="L989" t="n">
        <v>0</v>
      </c>
      <c r="M989" t="n">
        <v>0</v>
      </c>
      <c r="N989" t="n">
        <v>0</v>
      </c>
      <c r="O989" t="n">
        <v>0</v>
      </c>
      <c r="P989" t="n">
        <v>0</v>
      </c>
      <c r="Q989" t="n">
        <v>0</v>
      </c>
      <c r="R989" s="2" t="inlineStr"/>
    </row>
    <row r="990" ht="15" customHeight="1">
      <c r="A990" t="inlineStr">
        <is>
          <t>A 51370-2025</t>
        </is>
      </c>
      <c r="B990" s="1" t="n">
        <v>45950.44818287037</v>
      </c>
      <c r="C990" s="1" t="n">
        <v>46178</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51382-2025</t>
        </is>
      </c>
      <c r="B991" s="1" t="n">
        <v>45950.46019675926</v>
      </c>
      <c r="C991" s="1" t="n">
        <v>46178</v>
      </c>
      <c r="D991" t="inlineStr">
        <is>
          <t>VÄSTERNORRLANDS LÄN</t>
        </is>
      </c>
      <c r="E991" t="inlineStr">
        <is>
          <t>ÅNGE</t>
        </is>
      </c>
      <c r="G991" t="n">
        <v>3</v>
      </c>
      <c r="H991" t="n">
        <v>0</v>
      </c>
      <c r="I991" t="n">
        <v>0</v>
      </c>
      <c r="J991" t="n">
        <v>0</v>
      </c>
      <c r="K991" t="n">
        <v>0</v>
      </c>
      <c r="L991" t="n">
        <v>0</v>
      </c>
      <c r="M991" t="n">
        <v>0</v>
      </c>
      <c r="N991" t="n">
        <v>0</v>
      </c>
      <c r="O991" t="n">
        <v>0</v>
      </c>
      <c r="P991" t="n">
        <v>0</v>
      </c>
      <c r="Q991" t="n">
        <v>0</v>
      </c>
      <c r="R991" s="2" t="inlineStr"/>
    </row>
    <row r="992" ht="15" customHeight="1">
      <c r="A992" t="inlineStr">
        <is>
          <t>A 15369-2024</t>
        </is>
      </c>
      <c r="B992" s="1" t="n">
        <v>45400.92290509259</v>
      </c>
      <c r="C992" s="1" t="n">
        <v>46178</v>
      </c>
      <c r="D992" t="inlineStr">
        <is>
          <t>VÄSTERNORRLANDS LÄN</t>
        </is>
      </c>
      <c r="E992" t="inlineStr">
        <is>
          <t>ÅNGE</t>
        </is>
      </c>
      <c r="G992" t="n">
        <v>0.4</v>
      </c>
      <c r="H992" t="n">
        <v>0</v>
      </c>
      <c r="I992" t="n">
        <v>0</v>
      </c>
      <c r="J992" t="n">
        <v>0</v>
      </c>
      <c r="K992" t="n">
        <v>0</v>
      </c>
      <c r="L992" t="n">
        <v>0</v>
      </c>
      <c r="M992" t="n">
        <v>0</v>
      </c>
      <c r="N992" t="n">
        <v>0</v>
      </c>
      <c r="O992" t="n">
        <v>0</v>
      </c>
      <c r="P992" t="n">
        <v>0</v>
      </c>
      <c r="Q992" t="n">
        <v>0</v>
      </c>
      <c r="R992" s="2" t="inlineStr"/>
    </row>
    <row r="993" ht="15" customHeight="1">
      <c r="A993" t="inlineStr">
        <is>
          <t>A 51416-2025</t>
        </is>
      </c>
      <c r="B993" s="1" t="n">
        <v>45950.51097222222</v>
      </c>
      <c r="C993" s="1" t="n">
        <v>46178</v>
      </c>
      <c r="D993" t="inlineStr">
        <is>
          <t>VÄSTERNORRLANDS LÄN</t>
        </is>
      </c>
      <c r="E993" t="inlineStr">
        <is>
          <t>ÅNGE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26010-2024</t>
        </is>
      </c>
      <c r="B994" s="1" t="n">
        <v>45467.95819444444</v>
      </c>
      <c r="C994" s="1" t="n">
        <v>46178</v>
      </c>
      <c r="D994" t="inlineStr">
        <is>
          <t>VÄSTERNORRLANDS LÄN</t>
        </is>
      </c>
      <c r="E994" t="inlineStr">
        <is>
          <t>ÅNGE</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12865-2026</t>
        </is>
      </c>
      <c r="B995" s="1" t="n">
        <v>46092.49089120371</v>
      </c>
      <c r="C995" s="1" t="n">
        <v>46178</v>
      </c>
      <c r="D995" t="inlineStr">
        <is>
          <t>VÄSTERNORRLANDS LÄN</t>
        </is>
      </c>
      <c r="E995" t="inlineStr">
        <is>
          <t>ÅNGE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12874-2026</t>
        </is>
      </c>
      <c r="B996" s="1" t="n">
        <v>46092.51175925926</v>
      </c>
      <c r="C996" s="1" t="n">
        <v>46178</v>
      </c>
      <c r="D996" t="inlineStr">
        <is>
          <t>VÄSTERNORRLANDS LÄN</t>
        </is>
      </c>
      <c r="E996" t="inlineStr">
        <is>
          <t>ÅNGE</t>
        </is>
      </c>
      <c r="F996" t="inlineStr">
        <is>
          <t>SCA</t>
        </is>
      </c>
      <c r="G996" t="n">
        <v>8.6</v>
      </c>
      <c r="H996" t="n">
        <v>0</v>
      </c>
      <c r="I996" t="n">
        <v>0</v>
      </c>
      <c r="J996" t="n">
        <v>0</v>
      </c>
      <c r="K996" t="n">
        <v>0</v>
      </c>
      <c r="L996" t="n">
        <v>0</v>
      </c>
      <c r="M996" t="n">
        <v>0</v>
      </c>
      <c r="N996" t="n">
        <v>0</v>
      </c>
      <c r="O996" t="n">
        <v>0</v>
      </c>
      <c r="P996" t="n">
        <v>0</v>
      </c>
      <c r="Q996" t="n">
        <v>0</v>
      </c>
      <c r="R996" s="2" t="inlineStr"/>
    </row>
    <row r="997" ht="15" customHeight="1">
      <c r="A997" t="inlineStr">
        <is>
          <t>A 12747-2026</t>
        </is>
      </c>
      <c r="B997" s="1" t="n">
        <v>46091</v>
      </c>
      <c r="C997" s="1" t="n">
        <v>46178</v>
      </c>
      <c r="D997" t="inlineStr">
        <is>
          <t>VÄSTERNORRLANDS LÄN</t>
        </is>
      </c>
      <c r="E997" t="inlineStr">
        <is>
          <t>ÅNGE</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12748-2026</t>
        </is>
      </c>
      <c r="B998" s="1" t="n">
        <v>46091</v>
      </c>
      <c r="C998" s="1" t="n">
        <v>46178</v>
      </c>
      <c r="D998" t="inlineStr">
        <is>
          <t>VÄSTERNORRLANDS LÄN</t>
        </is>
      </c>
      <c r="E998" t="inlineStr">
        <is>
          <t>ÅNGE</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12760-2026</t>
        </is>
      </c>
      <c r="B999" s="1" t="n">
        <v>46091.66008101852</v>
      </c>
      <c r="C999" s="1" t="n">
        <v>46178</v>
      </c>
      <c r="D999" t="inlineStr">
        <is>
          <t>VÄSTERNORRLANDS LÄN</t>
        </is>
      </c>
      <c r="E999" t="inlineStr">
        <is>
          <t>ÅNGE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52785-2024</t>
        </is>
      </c>
      <c r="B1000" s="1" t="n">
        <v>45610.55273148148</v>
      </c>
      <c r="C1000" s="1" t="n">
        <v>46178</v>
      </c>
      <c r="D1000" t="inlineStr">
        <is>
          <t>VÄSTERNORRLANDS LÄN</t>
        </is>
      </c>
      <c r="E1000" t="inlineStr">
        <is>
          <t>ÅNGE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52786-2024</t>
        </is>
      </c>
      <c r="B1001" s="1" t="n">
        <v>45610.55283564814</v>
      </c>
      <c r="C1001" s="1" t="n">
        <v>46178</v>
      </c>
      <c r="D1001" t="inlineStr">
        <is>
          <t>VÄSTERNORRLANDS LÄN</t>
        </is>
      </c>
      <c r="E1001" t="inlineStr">
        <is>
          <t>ÅNGE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46254-2023</t>
        </is>
      </c>
      <c r="B1002" s="1" t="n">
        <v>45196</v>
      </c>
      <c r="C1002" s="1" t="n">
        <v>46178</v>
      </c>
      <c r="D1002" t="inlineStr">
        <is>
          <t>VÄSTERNORRLANDS LÄN</t>
        </is>
      </c>
      <c r="E1002" t="inlineStr">
        <is>
          <t>ÅNGE</t>
        </is>
      </c>
      <c r="F1002" t="inlineStr">
        <is>
          <t>SCA</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46262-2023</t>
        </is>
      </c>
      <c r="B1003" s="1" t="n">
        <v>45196.93855324074</v>
      </c>
      <c r="C1003" s="1" t="n">
        <v>46178</v>
      </c>
      <c r="D1003" t="inlineStr">
        <is>
          <t>VÄSTERNORRLANDS LÄN</t>
        </is>
      </c>
      <c r="E1003" t="inlineStr">
        <is>
          <t>ÅNGE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12750-2026</t>
        </is>
      </c>
      <c r="B1004" s="1" t="n">
        <v>46091</v>
      </c>
      <c r="C1004" s="1" t="n">
        <v>46178</v>
      </c>
      <c r="D1004" t="inlineStr">
        <is>
          <t>VÄSTERNORRLANDS LÄN</t>
        </is>
      </c>
      <c r="E1004" t="inlineStr">
        <is>
          <t>ÅNGE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12752-2026</t>
        </is>
      </c>
      <c r="B1005" s="1" t="n">
        <v>46091</v>
      </c>
      <c r="C1005" s="1" t="n">
        <v>46178</v>
      </c>
      <c r="D1005" t="inlineStr">
        <is>
          <t>VÄSTERNORRLANDS LÄN</t>
        </is>
      </c>
      <c r="E1005" t="inlineStr">
        <is>
          <t>ÅNGE</t>
        </is>
      </c>
      <c r="F1005" t="inlineStr">
        <is>
          <t>SCA</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12756-2026</t>
        </is>
      </c>
      <c r="B1006" s="1" t="n">
        <v>46091</v>
      </c>
      <c r="C1006" s="1" t="n">
        <v>46178</v>
      </c>
      <c r="D1006" t="inlineStr">
        <is>
          <t>VÄSTERNORRLANDS LÄN</t>
        </is>
      </c>
      <c r="E1006" t="inlineStr">
        <is>
          <t>ÅNGE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12757-2026</t>
        </is>
      </c>
      <c r="B1007" s="1" t="n">
        <v>46091</v>
      </c>
      <c r="C1007" s="1" t="n">
        <v>46178</v>
      </c>
      <c r="D1007" t="inlineStr">
        <is>
          <t>VÄSTERNORRLANDS LÄN</t>
        </is>
      </c>
      <c r="E1007" t="inlineStr">
        <is>
          <t>ÅNGE</t>
        </is>
      </c>
      <c r="F1007" t="inlineStr">
        <is>
          <t>SCA</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12758-2026</t>
        </is>
      </c>
      <c r="B1008" s="1" t="n">
        <v>46091.65989583333</v>
      </c>
      <c r="C1008" s="1" t="n">
        <v>46178</v>
      </c>
      <c r="D1008" t="inlineStr">
        <is>
          <t>VÄSTERNORRLANDS LÄN</t>
        </is>
      </c>
      <c r="E1008" t="inlineStr">
        <is>
          <t>ÅNGE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12761-2026</t>
        </is>
      </c>
      <c r="B1009" s="1" t="n">
        <v>46091.66013888889</v>
      </c>
      <c r="C1009" s="1" t="n">
        <v>46178</v>
      </c>
      <c r="D1009" t="inlineStr">
        <is>
          <t>VÄSTERNORRLANDS LÄN</t>
        </is>
      </c>
      <c r="E1009" t="inlineStr">
        <is>
          <t>ÅNGE</t>
        </is>
      </c>
      <c r="F1009" t="inlineStr">
        <is>
          <t>SCA</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20716-2025</t>
        </is>
      </c>
      <c r="B1010" s="1" t="n">
        <v>45776.49026620371</v>
      </c>
      <c r="C1010" s="1" t="n">
        <v>46178</v>
      </c>
      <c r="D1010" t="inlineStr">
        <is>
          <t>VÄSTERNORRLANDS LÄN</t>
        </is>
      </c>
      <c r="E1010" t="inlineStr">
        <is>
          <t>ÅNGE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12749-2026</t>
        </is>
      </c>
      <c r="B1011" s="1" t="n">
        <v>46091</v>
      </c>
      <c r="C1011" s="1" t="n">
        <v>46178</v>
      </c>
      <c r="D1011" t="inlineStr">
        <is>
          <t>VÄSTERNORRLANDS LÄN</t>
        </is>
      </c>
      <c r="E1011" t="inlineStr">
        <is>
          <t>ÅNGE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12751-2026</t>
        </is>
      </c>
      <c r="B1012" s="1" t="n">
        <v>46091</v>
      </c>
      <c r="C1012" s="1" t="n">
        <v>46178</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12754-2026</t>
        </is>
      </c>
      <c r="B1013" s="1" t="n">
        <v>46091</v>
      </c>
      <c r="C1013" s="1" t="n">
        <v>46178</v>
      </c>
      <c r="D1013" t="inlineStr">
        <is>
          <t>VÄSTERNORRLANDS LÄN</t>
        </is>
      </c>
      <c r="E1013" t="inlineStr">
        <is>
          <t>ÅNGE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12755-2026</t>
        </is>
      </c>
      <c r="B1014" s="1" t="n">
        <v>46091</v>
      </c>
      <c r="C1014" s="1" t="n">
        <v>46178</v>
      </c>
      <c r="D1014" t="inlineStr">
        <is>
          <t>VÄSTERNORRLANDS LÄN</t>
        </is>
      </c>
      <c r="E1014" t="inlineStr">
        <is>
          <t>ÅNGE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51389-2025</t>
        </is>
      </c>
      <c r="B1015" s="1" t="n">
        <v>45950.46767361111</v>
      </c>
      <c r="C1015" s="1" t="n">
        <v>46178</v>
      </c>
      <c r="D1015" t="inlineStr">
        <is>
          <t>VÄSTERNORRLANDS LÄN</t>
        </is>
      </c>
      <c r="E1015" t="inlineStr">
        <is>
          <t>ÅNGE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52060-2025</t>
        </is>
      </c>
      <c r="B1016" s="1" t="n">
        <v>45952.63641203703</v>
      </c>
      <c r="C1016" s="1" t="n">
        <v>46178</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52121-2025</t>
        </is>
      </c>
      <c r="B1017" s="1" t="n">
        <v>45952.71921296296</v>
      </c>
      <c r="C1017" s="1" t="n">
        <v>46178</v>
      </c>
      <c r="D1017" t="inlineStr">
        <is>
          <t>VÄSTERNORRLANDS LÄN</t>
        </is>
      </c>
      <c r="E1017" t="inlineStr">
        <is>
          <t>ÅNGE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52306-2025</t>
        </is>
      </c>
      <c r="B1018" s="1" t="n">
        <v>45953.63600694444</v>
      </c>
      <c r="C1018" s="1" t="n">
        <v>46178</v>
      </c>
      <c r="D1018" t="inlineStr">
        <is>
          <t>VÄSTERNORRLANDS LÄN</t>
        </is>
      </c>
      <c r="E1018" t="inlineStr">
        <is>
          <t>ÅNGE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12746-2026</t>
        </is>
      </c>
      <c r="B1019" s="1" t="n">
        <v>46091</v>
      </c>
      <c r="C1019" s="1" t="n">
        <v>46178</v>
      </c>
      <c r="D1019" t="inlineStr">
        <is>
          <t>VÄSTERNORRLANDS LÄN</t>
        </is>
      </c>
      <c r="E1019" t="inlineStr">
        <is>
          <t>ÅNGE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51857-2025</t>
        </is>
      </c>
      <c r="B1020" s="1" t="n">
        <v>45952.36506944444</v>
      </c>
      <c r="C1020" s="1" t="n">
        <v>46178</v>
      </c>
      <c r="D1020" t="inlineStr">
        <is>
          <t>VÄSTERNORRLANDS LÄN</t>
        </is>
      </c>
      <c r="E1020" t="inlineStr">
        <is>
          <t>ÅNGE</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12670-2026</t>
        </is>
      </c>
      <c r="B1021" s="1" t="n">
        <v>46091</v>
      </c>
      <c r="C1021" s="1" t="n">
        <v>46178</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39619-2024</t>
        </is>
      </c>
      <c r="B1022" s="1" t="n">
        <v>45552</v>
      </c>
      <c r="C1022" s="1" t="n">
        <v>46178</v>
      </c>
      <c r="D1022" t="inlineStr">
        <is>
          <t>VÄSTERNORRLANDS LÄN</t>
        </is>
      </c>
      <c r="E1022" t="inlineStr">
        <is>
          <t>ÅNGE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37051-2021</t>
        </is>
      </c>
      <c r="B1023" s="1" t="n">
        <v>44393</v>
      </c>
      <c r="C1023" s="1" t="n">
        <v>46178</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51813-2025</t>
        </is>
      </c>
      <c r="B1024" s="1" t="n">
        <v>45951.83082175926</v>
      </c>
      <c r="C1024" s="1" t="n">
        <v>46178</v>
      </c>
      <c r="D1024" t="inlineStr">
        <is>
          <t>VÄSTERNORRLANDS LÄN</t>
        </is>
      </c>
      <c r="E1024" t="inlineStr">
        <is>
          <t>ÅNGE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5613-2024</t>
        </is>
      </c>
      <c r="B1025" s="1" t="n">
        <v>45334</v>
      </c>
      <c r="C1025" s="1" t="n">
        <v>46178</v>
      </c>
      <c r="D1025" t="inlineStr">
        <is>
          <t>VÄSTERNORRLANDS LÄN</t>
        </is>
      </c>
      <c r="E1025" t="inlineStr">
        <is>
          <t>ÅNGE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61928-2021</t>
        </is>
      </c>
      <c r="B1026" s="1" t="n">
        <v>44502.38475694445</v>
      </c>
      <c r="C1026" s="1" t="n">
        <v>46178</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5367-2022</t>
        </is>
      </c>
      <c r="B1027" s="1" t="n">
        <v>44594.92111111111</v>
      </c>
      <c r="C1027" s="1" t="n">
        <v>46178</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54429-2024</t>
        </is>
      </c>
      <c r="B1028" s="1" t="n">
        <v>45617.49087962963</v>
      </c>
      <c r="C1028" s="1" t="n">
        <v>46178</v>
      </c>
      <c r="D1028" t="inlineStr">
        <is>
          <t>VÄSTERNORRLANDS LÄN</t>
        </is>
      </c>
      <c r="E1028" t="inlineStr">
        <is>
          <t>ÅNGE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12759-2026</t>
        </is>
      </c>
      <c r="B1029" s="1" t="n">
        <v>46091.66002314815</v>
      </c>
      <c r="C1029" s="1" t="n">
        <v>46178</v>
      </c>
      <c r="D1029" t="inlineStr">
        <is>
          <t>VÄSTERNORRLANDS LÄN</t>
        </is>
      </c>
      <c r="E1029" t="inlineStr">
        <is>
          <t>ÅNGE</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52335-2025</t>
        </is>
      </c>
      <c r="B1030" s="1" t="n">
        <v>45953.68591435185</v>
      </c>
      <c r="C1030" s="1" t="n">
        <v>46178</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24293-2023</t>
        </is>
      </c>
      <c r="B1031" s="1" t="n">
        <v>45079.92756944444</v>
      </c>
      <c r="C1031" s="1" t="n">
        <v>46178</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12745-2026</t>
        </is>
      </c>
      <c r="B1032" s="1" t="n">
        <v>46091</v>
      </c>
      <c r="C1032" s="1" t="n">
        <v>46178</v>
      </c>
      <c r="D1032" t="inlineStr">
        <is>
          <t>VÄSTERNORRLANDS LÄN</t>
        </is>
      </c>
      <c r="E1032" t="inlineStr">
        <is>
          <t>ÅNGE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52283-2025</t>
        </is>
      </c>
      <c r="B1033" s="1" t="n">
        <v>45953.57346064815</v>
      </c>
      <c r="C1033" s="1" t="n">
        <v>46178</v>
      </c>
      <c r="D1033" t="inlineStr">
        <is>
          <t>VÄSTERNORRLANDS LÄN</t>
        </is>
      </c>
      <c r="E1033" t="inlineStr">
        <is>
          <t>ÅNGE</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20135-2026</t>
        </is>
      </c>
      <c r="B1034" s="1" t="n">
        <v>46136.71918981482</v>
      </c>
      <c r="C1034" s="1" t="n">
        <v>46178</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361-2025</t>
        </is>
      </c>
      <c r="B1035" s="1" t="n">
        <v>45660</v>
      </c>
      <c r="C1035" s="1" t="n">
        <v>46178</v>
      </c>
      <c r="D1035" t="inlineStr">
        <is>
          <t>VÄSTERNORRLANDS LÄN</t>
        </is>
      </c>
      <c r="E1035" t="inlineStr">
        <is>
          <t>ÅNGE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39985-2023</t>
        </is>
      </c>
      <c r="B1036" s="1" t="n">
        <v>45168</v>
      </c>
      <c r="C1036" s="1" t="n">
        <v>46178</v>
      </c>
      <c r="D1036" t="inlineStr">
        <is>
          <t>VÄSTERNORRLANDS LÄN</t>
        </is>
      </c>
      <c r="E1036" t="inlineStr">
        <is>
          <t>ÅNGE</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13438-2026</t>
        </is>
      </c>
      <c r="B1037" s="1" t="n">
        <v>46094.49040509259</v>
      </c>
      <c r="C1037" s="1" t="n">
        <v>46178</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13144-2026</t>
        </is>
      </c>
      <c r="B1038" s="1" t="n">
        <v>46093.5115625</v>
      </c>
      <c r="C1038" s="1" t="n">
        <v>46178</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13352-2026</t>
        </is>
      </c>
      <c r="B1039" s="1" t="n">
        <v>46094.38611111111</v>
      </c>
      <c r="C1039" s="1" t="n">
        <v>46178</v>
      </c>
      <c r="D1039" t="inlineStr">
        <is>
          <t>VÄSTERNORRLANDS LÄN</t>
        </is>
      </c>
      <c r="E1039" t="inlineStr">
        <is>
          <t>ÅNGE</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13080-2026</t>
        </is>
      </c>
      <c r="B1040" s="1" t="n">
        <v>46093.38607638889</v>
      </c>
      <c r="C1040" s="1" t="n">
        <v>46178</v>
      </c>
      <c r="D1040" t="inlineStr">
        <is>
          <t>VÄSTERNORRLANDS LÄN</t>
        </is>
      </c>
      <c r="E1040" t="inlineStr">
        <is>
          <t>ÅNGE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49945-2023</t>
        </is>
      </c>
      <c r="B1041" s="1" t="n">
        <v>45215.3625462963</v>
      </c>
      <c r="C1041" s="1" t="n">
        <v>46178</v>
      </c>
      <c r="D1041" t="inlineStr">
        <is>
          <t>VÄSTERNORRLANDS LÄN</t>
        </is>
      </c>
      <c r="E1041" t="inlineStr">
        <is>
          <t>ÅNGE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1420-2023</t>
        </is>
      </c>
      <c r="B1042" s="1" t="n">
        <v>44936.92762731481</v>
      </c>
      <c r="C1042" s="1" t="n">
        <v>46178</v>
      </c>
      <c r="D1042" t="inlineStr">
        <is>
          <t>VÄSTERNORRLANDS LÄN</t>
        </is>
      </c>
      <c r="E1042" t="inlineStr">
        <is>
          <t>ÅNGE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52642-2025</t>
        </is>
      </c>
      <c r="B1043" s="1" t="n">
        <v>45955.34576388889</v>
      </c>
      <c r="C1043" s="1" t="n">
        <v>46178</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13163-2026</t>
        </is>
      </c>
      <c r="B1044" s="1" t="n">
        <v>46093.55259259259</v>
      </c>
      <c r="C1044" s="1" t="n">
        <v>46178</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34691-2024</t>
        </is>
      </c>
      <c r="B1045" s="1" t="n">
        <v>45526.54516203704</v>
      </c>
      <c r="C1045" s="1" t="n">
        <v>46178</v>
      </c>
      <c r="D1045" t="inlineStr">
        <is>
          <t>VÄSTERNORRLANDS LÄN</t>
        </is>
      </c>
      <c r="E1045" t="inlineStr">
        <is>
          <t>ÅNGE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52411-2025</t>
        </is>
      </c>
      <c r="B1046" s="1" t="n">
        <v>45954.36518518518</v>
      </c>
      <c r="C1046" s="1" t="n">
        <v>46178</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20020-2026</t>
        </is>
      </c>
      <c r="B1047" s="1" t="n">
        <v>46136.51101851852</v>
      </c>
      <c r="C1047" s="1" t="n">
        <v>46178</v>
      </c>
      <c r="D1047" t="inlineStr">
        <is>
          <t>VÄSTERNORRLANDS LÄN</t>
        </is>
      </c>
      <c r="E1047" t="inlineStr">
        <is>
          <t>ÅNGE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15791-2025</t>
        </is>
      </c>
      <c r="B1048" s="1" t="n">
        <v>45748.631875</v>
      </c>
      <c r="C1048" s="1" t="n">
        <v>46178</v>
      </c>
      <c r="D1048" t="inlineStr">
        <is>
          <t>VÄSTERNORRLANDS LÄN</t>
        </is>
      </c>
      <c r="E1048" t="inlineStr">
        <is>
          <t>ÅNGE</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13449-2026</t>
        </is>
      </c>
      <c r="B1049" s="1" t="n">
        <v>46094.51108796296</v>
      </c>
      <c r="C1049" s="1" t="n">
        <v>46178</v>
      </c>
      <c r="D1049" t="inlineStr">
        <is>
          <t>VÄSTERNORRLANDS LÄN</t>
        </is>
      </c>
      <c r="E1049" t="inlineStr">
        <is>
          <t>ÅNGE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54585-2024</t>
        </is>
      </c>
      <c r="B1050" s="1" t="n">
        <v>45617.65762731482</v>
      </c>
      <c r="C1050" s="1" t="n">
        <v>46178</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13093-2026</t>
        </is>
      </c>
      <c r="B1051" s="1" t="n">
        <v>46093.40684027778</v>
      </c>
      <c r="C1051" s="1" t="n">
        <v>46178</v>
      </c>
      <c r="D1051" t="inlineStr">
        <is>
          <t>VÄSTERNORRLANDS LÄN</t>
        </is>
      </c>
      <c r="E1051" t="inlineStr">
        <is>
          <t>ÅNGE</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52858-2025</t>
        </is>
      </c>
      <c r="B1052" s="1" t="n">
        <v>45957.50284722223</v>
      </c>
      <c r="C1052" s="1" t="n">
        <v>46178</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13110-2026</t>
        </is>
      </c>
      <c r="B1053" s="1" t="n">
        <v>46093.4278125</v>
      </c>
      <c r="C1053" s="1" t="n">
        <v>46178</v>
      </c>
      <c r="D1053" t="inlineStr">
        <is>
          <t>VÄSTERNORRLANDS LÄN</t>
        </is>
      </c>
      <c r="E1053" t="inlineStr">
        <is>
          <t>ÅNGE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17452-2025</t>
        </is>
      </c>
      <c r="B1054" s="1" t="n">
        <v>45757.44842592593</v>
      </c>
      <c r="C1054" s="1" t="n">
        <v>46178</v>
      </c>
      <c r="D1054" t="inlineStr">
        <is>
          <t>VÄSTERNORRLANDS LÄN</t>
        </is>
      </c>
      <c r="E1054" t="inlineStr">
        <is>
          <t>ÅNGE</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1654-2026</t>
        </is>
      </c>
      <c r="B1055" s="1" t="n">
        <v>46034</v>
      </c>
      <c r="C1055" s="1" t="n">
        <v>46178</v>
      </c>
      <c r="D1055" t="inlineStr">
        <is>
          <t>VÄSTERNORRLANDS LÄN</t>
        </is>
      </c>
      <c r="E1055" t="inlineStr">
        <is>
          <t>ÅNGE</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53381-2025</t>
        </is>
      </c>
      <c r="B1056" s="1" t="n">
        <v>45959.53690972222</v>
      </c>
      <c r="C1056" s="1" t="n">
        <v>46178</v>
      </c>
      <c r="D1056" t="inlineStr">
        <is>
          <t>VÄSTERNORRLANDS LÄN</t>
        </is>
      </c>
      <c r="E1056" t="inlineStr">
        <is>
          <t>ÅNGE</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19912-2026</t>
        </is>
      </c>
      <c r="B1057" s="1" t="n">
        <v>46136.34215277778</v>
      </c>
      <c r="C1057" s="1" t="n">
        <v>46178</v>
      </c>
      <c r="D1057" t="inlineStr">
        <is>
          <t>VÄSTERNORRLANDS LÄN</t>
        </is>
      </c>
      <c r="E1057" t="inlineStr">
        <is>
          <t>ÅNGE</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53012-2025</t>
        </is>
      </c>
      <c r="B1058" s="1" t="n">
        <v>45957.80320601852</v>
      </c>
      <c r="C1058" s="1" t="n">
        <v>46178</v>
      </c>
      <c r="D1058" t="inlineStr">
        <is>
          <t>VÄSTERNORRLANDS LÄN</t>
        </is>
      </c>
      <c r="E1058" t="inlineStr">
        <is>
          <t>ÅNGE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53033-2025</t>
        </is>
      </c>
      <c r="B1059" s="1" t="n">
        <v>45958.34479166667</v>
      </c>
      <c r="C1059" s="1" t="n">
        <v>46178</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13686-2026</t>
        </is>
      </c>
      <c r="B1060" s="1" t="n">
        <v>46097.53200231482</v>
      </c>
      <c r="C1060" s="1" t="n">
        <v>46178</v>
      </c>
      <c r="D1060" t="inlineStr">
        <is>
          <t>VÄSTERNORRLANDS LÄN</t>
        </is>
      </c>
      <c r="E1060" t="inlineStr">
        <is>
          <t>ÅNGE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20443-2026</t>
        </is>
      </c>
      <c r="B1061" s="1" t="n">
        <v>46140.40697916667</v>
      </c>
      <c r="C1061" s="1" t="n">
        <v>46178</v>
      </c>
      <c r="D1061" t="inlineStr">
        <is>
          <t>VÄSTERNORRLANDS LÄN</t>
        </is>
      </c>
      <c r="E1061" t="inlineStr">
        <is>
          <t>ÅNGE</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53013-2025</t>
        </is>
      </c>
      <c r="B1062" s="1" t="n">
        <v>45957.81732638889</v>
      </c>
      <c r="C1062" s="1" t="n">
        <v>46178</v>
      </c>
      <c r="D1062" t="inlineStr">
        <is>
          <t>VÄSTERNORRLANDS LÄN</t>
        </is>
      </c>
      <c r="E1062" t="inlineStr">
        <is>
          <t>ÅNGE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53221-2025</t>
        </is>
      </c>
      <c r="B1063" s="1" t="n">
        <v>45958.60331018519</v>
      </c>
      <c r="C1063" s="1" t="n">
        <v>46178</v>
      </c>
      <c r="D1063" t="inlineStr">
        <is>
          <t>VÄSTERNORRLANDS LÄN</t>
        </is>
      </c>
      <c r="E1063" t="inlineStr">
        <is>
          <t>ÅNGE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14024-2026</t>
        </is>
      </c>
      <c r="B1064" s="1" t="n">
        <v>46098.71935185185</v>
      </c>
      <c r="C1064" s="1" t="n">
        <v>46178</v>
      </c>
      <c r="D1064" t="inlineStr">
        <is>
          <t>VÄSTERNORRLANDS LÄN</t>
        </is>
      </c>
      <c r="E1064" t="inlineStr">
        <is>
          <t>ÅNGE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20463-2026</t>
        </is>
      </c>
      <c r="B1065" s="1" t="n">
        <v>46140.44861111111</v>
      </c>
      <c r="C1065" s="1" t="n">
        <v>46178</v>
      </c>
      <c r="D1065" t="inlineStr">
        <is>
          <t>VÄSTERNORRLANDS LÄN</t>
        </is>
      </c>
      <c r="E1065" t="inlineStr">
        <is>
          <t>ÅNGE</t>
        </is>
      </c>
      <c r="F1065" t="inlineStr">
        <is>
          <t>SCA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57526-2024</t>
        </is>
      </c>
      <c r="B1066" s="1" t="n">
        <v>45630</v>
      </c>
      <c r="C1066" s="1" t="n">
        <v>46178</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13904-2026</t>
        </is>
      </c>
      <c r="B1067" s="1" t="n">
        <v>46098.46965277778</v>
      </c>
      <c r="C1067" s="1" t="n">
        <v>46178</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20093-2026</t>
        </is>
      </c>
      <c r="B1068" s="1" t="n">
        <v>46135</v>
      </c>
      <c r="C1068" s="1" t="n">
        <v>46178</v>
      </c>
      <c r="D1068" t="inlineStr">
        <is>
          <t>VÄSTERNORRLANDS LÄN</t>
        </is>
      </c>
      <c r="E1068" t="inlineStr">
        <is>
          <t>ÅNGE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53999-2025</t>
        </is>
      </c>
      <c r="B1069" s="1" t="n">
        <v>45961</v>
      </c>
      <c r="C1069" s="1" t="n">
        <v>46178</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53984-2025</t>
        </is>
      </c>
      <c r="B1070" s="1" t="n">
        <v>45961.5734837963</v>
      </c>
      <c r="C1070" s="1" t="n">
        <v>46178</v>
      </c>
      <c r="D1070" t="inlineStr">
        <is>
          <t>VÄSTERNORRLANDS LÄN</t>
        </is>
      </c>
      <c r="E1070" t="inlineStr">
        <is>
          <t>ÅNGE</t>
        </is>
      </c>
      <c r="F1070" t="inlineStr">
        <is>
          <t>SCA</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5999-2025</t>
        </is>
      </c>
      <c r="B1071" s="1" t="n">
        <v>45695</v>
      </c>
      <c r="C1071" s="1" t="n">
        <v>46178</v>
      </c>
      <c r="D1071" t="inlineStr">
        <is>
          <t>VÄSTERNORRLANDS LÄN</t>
        </is>
      </c>
      <c r="E1071" t="inlineStr">
        <is>
          <t>ÅNGE</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20158-2026</t>
        </is>
      </c>
      <c r="B1072" s="1" t="n">
        <v>46138.5943287037</v>
      </c>
      <c r="C1072" s="1" t="n">
        <v>46178</v>
      </c>
      <c r="D1072" t="inlineStr">
        <is>
          <t>VÄSTERNORRLANDS LÄN</t>
        </is>
      </c>
      <c r="E1072" t="inlineStr">
        <is>
          <t>ÅNGE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13850-2026</t>
        </is>
      </c>
      <c r="B1073" s="1" t="n">
        <v>46098.3872337963</v>
      </c>
      <c r="C1073" s="1" t="n">
        <v>46178</v>
      </c>
      <c r="D1073" t="inlineStr">
        <is>
          <t>VÄSTERNORRLANDS LÄN</t>
        </is>
      </c>
      <c r="E1073" t="inlineStr">
        <is>
          <t>ÅNGE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35593-2024</t>
        </is>
      </c>
      <c r="B1074" s="1" t="n">
        <v>45531</v>
      </c>
      <c r="C1074" s="1" t="n">
        <v>46178</v>
      </c>
      <c r="D1074" t="inlineStr">
        <is>
          <t>VÄSTERNORRLANDS LÄN</t>
        </is>
      </c>
      <c r="E1074" t="inlineStr">
        <is>
          <t>ÅNGE</t>
        </is>
      </c>
      <c r="G1074" t="n">
        <v>17.6</v>
      </c>
      <c r="H1074" t="n">
        <v>0</v>
      </c>
      <c r="I1074" t="n">
        <v>0</v>
      </c>
      <c r="J1074" t="n">
        <v>0</v>
      </c>
      <c r="K1074" t="n">
        <v>0</v>
      </c>
      <c r="L1074" t="n">
        <v>0</v>
      </c>
      <c r="M1074" t="n">
        <v>0</v>
      </c>
      <c r="N1074" t="n">
        <v>0</v>
      </c>
      <c r="O1074" t="n">
        <v>0</v>
      </c>
      <c r="P1074" t="n">
        <v>0</v>
      </c>
      <c r="Q1074" t="n">
        <v>0</v>
      </c>
      <c r="R1074" s="2" t="inlineStr"/>
    </row>
    <row r="1075" ht="15" customHeight="1">
      <c r="A1075" t="inlineStr">
        <is>
          <t>A 20080-2026</t>
        </is>
      </c>
      <c r="B1075" s="1" t="n">
        <v>46136</v>
      </c>
      <c r="C1075" s="1" t="n">
        <v>46178</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13687-2026</t>
        </is>
      </c>
      <c r="B1076" s="1" t="n">
        <v>46097.53208333333</v>
      </c>
      <c r="C1076" s="1" t="n">
        <v>46178</v>
      </c>
      <c r="D1076" t="inlineStr">
        <is>
          <t>VÄSTERNORRLANDS LÄN</t>
        </is>
      </c>
      <c r="E1076" t="inlineStr">
        <is>
          <t>ÅNGE</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13688-2026</t>
        </is>
      </c>
      <c r="B1077" s="1" t="n">
        <v>46097.53211805555</v>
      </c>
      <c r="C1077" s="1" t="n">
        <v>46178</v>
      </c>
      <c r="D1077" t="inlineStr">
        <is>
          <t>VÄSTERNORRLANDS LÄN</t>
        </is>
      </c>
      <c r="E1077" t="inlineStr">
        <is>
          <t>ÅNGE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20143-2026</t>
        </is>
      </c>
      <c r="B1078" s="1" t="n">
        <v>46137.34509259259</v>
      </c>
      <c r="C1078" s="1" t="n">
        <v>46178</v>
      </c>
      <c r="D1078" t="inlineStr">
        <is>
          <t>VÄSTERNORRLANDS LÄN</t>
        </is>
      </c>
      <c r="E1078" t="inlineStr">
        <is>
          <t>ÅNGE</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20172-2026</t>
        </is>
      </c>
      <c r="B1079" s="1" t="n">
        <v>46139.34449074074</v>
      </c>
      <c r="C1079" s="1" t="n">
        <v>46178</v>
      </c>
      <c r="D1079" t="inlineStr">
        <is>
          <t>VÄSTERNORRLANDS LÄN</t>
        </is>
      </c>
      <c r="E1079" t="inlineStr">
        <is>
          <t>ÅNGE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53985-2025</t>
        </is>
      </c>
      <c r="B1080" s="1" t="n">
        <v>45961.57366898148</v>
      </c>
      <c r="C1080" s="1" t="n">
        <v>46178</v>
      </c>
      <c r="D1080" t="inlineStr">
        <is>
          <t>VÄSTERNORRLANDS LÄN</t>
        </is>
      </c>
      <c r="E1080" t="inlineStr">
        <is>
          <t>ÅNGE</t>
        </is>
      </c>
      <c r="F1080" t="inlineStr">
        <is>
          <t>SCA</t>
        </is>
      </c>
      <c r="G1080" t="n">
        <v>14.2</v>
      </c>
      <c r="H1080" t="n">
        <v>0</v>
      </c>
      <c r="I1080" t="n">
        <v>0</v>
      </c>
      <c r="J1080" t="n">
        <v>0</v>
      </c>
      <c r="K1080" t="n">
        <v>0</v>
      </c>
      <c r="L1080" t="n">
        <v>0</v>
      </c>
      <c r="M1080" t="n">
        <v>0</v>
      </c>
      <c r="N1080" t="n">
        <v>0</v>
      </c>
      <c r="O1080" t="n">
        <v>0</v>
      </c>
      <c r="P1080" t="n">
        <v>0</v>
      </c>
      <c r="Q1080" t="n">
        <v>0</v>
      </c>
      <c r="R1080" s="2" t="inlineStr"/>
    </row>
    <row r="1081" ht="15" customHeight="1">
      <c r="A1081" t="inlineStr">
        <is>
          <t>A 13706-2026</t>
        </is>
      </c>
      <c r="B1081" s="1" t="n">
        <v>46097.57355324074</v>
      </c>
      <c r="C1081" s="1" t="n">
        <v>46178</v>
      </c>
      <c r="D1081" t="inlineStr">
        <is>
          <t>VÄSTERNORRLANDS LÄN</t>
        </is>
      </c>
      <c r="E1081" t="inlineStr">
        <is>
          <t>ÅNGE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20473-2026</t>
        </is>
      </c>
      <c r="B1082" s="1" t="n">
        <v>46140.46928240741</v>
      </c>
      <c r="C1082" s="1" t="n">
        <v>46178</v>
      </c>
      <c r="D1082" t="inlineStr">
        <is>
          <t>VÄSTERNORRLANDS LÄN</t>
        </is>
      </c>
      <c r="E1082" t="inlineStr">
        <is>
          <t>ÅNGE</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14236-2026</t>
        </is>
      </c>
      <c r="B1083" s="1" t="n">
        <v>46099.59628472223</v>
      </c>
      <c r="C1083" s="1" t="n">
        <v>46178</v>
      </c>
      <c r="D1083" t="inlineStr">
        <is>
          <t>VÄSTERNORRLANDS LÄN</t>
        </is>
      </c>
      <c r="E1083" t="inlineStr">
        <is>
          <t>ÅNGE</t>
        </is>
      </c>
      <c r="F1083" t="inlineStr">
        <is>
          <t>Holmen skog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14408-2026</t>
        </is>
      </c>
      <c r="B1084" s="1" t="n">
        <v>46100.43482638889</v>
      </c>
      <c r="C1084" s="1" t="n">
        <v>46178</v>
      </c>
      <c r="D1084" t="inlineStr">
        <is>
          <t>VÄSTERNORRLANDS LÄN</t>
        </is>
      </c>
      <c r="E1084" t="inlineStr">
        <is>
          <t>ÅNGE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53509-2025</t>
        </is>
      </c>
      <c r="B1085" s="1" t="n">
        <v>45960.34506944445</v>
      </c>
      <c r="C1085" s="1" t="n">
        <v>46178</v>
      </c>
      <c r="D1085" t="inlineStr">
        <is>
          <t>VÄSTERNORRLANDS LÄN</t>
        </is>
      </c>
      <c r="E1085" t="inlineStr">
        <is>
          <t>ÅNGE</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36786-2024</t>
        </is>
      </c>
      <c r="B1086" s="1" t="n">
        <v>45538</v>
      </c>
      <c r="C1086" s="1" t="n">
        <v>46178</v>
      </c>
      <c r="D1086" t="inlineStr">
        <is>
          <t>VÄSTERNORRLANDS LÄN</t>
        </is>
      </c>
      <c r="E1086" t="inlineStr">
        <is>
          <t>ÅNGE</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14137-2026</t>
        </is>
      </c>
      <c r="B1087" s="1" t="n">
        <v>46099.45681712963</v>
      </c>
      <c r="C1087" s="1" t="n">
        <v>46178</v>
      </c>
      <c r="D1087" t="inlineStr">
        <is>
          <t>VÄSTERNORRLANDS LÄN</t>
        </is>
      </c>
      <c r="E1087" t="inlineStr">
        <is>
          <t>ÅNGE</t>
        </is>
      </c>
      <c r="F1087" t="inlineStr">
        <is>
          <t>Holmen skog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14291-2026</t>
        </is>
      </c>
      <c r="B1088" s="1" t="n">
        <v>46099.69642361111</v>
      </c>
      <c r="C1088" s="1" t="n">
        <v>46178</v>
      </c>
      <c r="D1088" t="inlineStr">
        <is>
          <t>VÄSTERNORRLANDS LÄN</t>
        </is>
      </c>
      <c r="E1088" t="inlineStr">
        <is>
          <t>ÅNGE</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14425-2026</t>
        </is>
      </c>
      <c r="B1089" s="1" t="n">
        <v>46100.46949074074</v>
      </c>
      <c r="C1089" s="1" t="n">
        <v>46178</v>
      </c>
      <c r="D1089" t="inlineStr">
        <is>
          <t>VÄSTERNORRLANDS LÄN</t>
        </is>
      </c>
      <c r="E1089" t="inlineStr">
        <is>
          <t>ÅNGE</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53713-2025</t>
        </is>
      </c>
      <c r="B1090" s="1" t="n">
        <v>45960.61568287037</v>
      </c>
      <c r="C1090" s="1" t="n">
        <v>46178</v>
      </c>
      <c r="D1090" t="inlineStr">
        <is>
          <t>VÄSTERNORRLANDS LÄN</t>
        </is>
      </c>
      <c r="E1090" t="inlineStr">
        <is>
          <t>ÅNGE</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14507-2026</t>
        </is>
      </c>
      <c r="B1091" s="1" t="n">
        <v>46100.61540509259</v>
      </c>
      <c r="C1091" s="1" t="n">
        <v>46178</v>
      </c>
      <c r="D1091" t="inlineStr">
        <is>
          <t>VÄSTERNORRLANDS LÄN</t>
        </is>
      </c>
      <c r="E1091" t="inlineStr">
        <is>
          <t>ÅNGE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20842-2026</t>
        </is>
      </c>
      <c r="B1092" s="1" t="n">
        <v>46142.34467592592</v>
      </c>
      <c r="C1092" s="1" t="n">
        <v>46178</v>
      </c>
      <c r="D1092" t="inlineStr">
        <is>
          <t>VÄSTERNORRLANDS LÄN</t>
        </is>
      </c>
      <c r="E1092" t="inlineStr">
        <is>
          <t>ÅNGE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14101-2026</t>
        </is>
      </c>
      <c r="B1093" s="1" t="n">
        <v>46099.40693287037</v>
      </c>
      <c r="C1093" s="1" t="n">
        <v>46178</v>
      </c>
      <c r="D1093" t="inlineStr">
        <is>
          <t>VÄSTERNORRLANDS LÄN</t>
        </is>
      </c>
      <c r="E1093" t="inlineStr">
        <is>
          <t>ÅNGE</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14372-2026</t>
        </is>
      </c>
      <c r="B1094" s="1" t="n">
        <v>46100.36810185185</v>
      </c>
      <c r="C1094" s="1" t="n">
        <v>46178</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14413-2026</t>
        </is>
      </c>
      <c r="B1095" s="1" t="n">
        <v>46100</v>
      </c>
      <c r="C1095" s="1" t="n">
        <v>46178</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54346-2025</t>
        </is>
      </c>
      <c r="B1096" s="1" t="n">
        <v>45965.36525462963</v>
      </c>
      <c r="C1096" s="1" t="n">
        <v>46178</v>
      </c>
      <c r="D1096" t="inlineStr">
        <is>
          <t>VÄSTERNORRLANDS LÄN</t>
        </is>
      </c>
      <c r="E1096" t="inlineStr">
        <is>
          <t>ÅNGE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54357-2025</t>
        </is>
      </c>
      <c r="B1097" s="1" t="n">
        <v>45965.3858912037</v>
      </c>
      <c r="C1097" s="1" t="n">
        <v>46178</v>
      </c>
      <c r="D1097" t="inlineStr">
        <is>
          <t>VÄSTERNORRLANDS LÄN</t>
        </is>
      </c>
      <c r="E1097" t="inlineStr">
        <is>
          <t>ÅNGE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14220-2026</t>
        </is>
      </c>
      <c r="B1098" s="1" t="n">
        <v>46099.57112268519</v>
      </c>
      <c r="C1098" s="1" t="n">
        <v>46178</v>
      </c>
      <c r="D1098" t="inlineStr">
        <is>
          <t>VÄSTERNORRLANDS LÄN</t>
        </is>
      </c>
      <c r="E1098" t="inlineStr">
        <is>
          <t>ÅNGE</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14392-2026</t>
        </is>
      </c>
      <c r="B1099" s="1" t="n">
        <v>46100.38825231481</v>
      </c>
      <c r="C1099" s="1" t="n">
        <v>46178</v>
      </c>
      <c r="D1099" t="inlineStr">
        <is>
          <t>VÄSTERNORRLANDS LÄN</t>
        </is>
      </c>
      <c r="E1099" t="inlineStr">
        <is>
          <t>ÅNGE</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20125-2026</t>
        </is>
      </c>
      <c r="B1100" s="1" t="n">
        <v>46136</v>
      </c>
      <c r="C1100" s="1" t="n">
        <v>46178</v>
      </c>
      <c r="D1100" t="inlineStr">
        <is>
          <t>VÄSTERNORRLANDS LÄN</t>
        </is>
      </c>
      <c r="E1100" t="inlineStr">
        <is>
          <t>ÅNGE</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14506-2026</t>
        </is>
      </c>
      <c r="B1101" s="1" t="n">
        <v>46100.61523148148</v>
      </c>
      <c r="C1101" s="1" t="n">
        <v>46178</v>
      </c>
      <c r="D1101" t="inlineStr">
        <is>
          <t>VÄSTERNORRLANDS LÄN</t>
        </is>
      </c>
      <c r="E1101" t="inlineStr">
        <is>
          <t>ÅNGE</t>
        </is>
      </c>
      <c r="F1101" t="inlineStr">
        <is>
          <t>SCA</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54197-2025</t>
        </is>
      </c>
      <c r="B1102" s="1" t="n">
        <v>45964</v>
      </c>
      <c r="C1102" s="1" t="n">
        <v>46178</v>
      </c>
      <c r="D1102" t="inlineStr">
        <is>
          <t>VÄSTERNORRLANDS LÄN</t>
        </is>
      </c>
      <c r="E1102" t="inlineStr">
        <is>
          <t>ÅNGE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21201-2026</t>
        </is>
      </c>
      <c r="B1103" s="1" t="n">
        <v>46146.65752314815</v>
      </c>
      <c r="C1103" s="1" t="n">
        <v>46178</v>
      </c>
      <c r="D1103" t="inlineStr">
        <is>
          <t>VÄSTERNORRLANDS LÄN</t>
        </is>
      </c>
      <c r="E1103" t="inlineStr">
        <is>
          <t>ÅNGE</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54908-2021</t>
        </is>
      </c>
      <c r="B1104" s="1" t="n">
        <v>44474.39769675926</v>
      </c>
      <c r="C1104" s="1" t="n">
        <v>46178</v>
      </c>
      <c r="D1104" t="inlineStr">
        <is>
          <t>VÄSTERNORRLANDS LÄN</t>
        </is>
      </c>
      <c r="E1104" t="inlineStr">
        <is>
          <t>ÅNGE</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54707-2025</t>
        </is>
      </c>
      <c r="B1105" s="1" t="n">
        <v>45966</v>
      </c>
      <c r="C1105" s="1" t="n">
        <v>46178</v>
      </c>
      <c r="D1105" t="inlineStr">
        <is>
          <t>VÄSTERNORRLANDS LÄN</t>
        </is>
      </c>
      <c r="E1105" t="inlineStr">
        <is>
          <t>ÅNGE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54710-2025</t>
        </is>
      </c>
      <c r="B1106" s="1" t="n">
        <v>45966.49515046296</v>
      </c>
      <c r="C1106" s="1" t="n">
        <v>46178</v>
      </c>
      <c r="D1106" t="inlineStr">
        <is>
          <t>VÄSTERNORRLANDS LÄN</t>
        </is>
      </c>
      <c r="E1106" t="inlineStr">
        <is>
          <t>ÅNGE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54819-2025</t>
        </is>
      </c>
      <c r="B1107" s="1" t="n">
        <v>45966.65709490741</v>
      </c>
      <c r="C1107" s="1" t="n">
        <v>46178</v>
      </c>
      <c r="D1107" t="inlineStr">
        <is>
          <t>VÄSTERNORRLANDS LÄN</t>
        </is>
      </c>
      <c r="E1107" t="inlineStr">
        <is>
          <t>ÅNGE</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45933-2023</t>
        </is>
      </c>
      <c r="B1108" s="1" t="n">
        <v>45195</v>
      </c>
      <c r="C1108" s="1" t="n">
        <v>46178</v>
      </c>
      <c r="D1108" t="inlineStr">
        <is>
          <t>VÄSTERNORRLANDS LÄN</t>
        </is>
      </c>
      <c r="E1108" t="inlineStr">
        <is>
          <t>ÅNGE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14844-2026</t>
        </is>
      </c>
      <c r="B1109" s="1" t="n">
        <v>46104</v>
      </c>
      <c r="C1109" s="1" t="n">
        <v>46178</v>
      </c>
      <c r="D1109" t="inlineStr">
        <is>
          <t>VÄSTERNORRLANDS LÄN</t>
        </is>
      </c>
      <c r="E1109" t="inlineStr">
        <is>
          <t>ÅNGE</t>
        </is>
      </c>
      <c r="F1109" t="inlineStr">
        <is>
          <t>SCA</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54713-2025</t>
        </is>
      </c>
      <c r="B1110" s="1" t="n">
        <v>45966.50446759259</v>
      </c>
      <c r="C1110" s="1" t="n">
        <v>46178</v>
      </c>
      <c r="D1110" t="inlineStr">
        <is>
          <t>VÄSTERNORRLANDS LÄN</t>
        </is>
      </c>
      <c r="E1110" t="inlineStr">
        <is>
          <t>ÅNGE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55038-2025</t>
        </is>
      </c>
      <c r="B1111" s="1" t="n">
        <v>45967.65527777778</v>
      </c>
      <c r="C1111" s="1" t="n">
        <v>46178</v>
      </c>
      <c r="D1111" t="inlineStr">
        <is>
          <t>VÄSTERNORRLANDS LÄN</t>
        </is>
      </c>
      <c r="E1111" t="inlineStr">
        <is>
          <t>ÅNGE</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55045-2025</t>
        </is>
      </c>
      <c r="B1112" s="1" t="n">
        <v>45967.66068287037</v>
      </c>
      <c r="C1112" s="1" t="n">
        <v>46178</v>
      </c>
      <c r="D1112" t="inlineStr">
        <is>
          <t>VÄSTERNORRLANDS LÄN</t>
        </is>
      </c>
      <c r="E1112" t="inlineStr">
        <is>
          <t>ÅNGE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54925-2025</t>
        </is>
      </c>
      <c r="B1113" s="1" t="n">
        <v>45967.40699074074</v>
      </c>
      <c r="C1113" s="1" t="n">
        <v>46178</v>
      </c>
      <c r="D1113" t="inlineStr">
        <is>
          <t>VÄSTERNORRLANDS LÄN</t>
        </is>
      </c>
      <c r="E1113" t="inlineStr">
        <is>
          <t>ÅNGE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54926-2025</t>
        </is>
      </c>
      <c r="B1114" s="1" t="n">
        <v>45967.40707175926</v>
      </c>
      <c r="C1114" s="1" t="n">
        <v>46178</v>
      </c>
      <c r="D1114" t="inlineStr">
        <is>
          <t>VÄSTERNORRLANDS LÄN</t>
        </is>
      </c>
      <c r="E1114" t="inlineStr">
        <is>
          <t>ÅNGE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54715-2025</t>
        </is>
      </c>
      <c r="B1115" s="1" t="n">
        <v>45966.50961805556</v>
      </c>
      <c r="C1115" s="1" t="n">
        <v>46178</v>
      </c>
      <c r="D1115" t="inlineStr">
        <is>
          <t>VÄSTERNORRLANDS LÄN</t>
        </is>
      </c>
      <c r="E1115" t="inlineStr">
        <is>
          <t>ÅNGE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54680-2025</t>
        </is>
      </c>
      <c r="B1116" s="1" t="n">
        <v>45966.42751157407</v>
      </c>
      <c r="C1116" s="1" t="n">
        <v>46178</v>
      </c>
      <c r="D1116" t="inlineStr">
        <is>
          <t>VÄSTERNORRLANDS LÄN</t>
        </is>
      </c>
      <c r="E1116" t="inlineStr">
        <is>
          <t>ÅNGE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54702-2025</t>
        </is>
      </c>
      <c r="B1117" s="1" t="n">
        <v>45966.4828587963</v>
      </c>
      <c r="C1117" s="1" t="n">
        <v>46178</v>
      </c>
      <c r="D1117" t="inlineStr">
        <is>
          <t>VÄSTERNORRLANDS LÄN</t>
        </is>
      </c>
      <c r="E1117" t="inlineStr">
        <is>
          <t>ÅNGE</t>
        </is>
      </c>
      <c r="G1117" t="n">
        <v>12.3</v>
      </c>
      <c r="H1117" t="n">
        <v>0</v>
      </c>
      <c r="I1117" t="n">
        <v>0</v>
      </c>
      <c r="J1117" t="n">
        <v>0</v>
      </c>
      <c r="K1117" t="n">
        <v>0</v>
      </c>
      <c r="L1117" t="n">
        <v>0</v>
      </c>
      <c r="M1117" t="n">
        <v>0</v>
      </c>
      <c r="N1117" t="n">
        <v>0</v>
      </c>
      <c r="O1117" t="n">
        <v>0</v>
      </c>
      <c r="P1117" t="n">
        <v>0</v>
      </c>
      <c r="Q1117" t="n">
        <v>0</v>
      </c>
      <c r="R1117" s="2" t="inlineStr"/>
    </row>
    <row r="1118" ht="15" customHeight="1">
      <c r="A1118" t="inlineStr">
        <is>
          <t>A 54705-2025</t>
        </is>
      </c>
      <c r="B1118" s="1" t="n">
        <v>45966.4853125</v>
      </c>
      <c r="C1118" s="1" t="n">
        <v>46178</v>
      </c>
      <c r="D1118" t="inlineStr">
        <is>
          <t>VÄSTERNORRLANDS LÄN</t>
        </is>
      </c>
      <c r="E1118" t="inlineStr">
        <is>
          <t>ÅNGE</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46015-2024</t>
        </is>
      </c>
      <c r="B1119" s="1" t="n">
        <v>45580.67760416667</v>
      </c>
      <c r="C1119" s="1" t="n">
        <v>46178</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55049-2025</t>
        </is>
      </c>
      <c r="B1120" s="1" t="n">
        <v>45967.66614583333</v>
      </c>
      <c r="C1120" s="1" t="n">
        <v>46178</v>
      </c>
      <c r="D1120" t="inlineStr">
        <is>
          <t>VÄSTERNORRLANDS LÄN</t>
        </is>
      </c>
      <c r="E1120" t="inlineStr">
        <is>
          <t>ÅNGE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21534-2026</t>
        </is>
      </c>
      <c r="B1121" s="1" t="n">
        <v>46148.63607638889</v>
      </c>
      <c r="C1121" s="1" t="n">
        <v>46178</v>
      </c>
      <c r="D1121" t="inlineStr">
        <is>
          <t>VÄSTERNORRLANDS LÄN</t>
        </is>
      </c>
      <c r="E1121" t="inlineStr">
        <is>
          <t>ÅNGE</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20681-2026</t>
        </is>
      </c>
      <c r="B1122" s="1" t="n">
        <v>46141</v>
      </c>
      <c r="C1122" s="1" t="n">
        <v>46178</v>
      </c>
      <c r="D1122" t="inlineStr">
        <is>
          <t>VÄSTERNORRLANDS LÄN</t>
        </is>
      </c>
      <c r="E1122" t="inlineStr">
        <is>
          <t>ÅNGE</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20682-2026</t>
        </is>
      </c>
      <c r="B1123" s="1" t="n">
        <v>46141</v>
      </c>
      <c r="C1123" s="1" t="n">
        <v>46178</v>
      </c>
      <c r="D1123" t="inlineStr">
        <is>
          <t>VÄSTERNORRLANDS LÄN</t>
        </is>
      </c>
      <c r="E1123" t="inlineStr">
        <is>
          <t>ÅNGE</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15466-2026</t>
        </is>
      </c>
      <c r="B1124" s="1" t="n">
        <v>46106.42815972222</v>
      </c>
      <c r="C1124" s="1" t="n">
        <v>46178</v>
      </c>
      <c r="D1124" t="inlineStr">
        <is>
          <t>VÄSTERNORRLANDS LÄN</t>
        </is>
      </c>
      <c r="E1124" t="inlineStr">
        <is>
          <t>ÅNGE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15518-2026</t>
        </is>
      </c>
      <c r="B1125" s="1" t="n">
        <v>46106.471875</v>
      </c>
      <c r="C1125" s="1" t="n">
        <v>46178</v>
      </c>
      <c r="D1125" t="inlineStr">
        <is>
          <t>VÄSTERNORRLANDS LÄN</t>
        </is>
      </c>
      <c r="E1125" t="inlineStr">
        <is>
          <t>ÅNGE</t>
        </is>
      </c>
      <c r="F1125" t="inlineStr">
        <is>
          <t>Holmen skog AB</t>
        </is>
      </c>
      <c r="G1125" t="n">
        <v>80.5</v>
      </c>
      <c r="H1125" t="n">
        <v>0</v>
      </c>
      <c r="I1125" t="n">
        <v>0</v>
      </c>
      <c r="J1125" t="n">
        <v>0</v>
      </c>
      <c r="K1125" t="n">
        <v>0</v>
      </c>
      <c r="L1125" t="n">
        <v>0</v>
      </c>
      <c r="M1125" t="n">
        <v>0</v>
      </c>
      <c r="N1125" t="n">
        <v>0</v>
      </c>
      <c r="O1125" t="n">
        <v>0</v>
      </c>
      <c r="P1125" t="n">
        <v>0</v>
      </c>
      <c r="Q1125" t="n">
        <v>0</v>
      </c>
      <c r="R1125" s="2" t="inlineStr"/>
    </row>
    <row r="1126" ht="15" customHeight="1">
      <c r="A1126" t="inlineStr">
        <is>
          <t>A 21351-2026</t>
        </is>
      </c>
      <c r="B1126" s="1" t="n">
        <v>46147.63005787037</v>
      </c>
      <c r="C1126" s="1" t="n">
        <v>46178</v>
      </c>
      <c r="D1126" t="inlineStr">
        <is>
          <t>VÄSTERNORRLANDS LÄN</t>
        </is>
      </c>
      <c r="E1126" t="inlineStr">
        <is>
          <t>ÅNGE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21569-2026</t>
        </is>
      </c>
      <c r="B1127" s="1" t="n">
        <v>46148.67761574074</v>
      </c>
      <c r="C1127" s="1" t="n">
        <v>46178</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21536-2026</t>
        </is>
      </c>
      <c r="B1128" s="1" t="n">
        <v>46148.6364699074</v>
      </c>
      <c r="C1128" s="1" t="n">
        <v>46178</v>
      </c>
      <c r="D1128" t="inlineStr">
        <is>
          <t>VÄSTERNORRLANDS LÄN</t>
        </is>
      </c>
      <c r="E1128" t="inlineStr">
        <is>
          <t>ÅNGE</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44636-2024</t>
        </is>
      </c>
      <c r="B1129" s="1" t="n">
        <v>45574.51491898148</v>
      </c>
      <c r="C1129" s="1" t="n">
        <v>46178</v>
      </c>
      <c r="D1129" t="inlineStr">
        <is>
          <t>VÄSTERNORRLANDS LÄN</t>
        </is>
      </c>
      <c r="E1129" t="inlineStr">
        <is>
          <t>ÅNGE</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44979-2023</t>
        </is>
      </c>
      <c r="B1130" s="1" t="n">
        <v>45190.95752314815</v>
      </c>
      <c r="C1130" s="1" t="n">
        <v>46178</v>
      </c>
      <c r="D1130" t="inlineStr">
        <is>
          <t>VÄSTERNORRLANDS LÄN</t>
        </is>
      </c>
      <c r="E1130" t="inlineStr">
        <is>
          <t>ÅNGE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21437-2026</t>
        </is>
      </c>
      <c r="B1131" s="1" t="n">
        <v>46148.40700231482</v>
      </c>
      <c r="C1131" s="1" t="n">
        <v>46178</v>
      </c>
      <c r="D1131" t="inlineStr">
        <is>
          <t>VÄSTERNORRLANDS LÄN</t>
        </is>
      </c>
      <c r="E1131" t="inlineStr">
        <is>
          <t>ÅNGE</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21466-2026</t>
        </is>
      </c>
      <c r="B1132" s="1" t="n">
        <v>46148.46966435185</v>
      </c>
      <c r="C1132" s="1" t="n">
        <v>46178</v>
      </c>
      <c r="D1132" t="inlineStr">
        <is>
          <t>VÄSTERNORRLANDS LÄN</t>
        </is>
      </c>
      <c r="E1132" t="inlineStr">
        <is>
          <t>ÅNGE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1582-2025</t>
        </is>
      </c>
      <c r="B1133" s="1" t="n">
        <v>45670</v>
      </c>
      <c r="C1133" s="1" t="n">
        <v>46178</v>
      </c>
      <c r="D1133" t="inlineStr">
        <is>
          <t>VÄSTERNORRLANDS LÄN</t>
        </is>
      </c>
      <c r="E1133" t="inlineStr">
        <is>
          <t>ÅNGE</t>
        </is>
      </c>
      <c r="G1133" t="n">
        <v>7.3</v>
      </c>
      <c r="H1133" t="n">
        <v>0</v>
      </c>
      <c r="I1133" t="n">
        <v>0</v>
      </c>
      <c r="J1133" t="n">
        <v>0</v>
      </c>
      <c r="K1133" t="n">
        <v>0</v>
      </c>
      <c r="L1133" t="n">
        <v>0</v>
      </c>
      <c r="M1133" t="n">
        <v>0</v>
      </c>
      <c r="N1133" t="n">
        <v>0</v>
      </c>
      <c r="O1133" t="n">
        <v>0</v>
      </c>
      <c r="P1133" t="n">
        <v>0</v>
      </c>
      <c r="Q1133" t="n">
        <v>0</v>
      </c>
      <c r="R1133" s="2" t="inlineStr"/>
      <c r="U1133">
        <f>HYPERLINK("https://klasma.github.io/Logging_2260/knärot/A 1582-2025 karta knärot.png", "A 1582-2025")</f>
        <v/>
      </c>
      <c r="V1133">
        <f>HYPERLINK("https://klasma.github.io/Logging_2260/klagomål/A 1582-2025 FSC-klagomål.docx", "A 1582-2025")</f>
        <v/>
      </c>
      <c r="W1133">
        <f>HYPERLINK("https://klasma.github.io/Logging_2260/klagomålsmail/A 1582-2025 FSC-klagomål mail.docx", "A 1582-2025")</f>
        <v/>
      </c>
      <c r="X1133">
        <f>HYPERLINK("https://klasma.github.io/Logging_2260/tillsyn/A 1582-2025 tillsynsbegäran.docx", "A 1582-2025")</f>
        <v/>
      </c>
      <c r="Y1133">
        <f>HYPERLINK("https://klasma.github.io/Logging_2260/tillsynsmail/A 1582-2025 tillsynsbegäran mail.docx", "A 1582-2025")</f>
        <v/>
      </c>
    </row>
    <row r="1134" ht="15" customHeight="1">
      <c r="A1134" t="inlineStr">
        <is>
          <t>A 21254-2026</t>
        </is>
      </c>
      <c r="B1134" s="1" t="n">
        <v>46147.38592592593</v>
      </c>
      <c r="C1134" s="1" t="n">
        <v>46178</v>
      </c>
      <c r="D1134" t="inlineStr">
        <is>
          <t>VÄSTERNORRLANDS LÄN</t>
        </is>
      </c>
      <c r="E1134" t="inlineStr">
        <is>
          <t>ÅNGE</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25377-2024</t>
        </is>
      </c>
      <c r="B1135" s="1" t="n">
        <v>45462.96211805556</v>
      </c>
      <c r="C1135" s="1" t="n">
        <v>46178</v>
      </c>
      <c r="D1135" t="inlineStr">
        <is>
          <t>VÄSTERNORRLANDS LÄN</t>
        </is>
      </c>
      <c r="E1135" t="inlineStr">
        <is>
          <t>ÅNGE</t>
        </is>
      </c>
      <c r="F1135" t="inlineStr">
        <is>
          <t>SCA</t>
        </is>
      </c>
      <c r="G1135" t="n">
        <v>20.7</v>
      </c>
      <c r="H1135" t="n">
        <v>0</v>
      </c>
      <c r="I1135" t="n">
        <v>0</v>
      </c>
      <c r="J1135" t="n">
        <v>0</v>
      </c>
      <c r="K1135" t="n">
        <v>0</v>
      </c>
      <c r="L1135" t="n">
        <v>0</v>
      </c>
      <c r="M1135" t="n">
        <v>0</v>
      </c>
      <c r="N1135" t="n">
        <v>0</v>
      </c>
      <c r="O1135" t="n">
        <v>0</v>
      </c>
      <c r="P1135" t="n">
        <v>0</v>
      </c>
      <c r="Q1135" t="n">
        <v>0</v>
      </c>
      <c r="R1135" s="2" t="inlineStr"/>
    </row>
    <row r="1136" ht="15" customHeight="1">
      <c r="A1136" t="inlineStr">
        <is>
          <t>A 20126-2026</t>
        </is>
      </c>
      <c r="B1136" s="1" t="n">
        <v>46136</v>
      </c>
      <c r="C1136" s="1" t="n">
        <v>46178</v>
      </c>
      <c r="D1136" t="inlineStr">
        <is>
          <t>VÄSTERNORRLANDS LÄN</t>
        </is>
      </c>
      <c r="E1136" t="inlineStr">
        <is>
          <t>ÅNGE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21692-2026</t>
        </is>
      </c>
      <c r="B1137" s="1" t="n">
        <v>46149.53125</v>
      </c>
      <c r="C1137" s="1" t="n">
        <v>46178</v>
      </c>
      <c r="D1137" t="inlineStr">
        <is>
          <t>VÄSTERNORRLANDS LÄN</t>
        </is>
      </c>
      <c r="E1137" t="inlineStr">
        <is>
          <t>ÅNGE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55556-2025</t>
        </is>
      </c>
      <c r="B1138" s="1" t="n">
        <v>45971.64694444444</v>
      </c>
      <c r="C1138" s="1" t="n">
        <v>46178</v>
      </c>
      <c r="D1138" t="inlineStr">
        <is>
          <t>VÄSTERNORRLANDS LÄN</t>
        </is>
      </c>
      <c r="E1138" t="inlineStr">
        <is>
          <t>ÅNGE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21779-2026</t>
        </is>
      </c>
      <c r="B1139" s="1" t="n">
        <v>46150.37328703704</v>
      </c>
      <c r="C1139" s="1" t="n">
        <v>46178</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15938-2026</t>
        </is>
      </c>
      <c r="B1140" s="1" t="n">
        <v>46107</v>
      </c>
      <c r="C1140" s="1" t="n">
        <v>46178</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55816-2025</t>
        </is>
      </c>
      <c r="B1141" s="1" t="n">
        <v>45972.69851851852</v>
      </c>
      <c r="C1141" s="1" t="n">
        <v>46178</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39975-2023</t>
        </is>
      </c>
      <c r="B1142" s="1" t="n">
        <v>45168.58844907407</v>
      </c>
      <c r="C1142" s="1" t="n">
        <v>46178</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21579-2026</t>
        </is>
      </c>
      <c r="B1143" s="1" t="n">
        <v>46148.71936342592</v>
      </c>
      <c r="C1143" s="1" t="n">
        <v>46178</v>
      </c>
      <c r="D1143" t="inlineStr">
        <is>
          <t>VÄSTERNORRLANDS LÄN</t>
        </is>
      </c>
      <c r="E1143" t="inlineStr">
        <is>
          <t>ÅNGE</t>
        </is>
      </c>
      <c r="F1143" t="inlineStr">
        <is>
          <t>SCA</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53970-2021</t>
        </is>
      </c>
      <c r="B1144" s="1" t="n">
        <v>44469</v>
      </c>
      <c r="C1144" s="1" t="n">
        <v>46178</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15967-2026</t>
        </is>
      </c>
      <c r="B1145" s="1" t="n">
        <v>46108.34435185185</v>
      </c>
      <c r="C1145" s="1" t="n">
        <v>46178</v>
      </c>
      <c r="D1145" t="inlineStr">
        <is>
          <t>VÄSTERNORRLANDS LÄN</t>
        </is>
      </c>
      <c r="E1145" t="inlineStr">
        <is>
          <t>ÅNGE</t>
        </is>
      </c>
      <c r="F1145" t="inlineStr">
        <is>
          <t>SCA</t>
        </is>
      </c>
      <c r="G1145" t="n">
        <v>21.4</v>
      </c>
      <c r="H1145" t="n">
        <v>0</v>
      </c>
      <c r="I1145" t="n">
        <v>0</v>
      </c>
      <c r="J1145" t="n">
        <v>0</v>
      </c>
      <c r="K1145" t="n">
        <v>0</v>
      </c>
      <c r="L1145" t="n">
        <v>0</v>
      </c>
      <c r="M1145" t="n">
        <v>0</v>
      </c>
      <c r="N1145" t="n">
        <v>0</v>
      </c>
      <c r="O1145" t="n">
        <v>0</v>
      </c>
      <c r="P1145" t="n">
        <v>0</v>
      </c>
      <c r="Q1145" t="n">
        <v>0</v>
      </c>
      <c r="R1145" s="2" t="inlineStr"/>
    </row>
    <row r="1146" ht="15" customHeight="1">
      <c r="A1146" t="inlineStr">
        <is>
          <t>A 21884-2026</t>
        </is>
      </c>
      <c r="B1146" s="1" t="n">
        <v>46150.59431712963</v>
      </c>
      <c r="C1146" s="1" t="n">
        <v>46178</v>
      </c>
      <c r="D1146" t="inlineStr">
        <is>
          <t>VÄSTERNORRLANDS LÄN</t>
        </is>
      </c>
      <c r="E1146" t="inlineStr">
        <is>
          <t>ÅNGE</t>
        </is>
      </c>
      <c r="F1146" t="inlineStr">
        <is>
          <t>SCA</t>
        </is>
      </c>
      <c r="G1146" t="n">
        <v>26.9</v>
      </c>
      <c r="H1146" t="n">
        <v>0</v>
      </c>
      <c r="I1146" t="n">
        <v>0</v>
      </c>
      <c r="J1146" t="n">
        <v>0</v>
      </c>
      <c r="K1146" t="n">
        <v>0</v>
      </c>
      <c r="L1146" t="n">
        <v>0</v>
      </c>
      <c r="M1146" t="n">
        <v>0</v>
      </c>
      <c r="N1146" t="n">
        <v>0</v>
      </c>
      <c r="O1146" t="n">
        <v>0</v>
      </c>
      <c r="P1146" t="n">
        <v>0</v>
      </c>
      <c r="Q1146" t="n">
        <v>0</v>
      </c>
      <c r="R1146" s="2" t="inlineStr"/>
    </row>
    <row r="1147" ht="15" customHeight="1">
      <c r="A1147" t="inlineStr">
        <is>
          <t>A 13491-2023</t>
        </is>
      </c>
      <c r="B1147" s="1" t="n">
        <v>45005.93929398148</v>
      </c>
      <c r="C1147" s="1" t="n">
        <v>46178</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56077-2025</t>
        </is>
      </c>
      <c r="B1148" s="1" t="n">
        <v>45973.65759259259</v>
      </c>
      <c r="C1148" s="1" t="n">
        <v>46178</v>
      </c>
      <c r="D1148" t="inlineStr">
        <is>
          <t>VÄSTERNORRLANDS LÄN</t>
        </is>
      </c>
      <c r="E1148" t="inlineStr">
        <is>
          <t>ÅNGE</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33062-2022</t>
        </is>
      </c>
      <c r="B1149" s="1" t="n">
        <v>44785</v>
      </c>
      <c r="C1149" s="1" t="n">
        <v>46178</v>
      </c>
      <c r="D1149" t="inlineStr">
        <is>
          <t>VÄSTERNORRLANDS LÄN</t>
        </is>
      </c>
      <c r="E1149" t="inlineStr">
        <is>
          <t>ÅNGE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21200-2026</t>
        </is>
      </c>
      <c r="B1150" s="1" t="n">
        <v>46146</v>
      </c>
      <c r="C1150" s="1" t="n">
        <v>46178</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30347-2024</t>
        </is>
      </c>
      <c r="B1151" s="1" t="n">
        <v>45490.95515046296</v>
      </c>
      <c r="C1151" s="1" t="n">
        <v>46178</v>
      </c>
      <c r="D1151" t="inlineStr">
        <is>
          <t>VÄSTERNORRLANDS LÄN</t>
        </is>
      </c>
      <c r="E1151" t="inlineStr">
        <is>
          <t>ÅNGE</t>
        </is>
      </c>
      <c r="F1151" t="inlineStr">
        <is>
          <t>SCA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56419-2025</t>
        </is>
      </c>
      <c r="B1152" s="1" t="n">
        <v>45975.34445601852</v>
      </c>
      <c r="C1152" s="1" t="n">
        <v>46178</v>
      </c>
      <c r="D1152" t="inlineStr">
        <is>
          <t>VÄSTERNORRLANDS LÄN</t>
        </is>
      </c>
      <c r="E1152" t="inlineStr">
        <is>
          <t>ÅNGE</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56423-2025</t>
        </is>
      </c>
      <c r="B1153" s="1" t="n">
        <v>45975.34528935186</v>
      </c>
      <c r="C1153" s="1" t="n">
        <v>46178</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c r="U1153">
        <f>HYPERLINK("https://klasma.github.io/Logging_2260/knärot/A 56423-2025 karta knärot.png", "A 56423-2025")</f>
        <v/>
      </c>
      <c r="V1153">
        <f>HYPERLINK("https://klasma.github.io/Logging_2260/klagomål/A 56423-2025 FSC-klagomål.docx", "A 56423-2025")</f>
        <v/>
      </c>
      <c r="W1153">
        <f>HYPERLINK("https://klasma.github.io/Logging_2260/klagomålsmail/A 56423-2025 FSC-klagomål mail.docx", "A 56423-2025")</f>
        <v/>
      </c>
      <c r="X1153">
        <f>HYPERLINK("https://klasma.github.io/Logging_2260/tillsyn/A 56423-2025 tillsynsbegäran.docx", "A 56423-2025")</f>
        <v/>
      </c>
      <c r="Y1153">
        <f>HYPERLINK("https://klasma.github.io/Logging_2260/tillsynsmail/A 56423-2025 tillsynsbegäran mail.docx", "A 56423-2025")</f>
        <v/>
      </c>
    </row>
    <row r="1154" ht="15" customHeight="1">
      <c r="A1154" t="inlineStr">
        <is>
          <t>A 45128-2022</t>
        </is>
      </c>
      <c r="B1154" s="1" t="n">
        <v>44844.3146412037</v>
      </c>
      <c r="C1154" s="1" t="n">
        <v>46178</v>
      </c>
      <c r="D1154" t="inlineStr">
        <is>
          <t>VÄSTERNORRLANDS LÄN</t>
        </is>
      </c>
      <c r="E1154" t="inlineStr">
        <is>
          <t>ÅNGE</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42040-2024</t>
        </is>
      </c>
      <c r="B1155" s="1" t="n">
        <v>45561.80983796297</v>
      </c>
      <c r="C1155" s="1" t="n">
        <v>46178</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56666-2025</t>
        </is>
      </c>
      <c r="B1156" s="1" t="n">
        <v>45975.67747685185</v>
      </c>
      <c r="C1156" s="1" t="n">
        <v>46178</v>
      </c>
      <c r="D1156" t="inlineStr">
        <is>
          <t>VÄSTERNORRLANDS LÄN</t>
        </is>
      </c>
      <c r="E1156" t="inlineStr">
        <is>
          <t>ÅNGE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16455-2026</t>
        </is>
      </c>
      <c r="B1157" s="1" t="n">
        <v>46112.34449074074</v>
      </c>
      <c r="C1157" s="1" t="n">
        <v>46178</v>
      </c>
      <c r="D1157" t="inlineStr">
        <is>
          <t>VÄSTERNORRLANDS LÄN</t>
        </is>
      </c>
      <c r="E1157" t="inlineStr">
        <is>
          <t>ÅNGE</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56741-2025</t>
        </is>
      </c>
      <c r="B1158" s="1" t="n">
        <v>45978.34726851852</v>
      </c>
      <c r="C1158" s="1" t="n">
        <v>46178</v>
      </c>
      <c r="D1158" t="inlineStr">
        <is>
          <t>VÄSTERNORRLANDS LÄN</t>
        </is>
      </c>
      <c r="E1158" t="inlineStr">
        <is>
          <t>ÅNGE</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22191-2026</t>
        </is>
      </c>
      <c r="B1159" s="1" t="n">
        <v>46153.65594907408</v>
      </c>
      <c r="C1159" s="1" t="n">
        <v>46178</v>
      </c>
      <c r="D1159" t="inlineStr">
        <is>
          <t>VÄSTERNORRLANDS LÄN</t>
        </is>
      </c>
      <c r="E1159" t="inlineStr">
        <is>
          <t>ÅNGE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22040-2026</t>
        </is>
      </c>
      <c r="B1160" s="1" t="n">
        <v>46153.45491898148</v>
      </c>
      <c r="C1160" s="1" t="n">
        <v>46178</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22417-2026</t>
        </is>
      </c>
      <c r="B1161" s="1" t="n">
        <v>46154.67775462963</v>
      </c>
      <c r="C1161" s="1" t="n">
        <v>46178</v>
      </c>
      <c r="D1161" t="inlineStr">
        <is>
          <t>VÄSTERNORRLANDS LÄN</t>
        </is>
      </c>
      <c r="E1161" t="inlineStr">
        <is>
          <t>ÅNGE</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57022-2025</t>
        </is>
      </c>
      <c r="B1162" s="1" t="n">
        <v>45978.88921296296</v>
      </c>
      <c r="C1162" s="1" t="n">
        <v>46178</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56849-2025</t>
        </is>
      </c>
      <c r="B1163" s="1" t="n">
        <v>45978.48989583334</v>
      </c>
      <c r="C1163" s="1" t="n">
        <v>46178</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16704-2026</t>
        </is>
      </c>
      <c r="B1164" s="1" t="n">
        <v>46113.3449537037</v>
      </c>
      <c r="C1164" s="1" t="n">
        <v>46178</v>
      </c>
      <c r="D1164" t="inlineStr">
        <is>
          <t>VÄSTERNORRLANDS LÄN</t>
        </is>
      </c>
      <c r="E1164" t="inlineStr">
        <is>
          <t>ÅNGE</t>
        </is>
      </c>
      <c r="F1164" t="inlineStr">
        <is>
          <t>SCA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57283-2025</t>
        </is>
      </c>
      <c r="B1165" s="1" t="n">
        <v>45979.71918981482</v>
      </c>
      <c r="C1165" s="1" t="n">
        <v>46178</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16768-2026</t>
        </is>
      </c>
      <c r="B1166" s="1" t="n">
        <v>46113.42771990741</v>
      </c>
      <c r="C1166" s="1" t="n">
        <v>46178</v>
      </c>
      <c r="D1166" t="inlineStr">
        <is>
          <t>VÄSTERNORRLANDS LÄN</t>
        </is>
      </c>
      <c r="E1166" t="inlineStr">
        <is>
          <t>ÅNGE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5433-2024</t>
        </is>
      </c>
      <c r="B1167" s="1" t="n">
        <v>45331</v>
      </c>
      <c r="C1167" s="1" t="n">
        <v>46178</v>
      </c>
      <c r="D1167" t="inlineStr">
        <is>
          <t>VÄSTERNORRLANDS LÄN</t>
        </is>
      </c>
      <c r="E1167" t="inlineStr">
        <is>
          <t>ÅNGE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5456-2024</t>
        </is>
      </c>
      <c r="B1168" s="1" t="n">
        <v>45331</v>
      </c>
      <c r="C1168" s="1" t="n">
        <v>46178</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3357-2024</t>
        </is>
      </c>
      <c r="B1169" s="1" t="n">
        <v>45317</v>
      </c>
      <c r="C1169" s="1" t="n">
        <v>46178</v>
      </c>
      <c r="D1169" t="inlineStr">
        <is>
          <t>VÄSTERNORRLANDS LÄN</t>
        </is>
      </c>
      <c r="E1169" t="inlineStr">
        <is>
          <t>ÅNGE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16959-2026</t>
        </is>
      </c>
      <c r="B1170" s="1" t="n">
        <v>46114.34446759259</v>
      </c>
      <c r="C1170" s="1" t="n">
        <v>46178</v>
      </c>
      <c r="D1170" t="inlineStr">
        <is>
          <t>VÄSTERNORRLANDS LÄN</t>
        </is>
      </c>
      <c r="E1170" t="inlineStr">
        <is>
          <t>ÅNGE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22752-2023</t>
        </is>
      </c>
      <c r="B1171" s="1" t="n">
        <v>45071.94104166667</v>
      </c>
      <c r="C1171" s="1" t="n">
        <v>46178</v>
      </c>
      <c r="D1171" t="inlineStr">
        <is>
          <t>VÄSTERNORRLANDS LÄN</t>
        </is>
      </c>
      <c r="E1171" t="inlineStr">
        <is>
          <t>ÅNGE</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17031-2026</t>
        </is>
      </c>
      <c r="B1172" s="1" t="n">
        <v>46114.46961805555</v>
      </c>
      <c r="C1172" s="1" t="n">
        <v>46178</v>
      </c>
      <c r="D1172" t="inlineStr">
        <is>
          <t>VÄSTERNORRLANDS LÄN</t>
        </is>
      </c>
      <c r="E1172" t="inlineStr">
        <is>
          <t>ÅNGE</t>
        </is>
      </c>
      <c r="F1172" t="inlineStr">
        <is>
          <t>SCA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16980-2026</t>
        </is>
      </c>
      <c r="B1173" s="1" t="n">
        <v>46114.40704861111</v>
      </c>
      <c r="C1173" s="1" t="n">
        <v>46178</v>
      </c>
      <c r="D1173" t="inlineStr">
        <is>
          <t>VÄSTERNORRLANDS LÄN</t>
        </is>
      </c>
      <c r="E1173" t="inlineStr">
        <is>
          <t>ÅNGE</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57615-2025</t>
        </is>
      </c>
      <c r="B1174" s="1" t="n">
        <v>45981.34431712963</v>
      </c>
      <c r="C1174" s="1" t="n">
        <v>46178</v>
      </c>
      <c r="D1174" t="inlineStr">
        <is>
          <t>VÄSTERNORRLANDS LÄN</t>
        </is>
      </c>
      <c r="E1174" t="inlineStr">
        <is>
          <t>ÅNGE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16793-2026</t>
        </is>
      </c>
      <c r="B1175" s="1" t="n">
        <v>46113.46930555555</v>
      </c>
      <c r="C1175" s="1" t="n">
        <v>46178</v>
      </c>
      <c r="D1175" t="inlineStr">
        <is>
          <t>VÄSTERNORRLANDS LÄN</t>
        </is>
      </c>
      <c r="E1175" t="inlineStr">
        <is>
          <t>ÅNGE</t>
        </is>
      </c>
      <c r="F1175" t="inlineStr">
        <is>
          <t>SCA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22695-2026</t>
        </is>
      </c>
      <c r="B1176" s="1" t="n">
        <v>46156.49010416667</v>
      </c>
      <c r="C1176" s="1" t="n">
        <v>46178</v>
      </c>
      <c r="D1176" t="inlineStr">
        <is>
          <t>VÄSTERNORRLANDS LÄN</t>
        </is>
      </c>
      <c r="E1176" t="inlineStr">
        <is>
          <t>ÅNGE</t>
        </is>
      </c>
      <c r="F1176" t="inlineStr">
        <is>
          <t>SCA</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11032-2025</t>
        </is>
      </c>
      <c r="B1177" s="1" t="n">
        <v>45723.47601851852</v>
      </c>
      <c r="C1177" s="1" t="n">
        <v>46178</v>
      </c>
      <c r="D1177" t="inlineStr">
        <is>
          <t>VÄSTERNORRLANDS LÄN</t>
        </is>
      </c>
      <c r="E1177" t="inlineStr">
        <is>
          <t>ÅNGE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57302-2025</t>
        </is>
      </c>
      <c r="B1178" s="1" t="n">
        <v>45979.87184027778</v>
      </c>
      <c r="C1178" s="1" t="n">
        <v>46178</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22676-2026</t>
        </is>
      </c>
      <c r="B1179" s="1" t="n">
        <v>46156.34450231482</v>
      </c>
      <c r="C1179" s="1" t="n">
        <v>46178</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17035-2026</t>
        </is>
      </c>
      <c r="B1180" s="1" t="n">
        <v>46114.47012731482</v>
      </c>
      <c r="C1180" s="1" t="n">
        <v>46178</v>
      </c>
      <c r="D1180" t="inlineStr">
        <is>
          <t>VÄSTERNORRLANDS LÄN</t>
        </is>
      </c>
      <c r="E1180" t="inlineStr">
        <is>
          <t>ÅNGE</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16891-2026</t>
        </is>
      </c>
      <c r="B1181" s="1" t="n">
        <v>46113.61569444444</v>
      </c>
      <c r="C1181" s="1" t="n">
        <v>46178</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60779-2024</t>
        </is>
      </c>
      <c r="B1182" s="1" t="n">
        <v>45644</v>
      </c>
      <c r="C1182" s="1" t="n">
        <v>46178</v>
      </c>
      <c r="D1182" t="inlineStr">
        <is>
          <t>VÄSTERNORRLANDS LÄN</t>
        </is>
      </c>
      <c r="E1182" t="inlineStr">
        <is>
          <t>ÅNGE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17151-2026</t>
        </is>
      </c>
      <c r="B1183" s="1" t="n">
        <v>46115.34445601852</v>
      </c>
      <c r="C1183" s="1" t="n">
        <v>46178</v>
      </c>
      <c r="D1183" t="inlineStr">
        <is>
          <t>VÄSTERNORRLANDS LÄN</t>
        </is>
      </c>
      <c r="E1183" t="inlineStr">
        <is>
          <t>ÅNGE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57371-2025</t>
        </is>
      </c>
      <c r="B1184" s="1" t="n">
        <v>45980.38586805556</v>
      </c>
      <c r="C1184" s="1" t="n">
        <v>46178</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57457-2025</t>
        </is>
      </c>
      <c r="B1185" s="1" t="n">
        <v>45980.53001157408</v>
      </c>
      <c r="C1185" s="1" t="n">
        <v>46178</v>
      </c>
      <c r="D1185" t="inlineStr">
        <is>
          <t>VÄSTERNORRLANDS LÄN</t>
        </is>
      </c>
      <c r="E1185" t="inlineStr">
        <is>
          <t>ÅNGE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58524-2025</t>
        </is>
      </c>
      <c r="B1186" s="1" t="n">
        <v>45985.7190162037</v>
      </c>
      <c r="C1186" s="1" t="n">
        <v>46178</v>
      </c>
      <c r="D1186" t="inlineStr">
        <is>
          <t>VÄSTERNORRLANDS LÄN</t>
        </is>
      </c>
      <c r="E1186" t="inlineStr">
        <is>
          <t>ÅNGE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58366-2025</t>
        </is>
      </c>
      <c r="B1187" s="1" t="n">
        <v>45985.52600694444</v>
      </c>
      <c r="C1187" s="1" t="n">
        <v>46178</v>
      </c>
      <c r="D1187" t="inlineStr">
        <is>
          <t>VÄSTERNORRLANDS LÄN</t>
        </is>
      </c>
      <c r="E1187" t="inlineStr">
        <is>
          <t>ÅNGE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58406-2025</t>
        </is>
      </c>
      <c r="B1188" s="1" t="n">
        <v>45985.56913194444</v>
      </c>
      <c r="C1188" s="1" t="n">
        <v>46178</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57960-2025</t>
        </is>
      </c>
      <c r="B1189" s="1" t="n">
        <v>45982.36494212963</v>
      </c>
      <c r="C1189" s="1" t="n">
        <v>46178</v>
      </c>
      <c r="D1189" t="inlineStr">
        <is>
          <t>VÄSTERNORRLANDS LÄN</t>
        </is>
      </c>
      <c r="E1189" t="inlineStr">
        <is>
          <t>ÅNGE</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58388-2025</t>
        </is>
      </c>
      <c r="B1190" s="1" t="n">
        <v>45985.54685185185</v>
      </c>
      <c r="C1190" s="1" t="n">
        <v>46178</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58486-2025</t>
        </is>
      </c>
      <c r="B1191" s="1" t="n">
        <v>45985.65660879629</v>
      </c>
      <c r="C1191" s="1" t="n">
        <v>46178</v>
      </c>
      <c r="D1191" t="inlineStr">
        <is>
          <t>VÄSTERNORRLANDS LÄN</t>
        </is>
      </c>
      <c r="E1191" t="inlineStr">
        <is>
          <t>ÅNGE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17504-2026</t>
        </is>
      </c>
      <c r="B1192" s="1" t="n">
        <v>46120.61848379629</v>
      </c>
      <c r="C1192" s="1" t="n">
        <v>46178</v>
      </c>
      <c r="D1192" t="inlineStr">
        <is>
          <t>VÄSTERNORRLANDS LÄN</t>
        </is>
      </c>
      <c r="E1192" t="inlineStr">
        <is>
          <t>ÅNGE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17468-2026</t>
        </is>
      </c>
      <c r="B1193" s="1" t="n">
        <v>46120.51113425926</v>
      </c>
      <c r="C1193" s="1" t="n">
        <v>46178</v>
      </c>
      <c r="D1193" t="inlineStr">
        <is>
          <t>VÄSTERNORRLANDS LÄN</t>
        </is>
      </c>
      <c r="E1193" t="inlineStr">
        <is>
          <t>ÅNGE</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57950-2025</t>
        </is>
      </c>
      <c r="B1194" s="1" t="n">
        <v>45982.34473379629</v>
      </c>
      <c r="C1194" s="1" t="n">
        <v>46178</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60003-2023</t>
        </is>
      </c>
      <c r="B1195" s="1" t="n">
        <v>45257</v>
      </c>
      <c r="C1195" s="1" t="n">
        <v>46178</v>
      </c>
      <c r="D1195" t="inlineStr">
        <is>
          <t>VÄSTERNORRLANDS LÄN</t>
        </is>
      </c>
      <c r="E1195" t="inlineStr">
        <is>
          <t>ÅNGE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4876-2023</t>
        </is>
      </c>
      <c r="B1196" s="1" t="n">
        <v>44957.94023148148</v>
      </c>
      <c r="C1196" s="1" t="n">
        <v>46178</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55751-2024</t>
        </is>
      </c>
      <c r="B1197" s="1" t="n">
        <v>45623.34409722222</v>
      </c>
      <c r="C1197" s="1" t="n">
        <v>46178</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57591-2022</t>
        </is>
      </c>
      <c r="B1198" s="1" t="n">
        <v>44896.97834490741</v>
      </c>
      <c r="C1198" s="1" t="n">
        <v>46178</v>
      </c>
      <c r="D1198" t="inlineStr">
        <is>
          <t>VÄSTERNORRLANDS LÄN</t>
        </is>
      </c>
      <c r="E1198" t="inlineStr">
        <is>
          <t>ÅNGE</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17480-2026</t>
        </is>
      </c>
      <c r="B1199" s="1" t="n">
        <v>46120.54929398148</v>
      </c>
      <c r="C1199" s="1" t="n">
        <v>46178</v>
      </c>
      <c r="D1199" t="inlineStr">
        <is>
          <t>VÄSTERNORRLANDS LÄN</t>
        </is>
      </c>
      <c r="E1199" t="inlineStr">
        <is>
          <t>ÅNGE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17519-2026</t>
        </is>
      </c>
      <c r="B1200" s="1" t="n">
        <v>46120</v>
      </c>
      <c r="C1200" s="1" t="n">
        <v>46178</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57961-2025</t>
        </is>
      </c>
      <c r="B1201" s="1" t="n">
        <v>45982.36502314815</v>
      </c>
      <c r="C1201" s="1" t="n">
        <v>46178</v>
      </c>
      <c r="D1201" t="inlineStr">
        <is>
          <t>VÄSTERNORRLANDS LÄN</t>
        </is>
      </c>
      <c r="E1201" t="inlineStr">
        <is>
          <t>ÅNGE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25034-2023</t>
        </is>
      </c>
      <c r="B1202" s="1" t="n">
        <v>45085</v>
      </c>
      <c r="C1202" s="1" t="n">
        <v>46178</v>
      </c>
      <c r="D1202" t="inlineStr">
        <is>
          <t>VÄSTERNORRLANDS LÄN</t>
        </is>
      </c>
      <c r="E1202" t="inlineStr">
        <is>
          <t>ÅNGE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58240-2025</t>
        </is>
      </c>
      <c r="B1203" s="1" t="n">
        <v>45985.38796296297</v>
      </c>
      <c r="C1203" s="1" t="n">
        <v>46178</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13875-2022</t>
        </is>
      </c>
      <c r="B1204" s="1" t="n">
        <v>44649</v>
      </c>
      <c r="C1204" s="1" t="n">
        <v>46178</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17521-2026</t>
        </is>
      </c>
      <c r="B1205" s="1" t="n">
        <v>46120.64990740741</v>
      </c>
      <c r="C1205" s="1" t="n">
        <v>46178</v>
      </c>
      <c r="D1205" t="inlineStr">
        <is>
          <t>VÄSTERNORRLANDS LÄN</t>
        </is>
      </c>
      <c r="E1205" t="inlineStr">
        <is>
          <t>ÅNGE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23240-2026</t>
        </is>
      </c>
      <c r="B1206" s="1" t="n">
        <v>46162.40679398148</v>
      </c>
      <c r="C1206" s="1" t="n">
        <v>46178</v>
      </c>
      <c r="D1206" t="inlineStr">
        <is>
          <t>VÄSTERNORRLANDS LÄN</t>
        </is>
      </c>
      <c r="E1206" t="inlineStr">
        <is>
          <t>ÅNGE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9605-2025</t>
        </is>
      </c>
      <c r="B1207" s="1" t="n">
        <v>45715.65657407408</v>
      </c>
      <c r="C1207" s="1" t="n">
        <v>46178</v>
      </c>
      <c r="D1207" t="inlineStr">
        <is>
          <t>VÄSTERNORRLANDS LÄN</t>
        </is>
      </c>
      <c r="E1207" t="inlineStr">
        <is>
          <t>ÅNGE</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58268-2025</t>
        </is>
      </c>
      <c r="B1208" s="1" t="n">
        <v>45985.42450231482</v>
      </c>
      <c r="C1208" s="1" t="n">
        <v>46178</v>
      </c>
      <c r="D1208" t="inlineStr">
        <is>
          <t>VÄSTERNORRLANDS LÄN</t>
        </is>
      </c>
      <c r="E1208" t="inlineStr">
        <is>
          <t>ÅNGE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57991-2025</t>
        </is>
      </c>
      <c r="B1209" s="1" t="n">
        <v>45982.42438657407</v>
      </c>
      <c r="C1209" s="1" t="n">
        <v>46178</v>
      </c>
      <c r="D1209" t="inlineStr">
        <is>
          <t>VÄSTERNORRLANDS LÄN</t>
        </is>
      </c>
      <c r="E1209" t="inlineStr">
        <is>
          <t>ÅNGE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58048-2025</t>
        </is>
      </c>
      <c r="B1210" s="1" t="n">
        <v>45982.5109837963</v>
      </c>
      <c r="C1210" s="1" t="n">
        <v>46178</v>
      </c>
      <c r="D1210" t="inlineStr">
        <is>
          <t>VÄSTERNORRLANDS LÄN</t>
        </is>
      </c>
      <c r="E1210" t="inlineStr">
        <is>
          <t>ÅNGE</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17530-2026</t>
        </is>
      </c>
      <c r="B1211" s="1" t="n">
        <v>46120.66314814815</v>
      </c>
      <c r="C1211" s="1" t="n">
        <v>46178</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17437-2026</t>
        </is>
      </c>
      <c r="B1212" s="1" t="n">
        <v>46120.42361111111</v>
      </c>
      <c r="C1212" s="1" t="n">
        <v>46178</v>
      </c>
      <c r="D1212" t="inlineStr">
        <is>
          <t>VÄSTERNORRLANDS LÄN</t>
        </is>
      </c>
      <c r="E1212" t="inlineStr">
        <is>
          <t>ÅNGE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17505-2026</t>
        </is>
      </c>
      <c r="B1213" s="1" t="n">
        <v>46120.62159722222</v>
      </c>
      <c r="C1213" s="1" t="n">
        <v>46178</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17370-2026</t>
        </is>
      </c>
      <c r="B1214" s="1" t="n">
        <v>46119.69841435185</v>
      </c>
      <c r="C1214" s="1" t="n">
        <v>46178</v>
      </c>
      <c r="D1214" t="inlineStr">
        <is>
          <t>VÄSTERNORRLANDS LÄN</t>
        </is>
      </c>
      <c r="E1214" t="inlineStr">
        <is>
          <t>ÅNGE</t>
        </is>
      </c>
      <c r="F1214" t="inlineStr">
        <is>
          <t>SCA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58270-2025</t>
        </is>
      </c>
      <c r="B1215" s="1" t="n">
        <v>45985.42633101852</v>
      </c>
      <c r="C1215" s="1" t="n">
        <v>46178</v>
      </c>
      <c r="D1215" t="inlineStr">
        <is>
          <t>VÄSTERNORRLANDS LÄN</t>
        </is>
      </c>
      <c r="E1215" t="inlineStr">
        <is>
          <t>ÅNGE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58242-2025</t>
        </is>
      </c>
      <c r="B1216" s="1" t="n">
        <v>45985.38802083334</v>
      </c>
      <c r="C1216" s="1" t="n">
        <v>46178</v>
      </c>
      <c r="D1216" t="inlineStr">
        <is>
          <t>VÄSTERNORRLANDS LÄN</t>
        </is>
      </c>
      <c r="E1216" t="inlineStr">
        <is>
          <t>ÅNGE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58639-2025</t>
        </is>
      </c>
      <c r="B1217" s="1" t="n">
        <v>45986.49042824074</v>
      </c>
      <c r="C1217" s="1" t="n">
        <v>46178</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17242-2026</t>
        </is>
      </c>
      <c r="B1218" s="1" t="n">
        <v>46119.42765046296</v>
      </c>
      <c r="C1218" s="1" t="n">
        <v>46178</v>
      </c>
      <c r="D1218" t="inlineStr">
        <is>
          <t>VÄSTERNORRLANDS LÄN</t>
        </is>
      </c>
      <c r="E1218" t="inlineStr">
        <is>
          <t>ÅNGE</t>
        </is>
      </c>
      <c r="F1218" t="inlineStr">
        <is>
          <t>SCA</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20474-2026</t>
        </is>
      </c>
      <c r="B1219" s="1" t="n">
        <v>46140</v>
      </c>
      <c r="C1219" s="1" t="n">
        <v>46178</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16563-2025</t>
        </is>
      </c>
      <c r="B1220" s="1" t="n">
        <v>45752.34430555555</v>
      </c>
      <c r="C1220" s="1" t="n">
        <v>46178</v>
      </c>
      <c r="D1220" t="inlineStr">
        <is>
          <t>VÄSTERNORRLANDS LÄN</t>
        </is>
      </c>
      <c r="E1220" t="inlineStr">
        <is>
          <t>ÅNGE</t>
        </is>
      </c>
      <c r="F1220" t="inlineStr">
        <is>
          <t>SCA</t>
        </is>
      </c>
      <c r="G1220" t="n">
        <v>24.7</v>
      </c>
      <c r="H1220" t="n">
        <v>0</v>
      </c>
      <c r="I1220" t="n">
        <v>0</v>
      </c>
      <c r="J1220" t="n">
        <v>0</v>
      </c>
      <c r="K1220" t="n">
        <v>0</v>
      </c>
      <c r="L1220" t="n">
        <v>0</v>
      </c>
      <c r="M1220" t="n">
        <v>0</v>
      </c>
      <c r="N1220" t="n">
        <v>0</v>
      </c>
      <c r="O1220" t="n">
        <v>0</v>
      </c>
      <c r="P1220" t="n">
        <v>0</v>
      </c>
      <c r="Q1220" t="n">
        <v>0</v>
      </c>
      <c r="R1220" s="2" t="inlineStr"/>
    </row>
    <row r="1221" ht="15" customHeight="1">
      <c r="A1221" t="inlineStr">
        <is>
          <t>A 58906-2025</t>
        </is>
      </c>
      <c r="B1221" s="1" t="n">
        <v>45987.51087962963</v>
      </c>
      <c r="C1221" s="1" t="n">
        <v>46178</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58907-2025</t>
        </is>
      </c>
      <c r="B1222" s="1" t="n">
        <v>45987.51108796296</v>
      </c>
      <c r="C1222" s="1" t="n">
        <v>46178</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23318-2026</t>
        </is>
      </c>
      <c r="B1223" s="1" t="n">
        <v>46162.51113425926</v>
      </c>
      <c r="C1223" s="1" t="n">
        <v>46178</v>
      </c>
      <c r="D1223" t="inlineStr">
        <is>
          <t>VÄSTERNORRLANDS LÄN</t>
        </is>
      </c>
      <c r="E1223" t="inlineStr">
        <is>
          <t>ÅNGE</t>
        </is>
      </c>
      <c r="F1223" t="inlineStr">
        <is>
          <t>SCA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23321-2026</t>
        </is>
      </c>
      <c r="B1224" s="1" t="n">
        <v>46162.51731481482</v>
      </c>
      <c r="C1224" s="1" t="n">
        <v>46178</v>
      </c>
      <c r="D1224" t="inlineStr">
        <is>
          <t>VÄSTERNORRLANDS LÄN</t>
        </is>
      </c>
      <c r="E1224" t="inlineStr">
        <is>
          <t>ÅNGE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42881-2024</t>
        </is>
      </c>
      <c r="B1225" s="1" t="n">
        <v>45566.70916666667</v>
      </c>
      <c r="C1225" s="1" t="n">
        <v>46178</v>
      </c>
      <c r="D1225" t="inlineStr">
        <is>
          <t>VÄSTERNORRLANDS LÄN</t>
        </is>
      </c>
      <c r="E1225" t="inlineStr">
        <is>
          <t>ÅNGE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23123-2026</t>
        </is>
      </c>
      <c r="B1226" s="1" t="n">
        <v>46161.59832175926</v>
      </c>
      <c r="C1226" s="1" t="n">
        <v>46178</v>
      </c>
      <c r="D1226" t="inlineStr">
        <is>
          <t>VÄSTERNORRLANDS LÄN</t>
        </is>
      </c>
      <c r="E1226" t="inlineStr">
        <is>
          <t>ÅNGE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23386-2026</t>
        </is>
      </c>
      <c r="B1227" s="1" t="n">
        <v>46162.65590277778</v>
      </c>
      <c r="C1227" s="1" t="n">
        <v>46178</v>
      </c>
      <c r="D1227" t="inlineStr">
        <is>
          <t>VÄSTERNORRLANDS LÄN</t>
        </is>
      </c>
      <c r="E1227" t="inlineStr">
        <is>
          <t>ÅNGE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22520-2026</t>
        </is>
      </c>
      <c r="B1228" s="1" t="n">
        <v>46155</v>
      </c>
      <c r="C1228" s="1" t="n">
        <v>46178</v>
      </c>
      <c r="D1228" t="inlineStr">
        <is>
          <t>VÄSTERNORRLANDS LÄN</t>
        </is>
      </c>
      <c r="E1228" t="inlineStr">
        <is>
          <t>ÅNGE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54316-2024</t>
        </is>
      </c>
      <c r="B1229" s="1" t="n">
        <v>45617.34443287037</v>
      </c>
      <c r="C1229" s="1" t="n">
        <v>46178</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17718-2025</t>
        </is>
      </c>
      <c r="B1230" s="1" t="n">
        <v>45758.44815972223</v>
      </c>
      <c r="C1230" s="1" t="n">
        <v>46178</v>
      </c>
      <c r="D1230" t="inlineStr">
        <is>
          <t>VÄSTERNORRLANDS LÄN</t>
        </is>
      </c>
      <c r="E1230" t="inlineStr">
        <is>
          <t>ÅNGE</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17509-2026</t>
        </is>
      </c>
      <c r="B1231" s="1" t="n">
        <v>46120.62381944444</v>
      </c>
      <c r="C1231" s="1" t="n">
        <v>46178</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23302-2026</t>
        </is>
      </c>
      <c r="B1232" s="1" t="n">
        <v>46162.49021990741</v>
      </c>
      <c r="C1232" s="1" t="n">
        <v>46178</v>
      </c>
      <c r="D1232" t="inlineStr">
        <is>
          <t>VÄSTERNORRLANDS LÄN</t>
        </is>
      </c>
      <c r="E1232" t="inlineStr">
        <is>
          <t>ÅNGE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58588-2025</t>
        </is>
      </c>
      <c r="B1233" s="1" t="n">
        <v>45986.4065625</v>
      </c>
      <c r="C1233" s="1" t="n">
        <v>46178</v>
      </c>
      <c r="D1233" t="inlineStr">
        <is>
          <t>VÄSTERNORRLANDS LÄN</t>
        </is>
      </c>
      <c r="E1233" t="inlineStr">
        <is>
          <t>ÅNGE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8650-2024</t>
        </is>
      </c>
      <c r="B1234" s="1" t="n">
        <v>45356</v>
      </c>
      <c r="C1234" s="1" t="n">
        <v>46178</v>
      </c>
      <c r="D1234" t="inlineStr">
        <is>
          <t>VÄSTERNORRLANDS LÄN</t>
        </is>
      </c>
      <c r="E1234" t="inlineStr">
        <is>
          <t>ÅNGE</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58585-2025</t>
        </is>
      </c>
      <c r="B1235" s="1" t="n">
        <v>45986.39733796296</v>
      </c>
      <c r="C1235" s="1" t="n">
        <v>46178</v>
      </c>
      <c r="D1235" t="inlineStr">
        <is>
          <t>VÄSTERNORRLANDS LÄN</t>
        </is>
      </c>
      <c r="E1235" t="inlineStr">
        <is>
          <t>ÅNGE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58599-2025</t>
        </is>
      </c>
      <c r="B1236" s="1" t="n">
        <v>45986.42644675926</v>
      </c>
      <c r="C1236" s="1" t="n">
        <v>46178</v>
      </c>
      <c r="D1236" t="inlineStr">
        <is>
          <t>VÄSTERNORRLANDS LÄN</t>
        </is>
      </c>
      <c r="E1236" t="inlineStr">
        <is>
          <t>ÅNGE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58890-2025</t>
        </is>
      </c>
      <c r="B1237" s="1" t="n">
        <v>45987.49006944444</v>
      </c>
      <c r="C1237" s="1" t="n">
        <v>46178</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58605-2025</t>
        </is>
      </c>
      <c r="B1238" s="1" t="n">
        <v>45986</v>
      </c>
      <c r="C1238" s="1" t="n">
        <v>46178</v>
      </c>
      <c r="D1238" t="inlineStr">
        <is>
          <t>VÄSTERNORRLANDS LÄN</t>
        </is>
      </c>
      <c r="E1238" t="inlineStr">
        <is>
          <t>ÅNGE</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17570-2026</t>
        </is>
      </c>
      <c r="B1239" s="1" t="n">
        <v>46121.34435185185</v>
      </c>
      <c r="C1239" s="1" t="n">
        <v>46178</v>
      </c>
      <c r="D1239" t="inlineStr">
        <is>
          <t>VÄSTERNORRLANDS LÄN</t>
        </is>
      </c>
      <c r="E1239" t="inlineStr">
        <is>
          <t>ÅNGE</t>
        </is>
      </c>
      <c r="F1239" t="inlineStr">
        <is>
          <t>SCA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58892-2025</t>
        </is>
      </c>
      <c r="B1240" s="1" t="n">
        <v>45987.49056712963</v>
      </c>
      <c r="C1240" s="1" t="n">
        <v>46178</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23562-2026</t>
        </is>
      </c>
      <c r="B1241" s="1" t="n">
        <v>46163.58449074074</v>
      </c>
      <c r="C1241" s="1" t="n">
        <v>46178</v>
      </c>
      <c r="D1241" t="inlineStr">
        <is>
          <t>VÄSTERNORRLANDS LÄN</t>
        </is>
      </c>
      <c r="E1241" t="inlineStr">
        <is>
          <t>ÅNGE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23590-2026</t>
        </is>
      </c>
      <c r="B1242" s="1" t="n">
        <v>46163.63648148148</v>
      </c>
      <c r="C1242" s="1" t="n">
        <v>46178</v>
      </c>
      <c r="D1242" t="inlineStr">
        <is>
          <t>VÄSTERNORRLANDS LÄN</t>
        </is>
      </c>
      <c r="E1242" t="inlineStr">
        <is>
          <t>ÅNGE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17922-2026</t>
        </is>
      </c>
      <c r="B1243" s="1" t="n">
        <v>46122.61457175926</v>
      </c>
      <c r="C1243" s="1" t="n">
        <v>46178</v>
      </c>
      <c r="D1243" t="inlineStr">
        <is>
          <t>VÄSTERNORRLANDS LÄN</t>
        </is>
      </c>
      <c r="E1243" t="inlineStr">
        <is>
          <t>ÅNGE</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23658-2026</t>
        </is>
      </c>
      <c r="B1244" s="1" t="n">
        <v>46164.36583333334</v>
      </c>
      <c r="C1244" s="1" t="n">
        <v>46178</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23438-2026</t>
        </is>
      </c>
      <c r="B1245" s="1" t="n">
        <v>46163.34447916667</v>
      </c>
      <c r="C1245" s="1" t="n">
        <v>46178</v>
      </c>
      <c r="D1245" t="inlineStr">
        <is>
          <t>VÄSTERNORRLANDS LÄN</t>
        </is>
      </c>
      <c r="E1245" t="inlineStr">
        <is>
          <t>ÅNGE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23449-2026</t>
        </is>
      </c>
      <c r="B1246" s="1" t="n">
        <v>46163.38611111111</v>
      </c>
      <c r="C1246" s="1" t="n">
        <v>46178</v>
      </c>
      <c r="D1246" t="inlineStr">
        <is>
          <t>VÄSTERNORRLANDS LÄN</t>
        </is>
      </c>
      <c r="E1246" t="inlineStr">
        <is>
          <t>ÅNGE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23450-2026</t>
        </is>
      </c>
      <c r="B1247" s="1" t="n">
        <v>46163.38621527778</v>
      </c>
      <c r="C1247" s="1" t="n">
        <v>46178</v>
      </c>
      <c r="D1247" t="inlineStr">
        <is>
          <t>VÄSTERNORRLANDS LÄN</t>
        </is>
      </c>
      <c r="E1247" t="inlineStr">
        <is>
          <t>ÅNGE</t>
        </is>
      </c>
      <c r="F1247" t="inlineStr">
        <is>
          <t>SCA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17637-2026</t>
        </is>
      </c>
      <c r="B1248" s="1" t="n">
        <v>46121.49008101852</v>
      </c>
      <c r="C1248" s="1" t="n">
        <v>46178</v>
      </c>
      <c r="D1248" t="inlineStr">
        <is>
          <t>VÄSTERNORRLANDS LÄN</t>
        </is>
      </c>
      <c r="E1248" t="inlineStr">
        <is>
          <t>ÅNGE</t>
        </is>
      </c>
      <c r="F1248" t="inlineStr">
        <is>
          <t>SCA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17638-2026</t>
        </is>
      </c>
      <c r="B1249" s="1" t="n">
        <v>46121.49026620371</v>
      </c>
      <c r="C1249" s="1" t="n">
        <v>46178</v>
      </c>
      <c r="D1249" t="inlineStr">
        <is>
          <t>VÄSTERNORRLANDS LÄN</t>
        </is>
      </c>
      <c r="E1249" t="inlineStr">
        <is>
          <t>ÅNGE</t>
        </is>
      </c>
      <c r="F1249" t="inlineStr">
        <is>
          <t>SCA</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17917-2026</t>
        </is>
      </c>
      <c r="B1250" s="1" t="n">
        <v>46122.60832175926</v>
      </c>
      <c r="C1250" s="1" t="n">
        <v>46178</v>
      </c>
      <c r="D1250" t="inlineStr">
        <is>
          <t>VÄSTERNORRLANDS LÄN</t>
        </is>
      </c>
      <c r="E1250" t="inlineStr">
        <is>
          <t>ÅNGE</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18112-2026</t>
        </is>
      </c>
      <c r="B1251" s="1" t="n">
        <v>46125.57349537037</v>
      </c>
      <c r="C1251" s="1" t="n">
        <v>46178</v>
      </c>
      <c r="D1251" t="inlineStr">
        <is>
          <t>VÄSTERNORRLANDS LÄN</t>
        </is>
      </c>
      <c r="E1251" t="inlineStr">
        <is>
          <t>ÅNGE</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24164-2026</t>
        </is>
      </c>
      <c r="B1252" s="1" t="n">
        <v>46168.55268518518</v>
      </c>
      <c r="C1252" s="1" t="n">
        <v>46178</v>
      </c>
      <c r="D1252" t="inlineStr">
        <is>
          <t>VÄSTERNORRLANDS LÄN</t>
        </is>
      </c>
      <c r="E1252" t="inlineStr">
        <is>
          <t>ÅNGE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45631-2021</t>
        </is>
      </c>
      <c r="B1253" s="1" t="n">
        <v>44440.98045138889</v>
      </c>
      <c r="C1253" s="1" t="n">
        <v>46178</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53858-2024</t>
        </is>
      </c>
      <c r="B1254" s="1" t="n">
        <v>45615</v>
      </c>
      <c r="C1254" s="1" t="n">
        <v>46178</v>
      </c>
      <c r="D1254" t="inlineStr">
        <is>
          <t>VÄSTERNORRLANDS LÄN</t>
        </is>
      </c>
      <c r="E1254" t="inlineStr">
        <is>
          <t>ÅNGE</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24196-2026</t>
        </is>
      </c>
      <c r="B1255" s="1" t="n">
        <v>46168.61530092593</v>
      </c>
      <c r="C1255" s="1" t="n">
        <v>46178</v>
      </c>
      <c r="D1255" t="inlineStr">
        <is>
          <t>VÄSTERNORRLANDS LÄN</t>
        </is>
      </c>
      <c r="E1255" t="inlineStr">
        <is>
          <t>ÅNGE</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18390-2026</t>
        </is>
      </c>
      <c r="B1256" s="1" t="n">
        <v>46126.65739583333</v>
      </c>
      <c r="C1256" s="1" t="n">
        <v>46178</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58823-2025</t>
        </is>
      </c>
      <c r="B1257" s="1" t="n">
        <v>45987.3453125</v>
      </c>
      <c r="C1257" s="1" t="n">
        <v>46178</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58536-2025</t>
        </is>
      </c>
      <c r="B1258" s="1" t="n">
        <v>45985.83274305556</v>
      </c>
      <c r="C1258" s="1" t="n">
        <v>46178</v>
      </c>
      <c r="D1258" t="inlineStr">
        <is>
          <t>VÄSTERNORRLANDS LÄN</t>
        </is>
      </c>
      <c r="E1258" t="inlineStr">
        <is>
          <t>ÅNGE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58750-2025</t>
        </is>
      </c>
      <c r="B1259" s="1" t="n">
        <v>45986.64064814815</v>
      </c>
      <c r="C1259" s="1" t="n">
        <v>46178</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24154-2026</t>
        </is>
      </c>
      <c r="B1260" s="1" t="n">
        <v>46168.51104166666</v>
      </c>
      <c r="C1260" s="1" t="n">
        <v>46178</v>
      </c>
      <c r="D1260" t="inlineStr">
        <is>
          <t>VÄSTERNORRLANDS LÄN</t>
        </is>
      </c>
      <c r="E1260" t="inlineStr">
        <is>
          <t>ÅNGE</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24180-2026</t>
        </is>
      </c>
      <c r="B1261" s="1" t="n">
        <v>46168.59449074074</v>
      </c>
      <c r="C1261" s="1" t="n">
        <v>46178</v>
      </c>
      <c r="D1261" t="inlineStr">
        <is>
          <t>VÄSTERNORRLANDS LÄN</t>
        </is>
      </c>
      <c r="E1261" t="inlineStr">
        <is>
          <t>ÅNGE</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24108-2026</t>
        </is>
      </c>
      <c r="B1262" s="1" t="n">
        <v>46168.42776620371</v>
      </c>
      <c r="C1262" s="1" t="n">
        <v>46178</v>
      </c>
      <c r="D1262" t="inlineStr">
        <is>
          <t>VÄSTERNORRLANDS LÄN</t>
        </is>
      </c>
      <c r="E1262" t="inlineStr">
        <is>
          <t>ÅNGE</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10878-2024</t>
        </is>
      </c>
      <c r="B1263" s="1" t="n">
        <v>45370</v>
      </c>
      <c r="C1263" s="1" t="n">
        <v>46178</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18144-2026</t>
        </is>
      </c>
      <c r="B1264" s="1" t="n">
        <v>46125.61525462963</v>
      </c>
      <c r="C1264" s="1" t="n">
        <v>46178</v>
      </c>
      <c r="D1264" t="inlineStr">
        <is>
          <t>VÄSTERNORRLANDS LÄN</t>
        </is>
      </c>
      <c r="E1264" t="inlineStr">
        <is>
          <t>ÅNGE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4006-2022</t>
        </is>
      </c>
      <c r="B1265" s="1" t="n">
        <v>44587.92019675926</v>
      </c>
      <c r="C1265" s="1" t="n">
        <v>46178</v>
      </c>
      <c r="D1265" t="inlineStr">
        <is>
          <t>VÄSTERNORRLANDS LÄN</t>
        </is>
      </c>
      <c r="E1265" t="inlineStr">
        <is>
          <t>ÅNGE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61781-2023</t>
        </is>
      </c>
      <c r="B1266" s="1" t="n">
        <v>45265.95708333333</v>
      </c>
      <c r="C1266" s="1" t="n">
        <v>46178</v>
      </c>
      <c r="D1266" t="inlineStr">
        <is>
          <t>VÄSTERNORRLANDS LÄN</t>
        </is>
      </c>
      <c r="E1266" t="inlineStr">
        <is>
          <t>ÅNGE</t>
        </is>
      </c>
      <c r="F1266" t="inlineStr">
        <is>
          <t>SCA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59062-2025</t>
        </is>
      </c>
      <c r="B1267" s="1" t="n">
        <v>45988.40723379629</v>
      </c>
      <c r="C1267" s="1" t="n">
        <v>46178</v>
      </c>
      <c r="D1267" t="inlineStr">
        <is>
          <t>VÄSTERNORRLANDS LÄN</t>
        </is>
      </c>
      <c r="E1267" t="inlineStr">
        <is>
          <t>ÅNGE</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59064-2025</t>
        </is>
      </c>
      <c r="B1268" s="1" t="n">
        <v>45988.40768518519</v>
      </c>
      <c r="C1268" s="1" t="n">
        <v>46178</v>
      </c>
      <c r="D1268" t="inlineStr">
        <is>
          <t>VÄSTERNORRLANDS LÄN</t>
        </is>
      </c>
      <c r="E1268" t="inlineStr">
        <is>
          <t>ÅNGE</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59065-2025</t>
        </is>
      </c>
      <c r="B1269" s="1" t="n">
        <v>45988.40780092592</v>
      </c>
      <c r="C1269" s="1" t="n">
        <v>46178</v>
      </c>
      <c r="D1269" t="inlineStr">
        <is>
          <t>VÄSTERNORRLANDS LÄN</t>
        </is>
      </c>
      <c r="E1269" t="inlineStr">
        <is>
          <t>ÅNGE</t>
        </is>
      </c>
      <c r="F1269" t="inlineStr">
        <is>
          <t>SCA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59063-2025</t>
        </is>
      </c>
      <c r="B1270" s="1" t="n">
        <v>45988.40734953704</v>
      </c>
      <c r="C1270" s="1" t="n">
        <v>46178</v>
      </c>
      <c r="D1270" t="inlineStr">
        <is>
          <t>VÄSTERNORRLANDS LÄN</t>
        </is>
      </c>
      <c r="E1270" t="inlineStr">
        <is>
          <t>ÅNGE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59023-2025</t>
        </is>
      </c>
      <c r="B1271" s="1" t="n">
        <v>45988</v>
      </c>
      <c r="C1271" s="1" t="n">
        <v>46178</v>
      </c>
      <c r="D1271" t="inlineStr">
        <is>
          <t>VÄSTERNORRLANDS LÄN</t>
        </is>
      </c>
      <c r="E1271" t="inlineStr">
        <is>
          <t>ÅNGE</t>
        </is>
      </c>
      <c r="F1271" t="inlineStr">
        <is>
          <t>SCA</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59259-2025</t>
        </is>
      </c>
      <c r="B1272" s="1" t="n">
        <v>45988.65748842592</v>
      </c>
      <c r="C1272" s="1" t="n">
        <v>46178</v>
      </c>
      <c r="D1272" t="inlineStr">
        <is>
          <t>VÄSTERNORRLANDS LÄN</t>
        </is>
      </c>
      <c r="E1272" t="inlineStr">
        <is>
          <t>ÅNGE</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59319-2025</t>
        </is>
      </c>
      <c r="B1273" s="1" t="n">
        <v>45989.33283564815</v>
      </c>
      <c r="C1273" s="1" t="n">
        <v>46178</v>
      </c>
      <c r="D1273" t="inlineStr">
        <is>
          <t>VÄSTERNORRLANDS LÄN</t>
        </is>
      </c>
      <c r="E1273" t="inlineStr">
        <is>
          <t>ÅNGE</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59331-2025</t>
        </is>
      </c>
      <c r="B1274" s="1" t="n">
        <v>45989.35978009259</v>
      </c>
      <c r="C1274" s="1" t="n">
        <v>46178</v>
      </c>
      <c r="D1274" t="inlineStr">
        <is>
          <t>VÄSTERNORRLANDS LÄN</t>
        </is>
      </c>
      <c r="E1274" t="inlineStr">
        <is>
          <t>ÅNGE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17744-2025</t>
        </is>
      </c>
      <c r="B1275" s="1" t="n">
        <v>45758</v>
      </c>
      <c r="C1275" s="1" t="n">
        <v>46178</v>
      </c>
      <c r="D1275" t="inlineStr">
        <is>
          <t>VÄSTERNORRLANDS LÄN</t>
        </is>
      </c>
      <c r="E1275" t="inlineStr">
        <is>
          <t>ÅNGE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59022-2025</t>
        </is>
      </c>
      <c r="B1276" s="1" t="n">
        <v>45988</v>
      </c>
      <c r="C1276" s="1" t="n">
        <v>46178</v>
      </c>
      <c r="D1276" t="inlineStr">
        <is>
          <t>VÄSTERNORRLANDS LÄN</t>
        </is>
      </c>
      <c r="E1276" t="inlineStr">
        <is>
          <t>ÅNGE</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33783-2024</t>
        </is>
      </c>
      <c r="B1277" s="1" t="n">
        <v>45520</v>
      </c>
      <c r="C1277" s="1" t="n">
        <v>46178</v>
      </c>
      <c r="D1277" t="inlineStr">
        <is>
          <t>VÄSTERNORRLANDS LÄN</t>
        </is>
      </c>
      <c r="E1277" t="inlineStr">
        <is>
          <t>ÅNGE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63170-2023</t>
        </is>
      </c>
      <c r="B1278" s="1" t="n">
        <v>45273.57087962963</v>
      </c>
      <c r="C1278" s="1" t="n">
        <v>46178</v>
      </c>
      <c r="D1278" t="inlineStr">
        <is>
          <t>VÄSTERNORRLANDS LÄN</t>
        </is>
      </c>
      <c r="E1278" t="inlineStr">
        <is>
          <t>ÅNGE</t>
        </is>
      </c>
      <c r="F1278" t="inlineStr">
        <is>
          <t>Holmen skog AB</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59815-2025</t>
        </is>
      </c>
      <c r="B1279" s="1" t="n">
        <v>45992.6359837963</v>
      </c>
      <c r="C1279" s="1" t="n">
        <v>46178</v>
      </c>
      <c r="D1279" t="inlineStr">
        <is>
          <t>VÄSTERNORRLANDS LÄN</t>
        </is>
      </c>
      <c r="E1279" t="inlineStr">
        <is>
          <t>ÅNGE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47792-2022</t>
        </is>
      </c>
      <c r="B1280" s="1" t="n">
        <v>44854.95238425926</v>
      </c>
      <c r="C1280" s="1" t="n">
        <v>46178</v>
      </c>
      <c r="D1280" t="inlineStr">
        <is>
          <t>VÄSTERNORRLANDS LÄN</t>
        </is>
      </c>
      <c r="E1280" t="inlineStr">
        <is>
          <t>ÅNGE</t>
        </is>
      </c>
      <c r="F1280" t="inlineStr">
        <is>
          <t>SCA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60079-2025</t>
        </is>
      </c>
      <c r="B1281" s="1" t="n">
        <v>45993.6834375</v>
      </c>
      <c r="C1281" s="1" t="n">
        <v>46178</v>
      </c>
      <c r="D1281" t="inlineStr">
        <is>
          <t>VÄSTERNORRLANDS LÄN</t>
        </is>
      </c>
      <c r="E1281" t="inlineStr">
        <is>
          <t>ÅNGE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24189-2026</t>
        </is>
      </c>
      <c r="B1282" s="1" t="n">
        <v>46168.60273148148</v>
      </c>
      <c r="C1282" s="1" t="n">
        <v>46178</v>
      </c>
      <c r="D1282" t="inlineStr">
        <is>
          <t>VÄSTERNORRLANDS LÄN</t>
        </is>
      </c>
      <c r="E1282" t="inlineStr">
        <is>
          <t>ÅNGE</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18212-2026</t>
        </is>
      </c>
      <c r="B1283" s="1" t="n">
        <v>46126</v>
      </c>
      <c r="C1283" s="1" t="n">
        <v>46178</v>
      </c>
      <c r="D1283" t="inlineStr">
        <is>
          <t>VÄSTERNORRLANDS LÄN</t>
        </is>
      </c>
      <c r="E1283" t="inlineStr">
        <is>
          <t>ÅNGE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24729-2026</t>
        </is>
      </c>
      <c r="B1284" s="1" t="n">
        <v>46171.56641203703</v>
      </c>
      <c r="C1284" s="1" t="n">
        <v>46178</v>
      </c>
      <c r="D1284" t="inlineStr">
        <is>
          <t>VÄSTERNORRLANDS LÄN</t>
        </is>
      </c>
      <c r="E1284" t="inlineStr">
        <is>
          <t>ÅNGE</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59641-2025</t>
        </is>
      </c>
      <c r="B1285" s="1" t="n">
        <v>45992.4175925926</v>
      </c>
      <c r="C1285" s="1" t="n">
        <v>46178</v>
      </c>
      <c r="D1285" t="inlineStr">
        <is>
          <t>VÄSTERNORRLANDS LÄN</t>
        </is>
      </c>
      <c r="E1285" t="inlineStr">
        <is>
          <t>ÅNGE</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60061-2025</t>
        </is>
      </c>
      <c r="B1286" s="1" t="n">
        <v>45993.65673611111</v>
      </c>
      <c r="C1286" s="1" t="n">
        <v>46178</v>
      </c>
      <c r="D1286" t="inlineStr">
        <is>
          <t>VÄSTERNORRLANDS LÄN</t>
        </is>
      </c>
      <c r="E1286" t="inlineStr">
        <is>
          <t>ÅNGE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24772-2026</t>
        </is>
      </c>
      <c r="B1287" s="1" t="n">
        <v>46171.63611111111</v>
      </c>
      <c r="C1287" s="1" t="n">
        <v>46178</v>
      </c>
      <c r="D1287" t="inlineStr">
        <is>
          <t>VÄSTERNORRLANDS LÄN</t>
        </is>
      </c>
      <c r="E1287" t="inlineStr">
        <is>
          <t>ÅNGE</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60118-2025</t>
        </is>
      </c>
      <c r="B1288" s="1" t="n">
        <v>45994.3242824074</v>
      </c>
      <c r="C1288" s="1" t="n">
        <v>46178</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60119-2025</t>
        </is>
      </c>
      <c r="B1289" s="1" t="n">
        <v>45994.33081018519</v>
      </c>
      <c r="C1289" s="1" t="n">
        <v>46178</v>
      </c>
      <c r="D1289" t="inlineStr">
        <is>
          <t>VÄSTERNORRLANDS LÄN</t>
        </is>
      </c>
      <c r="E1289" t="inlineStr">
        <is>
          <t>ÅNGE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18647-2026</t>
        </is>
      </c>
      <c r="B1290" s="1" t="n">
        <v>46128.34453703704</v>
      </c>
      <c r="C1290" s="1" t="n">
        <v>46178</v>
      </c>
      <c r="D1290" t="inlineStr">
        <is>
          <t>VÄSTERNORRLANDS LÄN</t>
        </is>
      </c>
      <c r="E1290" t="inlineStr">
        <is>
          <t>ÅNGE</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18648-2026</t>
        </is>
      </c>
      <c r="B1291" s="1" t="n">
        <v>46128.34461805555</v>
      </c>
      <c r="C1291" s="1" t="n">
        <v>46178</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60134-2025</t>
        </is>
      </c>
      <c r="B1292" s="1" t="n">
        <v>45994.34793981481</v>
      </c>
      <c r="C1292" s="1" t="n">
        <v>46178</v>
      </c>
      <c r="D1292" t="inlineStr">
        <is>
          <t>VÄSTERNORRLANDS LÄN</t>
        </is>
      </c>
      <c r="E1292" t="inlineStr">
        <is>
          <t>ÅNGE</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60342-2025</t>
        </is>
      </c>
      <c r="B1293" s="1" t="n">
        <v>45994.86804398148</v>
      </c>
      <c r="C1293" s="1" t="n">
        <v>46178</v>
      </c>
      <c r="D1293" t="inlineStr">
        <is>
          <t>VÄSTERNORRLANDS LÄN</t>
        </is>
      </c>
      <c r="E1293" t="inlineStr">
        <is>
          <t>ÅNGE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24470-2026</t>
        </is>
      </c>
      <c r="B1294" s="1" t="n">
        <v>46170.4143287037</v>
      </c>
      <c r="C1294" s="1" t="n">
        <v>46178</v>
      </c>
      <c r="D1294" t="inlineStr">
        <is>
          <t>VÄSTERNORRLANDS LÄN</t>
        </is>
      </c>
      <c r="E1294" t="inlineStr">
        <is>
          <t>ÅNGE</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60124-2025</t>
        </is>
      </c>
      <c r="B1295" s="1" t="n">
        <v>45994.33722222222</v>
      </c>
      <c r="C1295" s="1" t="n">
        <v>46178</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1975-2025</t>
        </is>
      </c>
      <c r="B1296" s="1" t="n">
        <v>45672.39332175926</v>
      </c>
      <c r="C1296" s="1" t="n">
        <v>46178</v>
      </c>
      <c r="D1296" t="inlineStr">
        <is>
          <t>VÄSTERNORRLANDS LÄN</t>
        </is>
      </c>
      <c r="E1296" t="inlineStr">
        <is>
          <t>ÅNGE</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15404-2025</t>
        </is>
      </c>
      <c r="B1297" s="1" t="n">
        <v>45747.44665509259</v>
      </c>
      <c r="C1297" s="1" t="n">
        <v>46178</v>
      </c>
      <c r="D1297" t="inlineStr">
        <is>
          <t>VÄSTERNORRLANDS LÄN</t>
        </is>
      </c>
      <c r="E1297" t="inlineStr">
        <is>
          <t>ÅNGE</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60286-2025</t>
        </is>
      </c>
      <c r="B1298" s="1" t="n">
        <v>45994.64612268518</v>
      </c>
      <c r="C1298" s="1" t="n">
        <v>46178</v>
      </c>
      <c r="D1298" t="inlineStr">
        <is>
          <t>VÄSTERNORRLANDS LÄN</t>
        </is>
      </c>
      <c r="E1298" t="inlineStr">
        <is>
          <t>ÅNGE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18975-2026</t>
        </is>
      </c>
      <c r="B1299" s="1" t="n">
        <v>46129.61513888889</v>
      </c>
      <c r="C1299" s="1" t="n">
        <v>46178</v>
      </c>
      <c r="D1299" t="inlineStr">
        <is>
          <t>VÄSTERNORRLANDS LÄN</t>
        </is>
      </c>
      <c r="E1299" t="inlineStr">
        <is>
          <t>ÅNGE</t>
        </is>
      </c>
      <c r="F1299" t="inlineStr">
        <is>
          <t>SCA</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60520-2025</t>
        </is>
      </c>
      <c r="B1300" s="1" t="n">
        <v>45995.63694444444</v>
      </c>
      <c r="C1300" s="1" t="n">
        <v>46178</v>
      </c>
      <c r="D1300" t="inlineStr">
        <is>
          <t>VÄSTERNORRLANDS LÄN</t>
        </is>
      </c>
      <c r="E1300" t="inlineStr">
        <is>
          <t>ÅNGE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38099-2024</t>
        </is>
      </c>
      <c r="B1301" s="1" t="n">
        <v>45545.35920138889</v>
      </c>
      <c r="C1301" s="1" t="n">
        <v>46178</v>
      </c>
      <c r="D1301" t="inlineStr">
        <is>
          <t>VÄSTERNORRLANDS LÄN</t>
        </is>
      </c>
      <c r="E1301" t="inlineStr">
        <is>
          <t>ÅNGE</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60403-2025</t>
        </is>
      </c>
      <c r="B1302" s="1" t="n">
        <v>45995.42762731481</v>
      </c>
      <c r="C1302" s="1" t="n">
        <v>46178</v>
      </c>
      <c r="D1302" t="inlineStr">
        <is>
          <t>VÄSTERNORRLANDS LÄN</t>
        </is>
      </c>
      <c r="E1302" t="inlineStr">
        <is>
          <t>ÅNGE</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60590-2025</t>
        </is>
      </c>
      <c r="B1303" s="1" t="n">
        <v>45994</v>
      </c>
      <c r="C1303" s="1" t="n">
        <v>46178</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60604-2025</t>
        </is>
      </c>
      <c r="B1304" s="1" t="n">
        <v>45995</v>
      </c>
      <c r="C1304" s="1" t="n">
        <v>46178</v>
      </c>
      <c r="D1304" t="inlineStr">
        <is>
          <t>VÄSTERNORRLANDS LÄN</t>
        </is>
      </c>
      <c r="E1304" t="inlineStr">
        <is>
          <t>ÅNGE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60422-2025</t>
        </is>
      </c>
      <c r="B1305" s="1" t="n">
        <v>45995.46922453704</v>
      </c>
      <c r="C1305" s="1" t="n">
        <v>46178</v>
      </c>
      <c r="D1305" t="inlineStr">
        <is>
          <t>VÄSTERNORRLANDS LÄN</t>
        </is>
      </c>
      <c r="E1305" t="inlineStr">
        <is>
          <t>ÅNGE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18573-2026</t>
        </is>
      </c>
      <c r="B1306" s="1" t="n">
        <v>46127.59502314815</v>
      </c>
      <c r="C1306" s="1" t="n">
        <v>46178</v>
      </c>
      <c r="D1306" t="inlineStr">
        <is>
          <t>VÄSTERNORRLANDS LÄN</t>
        </is>
      </c>
      <c r="E1306" t="inlineStr">
        <is>
          <t>ÅNGE</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60402-2025</t>
        </is>
      </c>
      <c r="B1307" s="1" t="n">
        <v>45995.4262962963</v>
      </c>
      <c r="C1307" s="1" t="n">
        <v>46178</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60278-2025</t>
        </is>
      </c>
      <c r="B1308" s="1" t="n">
        <v>45994.63739583334</v>
      </c>
      <c r="C1308" s="1" t="n">
        <v>46178</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60582-2025</t>
        </is>
      </c>
      <c r="B1309" s="1" t="n">
        <v>45994</v>
      </c>
      <c r="C1309" s="1" t="n">
        <v>46178</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60599-2025</t>
        </is>
      </c>
      <c r="B1310" s="1" t="n">
        <v>45994</v>
      </c>
      <c r="C1310" s="1" t="n">
        <v>46178</v>
      </c>
      <c r="D1310" t="inlineStr">
        <is>
          <t>VÄSTERNORRLANDS LÄN</t>
        </is>
      </c>
      <c r="E1310" t="inlineStr">
        <is>
          <t>ÅNGE</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60296-2025</t>
        </is>
      </c>
      <c r="B1311" s="1" t="n">
        <v>45994.6568287037</v>
      </c>
      <c r="C1311" s="1" t="n">
        <v>46178</v>
      </c>
      <c r="D1311" t="inlineStr">
        <is>
          <t>VÄSTERNORRLANDS LÄN</t>
        </is>
      </c>
      <c r="E1311" t="inlineStr">
        <is>
          <t>ÅNGE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18603-2026</t>
        </is>
      </c>
      <c r="B1312" s="1" t="n">
        <v>46127.65785879629</v>
      </c>
      <c r="C1312" s="1" t="n">
        <v>46178</v>
      </c>
      <c r="D1312" t="inlineStr">
        <is>
          <t>VÄSTERNORRLANDS LÄN</t>
        </is>
      </c>
      <c r="E1312" t="inlineStr">
        <is>
          <t>ÅNGE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24434-2026</t>
        </is>
      </c>
      <c r="B1313" s="1" t="n">
        <v>46169</v>
      </c>
      <c r="C1313" s="1" t="n">
        <v>46178</v>
      </c>
      <c r="D1313" t="inlineStr">
        <is>
          <t>VÄSTERNORRLANDS LÄN</t>
        </is>
      </c>
      <c r="E1313" t="inlineStr">
        <is>
          <t>ÅNGE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60864-2025</t>
        </is>
      </c>
      <c r="B1314" s="1" t="n">
        <v>45999.53170138889</v>
      </c>
      <c r="C1314" s="1" t="n">
        <v>46178</v>
      </c>
      <c r="D1314" t="inlineStr">
        <is>
          <t>VÄSTERNORRLANDS LÄN</t>
        </is>
      </c>
      <c r="E1314" t="inlineStr">
        <is>
          <t>ÅNGE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61500-2025</t>
        </is>
      </c>
      <c r="B1315" s="1" t="n">
        <v>46001.65667824074</v>
      </c>
      <c r="C1315" s="1" t="n">
        <v>46178</v>
      </c>
      <c r="D1315" t="inlineStr">
        <is>
          <t>VÄSTERNORRLANDS LÄN</t>
        </is>
      </c>
      <c r="E1315" t="inlineStr">
        <is>
          <t>ÅNGE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61075-2025</t>
        </is>
      </c>
      <c r="B1316" s="1" t="n">
        <v>46000.3959837963</v>
      </c>
      <c r="C1316" s="1" t="n">
        <v>46178</v>
      </c>
      <c r="D1316" t="inlineStr">
        <is>
          <t>VÄSTERNORRLANDS LÄN</t>
        </is>
      </c>
      <c r="E1316" t="inlineStr">
        <is>
          <t>ÅNGE</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61203-2025</t>
        </is>
      </c>
      <c r="B1317" s="1" t="n">
        <v>46000.61237268519</v>
      </c>
      <c r="C1317" s="1" t="n">
        <v>46178</v>
      </c>
      <c r="D1317" t="inlineStr">
        <is>
          <t>VÄSTERNORRLANDS LÄN</t>
        </is>
      </c>
      <c r="E1317" t="inlineStr">
        <is>
          <t>ÅNGE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24566-2026</t>
        </is>
      </c>
      <c r="B1318" s="1" t="n">
        <v>46170.61553240741</v>
      </c>
      <c r="C1318" s="1" t="n">
        <v>46178</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18775-2026</t>
        </is>
      </c>
      <c r="B1319" s="1" t="n">
        <v>46128.57349537037</v>
      </c>
      <c r="C1319" s="1" t="n">
        <v>46178</v>
      </c>
      <c r="D1319" t="inlineStr">
        <is>
          <t>VÄSTERNORRLANDS LÄN</t>
        </is>
      </c>
      <c r="E1319" t="inlineStr">
        <is>
          <t>ÅNGE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1403-2025</t>
        </is>
      </c>
      <c r="B1320" s="1" t="n">
        <v>45667.70548611111</v>
      </c>
      <c r="C1320" s="1" t="n">
        <v>46178</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61439-2025</t>
        </is>
      </c>
      <c r="B1321" s="1" t="n">
        <v>46001.57010416667</v>
      </c>
      <c r="C1321" s="1" t="n">
        <v>46178</v>
      </c>
      <c r="D1321" t="inlineStr">
        <is>
          <t>VÄSTERNORRLANDS LÄN</t>
        </is>
      </c>
      <c r="E1321" t="inlineStr">
        <is>
          <t>ÅNGE</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18602-2026</t>
        </is>
      </c>
      <c r="B1322" s="1" t="n">
        <v>46127.65782407407</v>
      </c>
      <c r="C1322" s="1" t="n">
        <v>46178</v>
      </c>
      <c r="D1322" t="inlineStr">
        <is>
          <t>VÄSTERNORRLANDS LÄN</t>
        </is>
      </c>
      <c r="E1322" t="inlineStr">
        <is>
          <t>ÅNGE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18604-2026</t>
        </is>
      </c>
      <c r="B1323" s="1" t="n">
        <v>46127.65800925926</v>
      </c>
      <c r="C1323" s="1" t="n">
        <v>46178</v>
      </c>
      <c r="D1323" t="inlineStr">
        <is>
          <t>VÄSTERNORRLANDS LÄN</t>
        </is>
      </c>
      <c r="E1323" t="inlineStr">
        <is>
          <t>ÅNGE</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61279-2025</t>
        </is>
      </c>
      <c r="B1324" s="1" t="n">
        <v>46000.69841435185</v>
      </c>
      <c r="C1324" s="1" t="n">
        <v>46178</v>
      </c>
      <c r="D1324" t="inlineStr">
        <is>
          <t>VÄSTERNORRLANDS LÄN</t>
        </is>
      </c>
      <c r="E1324" t="inlineStr">
        <is>
          <t>ÅNGE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61200-2025</t>
        </is>
      </c>
      <c r="B1325" s="1" t="n">
        <v>46000.60918981482</v>
      </c>
      <c r="C1325" s="1" t="n">
        <v>46178</v>
      </c>
      <c r="D1325" t="inlineStr">
        <is>
          <t>VÄSTERNORRLANDS LÄN</t>
        </is>
      </c>
      <c r="E1325" t="inlineStr">
        <is>
          <t>ÅNGE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24728-2026</t>
        </is>
      </c>
      <c r="B1326" s="1" t="n">
        <v>46171.56435185186</v>
      </c>
      <c r="C1326" s="1" t="n">
        <v>46178</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60365-2024</t>
        </is>
      </c>
      <c r="B1327" s="1" t="n">
        <v>45643</v>
      </c>
      <c r="C1327" s="1" t="n">
        <v>46178</v>
      </c>
      <c r="D1327" t="inlineStr">
        <is>
          <t>VÄSTERNORRLANDS LÄN</t>
        </is>
      </c>
      <c r="E1327" t="inlineStr">
        <is>
          <t>ÅNGE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24773-2026</t>
        </is>
      </c>
      <c r="B1328" s="1" t="n">
        <v>46171.63614583333</v>
      </c>
      <c r="C1328" s="1" t="n">
        <v>46178</v>
      </c>
      <c r="D1328" t="inlineStr">
        <is>
          <t>VÄSTERNORRLANDS LÄN</t>
        </is>
      </c>
      <c r="E1328" t="inlineStr">
        <is>
          <t>ÅNGE</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24644-2026</t>
        </is>
      </c>
      <c r="B1329" s="1" t="n">
        <v>46171.40755787037</v>
      </c>
      <c r="C1329" s="1" t="n">
        <v>46178</v>
      </c>
      <c r="D1329" t="inlineStr">
        <is>
          <t>VÄSTERNORRLANDS LÄN</t>
        </is>
      </c>
      <c r="E1329" t="inlineStr">
        <is>
          <t>ÅNGE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10687-2022</t>
        </is>
      </c>
      <c r="B1330" s="1" t="n">
        <v>44624.92684027777</v>
      </c>
      <c r="C1330" s="1" t="n">
        <v>46178</v>
      </c>
      <c r="D1330" t="inlineStr">
        <is>
          <t>VÄSTERNORRLANDS LÄN</t>
        </is>
      </c>
      <c r="E1330" t="inlineStr">
        <is>
          <t>ÅNGE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20393-2022</t>
        </is>
      </c>
      <c r="B1331" s="1" t="n">
        <v>44699</v>
      </c>
      <c r="C1331" s="1" t="n">
        <v>46178</v>
      </c>
      <c r="D1331" t="inlineStr">
        <is>
          <t>VÄSTERNORRLANDS LÄN</t>
        </is>
      </c>
      <c r="E1331" t="inlineStr">
        <is>
          <t>ÅNGE</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45086.93929398148</v>
      </c>
      <c r="C1332" s="1" t="n">
        <v>46178</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61308-2025</t>
        </is>
      </c>
      <c r="B1333" s="1" t="n">
        <v>46000.81952546296</v>
      </c>
      <c r="C1333" s="1" t="n">
        <v>46178</v>
      </c>
      <c r="D1333" t="inlineStr">
        <is>
          <t>VÄSTERNORRLANDS LÄN</t>
        </is>
      </c>
      <c r="E1333" t="inlineStr">
        <is>
          <t>ÅNGE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61349-2025</t>
        </is>
      </c>
      <c r="B1334" s="1" t="n">
        <v>46001.3866087963</v>
      </c>
      <c r="C1334" s="1" t="n">
        <v>46178</v>
      </c>
      <c r="D1334" t="inlineStr">
        <is>
          <t>VÄSTERNORRLANDS LÄN</t>
        </is>
      </c>
      <c r="E1334" t="inlineStr">
        <is>
          <t>ÅNGE</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59626-2022</t>
        </is>
      </c>
      <c r="B1335" s="1" t="n">
        <v>44907.92354166666</v>
      </c>
      <c r="C1335" s="1" t="n">
        <v>46178</v>
      </c>
      <c r="D1335" t="inlineStr">
        <is>
          <t>VÄSTERNORRLANDS LÄN</t>
        </is>
      </c>
      <c r="E1335" t="inlineStr">
        <is>
          <t>ÅNGE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21817-2026</t>
        </is>
      </c>
      <c r="B1336" s="1" t="n">
        <v>46150</v>
      </c>
      <c r="C1336" s="1" t="n">
        <v>46178</v>
      </c>
      <c r="D1336" t="inlineStr">
        <is>
          <t>VÄSTERNORRLANDS LÄN</t>
        </is>
      </c>
      <c r="E1336" t="inlineStr">
        <is>
          <t>ÅNGE</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24553-2026</t>
        </is>
      </c>
      <c r="B1337" s="1" t="n">
        <v>46170.59429398148</v>
      </c>
      <c r="C1337" s="1" t="n">
        <v>46178</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61321-2025</t>
        </is>
      </c>
      <c r="B1338" s="1" t="n">
        <v>46000.96894675926</v>
      </c>
      <c r="C1338" s="1" t="n">
        <v>46178</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61332-2025</t>
        </is>
      </c>
      <c r="B1339" s="1" t="n">
        <v>46001.34416666667</v>
      </c>
      <c r="C1339" s="1" t="n">
        <v>46178</v>
      </c>
      <c r="D1339" t="inlineStr">
        <is>
          <t>VÄSTERNORRLANDS LÄN</t>
        </is>
      </c>
      <c r="E1339" t="inlineStr">
        <is>
          <t>ÅNGE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18551-2026</t>
        </is>
      </c>
      <c r="B1340" s="1" t="n">
        <v>46127.57387731481</v>
      </c>
      <c r="C1340" s="1" t="n">
        <v>46178</v>
      </c>
      <c r="D1340" t="inlineStr">
        <is>
          <t>VÄSTERNORRLANDS LÄN</t>
        </is>
      </c>
      <c r="E1340" t="inlineStr">
        <is>
          <t>ÅNGE</t>
        </is>
      </c>
      <c r="F1340" t="inlineStr">
        <is>
          <t>SCA</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18852-2026</t>
        </is>
      </c>
      <c r="B1341" s="1" t="n">
        <v>46129</v>
      </c>
      <c r="C1341" s="1" t="n">
        <v>46178</v>
      </c>
      <c r="D1341" t="inlineStr">
        <is>
          <t>VÄSTERNORRLANDS LÄN</t>
        </is>
      </c>
      <c r="E1341" t="inlineStr">
        <is>
          <t>ÅNGE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61857-2025</t>
        </is>
      </c>
      <c r="B1342" s="1" t="n">
        <v>46003.3862962963</v>
      </c>
      <c r="C1342" s="1" t="n">
        <v>46178</v>
      </c>
      <c r="D1342" t="inlineStr">
        <is>
          <t>VÄSTERNORRLANDS LÄN</t>
        </is>
      </c>
      <c r="E1342" t="inlineStr">
        <is>
          <t>ÅNGE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34852-2023</t>
        </is>
      </c>
      <c r="B1343" s="1" t="n">
        <v>45141</v>
      </c>
      <c r="C1343" s="1" t="n">
        <v>46178</v>
      </c>
      <c r="D1343" t="inlineStr">
        <is>
          <t>VÄSTERNORRLANDS LÄN</t>
        </is>
      </c>
      <c r="E1343" t="inlineStr">
        <is>
          <t>ÅNGE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15032-2025</t>
        </is>
      </c>
      <c r="B1344" s="1" t="n">
        <v>45743.67748842593</v>
      </c>
      <c r="C1344" s="1" t="n">
        <v>46178</v>
      </c>
      <c r="D1344" t="inlineStr">
        <is>
          <t>VÄSTERNORRLANDS LÄN</t>
        </is>
      </c>
      <c r="E1344" t="inlineStr">
        <is>
          <t>ÅNGE</t>
        </is>
      </c>
      <c r="F1344" t="inlineStr">
        <is>
          <t>SCA</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24758-2026</t>
        </is>
      </c>
      <c r="B1345" s="1" t="n">
        <v>46171.61543981481</v>
      </c>
      <c r="C1345" s="1" t="n">
        <v>46178</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23747-2026</t>
        </is>
      </c>
      <c r="B1346" s="1" t="n">
        <v>46164</v>
      </c>
      <c r="C1346" s="1" t="n">
        <v>46178</v>
      </c>
      <c r="D1346" t="inlineStr">
        <is>
          <t>VÄSTERNORRLANDS LÄN</t>
        </is>
      </c>
      <c r="E1346" t="inlineStr">
        <is>
          <t>ÅNGE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54627-2025</t>
        </is>
      </c>
      <c r="B1347" s="1" t="n">
        <v>45966.34565972222</v>
      </c>
      <c r="C1347" s="1" t="n">
        <v>46178</v>
      </c>
      <c r="D1347" t="inlineStr">
        <is>
          <t>VÄSTERNORRLANDS LÄN</t>
        </is>
      </c>
      <c r="E1347" t="inlineStr">
        <is>
          <t>ÅNGE</t>
        </is>
      </c>
      <c r="F1347" t="inlineStr">
        <is>
          <t>SCA</t>
        </is>
      </c>
      <c r="G1347" t="n">
        <v>18.5</v>
      </c>
      <c r="H1347" t="n">
        <v>0</v>
      </c>
      <c r="I1347" t="n">
        <v>0</v>
      </c>
      <c r="J1347" t="n">
        <v>0</v>
      </c>
      <c r="K1347" t="n">
        <v>0</v>
      </c>
      <c r="L1347" t="n">
        <v>0</v>
      </c>
      <c r="M1347" t="n">
        <v>0</v>
      </c>
      <c r="N1347" t="n">
        <v>0</v>
      </c>
      <c r="O1347" t="n">
        <v>0</v>
      </c>
      <c r="P1347" t="n">
        <v>0</v>
      </c>
      <c r="Q1347" t="n">
        <v>0</v>
      </c>
      <c r="R1347" s="2" t="inlineStr"/>
    </row>
    <row r="1348" ht="15" customHeight="1">
      <c r="A1348" t="inlineStr">
        <is>
          <t>A 44415-2021</t>
        </is>
      </c>
      <c r="B1348" s="1" t="n">
        <v>44435</v>
      </c>
      <c r="C1348" s="1" t="n">
        <v>46178</v>
      </c>
      <c r="D1348" t="inlineStr">
        <is>
          <t>VÄSTERNORRLANDS LÄN</t>
        </is>
      </c>
      <c r="E1348" t="inlineStr">
        <is>
          <t>ÅNGE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24827-2026</t>
        </is>
      </c>
      <c r="B1349" s="1" t="n">
        <v>46174.34451388889</v>
      </c>
      <c r="C1349" s="1" t="n">
        <v>46178</v>
      </c>
      <c r="D1349" t="inlineStr">
        <is>
          <t>VÄSTERNORRLANDS LÄN</t>
        </is>
      </c>
      <c r="E1349" t="inlineStr">
        <is>
          <t>ÅNGE</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40788-2024</t>
        </is>
      </c>
      <c r="B1350" s="1" t="n">
        <v>45558.50974537037</v>
      </c>
      <c r="C1350" s="1" t="n">
        <v>46178</v>
      </c>
      <c r="D1350" t="inlineStr">
        <is>
          <t>VÄSTERNORRLANDS LÄN</t>
        </is>
      </c>
      <c r="E1350" t="inlineStr">
        <is>
          <t>ÅNGE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27306-2024</t>
        </is>
      </c>
      <c r="B1351" s="1" t="n">
        <v>45471.94454861111</v>
      </c>
      <c r="C1351" s="1" t="n">
        <v>46178</v>
      </c>
      <c r="D1351" t="inlineStr">
        <is>
          <t>VÄSTERNORRLANDS LÄN</t>
        </is>
      </c>
      <c r="E1351" t="inlineStr">
        <is>
          <t>ÅNGE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25126-2026</t>
        </is>
      </c>
      <c r="B1352" s="1" t="n">
        <v>46175.39295138889</v>
      </c>
      <c r="C1352" s="1" t="n">
        <v>46178</v>
      </c>
      <c r="D1352" t="inlineStr">
        <is>
          <t>VÄSTERNORRLANDS LÄN</t>
        </is>
      </c>
      <c r="E1352" t="inlineStr">
        <is>
          <t>ÅNGE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25150-2026</t>
        </is>
      </c>
      <c r="B1353" s="1" t="n">
        <v>46175.43461805556</v>
      </c>
      <c r="C1353" s="1" t="n">
        <v>46178</v>
      </c>
      <c r="D1353" t="inlineStr">
        <is>
          <t>VÄSTERNORRLANDS LÄN</t>
        </is>
      </c>
      <c r="E1353" t="inlineStr">
        <is>
          <t>ÅNGE</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8778-2025</t>
        </is>
      </c>
      <c r="B1354" s="1" t="n">
        <v>45712.61539351852</v>
      </c>
      <c r="C1354" s="1" t="n">
        <v>46178</v>
      </c>
      <c r="D1354" t="inlineStr">
        <is>
          <t>VÄSTERNORRLANDS LÄN</t>
        </is>
      </c>
      <c r="E1354" t="inlineStr">
        <is>
          <t>ÅNGE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19021-2026</t>
        </is>
      </c>
      <c r="B1355" s="1" t="n">
        <v>46131.34442129629</v>
      </c>
      <c r="C1355" s="1" t="n">
        <v>46178</v>
      </c>
      <c r="D1355" t="inlineStr">
        <is>
          <t>VÄSTERNORRLANDS LÄN</t>
        </is>
      </c>
      <c r="E1355" t="inlineStr">
        <is>
          <t>ÅNGE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34629-2025</t>
        </is>
      </c>
      <c r="B1356" s="1" t="n">
        <v>45847.93006944445</v>
      </c>
      <c r="C1356" s="1" t="n">
        <v>46178</v>
      </c>
      <c r="D1356" t="inlineStr">
        <is>
          <t>VÄSTERNORRLANDS LÄN</t>
        </is>
      </c>
      <c r="E1356" t="inlineStr">
        <is>
          <t>ÅNGE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61656-2025</t>
        </is>
      </c>
      <c r="B1357" s="1" t="n">
        <v>46002.44873842593</v>
      </c>
      <c r="C1357" s="1" t="n">
        <v>46178</v>
      </c>
      <c r="D1357" t="inlineStr">
        <is>
          <t>VÄSTERNORRLANDS LÄN</t>
        </is>
      </c>
      <c r="E1357" t="inlineStr">
        <is>
          <t>ÅNGE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59818-2024</t>
        </is>
      </c>
      <c r="B1358" s="1" t="n">
        <v>45639.63572916666</v>
      </c>
      <c r="C1358" s="1" t="n">
        <v>46178</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19360-2026</t>
        </is>
      </c>
      <c r="B1359" s="1" t="n">
        <v>46133.51094907407</v>
      </c>
      <c r="C1359" s="1" t="n">
        <v>46178</v>
      </c>
      <c r="D1359" t="inlineStr">
        <is>
          <t>VÄSTERNORRLANDS LÄN</t>
        </is>
      </c>
      <c r="E1359" t="inlineStr">
        <is>
          <t>ÅNGE</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25100-2026</t>
        </is>
      </c>
      <c r="B1360" s="1" t="n">
        <v>46175.34491898148</v>
      </c>
      <c r="C1360" s="1" t="n">
        <v>46178</v>
      </c>
      <c r="D1360" t="inlineStr">
        <is>
          <t>VÄSTERNORRLANDS LÄN</t>
        </is>
      </c>
      <c r="E1360" t="inlineStr">
        <is>
          <t>ÅNGE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16978-2024</t>
        </is>
      </c>
      <c r="B1361" s="1" t="n">
        <v>45412.02416666667</v>
      </c>
      <c r="C1361" s="1" t="n">
        <v>46178</v>
      </c>
      <c r="D1361" t="inlineStr">
        <is>
          <t>VÄSTERNORRLANDS LÄN</t>
        </is>
      </c>
      <c r="E1361" t="inlineStr">
        <is>
          <t>ÅNGE</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62101-2025</t>
        </is>
      </c>
      <c r="B1362" s="1" t="n">
        <v>46006.40664351852</v>
      </c>
      <c r="C1362" s="1" t="n">
        <v>46178</v>
      </c>
      <c r="D1362" t="inlineStr">
        <is>
          <t>VÄSTERNORRLANDS LÄN</t>
        </is>
      </c>
      <c r="E1362" t="inlineStr">
        <is>
          <t>ÅNGE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62257-2025</t>
        </is>
      </c>
      <c r="B1363" s="1" t="n">
        <v>46006.61524305555</v>
      </c>
      <c r="C1363" s="1" t="n">
        <v>46178</v>
      </c>
      <c r="D1363" t="inlineStr">
        <is>
          <t>VÄSTERNORRLANDS LÄN</t>
        </is>
      </c>
      <c r="E1363" t="inlineStr">
        <is>
          <t>ÅNGE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57286-2022</t>
        </is>
      </c>
      <c r="B1364" s="1" t="n">
        <v>44895.94991898148</v>
      </c>
      <c r="C1364" s="1" t="n">
        <v>46178</v>
      </c>
      <c r="D1364" t="inlineStr">
        <is>
          <t>VÄSTERNORRLANDS LÄN</t>
        </is>
      </c>
      <c r="E1364" t="inlineStr">
        <is>
          <t>ÅNGE</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19214-2026</t>
        </is>
      </c>
      <c r="B1365" s="1" t="n">
        <v>46132.62857638889</v>
      </c>
      <c r="C1365" s="1" t="n">
        <v>46178</v>
      </c>
      <c r="D1365" t="inlineStr">
        <is>
          <t>VÄSTERNORRLANDS LÄN</t>
        </is>
      </c>
      <c r="E1365" t="inlineStr">
        <is>
          <t>ÅNGE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62160-2025</t>
        </is>
      </c>
      <c r="B1366" s="1" t="n">
        <v>46006.49094907408</v>
      </c>
      <c r="C1366" s="1" t="n">
        <v>46178</v>
      </c>
      <c r="D1366" t="inlineStr">
        <is>
          <t>VÄSTERNORRLANDS LÄN</t>
        </is>
      </c>
      <c r="E1366" t="inlineStr">
        <is>
          <t>ÅNGE</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62084-2025</t>
        </is>
      </c>
      <c r="B1367" s="1" t="n">
        <v>46006.37449074074</v>
      </c>
      <c r="C1367" s="1" t="n">
        <v>46178</v>
      </c>
      <c r="D1367" t="inlineStr">
        <is>
          <t>VÄSTERNORRLANDS LÄN</t>
        </is>
      </c>
      <c r="E1367" t="inlineStr">
        <is>
          <t>ÅNGE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19212-2026</t>
        </is>
      </c>
      <c r="B1368" s="1" t="n">
        <v>46132.62708333333</v>
      </c>
      <c r="C1368" s="1" t="n">
        <v>46178</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19437-2026</t>
        </is>
      </c>
      <c r="B1369" s="1" t="n">
        <v>46133.6365162037</v>
      </c>
      <c r="C1369" s="1" t="n">
        <v>46178</v>
      </c>
      <c r="D1369" t="inlineStr">
        <is>
          <t>VÄSTERNORRLANDS LÄN</t>
        </is>
      </c>
      <c r="E1369" t="inlineStr">
        <is>
          <t>ÅNGE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62661-2025</t>
        </is>
      </c>
      <c r="B1370" s="1" t="n">
        <v>46008.42761574074</v>
      </c>
      <c r="C1370" s="1" t="n">
        <v>46178</v>
      </c>
      <c r="D1370" t="inlineStr">
        <is>
          <t>VÄSTERNORRLANDS LÄN</t>
        </is>
      </c>
      <c r="E1370" t="inlineStr">
        <is>
          <t>ÅNGE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19120-2026</t>
        </is>
      </c>
      <c r="B1371" s="1" t="n">
        <v>46132.47065972222</v>
      </c>
      <c r="C1371" s="1" t="n">
        <v>46178</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63092-2025</t>
        </is>
      </c>
      <c r="B1372" s="1" t="n">
        <v>46009.67795138889</v>
      </c>
      <c r="C1372" s="1" t="n">
        <v>46178</v>
      </c>
      <c r="D1372" t="inlineStr">
        <is>
          <t>VÄSTERNORRLANDS LÄN</t>
        </is>
      </c>
      <c r="E1372" t="inlineStr">
        <is>
          <t>ÅNGE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19204-2026</t>
        </is>
      </c>
      <c r="B1373" s="1" t="n">
        <v>46132.61618055555</v>
      </c>
      <c r="C1373" s="1" t="n">
        <v>46178</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19209-2026</t>
        </is>
      </c>
      <c r="B1374" s="1" t="n">
        <v>46132.62471064815</v>
      </c>
      <c r="C1374" s="1" t="n">
        <v>46178</v>
      </c>
      <c r="D1374" t="inlineStr">
        <is>
          <t>VÄSTERNORRLANDS LÄN</t>
        </is>
      </c>
      <c r="E1374" t="inlineStr">
        <is>
          <t>ÅNGE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62763-2025</t>
        </is>
      </c>
      <c r="B1375" s="1" t="n">
        <v>46008.59434027778</v>
      </c>
      <c r="C1375" s="1" t="n">
        <v>46178</v>
      </c>
      <c r="D1375" t="inlineStr">
        <is>
          <t>VÄSTERNORRLANDS LÄN</t>
        </is>
      </c>
      <c r="E1375" t="inlineStr">
        <is>
          <t>ÅNGE</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62793-2025</t>
        </is>
      </c>
      <c r="B1376" s="1" t="n">
        <v>46008.63625</v>
      </c>
      <c r="C1376" s="1" t="n">
        <v>46178</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41766-2024</t>
        </is>
      </c>
      <c r="B1377" s="1" t="n">
        <v>45561.34594907407</v>
      </c>
      <c r="C1377" s="1" t="n">
        <v>46178</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60950-2025</t>
        </is>
      </c>
      <c r="B1378" s="1" t="n">
        <v>45999</v>
      </c>
      <c r="C1378" s="1" t="n">
        <v>46178</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63173-2025</t>
        </is>
      </c>
      <c r="B1379" s="1" t="n">
        <v>46010.40679398148</v>
      </c>
      <c r="C1379" s="1" t="n">
        <v>46178</v>
      </c>
      <c r="D1379" t="inlineStr">
        <is>
          <t>VÄSTERNORRLANDS LÄN</t>
        </is>
      </c>
      <c r="E1379" t="inlineStr">
        <is>
          <t>ÅNGE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25184-2026</t>
        </is>
      </c>
      <c r="B1380" s="1" t="n">
        <v>46175.5724537037</v>
      </c>
      <c r="C1380" s="1" t="n">
        <v>46178</v>
      </c>
      <c r="D1380" t="inlineStr">
        <is>
          <t>VÄSTERNORRLANDS LÄN</t>
        </is>
      </c>
      <c r="E1380" t="inlineStr">
        <is>
          <t>ÅNGE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25185-2026</t>
        </is>
      </c>
      <c r="B1381" s="1" t="n">
        <v>46175.57344907407</v>
      </c>
      <c r="C1381" s="1" t="n">
        <v>46178</v>
      </c>
      <c r="D1381" t="inlineStr">
        <is>
          <t>VÄSTERNORRLANDS LÄN</t>
        </is>
      </c>
      <c r="E1381" t="inlineStr">
        <is>
          <t>ÅNGE</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39178-2024</t>
        </is>
      </c>
      <c r="B1382" s="1" t="n">
        <v>45548.65692129629</v>
      </c>
      <c r="C1382" s="1" t="n">
        <v>46178</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51383-2022</t>
        </is>
      </c>
      <c r="B1383" s="1" t="n">
        <v>44866</v>
      </c>
      <c r="C1383" s="1" t="n">
        <v>46178</v>
      </c>
      <c r="D1383" t="inlineStr">
        <is>
          <t>VÄSTERNORRLANDS LÄN</t>
        </is>
      </c>
      <c r="E1383" t="inlineStr">
        <is>
          <t>ÅNGE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51393-2022</t>
        </is>
      </c>
      <c r="B1384" s="1" t="n">
        <v>44869.43277777778</v>
      </c>
      <c r="C1384" s="1" t="n">
        <v>46178</v>
      </c>
      <c r="D1384" t="inlineStr">
        <is>
          <t>VÄSTERNORRLANDS LÄN</t>
        </is>
      </c>
      <c r="E1384" t="inlineStr">
        <is>
          <t>ÅNGE</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4236-2025</t>
        </is>
      </c>
      <c r="B1385" s="1" t="n">
        <v>45685.56534722223</v>
      </c>
      <c r="C1385" s="1" t="n">
        <v>46178</v>
      </c>
      <c r="D1385" t="inlineStr">
        <is>
          <t>VÄSTERNORRLANDS LÄN</t>
        </is>
      </c>
      <c r="E1385" t="inlineStr">
        <is>
          <t>ÅNGE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2415-2024</t>
        </is>
      </c>
      <c r="B1386" s="1" t="n">
        <v>45310</v>
      </c>
      <c r="C1386" s="1" t="n">
        <v>46178</v>
      </c>
      <c r="D1386" t="inlineStr">
        <is>
          <t>VÄSTERNORRLANDS LÄN</t>
        </is>
      </c>
      <c r="E1386" t="inlineStr">
        <is>
          <t>ÅNGE</t>
        </is>
      </c>
      <c r="F1386" t="inlineStr">
        <is>
          <t>Kyrkan</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4361-2024</t>
        </is>
      </c>
      <c r="B1387" s="1" t="n">
        <v>45325.65047453704</v>
      </c>
      <c r="C1387" s="1" t="n">
        <v>46178</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26490-2024</t>
        </is>
      </c>
      <c r="B1388" s="1" t="n">
        <v>45469</v>
      </c>
      <c r="C1388" s="1" t="n">
        <v>46178</v>
      </c>
      <c r="D1388" t="inlineStr">
        <is>
          <t>VÄSTERNORRLANDS LÄN</t>
        </is>
      </c>
      <c r="E1388" t="inlineStr">
        <is>
          <t>ÅNGE</t>
        </is>
      </c>
      <c r="F1388" t="inlineStr">
        <is>
          <t>Sveaskog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47779-2023</t>
        </is>
      </c>
      <c r="B1389" s="1" t="n">
        <v>45203.92232638889</v>
      </c>
      <c r="C1389" s="1" t="n">
        <v>46178</v>
      </c>
      <c r="D1389" t="inlineStr">
        <is>
          <t>VÄSTERNORRLANDS LÄN</t>
        </is>
      </c>
      <c r="E1389" t="inlineStr">
        <is>
          <t>ÅNGE</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64946-2023</t>
        </is>
      </c>
      <c r="B1390" s="1" t="n">
        <v>45282.94678240741</v>
      </c>
      <c r="C1390" s="1" t="n">
        <v>46178</v>
      </c>
      <c r="D1390" t="inlineStr">
        <is>
          <t>VÄSTERNORRLANDS LÄN</t>
        </is>
      </c>
      <c r="E1390" t="inlineStr">
        <is>
          <t>ÅNGE</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62336-2025</t>
        </is>
      </c>
      <c r="B1391" s="1" t="n">
        <v>46006</v>
      </c>
      <c r="C1391" s="1" t="n">
        <v>46178</v>
      </c>
      <c r="D1391" t="inlineStr">
        <is>
          <t>VÄSTERNORRLANDS LÄN</t>
        </is>
      </c>
      <c r="E1391" t="inlineStr">
        <is>
          <t>ÅNGE</t>
        </is>
      </c>
      <c r="G1391" t="n">
        <v>13.4</v>
      </c>
      <c r="H1391" t="n">
        <v>0</v>
      </c>
      <c r="I1391" t="n">
        <v>0</v>
      </c>
      <c r="J1391" t="n">
        <v>0</v>
      </c>
      <c r="K1391" t="n">
        <v>0</v>
      </c>
      <c r="L1391" t="n">
        <v>0</v>
      </c>
      <c r="M1391" t="n">
        <v>0</v>
      </c>
      <c r="N1391" t="n">
        <v>0</v>
      </c>
      <c r="O1391" t="n">
        <v>0</v>
      </c>
      <c r="P1391" t="n">
        <v>0</v>
      </c>
      <c r="Q1391" t="n">
        <v>0</v>
      </c>
      <c r="R1391" s="2" t="inlineStr"/>
    </row>
    <row r="1392" ht="15" customHeight="1">
      <c r="A1392" t="inlineStr">
        <is>
          <t>A 25198-2026</t>
        </is>
      </c>
      <c r="B1392" s="1" t="n">
        <v>46175.59298611111</v>
      </c>
      <c r="C1392" s="1" t="n">
        <v>46178</v>
      </c>
      <c r="D1392" t="inlineStr">
        <is>
          <t>VÄSTERNORRLANDS LÄN</t>
        </is>
      </c>
      <c r="E1392" t="inlineStr">
        <is>
          <t>ÅNGE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61585-2022</t>
        </is>
      </c>
      <c r="B1393" s="1" t="n">
        <v>44916.63380787037</v>
      </c>
      <c r="C1393" s="1" t="n">
        <v>46178</v>
      </c>
      <c r="D1393" t="inlineStr">
        <is>
          <t>VÄSTERNORRLANDS LÄN</t>
        </is>
      </c>
      <c r="E1393" t="inlineStr">
        <is>
          <t>ÅNGE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4095-2023</t>
        </is>
      </c>
      <c r="B1394" s="1" t="n">
        <v>44952</v>
      </c>
      <c r="C1394" s="1" t="n">
        <v>46178</v>
      </c>
      <c r="D1394" t="inlineStr">
        <is>
          <t>VÄSTERNORRLANDS LÄN</t>
        </is>
      </c>
      <c r="E1394" t="inlineStr">
        <is>
          <t>ÅNGE</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63686-2025</t>
        </is>
      </c>
      <c r="B1395" s="1" t="n">
        <v>46014.53172453704</v>
      </c>
      <c r="C1395" s="1" t="n">
        <v>46178</v>
      </c>
      <c r="D1395" t="inlineStr">
        <is>
          <t>VÄSTERNORRLANDS LÄN</t>
        </is>
      </c>
      <c r="E1395" t="inlineStr">
        <is>
          <t>ÅNGE</t>
        </is>
      </c>
      <c r="F1395" t="inlineStr">
        <is>
          <t>SCA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16365-2023</t>
        </is>
      </c>
      <c r="B1396" s="1" t="n">
        <v>45028</v>
      </c>
      <c r="C1396" s="1" t="n">
        <v>46178</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69790-2021</t>
        </is>
      </c>
      <c r="B1397" s="1" t="n">
        <v>44532.605625</v>
      </c>
      <c r="C1397" s="1" t="n">
        <v>46178</v>
      </c>
      <c r="D1397" t="inlineStr">
        <is>
          <t>VÄSTERNORRLANDS LÄN</t>
        </is>
      </c>
      <c r="E1397" t="inlineStr">
        <is>
          <t>ÅNGE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63642-2025</t>
        </is>
      </c>
      <c r="B1398" s="1" t="n">
        <v>46014.41258101852</v>
      </c>
      <c r="C1398" s="1" t="n">
        <v>46178</v>
      </c>
      <c r="D1398" t="inlineStr">
        <is>
          <t>VÄSTERNORRLANDS LÄN</t>
        </is>
      </c>
      <c r="E1398" t="inlineStr">
        <is>
          <t>ÅNGE</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63652-2025</t>
        </is>
      </c>
      <c r="B1399" s="1" t="n">
        <v>46014.43987268519</v>
      </c>
      <c r="C1399" s="1" t="n">
        <v>46178</v>
      </c>
      <c r="D1399" t="inlineStr">
        <is>
          <t>VÄSTERNORRLANDS LÄN</t>
        </is>
      </c>
      <c r="E1399" t="inlineStr">
        <is>
          <t>ÅNGE</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63673-2025</t>
        </is>
      </c>
      <c r="B1400" s="1" t="n">
        <v>46014.47594907408</v>
      </c>
      <c r="C1400" s="1" t="n">
        <v>46178</v>
      </c>
      <c r="D1400" t="inlineStr">
        <is>
          <t>VÄSTERNORRLANDS LÄN</t>
        </is>
      </c>
      <c r="E1400" t="inlineStr">
        <is>
          <t>ÅNGE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53209-2024</t>
        </is>
      </c>
      <c r="B1401" s="1" t="n">
        <v>45612.51079861111</v>
      </c>
      <c r="C1401" s="1" t="n">
        <v>46178</v>
      </c>
      <c r="D1401" t="inlineStr">
        <is>
          <t>VÄSTERNORRLANDS LÄN</t>
        </is>
      </c>
      <c r="E1401" t="inlineStr">
        <is>
          <t>ÅNGE</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3574-2025</t>
        </is>
      </c>
      <c r="B1402" s="1" t="n">
        <v>45680.71916666667</v>
      </c>
      <c r="C1402" s="1" t="n">
        <v>46178</v>
      </c>
      <c r="D1402" t="inlineStr">
        <is>
          <t>VÄSTERNORRLANDS LÄN</t>
        </is>
      </c>
      <c r="E1402" t="inlineStr">
        <is>
          <t>ÅNGE</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30803-2022</t>
        </is>
      </c>
      <c r="B1403" s="1" t="n">
        <v>44764</v>
      </c>
      <c r="C1403" s="1" t="n">
        <v>46178</v>
      </c>
      <c r="D1403" t="inlineStr">
        <is>
          <t>VÄSTERNORRLANDS LÄN</t>
        </is>
      </c>
      <c r="E1403" t="inlineStr">
        <is>
          <t>ÅNGE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34750-2023</t>
        </is>
      </c>
      <c r="B1404" s="1" t="n">
        <v>45139</v>
      </c>
      <c r="C1404" s="1" t="n">
        <v>46178</v>
      </c>
      <c r="D1404" t="inlineStr">
        <is>
          <t>VÄSTERNORRLANDS LÄN</t>
        </is>
      </c>
      <c r="E1404" t="inlineStr">
        <is>
          <t>ÅNGE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24629-2026</t>
        </is>
      </c>
      <c r="B1405" s="1" t="n">
        <v>46171</v>
      </c>
      <c r="C1405" s="1" t="n">
        <v>46178</v>
      </c>
      <c r="D1405" t="inlineStr">
        <is>
          <t>VÄSTERNORRLANDS LÄN</t>
        </is>
      </c>
      <c r="E1405" t="inlineStr">
        <is>
          <t>ÅNGE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44180-2023</t>
        </is>
      </c>
      <c r="B1406" s="1" t="n">
        <v>45183</v>
      </c>
      <c r="C1406" s="1" t="n">
        <v>46178</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20083-2026</t>
        </is>
      </c>
      <c r="B1407" s="1" t="n">
        <v>46135</v>
      </c>
      <c r="C1407" s="1" t="n">
        <v>46178</v>
      </c>
      <c r="D1407" t="inlineStr">
        <is>
          <t>VÄSTERNORRLANDS LÄN</t>
        </is>
      </c>
      <c r="E1407" t="inlineStr">
        <is>
          <t>ÅNGE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25530-2026</t>
        </is>
      </c>
      <c r="B1408" s="1" t="n">
        <v>46177.53196759259</v>
      </c>
      <c r="C1408" s="1" t="n">
        <v>46178</v>
      </c>
      <c r="D1408" t="inlineStr">
        <is>
          <t>VÄSTERNORRLANDS LÄN</t>
        </is>
      </c>
      <c r="E1408" t="inlineStr">
        <is>
          <t>ÅNGE</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14888-2022</t>
        </is>
      </c>
      <c r="B1409" s="1" t="n">
        <v>44656</v>
      </c>
      <c r="C1409" s="1" t="n">
        <v>46178</v>
      </c>
      <c r="D1409" t="inlineStr">
        <is>
          <t>VÄSTERNORRLANDS LÄN</t>
        </is>
      </c>
      <c r="E1409" t="inlineStr">
        <is>
          <t>ÅNGE</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25316-2026</t>
        </is>
      </c>
      <c r="B1410" s="1" t="n">
        <v>46176.49024305555</v>
      </c>
      <c r="C1410" s="1" t="n">
        <v>46178</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19689-2026</t>
        </is>
      </c>
      <c r="B1411" s="1" t="n">
        <v>46134.67760416667</v>
      </c>
      <c r="C1411" s="1" t="n">
        <v>46178</v>
      </c>
      <c r="D1411" t="inlineStr">
        <is>
          <t>VÄSTERNORRLANDS LÄN</t>
        </is>
      </c>
      <c r="E1411" t="inlineStr">
        <is>
          <t>ÅNGE</t>
        </is>
      </c>
      <c r="F1411" t="inlineStr">
        <is>
          <t>SCA</t>
        </is>
      </c>
      <c r="G1411" t="n">
        <v>28.5</v>
      </c>
      <c r="H1411" t="n">
        <v>0</v>
      </c>
      <c r="I1411" t="n">
        <v>0</v>
      </c>
      <c r="J1411" t="n">
        <v>0</v>
      </c>
      <c r="K1411" t="n">
        <v>0</v>
      </c>
      <c r="L1411" t="n">
        <v>0</v>
      </c>
      <c r="M1411" t="n">
        <v>0</v>
      </c>
      <c r="N1411" t="n">
        <v>0</v>
      </c>
      <c r="O1411" t="n">
        <v>0</v>
      </c>
      <c r="P1411" t="n">
        <v>0</v>
      </c>
      <c r="Q1411" t="n">
        <v>0</v>
      </c>
      <c r="R1411" s="2" t="inlineStr"/>
    </row>
    <row r="1412" ht="15" customHeight="1">
      <c r="A1412" t="inlineStr">
        <is>
          <t>A 19815-2026</t>
        </is>
      </c>
      <c r="B1412" s="1" t="n">
        <v>46135.5735300926</v>
      </c>
      <c r="C1412" s="1" t="n">
        <v>46178</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22990-2024</t>
        </is>
      </c>
      <c r="B1413" s="1" t="n">
        <v>45449.94548611111</v>
      </c>
      <c r="C1413" s="1" t="n">
        <v>46178</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19875-2026</t>
        </is>
      </c>
      <c r="B1414" s="1" t="n">
        <v>46135.65696759259</v>
      </c>
      <c r="C1414" s="1" t="n">
        <v>46178</v>
      </c>
      <c r="D1414" t="inlineStr">
        <is>
          <t>VÄSTERNORRLANDS LÄN</t>
        </is>
      </c>
      <c r="E1414" t="inlineStr">
        <is>
          <t>ÅNGE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27260-2023</t>
        </is>
      </c>
      <c r="B1415" s="1" t="n">
        <v>45092</v>
      </c>
      <c r="C1415" s="1" t="n">
        <v>46178</v>
      </c>
      <c r="D1415" t="inlineStr">
        <is>
          <t>VÄSTERNORRLANDS LÄN</t>
        </is>
      </c>
      <c r="E1415" t="inlineStr">
        <is>
          <t>ÅNGE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58637-2023</t>
        </is>
      </c>
      <c r="B1416" s="1" t="n">
        <v>45251</v>
      </c>
      <c r="C1416" s="1" t="n">
        <v>46178</v>
      </c>
      <c r="D1416" t="inlineStr">
        <is>
          <t>VÄSTERNORRLANDS LÄN</t>
        </is>
      </c>
      <c r="E1416" t="inlineStr">
        <is>
          <t>ÅNGE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57081-2025</t>
        </is>
      </c>
      <c r="B1417" s="1" t="n">
        <v>45979.40826388889</v>
      </c>
      <c r="C1417" s="1" t="n">
        <v>46178</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30753-2024</t>
        </is>
      </c>
      <c r="B1418" s="1" t="n">
        <v>45496</v>
      </c>
      <c r="C1418" s="1" t="n">
        <v>46178</v>
      </c>
      <c r="D1418" t="inlineStr">
        <is>
          <t>VÄSTERNORRLANDS LÄN</t>
        </is>
      </c>
      <c r="E1418" t="inlineStr">
        <is>
          <t>ÅNGE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30754-2024</t>
        </is>
      </c>
      <c r="B1419" s="1" t="n">
        <v>45496</v>
      </c>
      <c r="C1419" s="1" t="n">
        <v>46178</v>
      </c>
      <c r="D1419" t="inlineStr">
        <is>
          <t>VÄSTERNORRLANDS LÄN</t>
        </is>
      </c>
      <c r="E1419" t="inlineStr">
        <is>
          <t>ÅNGE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25390-2026</t>
        </is>
      </c>
      <c r="B1420" s="1" t="n">
        <v>46176.71925925926</v>
      </c>
      <c r="C1420" s="1" t="n">
        <v>46178</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19817-2026</t>
        </is>
      </c>
      <c r="B1421" s="1" t="n">
        <v>46135</v>
      </c>
      <c r="C1421" s="1" t="n">
        <v>46178</v>
      </c>
      <c r="D1421" t="inlineStr">
        <is>
          <t>VÄSTERNORRLANDS LÄN</t>
        </is>
      </c>
      <c r="E1421" t="inlineStr">
        <is>
          <t>ÅNGE</t>
        </is>
      </c>
      <c r="F1421" t="inlineStr">
        <is>
          <t>SCA</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57271-2024</t>
        </is>
      </c>
      <c r="B1422" s="1" t="n">
        <v>45629.57364583333</v>
      </c>
      <c r="C1422" s="1" t="n">
        <v>46178</v>
      </c>
      <c r="D1422" t="inlineStr">
        <is>
          <t>VÄSTERNORRLANDS LÄN</t>
        </is>
      </c>
      <c r="E1422" t="inlineStr">
        <is>
          <t>ÅNGE</t>
        </is>
      </c>
      <c r="F1422" t="inlineStr">
        <is>
          <t>SCA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9480-2022</t>
        </is>
      </c>
      <c r="B1423" s="1" t="n">
        <v>44616</v>
      </c>
      <c r="C1423" s="1" t="n">
        <v>46178</v>
      </c>
      <c r="D1423" t="inlineStr">
        <is>
          <t>VÄSTERNORRLANDS LÄN</t>
        </is>
      </c>
      <c r="E1423" t="inlineStr">
        <is>
          <t>ÅNGE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37503-2023</t>
        </is>
      </c>
      <c r="B1424" s="1" t="n">
        <v>45157.5796875</v>
      </c>
      <c r="C1424" s="1" t="n">
        <v>46178</v>
      </c>
      <c r="D1424" t="inlineStr">
        <is>
          <t>VÄSTERNORRLANDS LÄN</t>
        </is>
      </c>
      <c r="E1424" t="inlineStr">
        <is>
          <t>ÅNGE</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51124-2024</t>
        </is>
      </c>
      <c r="B1425" s="1" t="n">
        <v>45603.50716435185</v>
      </c>
      <c r="C1425" s="1" t="n">
        <v>46178</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19668-2026</t>
        </is>
      </c>
      <c r="B1426" s="1" t="n">
        <v>46134.61542824074</v>
      </c>
      <c r="C1426" s="1" t="n">
        <v>46178</v>
      </c>
      <c r="D1426" t="inlineStr">
        <is>
          <t>VÄSTERNORRLANDS LÄN</t>
        </is>
      </c>
      <c r="E1426" t="inlineStr">
        <is>
          <t>ÅNGE</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19691-2026</t>
        </is>
      </c>
      <c r="B1427" s="1" t="n">
        <v>46134.67791666667</v>
      </c>
      <c r="C1427" s="1" t="n">
        <v>46178</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21740-2022</t>
        </is>
      </c>
      <c r="B1428" s="1" t="n">
        <v>44708.37472222222</v>
      </c>
      <c r="C1428" s="1" t="n">
        <v>46178</v>
      </c>
      <c r="D1428" t="inlineStr">
        <is>
          <t>VÄSTERNORRLANDS LÄN</t>
        </is>
      </c>
      <c r="E1428" t="inlineStr">
        <is>
          <t>ÅNGE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51377-2024</t>
        </is>
      </c>
      <c r="B1429" s="1" t="n">
        <v>45604.38142361111</v>
      </c>
      <c r="C1429" s="1" t="n">
        <v>46178</v>
      </c>
      <c r="D1429" t="inlineStr">
        <is>
          <t>VÄSTERNORRLANDS LÄN</t>
        </is>
      </c>
      <c r="E1429" t="inlineStr">
        <is>
          <t>ÅNGE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44876-2024</t>
        </is>
      </c>
      <c r="B1430" s="1" t="n">
        <v>45575.34474537037</v>
      </c>
      <c r="C1430" s="1" t="n">
        <v>46178</v>
      </c>
      <c r="D1430" t="inlineStr">
        <is>
          <t>VÄSTERNORRLANDS LÄN</t>
        </is>
      </c>
      <c r="E1430" t="inlineStr">
        <is>
          <t>ÅNGE</t>
        </is>
      </c>
      <c r="F1430" t="inlineStr">
        <is>
          <t>SCA</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20229-2022</t>
        </is>
      </c>
      <c r="B1431" s="1" t="n">
        <v>44698.61150462963</v>
      </c>
      <c r="C1431" s="1" t="n">
        <v>46178</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14097-2022</t>
        </is>
      </c>
      <c r="B1432" s="1" t="n">
        <v>44651</v>
      </c>
      <c r="C1432" s="1" t="n">
        <v>46178</v>
      </c>
      <c r="D1432" t="inlineStr">
        <is>
          <t>VÄSTERNORRLANDS LÄN</t>
        </is>
      </c>
      <c r="E1432" t="inlineStr">
        <is>
          <t>ÅNGE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32901-2023</t>
        </is>
      </c>
      <c r="B1433" s="1" t="n">
        <v>45124.95063657407</v>
      </c>
      <c r="C1433" s="1" t="n">
        <v>46178</v>
      </c>
      <c r="D1433" t="inlineStr">
        <is>
          <t>VÄSTERNORRLANDS LÄN</t>
        </is>
      </c>
      <c r="E1433" t="inlineStr">
        <is>
          <t>ÅNGE</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19845-2026</t>
        </is>
      </c>
      <c r="B1434" s="1" t="n">
        <v>46135.61526620371</v>
      </c>
      <c r="C1434" s="1" t="n">
        <v>46178</v>
      </c>
      <c r="D1434" t="inlineStr">
        <is>
          <t>VÄSTERNORRLANDS LÄN</t>
        </is>
      </c>
      <c r="E1434" t="inlineStr">
        <is>
          <t>ÅNGE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15603-2024</t>
        </is>
      </c>
      <c r="B1435" s="1" t="n">
        <v>45401.92501157407</v>
      </c>
      <c r="C1435" s="1" t="n">
        <v>46178</v>
      </c>
      <c r="D1435" t="inlineStr">
        <is>
          <t>VÄSTERNORRLANDS LÄN</t>
        </is>
      </c>
      <c r="E1435" t="inlineStr">
        <is>
          <t>ÅNGE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25142-2026</t>
        </is>
      </c>
      <c r="B1436" s="1" t="n">
        <v>46175</v>
      </c>
      <c r="C1436" s="1" t="n">
        <v>46178</v>
      </c>
      <c r="D1436" t="inlineStr">
        <is>
          <t>VÄSTERNORRLANDS LÄN</t>
        </is>
      </c>
      <c r="E1436" t="inlineStr">
        <is>
          <t>ÅNGE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44935-2025</t>
        </is>
      </c>
      <c r="B1437" s="1" t="n">
        <v>45918.57392361111</v>
      </c>
      <c r="C1437" s="1" t="n">
        <v>46178</v>
      </c>
      <c r="D1437" t="inlineStr">
        <is>
          <t>VÄSTERNORRLANDS LÄN</t>
        </is>
      </c>
      <c r="E1437" t="inlineStr">
        <is>
          <t>ÅNGE</t>
        </is>
      </c>
      <c r="F1437" t="inlineStr">
        <is>
          <t>SCA</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11310-2023</t>
        </is>
      </c>
      <c r="B1438" s="1" t="n">
        <v>44993.01190972222</v>
      </c>
      <c r="C1438" s="1" t="n">
        <v>46178</v>
      </c>
      <c r="D1438" t="inlineStr">
        <is>
          <t>VÄSTERNORRLANDS LÄN</t>
        </is>
      </c>
      <c r="E1438" t="inlineStr">
        <is>
          <t>ÅNGE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21409-2022</t>
        </is>
      </c>
      <c r="B1439" s="1" t="n">
        <v>44705.9406712963</v>
      </c>
      <c r="C1439" s="1" t="n">
        <v>46178</v>
      </c>
      <c r="D1439" t="inlineStr">
        <is>
          <t>VÄSTERNORRLANDS LÄN</t>
        </is>
      </c>
      <c r="E1439" t="inlineStr">
        <is>
          <t>ÅNGE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31864-2024</t>
        </is>
      </c>
      <c r="B1440" s="1" t="n">
        <v>45509.74791666667</v>
      </c>
      <c r="C1440" s="1" t="n">
        <v>46178</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48632-2023</t>
        </is>
      </c>
      <c r="B1441" s="1" t="n">
        <v>45208.57944444445</v>
      </c>
      <c r="C1441" s="1" t="n">
        <v>46178</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20761-2024</t>
        </is>
      </c>
      <c r="B1442" s="1" t="n">
        <v>45436</v>
      </c>
      <c r="C1442" s="1" t="n">
        <v>46178</v>
      </c>
      <c r="D1442" t="inlineStr">
        <is>
          <t>VÄSTERNORRLANDS LÄN</t>
        </is>
      </c>
      <c r="E1442" t="inlineStr">
        <is>
          <t>ÅNGE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6619-2025</t>
        </is>
      </c>
      <c r="B1443" s="1" t="n">
        <v>45700.36541666667</v>
      </c>
      <c r="C1443" s="1" t="n">
        <v>46178</v>
      </c>
      <c r="D1443" t="inlineStr">
        <is>
          <t>VÄSTERNORRLANDS LÄN</t>
        </is>
      </c>
      <c r="E1443" t="inlineStr">
        <is>
          <t>ÅNGE</t>
        </is>
      </c>
      <c r="F1443" t="inlineStr">
        <is>
          <t>SCA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20055-2026</t>
        </is>
      </c>
      <c r="B1444" s="1" t="n">
        <v>46135</v>
      </c>
      <c r="C1444" s="1" t="n">
        <v>46178</v>
      </c>
      <c r="D1444" t="inlineStr">
        <is>
          <t>VÄSTERNORRLANDS LÄN</t>
        </is>
      </c>
      <c r="E1444" t="inlineStr">
        <is>
          <t>ÅNGE</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10339-2025</t>
        </is>
      </c>
      <c r="B1445" s="1" t="n">
        <v>45720</v>
      </c>
      <c r="C1445" s="1" t="n">
        <v>46178</v>
      </c>
      <c r="D1445" t="inlineStr">
        <is>
          <t>VÄSTERNORRLANDS LÄN</t>
        </is>
      </c>
      <c r="E1445" t="inlineStr">
        <is>
          <t>ÅNGE</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25519-2026</t>
        </is>
      </c>
      <c r="B1446" s="1" t="n">
        <v>46177.51076388889</v>
      </c>
      <c r="C1446" s="1" t="n">
        <v>46178</v>
      </c>
      <c r="D1446" t="inlineStr">
        <is>
          <t>VÄSTERNORRLANDS LÄN</t>
        </is>
      </c>
      <c r="E1446" t="inlineStr">
        <is>
          <t>ÅNGE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25528-2026</t>
        </is>
      </c>
      <c r="B1447" s="1" t="n">
        <v>46177.53179398148</v>
      </c>
      <c r="C1447" s="1" t="n">
        <v>46178</v>
      </c>
      <c r="D1447" t="inlineStr">
        <is>
          <t>VÄSTERNORRLANDS LÄN</t>
        </is>
      </c>
      <c r="E1447" t="inlineStr">
        <is>
          <t>ÅNGE</t>
        </is>
      </c>
      <c r="F1447" t="inlineStr">
        <is>
          <t>SCA</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12581-2024</t>
        </is>
      </c>
      <c r="B1448" s="1" t="n">
        <v>45379</v>
      </c>
      <c r="C1448" s="1" t="n">
        <v>46178</v>
      </c>
      <c r="D1448" t="inlineStr">
        <is>
          <t>VÄSTERNORRLANDS LÄN</t>
        </is>
      </c>
      <c r="E1448" t="inlineStr">
        <is>
          <t>ÅNGE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55558-2024</t>
        </is>
      </c>
      <c r="B1449" s="1" t="n">
        <v>45622.52586805556</v>
      </c>
      <c r="C1449" s="1" t="n">
        <v>46178</v>
      </c>
      <c r="D1449" t="inlineStr">
        <is>
          <t>VÄSTERNORRLANDS LÄN</t>
        </is>
      </c>
      <c r="E1449" t="inlineStr">
        <is>
          <t>ÅNGE</t>
        </is>
      </c>
      <c r="F1449" t="inlineStr">
        <is>
          <t>Holmen skog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52665-2024</t>
        </is>
      </c>
      <c r="B1450" s="1" t="n">
        <v>45610.36549768518</v>
      </c>
      <c r="C1450" s="1" t="n">
        <v>46178</v>
      </c>
      <c r="D1450" t="inlineStr">
        <is>
          <t>VÄSTERNORRLANDS LÄN</t>
        </is>
      </c>
      <c r="E1450" t="inlineStr">
        <is>
          <t>ÅNGE</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20338-2025</t>
        </is>
      </c>
      <c r="B1451" s="1" t="n">
        <v>45775</v>
      </c>
      <c r="C1451" s="1" t="n">
        <v>46178</v>
      </c>
      <c r="D1451" t="inlineStr">
        <is>
          <t>VÄSTERNORRLANDS LÄN</t>
        </is>
      </c>
      <c r="E1451" t="inlineStr">
        <is>
          <t>ÅNGE</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14751-2025</t>
        </is>
      </c>
      <c r="B1452" s="1" t="n">
        <v>45742.65863425926</v>
      </c>
      <c r="C1452" s="1" t="n">
        <v>46178</v>
      </c>
      <c r="D1452" t="inlineStr">
        <is>
          <t>VÄSTERNORRLANDS LÄN</t>
        </is>
      </c>
      <c r="E1452" t="inlineStr">
        <is>
          <t>ÅNGE</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54342-2023</t>
        </is>
      </c>
      <c r="B1453" s="1" t="n">
        <v>45232</v>
      </c>
      <c r="C1453" s="1" t="n">
        <v>46178</v>
      </c>
      <c r="D1453" t="inlineStr">
        <is>
          <t>VÄSTERNORRLANDS LÄN</t>
        </is>
      </c>
      <c r="E1453" t="inlineStr">
        <is>
          <t>ÅNGE</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34091-2022</t>
        </is>
      </c>
      <c r="B1454" s="1" t="n">
        <v>44791</v>
      </c>
      <c r="C1454" s="1" t="n">
        <v>46178</v>
      </c>
      <c r="D1454" t="inlineStr">
        <is>
          <t>VÄSTERNORRLANDS LÄN</t>
        </is>
      </c>
      <c r="E1454" t="inlineStr">
        <is>
          <t>ÅNGE</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19066-2024</t>
        </is>
      </c>
      <c r="B1455" s="1" t="n">
        <v>45427</v>
      </c>
      <c r="C1455" s="1" t="n">
        <v>46178</v>
      </c>
      <c r="D1455" t="inlineStr">
        <is>
          <t>VÄSTERNORRLANDS LÄN</t>
        </is>
      </c>
      <c r="E1455" t="inlineStr">
        <is>
          <t>ÅNGE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8070-2022</t>
        </is>
      </c>
      <c r="B1456" s="1" t="n">
        <v>44609.48665509259</v>
      </c>
      <c r="C1456" s="1" t="n">
        <v>46178</v>
      </c>
      <c r="D1456" t="inlineStr">
        <is>
          <t>VÄSTERNORRLANDS LÄN</t>
        </is>
      </c>
      <c r="E1456" t="inlineStr">
        <is>
          <t>ÅNGE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52805-2024</t>
        </is>
      </c>
      <c r="B1457" s="1" t="n">
        <v>45610.57344907407</v>
      </c>
      <c r="C1457" s="1" t="n">
        <v>46178</v>
      </c>
      <c r="D1457" t="inlineStr">
        <is>
          <t>VÄSTERNORRLANDS LÄN</t>
        </is>
      </c>
      <c r="E1457" t="inlineStr">
        <is>
          <t>ÅNGE</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4651-2022</t>
        </is>
      </c>
      <c r="B1458" s="1" t="n">
        <v>44592</v>
      </c>
      <c r="C1458" s="1" t="n">
        <v>46178</v>
      </c>
      <c r="D1458" t="inlineStr">
        <is>
          <t>VÄSTERNORRLANDS LÄN</t>
        </is>
      </c>
      <c r="E1458" t="inlineStr">
        <is>
          <t>ÅNGE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19342-2024</t>
        </is>
      </c>
      <c r="B1459" s="1" t="n">
        <v>45428</v>
      </c>
      <c r="C1459" s="1" t="n">
        <v>46178</v>
      </c>
      <c r="D1459" t="inlineStr">
        <is>
          <t>VÄSTERNORRLANDS LÄN</t>
        </is>
      </c>
      <c r="E1459" t="inlineStr">
        <is>
          <t>ÅNGE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5246-2025</t>
        </is>
      </c>
      <c r="B1460" s="1" t="n">
        <v>45692.34427083333</v>
      </c>
      <c r="C1460" s="1" t="n">
        <v>46178</v>
      </c>
      <c r="D1460" t="inlineStr">
        <is>
          <t>VÄSTERNORRLANDS LÄN</t>
        </is>
      </c>
      <c r="E1460" t="inlineStr">
        <is>
          <t>ÅNGE</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16973-2025</t>
        </is>
      </c>
      <c r="B1461" s="1" t="n">
        <v>45755.46967592592</v>
      </c>
      <c r="C1461" s="1" t="n">
        <v>46178</v>
      </c>
      <c r="D1461" t="inlineStr">
        <is>
          <t>VÄSTERNORRLANDS LÄN</t>
        </is>
      </c>
      <c r="E1461" t="inlineStr">
        <is>
          <t>ÅNGE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34679-2024</t>
        </is>
      </c>
      <c r="B1462" s="1" t="n">
        <v>45526</v>
      </c>
      <c r="C1462" s="1" t="n">
        <v>46178</v>
      </c>
      <c r="D1462" t="inlineStr">
        <is>
          <t>VÄSTERNORRLANDS LÄN</t>
        </is>
      </c>
      <c r="E1462" t="inlineStr">
        <is>
          <t>ÅNGE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43096-2023</t>
        </is>
      </c>
      <c r="B1463" s="1" t="n">
        <v>45182</v>
      </c>
      <c r="C1463" s="1" t="n">
        <v>46178</v>
      </c>
      <c r="D1463" t="inlineStr">
        <is>
          <t>VÄSTERNORRLANDS LÄN</t>
        </is>
      </c>
      <c r="E1463" t="inlineStr">
        <is>
          <t>ÅNGE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60296-2021</t>
        </is>
      </c>
      <c r="B1464" s="1" t="n">
        <v>44495</v>
      </c>
      <c r="C1464" s="1" t="n">
        <v>46178</v>
      </c>
      <c r="D1464" t="inlineStr">
        <is>
          <t>VÄSTERNORRLANDS LÄN</t>
        </is>
      </c>
      <c r="E1464" t="inlineStr">
        <is>
          <t>ÅNGE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25023-2022</t>
        </is>
      </c>
      <c r="B1465" s="1" t="n">
        <v>44728</v>
      </c>
      <c r="C1465" s="1" t="n">
        <v>46178</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31545-2024</t>
        </is>
      </c>
      <c r="B1466" s="1" t="n">
        <v>45505</v>
      </c>
      <c r="C1466" s="1" t="n">
        <v>46178</v>
      </c>
      <c r="D1466" t="inlineStr">
        <is>
          <t>VÄSTERNORRLANDS LÄN</t>
        </is>
      </c>
      <c r="E1466" t="inlineStr">
        <is>
          <t>ÅNGE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5197-2025</t>
        </is>
      </c>
      <c r="B1467" s="1" t="n">
        <v>45691.65701388889</v>
      </c>
      <c r="C1467" s="1" t="n">
        <v>46178</v>
      </c>
      <c r="D1467" t="inlineStr">
        <is>
          <t>VÄSTERNORRLANDS LÄN</t>
        </is>
      </c>
      <c r="E1467" t="inlineStr">
        <is>
          <t>ÅNGE</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50179-2024</t>
        </is>
      </c>
      <c r="B1468" s="1" t="n">
        <v>45600</v>
      </c>
      <c r="C1468" s="1" t="n">
        <v>46178</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44565-2024</t>
        </is>
      </c>
      <c r="B1469" s="1" t="n">
        <v>45574.47518518518</v>
      </c>
      <c r="C1469" s="1" t="n">
        <v>46178</v>
      </c>
      <c r="D1469" t="inlineStr">
        <is>
          <t>VÄSTERNORRLANDS LÄN</t>
        </is>
      </c>
      <c r="E1469" t="inlineStr">
        <is>
          <t>ÅNGE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40755-2023</t>
        </is>
      </c>
      <c r="B1470" s="1" t="n">
        <v>45170</v>
      </c>
      <c r="C1470" s="1" t="n">
        <v>46178</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31696-2022</t>
        </is>
      </c>
      <c r="B1471" s="1" t="n">
        <v>44776</v>
      </c>
      <c r="C1471" s="1" t="n">
        <v>46178</v>
      </c>
      <c r="D1471" t="inlineStr">
        <is>
          <t>VÄSTERNORRLANDS LÄN</t>
        </is>
      </c>
      <c r="E1471" t="inlineStr">
        <is>
          <t>ÅNGE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10084-2023</t>
        </is>
      </c>
      <c r="B1472" s="1" t="n">
        <v>44985.94465277778</v>
      </c>
      <c r="C1472" s="1" t="n">
        <v>46178</v>
      </c>
      <c r="D1472" t="inlineStr">
        <is>
          <t>VÄSTERNORRLANDS LÄN</t>
        </is>
      </c>
      <c r="E1472" t="inlineStr">
        <is>
          <t>ÅNGE</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37038-2024</t>
        </is>
      </c>
      <c r="B1473" s="1" t="n">
        <v>45539.40881944444</v>
      </c>
      <c r="C1473" s="1" t="n">
        <v>46178</v>
      </c>
      <c r="D1473" t="inlineStr">
        <is>
          <t>VÄSTERNORRLANDS LÄN</t>
        </is>
      </c>
      <c r="E1473" t="inlineStr">
        <is>
          <t>ÅNGE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60860-2022</t>
        </is>
      </c>
      <c r="B1474" s="1" t="n">
        <v>44914</v>
      </c>
      <c r="C1474" s="1" t="n">
        <v>46178</v>
      </c>
      <c r="D1474" t="inlineStr">
        <is>
          <t>VÄSTERNORRLANDS LÄN</t>
        </is>
      </c>
      <c r="E1474" t="inlineStr">
        <is>
          <t>ÅNGE</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17668-2023</t>
        </is>
      </c>
      <c r="B1475" s="1" t="n">
        <v>45036</v>
      </c>
      <c r="C1475" s="1" t="n">
        <v>46178</v>
      </c>
      <c r="D1475" t="inlineStr">
        <is>
          <t>VÄSTERNORRLANDS LÄN</t>
        </is>
      </c>
      <c r="E1475" t="inlineStr">
        <is>
          <t>ÅNGE</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41284-2024</t>
        </is>
      </c>
      <c r="B1476" s="1" t="n">
        <v>45559.59520833333</v>
      </c>
      <c r="C1476" s="1" t="n">
        <v>46178</v>
      </c>
      <c r="D1476" t="inlineStr">
        <is>
          <t>VÄSTERNORRLANDS LÄN</t>
        </is>
      </c>
      <c r="E1476" t="inlineStr">
        <is>
          <t>ÅNGE</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39682-2024</t>
        </is>
      </c>
      <c r="B1477" s="1" t="n">
        <v>45552</v>
      </c>
      <c r="C1477" s="1" t="n">
        <v>46178</v>
      </c>
      <c r="D1477" t="inlineStr">
        <is>
          <t>VÄSTERNORRLANDS LÄN</t>
        </is>
      </c>
      <c r="E1477" t="inlineStr">
        <is>
          <t>ÅNGE</t>
        </is>
      </c>
      <c r="G1477" t="n">
        <v>35.4</v>
      </c>
      <c r="H1477" t="n">
        <v>0</v>
      </c>
      <c r="I1477" t="n">
        <v>0</v>
      </c>
      <c r="J1477" t="n">
        <v>0</v>
      </c>
      <c r="K1477" t="n">
        <v>0</v>
      </c>
      <c r="L1477" t="n">
        <v>0</v>
      </c>
      <c r="M1477" t="n">
        <v>0</v>
      </c>
      <c r="N1477" t="n">
        <v>0</v>
      </c>
      <c r="O1477" t="n">
        <v>0</v>
      </c>
      <c r="P1477" t="n">
        <v>0</v>
      </c>
      <c r="Q1477" t="n">
        <v>0</v>
      </c>
      <c r="R1477" s="2" t="inlineStr"/>
    </row>
    <row r="1478" ht="15" customHeight="1">
      <c r="A1478" t="inlineStr">
        <is>
          <t>A 19798-2025</t>
        </is>
      </c>
      <c r="B1478" s="1" t="n">
        <v>45771.44824074074</v>
      </c>
      <c r="C1478" s="1" t="n">
        <v>46178</v>
      </c>
      <c r="D1478" t="inlineStr">
        <is>
          <t>VÄSTERNORRLANDS LÄN</t>
        </is>
      </c>
      <c r="E1478" t="inlineStr">
        <is>
          <t>ÅNGE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2984-2025</t>
        </is>
      </c>
      <c r="B1479" s="1" t="n">
        <v>45678.51094907407</v>
      </c>
      <c r="C1479" s="1" t="n">
        <v>46178</v>
      </c>
      <c r="D1479" t="inlineStr">
        <is>
          <t>VÄSTERNORRLANDS LÄN</t>
        </is>
      </c>
      <c r="E1479" t="inlineStr">
        <is>
          <t>ÅNGE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3133-2024</t>
        </is>
      </c>
      <c r="B1480" s="1" t="n">
        <v>45316.55885416667</v>
      </c>
      <c r="C1480" s="1" t="n">
        <v>46178</v>
      </c>
      <c r="D1480" t="inlineStr">
        <is>
          <t>VÄSTERNORRLANDS LÄN</t>
        </is>
      </c>
      <c r="E1480" t="inlineStr">
        <is>
          <t>ÅNGE</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56569-2024</t>
        </is>
      </c>
      <c r="B1481" s="1" t="n">
        <v>45625</v>
      </c>
      <c r="C1481" s="1" t="n">
        <v>46178</v>
      </c>
      <c r="D1481" t="inlineStr">
        <is>
          <t>VÄSTERNORRLANDS LÄN</t>
        </is>
      </c>
      <c r="E1481" t="inlineStr">
        <is>
          <t>ÅNGE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53663-2022</t>
        </is>
      </c>
      <c r="B1482" s="1" t="n">
        <v>44879</v>
      </c>
      <c r="C1482" s="1" t="n">
        <v>46178</v>
      </c>
      <c r="D1482" t="inlineStr">
        <is>
          <t>VÄSTERNORRLANDS LÄN</t>
        </is>
      </c>
      <c r="E1482" t="inlineStr">
        <is>
          <t>ÅNGE</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10089-2023</t>
        </is>
      </c>
      <c r="B1483" s="1" t="n">
        <v>44985</v>
      </c>
      <c r="C1483" s="1" t="n">
        <v>46178</v>
      </c>
      <c r="D1483" t="inlineStr">
        <is>
          <t>VÄSTERNORRLANDS LÄN</t>
        </is>
      </c>
      <c r="E1483" t="inlineStr">
        <is>
          <t>ÅNGE</t>
        </is>
      </c>
      <c r="F1483" t="inlineStr">
        <is>
          <t>SCA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10090-2023</t>
        </is>
      </c>
      <c r="B1484" s="1" t="n">
        <v>44985.94511574074</v>
      </c>
      <c r="C1484" s="1" t="n">
        <v>46178</v>
      </c>
      <c r="D1484" t="inlineStr">
        <is>
          <t>VÄSTERNORRLANDS LÄN</t>
        </is>
      </c>
      <c r="E1484" t="inlineStr">
        <is>
          <t>ÅNGE</t>
        </is>
      </c>
      <c r="F1484" t="inlineStr">
        <is>
          <t>SCA</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19997-2023</t>
        </is>
      </c>
      <c r="B1485" s="1" t="n">
        <v>45054</v>
      </c>
      <c r="C1485" s="1" t="n">
        <v>46178</v>
      </c>
      <c r="D1485" t="inlineStr">
        <is>
          <t>VÄSTERNORRLANDS LÄN</t>
        </is>
      </c>
      <c r="E1485" t="inlineStr">
        <is>
          <t>ÅNGE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38284-2022</t>
        </is>
      </c>
      <c r="B1486" s="1" t="n">
        <v>44812.55149305556</v>
      </c>
      <c r="C1486" s="1" t="n">
        <v>46178</v>
      </c>
      <c r="D1486" t="inlineStr">
        <is>
          <t>VÄSTERNORRLANDS LÄN</t>
        </is>
      </c>
      <c r="E1486" t="inlineStr">
        <is>
          <t>ÅNGE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5393-2025</t>
        </is>
      </c>
      <c r="B1487" s="1" t="n">
        <v>45692.63574074074</v>
      </c>
      <c r="C1487" s="1" t="n">
        <v>46178</v>
      </c>
      <c r="D1487" t="inlineStr">
        <is>
          <t>VÄSTERNORRLANDS LÄN</t>
        </is>
      </c>
      <c r="E1487" t="inlineStr">
        <is>
          <t>ÅNGE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57529-2024</t>
        </is>
      </c>
      <c r="B1488" s="1" t="n">
        <v>45630</v>
      </c>
      <c r="C1488" s="1" t="n">
        <v>46178</v>
      </c>
      <c r="D1488" t="inlineStr">
        <is>
          <t>VÄSTERNORRLANDS LÄN</t>
        </is>
      </c>
      <c r="E1488" t="inlineStr">
        <is>
          <t>ÅNGE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1769-2023</t>
        </is>
      </c>
      <c r="B1489" s="1" t="n">
        <v>44938.58025462963</v>
      </c>
      <c r="C1489" s="1" t="n">
        <v>46178</v>
      </c>
      <c r="D1489" t="inlineStr">
        <is>
          <t>VÄSTERNORRLANDS LÄN</t>
        </is>
      </c>
      <c r="E1489" t="inlineStr">
        <is>
          <t>ÅNGE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32776-2022</t>
        </is>
      </c>
      <c r="B1490" s="1" t="n">
        <v>44783.94607638889</v>
      </c>
      <c r="C1490" s="1" t="n">
        <v>46178</v>
      </c>
      <c r="D1490" t="inlineStr">
        <is>
          <t>VÄSTERNORRLANDS LÄN</t>
        </is>
      </c>
      <c r="E1490" t="inlineStr">
        <is>
          <t>ÅNGE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25779-2023</t>
        </is>
      </c>
      <c r="B1491" s="1" t="n">
        <v>45090.47439814815</v>
      </c>
      <c r="C1491" s="1" t="n">
        <v>46178</v>
      </c>
      <c r="D1491" t="inlineStr">
        <is>
          <t>VÄSTERNORRLANDS LÄN</t>
        </is>
      </c>
      <c r="E1491" t="inlineStr">
        <is>
          <t>ÅNGE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23225-2024</t>
        </is>
      </c>
      <c r="B1492" s="1" t="n">
        <v>45452.9490162037</v>
      </c>
      <c r="C1492" s="1" t="n">
        <v>46178</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29696-2024</t>
        </is>
      </c>
      <c r="B1493" s="1" t="n">
        <v>45484.94524305555</v>
      </c>
      <c r="C1493" s="1" t="n">
        <v>46178</v>
      </c>
      <c r="D1493" t="inlineStr">
        <is>
          <t>VÄSTERNORRLANDS LÄN</t>
        </is>
      </c>
      <c r="E1493" t="inlineStr">
        <is>
          <t>ÅNGE</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6462-2024</t>
        </is>
      </c>
      <c r="B1494" s="1" t="n">
        <v>45338</v>
      </c>
      <c r="C1494" s="1" t="n">
        <v>46178</v>
      </c>
      <c r="D1494" t="inlineStr">
        <is>
          <t>VÄSTERNORRLANDS LÄN</t>
        </is>
      </c>
      <c r="E1494" t="inlineStr">
        <is>
          <t>ÅNGE</t>
        </is>
      </c>
      <c r="F1494" t="inlineStr">
        <is>
          <t>Kyrkan</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26018-2024</t>
        </is>
      </c>
      <c r="B1495" s="1" t="n">
        <v>45467.95998842592</v>
      </c>
      <c r="C1495" s="1" t="n">
        <v>46178</v>
      </c>
      <c r="D1495" t="inlineStr">
        <is>
          <t>VÄSTERNORRLANDS LÄN</t>
        </is>
      </c>
      <c r="E1495" t="inlineStr">
        <is>
          <t>ÅNGE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26021-2024</t>
        </is>
      </c>
      <c r="B1496" s="1" t="n">
        <v>45467</v>
      </c>
      <c r="C1496" s="1" t="n">
        <v>46178</v>
      </c>
      <c r="D1496" t="inlineStr">
        <is>
          <t>VÄSTERNORRLANDS LÄN</t>
        </is>
      </c>
      <c r="E1496" t="inlineStr">
        <is>
          <t>ÅNGE</t>
        </is>
      </c>
      <c r="F1496" t="inlineStr">
        <is>
          <t>SCA</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29673-2024</t>
        </is>
      </c>
      <c r="B1497" s="1" t="n">
        <v>45484.94210648148</v>
      </c>
      <c r="C1497" s="1" t="n">
        <v>46178</v>
      </c>
      <c r="D1497" t="inlineStr">
        <is>
          <t>VÄSTERNORRLANDS LÄN</t>
        </is>
      </c>
      <c r="E1497" t="inlineStr">
        <is>
          <t>ÅNGE</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48690-2024</t>
        </is>
      </c>
      <c r="B1498" s="1" t="n">
        <v>45593.50704861111</v>
      </c>
      <c r="C1498" s="1" t="n">
        <v>46178</v>
      </c>
      <c r="D1498" t="inlineStr">
        <is>
          <t>VÄSTERNORRLANDS LÄN</t>
        </is>
      </c>
      <c r="E1498" t="inlineStr">
        <is>
          <t>ÅNGE</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11399-2025</t>
        </is>
      </c>
      <c r="B1499" s="1" t="n">
        <v>45726.57364583333</v>
      </c>
      <c r="C1499" s="1" t="n">
        <v>46178</v>
      </c>
      <c r="D1499" t="inlineStr">
        <is>
          <t>VÄSTERNORRLANDS LÄN</t>
        </is>
      </c>
      <c r="E1499" t="inlineStr">
        <is>
          <t>ÅNGE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39021-2024</t>
        </is>
      </c>
      <c r="B1500" s="1" t="n">
        <v>45548</v>
      </c>
      <c r="C1500" s="1" t="n">
        <v>46178</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27915-2024</t>
        </is>
      </c>
      <c r="B1501" s="1" t="n">
        <v>45475</v>
      </c>
      <c r="C1501" s="1" t="n">
        <v>46178</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2433-2024</t>
        </is>
      </c>
      <c r="B1502" s="1" t="n">
        <v>45310</v>
      </c>
      <c r="C1502" s="1" t="n">
        <v>46178</v>
      </c>
      <c r="D1502" t="inlineStr">
        <is>
          <t>VÄSTERNORRLANDS LÄN</t>
        </is>
      </c>
      <c r="E1502" t="inlineStr">
        <is>
          <t>ÅNGE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57846-2022</t>
        </is>
      </c>
      <c r="B1503" s="1" t="n">
        <v>44897.95008101852</v>
      </c>
      <c r="C1503" s="1" t="n">
        <v>46178</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46249-2024</t>
        </is>
      </c>
      <c r="B1504" s="1" t="n">
        <v>45581.59409722222</v>
      </c>
      <c r="C1504" s="1" t="n">
        <v>46178</v>
      </c>
      <c r="D1504" t="inlineStr">
        <is>
          <t>VÄSTERNORRLANDS LÄN</t>
        </is>
      </c>
      <c r="E1504" t="inlineStr">
        <is>
          <t>ÅNGE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8868-2023</t>
        </is>
      </c>
      <c r="B1505" s="1" t="n">
        <v>44978</v>
      </c>
      <c r="C1505" s="1" t="n">
        <v>46178</v>
      </c>
      <c r="D1505" t="inlineStr">
        <is>
          <t>VÄSTERNORRLANDS LÄN</t>
        </is>
      </c>
      <c r="E1505" t="inlineStr">
        <is>
          <t>ÅNGE</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65229-2021</t>
        </is>
      </c>
      <c r="B1506" s="1" t="n">
        <v>44515</v>
      </c>
      <c r="C1506" s="1" t="n">
        <v>46178</v>
      </c>
      <c r="D1506" t="inlineStr">
        <is>
          <t>VÄSTERNORRLANDS LÄN</t>
        </is>
      </c>
      <c r="E1506" t="inlineStr">
        <is>
          <t>ÅNGE</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57291-2022</t>
        </is>
      </c>
      <c r="B1507" s="1" t="n">
        <v>44895</v>
      </c>
      <c r="C1507" s="1" t="n">
        <v>46178</v>
      </c>
      <c r="D1507" t="inlineStr">
        <is>
          <t>VÄSTERNORRLANDS LÄN</t>
        </is>
      </c>
      <c r="E1507" t="inlineStr">
        <is>
          <t>ÅNGE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4883-2023</t>
        </is>
      </c>
      <c r="B1508" s="1" t="n">
        <v>44957</v>
      </c>
      <c r="C1508" s="1" t="n">
        <v>46178</v>
      </c>
      <c r="D1508" t="inlineStr">
        <is>
          <t>VÄSTERNORRLANDS LÄN</t>
        </is>
      </c>
      <c r="E1508" t="inlineStr">
        <is>
          <t>ÅNGE</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26951-2024</t>
        </is>
      </c>
      <c r="B1509" s="1" t="n">
        <v>45470.96991898148</v>
      </c>
      <c r="C1509" s="1" t="n">
        <v>46178</v>
      </c>
      <c r="D1509" t="inlineStr">
        <is>
          <t>VÄSTERNORRLANDS LÄN</t>
        </is>
      </c>
      <c r="E1509" t="inlineStr">
        <is>
          <t>ÅNGE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26952-2024</t>
        </is>
      </c>
      <c r="B1510" s="1" t="n">
        <v>45470</v>
      </c>
      <c r="C1510" s="1" t="n">
        <v>46178</v>
      </c>
      <c r="D1510" t="inlineStr">
        <is>
          <t>VÄSTERNORRLANDS LÄN</t>
        </is>
      </c>
      <c r="E1510" t="inlineStr">
        <is>
          <t>ÅNGE</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56399-2022</t>
        </is>
      </c>
      <c r="B1511" s="1" t="n">
        <v>44890</v>
      </c>
      <c r="C1511" s="1" t="n">
        <v>46178</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35979-2023</t>
        </is>
      </c>
      <c r="B1512" s="1" t="n">
        <v>45148</v>
      </c>
      <c r="C1512" s="1" t="n">
        <v>46178</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3986-2025</t>
        </is>
      </c>
      <c r="B1513" s="1" t="n">
        <v>45684.55262731481</v>
      </c>
      <c r="C1513" s="1" t="n">
        <v>46178</v>
      </c>
      <c r="D1513" t="inlineStr">
        <is>
          <t>VÄSTERNORRLANDS LÄN</t>
        </is>
      </c>
      <c r="E1513" t="inlineStr">
        <is>
          <t>ÅNGE</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50674-2024</t>
        </is>
      </c>
      <c r="B1514" s="1" t="n">
        <v>45601.85402777778</v>
      </c>
      <c r="C1514" s="1" t="n">
        <v>46178</v>
      </c>
      <c r="D1514" t="inlineStr">
        <is>
          <t>VÄSTERNORRLANDS LÄN</t>
        </is>
      </c>
      <c r="E1514" t="inlineStr">
        <is>
          <t>ÅNGE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3322-2025</t>
        </is>
      </c>
      <c r="B1515" s="1" t="n">
        <v>45679.6989699074</v>
      </c>
      <c r="C1515" s="1" t="n">
        <v>46178</v>
      </c>
      <c r="D1515" t="inlineStr">
        <is>
          <t>VÄSTERNORRLANDS LÄN</t>
        </is>
      </c>
      <c r="E1515" t="inlineStr">
        <is>
          <t>ÅNGE</t>
        </is>
      </c>
      <c r="F1515" t="inlineStr">
        <is>
          <t>SCA</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3327-2025</t>
        </is>
      </c>
      <c r="B1516" s="1" t="n">
        <v>45679.69967592593</v>
      </c>
      <c r="C1516" s="1" t="n">
        <v>46178</v>
      </c>
      <c r="D1516" t="inlineStr">
        <is>
          <t>VÄSTERNORRLANDS LÄN</t>
        </is>
      </c>
      <c r="E1516" t="inlineStr">
        <is>
          <t>ÅNGE</t>
        </is>
      </c>
      <c r="F1516" t="inlineStr">
        <is>
          <t>SCA</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31729-2024</t>
        </is>
      </c>
      <c r="B1517" s="1" t="n">
        <v>45509.35844907408</v>
      </c>
      <c r="C1517" s="1" t="n">
        <v>46178</v>
      </c>
      <c r="D1517" t="inlineStr">
        <is>
          <t>VÄSTERNORRLANDS LÄN</t>
        </is>
      </c>
      <c r="E1517" t="inlineStr">
        <is>
          <t>ÅNGE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4071-2025</t>
        </is>
      </c>
      <c r="B1518" s="1" t="n">
        <v>45684.63579861111</v>
      </c>
      <c r="C1518" s="1" t="n">
        <v>46178</v>
      </c>
      <c r="D1518" t="inlineStr">
        <is>
          <t>VÄSTERNORRLANDS LÄN</t>
        </is>
      </c>
      <c r="E1518" t="inlineStr">
        <is>
          <t>ÅNGE</t>
        </is>
      </c>
      <c r="F1518" t="inlineStr">
        <is>
          <t>SCA</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44606-2024</t>
        </is>
      </c>
      <c r="B1519" s="1" t="n">
        <v>45574.51195601852</v>
      </c>
      <c r="C1519" s="1" t="n">
        <v>46178</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44626-2024</t>
        </is>
      </c>
      <c r="B1520" s="1" t="n">
        <v>45574.51378472222</v>
      </c>
      <c r="C1520" s="1" t="n">
        <v>46178</v>
      </c>
      <c r="D1520" t="inlineStr">
        <is>
          <t>VÄSTERNORRLANDS LÄN</t>
        </is>
      </c>
      <c r="E1520" t="inlineStr">
        <is>
          <t>ÅNGE</t>
        </is>
      </c>
      <c r="F1520" t="inlineStr">
        <is>
          <t>SCA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18668-2023</t>
        </is>
      </c>
      <c r="B1521" s="1" t="n">
        <v>45043.57108796296</v>
      </c>
      <c r="C1521" s="1" t="n">
        <v>46178</v>
      </c>
      <c r="D1521" t="inlineStr">
        <is>
          <t>VÄSTERNORRLANDS LÄN</t>
        </is>
      </c>
      <c r="E1521" t="inlineStr">
        <is>
          <t>ÅNGE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1964-2022</t>
        </is>
      </c>
      <c r="B1522" s="1" t="n">
        <v>44575.5050462963</v>
      </c>
      <c r="C1522" s="1" t="n">
        <v>46178</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18880-2024</t>
        </is>
      </c>
      <c r="B1523" s="1" t="n">
        <v>45426</v>
      </c>
      <c r="C1523" s="1" t="n">
        <v>46178</v>
      </c>
      <c r="D1523" t="inlineStr">
        <is>
          <t>VÄSTERNORRLANDS LÄN</t>
        </is>
      </c>
      <c r="E1523" t="inlineStr">
        <is>
          <t>ÅNGE</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48787-2024</t>
        </is>
      </c>
      <c r="B1524" s="1" t="n">
        <v>45593.63888888889</v>
      </c>
      <c r="C1524" s="1" t="n">
        <v>46178</v>
      </c>
      <c r="D1524" t="inlineStr">
        <is>
          <t>VÄSTERNORRLANDS LÄN</t>
        </is>
      </c>
      <c r="E1524" t="inlineStr">
        <is>
          <t>ÅNGE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1886-2024</t>
        </is>
      </c>
      <c r="B1525" s="1" t="n">
        <v>45307.96335648148</v>
      </c>
      <c r="C1525" s="1" t="n">
        <v>46178</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41370-2023</t>
        </is>
      </c>
      <c r="B1526" s="1" t="n">
        <v>45174.85951388889</v>
      </c>
      <c r="C1526" s="1" t="n">
        <v>46178</v>
      </c>
      <c r="D1526" t="inlineStr">
        <is>
          <t>VÄSTERNORRLANDS LÄN</t>
        </is>
      </c>
      <c r="E1526" t="inlineStr">
        <is>
          <t>ÅNGE</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30235-2024</t>
        </is>
      </c>
      <c r="B1527" s="1" t="n">
        <v>45490.49040509259</v>
      </c>
      <c r="C1527" s="1" t="n">
        <v>46178</v>
      </c>
      <c r="D1527" t="inlineStr">
        <is>
          <t>VÄSTERNORRLANDS LÄN</t>
        </is>
      </c>
      <c r="E1527" t="inlineStr">
        <is>
          <t>ÅNGE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60817-2024</t>
        </is>
      </c>
      <c r="B1528" s="1" t="n">
        <v>45644</v>
      </c>
      <c r="C1528" s="1" t="n">
        <v>46178</v>
      </c>
      <c r="D1528" t="inlineStr">
        <is>
          <t>VÄSTERNORRLANDS LÄN</t>
        </is>
      </c>
      <c r="E1528" t="inlineStr">
        <is>
          <t>ÅNGE</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18456-2024</t>
        </is>
      </c>
      <c r="B1529" s="1" t="n">
        <v>45425.46831018518</v>
      </c>
      <c r="C1529" s="1" t="n">
        <v>46178</v>
      </c>
      <c r="D1529" t="inlineStr">
        <is>
          <t>VÄSTERNORRLANDS LÄN</t>
        </is>
      </c>
      <c r="E1529" t="inlineStr">
        <is>
          <t>ÅNGE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25047-2023</t>
        </is>
      </c>
      <c r="B1530" s="1" t="n">
        <v>45085.94569444445</v>
      </c>
      <c r="C1530" s="1" t="n">
        <v>46178</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42044-2024</t>
        </is>
      </c>
      <c r="B1531" s="1" t="n">
        <v>45561</v>
      </c>
      <c r="C1531" s="1" t="n">
        <v>46178</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11764-2024</t>
        </is>
      </c>
      <c r="B1532" s="1" t="n">
        <v>45373.94837962963</v>
      </c>
      <c r="C1532" s="1" t="n">
        <v>46178</v>
      </c>
      <c r="D1532" t="inlineStr">
        <is>
          <t>VÄSTERNORRLANDS LÄN</t>
        </is>
      </c>
      <c r="E1532" t="inlineStr">
        <is>
          <t>ÅNGE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25035-2023</t>
        </is>
      </c>
      <c r="B1533" s="1" t="n">
        <v>45085</v>
      </c>
      <c r="C1533" s="1" t="n">
        <v>46178</v>
      </c>
      <c r="D1533" t="inlineStr">
        <is>
          <t>VÄSTERNORRLANDS LÄN</t>
        </is>
      </c>
      <c r="E1533" t="inlineStr">
        <is>
          <t>ÅNGE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10195-2024</t>
        </is>
      </c>
      <c r="B1534" s="1" t="n">
        <v>45364</v>
      </c>
      <c r="C1534" s="1" t="n">
        <v>46178</v>
      </c>
      <c r="D1534" t="inlineStr">
        <is>
          <t>VÄSTERNORRLANDS LÄN</t>
        </is>
      </c>
      <c r="E1534" t="inlineStr">
        <is>
          <t>ÅNGE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42488-2024</t>
        </is>
      </c>
      <c r="B1535" s="1" t="n">
        <v>45565.49420138889</v>
      </c>
      <c r="C1535" s="1" t="n">
        <v>46178</v>
      </c>
      <c r="D1535" t="inlineStr">
        <is>
          <t>VÄSTERNORRLANDS LÄN</t>
        </is>
      </c>
      <c r="E1535" t="inlineStr">
        <is>
          <t>ÅNGE</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42529-2024</t>
        </is>
      </c>
      <c r="B1536" s="1" t="n">
        <v>45565.57324074074</v>
      </c>
      <c r="C1536" s="1" t="n">
        <v>46178</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9211-2023</t>
        </is>
      </c>
      <c r="B1537" s="1" t="n">
        <v>44980</v>
      </c>
      <c r="C1537" s="1" t="n">
        <v>46178</v>
      </c>
      <c r="D1537" t="inlineStr">
        <is>
          <t>VÄSTERNORRLANDS LÄN</t>
        </is>
      </c>
      <c r="E1537" t="inlineStr">
        <is>
          <t>ÅNGE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29193-2024</t>
        </is>
      </c>
      <c r="B1538" s="1" t="n">
        <v>45482.56510416666</v>
      </c>
      <c r="C1538" s="1" t="n">
        <v>46178</v>
      </c>
      <c r="D1538" t="inlineStr">
        <is>
          <t>VÄSTERNORRLANDS LÄN</t>
        </is>
      </c>
      <c r="E1538" t="inlineStr">
        <is>
          <t>ÅNGE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3023-2023</t>
        </is>
      </c>
      <c r="B1539" s="1" t="n">
        <v>44945</v>
      </c>
      <c r="C1539" s="1" t="n">
        <v>46178</v>
      </c>
      <c r="D1539" t="inlineStr">
        <is>
          <t>VÄSTERNORRLANDS LÄN</t>
        </is>
      </c>
      <c r="E1539" t="inlineStr">
        <is>
          <t>ÅNGE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3025-2023</t>
        </is>
      </c>
      <c r="B1540" s="1" t="n">
        <v>44945</v>
      </c>
      <c r="C1540" s="1" t="n">
        <v>46178</v>
      </c>
      <c r="D1540" t="inlineStr">
        <is>
          <t>VÄSTERNORRLANDS LÄN</t>
        </is>
      </c>
      <c r="E1540" t="inlineStr">
        <is>
          <t>ÅNGE</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56232-2024</t>
        </is>
      </c>
      <c r="B1541" s="1" t="n">
        <v>45624</v>
      </c>
      <c r="C1541" s="1" t="n">
        <v>46178</v>
      </c>
      <c r="D1541" t="inlineStr">
        <is>
          <t>VÄSTERNORRLANDS LÄN</t>
        </is>
      </c>
      <c r="E1541" t="inlineStr">
        <is>
          <t>ÅNGE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16853-2023</t>
        </is>
      </c>
      <c r="B1542" s="1" t="n">
        <v>45033</v>
      </c>
      <c r="C1542" s="1" t="n">
        <v>46178</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7528-2023</t>
        </is>
      </c>
      <c r="B1543" s="1" t="n">
        <v>44971.97662037037</v>
      </c>
      <c r="C1543" s="1" t="n">
        <v>46178</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53988-2024</t>
        </is>
      </c>
      <c r="B1544" s="1" t="n">
        <v>45616.34408564815</v>
      </c>
      <c r="C1544" s="1" t="n">
        <v>46178</v>
      </c>
      <c r="D1544" t="inlineStr">
        <is>
          <t>VÄSTERNORRLANDS LÄN</t>
        </is>
      </c>
      <c r="E1544" t="inlineStr">
        <is>
          <t>ÅNGE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54002-2024</t>
        </is>
      </c>
      <c r="B1545" s="1" t="n">
        <v>45616.36491898148</v>
      </c>
      <c r="C1545" s="1" t="n">
        <v>46178</v>
      </c>
      <c r="D1545" t="inlineStr">
        <is>
          <t>VÄSTERNORRLANDS LÄN</t>
        </is>
      </c>
      <c r="E1545" t="inlineStr">
        <is>
          <t>ÅNGE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54059-2024</t>
        </is>
      </c>
      <c r="B1546" s="1" t="n">
        <v>45616.46943287037</v>
      </c>
      <c r="C1546" s="1" t="n">
        <v>46178</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50235-2021</t>
        </is>
      </c>
      <c r="B1547" s="1" t="n">
        <v>44457</v>
      </c>
      <c r="C1547" s="1" t="n">
        <v>46178</v>
      </c>
      <c r="D1547" t="inlineStr">
        <is>
          <t>VÄSTERNORRLANDS LÄN</t>
        </is>
      </c>
      <c r="E1547" t="inlineStr">
        <is>
          <t>ÅNGE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44600-2024</t>
        </is>
      </c>
      <c r="B1548" s="1" t="n">
        <v>45574.51113425926</v>
      </c>
      <c r="C1548" s="1" t="n">
        <v>46178</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12806-2025</t>
        </is>
      </c>
      <c r="B1549" s="1" t="n">
        <v>45733.61518518518</v>
      </c>
      <c r="C1549" s="1" t="n">
        <v>46178</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45890-2021</t>
        </is>
      </c>
      <c r="B1550" s="1" t="n">
        <v>44441</v>
      </c>
      <c r="C1550" s="1" t="n">
        <v>46178</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1869-2022</t>
        </is>
      </c>
      <c r="B1551" s="1" t="n">
        <v>44574</v>
      </c>
      <c r="C1551" s="1" t="n">
        <v>46178</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48988-2021</t>
        </is>
      </c>
      <c r="B1552" s="1" t="n">
        <v>44453.43</v>
      </c>
      <c r="C1552" s="1" t="n">
        <v>46178</v>
      </c>
      <c r="D1552" t="inlineStr">
        <is>
          <t>VÄSTERNORRLANDS LÄN</t>
        </is>
      </c>
      <c r="E1552" t="inlineStr">
        <is>
          <t>ÅNGE</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60812-2024</t>
        </is>
      </c>
      <c r="B1553" s="1" t="n">
        <v>45644</v>
      </c>
      <c r="C1553" s="1" t="n">
        <v>46178</v>
      </c>
      <c r="D1553" t="inlineStr">
        <is>
          <t>VÄSTERNORRLANDS LÄN</t>
        </is>
      </c>
      <c r="E1553" t="inlineStr">
        <is>
          <t>ÅNGE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54611-2023</t>
        </is>
      </c>
      <c r="B1554" s="1" t="n">
        <v>45233</v>
      </c>
      <c r="C1554" s="1" t="n">
        <v>46178</v>
      </c>
      <c r="D1554" t="inlineStr">
        <is>
          <t>VÄSTERNORRLANDS LÄN</t>
        </is>
      </c>
      <c r="E1554" t="inlineStr">
        <is>
          <t>ÅNGE</t>
        </is>
      </c>
      <c r="F1554" t="inlineStr">
        <is>
          <t>SCA</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49187-2024</t>
        </is>
      </c>
      <c r="B1555" s="1" t="n">
        <v>45595.34490740741</v>
      </c>
      <c r="C1555" s="1" t="n">
        <v>46178</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51810-2023</t>
        </is>
      </c>
      <c r="B1556" s="1" t="n">
        <v>45222.96583333334</v>
      </c>
      <c r="C1556" s="1" t="n">
        <v>46178</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5520-2022</t>
        </is>
      </c>
      <c r="B1557" s="1" t="n">
        <v>44595</v>
      </c>
      <c r="C1557" s="1" t="n">
        <v>46178</v>
      </c>
      <c r="D1557" t="inlineStr">
        <is>
          <t>VÄSTERNORRLANDS LÄN</t>
        </is>
      </c>
      <c r="E1557" t="inlineStr">
        <is>
          <t>ÅNGE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58469-2023</t>
        </is>
      </c>
      <c r="B1558" s="1" t="n">
        <v>45250</v>
      </c>
      <c r="C1558" s="1" t="n">
        <v>46178</v>
      </c>
      <c r="D1558" t="inlineStr">
        <is>
          <t>VÄSTERNORRLANDS LÄN</t>
        </is>
      </c>
      <c r="E1558" t="inlineStr">
        <is>
          <t>ÅNGE</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31177-2024</t>
        </is>
      </c>
      <c r="B1559" s="1" t="n">
        <v>45503</v>
      </c>
      <c r="C1559" s="1" t="n">
        <v>46178</v>
      </c>
      <c r="D1559" t="inlineStr">
        <is>
          <t>VÄSTERNORRLANDS LÄN</t>
        </is>
      </c>
      <c r="E1559" t="inlineStr">
        <is>
          <t>ÅNGE</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29063-2023</t>
        </is>
      </c>
      <c r="B1560" s="1" t="n">
        <v>45104.94068287037</v>
      </c>
      <c r="C1560" s="1" t="n">
        <v>46178</v>
      </c>
      <c r="D1560" t="inlineStr">
        <is>
          <t>VÄSTERNORRLANDS LÄN</t>
        </is>
      </c>
      <c r="E1560" t="inlineStr">
        <is>
          <t>ÅNGE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59412-2024</t>
        </is>
      </c>
      <c r="B1561" s="1" t="n">
        <v>45638</v>
      </c>
      <c r="C1561" s="1" t="n">
        <v>46178</v>
      </c>
      <c r="D1561" t="inlineStr">
        <is>
          <t>VÄSTERNORRLANDS LÄN</t>
        </is>
      </c>
      <c r="E1561" t="inlineStr">
        <is>
          <t>ÅNGE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9567-2024</t>
        </is>
      </c>
      <c r="B1562" s="1" t="n">
        <v>45360.03635416667</v>
      </c>
      <c r="C1562" s="1" t="n">
        <v>46178</v>
      </c>
      <c r="D1562" t="inlineStr">
        <is>
          <t>VÄSTERNORRLANDS LÄN</t>
        </is>
      </c>
      <c r="E1562" t="inlineStr">
        <is>
          <t>ÅNGE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22988-2024</t>
        </is>
      </c>
      <c r="B1563" s="1" t="n">
        <v>45449.94530092592</v>
      </c>
      <c r="C1563" s="1" t="n">
        <v>46178</v>
      </c>
      <c r="D1563" t="inlineStr">
        <is>
          <t>VÄSTERNORRLANDS LÄN</t>
        </is>
      </c>
      <c r="E1563" t="inlineStr">
        <is>
          <t>ÅNGE</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56908-2021</t>
        </is>
      </c>
      <c r="B1564" s="1" t="n">
        <v>44481.93844907408</v>
      </c>
      <c r="C1564" s="1" t="n">
        <v>46178</v>
      </c>
      <c r="D1564" t="inlineStr">
        <is>
          <t>VÄSTERNORRLANDS LÄN</t>
        </is>
      </c>
      <c r="E1564" t="inlineStr">
        <is>
          <t>ÅNGE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17210-2022</t>
        </is>
      </c>
      <c r="B1565" s="1" t="n">
        <v>44677.92701388889</v>
      </c>
      <c r="C1565" s="1" t="n">
        <v>46178</v>
      </c>
      <c r="D1565" t="inlineStr">
        <is>
          <t>VÄSTERNORRLANDS LÄN</t>
        </is>
      </c>
      <c r="E1565" t="inlineStr">
        <is>
          <t>ÅNGE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56574-2024</t>
        </is>
      </c>
      <c r="B1566" s="1" t="n">
        <v>45625.59616898148</v>
      </c>
      <c r="C1566" s="1" t="n">
        <v>46178</v>
      </c>
      <c r="D1566" t="inlineStr">
        <is>
          <t>VÄSTERNORRLANDS LÄN</t>
        </is>
      </c>
      <c r="E1566" t="inlineStr">
        <is>
          <t>ÅNGE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31568-2024</t>
        </is>
      </c>
      <c r="B1567" s="1" t="n">
        <v>45505.96721064814</v>
      </c>
      <c r="C1567" s="1" t="n">
        <v>46178</v>
      </c>
      <c r="D1567" t="inlineStr">
        <is>
          <t>VÄSTERNORRLANDS LÄN</t>
        </is>
      </c>
      <c r="E1567" t="inlineStr">
        <is>
          <t>ÅNGE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27468-2024</t>
        </is>
      </c>
      <c r="B1568" s="1" t="n">
        <v>45474</v>
      </c>
      <c r="C1568" s="1" t="n">
        <v>46178</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12123-2024</t>
        </is>
      </c>
      <c r="B1569" s="1" t="n">
        <v>45377</v>
      </c>
      <c r="C1569" s="1" t="n">
        <v>46178</v>
      </c>
      <c r="D1569" t="inlineStr">
        <is>
          <t>VÄSTERNORRLANDS LÄN</t>
        </is>
      </c>
      <c r="E1569" t="inlineStr">
        <is>
          <t>ÅNGE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11299-2023</t>
        </is>
      </c>
      <c r="B1570" s="1" t="n">
        <v>44993.01074074074</v>
      </c>
      <c r="C1570" s="1" t="n">
        <v>46178</v>
      </c>
      <c r="D1570" t="inlineStr">
        <is>
          <t>VÄSTERNORRLANDS LÄN</t>
        </is>
      </c>
      <c r="E1570" t="inlineStr">
        <is>
          <t>ÅNGE</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11309-2023</t>
        </is>
      </c>
      <c r="B1571" s="1" t="n">
        <v>44993.0118287037</v>
      </c>
      <c r="C1571" s="1" t="n">
        <v>46178</v>
      </c>
      <c r="D1571" t="inlineStr">
        <is>
          <t>VÄSTERNORRLANDS LÄN</t>
        </is>
      </c>
      <c r="E1571" t="inlineStr">
        <is>
          <t>ÅNGE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45932-2023</t>
        </is>
      </c>
      <c r="B1572" s="1" t="n">
        <v>45195</v>
      </c>
      <c r="C1572" s="1" t="n">
        <v>46178</v>
      </c>
      <c r="D1572" t="inlineStr">
        <is>
          <t>VÄSTERNORRLANDS LÄN</t>
        </is>
      </c>
      <c r="E1572" t="inlineStr">
        <is>
          <t>ÅNGE</t>
        </is>
      </c>
      <c r="F1572" t="inlineStr">
        <is>
          <t>SCA</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8648-2025</t>
        </is>
      </c>
      <c r="B1573" s="1" t="n">
        <v>45712.34501157407</v>
      </c>
      <c r="C1573" s="1" t="n">
        <v>46178</v>
      </c>
      <c r="D1573" t="inlineStr">
        <is>
          <t>VÄSTERNORRLANDS LÄN</t>
        </is>
      </c>
      <c r="E1573" t="inlineStr">
        <is>
          <t>ÅNGE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24541-2023</t>
        </is>
      </c>
      <c r="B1574" s="1" t="n">
        <v>45082.94135416667</v>
      </c>
      <c r="C1574" s="1" t="n">
        <v>46178</v>
      </c>
      <c r="D1574" t="inlineStr">
        <is>
          <t>VÄSTERNORRLANDS LÄN</t>
        </is>
      </c>
      <c r="E1574" t="inlineStr">
        <is>
          <t>ÅNGE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51131-2022</t>
        </is>
      </c>
      <c r="B1575" s="1" t="n">
        <v>44868</v>
      </c>
      <c r="C1575" s="1" t="n">
        <v>46178</v>
      </c>
      <c r="D1575" t="inlineStr">
        <is>
          <t>VÄSTERNORRLANDS LÄN</t>
        </is>
      </c>
      <c r="E1575" t="inlineStr">
        <is>
          <t>ÅNGE</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33631-2024</t>
        </is>
      </c>
      <c r="B1576" s="1" t="n">
        <v>45520</v>
      </c>
      <c r="C1576" s="1" t="n">
        <v>46178</v>
      </c>
      <c r="D1576" t="inlineStr">
        <is>
          <t>VÄSTERNORRLANDS LÄN</t>
        </is>
      </c>
      <c r="E1576" t="inlineStr">
        <is>
          <t>ÅNGE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63522-2021</t>
        </is>
      </c>
      <c r="B1577" s="1" t="n">
        <v>44508</v>
      </c>
      <c r="C1577" s="1" t="n">
        <v>46178</v>
      </c>
      <c r="D1577" t="inlineStr">
        <is>
          <t>VÄSTERNORRLANDS LÄN</t>
        </is>
      </c>
      <c r="E1577" t="inlineStr">
        <is>
          <t>ÅNGE</t>
        </is>
      </c>
      <c r="F1577" t="inlineStr">
        <is>
          <t>Övriga Aktiebolag</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51411-2023</t>
        </is>
      </c>
      <c r="B1578" s="1" t="n">
        <v>45219</v>
      </c>
      <c r="C1578" s="1" t="n">
        <v>46178</v>
      </c>
      <c r="D1578" t="inlineStr">
        <is>
          <t>VÄSTERNORRLANDS LÄN</t>
        </is>
      </c>
      <c r="E1578" t="inlineStr">
        <is>
          <t>ÅNGE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31229-2023</t>
        </is>
      </c>
      <c r="B1579" s="1" t="n">
        <v>45114</v>
      </c>
      <c r="C1579" s="1" t="n">
        <v>46178</v>
      </c>
      <c r="D1579" t="inlineStr">
        <is>
          <t>VÄSTERNORRLANDS LÄN</t>
        </is>
      </c>
      <c r="E1579" t="inlineStr">
        <is>
          <t>ÅNGE</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53336-2024</t>
        </is>
      </c>
      <c r="B1580" s="1" t="n">
        <v>45614.42753472222</v>
      </c>
      <c r="C1580" s="1" t="n">
        <v>46178</v>
      </c>
      <c r="D1580" t="inlineStr">
        <is>
          <t>VÄSTERNORRLANDS LÄN</t>
        </is>
      </c>
      <c r="E1580" t="inlineStr">
        <is>
          <t>ÅNGE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7692-2024</t>
        </is>
      </c>
      <c r="B1581" s="1" t="n">
        <v>45349</v>
      </c>
      <c r="C1581" s="1" t="n">
        <v>46178</v>
      </c>
      <c r="D1581" t="inlineStr">
        <is>
          <t>VÄSTERNORRLANDS LÄN</t>
        </is>
      </c>
      <c r="E1581" t="inlineStr">
        <is>
          <t>ÅNGE</t>
        </is>
      </c>
      <c r="F1581" t="inlineStr">
        <is>
          <t>SCA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47950-2024</t>
        </is>
      </c>
      <c r="B1582" s="1" t="n">
        <v>45589.36511574074</v>
      </c>
      <c r="C1582" s="1" t="n">
        <v>46178</v>
      </c>
      <c r="D1582" t="inlineStr">
        <is>
          <t>VÄSTERNORRLANDS LÄN</t>
        </is>
      </c>
      <c r="E1582" t="inlineStr">
        <is>
          <t>ÅNGE</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39589-2022</t>
        </is>
      </c>
      <c r="B1583" s="1" t="n">
        <v>44818</v>
      </c>
      <c r="C1583" s="1" t="n">
        <v>46178</v>
      </c>
      <c r="D1583" t="inlineStr">
        <is>
          <t>VÄSTERNORRLANDS LÄN</t>
        </is>
      </c>
      <c r="E1583" t="inlineStr">
        <is>
          <t>ÅNGE</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42098-2024</t>
        </is>
      </c>
      <c r="B1584" s="1" t="n">
        <v>45562.34532407407</v>
      </c>
      <c r="C1584" s="1" t="n">
        <v>46178</v>
      </c>
      <c r="D1584" t="inlineStr">
        <is>
          <t>VÄSTERNORRLANDS LÄN</t>
        </is>
      </c>
      <c r="E1584" t="inlineStr">
        <is>
          <t>ÅNGE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10071-2023</t>
        </is>
      </c>
      <c r="B1585" s="1" t="n">
        <v>44985.92418981482</v>
      </c>
      <c r="C1585" s="1" t="n">
        <v>46178</v>
      </c>
      <c r="D1585" t="inlineStr">
        <is>
          <t>VÄSTERNORRLANDS LÄN</t>
        </is>
      </c>
      <c r="E1585" t="inlineStr">
        <is>
          <t>ÅNGE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44518-2024</t>
        </is>
      </c>
      <c r="B1586" s="1" t="n">
        <v>45574.43376157407</v>
      </c>
      <c r="C1586" s="1" t="n">
        <v>46178</v>
      </c>
      <c r="D1586" t="inlineStr">
        <is>
          <t>VÄSTERNORRLANDS LÄN</t>
        </is>
      </c>
      <c r="E1586" t="inlineStr">
        <is>
          <t>ÅNGE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15822-2025</t>
        </is>
      </c>
      <c r="B1587" s="1" t="n">
        <v>45748.70172453704</v>
      </c>
      <c r="C1587" s="1" t="n">
        <v>46178</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41083-2024</t>
        </is>
      </c>
      <c r="B1588" s="1" t="n">
        <v>45559.40684027778</v>
      </c>
      <c r="C1588" s="1" t="n">
        <v>46178</v>
      </c>
      <c r="D1588" t="inlineStr">
        <is>
          <t>VÄSTERNORRLANDS LÄN</t>
        </is>
      </c>
      <c r="E1588" t="inlineStr">
        <is>
          <t>ÅNGE</t>
        </is>
      </c>
      <c r="F1588" t="inlineStr">
        <is>
          <t>SCA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4094-2025</t>
        </is>
      </c>
      <c r="B1589" s="1" t="n">
        <v>45684.6778125</v>
      </c>
      <c r="C1589" s="1" t="n">
        <v>46178</v>
      </c>
      <c r="D1589" t="inlineStr">
        <is>
          <t>VÄSTERNORRLANDS LÄN</t>
        </is>
      </c>
      <c r="E1589" t="inlineStr">
        <is>
          <t>ÅNGE</t>
        </is>
      </c>
      <c r="F1589" t="inlineStr">
        <is>
          <t>SCA</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41507-2024</t>
        </is>
      </c>
      <c r="B1590" s="1" t="n">
        <v>45560</v>
      </c>
      <c r="C1590" s="1" t="n">
        <v>46178</v>
      </c>
      <c r="D1590" t="inlineStr">
        <is>
          <t>VÄSTERNORRLANDS LÄN</t>
        </is>
      </c>
      <c r="E1590" t="inlineStr">
        <is>
          <t>ÅNGE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26019-2024</t>
        </is>
      </c>
      <c r="B1591" s="1" t="n">
        <v>45467.96015046296</v>
      </c>
      <c r="C1591" s="1" t="n">
        <v>46178</v>
      </c>
      <c r="D1591" t="inlineStr">
        <is>
          <t>VÄSTERNORRLANDS LÄN</t>
        </is>
      </c>
      <c r="E1591" t="inlineStr">
        <is>
          <t>ÅNGE</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8747-2022</t>
        </is>
      </c>
      <c r="B1592" s="1" t="n">
        <v>44614.33912037037</v>
      </c>
      <c r="C1592" s="1" t="n">
        <v>46178</v>
      </c>
      <c r="D1592" t="inlineStr">
        <is>
          <t>VÄSTERNORRLANDS LÄN</t>
        </is>
      </c>
      <c r="E1592" t="inlineStr">
        <is>
          <t>ÅNGE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8755-2022</t>
        </is>
      </c>
      <c r="B1593" s="1" t="n">
        <v>44614</v>
      </c>
      <c r="C1593" s="1" t="n">
        <v>46178</v>
      </c>
      <c r="D1593" t="inlineStr">
        <is>
          <t>VÄSTERNORRLANDS LÄN</t>
        </is>
      </c>
      <c r="E1593" t="inlineStr">
        <is>
          <t>ÅNGE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6690-2024</t>
        </is>
      </c>
      <c r="B1594" s="1" t="n">
        <v>45341</v>
      </c>
      <c r="C1594" s="1" t="n">
        <v>46178</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64375-2023</t>
        </is>
      </c>
      <c r="B1595" s="1" t="n">
        <v>45280</v>
      </c>
      <c r="C1595" s="1" t="n">
        <v>46178</v>
      </c>
      <c r="D1595" t="inlineStr">
        <is>
          <t>VÄSTERNORRLANDS LÄN</t>
        </is>
      </c>
      <c r="E1595" t="inlineStr">
        <is>
          <t>ÅNGE</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1235-2023</t>
        </is>
      </c>
      <c r="B1596" s="1" t="n">
        <v>44935</v>
      </c>
      <c r="C1596" s="1" t="n">
        <v>46178</v>
      </c>
      <c r="D1596" t="inlineStr">
        <is>
          <t>VÄSTERNORRLANDS LÄN</t>
        </is>
      </c>
      <c r="E1596" t="inlineStr">
        <is>
          <t>ÅNGE</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62261-2022</t>
        </is>
      </c>
      <c r="B1597" s="1" t="n">
        <v>44922.94378472222</v>
      </c>
      <c r="C1597" s="1" t="n">
        <v>46178</v>
      </c>
      <c r="D1597" t="inlineStr">
        <is>
          <t>VÄSTERNORRLANDS LÄN</t>
        </is>
      </c>
      <c r="E1597" t="inlineStr">
        <is>
          <t>ÅNGE</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41302-2024</t>
        </is>
      </c>
      <c r="B1598" s="1" t="n">
        <v>45559.62077546296</v>
      </c>
      <c r="C1598" s="1" t="n">
        <v>46178</v>
      </c>
      <c r="D1598" t="inlineStr">
        <is>
          <t>VÄSTERNORRLANDS LÄN</t>
        </is>
      </c>
      <c r="E1598" t="inlineStr">
        <is>
          <t>ÅNGE</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5249-2025</t>
        </is>
      </c>
      <c r="B1599" s="1" t="n">
        <v>45692.34465277778</v>
      </c>
      <c r="C1599" s="1" t="n">
        <v>46178</v>
      </c>
      <c r="D1599" t="inlineStr">
        <is>
          <t>VÄSTERNORRLANDS LÄN</t>
        </is>
      </c>
      <c r="E1599" t="inlineStr">
        <is>
          <t>ÅNGE</t>
        </is>
      </c>
      <c r="F1599" t="inlineStr">
        <is>
          <t>SCA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43366-2024</t>
        </is>
      </c>
      <c r="B1600" s="1" t="n">
        <v>45568</v>
      </c>
      <c r="C1600" s="1" t="n">
        <v>46178</v>
      </c>
      <c r="D1600" t="inlineStr">
        <is>
          <t>VÄSTERNORRLANDS LÄN</t>
        </is>
      </c>
      <c r="E1600" t="inlineStr">
        <is>
          <t>ÅNGE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35577-2024</t>
        </is>
      </c>
      <c r="B1601" s="1" t="n">
        <v>45531</v>
      </c>
      <c r="C1601" s="1" t="n">
        <v>46178</v>
      </c>
      <c r="D1601" t="inlineStr">
        <is>
          <t>VÄSTERNORRLANDS LÄN</t>
        </is>
      </c>
      <c r="E1601" t="inlineStr">
        <is>
          <t>ÅNGE</t>
        </is>
      </c>
      <c r="F1601" t="inlineStr">
        <is>
          <t>SCA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35580-2024</t>
        </is>
      </c>
      <c r="B1602" s="1" t="n">
        <v>45531</v>
      </c>
      <c r="C1602" s="1" t="n">
        <v>46178</v>
      </c>
      <c r="D1602" t="inlineStr">
        <is>
          <t>VÄSTERNORRLANDS LÄN</t>
        </is>
      </c>
      <c r="E1602" t="inlineStr">
        <is>
          <t>ÅNGE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28428-2023</t>
        </is>
      </c>
      <c r="B1603" s="1" t="n">
        <v>45102</v>
      </c>
      <c r="C1603" s="1" t="n">
        <v>46178</v>
      </c>
      <c r="D1603" t="inlineStr">
        <is>
          <t>VÄSTERNORRLANDS LÄN</t>
        </is>
      </c>
      <c r="E1603" t="inlineStr">
        <is>
          <t>ÅNGE</t>
        </is>
      </c>
      <c r="F1603" t="inlineStr">
        <is>
          <t>Kyrkan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72239-2021</t>
        </is>
      </c>
      <c r="B1604" s="1" t="n">
        <v>44544.9203587963</v>
      </c>
      <c r="C1604" s="1" t="n">
        <v>46178</v>
      </c>
      <c r="D1604" t="inlineStr">
        <is>
          <t>VÄSTERNORRLANDS LÄN</t>
        </is>
      </c>
      <c r="E1604" t="inlineStr">
        <is>
          <t>ÅNGE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59986-2021</t>
        </is>
      </c>
      <c r="B1605" s="1" t="n">
        <v>44494</v>
      </c>
      <c r="C1605" s="1" t="n">
        <v>46178</v>
      </c>
      <c r="D1605" t="inlineStr">
        <is>
          <t>VÄSTERNORRLANDS LÄN</t>
        </is>
      </c>
      <c r="E1605" t="inlineStr">
        <is>
          <t>ÅNGE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30556-2023</t>
        </is>
      </c>
      <c r="B1606" s="1" t="n">
        <v>45111.87935185185</v>
      </c>
      <c r="C1606" s="1" t="n">
        <v>46178</v>
      </c>
      <c r="D1606" t="inlineStr">
        <is>
          <t>VÄSTERNORRLANDS LÄN</t>
        </is>
      </c>
      <c r="E1606" t="inlineStr">
        <is>
          <t>ÅNGE</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53549-2023</t>
        </is>
      </c>
      <c r="B1607" s="1" t="n">
        <v>45230</v>
      </c>
      <c r="C1607" s="1" t="n">
        <v>46178</v>
      </c>
      <c r="D1607" t="inlineStr">
        <is>
          <t>VÄSTERNORRLANDS LÄN</t>
        </is>
      </c>
      <c r="E1607" t="inlineStr">
        <is>
          <t>ÅNGE</t>
        </is>
      </c>
      <c r="F1607" t="inlineStr">
        <is>
          <t>Holmen skog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34705-2023</t>
        </is>
      </c>
      <c r="B1608" s="1" t="n">
        <v>45140.96452546296</v>
      </c>
      <c r="C1608" s="1" t="n">
        <v>46178</v>
      </c>
      <c r="D1608" t="inlineStr">
        <is>
          <t>VÄSTERNORRLANDS LÄN</t>
        </is>
      </c>
      <c r="E1608" t="inlineStr">
        <is>
          <t>ÅNGE</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50186-2021</t>
        </is>
      </c>
      <c r="B1609" s="1" t="n">
        <v>44456</v>
      </c>
      <c r="C1609" s="1" t="n">
        <v>46178</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35392-2024</t>
        </is>
      </c>
      <c r="B1610" s="1" t="n">
        <v>45531.4025462963</v>
      </c>
      <c r="C1610" s="1" t="n">
        <v>46178</v>
      </c>
      <c r="D1610" t="inlineStr">
        <is>
          <t>VÄSTERNORRLANDS LÄN</t>
        </is>
      </c>
      <c r="E1610" t="inlineStr">
        <is>
          <t>ÅNGE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27952-2024</t>
        </is>
      </c>
      <c r="B1611" s="1" t="n">
        <v>45476.33063657407</v>
      </c>
      <c r="C1611" s="1" t="n">
        <v>46178</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58634-2023</t>
        </is>
      </c>
      <c r="B1612" s="1" t="n">
        <v>45251</v>
      </c>
      <c r="C1612" s="1" t="n">
        <v>46178</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41825-2022</t>
        </is>
      </c>
      <c r="B1613" s="1" t="n">
        <v>44827</v>
      </c>
      <c r="C1613" s="1" t="n">
        <v>46178</v>
      </c>
      <c r="D1613" t="inlineStr">
        <is>
          <t>VÄSTERNORRLANDS LÄN</t>
        </is>
      </c>
      <c r="E1613" t="inlineStr">
        <is>
          <t>ÅNGE</t>
        </is>
      </c>
      <c r="F1613" t="inlineStr">
        <is>
          <t>SCA</t>
        </is>
      </c>
      <c r="G1613" t="n">
        <v>3.3</v>
      </c>
      <c r="H1613" t="n">
        <v>0</v>
      </c>
      <c r="I1613" t="n">
        <v>0</v>
      </c>
      <c r="J1613" t="n">
        <v>0</v>
      </c>
      <c r="K1613" t="n">
        <v>0</v>
      </c>
      <c r="L1613" t="n">
        <v>0</v>
      </c>
      <c r="M1613" t="n">
        <v>0</v>
      </c>
      <c r="N1613" t="n">
        <v>0</v>
      </c>
      <c r="O1613" t="n">
        <v>0</v>
      </c>
      <c r="P1613" t="n">
        <v>0</v>
      </c>
      <c r="Q1613" t="n">
        <v>0</v>
      </c>
      <c r="R1613" s="2" t="inlineStr"/>
      <c r="U1613">
        <f>HYPERLINK("https://klasma.github.io/Logging_2260/knärot/A 41825-2022 karta knärot.png", "A 41825-2022")</f>
        <v/>
      </c>
      <c r="V1613">
        <f>HYPERLINK("https://klasma.github.io/Logging_2260/klagomål/A 41825-2022 FSC-klagomål.docx", "A 41825-2022")</f>
        <v/>
      </c>
      <c r="W1613">
        <f>HYPERLINK("https://klasma.github.io/Logging_2260/klagomålsmail/A 41825-2022 FSC-klagomål mail.docx", "A 41825-2022")</f>
        <v/>
      </c>
      <c r="X1613">
        <f>HYPERLINK("https://klasma.github.io/Logging_2260/tillsyn/A 41825-2022 tillsynsbegäran.docx", "A 41825-2022")</f>
        <v/>
      </c>
      <c r="Y1613">
        <f>HYPERLINK("https://klasma.github.io/Logging_2260/tillsynsmail/A 41825-2022 tillsynsbegäran mail.docx", "A 41825-2022")</f>
        <v/>
      </c>
    </row>
    <row r="1614" ht="15" customHeight="1">
      <c r="A1614" t="inlineStr">
        <is>
          <t>A 35581-2024</t>
        </is>
      </c>
      <c r="B1614" s="1" t="n">
        <v>45531</v>
      </c>
      <c r="C1614" s="1" t="n">
        <v>46178</v>
      </c>
      <c r="D1614" t="inlineStr">
        <is>
          <t>VÄSTERNORRLANDS LÄN</t>
        </is>
      </c>
      <c r="E1614" t="inlineStr">
        <is>
          <t>ÅNGE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35582-2024</t>
        </is>
      </c>
      <c r="B1615" s="1" t="n">
        <v>45531.64800925926</v>
      </c>
      <c r="C1615" s="1" t="n">
        <v>46178</v>
      </c>
      <c r="D1615" t="inlineStr">
        <is>
          <t>VÄSTERNORRLANDS LÄN</t>
        </is>
      </c>
      <c r="E1615" t="inlineStr">
        <is>
          <t>ÅNGE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4904-2024</t>
        </is>
      </c>
      <c r="B1616" s="1" t="n">
        <v>45329.47856481482</v>
      </c>
      <c r="C1616" s="1" t="n">
        <v>46178</v>
      </c>
      <c r="D1616" t="inlineStr">
        <is>
          <t>VÄSTERNORRLANDS LÄN</t>
        </is>
      </c>
      <c r="E1616" t="inlineStr">
        <is>
          <t>ÅNGE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57592-2022</t>
        </is>
      </c>
      <c r="B1617" s="1" t="n">
        <v>44896.97841435186</v>
      </c>
      <c r="C1617" s="1" t="n">
        <v>46178</v>
      </c>
      <c r="D1617" t="inlineStr">
        <is>
          <t>VÄSTERNORRLANDS LÄN</t>
        </is>
      </c>
      <c r="E1617" t="inlineStr">
        <is>
          <t>ÅNGE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57602-2022</t>
        </is>
      </c>
      <c r="B1618" s="1" t="n">
        <v>44896</v>
      </c>
      <c r="C1618" s="1" t="n">
        <v>46178</v>
      </c>
      <c r="D1618" t="inlineStr">
        <is>
          <t>VÄSTERNORRLANDS LÄN</t>
        </is>
      </c>
      <c r="E1618" t="inlineStr">
        <is>
          <t>ÅNGE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22680-2024</t>
        </is>
      </c>
      <c r="B1619" s="1" t="n">
        <v>45447.94548611111</v>
      </c>
      <c r="C1619" s="1" t="n">
        <v>46178</v>
      </c>
      <c r="D1619" t="inlineStr">
        <is>
          <t>VÄSTERNORRLANDS LÄN</t>
        </is>
      </c>
      <c r="E1619" t="inlineStr">
        <is>
          <t>ÅNGE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18430-2025</t>
        </is>
      </c>
      <c r="B1620" s="1" t="n">
        <v>45762.63576388889</v>
      </c>
      <c r="C1620" s="1" t="n">
        <v>46178</v>
      </c>
      <c r="D1620" t="inlineStr">
        <is>
          <t>VÄSTERNORRLANDS LÄN</t>
        </is>
      </c>
      <c r="E1620" t="inlineStr">
        <is>
          <t>ÅNGE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3624-2024</t>
        </is>
      </c>
      <c r="B1621" s="1" t="n">
        <v>45320.95305555555</v>
      </c>
      <c r="C1621" s="1" t="n">
        <v>46178</v>
      </c>
      <c r="D1621" t="inlineStr">
        <is>
          <t>VÄSTERNORRLANDS LÄN</t>
        </is>
      </c>
      <c r="E1621" t="inlineStr">
        <is>
          <t>ÅNGE</t>
        </is>
      </c>
      <c r="F1621" t="inlineStr">
        <is>
          <t>SCA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10922-2024</t>
        </is>
      </c>
      <c r="B1622" s="1" t="n">
        <v>45370</v>
      </c>
      <c r="C1622" s="1" t="n">
        <v>46178</v>
      </c>
      <c r="D1622" t="inlineStr">
        <is>
          <t>VÄSTERNORRLANDS LÄN</t>
        </is>
      </c>
      <c r="E1622" t="inlineStr">
        <is>
          <t>ÅNGE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46681-2023</t>
        </is>
      </c>
      <c r="B1623" s="1" t="n">
        <v>45198</v>
      </c>
      <c r="C1623" s="1" t="n">
        <v>46178</v>
      </c>
      <c r="D1623" t="inlineStr">
        <is>
          <t>VÄSTERNORRLANDS LÄN</t>
        </is>
      </c>
      <c r="E1623" t="inlineStr">
        <is>
          <t>ÅNGE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46255-2023</t>
        </is>
      </c>
      <c r="B1624" s="1" t="n">
        <v>45196</v>
      </c>
      <c r="C1624" s="1" t="n">
        <v>46178</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55197-2022</t>
        </is>
      </c>
      <c r="B1625" s="1" t="n">
        <v>44886.93714120371</v>
      </c>
      <c r="C1625" s="1" t="n">
        <v>46178</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18617-2024</t>
        </is>
      </c>
      <c r="B1626" s="1" t="n">
        <v>45425</v>
      </c>
      <c r="C1626" s="1" t="n">
        <v>46178</v>
      </c>
      <c r="D1626" t="inlineStr">
        <is>
          <t>VÄSTERNORRLANDS LÄN</t>
        </is>
      </c>
      <c r="E1626" t="inlineStr">
        <is>
          <t>ÅNGE</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18869-2024</t>
        </is>
      </c>
      <c r="B1627" s="1" t="n">
        <v>45426</v>
      </c>
      <c r="C1627" s="1" t="n">
        <v>46178</v>
      </c>
      <c r="D1627" t="inlineStr">
        <is>
          <t>VÄSTERNORRLANDS LÄN</t>
        </is>
      </c>
      <c r="E1627" t="inlineStr">
        <is>
          <t>ÅNGE</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37540-2024</t>
        </is>
      </c>
      <c r="B1628" s="1" t="n">
        <v>45541.42111111111</v>
      </c>
      <c r="C1628" s="1" t="n">
        <v>46178</v>
      </c>
      <c r="D1628" t="inlineStr">
        <is>
          <t>VÄSTERNORRLANDS LÄN</t>
        </is>
      </c>
      <c r="E1628" t="inlineStr">
        <is>
          <t>ÅNGE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42958-2024</t>
        </is>
      </c>
      <c r="B1629" s="1" t="n">
        <v>45567.37131944444</v>
      </c>
      <c r="C1629" s="1" t="n">
        <v>46178</v>
      </c>
      <c r="D1629" t="inlineStr">
        <is>
          <t>VÄSTERNORRLANDS LÄN</t>
        </is>
      </c>
      <c r="E1629" t="inlineStr">
        <is>
          <t>ÅNGE</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42969-2024</t>
        </is>
      </c>
      <c r="B1630" s="1" t="n">
        <v>45567.37300925926</v>
      </c>
      <c r="C1630" s="1" t="n">
        <v>46178</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49502-2022</t>
        </is>
      </c>
      <c r="B1631" s="1" t="n">
        <v>44861.92613425926</v>
      </c>
      <c r="C1631" s="1" t="n">
        <v>46178</v>
      </c>
      <c r="D1631" t="inlineStr">
        <is>
          <t>VÄSTERNORRLANDS LÄN</t>
        </is>
      </c>
      <c r="E1631" t="inlineStr">
        <is>
          <t>ÅNGE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38795-2023</t>
        </is>
      </c>
      <c r="B1632" s="1" t="n">
        <v>45162</v>
      </c>
      <c r="C1632" s="1" t="n">
        <v>46178</v>
      </c>
      <c r="D1632" t="inlineStr">
        <is>
          <t>VÄSTERNORRLANDS LÄN</t>
        </is>
      </c>
      <c r="E1632" t="inlineStr">
        <is>
          <t>ÅNGE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17601-2024</t>
        </is>
      </c>
      <c r="B1633" s="1" t="n">
        <v>45415</v>
      </c>
      <c r="C1633" s="1" t="n">
        <v>46178</v>
      </c>
      <c r="D1633" t="inlineStr">
        <is>
          <t>VÄSTERNORRLANDS LÄN</t>
        </is>
      </c>
      <c r="E1633" t="inlineStr">
        <is>
          <t>ÅNGE</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34649-2024</t>
        </is>
      </c>
      <c r="B1634" s="1" t="n">
        <v>45526.48325231481</v>
      </c>
      <c r="C1634" s="1" t="n">
        <v>46178</v>
      </c>
      <c r="D1634" t="inlineStr">
        <is>
          <t>VÄSTERNORRLANDS LÄN</t>
        </is>
      </c>
      <c r="E1634" t="inlineStr">
        <is>
          <t>ÅNGE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13091-2024</t>
        </is>
      </c>
      <c r="B1635" s="1" t="n">
        <v>45385</v>
      </c>
      <c r="C1635" s="1" t="n">
        <v>46178</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20108-2025</t>
        </is>
      </c>
      <c r="B1636" s="1" t="n">
        <v>45772.47006944445</v>
      </c>
      <c r="C1636" s="1" t="n">
        <v>46178</v>
      </c>
      <c r="D1636" t="inlineStr">
        <is>
          <t>VÄSTERNORRLANDS LÄN</t>
        </is>
      </c>
      <c r="E1636" t="inlineStr">
        <is>
          <t>ÅNGE</t>
        </is>
      </c>
      <c r="F1636" t="inlineStr">
        <is>
          <t>Naturvårdsverket</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50419-2022</t>
        </is>
      </c>
      <c r="B1637" s="1" t="n">
        <v>44861</v>
      </c>
      <c r="C1637" s="1" t="n">
        <v>46178</v>
      </c>
      <c r="D1637" t="inlineStr">
        <is>
          <t>VÄSTERNORRLANDS LÄN</t>
        </is>
      </c>
      <c r="E1637" t="inlineStr">
        <is>
          <t>ÅNGE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8627-2023</t>
        </is>
      </c>
      <c r="B1638" s="1" t="n">
        <v>44977</v>
      </c>
      <c r="C1638" s="1" t="n">
        <v>46178</v>
      </c>
      <c r="D1638" t="inlineStr">
        <is>
          <t>VÄSTERNORRLANDS LÄN</t>
        </is>
      </c>
      <c r="E1638" t="inlineStr">
        <is>
          <t>ÅNGE</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49532-2024</t>
        </is>
      </c>
      <c r="B1639" s="1" t="n">
        <v>45596.41797453703</v>
      </c>
      <c r="C1639" s="1" t="n">
        <v>46178</v>
      </c>
      <c r="D1639" t="inlineStr">
        <is>
          <t>VÄSTERNORRLANDS LÄN</t>
        </is>
      </c>
      <c r="E1639" t="inlineStr">
        <is>
          <t>ÅNGE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11088-2024</t>
        </is>
      </c>
      <c r="B1640" s="1" t="n">
        <v>45370</v>
      </c>
      <c r="C1640" s="1" t="n">
        <v>46178</v>
      </c>
      <c r="D1640" t="inlineStr">
        <is>
          <t>VÄSTERNORRLANDS LÄN</t>
        </is>
      </c>
      <c r="E1640" t="inlineStr">
        <is>
          <t>ÅNGE</t>
        </is>
      </c>
      <c r="F1640" t="inlineStr">
        <is>
          <t>SCA</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13773-2024</t>
        </is>
      </c>
      <c r="B1641" s="1" t="n">
        <v>45390.95297453704</v>
      </c>
      <c r="C1641" s="1" t="n">
        <v>46178</v>
      </c>
      <c r="D1641" t="inlineStr">
        <is>
          <t>VÄSTERNORRLANDS LÄN</t>
        </is>
      </c>
      <c r="E1641" t="inlineStr">
        <is>
          <t>ÅNGE</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30348-2024</t>
        </is>
      </c>
      <c r="B1642" s="1" t="n">
        <v>45490.95524305556</v>
      </c>
      <c r="C1642" s="1" t="n">
        <v>46178</v>
      </c>
      <c r="D1642" t="inlineStr">
        <is>
          <t>VÄSTERNORRLANDS LÄN</t>
        </is>
      </c>
      <c r="E1642" t="inlineStr">
        <is>
          <t>ÅNGE</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54210-2024</t>
        </is>
      </c>
      <c r="B1643" s="1" t="n">
        <v>45616.65662037037</v>
      </c>
      <c r="C1643" s="1" t="n">
        <v>46178</v>
      </c>
      <c r="D1643" t="inlineStr">
        <is>
          <t>VÄSTERNORRLANDS LÄN</t>
        </is>
      </c>
      <c r="E1643" t="inlineStr">
        <is>
          <t>ÅNGE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12807-2025</t>
        </is>
      </c>
      <c r="B1644" s="1" t="n">
        <v>45733.61537037037</v>
      </c>
      <c r="C1644" s="1" t="n">
        <v>46178</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5602-2025</t>
        </is>
      </c>
      <c r="B1645" s="1" t="n">
        <v>45693</v>
      </c>
      <c r="C1645" s="1" t="n">
        <v>46178</v>
      </c>
      <c r="D1645" t="inlineStr">
        <is>
          <t>VÄSTERNORRLANDS LÄN</t>
        </is>
      </c>
      <c r="E1645" t="inlineStr">
        <is>
          <t>ÅNGE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60578-2024</t>
        </is>
      </c>
      <c r="B1646" s="1" t="n">
        <v>45644.34434027778</v>
      </c>
      <c r="C1646" s="1" t="n">
        <v>46178</v>
      </c>
      <c r="D1646" t="inlineStr">
        <is>
          <t>VÄSTERNORRLANDS LÄN</t>
        </is>
      </c>
      <c r="E1646" t="inlineStr">
        <is>
          <t>ÅNGE</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33302-2024</t>
        </is>
      </c>
      <c r="B1647" s="1" t="n">
        <v>45518.96967592592</v>
      </c>
      <c r="C1647" s="1" t="n">
        <v>46178</v>
      </c>
      <c r="D1647" t="inlineStr">
        <is>
          <t>VÄSTERNORRLANDS LÄN</t>
        </is>
      </c>
      <c r="E1647" t="inlineStr">
        <is>
          <t>ÅNGE</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16593-2023</t>
        </is>
      </c>
      <c r="B1648" s="1" t="n">
        <v>45030</v>
      </c>
      <c r="C1648" s="1" t="n">
        <v>46178</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16600-2023</t>
        </is>
      </c>
      <c r="B1649" s="1" t="n">
        <v>45030</v>
      </c>
      <c r="C1649" s="1" t="n">
        <v>46178</v>
      </c>
      <c r="D1649" t="inlineStr">
        <is>
          <t>VÄSTERNORRLANDS LÄN</t>
        </is>
      </c>
      <c r="E1649" t="inlineStr">
        <is>
          <t>ÅNGE</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10917-2024</t>
        </is>
      </c>
      <c r="B1650" s="1" t="n">
        <v>45370</v>
      </c>
      <c r="C1650" s="1" t="n">
        <v>46178</v>
      </c>
      <c r="D1650" t="inlineStr">
        <is>
          <t>VÄSTERNORRLANDS LÄN</t>
        </is>
      </c>
      <c r="E1650" t="inlineStr">
        <is>
          <t>ÅNGE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3022-2023</t>
        </is>
      </c>
      <c r="B1651" s="1" t="n">
        <v>44945</v>
      </c>
      <c r="C1651" s="1" t="n">
        <v>46178</v>
      </c>
      <c r="D1651" t="inlineStr">
        <is>
          <t>VÄSTERNORRLANDS LÄN</t>
        </is>
      </c>
      <c r="E1651" t="inlineStr">
        <is>
          <t>ÅNGE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34491-2023</t>
        </is>
      </c>
      <c r="B1652" s="1" t="n">
        <v>45139.94775462963</v>
      </c>
      <c r="C1652" s="1" t="n">
        <v>46178</v>
      </c>
      <c r="D1652" t="inlineStr">
        <is>
          <t>VÄSTERNORRLANDS LÄN</t>
        </is>
      </c>
      <c r="E1652" t="inlineStr">
        <is>
          <t>ÅNGE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3947-2025</t>
        </is>
      </c>
      <c r="B1653" s="1" t="n">
        <v>45684.49001157407</v>
      </c>
      <c r="C1653" s="1" t="n">
        <v>46178</v>
      </c>
      <c r="D1653" t="inlineStr">
        <is>
          <t>VÄSTERNORRLANDS LÄN</t>
        </is>
      </c>
      <c r="E1653" t="inlineStr">
        <is>
          <t>ÅNGE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65633-2021</t>
        </is>
      </c>
      <c r="B1654" s="1" t="n">
        <v>44516.56181712963</v>
      </c>
      <c r="C1654" s="1" t="n">
        <v>46178</v>
      </c>
      <c r="D1654" t="inlineStr">
        <is>
          <t>VÄSTERNORRLANDS LÄN</t>
        </is>
      </c>
      <c r="E1654" t="inlineStr">
        <is>
          <t>ÅNGE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36457-2021</t>
        </is>
      </c>
      <c r="B1655" s="1" t="n">
        <v>44390.93858796296</v>
      </c>
      <c r="C1655" s="1" t="n">
        <v>46178</v>
      </c>
      <c r="D1655" t="inlineStr">
        <is>
          <t>VÄSTERNORRLANDS LÄN</t>
        </is>
      </c>
      <c r="E1655" t="inlineStr">
        <is>
          <t>ÅNGE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14927-2025</t>
        </is>
      </c>
      <c r="B1656" s="1" t="n">
        <v>45743</v>
      </c>
      <c r="C1656" s="1" t="n">
        <v>46178</v>
      </c>
      <c r="D1656" t="inlineStr">
        <is>
          <t>VÄSTERNORRLANDS LÄN</t>
        </is>
      </c>
      <c r="E1656" t="inlineStr">
        <is>
          <t>ÅNGE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15167-2025</t>
        </is>
      </c>
      <c r="B1657" s="1" t="n">
        <v>45744.49009259259</v>
      </c>
      <c r="C1657" s="1" t="n">
        <v>46178</v>
      </c>
      <c r="D1657" t="inlineStr">
        <is>
          <t>VÄSTERNORRLANDS LÄN</t>
        </is>
      </c>
      <c r="E1657" t="inlineStr">
        <is>
          <t>ÅNGE</t>
        </is>
      </c>
      <c r="F1657" t="inlineStr">
        <is>
          <t>SCA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24063-2023</t>
        </is>
      </c>
      <c r="B1658" s="1" t="n">
        <v>45078.94140046297</v>
      </c>
      <c r="C1658" s="1" t="n">
        <v>46178</v>
      </c>
      <c r="D1658" t="inlineStr">
        <is>
          <t>VÄSTERNORRLANDS LÄN</t>
        </is>
      </c>
      <c r="E1658" t="inlineStr">
        <is>
          <t>ÅNGE</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49711-2024</t>
        </is>
      </c>
      <c r="B1659" s="1" t="n">
        <v>45596.69891203703</v>
      </c>
      <c r="C1659" s="1" t="n">
        <v>46178</v>
      </c>
      <c r="D1659" t="inlineStr">
        <is>
          <t>VÄSTERNORRLANDS LÄN</t>
        </is>
      </c>
      <c r="E1659" t="inlineStr">
        <is>
          <t>ÅNGE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3323-2023</t>
        </is>
      </c>
      <c r="B1660" s="1" t="n">
        <v>44945</v>
      </c>
      <c r="C1660" s="1" t="n">
        <v>46178</v>
      </c>
      <c r="D1660" t="inlineStr">
        <is>
          <t>VÄSTERNORRLANDS LÄN</t>
        </is>
      </c>
      <c r="E1660" t="inlineStr">
        <is>
          <t>ÅNGE</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1711-2025</t>
        </is>
      </c>
      <c r="B1661" s="1" t="n">
        <v>45671.31184027778</v>
      </c>
      <c r="C1661" s="1" t="n">
        <v>46178</v>
      </c>
      <c r="D1661" t="inlineStr">
        <is>
          <t>VÄSTERNORRLANDS LÄN</t>
        </is>
      </c>
      <c r="E1661" t="inlineStr">
        <is>
          <t>ÅNGE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1714-2025</t>
        </is>
      </c>
      <c r="B1662" s="1" t="n">
        <v>45671.32474537037</v>
      </c>
      <c r="C1662" s="1" t="n">
        <v>46178</v>
      </c>
      <c r="D1662" t="inlineStr">
        <is>
          <t>VÄSTERNORRLANDS LÄN</t>
        </is>
      </c>
      <c r="E1662" t="inlineStr">
        <is>
          <t>ÅNGE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31866-2024</t>
        </is>
      </c>
      <c r="B1663" s="1" t="n">
        <v>45509</v>
      </c>
      <c r="C1663" s="1" t="n">
        <v>46178</v>
      </c>
      <c r="D1663" t="inlineStr">
        <is>
          <t>VÄSTERNORRLANDS LÄN</t>
        </is>
      </c>
      <c r="E1663" t="inlineStr">
        <is>
          <t>ÅNGE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31867-2024</t>
        </is>
      </c>
      <c r="B1664" s="1" t="n">
        <v>45509</v>
      </c>
      <c r="C1664" s="1" t="n">
        <v>46178</v>
      </c>
      <c r="D1664" t="inlineStr">
        <is>
          <t>VÄSTERNORRLANDS LÄN</t>
        </is>
      </c>
      <c r="E1664" t="inlineStr">
        <is>
          <t>ÅNGE</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33428-2023</t>
        </is>
      </c>
      <c r="B1665" s="1" t="n">
        <v>45128.94976851852</v>
      </c>
      <c r="C1665" s="1" t="n">
        <v>46178</v>
      </c>
      <c r="D1665" t="inlineStr">
        <is>
          <t>VÄSTERNORRLANDS LÄN</t>
        </is>
      </c>
      <c r="E1665" t="inlineStr">
        <is>
          <t>ÅNGE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10557-2023</t>
        </is>
      </c>
      <c r="B1666" s="1" t="n">
        <v>44987</v>
      </c>
      <c r="C1666" s="1" t="n">
        <v>46178</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19926-2025</t>
        </is>
      </c>
      <c r="B1667" s="1" t="n">
        <v>45771.6357175926</v>
      </c>
      <c r="C1667" s="1" t="n">
        <v>46178</v>
      </c>
      <c r="D1667" t="inlineStr">
        <is>
          <t>VÄSTERNORRLANDS LÄN</t>
        </is>
      </c>
      <c r="E1667" t="inlineStr">
        <is>
          <t>ÅNGE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6610-2025</t>
        </is>
      </c>
      <c r="B1668" s="1" t="n">
        <v>45700</v>
      </c>
      <c r="C1668" s="1" t="n">
        <v>46178</v>
      </c>
      <c r="D1668" t="inlineStr">
        <is>
          <t>VÄSTERNORRLANDS LÄN</t>
        </is>
      </c>
      <c r="E1668" t="inlineStr">
        <is>
          <t>ÅNGE</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58997-2023</t>
        </is>
      </c>
      <c r="B1669" s="1" t="n">
        <v>45252.6352662037</v>
      </c>
      <c r="C1669" s="1" t="n">
        <v>46178</v>
      </c>
      <c r="D1669" t="inlineStr">
        <is>
          <t>VÄSTERNORRLANDS LÄN</t>
        </is>
      </c>
      <c r="E1669" t="inlineStr">
        <is>
          <t>ÅNGE</t>
        </is>
      </c>
      <c r="F1669" t="inlineStr">
        <is>
          <t>Övriga Aktiebolag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44639-2023</t>
        </is>
      </c>
      <c r="B1670" s="1" t="n">
        <v>45184</v>
      </c>
      <c r="C1670" s="1" t="n">
        <v>46178</v>
      </c>
      <c r="D1670" t="inlineStr">
        <is>
          <t>VÄSTERNORRLANDS LÄN</t>
        </is>
      </c>
      <c r="E1670" t="inlineStr">
        <is>
          <t>ÅNGE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43552-2023</t>
        </is>
      </c>
      <c r="B1671" s="1" t="n">
        <v>45181</v>
      </c>
      <c r="C1671" s="1" t="n">
        <v>46178</v>
      </c>
      <c r="D1671" t="inlineStr">
        <is>
          <t>VÄSTERNORRLANDS LÄN</t>
        </is>
      </c>
      <c r="E1671" t="inlineStr">
        <is>
          <t>ÅNGE</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1735-2025</t>
        </is>
      </c>
      <c r="B1672" s="1" t="n">
        <v>45671.38594907407</v>
      </c>
      <c r="C1672" s="1" t="n">
        <v>46178</v>
      </c>
      <c r="D1672" t="inlineStr">
        <is>
          <t>VÄSTERNORRLANDS LÄN</t>
        </is>
      </c>
      <c r="E1672" t="inlineStr">
        <is>
          <t>ÅNGE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50231-2024</t>
        </is>
      </c>
      <c r="B1673" s="1" t="n">
        <v>45600.55251157407</v>
      </c>
      <c r="C1673" s="1" t="n">
        <v>46178</v>
      </c>
      <c r="D1673" t="inlineStr">
        <is>
          <t>VÄSTERNORRLANDS LÄN</t>
        </is>
      </c>
      <c r="E1673" t="inlineStr">
        <is>
          <t>ÅNGE</t>
        </is>
      </c>
      <c r="F1673" t="inlineStr">
        <is>
          <t>SCA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60205-2023</t>
        </is>
      </c>
      <c r="B1674" s="1" t="n">
        <v>45257</v>
      </c>
      <c r="C1674" s="1" t="n">
        <v>46178</v>
      </c>
      <c r="D1674" t="inlineStr">
        <is>
          <t>VÄSTERNORRLANDS LÄN</t>
        </is>
      </c>
      <c r="E1674" t="inlineStr">
        <is>
          <t>ÅNGE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15287-2025</t>
        </is>
      </c>
      <c r="B1675" s="1" t="n">
        <v>45745</v>
      </c>
      <c r="C1675" s="1" t="n">
        <v>46178</v>
      </c>
      <c r="D1675" t="inlineStr">
        <is>
          <t>VÄSTERNORRLANDS LÄN</t>
        </is>
      </c>
      <c r="E1675" t="inlineStr">
        <is>
          <t>ÅNGE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4186-2025</t>
        </is>
      </c>
      <c r="B1676" s="1" t="n">
        <v>45685.44827546296</v>
      </c>
      <c r="C1676" s="1" t="n">
        <v>46178</v>
      </c>
      <c r="D1676" t="inlineStr">
        <is>
          <t>VÄSTERNORRLANDS LÄN</t>
        </is>
      </c>
      <c r="E1676" t="inlineStr">
        <is>
          <t>ÅNGE</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39991-2023</t>
        </is>
      </c>
      <c r="B1677" s="1" t="n">
        <v>45168.6043287037</v>
      </c>
      <c r="C1677" s="1" t="n">
        <v>46178</v>
      </c>
      <c r="D1677" t="inlineStr">
        <is>
          <t>VÄSTERNORRLANDS LÄN</t>
        </is>
      </c>
      <c r="E1677" t="inlineStr">
        <is>
          <t>ÅNGE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1775-2023</t>
        </is>
      </c>
      <c r="B1678" s="1" t="n">
        <v>44938</v>
      </c>
      <c r="C1678" s="1" t="n">
        <v>46178</v>
      </c>
      <c r="D1678" t="inlineStr">
        <is>
          <t>VÄSTERNORRLANDS LÄN</t>
        </is>
      </c>
      <c r="E1678" t="inlineStr">
        <is>
          <t>ÅNGE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31182-2024</t>
        </is>
      </c>
      <c r="B1679" s="1" t="n">
        <v>45503</v>
      </c>
      <c r="C1679" s="1" t="n">
        <v>46178</v>
      </c>
      <c r="D1679" t="inlineStr">
        <is>
          <t>VÄSTERNORRLANDS LÄN</t>
        </is>
      </c>
      <c r="E1679" t="inlineStr">
        <is>
          <t>ÅNGE</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56956-2022</t>
        </is>
      </c>
      <c r="B1680" s="1" t="n">
        <v>44894</v>
      </c>
      <c r="C1680" s="1" t="n">
        <v>46178</v>
      </c>
      <c r="D1680" t="inlineStr">
        <is>
          <t>VÄSTERNORRLANDS LÄN</t>
        </is>
      </c>
      <c r="E1680" t="inlineStr">
        <is>
          <t>ÅNGE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27321-2024</t>
        </is>
      </c>
      <c r="B1681" s="1" t="n">
        <v>45471</v>
      </c>
      <c r="C1681" s="1" t="n">
        <v>46178</v>
      </c>
      <c r="D1681" t="inlineStr">
        <is>
          <t>VÄSTERNORRLANDS LÄN</t>
        </is>
      </c>
      <c r="E1681" t="inlineStr">
        <is>
          <t>ÅNGE</t>
        </is>
      </c>
      <c r="F1681" t="inlineStr">
        <is>
          <t>SCA</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29667-2024</t>
        </is>
      </c>
      <c r="B1682" s="1" t="n">
        <v>45484.94041666666</v>
      </c>
      <c r="C1682" s="1" t="n">
        <v>46178</v>
      </c>
      <c r="D1682" t="inlineStr">
        <is>
          <t>VÄSTERNORRLANDS LÄN</t>
        </is>
      </c>
      <c r="E1682" t="inlineStr">
        <is>
          <t>ÅNGE</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8418-2023</t>
        </is>
      </c>
      <c r="B1683" s="1" t="n">
        <v>44971</v>
      </c>
      <c r="C1683" s="1" t="n">
        <v>46178</v>
      </c>
      <c r="D1683" t="inlineStr">
        <is>
          <t>VÄSTERNORRLANDS LÄN</t>
        </is>
      </c>
      <c r="E1683" t="inlineStr">
        <is>
          <t>ÅNGE</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20024-2023</t>
        </is>
      </c>
      <c r="B1684" s="1" t="n">
        <v>45051</v>
      </c>
      <c r="C1684" s="1" t="n">
        <v>46178</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54982-2023</t>
        </is>
      </c>
      <c r="B1685" s="1" t="n">
        <v>45236</v>
      </c>
      <c r="C1685" s="1" t="n">
        <v>46178</v>
      </c>
      <c r="D1685" t="inlineStr">
        <is>
          <t>VÄSTERNORRLANDS LÄN</t>
        </is>
      </c>
      <c r="E1685" t="inlineStr">
        <is>
          <t>ÅNGE</t>
        </is>
      </c>
      <c r="F1685" t="inlineStr">
        <is>
          <t>SCA</t>
        </is>
      </c>
      <c r="G1685" t="n">
        <v>26.2</v>
      </c>
      <c r="H1685" t="n">
        <v>0</v>
      </c>
      <c r="I1685" t="n">
        <v>0</v>
      </c>
      <c r="J1685" t="n">
        <v>0</v>
      </c>
      <c r="K1685" t="n">
        <v>0</v>
      </c>
      <c r="L1685" t="n">
        <v>0</v>
      </c>
      <c r="M1685" t="n">
        <v>0</v>
      </c>
      <c r="N1685" t="n">
        <v>0</v>
      </c>
      <c r="O1685" t="n">
        <v>0</v>
      </c>
      <c r="P1685" t="n">
        <v>0</v>
      </c>
      <c r="Q1685" t="n">
        <v>0</v>
      </c>
      <c r="R1685" s="2" t="inlineStr"/>
    </row>
    <row r="1686" ht="15" customHeight="1">
      <c r="A1686" t="inlineStr">
        <is>
          <t>A 45939-2023</t>
        </is>
      </c>
      <c r="B1686" s="1" t="n">
        <v>45195.94578703704</v>
      </c>
      <c r="C1686" s="1" t="n">
        <v>46178</v>
      </c>
      <c r="D1686" t="inlineStr">
        <is>
          <t>VÄSTERNORRLANDS LÄN</t>
        </is>
      </c>
      <c r="E1686" t="inlineStr">
        <is>
          <t>ÅNGE</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51311-2022</t>
        </is>
      </c>
      <c r="B1687" s="1" t="n">
        <v>44868</v>
      </c>
      <c r="C1687" s="1" t="n">
        <v>46178</v>
      </c>
      <c r="D1687" t="inlineStr">
        <is>
          <t>VÄSTERNORRLANDS LÄN</t>
        </is>
      </c>
      <c r="E1687" t="inlineStr">
        <is>
          <t>ÅNGE</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63216-2023</t>
        </is>
      </c>
      <c r="B1688" s="1" t="n">
        <v>45273.62721064815</v>
      </c>
      <c r="C1688" s="1" t="n">
        <v>46178</v>
      </c>
      <c r="D1688" t="inlineStr">
        <is>
          <t>VÄSTERNORRLANDS LÄN</t>
        </is>
      </c>
      <c r="E1688" t="inlineStr">
        <is>
          <t>ÅNGE</t>
        </is>
      </c>
      <c r="F1688" t="inlineStr">
        <is>
          <t>Holmen skog AB</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43916-2023</t>
        </is>
      </c>
      <c r="B1689" s="1" t="n">
        <v>45187.72152777778</v>
      </c>
      <c r="C1689" s="1" t="n">
        <v>46178</v>
      </c>
      <c r="D1689" t="inlineStr">
        <is>
          <t>VÄSTERNORRLANDS LÄN</t>
        </is>
      </c>
      <c r="E1689" t="inlineStr">
        <is>
          <t>ÅNGE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19065-2025</t>
        </is>
      </c>
      <c r="B1690" s="1" t="n">
        <v>45765</v>
      </c>
      <c r="C1690" s="1" t="n">
        <v>46178</v>
      </c>
      <c r="D1690" t="inlineStr">
        <is>
          <t>VÄSTERNORRLANDS LÄN</t>
        </is>
      </c>
      <c r="E1690" t="inlineStr">
        <is>
          <t>ÅNGE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36492-2023</t>
        </is>
      </c>
      <c r="B1691" s="1" t="n">
        <v>45152.92479166666</v>
      </c>
      <c r="C1691" s="1" t="n">
        <v>46178</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46332-2023</t>
        </is>
      </c>
      <c r="B1692" s="1" t="n">
        <v>45196</v>
      </c>
      <c r="C1692" s="1" t="n">
        <v>46178</v>
      </c>
      <c r="D1692" t="inlineStr">
        <is>
          <t>VÄSTERNORRLANDS LÄN</t>
        </is>
      </c>
      <c r="E1692" t="inlineStr">
        <is>
          <t>ÅNGE</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26943-2024</t>
        </is>
      </c>
      <c r="B1693" s="1" t="n">
        <v>45470</v>
      </c>
      <c r="C1693" s="1" t="n">
        <v>46178</v>
      </c>
      <c r="D1693" t="inlineStr">
        <is>
          <t>VÄSTERNORRLANDS LÄN</t>
        </is>
      </c>
      <c r="E1693" t="inlineStr">
        <is>
          <t>ÅNGE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55882-2022</t>
        </is>
      </c>
      <c r="B1694" s="1" t="n">
        <v>44888</v>
      </c>
      <c r="C1694" s="1" t="n">
        <v>46178</v>
      </c>
      <c r="D1694" t="inlineStr">
        <is>
          <t>VÄSTERNORRLANDS LÄN</t>
        </is>
      </c>
      <c r="E1694" t="inlineStr">
        <is>
          <t>ÅNGE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6686-2024</t>
        </is>
      </c>
      <c r="B1695" s="1" t="n">
        <v>45341</v>
      </c>
      <c r="C1695" s="1" t="n">
        <v>46178</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63556-2021</t>
        </is>
      </c>
      <c r="B1696" s="1" t="n">
        <v>44508.70231481481</v>
      </c>
      <c r="C1696" s="1" t="n">
        <v>46178</v>
      </c>
      <c r="D1696" t="inlineStr">
        <is>
          <t>VÄSTERNORRLANDS LÄN</t>
        </is>
      </c>
      <c r="E1696" t="inlineStr">
        <is>
          <t>ÅNGE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6608-2025</t>
        </is>
      </c>
      <c r="B1697" s="1" t="n">
        <v>45700.34415509259</v>
      </c>
      <c r="C1697" s="1" t="n">
        <v>46178</v>
      </c>
      <c r="D1697" t="inlineStr">
        <is>
          <t>VÄSTERNORRLANDS LÄN</t>
        </is>
      </c>
      <c r="E1697" t="inlineStr">
        <is>
          <t>ÅNGE</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30682-2024</t>
        </is>
      </c>
      <c r="B1698" s="1" t="n">
        <v>45495.95109953704</v>
      </c>
      <c r="C1698" s="1" t="n">
        <v>46178</v>
      </c>
      <c r="D1698" t="inlineStr">
        <is>
          <t>VÄSTERNORRLANDS LÄN</t>
        </is>
      </c>
      <c r="E1698" t="inlineStr">
        <is>
          <t>ÅNGE</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3253-2024</t>
        </is>
      </c>
      <c r="B1699" s="1" t="n">
        <v>45316</v>
      </c>
      <c r="C1699" s="1" t="n">
        <v>46178</v>
      </c>
      <c r="D1699" t="inlineStr">
        <is>
          <t>VÄSTERNORRLANDS LÄN</t>
        </is>
      </c>
      <c r="E1699" t="inlineStr">
        <is>
          <t>ÅNGE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34783-2021</t>
        </is>
      </c>
      <c r="B1700" s="1" t="n">
        <v>44382</v>
      </c>
      <c r="C1700" s="1" t="n">
        <v>46178</v>
      </c>
      <c r="D1700" t="inlineStr">
        <is>
          <t>VÄSTERNORRLANDS LÄN</t>
        </is>
      </c>
      <c r="E1700" t="inlineStr">
        <is>
          <t>ÅNGE</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58748-2023</t>
        </is>
      </c>
      <c r="B1701" s="1" t="n">
        <v>45251.92936342592</v>
      </c>
      <c r="C1701" s="1" t="n">
        <v>46178</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51070-2024</t>
        </is>
      </c>
      <c r="B1702" s="1" t="n">
        <v>45603</v>
      </c>
      <c r="C1702" s="1" t="n">
        <v>46178</v>
      </c>
      <c r="D1702" t="inlineStr">
        <is>
          <t>VÄSTERNORRLANDS LÄN</t>
        </is>
      </c>
      <c r="E1702" t="inlineStr">
        <is>
          <t>ÅNGE</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51871-2024</t>
        </is>
      </c>
      <c r="B1703" s="1" t="n">
        <v>45607</v>
      </c>
      <c r="C1703" s="1" t="n">
        <v>46178</v>
      </c>
      <c r="D1703" t="inlineStr">
        <is>
          <t>VÄSTERNORRLANDS LÄN</t>
        </is>
      </c>
      <c r="E1703" t="inlineStr">
        <is>
          <t>ÅNGE</t>
        </is>
      </c>
      <c r="F1703" t="inlineStr">
        <is>
          <t>SCA</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57636-2022</t>
        </is>
      </c>
      <c r="B1704" s="1" t="n">
        <v>44897</v>
      </c>
      <c r="C1704" s="1" t="n">
        <v>46178</v>
      </c>
      <c r="D1704" t="inlineStr">
        <is>
          <t>VÄSTERNORRLANDS LÄN</t>
        </is>
      </c>
      <c r="E1704" t="inlineStr">
        <is>
          <t>ÅNGE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34971-2023</t>
        </is>
      </c>
      <c r="B1705" s="1" t="n">
        <v>45142.61635416667</v>
      </c>
      <c r="C1705" s="1" t="n">
        <v>46178</v>
      </c>
      <c r="D1705" t="inlineStr">
        <is>
          <t>VÄSTERNORRLANDS LÄN</t>
        </is>
      </c>
      <c r="E1705" t="inlineStr">
        <is>
          <t>ÅNGE</t>
        </is>
      </c>
      <c r="F1705" t="inlineStr">
        <is>
          <t>Sveaskog</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55329-2023</t>
        </is>
      </c>
      <c r="B1706" s="1" t="n">
        <v>45237</v>
      </c>
      <c r="C1706" s="1" t="n">
        <v>46178</v>
      </c>
      <c r="D1706" t="inlineStr">
        <is>
          <t>VÄSTERNORRLANDS LÄN</t>
        </is>
      </c>
      <c r="E1706" t="inlineStr">
        <is>
          <t>ÅNGE</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44178-2023</t>
        </is>
      </c>
      <c r="B1707" s="1" t="n">
        <v>45183</v>
      </c>
      <c r="C1707" s="1" t="n">
        <v>46178</v>
      </c>
      <c r="D1707" t="inlineStr">
        <is>
          <t>VÄSTERNORRLANDS LÄN</t>
        </is>
      </c>
      <c r="E1707" t="inlineStr">
        <is>
          <t>ÅNGE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52804-2024</t>
        </is>
      </c>
      <c r="B1708" s="1" t="n">
        <v>45610.57322916666</v>
      </c>
      <c r="C1708" s="1" t="n">
        <v>46178</v>
      </c>
      <c r="D1708" t="inlineStr">
        <is>
          <t>VÄSTERNORRLANDS LÄN</t>
        </is>
      </c>
      <c r="E1708" t="inlineStr">
        <is>
          <t>ÅNGE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30055-2024</t>
        </is>
      </c>
      <c r="B1709" s="1" t="n">
        <v>45488.94767361111</v>
      </c>
      <c r="C1709" s="1" t="n">
        <v>46178</v>
      </c>
      <c r="D1709" t="inlineStr">
        <is>
          <t>VÄSTERNORRLANDS LÄN</t>
        </is>
      </c>
      <c r="E1709" t="inlineStr">
        <is>
          <t>ÅNGE</t>
        </is>
      </c>
      <c r="F1709" t="inlineStr">
        <is>
          <t>SCA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42346-2023</t>
        </is>
      </c>
      <c r="B1710" s="1" t="n">
        <v>45180</v>
      </c>
      <c r="C1710" s="1" t="n">
        <v>46178</v>
      </c>
      <c r="D1710" t="inlineStr">
        <is>
          <t>VÄSTERNORRLANDS LÄN</t>
        </is>
      </c>
      <c r="E1710" t="inlineStr">
        <is>
          <t>ÅNGE</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137-2025</t>
        </is>
      </c>
      <c r="B1711" s="1" t="n">
        <v>45659.57684027778</v>
      </c>
      <c r="C1711" s="1" t="n">
        <v>46178</v>
      </c>
      <c r="D1711" t="inlineStr">
        <is>
          <t>VÄSTERNORRLANDS LÄN</t>
        </is>
      </c>
      <c r="E1711" t="inlineStr">
        <is>
          <t>ÅNGE</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55380-2024</t>
        </is>
      </c>
      <c r="B1712" s="1" t="n">
        <v>45622.28810185185</v>
      </c>
      <c r="C1712" s="1" t="n">
        <v>46178</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56615-2023</t>
        </is>
      </c>
      <c r="B1713" s="1" t="n">
        <v>45243</v>
      </c>
      <c r="C1713" s="1" t="n">
        <v>46178</v>
      </c>
      <c r="D1713" t="inlineStr">
        <is>
          <t>VÄSTERNORRLANDS LÄN</t>
        </is>
      </c>
      <c r="E1713" t="inlineStr">
        <is>
          <t>ÅNGE</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57601-2022</t>
        </is>
      </c>
      <c r="B1714" s="1" t="n">
        <v>44896</v>
      </c>
      <c r="C1714" s="1" t="n">
        <v>46178</v>
      </c>
      <c r="D1714" t="inlineStr">
        <is>
          <t>VÄSTERNORRLANDS LÄN</t>
        </is>
      </c>
      <c r="E1714" t="inlineStr">
        <is>
          <t>ÅNGE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22678-2024</t>
        </is>
      </c>
      <c r="B1715" s="1" t="n">
        <v>45447.94533564815</v>
      </c>
      <c r="C1715" s="1" t="n">
        <v>46178</v>
      </c>
      <c r="D1715" t="inlineStr">
        <is>
          <t>VÄSTERNORRLANDS LÄN</t>
        </is>
      </c>
      <c r="E1715" t="inlineStr">
        <is>
          <t>ÅNGE</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64121-2021</t>
        </is>
      </c>
      <c r="B1716" s="1" t="n">
        <v>44510.4730787037</v>
      </c>
      <c r="C1716" s="1" t="n">
        <v>46178</v>
      </c>
      <c r="D1716" t="inlineStr">
        <is>
          <t>VÄSTERNORRLANDS LÄN</t>
        </is>
      </c>
      <c r="E1716" t="inlineStr">
        <is>
          <t>ÅNGE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71965-2021</t>
        </is>
      </c>
      <c r="B1717" s="1" t="n">
        <v>44544.32483796297</v>
      </c>
      <c r="C1717" s="1" t="n">
        <v>46178</v>
      </c>
      <c r="D1717" t="inlineStr">
        <is>
          <t>VÄSTERNORRLANDS LÄN</t>
        </is>
      </c>
      <c r="E1717" t="inlineStr">
        <is>
          <t>ÅNGE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62834-2021</t>
        </is>
      </c>
      <c r="B1718" s="1" t="n">
        <v>44503</v>
      </c>
      <c r="C1718" s="1" t="n">
        <v>46178</v>
      </c>
      <c r="D1718" t="inlineStr">
        <is>
          <t>VÄSTERNORRLANDS LÄN</t>
        </is>
      </c>
      <c r="E1718" t="inlineStr">
        <is>
          <t>ÅNGE</t>
        </is>
      </c>
      <c r="F1718" t="inlineStr">
        <is>
          <t>Övriga statliga verk och myndigheter</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7535-2023</t>
        </is>
      </c>
      <c r="B1719" s="1" t="n">
        <v>44971</v>
      </c>
      <c r="C1719" s="1" t="n">
        <v>46178</v>
      </c>
      <c r="D1719" t="inlineStr">
        <is>
          <t>VÄSTERNORRLANDS LÄN</t>
        </is>
      </c>
      <c r="E1719" t="inlineStr">
        <is>
          <t>ÅNGE</t>
        </is>
      </c>
      <c r="F1719" t="inlineStr">
        <is>
          <t>SCA</t>
        </is>
      </c>
      <c r="G1719" t="n">
        <v>14.6</v>
      </c>
      <c r="H1719" t="n">
        <v>0</v>
      </c>
      <c r="I1719" t="n">
        <v>0</v>
      </c>
      <c r="J1719" t="n">
        <v>0</v>
      </c>
      <c r="K1719" t="n">
        <v>0</v>
      </c>
      <c r="L1719" t="n">
        <v>0</v>
      </c>
      <c r="M1719" t="n">
        <v>0</v>
      </c>
      <c r="N1719" t="n">
        <v>0</v>
      </c>
      <c r="O1719" t="n">
        <v>0</v>
      </c>
      <c r="P1719" t="n">
        <v>0</v>
      </c>
      <c r="Q1719" t="n">
        <v>0</v>
      </c>
      <c r="R1719" s="2" t="inlineStr"/>
    </row>
    <row r="1720" ht="15" customHeight="1">
      <c r="A1720" t="inlineStr">
        <is>
          <t>A 41586-2024</t>
        </is>
      </c>
      <c r="B1720" s="1" t="n">
        <v>45560.56089120371</v>
      </c>
      <c r="C1720" s="1" t="n">
        <v>46178</v>
      </c>
      <c r="D1720" t="inlineStr">
        <is>
          <t>VÄSTERNORRLANDS LÄN</t>
        </is>
      </c>
      <c r="E1720" t="inlineStr">
        <is>
          <t>ÅNGE</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48946-2024</t>
        </is>
      </c>
      <c r="B1721" s="1" t="n">
        <v>45594.42736111111</v>
      </c>
      <c r="C1721" s="1" t="n">
        <v>46178</v>
      </c>
      <c r="D1721" t="inlineStr">
        <is>
          <t>VÄSTERNORRLANDS LÄN</t>
        </is>
      </c>
      <c r="E1721" t="inlineStr">
        <is>
          <t>ÅNGE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33429-2023</t>
        </is>
      </c>
      <c r="B1722" s="1" t="n">
        <v>45128.94983796297</v>
      </c>
      <c r="C1722" s="1" t="n">
        <v>46178</v>
      </c>
      <c r="D1722" t="inlineStr">
        <is>
          <t>VÄSTERNORRLANDS LÄN</t>
        </is>
      </c>
      <c r="E1722" t="inlineStr">
        <is>
          <t>ÅNGE</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20255-2023</t>
        </is>
      </c>
      <c r="B1723" s="1" t="n">
        <v>45055</v>
      </c>
      <c r="C1723" s="1" t="n">
        <v>46178</v>
      </c>
      <c r="D1723" t="inlineStr">
        <is>
          <t>VÄSTERNORRLANDS LÄN</t>
        </is>
      </c>
      <c r="E1723" t="inlineStr">
        <is>
          <t>ÅNGE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11871-2025</t>
        </is>
      </c>
      <c r="B1724" s="1" t="n">
        <v>45728.42740740741</v>
      </c>
      <c r="C1724" s="1" t="n">
        <v>46178</v>
      </c>
      <c r="D1724" t="inlineStr">
        <is>
          <t>VÄSTERNORRLANDS LÄN</t>
        </is>
      </c>
      <c r="E1724" t="inlineStr">
        <is>
          <t>ÅNGE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16934-2025</t>
        </is>
      </c>
      <c r="B1725" s="1" t="n">
        <v>45755.40671296296</v>
      </c>
      <c r="C1725" s="1" t="n">
        <v>46178</v>
      </c>
      <c r="D1725" t="inlineStr">
        <is>
          <t>VÄSTERNORRLANDS LÄN</t>
        </is>
      </c>
      <c r="E1725" t="inlineStr">
        <is>
          <t>ÅNGE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16281-2023</t>
        </is>
      </c>
      <c r="B1726" s="1" t="n">
        <v>45028</v>
      </c>
      <c r="C1726" s="1" t="n">
        <v>46178</v>
      </c>
      <c r="D1726" t="inlineStr">
        <is>
          <t>VÄSTERNORRLANDS LÄN</t>
        </is>
      </c>
      <c r="E1726" t="inlineStr">
        <is>
          <t>ÅNGE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26015-2024</t>
        </is>
      </c>
      <c r="B1727" s="1" t="n">
        <v>45467.95872685185</v>
      </c>
      <c r="C1727" s="1" t="n">
        <v>46178</v>
      </c>
      <c r="D1727" t="inlineStr">
        <is>
          <t>VÄSTERNORRLANDS LÄN</t>
        </is>
      </c>
      <c r="E1727" t="inlineStr">
        <is>
          <t>ÅNGE</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48697-2024</t>
        </is>
      </c>
      <c r="B1728" s="1" t="n">
        <v>45593.51136574074</v>
      </c>
      <c r="C1728" s="1" t="n">
        <v>46178</v>
      </c>
      <c r="D1728" t="inlineStr">
        <is>
          <t>VÄSTERNORRLANDS LÄN</t>
        </is>
      </c>
      <c r="E1728" t="inlineStr">
        <is>
          <t>ÅNGE</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1095-2023</t>
        </is>
      </c>
      <c r="B1729" s="1" t="n">
        <v>44929</v>
      </c>
      <c r="C1729" s="1" t="n">
        <v>46178</v>
      </c>
      <c r="D1729" t="inlineStr">
        <is>
          <t>VÄSTERNORRLANDS LÄN</t>
        </is>
      </c>
      <c r="E1729" t="inlineStr">
        <is>
          <t>ÅNGE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46795-2023</t>
        </is>
      </c>
      <c r="B1730" s="1" t="n">
        <v>45198</v>
      </c>
      <c r="C1730" s="1" t="n">
        <v>46178</v>
      </c>
      <c r="D1730" t="inlineStr">
        <is>
          <t>VÄSTERNORRLANDS LÄN</t>
        </is>
      </c>
      <c r="E1730" t="inlineStr">
        <is>
          <t>ÅNGE</t>
        </is>
      </c>
      <c r="F1730" t="inlineStr">
        <is>
          <t>Holmen skog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16657-2025</t>
        </is>
      </c>
      <c r="B1731" s="1" t="n">
        <v>45754.40700231482</v>
      </c>
      <c r="C1731" s="1" t="n">
        <v>46178</v>
      </c>
      <c r="D1731" t="inlineStr">
        <is>
          <t>VÄSTERNORRLANDS LÄN</t>
        </is>
      </c>
      <c r="E1731" t="inlineStr">
        <is>
          <t>ÅNGE</t>
        </is>
      </c>
      <c r="F1731" t="inlineStr">
        <is>
          <t>SCA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63709-2023</t>
        </is>
      </c>
      <c r="B1732" s="1" t="n">
        <v>45275.95069444444</v>
      </c>
      <c r="C1732" s="1" t="n">
        <v>46178</v>
      </c>
      <c r="D1732" t="inlineStr">
        <is>
          <t>VÄSTERNORRLANDS LÄN</t>
        </is>
      </c>
      <c r="E1732" t="inlineStr">
        <is>
          <t>ÅNGE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30353-2024</t>
        </is>
      </c>
      <c r="B1733" s="1" t="n">
        <v>45490.95567129629</v>
      </c>
      <c r="C1733" s="1" t="n">
        <v>46178</v>
      </c>
      <c r="D1733" t="inlineStr">
        <is>
          <t>VÄSTERNORRLANDS LÄN</t>
        </is>
      </c>
      <c r="E1733" t="inlineStr">
        <is>
          <t>ÅNGE</t>
        </is>
      </c>
      <c r="F1733" t="inlineStr">
        <is>
          <t>SCA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4187-2025</t>
        </is>
      </c>
      <c r="B1734" s="1" t="n">
        <v>45685.44842592593</v>
      </c>
      <c r="C1734" s="1" t="n">
        <v>46178</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58929-2024</t>
        </is>
      </c>
      <c r="B1735" s="1" t="n">
        <v>45636.51090277778</v>
      </c>
      <c r="C1735" s="1" t="n">
        <v>46178</v>
      </c>
      <c r="D1735" t="inlineStr">
        <is>
          <t>VÄSTERNORRLANDS LÄN</t>
        </is>
      </c>
      <c r="E1735" t="inlineStr">
        <is>
          <t>ÅNGE</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42100-2023</t>
        </is>
      </c>
      <c r="B1736" s="1" t="n">
        <v>45174</v>
      </c>
      <c r="C1736" s="1" t="n">
        <v>46178</v>
      </c>
      <c r="D1736" t="inlineStr">
        <is>
          <t>VÄSTERNORRLANDS LÄN</t>
        </is>
      </c>
      <c r="E1736" t="inlineStr">
        <is>
          <t>ÅNGE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2365-2024</t>
        </is>
      </c>
      <c r="B1737" s="1" t="n">
        <v>45310.59778935185</v>
      </c>
      <c r="C1737" s="1" t="n">
        <v>46178</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2372-2024</t>
        </is>
      </c>
      <c r="B1738" s="1" t="n">
        <v>45310.6115625</v>
      </c>
      <c r="C1738" s="1" t="n">
        <v>46178</v>
      </c>
      <c r="D1738" t="inlineStr">
        <is>
          <t>VÄSTERNORRLANDS LÄN</t>
        </is>
      </c>
      <c r="E1738" t="inlineStr">
        <is>
          <t>ÅNGE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21068-2025</t>
        </is>
      </c>
      <c r="B1739" s="1" t="n">
        <v>45777.59413194445</v>
      </c>
      <c r="C1739" s="1" t="n">
        <v>46178</v>
      </c>
      <c r="D1739" t="inlineStr">
        <is>
          <t>VÄSTERNORRLANDS LÄN</t>
        </is>
      </c>
      <c r="E1739" t="inlineStr">
        <is>
          <t>ÅNGE</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20864-2025</t>
        </is>
      </c>
      <c r="B1740" s="1" t="n">
        <v>45777.34417824074</v>
      </c>
      <c r="C1740" s="1" t="n">
        <v>46178</v>
      </c>
      <c r="D1740" t="inlineStr">
        <is>
          <t>VÄSTERNORRLANDS LÄN</t>
        </is>
      </c>
      <c r="E1740" t="inlineStr">
        <is>
          <t>ÅNGE</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20868-2025</t>
        </is>
      </c>
      <c r="B1741" s="1" t="n">
        <v>45777.34483796296</v>
      </c>
      <c r="C1741" s="1" t="n">
        <v>46178</v>
      </c>
      <c r="D1741" t="inlineStr">
        <is>
          <t>VÄSTERNORRLANDS LÄN</t>
        </is>
      </c>
      <c r="E1741" t="inlineStr">
        <is>
          <t>ÅNGE</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20776-2025</t>
        </is>
      </c>
      <c r="B1742" s="1" t="n">
        <v>45776.59410879629</v>
      </c>
      <c r="C1742" s="1" t="n">
        <v>46178</v>
      </c>
      <c r="D1742" t="inlineStr">
        <is>
          <t>VÄSTERNORRLANDS LÄN</t>
        </is>
      </c>
      <c r="E1742" t="inlineStr">
        <is>
          <t>ÅNGE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21174-2025</t>
        </is>
      </c>
      <c r="B1743" s="1" t="n">
        <v>45779.42746527777</v>
      </c>
      <c r="C1743" s="1" t="n">
        <v>46178</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21197-2025</t>
        </is>
      </c>
      <c r="B1744" s="1" t="n">
        <v>45779.46949074074</v>
      </c>
      <c r="C1744" s="1" t="n">
        <v>46178</v>
      </c>
      <c r="D1744" t="inlineStr">
        <is>
          <t>VÄSTERNORRLANDS LÄN</t>
        </is>
      </c>
      <c r="E1744" t="inlineStr">
        <is>
          <t>ÅNGE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45030-2024</t>
        </is>
      </c>
      <c r="B1745" s="1" t="n">
        <v>45575.52089120371</v>
      </c>
      <c r="C1745" s="1" t="n">
        <v>46178</v>
      </c>
      <c r="D1745" t="inlineStr">
        <is>
          <t>VÄSTERNORRLANDS LÄN</t>
        </is>
      </c>
      <c r="E1745" t="inlineStr">
        <is>
          <t>ÅNGE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21263-2025</t>
        </is>
      </c>
      <c r="B1746" s="1" t="n">
        <v>45779.61233796296</v>
      </c>
      <c r="C1746" s="1" t="n">
        <v>46178</v>
      </c>
      <c r="D1746" t="inlineStr">
        <is>
          <t>VÄSTERNORRLANDS LÄN</t>
        </is>
      </c>
      <c r="E1746" t="inlineStr">
        <is>
          <t>ÅNGE</t>
        </is>
      </c>
      <c r="F1746" t="inlineStr">
        <is>
          <t>Sveaskog</t>
        </is>
      </c>
      <c r="G1746" t="n">
        <v>14.9</v>
      </c>
      <c r="H1746" t="n">
        <v>0</v>
      </c>
      <c r="I1746" t="n">
        <v>0</v>
      </c>
      <c r="J1746" t="n">
        <v>0</v>
      </c>
      <c r="K1746" t="n">
        <v>0</v>
      </c>
      <c r="L1746" t="n">
        <v>0</v>
      </c>
      <c r="M1746" t="n">
        <v>0</v>
      </c>
      <c r="N1746" t="n">
        <v>0</v>
      </c>
      <c r="O1746" t="n">
        <v>0</v>
      </c>
      <c r="P1746" t="n">
        <v>0</v>
      </c>
      <c r="Q1746" t="n">
        <v>0</v>
      </c>
      <c r="R1746" s="2" t="inlineStr"/>
    </row>
    <row r="1747" ht="15" customHeight="1">
      <c r="A1747" t="inlineStr">
        <is>
          <t>A 21251-2025</t>
        </is>
      </c>
      <c r="B1747" s="1" t="n">
        <v>45779.57417824074</v>
      </c>
      <c r="C1747" s="1" t="n">
        <v>46178</v>
      </c>
      <c r="D1747" t="inlineStr">
        <is>
          <t>VÄSTERNORRLANDS LÄN</t>
        </is>
      </c>
      <c r="E1747" t="inlineStr">
        <is>
          <t>ÅNGE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21176-2025</t>
        </is>
      </c>
      <c r="B1748" s="1" t="n">
        <v>45779.42798611111</v>
      </c>
      <c r="C1748" s="1" t="n">
        <v>46178</v>
      </c>
      <c r="D1748" t="inlineStr">
        <is>
          <t>VÄSTERNORRLANDS LÄN</t>
        </is>
      </c>
      <c r="E1748" t="inlineStr">
        <is>
          <t>ÅNGE</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21741-2025</t>
        </is>
      </c>
      <c r="B1749" s="1" t="n">
        <v>45783.59415509259</v>
      </c>
      <c r="C1749" s="1" t="n">
        <v>46178</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21685-2025</t>
        </is>
      </c>
      <c r="B1750" s="1" t="n">
        <v>45783.49050925926</v>
      </c>
      <c r="C1750" s="1" t="n">
        <v>46178</v>
      </c>
      <c r="D1750" t="inlineStr">
        <is>
          <t>VÄSTERNORRLANDS LÄN</t>
        </is>
      </c>
      <c r="E1750" t="inlineStr">
        <is>
          <t>ÅNGE</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21597-2025</t>
        </is>
      </c>
      <c r="B1751" s="1" t="n">
        <v>45783.34493055556</v>
      </c>
      <c r="C1751" s="1" t="n">
        <v>46178</v>
      </c>
      <c r="D1751" t="inlineStr">
        <is>
          <t>VÄSTERNORRLANDS LÄN</t>
        </is>
      </c>
      <c r="E1751" t="inlineStr">
        <is>
          <t>ÅNGE</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17669-2023</t>
        </is>
      </c>
      <c r="B1752" s="1" t="n">
        <v>45036.94457175926</v>
      </c>
      <c r="C1752" s="1" t="n">
        <v>46178</v>
      </c>
      <c r="D1752" t="inlineStr">
        <is>
          <t>VÄSTERNORRLANDS LÄN</t>
        </is>
      </c>
      <c r="E1752" t="inlineStr">
        <is>
          <t>ÅNGE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25867-2024</t>
        </is>
      </c>
      <c r="B1753" s="1" t="n">
        <v>45463</v>
      </c>
      <c r="C1753" s="1" t="n">
        <v>46178</v>
      </c>
      <c r="D1753" t="inlineStr">
        <is>
          <t>VÄSTERNORRLANDS LÄN</t>
        </is>
      </c>
      <c r="E1753" t="inlineStr">
        <is>
          <t>ÅNGE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2539-2025</t>
        </is>
      </c>
      <c r="B1754" s="1" t="n">
        <v>45674.61581018518</v>
      </c>
      <c r="C1754" s="1" t="n">
        <v>46178</v>
      </c>
      <c r="D1754" t="inlineStr">
        <is>
          <t>VÄSTERNORRLANDS LÄN</t>
        </is>
      </c>
      <c r="E1754" t="inlineStr">
        <is>
          <t>ÅNGE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21686-2025</t>
        </is>
      </c>
      <c r="B1755" s="1" t="n">
        <v>45783.490625</v>
      </c>
      <c r="C1755" s="1" t="n">
        <v>46178</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54295-2024</t>
        </is>
      </c>
      <c r="B1756" s="1" t="n">
        <v>45617</v>
      </c>
      <c r="C1756" s="1" t="n">
        <v>46178</v>
      </c>
      <c r="D1756" t="inlineStr">
        <is>
          <t>VÄSTERNORRLANDS LÄN</t>
        </is>
      </c>
      <c r="E1756" t="inlineStr">
        <is>
          <t>ÅNGE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21563-2025</t>
        </is>
      </c>
      <c r="B1757" s="1" t="n">
        <v>45782.69822916666</v>
      </c>
      <c r="C1757" s="1" t="n">
        <v>46178</v>
      </c>
      <c r="D1757" t="inlineStr">
        <is>
          <t>VÄSTERNORRLANDS LÄN</t>
        </is>
      </c>
      <c r="E1757" t="inlineStr">
        <is>
          <t>ÅNGE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21712-2025</t>
        </is>
      </c>
      <c r="B1758" s="1" t="n">
        <v>45783.53210648148</v>
      </c>
      <c r="C1758" s="1" t="n">
        <v>46178</v>
      </c>
      <c r="D1758" t="inlineStr">
        <is>
          <t>VÄSTERNORRLANDS LÄN</t>
        </is>
      </c>
      <c r="E1758" t="inlineStr">
        <is>
          <t>ÅNGE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26640-2024</t>
        </is>
      </c>
      <c r="B1759" s="1" t="n">
        <v>45469.92831018518</v>
      </c>
      <c r="C1759" s="1" t="n">
        <v>46178</v>
      </c>
      <c r="D1759" t="inlineStr">
        <is>
          <t>VÄSTERNORRLANDS LÄN</t>
        </is>
      </c>
      <c r="E1759" t="inlineStr">
        <is>
          <t>ÅNGE</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39119-2024</t>
        </is>
      </c>
      <c r="B1760" s="1" t="n">
        <v>45548.58939814815</v>
      </c>
      <c r="C1760" s="1" t="n">
        <v>46178</v>
      </c>
      <c r="D1760" t="inlineStr">
        <is>
          <t>VÄSTERNORRLANDS LÄN</t>
        </is>
      </c>
      <c r="E1760" t="inlineStr">
        <is>
          <t>ÅNGE</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32257-2024</t>
        </is>
      </c>
      <c r="B1761" s="1" t="n">
        <v>45511</v>
      </c>
      <c r="C1761" s="1" t="n">
        <v>46178</v>
      </c>
      <c r="D1761" t="inlineStr">
        <is>
          <t>VÄSTERNORRLANDS LÄN</t>
        </is>
      </c>
      <c r="E1761" t="inlineStr">
        <is>
          <t>ÅNGE</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20880-2025</t>
        </is>
      </c>
      <c r="B1762" s="1" t="n">
        <v>45777</v>
      </c>
      <c r="C1762" s="1" t="n">
        <v>46178</v>
      </c>
      <c r="D1762" t="inlineStr">
        <is>
          <t>VÄSTERNORRLANDS LÄN</t>
        </is>
      </c>
      <c r="E1762" t="inlineStr">
        <is>
          <t>ÅNGE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22219-2025</t>
        </is>
      </c>
      <c r="B1763" s="1" t="n">
        <v>45785.65849537037</v>
      </c>
      <c r="C1763" s="1" t="n">
        <v>46178</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21862-2025</t>
        </is>
      </c>
      <c r="B1764" s="1" t="n">
        <v>45784.36519675926</v>
      </c>
      <c r="C1764" s="1" t="n">
        <v>46178</v>
      </c>
      <c r="D1764" t="inlineStr">
        <is>
          <t>VÄSTERNORRLANDS LÄN</t>
        </is>
      </c>
      <c r="E1764" t="inlineStr">
        <is>
          <t>ÅNGE</t>
        </is>
      </c>
      <c r="F1764" t="inlineStr">
        <is>
          <t>SCA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22206-2025</t>
        </is>
      </c>
      <c r="B1765" s="1" t="n">
        <v>45785.65699074074</v>
      </c>
      <c r="C1765" s="1" t="n">
        <v>46178</v>
      </c>
      <c r="D1765" t="inlineStr">
        <is>
          <t>VÄSTERNORRLANDS LÄN</t>
        </is>
      </c>
      <c r="E1765" t="inlineStr">
        <is>
          <t>ÅNGE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29395-2023</t>
        </is>
      </c>
      <c r="B1766" s="1" t="n">
        <v>45106.4359837963</v>
      </c>
      <c r="C1766" s="1" t="n">
        <v>46178</v>
      </c>
      <c r="D1766" t="inlineStr">
        <is>
          <t>VÄSTERNORRLANDS LÄN</t>
        </is>
      </c>
      <c r="E1766" t="inlineStr">
        <is>
          <t>ÅNGE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38800-2024</t>
        </is>
      </c>
      <c r="B1767" s="1" t="n">
        <v>45547</v>
      </c>
      <c r="C1767" s="1" t="n">
        <v>46178</v>
      </c>
      <c r="D1767" t="inlineStr">
        <is>
          <t>VÄSTERNORRLANDS LÄN</t>
        </is>
      </c>
      <c r="E1767" t="inlineStr">
        <is>
          <t>ÅNGE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21883-2025</t>
        </is>
      </c>
      <c r="B1768" s="1" t="n">
        <v>45784.41361111111</v>
      </c>
      <c r="C1768" s="1" t="n">
        <v>46178</v>
      </c>
      <c r="D1768" t="inlineStr">
        <is>
          <t>VÄSTERNORRLANDS LÄN</t>
        </is>
      </c>
      <c r="E1768" t="inlineStr">
        <is>
          <t>ÅNGE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31492-2024</t>
        </is>
      </c>
      <c r="B1769" s="1" t="n">
        <v>45505</v>
      </c>
      <c r="C1769" s="1" t="n">
        <v>46178</v>
      </c>
      <c r="D1769" t="inlineStr">
        <is>
          <t>VÄSTERNORRLANDS LÄN</t>
        </is>
      </c>
      <c r="E1769" t="inlineStr">
        <is>
          <t>ÅNGE</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21982-2025</t>
        </is>
      </c>
      <c r="B1770" s="1" t="n">
        <v>45784.65660879629</v>
      </c>
      <c r="C1770" s="1" t="n">
        <v>46178</v>
      </c>
      <c r="D1770" t="inlineStr">
        <is>
          <t>VÄSTERNORRLANDS LÄN</t>
        </is>
      </c>
      <c r="E1770" t="inlineStr">
        <is>
          <t>ÅNGE</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22187-2024</t>
        </is>
      </c>
      <c r="B1771" s="1" t="n">
        <v>45446.35222222222</v>
      </c>
      <c r="C1771" s="1" t="n">
        <v>46178</v>
      </c>
      <c r="D1771" t="inlineStr">
        <is>
          <t>VÄSTERNORRLANDS LÄN</t>
        </is>
      </c>
      <c r="E1771" t="inlineStr">
        <is>
          <t>ÅNGE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22489-2025</t>
        </is>
      </c>
      <c r="B1772" s="1" t="n">
        <v>45786.64946759259</v>
      </c>
      <c r="C1772" s="1" t="n">
        <v>46178</v>
      </c>
      <c r="D1772" t="inlineStr">
        <is>
          <t>VÄSTERNORRLANDS LÄN</t>
        </is>
      </c>
      <c r="E1772" t="inlineStr">
        <is>
          <t>ÅNGE</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22791-2025</t>
        </is>
      </c>
      <c r="B1773" s="1" t="n">
        <v>45789.65663194445</v>
      </c>
      <c r="C1773" s="1" t="n">
        <v>46178</v>
      </c>
      <c r="D1773" t="inlineStr">
        <is>
          <t>VÄSTERNORRLANDS LÄN</t>
        </is>
      </c>
      <c r="E1773" t="inlineStr">
        <is>
          <t>ÅNGE</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22549-2025</t>
        </is>
      </c>
      <c r="B1774" s="1" t="n">
        <v>45788.48113425926</v>
      </c>
      <c r="C1774" s="1" t="n">
        <v>46178</v>
      </c>
      <c r="D1774" t="inlineStr">
        <is>
          <t>VÄSTERNORRLANDS LÄN</t>
        </is>
      </c>
      <c r="E1774" t="inlineStr">
        <is>
          <t>ÅNGE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23091-2025</t>
        </is>
      </c>
      <c r="B1775" s="1" t="n">
        <v>45791.34456018519</v>
      </c>
      <c r="C1775" s="1" t="n">
        <v>46178</v>
      </c>
      <c r="D1775" t="inlineStr">
        <is>
          <t>VÄSTERNORRLANDS LÄN</t>
        </is>
      </c>
      <c r="E1775" t="inlineStr">
        <is>
          <t>ÅNGE</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23343-2025</t>
        </is>
      </c>
      <c r="B1776" s="1" t="n">
        <v>45791.65702546296</v>
      </c>
      <c r="C1776" s="1" t="n">
        <v>46178</v>
      </c>
      <c r="D1776" t="inlineStr">
        <is>
          <t>VÄSTERNORRLANDS LÄN</t>
        </is>
      </c>
      <c r="E1776" t="inlineStr">
        <is>
          <t>ÅNGE</t>
        </is>
      </c>
      <c r="F1776" t="inlineStr">
        <is>
          <t>SCA</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23252-2025</t>
        </is>
      </c>
      <c r="B1777" s="1" t="n">
        <v>45791.53157407408</v>
      </c>
      <c r="C1777" s="1" t="n">
        <v>46178</v>
      </c>
      <c r="D1777" t="inlineStr">
        <is>
          <t>VÄSTERNORRLANDS LÄN</t>
        </is>
      </c>
      <c r="E1777" t="inlineStr">
        <is>
          <t>ÅNGE</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22926-2025</t>
        </is>
      </c>
      <c r="B1778" s="1" t="n">
        <v>45790</v>
      </c>
      <c r="C1778" s="1" t="n">
        <v>46178</v>
      </c>
      <c r="D1778" t="inlineStr">
        <is>
          <t>VÄSTERNORRLANDS LÄN</t>
        </is>
      </c>
      <c r="E1778" t="inlineStr">
        <is>
          <t>ÅNGE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22928-2025</t>
        </is>
      </c>
      <c r="B1779" s="1" t="n">
        <v>45790.44825231482</v>
      </c>
      <c r="C1779" s="1" t="n">
        <v>46178</v>
      </c>
      <c r="D1779" t="inlineStr">
        <is>
          <t>VÄSTERNORRLANDS LÄN</t>
        </is>
      </c>
      <c r="E1779" t="inlineStr">
        <is>
          <t>ÅNGE</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23748-2025</t>
        </is>
      </c>
      <c r="B1780" s="1" t="n">
        <v>45793.44755787037</v>
      </c>
      <c r="C1780" s="1" t="n">
        <v>46178</v>
      </c>
      <c r="D1780" t="inlineStr">
        <is>
          <t>VÄSTERNORRLANDS LÄN</t>
        </is>
      </c>
      <c r="E1780" t="inlineStr">
        <is>
          <t>ÅNGE</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23589-2025</t>
        </is>
      </c>
      <c r="B1781" s="1" t="n">
        <v>45792.63618055556</v>
      </c>
      <c r="C1781" s="1" t="n">
        <v>46178</v>
      </c>
      <c r="D1781" t="inlineStr">
        <is>
          <t>VÄSTERNORRLANDS LÄN</t>
        </is>
      </c>
      <c r="E1781" t="inlineStr">
        <is>
          <t>ÅNGE</t>
        </is>
      </c>
      <c r="F1781" t="inlineStr">
        <is>
          <t>SCA</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23495-2025</t>
        </is>
      </c>
      <c r="B1782" s="1" t="n">
        <v>45792.46967592592</v>
      </c>
      <c r="C1782" s="1" t="n">
        <v>46178</v>
      </c>
      <c r="D1782" t="inlineStr">
        <is>
          <t>VÄSTERNORRLANDS LÄN</t>
        </is>
      </c>
      <c r="E1782" t="inlineStr">
        <is>
          <t>ÅNGE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23580-2025</t>
        </is>
      </c>
      <c r="B1783" s="1" t="n">
        <v>45792.62555555555</v>
      </c>
      <c r="C1783" s="1" t="n">
        <v>46178</v>
      </c>
      <c r="D1783" t="inlineStr">
        <is>
          <t>VÄSTERNORRLANDS LÄN</t>
        </is>
      </c>
      <c r="E1783" t="inlineStr">
        <is>
          <t>ÅNGE</t>
        </is>
      </c>
      <c r="F1783" t="inlineStr">
        <is>
          <t>Kyrkan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23590-2025</t>
        </is>
      </c>
      <c r="B1784" s="1" t="n">
        <v>45792.63627314815</v>
      </c>
      <c r="C1784" s="1" t="n">
        <v>46178</v>
      </c>
      <c r="D1784" t="inlineStr">
        <is>
          <t>VÄSTERNORRLANDS LÄN</t>
        </is>
      </c>
      <c r="E1784" t="inlineStr">
        <is>
          <t>ÅNGE</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23573-2025</t>
        </is>
      </c>
      <c r="B1785" s="1" t="n">
        <v>45792.61497685185</v>
      </c>
      <c r="C1785" s="1" t="n">
        <v>46178</v>
      </c>
      <c r="D1785" t="inlineStr">
        <is>
          <t>VÄSTERNORRLANDS LÄN</t>
        </is>
      </c>
      <c r="E1785" t="inlineStr">
        <is>
          <t>ÅNGE</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23552-2025</t>
        </is>
      </c>
      <c r="B1786" s="1" t="n">
        <v>45792.5738425926</v>
      </c>
      <c r="C1786" s="1" t="n">
        <v>46178</v>
      </c>
      <c r="D1786" t="inlineStr">
        <is>
          <t>VÄSTERNORRLANDS LÄN</t>
        </is>
      </c>
      <c r="E1786" t="inlineStr">
        <is>
          <t>ÅNGE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23529-2025</t>
        </is>
      </c>
      <c r="B1787" s="1" t="n">
        <v>45792.53158564815</v>
      </c>
      <c r="C1787" s="1" t="n">
        <v>46178</v>
      </c>
      <c r="D1787" t="inlineStr">
        <is>
          <t>VÄSTERNORRLANDS LÄN</t>
        </is>
      </c>
      <c r="E1787" t="inlineStr">
        <is>
          <t>ÅNGE</t>
        </is>
      </c>
      <c r="F1787" t="inlineStr">
        <is>
          <t>SCA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60004-2023</t>
        </is>
      </c>
      <c r="B1788" s="1" t="n">
        <v>45257</v>
      </c>
      <c r="C1788" s="1" t="n">
        <v>46178</v>
      </c>
      <c r="D1788" t="inlineStr">
        <is>
          <t>VÄSTERNORRLANDS LÄN</t>
        </is>
      </c>
      <c r="E1788" t="inlineStr">
        <is>
          <t>ÅNGE</t>
        </is>
      </c>
      <c r="F1788" t="inlineStr">
        <is>
          <t>SCA</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4142-2024</t>
        </is>
      </c>
      <c r="B1789" s="1" t="n">
        <v>45323</v>
      </c>
      <c r="C1789" s="1" t="n">
        <v>46178</v>
      </c>
      <c r="D1789" t="inlineStr">
        <is>
          <t>VÄSTERNORRLANDS LÄN</t>
        </is>
      </c>
      <c r="E1789" t="inlineStr">
        <is>
          <t>ÅNGE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39843-2023</t>
        </is>
      </c>
      <c r="B1790" s="1" t="n">
        <v>45168</v>
      </c>
      <c r="C1790" s="1" t="n">
        <v>46178</v>
      </c>
      <c r="D1790" t="inlineStr">
        <is>
          <t>VÄSTERNORRLANDS LÄN</t>
        </is>
      </c>
      <c r="E1790" t="inlineStr">
        <is>
          <t>ÅNGE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23899-2025</t>
        </is>
      </c>
      <c r="B1791" s="1" t="n">
        <v>45794.34414351852</v>
      </c>
      <c r="C1791" s="1" t="n">
        <v>46178</v>
      </c>
      <c r="D1791" t="inlineStr">
        <is>
          <t>VÄSTERNORRLANDS LÄN</t>
        </is>
      </c>
      <c r="E1791" t="inlineStr">
        <is>
          <t>ÅNGE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54079-2023</t>
        </is>
      </c>
      <c r="B1792" s="1" t="n">
        <v>45231</v>
      </c>
      <c r="C1792" s="1" t="n">
        <v>46178</v>
      </c>
      <c r="D1792" t="inlineStr">
        <is>
          <t>VÄSTERNORRLANDS LÄN</t>
        </is>
      </c>
      <c r="E1792" t="inlineStr">
        <is>
          <t>ÅNGE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24357-2025</t>
        </is>
      </c>
      <c r="B1793" s="1" t="n">
        <v>45797.59467592592</v>
      </c>
      <c r="C1793" s="1" t="n">
        <v>46178</v>
      </c>
      <c r="D1793" t="inlineStr">
        <is>
          <t>VÄSTERNORRLANDS LÄN</t>
        </is>
      </c>
      <c r="E1793" t="inlineStr">
        <is>
          <t>ÅNGE</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24292-2025</t>
        </is>
      </c>
      <c r="B1794" s="1" t="n">
        <v>45797.46657407407</v>
      </c>
      <c r="C1794" s="1" t="n">
        <v>46178</v>
      </c>
      <c r="D1794" t="inlineStr">
        <is>
          <t>VÄSTERNORRLANDS LÄN</t>
        </is>
      </c>
      <c r="E1794" t="inlineStr">
        <is>
          <t>ÅNGE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24008-2025</t>
        </is>
      </c>
      <c r="B1795" s="1" t="n">
        <v>45796.43841435185</v>
      </c>
      <c r="C1795" s="1" t="n">
        <v>46178</v>
      </c>
      <c r="D1795" t="inlineStr">
        <is>
          <t>VÄSTERNORRLANDS LÄN</t>
        </is>
      </c>
      <c r="E1795" t="inlineStr">
        <is>
          <t>ÅNGE</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41575-2024</t>
        </is>
      </c>
      <c r="B1796" s="1" t="n">
        <v>45560.55106481481</v>
      </c>
      <c r="C1796" s="1" t="n">
        <v>46178</v>
      </c>
      <c r="D1796" t="inlineStr">
        <is>
          <t>VÄSTERNORRLANDS LÄN</t>
        </is>
      </c>
      <c r="E1796" t="inlineStr">
        <is>
          <t>ÅNGE</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19007-2025</t>
        </is>
      </c>
      <c r="B1797" s="1" t="n">
        <v>45764.58515046296</v>
      </c>
      <c r="C1797" s="1" t="n">
        <v>46178</v>
      </c>
      <c r="D1797" t="inlineStr">
        <is>
          <t>VÄSTERNORRLANDS LÄN</t>
        </is>
      </c>
      <c r="E1797" t="inlineStr">
        <is>
          <t>ÅNGE</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41741-2023</t>
        </is>
      </c>
      <c r="B1798" s="1" t="n">
        <v>45176.42164351852</v>
      </c>
      <c r="C1798" s="1" t="n">
        <v>46178</v>
      </c>
      <c r="D1798" t="inlineStr">
        <is>
          <t>VÄSTERNORRLANDS LÄN</t>
        </is>
      </c>
      <c r="E1798" t="inlineStr">
        <is>
          <t>ÅNGE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29702-2024</t>
        </is>
      </c>
      <c r="B1799" s="1" t="n">
        <v>45485.31525462963</v>
      </c>
      <c r="C1799" s="1" t="n">
        <v>46178</v>
      </c>
      <c r="D1799" t="inlineStr">
        <is>
          <t>VÄSTERNORRLANDS LÄN</t>
        </is>
      </c>
      <c r="E1799" t="inlineStr">
        <is>
          <t>ÅNGE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23069-2024</t>
        </is>
      </c>
      <c r="B1800" s="1" t="n">
        <v>45450</v>
      </c>
      <c r="C1800" s="1" t="n">
        <v>46178</v>
      </c>
      <c r="D1800" t="inlineStr">
        <is>
          <t>VÄSTERNORRLANDS LÄN</t>
        </is>
      </c>
      <c r="E1800" t="inlineStr">
        <is>
          <t>ÅNGE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24209-2025</t>
        </is>
      </c>
      <c r="B1801" s="1" t="n">
        <v>45797.3446875</v>
      </c>
      <c r="C1801" s="1" t="n">
        <v>46178</v>
      </c>
      <c r="D1801" t="inlineStr">
        <is>
          <t>VÄSTERNORRLANDS LÄN</t>
        </is>
      </c>
      <c r="E1801" t="inlineStr">
        <is>
          <t>ÅNGE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10781-2024</t>
        </is>
      </c>
      <c r="B1802" s="1" t="n">
        <v>45369.59635416666</v>
      </c>
      <c r="C1802" s="1" t="n">
        <v>46178</v>
      </c>
      <c r="D1802" t="inlineStr">
        <is>
          <t>VÄSTERNORRLANDS LÄN</t>
        </is>
      </c>
      <c r="E1802" t="inlineStr">
        <is>
          <t>ÅNGE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23975-2025</t>
        </is>
      </c>
      <c r="B1803" s="1" t="n">
        <v>45796.38614583333</v>
      </c>
      <c r="C1803" s="1" t="n">
        <v>46178</v>
      </c>
      <c r="D1803" t="inlineStr">
        <is>
          <t>VÄSTERNORRLANDS LÄN</t>
        </is>
      </c>
      <c r="E1803" t="inlineStr">
        <is>
          <t>ÅNGE</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23976-2025</t>
        </is>
      </c>
      <c r="B1804" s="1" t="n">
        <v>45796.38625</v>
      </c>
      <c r="C1804" s="1" t="n">
        <v>46178</v>
      </c>
      <c r="D1804" t="inlineStr">
        <is>
          <t>VÄSTERNORRLANDS LÄN</t>
        </is>
      </c>
      <c r="E1804" t="inlineStr">
        <is>
          <t>ÅNGE</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57516-2023</t>
        </is>
      </c>
      <c r="B1805" s="1" t="n">
        <v>45246.44665509259</v>
      </c>
      <c r="C1805" s="1" t="n">
        <v>46178</v>
      </c>
      <c r="D1805" t="inlineStr">
        <is>
          <t>VÄSTERNORRLANDS LÄN</t>
        </is>
      </c>
      <c r="E1805" t="inlineStr">
        <is>
          <t>ÅNGE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26641-2024</t>
        </is>
      </c>
      <c r="B1806" s="1" t="n">
        <v>45469.92836805555</v>
      </c>
      <c r="C1806" s="1" t="n">
        <v>46178</v>
      </c>
      <c r="D1806" t="inlineStr">
        <is>
          <t>VÄSTERNORRLANDS LÄN</t>
        </is>
      </c>
      <c r="E1806" t="inlineStr">
        <is>
          <t>ÅNGE</t>
        </is>
      </c>
      <c r="G1806" t="n">
        <v>4.5</v>
      </c>
      <c r="H1806" t="n">
        <v>0</v>
      </c>
      <c r="I1806" t="n">
        <v>0</v>
      </c>
      <c r="J1806" t="n">
        <v>0</v>
      </c>
      <c r="K1806" t="n">
        <v>0</v>
      </c>
      <c r="L1806" t="n">
        <v>0</v>
      </c>
      <c r="M1806" t="n">
        <v>0</v>
      </c>
      <c r="N1806" t="n">
        <v>0</v>
      </c>
      <c r="O1806" t="n">
        <v>0</v>
      </c>
      <c r="P1806" t="n">
        <v>0</v>
      </c>
      <c r="Q1806" t="n">
        <v>0</v>
      </c>
      <c r="R1806" s="2" t="inlineStr"/>
    </row>
    <row r="1807">
      <c r="A1807" t="inlineStr">
        <is>
          <t>A 37992-2024</t>
        </is>
      </c>
      <c r="B1807" s="1" t="n">
        <v>45544.59524305556</v>
      </c>
      <c r="C1807" s="1" t="n">
        <v>46178</v>
      </c>
      <c r="D1807" t="inlineStr">
        <is>
          <t>VÄSTERNORRLANDS LÄN</t>
        </is>
      </c>
      <c r="E1807" t="inlineStr">
        <is>
          <t>ÅNGE</t>
        </is>
      </c>
      <c r="G1807" t="n">
        <v>3.9</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2026-06-05T10:51:54Z</dcterms:created>
  <dcterms:modified xmlns:dcterms="http://purl.org/dc/terms/" xmlns:xsi="http://www.w3.org/2001/XMLSchema-instance" xsi:type="dcterms:W3CDTF">2026-06-05T10:51:56Z</dcterms:modified>
</cp:coreProperties>
</file>