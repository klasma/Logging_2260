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46065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46065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46065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46065</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46065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26959-2024</t>
        </is>
      </c>
      <c r="B17" s="1" t="n">
        <v>45470</v>
      </c>
      <c r="C17" s="1" t="n">
        <v>46065</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46065</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46065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46065</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46065</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46065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46065</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Leptoporus mollis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46065</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46065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46065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46065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46065</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46065</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46065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46065</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46065</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46065</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6429-2022</t>
        </is>
      </c>
      <c r="B34" s="1" t="n">
        <v>44600</v>
      </c>
      <c r="C34" s="1" t="n">
        <v>46065</v>
      </c>
      <c r="D34" t="inlineStr">
        <is>
          <t>VÄSTERNORRLANDS LÄN</t>
        </is>
      </c>
      <c r="E34" t="inlineStr">
        <is>
          <t>ÅNGE</t>
        </is>
      </c>
      <c r="F34" t="inlineStr">
        <is>
          <t>SCA</t>
        </is>
      </c>
      <c r="G34" t="n">
        <v>32.8</v>
      </c>
      <c r="H34" t="n">
        <v>0</v>
      </c>
      <c r="I34" t="n">
        <v>2</v>
      </c>
      <c r="J34" t="n">
        <v>9</v>
      </c>
      <c r="K34" t="n">
        <v>0</v>
      </c>
      <c r="L34" t="n">
        <v>0</v>
      </c>
      <c r="M34" t="n">
        <v>0</v>
      </c>
      <c r="N34" t="n">
        <v>0</v>
      </c>
      <c r="O34" t="n">
        <v>9</v>
      </c>
      <c r="P34" t="n">
        <v>0</v>
      </c>
      <c r="Q34" t="n">
        <v>11</v>
      </c>
      <c r="R34" s="2" t="inlineStr">
        <is>
          <t>Blanksvart spiklav
Blågrå svartspik
Garnlav
Kortskaftad ärgspik
Lunglav
Mörk kolflarnlav
Rosenticka
Ullticka
Vedflamlav
Barkticka
Korallblylav</t>
        </is>
      </c>
      <c r="S34">
        <f>HYPERLINK("https://klasma.github.io/Logging_2260/artfynd/A 6429-2022 artfynd.xlsx", "A 6429-2022")</f>
        <v/>
      </c>
      <c r="T34">
        <f>HYPERLINK("https://klasma.github.io/Logging_2260/kartor/A 6429-2022 karta.png", "A 6429-2022")</f>
        <v/>
      </c>
      <c r="V34">
        <f>HYPERLINK("https://klasma.github.io/Logging_2260/klagomål/A 6429-2022 FSC-klagomål.docx", "A 6429-2022")</f>
        <v/>
      </c>
      <c r="W34">
        <f>HYPERLINK("https://klasma.github.io/Logging_2260/klagomålsmail/A 6429-2022 FSC-klagomål mail.docx", "A 6429-2022")</f>
        <v/>
      </c>
      <c r="X34">
        <f>HYPERLINK("https://klasma.github.io/Logging_2260/tillsyn/A 6429-2022 tillsynsbegäran.docx", "A 6429-2022")</f>
        <v/>
      </c>
      <c r="Y34">
        <f>HYPERLINK("https://klasma.github.io/Logging_2260/tillsynsmail/A 6429-2022 tillsynsbegäran mail.docx", "A 6429-2022")</f>
        <v/>
      </c>
    </row>
    <row r="35" ht="15" customHeight="1">
      <c r="A35" t="inlineStr">
        <is>
          <t>A 11894-2022</t>
        </is>
      </c>
      <c r="B35" s="1" t="n">
        <v>44635</v>
      </c>
      <c r="C35" s="1" t="n">
        <v>46065</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33783-2025</t>
        </is>
      </c>
      <c r="B36" s="1" t="n">
        <v>45842.40699074074</v>
      </c>
      <c r="C36" s="1" t="n">
        <v>46065</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48738-2024</t>
        </is>
      </c>
      <c r="B37" s="1" t="n">
        <v>45593</v>
      </c>
      <c r="C37" s="1" t="n">
        <v>46065</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46065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25323-2023</t>
        </is>
      </c>
      <c r="B39" s="1" t="n">
        <v>45086</v>
      </c>
      <c r="C39" s="1" t="n">
        <v>46065</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30474-2025</t>
        </is>
      </c>
      <c r="B40" s="1" t="n">
        <v>45828.34430555555</v>
      </c>
      <c r="C40" s="1" t="n">
        <v>46065</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39496-2024</t>
        </is>
      </c>
      <c r="B41" s="1" t="n">
        <v>45551</v>
      </c>
      <c r="C41" s="1" t="n">
        <v>46065</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46065</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46065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46065</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46065</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46065</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46065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46065</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46065</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46065</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46065</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46065</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26473-2025</t>
        </is>
      </c>
      <c r="B53" s="1" t="n">
        <v>45807</v>
      </c>
      <c r="C53" s="1" t="n">
        <v>46065</v>
      </c>
      <c r="D53" t="inlineStr">
        <is>
          <t>VÄSTERNORRLANDS LÄN</t>
        </is>
      </c>
      <c r="E53" t="inlineStr">
        <is>
          <t>ÅNGE</t>
        </is>
      </c>
      <c r="F53" t="inlineStr">
        <is>
          <t>SCA</t>
        </is>
      </c>
      <c r="G53" t="n">
        <v>1.1</v>
      </c>
      <c r="H53" t="n">
        <v>3</v>
      </c>
      <c r="I53" t="n">
        <v>4</v>
      </c>
      <c r="J53" t="n">
        <v>4</v>
      </c>
      <c r="K53" t="n">
        <v>1</v>
      </c>
      <c r="L53" t="n">
        <v>0</v>
      </c>
      <c r="M53" t="n">
        <v>0</v>
      </c>
      <c r="N53" t="n">
        <v>0</v>
      </c>
      <c r="O53" t="n">
        <v>5</v>
      </c>
      <c r="P53" t="n">
        <v>1</v>
      </c>
      <c r="Q53" t="n">
        <v>9</v>
      </c>
      <c r="R53" s="2" t="inlineStr">
        <is>
          <t>Knärot
Garnlav
Lunglav
Rosenticka
Spillkråka
Dropptaggsvamp
Luddlav
Skinnlav
Spindelblomster</t>
        </is>
      </c>
      <c r="S53">
        <f>HYPERLINK("https://klasma.github.io/Logging_2260/artfynd/A 26473-2025 artfynd.xlsx", "A 26473-2025")</f>
        <v/>
      </c>
      <c r="T53">
        <f>HYPERLINK("https://klasma.github.io/Logging_2260/kartor/A 26473-2025 karta.png", "A 26473-2025")</f>
        <v/>
      </c>
      <c r="U53">
        <f>HYPERLINK("https://klasma.github.io/Logging_2260/knärot/A 26473-2025 karta knärot.png", "A 26473-2025")</f>
        <v/>
      </c>
      <c r="V53">
        <f>HYPERLINK("https://klasma.github.io/Logging_2260/klagomål/A 26473-2025 FSC-klagomål.docx", "A 26473-2025")</f>
        <v/>
      </c>
      <c r="W53">
        <f>HYPERLINK("https://klasma.github.io/Logging_2260/klagomålsmail/A 26473-2025 FSC-klagomål mail.docx", "A 26473-2025")</f>
        <v/>
      </c>
      <c r="X53">
        <f>HYPERLINK("https://klasma.github.io/Logging_2260/tillsyn/A 26473-2025 tillsynsbegäran.docx", "A 26473-2025")</f>
        <v/>
      </c>
      <c r="Y53">
        <f>HYPERLINK("https://klasma.github.io/Logging_2260/tillsynsmail/A 26473-2025 tillsynsbegäran mail.docx", "A 26473-2025")</f>
        <v/>
      </c>
      <c r="Z53">
        <f>HYPERLINK("https://klasma.github.io/Logging_2260/fåglar/A 26473-2025 prioriterade fågelarter.docx", "A 26473-2025")</f>
        <v/>
      </c>
    </row>
    <row r="54" ht="15" customHeight="1">
      <c r="A54" t="inlineStr">
        <is>
          <t>A 22737-2023</t>
        </is>
      </c>
      <c r="B54" s="1" t="n">
        <v>45071</v>
      </c>
      <c r="C54" s="1" t="n">
        <v>46065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26957-2024</t>
        </is>
      </c>
      <c r="B55" s="1" t="n">
        <v>45470</v>
      </c>
      <c r="C55" s="1" t="n">
        <v>46065</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57843-2024</t>
        </is>
      </c>
      <c r="B56" s="1" t="n">
        <v>45631</v>
      </c>
      <c r="C56" s="1" t="n">
        <v>46065</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31113-2025</t>
        </is>
      </c>
      <c r="B57" s="1" t="n">
        <v>45832.61501157407</v>
      </c>
      <c r="C57" s="1" t="n">
        <v>46065</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46065</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39065-2023</t>
        </is>
      </c>
      <c r="B59" s="1" t="n">
        <v>45163</v>
      </c>
      <c r="C59" s="1" t="n">
        <v>46065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37450-2025</t>
        </is>
      </c>
      <c r="B60" s="1" t="n">
        <v>45877.55261574074</v>
      </c>
      <c r="C60" s="1" t="n">
        <v>46065</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46065</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46065</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46065</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34694-2023</t>
        </is>
      </c>
      <c r="B67" s="1" t="n">
        <v>45140.96324074074</v>
      </c>
      <c r="C67" s="1" t="n">
        <v>46065</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53456-2023</t>
        </is>
      </c>
      <c r="B68" s="1" t="n">
        <v>45229</v>
      </c>
      <c r="C68" s="1" t="n">
        <v>46065</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10085-2023</t>
        </is>
      </c>
      <c r="B69" s="1" t="n">
        <v>44985.9447337963</v>
      </c>
      <c r="C69" s="1" t="n">
        <v>46065</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46065</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31509-2024</t>
        </is>
      </c>
      <c r="B71" s="1" t="n">
        <v>45505</v>
      </c>
      <c r="C71" s="1" t="n">
        <v>46065</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19010-2025</t>
        </is>
      </c>
      <c r="B72" s="1" t="n">
        <v>45764</v>
      </c>
      <c r="C72" s="1" t="n">
        <v>46065</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55176-2024</t>
        </is>
      </c>
      <c r="B73" s="1" t="n">
        <v>45621</v>
      </c>
      <c r="C73" s="1" t="n">
        <v>46065</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27955-2021</t>
        </is>
      </c>
      <c r="B74" s="1" t="n">
        <v>44354</v>
      </c>
      <c r="C74" s="1" t="n">
        <v>46065</v>
      </c>
      <c r="D74" t="inlineStr">
        <is>
          <t>VÄSTERNORRLANDS LÄN</t>
        </is>
      </c>
      <c r="E74" t="inlineStr">
        <is>
          <t>ÅNGE</t>
        </is>
      </c>
      <c r="G74" t="n">
        <v>12.3</v>
      </c>
      <c r="H74" t="n">
        <v>0</v>
      </c>
      <c r="I74" t="n">
        <v>2</v>
      </c>
      <c r="J74" t="n">
        <v>4</v>
      </c>
      <c r="K74" t="n">
        <v>0</v>
      </c>
      <c r="L74" t="n">
        <v>0</v>
      </c>
      <c r="M74" t="n">
        <v>0</v>
      </c>
      <c r="N74" t="n">
        <v>0</v>
      </c>
      <c r="O74" t="n">
        <v>4</v>
      </c>
      <c r="P74" t="n">
        <v>0</v>
      </c>
      <c r="Q74" t="n">
        <v>6</v>
      </c>
      <c r="R74" s="2" t="inlineStr">
        <is>
          <t>Garnlav
Kolflarnlav
Mörk kolflarnlav
Skrovlig taggsvamp
Dropptaggsvamp
Skarp dropptaggsvamp</t>
        </is>
      </c>
      <c r="S74">
        <f>HYPERLINK("https://klasma.github.io/Logging_2260/artfynd/A 27955-2021 artfynd.xlsx", "A 27955-2021")</f>
        <v/>
      </c>
      <c r="T74">
        <f>HYPERLINK("https://klasma.github.io/Logging_2260/kartor/A 27955-2021 karta.png", "A 27955-2021")</f>
        <v/>
      </c>
      <c r="V74">
        <f>HYPERLINK("https://klasma.github.io/Logging_2260/klagomål/A 27955-2021 FSC-klagomål.docx", "A 27955-2021")</f>
        <v/>
      </c>
      <c r="W74">
        <f>HYPERLINK("https://klasma.github.io/Logging_2260/klagomålsmail/A 27955-2021 FSC-klagomål mail.docx", "A 27955-2021")</f>
        <v/>
      </c>
      <c r="X74">
        <f>HYPERLINK("https://klasma.github.io/Logging_2260/tillsyn/A 27955-2021 tillsynsbegäran.docx", "A 27955-2021")</f>
        <v/>
      </c>
      <c r="Y74">
        <f>HYPERLINK("https://klasma.github.io/Logging_2260/tillsynsmail/A 27955-2021 tillsynsbegäran mail.docx", "A 27955-2021")</f>
        <v/>
      </c>
    </row>
    <row r="75" ht="15" customHeight="1">
      <c r="A75" t="inlineStr">
        <is>
          <t>A 39570-2025</t>
        </is>
      </c>
      <c r="B75" s="1" t="n">
        <v>45890.49009259259</v>
      </c>
      <c r="C75" s="1" t="n">
        <v>46065</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45402-2025</t>
        </is>
      </c>
      <c r="B76" s="1" t="n">
        <v>45922.4278587963</v>
      </c>
      <c r="C76" s="1" t="n">
        <v>46065</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46065</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49528-2025</t>
        </is>
      </c>
      <c r="B78" s="1" t="n">
        <v>45939.40664351852</v>
      </c>
      <c r="C78" s="1" t="n">
        <v>46065</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26363-2023</t>
        </is>
      </c>
      <c r="B79" s="1" t="n">
        <v>45091</v>
      </c>
      <c r="C79" s="1" t="n">
        <v>46065</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31364-2022</t>
        </is>
      </c>
      <c r="B80" s="1" t="n">
        <v>44774</v>
      </c>
      <c r="C80" s="1" t="n">
        <v>46065</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27914-2024</t>
        </is>
      </c>
      <c r="B81" s="1" t="n">
        <v>45475</v>
      </c>
      <c r="C81" s="1" t="n">
        <v>46065</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46065</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2451-2024</t>
        </is>
      </c>
      <c r="B83" s="1" t="n">
        <v>45312.58627314815</v>
      </c>
      <c r="C83" s="1" t="n">
        <v>46065</v>
      </c>
      <c r="D83" t="inlineStr">
        <is>
          <t>VÄSTERNORRLANDS LÄN</t>
        </is>
      </c>
      <c r="E83" t="inlineStr">
        <is>
          <t>ÅNGE</t>
        </is>
      </c>
      <c r="G83" t="n">
        <v>3.5</v>
      </c>
      <c r="H83" t="n">
        <v>0</v>
      </c>
      <c r="I83" t="n">
        <v>1</v>
      </c>
      <c r="J83" t="n">
        <v>4</v>
      </c>
      <c r="K83" t="n">
        <v>0</v>
      </c>
      <c r="L83" t="n">
        <v>0</v>
      </c>
      <c r="M83" t="n">
        <v>0</v>
      </c>
      <c r="N83" t="n">
        <v>0</v>
      </c>
      <c r="O83" t="n">
        <v>4</v>
      </c>
      <c r="P83" t="n">
        <v>0</v>
      </c>
      <c r="Q83" t="n">
        <v>5</v>
      </c>
      <c r="R83" s="2" t="inlineStr">
        <is>
          <t>Garnlav
Mörk kolflarnlav
Rosenticka
Ullticka
Dropptaggsvamp</t>
        </is>
      </c>
      <c r="S83">
        <f>HYPERLINK("https://klasma.github.io/Logging_2260/artfynd/A 2451-2024 artfynd.xlsx", "A 2451-2024")</f>
        <v/>
      </c>
      <c r="T83">
        <f>HYPERLINK("https://klasma.github.io/Logging_2260/kartor/A 2451-2024 karta.png", "A 2451-2024")</f>
        <v/>
      </c>
      <c r="V83">
        <f>HYPERLINK("https://klasma.github.io/Logging_2260/klagomål/A 2451-2024 FSC-klagomål.docx", "A 2451-2024")</f>
        <v/>
      </c>
      <c r="W83">
        <f>HYPERLINK("https://klasma.github.io/Logging_2260/klagomålsmail/A 2451-2024 FSC-klagomål mail.docx", "A 2451-2024")</f>
        <v/>
      </c>
      <c r="X83">
        <f>HYPERLINK("https://klasma.github.io/Logging_2260/tillsyn/A 2451-2024 tillsynsbegäran.docx", "A 2451-2024")</f>
        <v/>
      </c>
      <c r="Y83">
        <f>HYPERLINK("https://klasma.github.io/Logging_2260/tillsynsmail/A 2451-2024 tillsynsbegäran mail.docx", "A 2451-2024")</f>
        <v/>
      </c>
    </row>
    <row r="84" ht="15" customHeight="1">
      <c r="A84" t="inlineStr">
        <is>
          <t>A 52269-2024</t>
        </is>
      </c>
      <c r="B84" s="1" t="n">
        <v>45608.65660879629</v>
      </c>
      <c r="C84" s="1" t="n">
        <v>46065</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32911-2024</t>
        </is>
      </c>
      <c r="B85" s="1" t="n">
        <v>45516</v>
      </c>
      <c r="C85" s="1" t="n">
        <v>46065</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55004-2023</t>
        </is>
      </c>
      <c r="B86" s="1" t="n">
        <v>45236</v>
      </c>
      <c r="C86" s="1" t="n">
        <v>46065</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13696-2023</t>
        </is>
      </c>
      <c r="B87" s="1" t="n">
        <v>45006</v>
      </c>
      <c r="C87" s="1" t="n">
        <v>46065</v>
      </c>
      <c r="D87" t="inlineStr">
        <is>
          <t>VÄSTERNORRLANDS LÄN</t>
        </is>
      </c>
      <c r="E87" t="inlineStr">
        <is>
          <t>ÅNGE</t>
        </is>
      </c>
      <c r="F87" t="inlineStr">
        <is>
          <t>SCA</t>
        </is>
      </c>
      <c r="G87" t="n">
        <v>47.6</v>
      </c>
      <c r="H87" t="n">
        <v>1</v>
      </c>
      <c r="I87" t="n">
        <v>0</v>
      </c>
      <c r="J87" t="n">
        <v>4</v>
      </c>
      <c r="K87" t="n">
        <v>1</v>
      </c>
      <c r="L87" t="n">
        <v>0</v>
      </c>
      <c r="M87" t="n">
        <v>0</v>
      </c>
      <c r="N87" t="n">
        <v>0</v>
      </c>
      <c r="O87" t="n">
        <v>5</v>
      </c>
      <c r="P87" t="n">
        <v>1</v>
      </c>
      <c r="Q87" t="n">
        <v>5</v>
      </c>
      <c r="R87" s="2" t="inlineStr">
        <is>
          <t>Knärot
Dvärgbägarlav
Knottrig blåslav
Mörk kolflarnlav
Nordtagging</t>
        </is>
      </c>
      <c r="S87">
        <f>HYPERLINK("https://klasma.github.io/Logging_2260/artfynd/A 13696-2023 artfynd.xlsx", "A 13696-2023")</f>
        <v/>
      </c>
      <c r="T87">
        <f>HYPERLINK("https://klasma.github.io/Logging_2260/kartor/A 13696-2023 karta.png", "A 13696-2023")</f>
        <v/>
      </c>
      <c r="U87">
        <f>HYPERLINK("https://klasma.github.io/Logging_2260/knärot/A 13696-2023 karta knärot.png", "A 13696-2023")</f>
        <v/>
      </c>
      <c r="V87">
        <f>HYPERLINK("https://klasma.github.io/Logging_2260/klagomål/A 13696-2023 FSC-klagomål.docx", "A 13696-2023")</f>
        <v/>
      </c>
      <c r="W87">
        <f>HYPERLINK("https://klasma.github.io/Logging_2260/klagomålsmail/A 13696-2023 FSC-klagomål mail.docx", "A 13696-2023")</f>
        <v/>
      </c>
      <c r="X87">
        <f>HYPERLINK("https://klasma.github.io/Logging_2260/tillsyn/A 13696-2023 tillsynsbegäran.docx", "A 13696-2023")</f>
        <v/>
      </c>
      <c r="Y87">
        <f>HYPERLINK("https://klasma.github.io/Logging_2260/tillsynsmail/A 13696-2023 tillsynsbegäran mail.docx", "A 13696-2023")</f>
        <v/>
      </c>
    </row>
    <row r="88" ht="15" customHeight="1">
      <c r="A88" t="inlineStr">
        <is>
          <t>A 38327-2025</t>
        </is>
      </c>
      <c r="B88" s="1" t="n">
        <v>45883.49084490741</v>
      </c>
      <c r="C88" s="1" t="n">
        <v>46065</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46065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43520-2025</t>
        </is>
      </c>
      <c r="B90" s="1" t="n">
        <v>45911.57364583333</v>
      </c>
      <c r="C90" s="1" t="n">
        <v>46065</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46065</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46375-2025</t>
        </is>
      </c>
      <c r="B92" s="1" t="n">
        <v>45925.51097222222</v>
      </c>
      <c r="C92" s="1" t="n">
        <v>46065</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46065</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23601-2025</t>
        </is>
      </c>
      <c r="B94" s="1" t="n">
        <v>45792</v>
      </c>
      <c r="C94" s="1" t="n">
        <v>46065</v>
      </c>
      <c r="D94" t="inlineStr">
        <is>
          <t>VÄSTERNORRLANDS LÄN</t>
        </is>
      </c>
      <c r="E94" t="inlineStr">
        <is>
          <t>ÅNGE</t>
        </is>
      </c>
      <c r="G94" t="n">
        <v>13.3</v>
      </c>
      <c r="H94" t="n">
        <v>0</v>
      </c>
      <c r="I94" t="n">
        <v>1</v>
      </c>
      <c r="J94" t="n">
        <v>4</v>
      </c>
      <c r="K94" t="n">
        <v>0</v>
      </c>
      <c r="L94" t="n">
        <v>0</v>
      </c>
      <c r="M94" t="n">
        <v>0</v>
      </c>
      <c r="N94" t="n">
        <v>0</v>
      </c>
      <c r="O94" t="n">
        <v>4</v>
      </c>
      <c r="P94" t="n">
        <v>0</v>
      </c>
      <c r="Q94" t="n">
        <v>5</v>
      </c>
      <c r="R94" s="2" t="inlineStr">
        <is>
          <t>Garnlav
Lunglav
Mörk kolflarnlav
Småflikig brosklav
Korallblylav</t>
        </is>
      </c>
      <c r="S94">
        <f>HYPERLINK("https://klasma.github.io/Logging_2260/artfynd/A 23601-2025 artfynd.xlsx", "A 23601-2025")</f>
        <v/>
      </c>
      <c r="T94">
        <f>HYPERLINK("https://klasma.github.io/Logging_2260/kartor/A 23601-2025 karta.png", "A 23601-2025")</f>
        <v/>
      </c>
      <c r="U94">
        <f>HYPERLINK("https://klasma.github.io/Logging_2260/knärot/A 23601-2025 karta knärot.png", "A 23601-2025")</f>
        <v/>
      </c>
      <c r="V94">
        <f>HYPERLINK("https://klasma.github.io/Logging_2260/klagomål/A 23601-2025 FSC-klagomål.docx", "A 23601-2025")</f>
        <v/>
      </c>
      <c r="W94">
        <f>HYPERLINK("https://klasma.github.io/Logging_2260/klagomålsmail/A 23601-2025 FSC-klagomål mail.docx", "A 23601-2025")</f>
        <v/>
      </c>
      <c r="X94">
        <f>HYPERLINK("https://klasma.github.io/Logging_2260/tillsyn/A 23601-2025 tillsynsbegäran.docx", "A 23601-2025")</f>
        <v/>
      </c>
      <c r="Y94">
        <f>HYPERLINK("https://klasma.github.io/Logging_2260/tillsynsmail/A 23601-2025 tillsynsbegäran mail.docx", "A 23601-2025")</f>
        <v/>
      </c>
    </row>
    <row r="95" ht="15" customHeight="1">
      <c r="A95" t="inlineStr">
        <is>
          <t>A 52601-2025</t>
        </is>
      </c>
      <c r="B95" s="1" t="n">
        <v>45954</v>
      </c>
      <c r="C95" s="1" t="n">
        <v>46065</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59971-2025</t>
        </is>
      </c>
      <c r="B96" s="1" t="n">
        <v>45993.49002314815</v>
      </c>
      <c r="C96" s="1" t="n">
        <v>46065</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26953-2024</t>
        </is>
      </c>
      <c r="B97" s="1" t="n">
        <v>45470</v>
      </c>
      <c r="C97" s="1" t="n">
        <v>46065</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46548-2023</t>
        </is>
      </c>
      <c r="B98" s="1" t="n">
        <v>45197</v>
      </c>
      <c r="C98" s="1" t="n">
        <v>46065</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39176-2024</t>
        </is>
      </c>
      <c r="B99" s="1" t="n">
        <v>45548</v>
      </c>
      <c r="C99" s="1" t="n">
        <v>46065</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38326-2024</t>
        </is>
      </c>
      <c r="B100" s="1" t="n">
        <v>45545.67741898148</v>
      </c>
      <c r="C100" s="1" t="n">
        <v>46065</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44558-2024</t>
        </is>
      </c>
      <c r="B101" s="1" t="n">
        <v>45574.47001157407</v>
      </c>
      <c r="C101" s="1" t="n">
        <v>46065</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11029-2025</t>
        </is>
      </c>
      <c r="B102" s="1" t="n">
        <v>45723</v>
      </c>
      <c r="C102" s="1" t="n">
        <v>46065</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24796-2024</t>
        </is>
      </c>
      <c r="B103" s="1" t="n">
        <v>45460</v>
      </c>
      <c r="C103" s="1" t="n">
        <v>46065</v>
      </c>
      <c r="D103" t="inlineStr">
        <is>
          <t>VÄSTERNORRLANDS LÄN</t>
        </is>
      </c>
      <c r="E103" t="inlineStr">
        <is>
          <t>ÅNGE</t>
        </is>
      </c>
      <c r="F103" t="inlineStr">
        <is>
          <t>SCA</t>
        </is>
      </c>
      <c r="G103" t="n">
        <v>6.7</v>
      </c>
      <c r="H103" t="n">
        <v>2</v>
      </c>
      <c r="I103" t="n">
        <v>2</v>
      </c>
      <c r="J103" t="n">
        <v>1</v>
      </c>
      <c r="K103" t="n">
        <v>0</v>
      </c>
      <c r="L103" t="n">
        <v>0</v>
      </c>
      <c r="M103" t="n">
        <v>0</v>
      </c>
      <c r="N103" t="n">
        <v>0</v>
      </c>
      <c r="O103" t="n">
        <v>1</v>
      </c>
      <c r="P103" t="n">
        <v>0</v>
      </c>
      <c r="Q103" t="n">
        <v>4</v>
      </c>
      <c r="R103" s="2" t="inlineStr">
        <is>
          <t>Doftskinn
Korallrot
Skinnlav
Kungsfågel</t>
        </is>
      </c>
      <c r="S103">
        <f>HYPERLINK("https://klasma.github.io/Logging_2260/artfynd/A 24796-2024 artfynd.xlsx", "A 24796-2024")</f>
        <v/>
      </c>
      <c r="T103">
        <f>HYPERLINK("https://klasma.github.io/Logging_2260/kartor/A 24796-2024 karta.png", "A 24796-2024")</f>
        <v/>
      </c>
      <c r="V103">
        <f>HYPERLINK("https://klasma.github.io/Logging_2260/klagomål/A 24796-2024 FSC-klagomål.docx", "A 24796-2024")</f>
        <v/>
      </c>
      <c r="W103">
        <f>HYPERLINK("https://klasma.github.io/Logging_2260/klagomålsmail/A 24796-2024 FSC-klagomål mail.docx", "A 24796-2024")</f>
        <v/>
      </c>
      <c r="X103">
        <f>HYPERLINK("https://klasma.github.io/Logging_2260/tillsyn/A 24796-2024 tillsynsbegäran.docx", "A 24796-2024")</f>
        <v/>
      </c>
      <c r="Y103">
        <f>HYPERLINK("https://klasma.github.io/Logging_2260/tillsynsmail/A 24796-2024 tillsynsbegäran mail.docx", "A 24796-2024")</f>
        <v/>
      </c>
      <c r="Z103">
        <f>HYPERLINK("https://klasma.github.io/Logging_2260/fåglar/A 24796-2024 prioriterade fågelarter.docx", "A 24796-2024")</f>
        <v/>
      </c>
    </row>
    <row r="104" ht="15" customHeight="1">
      <c r="A104" t="inlineStr">
        <is>
          <t>A 55179-2024</t>
        </is>
      </c>
      <c r="B104" s="1" t="n">
        <v>45621.53204861111</v>
      </c>
      <c r="C104" s="1" t="n">
        <v>46065</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38713-2025</t>
        </is>
      </c>
      <c r="B105" s="1" t="n">
        <v>45886.34479166667</v>
      </c>
      <c r="C105" s="1" t="n">
        <v>46065</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57299-2022</t>
        </is>
      </c>
      <c r="B106" s="1" t="n">
        <v>44895.95090277777</v>
      </c>
      <c r="C106" s="1" t="n">
        <v>46065</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723-2025</t>
        </is>
      </c>
      <c r="B107" s="1" t="n">
        <v>45665.38576388889</v>
      </c>
      <c r="C107" s="1" t="n">
        <v>46065</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54095-2025</t>
        </is>
      </c>
      <c r="B108" s="1" t="n">
        <v>45964.40685185185</v>
      </c>
      <c r="C108" s="1" t="n">
        <v>46065</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61007-2025</t>
        </is>
      </c>
      <c r="B109" s="1" t="n">
        <v>45998</v>
      </c>
      <c r="C109" s="1" t="n">
        <v>46065</v>
      </c>
      <c r="D109" t="inlineStr">
        <is>
          <t>VÄSTERNORRLANDS LÄN</t>
        </is>
      </c>
      <c r="E109" t="inlineStr">
        <is>
          <t>ÅNGE</t>
        </is>
      </c>
      <c r="F109" t="inlineStr">
        <is>
          <t>SCA</t>
        </is>
      </c>
      <c r="G109" t="n">
        <v>5.6</v>
      </c>
      <c r="H109" t="n">
        <v>0</v>
      </c>
      <c r="I109" t="n">
        <v>0</v>
      </c>
      <c r="J109" t="n">
        <v>4</v>
      </c>
      <c r="K109" t="n">
        <v>0</v>
      </c>
      <c r="L109" t="n">
        <v>0</v>
      </c>
      <c r="M109" t="n">
        <v>0</v>
      </c>
      <c r="N109" t="n">
        <v>0</v>
      </c>
      <c r="O109" t="n">
        <v>4</v>
      </c>
      <c r="P109" t="n">
        <v>0</v>
      </c>
      <c r="Q109" t="n">
        <v>4</v>
      </c>
      <c r="R109" s="2" t="inlineStr">
        <is>
          <t>Gammelgransskål
Garnlav
Granticka
Violettgrå tagellav</t>
        </is>
      </c>
      <c r="S109">
        <f>HYPERLINK("https://klasma.github.io/Logging_2260/artfynd/A 61007-2025 artfynd.xlsx", "A 61007-2025")</f>
        <v/>
      </c>
      <c r="T109">
        <f>HYPERLINK("https://klasma.github.io/Logging_2260/kartor/A 61007-2025 karta.png", "A 61007-2025")</f>
        <v/>
      </c>
      <c r="V109">
        <f>HYPERLINK("https://klasma.github.io/Logging_2260/klagomål/A 61007-2025 FSC-klagomål.docx", "A 61007-2025")</f>
        <v/>
      </c>
      <c r="W109">
        <f>HYPERLINK("https://klasma.github.io/Logging_2260/klagomålsmail/A 61007-2025 FSC-klagomål mail.docx", "A 61007-2025")</f>
        <v/>
      </c>
      <c r="X109">
        <f>HYPERLINK("https://klasma.github.io/Logging_2260/tillsyn/A 61007-2025 tillsynsbegäran.docx", "A 61007-2025")</f>
        <v/>
      </c>
      <c r="Y109">
        <f>HYPERLINK("https://klasma.github.io/Logging_2260/tillsynsmail/A 61007-2025 tillsynsbegäran mail.docx", "A 61007-2025")</f>
        <v/>
      </c>
    </row>
    <row r="110" ht="15" customHeight="1">
      <c r="A110" t="inlineStr">
        <is>
          <t>A 61487-2025</t>
        </is>
      </c>
      <c r="B110" s="1" t="n">
        <v>46001.63628472222</v>
      </c>
      <c r="C110" s="1" t="n">
        <v>46065</v>
      </c>
      <c r="D110" t="inlineStr">
        <is>
          <t>VÄSTERNORRLANDS LÄN</t>
        </is>
      </c>
      <c r="E110" t="inlineStr">
        <is>
          <t>ÅNGE</t>
        </is>
      </c>
      <c r="F110" t="inlineStr">
        <is>
          <t>SCA</t>
        </is>
      </c>
      <c r="G110" t="n">
        <v>5.4</v>
      </c>
      <c r="H110" t="n">
        <v>1</v>
      </c>
      <c r="I110" t="n">
        <v>0</v>
      </c>
      <c r="J110" t="n">
        <v>3</v>
      </c>
      <c r="K110" t="n">
        <v>1</v>
      </c>
      <c r="L110" t="n">
        <v>0</v>
      </c>
      <c r="M110" t="n">
        <v>0</v>
      </c>
      <c r="N110" t="n">
        <v>0</v>
      </c>
      <c r="O110" t="n">
        <v>4</v>
      </c>
      <c r="P110" t="n">
        <v>1</v>
      </c>
      <c r="Q110" t="n">
        <v>4</v>
      </c>
      <c r="R110" s="2" t="inlineStr">
        <is>
          <t>Rynkskinn
Garnlav
Tretåig hackspett
Vedtrappmossa</t>
        </is>
      </c>
      <c r="S110">
        <f>HYPERLINK("https://klasma.github.io/Logging_2260/artfynd/A 61487-2025 artfynd.xlsx", "A 61487-2025")</f>
        <v/>
      </c>
      <c r="T110">
        <f>HYPERLINK("https://klasma.github.io/Logging_2260/kartor/A 61487-2025 karta.png", "A 61487-2025")</f>
        <v/>
      </c>
      <c r="V110">
        <f>HYPERLINK("https://klasma.github.io/Logging_2260/klagomål/A 61487-2025 FSC-klagomål.docx", "A 61487-2025")</f>
        <v/>
      </c>
      <c r="W110">
        <f>HYPERLINK("https://klasma.github.io/Logging_2260/klagomålsmail/A 61487-2025 FSC-klagomål mail.docx", "A 61487-2025")</f>
        <v/>
      </c>
      <c r="X110">
        <f>HYPERLINK("https://klasma.github.io/Logging_2260/tillsyn/A 61487-2025 tillsynsbegäran.docx", "A 61487-2025")</f>
        <v/>
      </c>
      <c r="Y110">
        <f>HYPERLINK("https://klasma.github.io/Logging_2260/tillsynsmail/A 61487-2025 tillsynsbegäran mail.docx", "A 61487-2025")</f>
        <v/>
      </c>
      <c r="Z110">
        <f>HYPERLINK("https://klasma.github.io/Logging_2260/fåglar/A 61487-2025 prioriterade fågelarter.docx", "A 61487-2025")</f>
        <v/>
      </c>
    </row>
    <row r="111" ht="15" customHeight="1">
      <c r="A111" t="inlineStr">
        <is>
          <t>A 27956-2021</t>
        </is>
      </c>
      <c r="B111" s="1" t="n">
        <v>44354</v>
      </c>
      <c r="C111" s="1" t="n">
        <v>46065</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46065</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46065</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46065</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28274-2023</t>
        </is>
      </c>
      <c r="B115" s="1" t="n">
        <v>45099</v>
      </c>
      <c r="C115" s="1" t="n">
        <v>46065</v>
      </c>
      <c r="D115" t="inlineStr">
        <is>
          <t>VÄSTERNORRLANDS LÄN</t>
        </is>
      </c>
      <c r="E115" t="inlineStr">
        <is>
          <t>ÅNGE</t>
        </is>
      </c>
      <c r="G115" t="n">
        <v>19.2</v>
      </c>
      <c r="H115" t="n">
        <v>1</v>
      </c>
      <c r="I115" t="n">
        <v>1</v>
      </c>
      <c r="J115" t="n">
        <v>1</v>
      </c>
      <c r="K115" t="n">
        <v>1</v>
      </c>
      <c r="L115" t="n">
        <v>0</v>
      </c>
      <c r="M115" t="n">
        <v>0</v>
      </c>
      <c r="N115" t="n">
        <v>0</v>
      </c>
      <c r="O115" t="n">
        <v>2</v>
      </c>
      <c r="P115" t="n">
        <v>1</v>
      </c>
      <c r="Q115" t="n">
        <v>3</v>
      </c>
      <c r="R115" s="2" t="inlineStr">
        <is>
          <t>Knärot
Lunglav
Grönpyrola</t>
        </is>
      </c>
      <c r="S115">
        <f>HYPERLINK("https://klasma.github.io/Logging_2260/artfynd/A 28274-2023 artfynd.xlsx", "A 28274-2023")</f>
        <v/>
      </c>
      <c r="T115">
        <f>HYPERLINK("https://klasma.github.io/Logging_2260/kartor/A 28274-2023 karta.png", "A 28274-2023")</f>
        <v/>
      </c>
      <c r="U115">
        <f>HYPERLINK("https://klasma.github.io/Logging_2260/knärot/A 28274-2023 karta knärot.png", "A 28274-2023")</f>
        <v/>
      </c>
      <c r="V115">
        <f>HYPERLINK("https://klasma.github.io/Logging_2260/klagomål/A 28274-2023 FSC-klagomål.docx", "A 28274-2023")</f>
        <v/>
      </c>
      <c r="W115">
        <f>HYPERLINK("https://klasma.github.io/Logging_2260/klagomålsmail/A 28274-2023 FSC-klagomål mail.docx", "A 28274-2023")</f>
        <v/>
      </c>
      <c r="X115">
        <f>HYPERLINK("https://klasma.github.io/Logging_2260/tillsyn/A 28274-2023 tillsynsbegäran.docx", "A 28274-2023")</f>
        <v/>
      </c>
      <c r="Y115">
        <f>HYPERLINK("https://klasma.github.io/Logging_2260/tillsynsmail/A 28274-2023 tillsynsbegäran mail.docx", "A 28274-2023")</f>
        <v/>
      </c>
    </row>
    <row r="116" ht="15" customHeight="1">
      <c r="A116" t="inlineStr">
        <is>
          <t>A 39179-2024</t>
        </is>
      </c>
      <c r="B116" s="1" t="n">
        <v>45548.65703703704</v>
      </c>
      <c r="C116" s="1" t="n">
        <v>46065</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46065</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26679-2025</t>
        </is>
      </c>
      <c r="B118" s="1" t="n">
        <v>45810</v>
      </c>
      <c r="C118" s="1" t="n">
        <v>46065</v>
      </c>
      <c r="D118" t="inlineStr">
        <is>
          <t>VÄSTERNORRLANDS LÄN</t>
        </is>
      </c>
      <c r="E118" t="inlineStr">
        <is>
          <t>ÅNGE</t>
        </is>
      </c>
      <c r="F118" t="inlineStr">
        <is>
          <t>SCA</t>
        </is>
      </c>
      <c r="G118" t="n">
        <v>5.9</v>
      </c>
      <c r="H118" t="n">
        <v>0</v>
      </c>
      <c r="I118" t="n">
        <v>1</v>
      </c>
      <c r="J118" t="n">
        <v>2</v>
      </c>
      <c r="K118" t="n">
        <v>0</v>
      </c>
      <c r="L118" t="n">
        <v>0</v>
      </c>
      <c r="M118" t="n">
        <v>0</v>
      </c>
      <c r="N118" t="n">
        <v>0</v>
      </c>
      <c r="O118" t="n">
        <v>2</v>
      </c>
      <c r="P118" t="n">
        <v>0</v>
      </c>
      <c r="Q118" t="n">
        <v>3</v>
      </c>
      <c r="R118" s="2" t="inlineStr">
        <is>
          <t>Garnlav
Lunglav
Rödgul trumpetsvamp</t>
        </is>
      </c>
      <c r="S118">
        <f>HYPERLINK("https://klasma.github.io/Logging_2260/artfynd/A 26679-2025 artfynd.xlsx", "A 26679-2025")</f>
        <v/>
      </c>
      <c r="T118">
        <f>HYPERLINK("https://klasma.github.io/Logging_2260/kartor/A 26679-2025 karta.png", "A 26679-2025")</f>
        <v/>
      </c>
      <c r="V118">
        <f>HYPERLINK("https://klasma.github.io/Logging_2260/klagomål/A 26679-2025 FSC-klagomål.docx", "A 26679-2025")</f>
        <v/>
      </c>
      <c r="W118">
        <f>HYPERLINK("https://klasma.github.io/Logging_2260/klagomålsmail/A 26679-2025 FSC-klagomål mail.docx", "A 26679-2025")</f>
        <v/>
      </c>
      <c r="X118">
        <f>HYPERLINK("https://klasma.github.io/Logging_2260/tillsyn/A 26679-2025 tillsynsbegäran.docx", "A 26679-2025")</f>
        <v/>
      </c>
      <c r="Y118">
        <f>HYPERLINK("https://klasma.github.io/Logging_2260/tillsynsmail/A 26679-2025 tillsynsbegäran mail.docx", "A 26679-2025")</f>
        <v/>
      </c>
    </row>
    <row r="119" ht="15" customHeight="1">
      <c r="A119" t="inlineStr">
        <is>
          <t>A 47617-2024</t>
        </is>
      </c>
      <c r="B119" s="1" t="n">
        <v>45588.32125</v>
      </c>
      <c r="C119" s="1" t="n">
        <v>46065</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24795-2024</t>
        </is>
      </c>
      <c r="B120" s="1" t="n">
        <v>45460.95252314815</v>
      </c>
      <c r="C120" s="1" t="n">
        <v>46065</v>
      </c>
      <c r="D120" t="inlineStr">
        <is>
          <t>VÄSTERNORRLANDS LÄN</t>
        </is>
      </c>
      <c r="E120" t="inlineStr">
        <is>
          <t>ÅNGE</t>
        </is>
      </c>
      <c r="F120" t="inlineStr">
        <is>
          <t>SCA</t>
        </is>
      </c>
      <c r="G120" t="n">
        <v>2.2</v>
      </c>
      <c r="H120" t="n">
        <v>1</v>
      </c>
      <c r="I120" t="n">
        <v>2</v>
      </c>
      <c r="J120" t="n">
        <v>1</v>
      </c>
      <c r="K120" t="n">
        <v>0</v>
      </c>
      <c r="L120" t="n">
        <v>0</v>
      </c>
      <c r="M120" t="n">
        <v>0</v>
      </c>
      <c r="N120" t="n">
        <v>0</v>
      </c>
      <c r="O120" t="n">
        <v>1</v>
      </c>
      <c r="P120" t="n">
        <v>0</v>
      </c>
      <c r="Q120" t="n">
        <v>3</v>
      </c>
      <c r="R120" s="2" t="inlineStr">
        <is>
          <t>Lunglav
Plattlummer
Skinnlav</t>
        </is>
      </c>
      <c r="S120">
        <f>HYPERLINK("https://klasma.github.io/Logging_2260/artfynd/A 24795-2024 artfynd.xlsx", "A 24795-2024")</f>
        <v/>
      </c>
      <c r="T120">
        <f>HYPERLINK("https://klasma.github.io/Logging_2260/kartor/A 24795-2024 karta.png", "A 24795-2024")</f>
        <v/>
      </c>
      <c r="V120">
        <f>HYPERLINK("https://klasma.github.io/Logging_2260/klagomål/A 24795-2024 FSC-klagomål.docx", "A 24795-2024")</f>
        <v/>
      </c>
      <c r="W120">
        <f>HYPERLINK("https://klasma.github.io/Logging_2260/klagomålsmail/A 24795-2024 FSC-klagomål mail.docx", "A 24795-2024")</f>
        <v/>
      </c>
      <c r="X120">
        <f>HYPERLINK("https://klasma.github.io/Logging_2260/tillsyn/A 24795-2024 tillsynsbegäran.docx", "A 24795-2024")</f>
        <v/>
      </c>
      <c r="Y120">
        <f>HYPERLINK("https://klasma.github.io/Logging_2260/tillsynsmail/A 24795-2024 tillsynsbegäran mail.docx", "A 24795-2024")</f>
        <v/>
      </c>
    </row>
    <row r="121" ht="15" customHeight="1">
      <c r="A121" t="inlineStr">
        <is>
          <t>A 16307-2025</t>
        </is>
      </c>
      <c r="B121" s="1" t="n">
        <v>45751.34686342593</v>
      </c>
      <c r="C121" s="1" t="n">
        <v>46065</v>
      </c>
      <c r="D121" t="inlineStr">
        <is>
          <t>VÄSTERNORRLANDS LÄN</t>
        </is>
      </c>
      <c r="E121" t="inlineStr">
        <is>
          <t>ÅNGE</t>
        </is>
      </c>
      <c r="F121" t="inlineStr">
        <is>
          <t>SCA</t>
        </is>
      </c>
      <c r="G121" t="n">
        <v>12.3</v>
      </c>
      <c r="H121" t="n">
        <v>1</v>
      </c>
      <c r="I121" t="n">
        <v>2</v>
      </c>
      <c r="J121" t="n">
        <v>0</v>
      </c>
      <c r="K121" t="n">
        <v>0</v>
      </c>
      <c r="L121" t="n">
        <v>0</v>
      </c>
      <c r="M121" t="n">
        <v>0</v>
      </c>
      <c r="N121" t="n">
        <v>0</v>
      </c>
      <c r="O121" t="n">
        <v>0</v>
      </c>
      <c r="P121" t="n">
        <v>0</v>
      </c>
      <c r="Q121" t="n">
        <v>3</v>
      </c>
      <c r="R121" s="2" t="inlineStr">
        <is>
          <t>Stor aspticka
Vårärt
Blåsippa</t>
        </is>
      </c>
      <c r="S121">
        <f>HYPERLINK("https://klasma.github.io/Logging_2260/artfynd/A 16307-2025 artfynd.xlsx", "A 16307-2025")</f>
        <v/>
      </c>
      <c r="T121">
        <f>HYPERLINK("https://klasma.github.io/Logging_2260/kartor/A 16307-2025 karta.png", "A 16307-2025")</f>
        <v/>
      </c>
      <c r="V121">
        <f>HYPERLINK("https://klasma.github.io/Logging_2260/klagomål/A 16307-2025 FSC-klagomål.docx", "A 16307-2025")</f>
        <v/>
      </c>
      <c r="W121">
        <f>HYPERLINK("https://klasma.github.io/Logging_2260/klagomålsmail/A 16307-2025 FSC-klagomål mail.docx", "A 16307-2025")</f>
        <v/>
      </c>
      <c r="X121">
        <f>HYPERLINK("https://klasma.github.io/Logging_2260/tillsyn/A 16307-2025 tillsynsbegäran.docx", "A 16307-2025")</f>
        <v/>
      </c>
      <c r="Y121">
        <f>HYPERLINK("https://klasma.github.io/Logging_2260/tillsynsmail/A 16307-2025 tillsynsbegäran mail.docx", "A 16307-2025")</f>
        <v/>
      </c>
    </row>
    <row r="122" ht="15" customHeight="1">
      <c r="A122" t="inlineStr">
        <is>
          <t>A 31212-2025</t>
        </is>
      </c>
      <c r="B122" s="1" t="n">
        <v>45832.71978009259</v>
      </c>
      <c r="C122" s="1" t="n">
        <v>46065</v>
      </c>
      <c r="D122" t="inlineStr">
        <is>
          <t>VÄSTERNORRLANDS LÄN</t>
        </is>
      </c>
      <c r="E122" t="inlineStr">
        <is>
          <t>ÅNGE</t>
        </is>
      </c>
      <c r="F122" t="inlineStr">
        <is>
          <t>SCA</t>
        </is>
      </c>
      <c r="G122" t="n">
        <v>1.6</v>
      </c>
      <c r="H122" t="n">
        <v>0</v>
      </c>
      <c r="I122" t="n">
        <v>2</v>
      </c>
      <c r="J122" t="n">
        <v>1</v>
      </c>
      <c r="K122" t="n">
        <v>0</v>
      </c>
      <c r="L122" t="n">
        <v>0</v>
      </c>
      <c r="M122" t="n">
        <v>0</v>
      </c>
      <c r="N122" t="n">
        <v>0</v>
      </c>
      <c r="O122" t="n">
        <v>1</v>
      </c>
      <c r="P122" t="n">
        <v>0</v>
      </c>
      <c r="Q122" t="n">
        <v>3</v>
      </c>
      <c r="R122" s="2" t="inlineStr">
        <is>
          <t>Ullticka
Barkticka
Korallblylav</t>
        </is>
      </c>
      <c r="S122">
        <f>HYPERLINK("https://klasma.github.io/Logging_2260/artfynd/A 31212-2025 artfynd.xlsx", "A 31212-2025")</f>
        <v/>
      </c>
      <c r="T122">
        <f>HYPERLINK("https://klasma.github.io/Logging_2260/kartor/A 31212-2025 karta.png", "A 31212-2025")</f>
        <v/>
      </c>
      <c r="V122">
        <f>HYPERLINK("https://klasma.github.io/Logging_2260/klagomål/A 31212-2025 FSC-klagomål.docx", "A 31212-2025")</f>
        <v/>
      </c>
      <c r="W122">
        <f>HYPERLINK("https://klasma.github.io/Logging_2260/klagomålsmail/A 31212-2025 FSC-klagomål mail.docx", "A 31212-2025")</f>
        <v/>
      </c>
      <c r="X122">
        <f>HYPERLINK("https://klasma.github.io/Logging_2260/tillsyn/A 31212-2025 tillsynsbegäran.docx", "A 31212-2025")</f>
        <v/>
      </c>
      <c r="Y122">
        <f>HYPERLINK("https://klasma.github.io/Logging_2260/tillsynsmail/A 31212-2025 tillsynsbegäran mail.docx", "A 31212-2025")</f>
        <v/>
      </c>
    </row>
    <row r="123" ht="15" customHeight="1">
      <c r="A123" t="inlineStr">
        <is>
          <t>A 33806-2025</t>
        </is>
      </c>
      <c r="B123" s="1" t="n">
        <v>45842.44865740741</v>
      </c>
      <c r="C123" s="1" t="n">
        <v>46065</v>
      </c>
      <c r="D123" t="inlineStr">
        <is>
          <t>VÄSTERNORRLANDS LÄN</t>
        </is>
      </c>
      <c r="E123" t="inlineStr">
        <is>
          <t>ÅNGE</t>
        </is>
      </c>
      <c r="F123" t="inlineStr">
        <is>
          <t>SCA</t>
        </is>
      </c>
      <c r="G123" t="n">
        <v>24.6</v>
      </c>
      <c r="H123" t="n">
        <v>3</v>
      </c>
      <c r="I123" t="n">
        <v>1</v>
      </c>
      <c r="J123" t="n">
        <v>0</v>
      </c>
      <c r="K123" t="n">
        <v>1</v>
      </c>
      <c r="L123" t="n">
        <v>0</v>
      </c>
      <c r="M123" t="n">
        <v>0</v>
      </c>
      <c r="N123" t="n">
        <v>0</v>
      </c>
      <c r="O123" t="n">
        <v>1</v>
      </c>
      <c r="P123" t="n">
        <v>1</v>
      </c>
      <c r="Q123" t="n">
        <v>3</v>
      </c>
      <c r="R123" s="2" t="inlineStr">
        <is>
          <t>Knärot
Grönkulla
Nattviol</t>
        </is>
      </c>
      <c r="S123">
        <f>HYPERLINK("https://klasma.github.io/Logging_2260/artfynd/A 33806-2025 artfynd.xlsx", "A 33806-2025")</f>
        <v/>
      </c>
      <c r="T123">
        <f>HYPERLINK("https://klasma.github.io/Logging_2260/kartor/A 33806-2025 karta.png", "A 33806-2025")</f>
        <v/>
      </c>
      <c r="U123">
        <f>HYPERLINK("https://klasma.github.io/Logging_2260/knärot/A 33806-2025 karta knärot.png", "A 33806-2025")</f>
        <v/>
      </c>
      <c r="V123">
        <f>HYPERLINK("https://klasma.github.io/Logging_2260/klagomål/A 33806-2025 FSC-klagomål.docx", "A 33806-2025")</f>
        <v/>
      </c>
      <c r="W123">
        <f>HYPERLINK("https://klasma.github.io/Logging_2260/klagomålsmail/A 33806-2025 FSC-klagomål mail.docx", "A 33806-2025")</f>
        <v/>
      </c>
      <c r="X123">
        <f>HYPERLINK("https://klasma.github.io/Logging_2260/tillsyn/A 33806-2025 tillsynsbegäran.docx", "A 33806-2025")</f>
        <v/>
      </c>
      <c r="Y123">
        <f>HYPERLINK("https://klasma.github.io/Logging_2260/tillsynsmail/A 33806-2025 tillsynsbegäran mail.docx", "A 33806-2025")</f>
        <v/>
      </c>
    </row>
    <row r="124" ht="15" customHeight="1">
      <c r="A124" t="inlineStr">
        <is>
          <t>A 37184-2025</t>
        </is>
      </c>
      <c r="B124" s="1" t="n">
        <v>45875.63591435185</v>
      </c>
      <c r="C124" s="1" t="n">
        <v>46065</v>
      </c>
      <c r="D124" t="inlineStr">
        <is>
          <t>VÄSTERNORRLANDS LÄN</t>
        </is>
      </c>
      <c r="E124" t="inlineStr">
        <is>
          <t>ÅNGE</t>
        </is>
      </c>
      <c r="F124" t="inlineStr">
        <is>
          <t>SCA</t>
        </is>
      </c>
      <c r="G124" t="n">
        <v>2.5</v>
      </c>
      <c r="H124" t="n">
        <v>0</v>
      </c>
      <c r="I124" t="n">
        <v>0</v>
      </c>
      <c r="J124" t="n">
        <v>3</v>
      </c>
      <c r="K124" t="n">
        <v>0</v>
      </c>
      <c r="L124" t="n">
        <v>0</v>
      </c>
      <c r="M124" t="n">
        <v>0</v>
      </c>
      <c r="N124" t="n">
        <v>0</v>
      </c>
      <c r="O124" t="n">
        <v>3</v>
      </c>
      <c r="P124" t="n">
        <v>0</v>
      </c>
      <c r="Q124" t="n">
        <v>3</v>
      </c>
      <c r="R124" s="2" t="inlineStr">
        <is>
          <t>Granticka
Lunglav
Rosenticka</t>
        </is>
      </c>
      <c r="S124">
        <f>HYPERLINK("https://klasma.github.io/Logging_2260/artfynd/A 37184-2025 artfynd.xlsx", "A 37184-2025")</f>
        <v/>
      </c>
      <c r="T124">
        <f>HYPERLINK("https://klasma.github.io/Logging_2260/kartor/A 37184-2025 karta.png", "A 37184-2025")</f>
        <v/>
      </c>
      <c r="V124">
        <f>HYPERLINK("https://klasma.github.io/Logging_2260/klagomål/A 37184-2025 FSC-klagomål.docx", "A 37184-2025")</f>
        <v/>
      </c>
      <c r="W124">
        <f>HYPERLINK("https://klasma.github.io/Logging_2260/klagomålsmail/A 37184-2025 FSC-klagomål mail.docx", "A 37184-2025")</f>
        <v/>
      </c>
      <c r="X124">
        <f>HYPERLINK("https://klasma.github.io/Logging_2260/tillsyn/A 37184-2025 tillsynsbegäran.docx", "A 37184-2025")</f>
        <v/>
      </c>
      <c r="Y124">
        <f>HYPERLINK("https://klasma.github.io/Logging_2260/tillsynsmail/A 37184-2025 tillsynsbegäran mail.docx", "A 37184-2025")</f>
        <v/>
      </c>
    </row>
    <row r="125" ht="15" customHeight="1">
      <c r="A125" t="inlineStr">
        <is>
          <t>A 38664-2025</t>
        </is>
      </c>
      <c r="B125" s="1" t="n">
        <v>45884.61503472222</v>
      </c>
      <c r="C125" s="1" t="n">
        <v>46065</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38238-2025</t>
        </is>
      </c>
      <c r="B126" s="1" t="n">
        <v>45883.36497685185</v>
      </c>
      <c r="C126" s="1" t="n">
        <v>46065</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39181-2024</t>
        </is>
      </c>
      <c r="B127" s="1" t="n">
        <v>45548</v>
      </c>
      <c r="C127" s="1" t="n">
        <v>46065</v>
      </c>
      <c r="D127" t="inlineStr">
        <is>
          <t>VÄSTERNORRLANDS LÄN</t>
        </is>
      </c>
      <c r="E127" t="inlineStr">
        <is>
          <t>ÅNGE</t>
        </is>
      </c>
      <c r="F127" t="inlineStr">
        <is>
          <t>SCA</t>
        </is>
      </c>
      <c r="G127" t="n">
        <v>21.1</v>
      </c>
      <c r="H127" t="n">
        <v>1</v>
      </c>
      <c r="I127" t="n">
        <v>1</v>
      </c>
      <c r="J127" t="n">
        <v>1</v>
      </c>
      <c r="K127" t="n">
        <v>1</v>
      </c>
      <c r="L127" t="n">
        <v>0</v>
      </c>
      <c r="M127" t="n">
        <v>0</v>
      </c>
      <c r="N127" t="n">
        <v>0</v>
      </c>
      <c r="O127" t="n">
        <v>2</v>
      </c>
      <c r="P127" t="n">
        <v>1</v>
      </c>
      <c r="Q127" t="n">
        <v>3</v>
      </c>
      <c r="R127" s="2" t="inlineStr">
        <is>
          <t>Knärot
Granticka
Kransrams</t>
        </is>
      </c>
      <c r="S127">
        <f>HYPERLINK("https://klasma.github.io/Logging_2260/artfynd/A 39181-2024 artfynd.xlsx", "A 39181-2024")</f>
        <v/>
      </c>
      <c r="T127">
        <f>HYPERLINK("https://klasma.github.io/Logging_2260/kartor/A 39181-2024 karta.png", "A 39181-2024")</f>
        <v/>
      </c>
      <c r="U127">
        <f>HYPERLINK("https://klasma.github.io/Logging_2260/knärot/A 39181-2024 karta knärot.png", "A 39181-2024")</f>
        <v/>
      </c>
      <c r="V127">
        <f>HYPERLINK("https://klasma.github.io/Logging_2260/klagomål/A 39181-2024 FSC-klagomål.docx", "A 39181-2024")</f>
        <v/>
      </c>
      <c r="W127">
        <f>HYPERLINK("https://klasma.github.io/Logging_2260/klagomålsmail/A 39181-2024 FSC-klagomål mail.docx", "A 39181-2024")</f>
        <v/>
      </c>
      <c r="X127">
        <f>HYPERLINK("https://klasma.github.io/Logging_2260/tillsyn/A 39181-2024 tillsynsbegäran.docx", "A 39181-2024")</f>
        <v/>
      </c>
      <c r="Y127">
        <f>HYPERLINK("https://klasma.github.io/Logging_2260/tillsynsmail/A 39181-2024 tillsynsbegäran mail.docx", "A 39181-2024")</f>
        <v/>
      </c>
    </row>
    <row r="128" ht="15" customHeight="1">
      <c r="A128" t="inlineStr">
        <is>
          <t>A 39029-2025</t>
        </is>
      </c>
      <c r="B128" s="1" t="n">
        <v>45888.40684027778</v>
      </c>
      <c r="C128" s="1" t="n">
        <v>46065</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7533-2023</t>
        </is>
      </c>
      <c r="B129" s="1" t="n">
        <v>44971</v>
      </c>
      <c r="C129" s="1" t="n">
        <v>46065</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41868-2025</t>
        </is>
      </c>
      <c r="B130" s="1" t="n">
        <v>45903.34429398148</v>
      </c>
      <c r="C130" s="1" t="n">
        <v>46065</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43319-2025</t>
        </is>
      </c>
      <c r="B131" s="1" t="n">
        <v>45910.65681712963</v>
      </c>
      <c r="C131" s="1" t="n">
        <v>46065</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43880-2025</t>
        </is>
      </c>
      <c r="B132" s="1" t="n">
        <v>45912</v>
      </c>
      <c r="C132" s="1" t="n">
        <v>46065</v>
      </c>
      <c r="D132" t="inlineStr">
        <is>
          <t>VÄSTERNORRLANDS LÄN</t>
        </is>
      </c>
      <c r="E132" t="inlineStr">
        <is>
          <t>ÅNGE</t>
        </is>
      </c>
      <c r="F132" t="inlineStr">
        <is>
          <t>SCA</t>
        </is>
      </c>
      <c r="G132" t="n">
        <v>3.5</v>
      </c>
      <c r="H132" t="n">
        <v>1</v>
      </c>
      <c r="I132" t="n">
        <v>0</v>
      </c>
      <c r="J132" t="n">
        <v>3</v>
      </c>
      <c r="K132" t="n">
        <v>0</v>
      </c>
      <c r="L132" t="n">
        <v>0</v>
      </c>
      <c r="M132" t="n">
        <v>0</v>
      </c>
      <c r="N132" t="n">
        <v>0</v>
      </c>
      <c r="O132" t="n">
        <v>3</v>
      </c>
      <c r="P132" t="n">
        <v>0</v>
      </c>
      <c r="Q132" t="n">
        <v>3</v>
      </c>
      <c r="R132" s="2" t="inlineStr">
        <is>
          <t>Granticka
Tretåig hackspett
Vitgrynig nållav</t>
        </is>
      </c>
      <c r="S132">
        <f>HYPERLINK("https://klasma.github.io/Logging_2260/artfynd/A 43880-2025 artfynd.xlsx", "A 43880-2025")</f>
        <v/>
      </c>
      <c r="T132">
        <f>HYPERLINK("https://klasma.github.io/Logging_2260/kartor/A 43880-2025 karta.png", "A 43880-2025")</f>
        <v/>
      </c>
      <c r="V132">
        <f>HYPERLINK("https://klasma.github.io/Logging_2260/klagomål/A 43880-2025 FSC-klagomål.docx", "A 43880-2025")</f>
        <v/>
      </c>
      <c r="W132">
        <f>HYPERLINK("https://klasma.github.io/Logging_2260/klagomålsmail/A 43880-2025 FSC-klagomål mail.docx", "A 43880-2025")</f>
        <v/>
      </c>
      <c r="X132">
        <f>HYPERLINK("https://klasma.github.io/Logging_2260/tillsyn/A 43880-2025 tillsynsbegäran.docx", "A 43880-2025")</f>
        <v/>
      </c>
      <c r="Y132">
        <f>HYPERLINK("https://klasma.github.io/Logging_2260/tillsynsmail/A 43880-2025 tillsynsbegäran mail.docx", "A 43880-2025")</f>
        <v/>
      </c>
      <c r="Z132">
        <f>HYPERLINK("https://klasma.github.io/Logging_2260/fåglar/A 43880-2025 prioriterade fågelarter.docx", "A 43880-2025")</f>
        <v/>
      </c>
    </row>
    <row r="133" ht="15" customHeight="1">
      <c r="A133" t="inlineStr">
        <is>
          <t>A 46417-2025</t>
        </is>
      </c>
      <c r="B133" s="1" t="n">
        <v>45925.59454861111</v>
      </c>
      <c r="C133" s="1" t="n">
        <v>46065</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21267-2025</t>
        </is>
      </c>
      <c r="B134" s="1" t="n">
        <v>45779</v>
      </c>
      <c r="C134" s="1" t="n">
        <v>46065</v>
      </c>
      <c r="D134" t="inlineStr">
        <is>
          <t>VÄSTERNORRLANDS LÄN</t>
        </is>
      </c>
      <c r="E134" t="inlineStr">
        <is>
          <t>ÅNGE</t>
        </is>
      </c>
      <c r="F134" t="inlineStr">
        <is>
          <t>Sveaskog</t>
        </is>
      </c>
      <c r="G134" t="n">
        <v>3.7</v>
      </c>
      <c r="H134" t="n">
        <v>2</v>
      </c>
      <c r="I134" t="n">
        <v>2</v>
      </c>
      <c r="J134" t="n">
        <v>1</v>
      </c>
      <c r="K134" t="n">
        <v>0</v>
      </c>
      <c r="L134" t="n">
        <v>0</v>
      </c>
      <c r="M134" t="n">
        <v>0</v>
      </c>
      <c r="N134" t="n">
        <v>0</v>
      </c>
      <c r="O134" t="n">
        <v>1</v>
      </c>
      <c r="P134" t="n">
        <v>0</v>
      </c>
      <c r="Q134" t="n">
        <v>3</v>
      </c>
      <c r="R134" s="2" t="inlineStr">
        <is>
          <t>Lunglav
Korallrot
Spindelblomster</t>
        </is>
      </c>
      <c r="S134">
        <f>HYPERLINK("https://klasma.github.io/Logging_2260/artfynd/A 21267-2025 artfynd.xlsx", "A 21267-2025")</f>
        <v/>
      </c>
      <c r="T134">
        <f>HYPERLINK("https://klasma.github.io/Logging_2260/kartor/A 21267-2025 karta.png", "A 21267-2025")</f>
        <v/>
      </c>
      <c r="V134">
        <f>HYPERLINK("https://klasma.github.io/Logging_2260/klagomål/A 21267-2025 FSC-klagomål.docx", "A 21267-2025")</f>
        <v/>
      </c>
      <c r="W134">
        <f>HYPERLINK("https://klasma.github.io/Logging_2260/klagomålsmail/A 21267-2025 FSC-klagomål mail.docx", "A 21267-2025")</f>
        <v/>
      </c>
      <c r="X134">
        <f>HYPERLINK("https://klasma.github.io/Logging_2260/tillsyn/A 21267-2025 tillsynsbegäran.docx", "A 21267-2025")</f>
        <v/>
      </c>
      <c r="Y134">
        <f>HYPERLINK("https://klasma.github.io/Logging_2260/tillsynsmail/A 21267-2025 tillsynsbegäran mail.docx", "A 21267-2025")</f>
        <v/>
      </c>
    </row>
    <row r="135" ht="15" customHeight="1">
      <c r="A135" t="inlineStr">
        <is>
          <t>A 49530-2025</t>
        </is>
      </c>
      <c r="B135" s="1" t="n">
        <v>45939.40700231482</v>
      </c>
      <c r="C135" s="1" t="n">
        <v>46065</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50259-2025</t>
        </is>
      </c>
      <c r="B136" s="1" t="n">
        <v>45944.34498842592</v>
      </c>
      <c r="C136" s="1" t="n">
        <v>46065</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23754-2025</t>
        </is>
      </c>
      <c r="B137" s="1" t="n">
        <v>45793.45782407407</v>
      </c>
      <c r="C137" s="1" t="n">
        <v>46065</v>
      </c>
      <c r="D137" t="inlineStr">
        <is>
          <t>VÄSTERNORRLANDS LÄN</t>
        </is>
      </c>
      <c r="E137" t="inlineStr">
        <is>
          <t>ÅNGE</t>
        </is>
      </c>
      <c r="F137" t="inlineStr">
        <is>
          <t>Sveaskog</t>
        </is>
      </c>
      <c r="G137" t="n">
        <v>4.3</v>
      </c>
      <c r="H137" t="n">
        <v>3</v>
      </c>
      <c r="I137" t="n">
        <v>0</v>
      </c>
      <c r="J137" t="n">
        <v>1</v>
      </c>
      <c r="K137" t="n">
        <v>0</v>
      </c>
      <c r="L137" t="n">
        <v>0</v>
      </c>
      <c r="M137" t="n">
        <v>0</v>
      </c>
      <c r="N137" t="n">
        <v>0</v>
      </c>
      <c r="O137" t="n">
        <v>1</v>
      </c>
      <c r="P137" t="n">
        <v>0</v>
      </c>
      <c r="Q137" t="n">
        <v>3</v>
      </c>
      <c r="R137" s="2" t="inlineStr">
        <is>
          <t>Spillkråka
Tjäder
Blåsippa</t>
        </is>
      </c>
      <c r="S137">
        <f>HYPERLINK("https://klasma.github.io/Logging_2260/artfynd/A 23754-2025 artfynd.xlsx", "A 23754-2025")</f>
        <v/>
      </c>
      <c r="T137">
        <f>HYPERLINK("https://klasma.github.io/Logging_2260/kartor/A 23754-2025 karta.png", "A 23754-2025")</f>
        <v/>
      </c>
      <c r="U137">
        <f>HYPERLINK("https://klasma.github.io/Logging_2260/knärot/A 23754-2025 karta knärot.png", "A 23754-2025")</f>
        <v/>
      </c>
      <c r="V137">
        <f>HYPERLINK("https://klasma.github.io/Logging_2260/klagomål/A 23754-2025 FSC-klagomål.docx", "A 23754-2025")</f>
        <v/>
      </c>
      <c r="W137">
        <f>HYPERLINK("https://klasma.github.io/Logging_2260/klagomålsmail/A 23754-2025 FSC-klagomål mail.docx", "A 23754-2025")</f>
        <v/>
      </c>
      <c r="X137">
        <f>HYPERLINK("https://klasma.github.io/Logging_2260/tillsyn/A 23754-2025 tillsynsbegäran.docx", "A 23754-2025")</f>
        <v/>
      </c>
      <c r="Y137">
        <f>HYPERLINK("https://klasma.github.io/Logging_2260/tillsynsmail/A 23754-2025 tillsynsbegäran mail.docx", "A 23754-2025")</f>
        <v/>
      </c>
      <c r="Z137">
        <f>HYPERLINK("https://klasma.github.io/Logging_2260/fåglar/A 23754-2025 prioriterade fågelarter.docx", "A 23754-2025")</f>
        <v/>
      </c>
    </row>
    <row r="138" ht="15" customHeight="1">
      <c r="A138" t="inlineStr">
        <is>
          <t>A 23759-2025</t>
        </is>
      </c>
      <c r="B138" s="1" t="n">
        <v>45793.46409722222</v>
      </c>
      <c r="C138" s="1" t="n">
        <v>46065</v>
      </c>
      <c r="D138" t="inlineStr">
        <is>
          <t>VÄSTERNORRLANDS LÄN</t>
        </is>
      </c>
      <c r="E138" t="inlineStr">
        <is>
          <t>ÅNGE</t>
        </is>
      </c>
      <c r="F138" t="inlineStr">
        <is>
          <t>Sveaskog</t>
        </is>
      </c>
      <c r="G138" t="n">
        <v>5.2</v>
      </c>
      <c r="H138" t="n">
        <v>0</v>
      </c>
      <c r="I138" t="n">
        <v>1</v>
      </c>
      <c r="J138" t="n">
        <v>2</v>
      </c>
      <c r="K138" t="n">
        <v>0</v>
      </c>
      <c r="L138" t="n">
        <v>0</v>
      </c>
      <c r="M138" t="n">
        <v>0</v>
      </c>
      <c r="N138" t="n">
        <v>0</v>
      </c>
      <c r="O138" t="n">
        <v>2</v>
      </c>
      <c r="P138" t="n">
        <v>0</v>
      </c>
      <c r="Q138" t="n">
        <v>3</v>
      </c>
      <c r="R138" s="2" t="inlineStr">
        <is>
          <t>Lunglav
Skrovellav
Korallblylav</t>
        </is>
      </c>
      <c r="S138">
        <f>HYPERLINK("https://klasma.github.io/Logging_2260/artfynd/A 23759-2025 artfynd.xlsx", "A 23759-2025")</f>
        <v/>
      </c>
      <c r="T138">
        <f>HYPERLINK("https://klasma.github.io/Logging_2260/kartor/A 23759-2025 karta.png", "A 23759-2025")</f>
        <v/>
      </c>
      <c r="V138">
        <f>HYPERLINK("https://klasma.github.io/Logging_2260/klagomål/A 23759-2025 FSC-klagomål.docx", "A 23759-2025")</f>
        <v/>
      </c>
      <c r="W138">
        <f>HYPERLINK("https://klasma.github.io/Logging_2260/klagomålsmail/A 23759-2025 FSC-klagomål mail.docx", "A 23759-2025")</f>
        <v/>
      </c>
      <c r="X138">
        <f>HYPERLINK("https://klasma.github.io/Logging_2260/tillsyn/A 23759-2025 tillsynsbegäran.docx", "A 23759-2025")</f>
        <v/>
      </c>
      <c r="Y138">
        <f>HYPERLINK("https://klasma.github.io/Logging_2260/tillsynsmail/A 23759-2025 tillsynsbegäran mail.docx", "A 23759-2025")</f>
        <v/>
      </c>
    </row>
    <row r="139" ht="15" customHeight="1">
      <c r="A139" t="inlineStr">
        <is>
          <t>A 53710-2025</t>
        </is>
      </c>
      <c r="B139" s="1" t="n">
        <v>45960.6153125</v>
      </c>
      <c r="C139" s="1" t="n">
        <v>46065</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22996-2023</t>
        </is>
      </c>
      <c r="B140" s="1" t="n">
        <v>45072</v>
      </c>
      <c r="C140" s="1" t="n">
        <v>46065</v>
      </c>
      <c r="D140" t="inlineStr">
        <is>
          <t>VÄSTERNORRLANDS LÄN</t>
        </is>
      </c>
      <c r="E140" t="inlineStr">
        <is>
          <t>ÅNGE</t>
        </is>
      </c>
      <c r="F140" t="inlineStr">
        <is>
          <t>SCA</t>
        </is>
      </c>
      <c r="G140" t="n">
        <v>2.2</v>
      </c>
      <c r="H140" t="n">
        <v>1</v>
      </c>
      <c r="I140" t="n">
        <v>0</v>
      </c>
      <c r="J140" t="n">
        <v>2</v>
      </c>
      <c r="K140" t="n">
        <v>1</v>
      </c>
      <c r="L140" t="n">
        <v>0</v>
      </c>
      <c r="M140" t="n">
        <v>0</v>
      </c>
      <c r="N140" t="n">
        <v>0</v>
      </c>
      <c r="O140" t="n">
        <v>3</v>
      </c>
      <c r="P140" t="n">
        <v>1</v>
      </c>
      <c r="Q140" t="n">
        <v>3</v>
      </c>
      <c r="R140" s="2" t="inlineStr">
        <is>
          <t>Knärot
Garnlav
Vedtrappmossa</t>
        </is>
      </c>
      <c r="S140">
        <f>HYPERLINK("https://klasma.github.io/Logging_2260/artfynd/A 22996-2023 artfynd.xlsx", "A 22996-2023")</f>
        <v/>
      </c>
      <c r="T140">
        <f>HYPERLINK("https://klasma.github.io/Logging_2260/kartor/A 22996-2023 karta.png", "A 22996-2023")</f>
        <v/>
      </c>
      <c r="U140">
        <f>HYPERLINK("https://klasma.github.io/Logging_2260/knärot/A 22996-2023 karta knärot.png", "A 22996-2023")</f>
        <v/>
      </c>
      <c r="V140">
        <f>HYPERLINK("https://klasma.github.io/Logging_2260/klagomål/A 22996-2023 FSC-klagomål.docx", "A 22996-2023")</f>
        <v/>
      </c>
      <c r="W140">
        <f>HYPERLINK("https://klasma.github.io/Logging_2260/klagomålsmail/A 22996-2023 FSC-klagomål mail.docx", "A 22996-2023")</f>
        <v/>
      </c>
      <c r="X140">
        <f>HYPERLINK("https://klasma.github.io/Logging_2260/tillsyn/A 22996-2023 tillsynsbegäran.docx", "A 22996-2023")</f>
        <v/>
      </c>
      <c r="Y140">
        <f>HYPERLINK("https://klasma.github.io/Logging_2260/tillsynsmail/A 22996-2023 tillsynsbegäran mail.docx", "A 22996-2023")</f>
        <v/>
      </c>
    </row>
    <row r="141" ht="15" customHeight="1">
      <c r="A141" t="inlineStr">
        <is>
          <t>A 63330-2025</t>
        </is>
      </c>
      <c r="B141" s="1" t="n">
        <v>46010</v>
      </c>
      <c r="C141" s="1" t="n">
        <v>46065</v>
      </c>
      <c r="D141" t="inlineStr">
        <is>
          <t>VÄSTERNORRLANDS LÄN</t>
        </is>
      </c>
      <c r="E141" t="inlineStr">
        <is>
          <t>ÅNGE</t>
        </is>
      </c>
      <c r="G141" t="n">
        <v>2.1</v>
      </c>
      <c r="H141" t="n">
        <v>0</v>
      </c>
      <c r="I141" t="n">
        <v>0</v>
      </c>
      <c r="J141" t="n">
        <v>3</v>
      </c>
      <c r="K141" t="n">
        <v>0</v>
      </c>
      <c r="L141" t="n">
        <v>0</v>
      </c>
      <c r="M141" t="n">
        <v>0</v>
      </c>
      <c r="N141" t="n">
        <v>0</v>
      </c>
      <c r="O141" t="n">
        <v>3</v>
      </c>
      <c r="P141" t="n">
        <v>0</v>
      </c>
      <c r="Q141" t="n">
        <v>3</v>
      </c>
      <c r="R141" s="2" t="inlineStr">
        <is>
          <t>Garnlav
Granticka
Lunglav</t>
        </is>
      </c>
      <c r="S141">
        <f>HYPERLINK("https://klasma.github.io/Logging_2260/artfynd/A 63330-2025 artfynd.xlsx", "A 63330-2025")</f>
        <v/>
      </c>
      <c r="T141">
        <f>HYPERLINK("https://klasma.github.io/Logging_2260/kartor/A 63330-2025 karta.png", "A 63330-2025")</f>
        <v/>
      </c>
      <c r="V141">
        <f>HYPERLINK("https://klasma.github.io/Logging_2260/klagomål/A 63330-2025 FSC-klagomål.docx", "A 63330-2025")</f>
        <v/>
      </c>
      <c r="W141">
        <f>HYPERLINK("https://klasma.github.io/Logging_2260/klagomålsmail/A 63330-2025 FSC-klagomål mail.docx", "A 63330-2025")</f>
        <v/>
      </c>
      <c r="X141">
        <f>HYPERLINK("https://klasma.github.io/Logging_2260/tillsyn/A 63330-2025 tillsynsbegäran.docx", "A 63330-2025")</f>
        <v/>
      </c>
      <c r="Y141">
        <f>HYPERLINK("https://klasma.github.io/Logging_2260/tillsynsmail/A 63330-2025 tillsynsbegäran mail.docx", "A 63330-2025")</f>
        <v/>
      </c>
    </row>
    <row r="142" ht="15" customHeight="1">
      <c r="A142" t="inlineStr">
        <is>
          <t>A 45122-2021</t>
        </is>
      </c>
      <c r="B142" s="1" t="n">
        <v>44439</v>
      </c>
      <c r="C142" s="1" t="n">
        <v>46065</v>
      </c>
      <c r="D142" t="inlineStr">
        <is>
          <t>VÄSTERNORRLANDS LÄN</t>
        </is>
      </c>
      <c r="E142" t="inlineStr">
        <is>
          <t>ÅNGE</t>
        </is>
      </c>
      <c r="G142" t="n">
        <v>20.3</v>
      </c>
      <c r="H142" t="n">
        <v>0</v>
      </c>
      <c r="I142" t="n">
        <v>2</v>
      </c>
      <c r="J142" t="n">
        <v>1</v>
      </c>
      <c r="K142" t="n">
        <v>0</v>
      </c>
      <c r="L142" t="n">
        <v>0</v>
      </c>
      <c r="M142" t="n">
        <v>0</v>
      </c>
      <c r="N142" t="n">
        <v>0</v>
      </c>
      <c r="O142" t="n">
        <v>1</v>
      </c>
      <c r="P142" t="n">
        <v>0</v>
      </c>
      <c r="Q142" t="n">
        <v>3</v>
      </c>
      <c r="R142" s="2" t="inlineStr">
        <is>
          <t>Reliktbock
Cixidia
Skinnlav</t>
        </is>
      </c>
      <c r="S142">
        <f>HYPERLINK("https://klasma.github.io/Logging_2260/artfynd/A 45122-2021 artfynd.xlsx", "A 45122-2021")</f>
        <v/>
      </c>
      <c r="T142">
        <f>HYPERLINK("https://klasma.github.io/Logging_2260/kartor/A 45122-2021 karta.png", "A 45122-2021")</f>
        <v/>
      </c>
      <c r="V142">
        <f>HYPERLINK("https://klasma.github.io/Logging_2260/klagomål/A 45122-2021 FSC-klagomål.docx", "A 45122-2021")</f>
        <v/>
      </c>
      <c r="W142">
        <f>HYPERLINK("https://klasma.github.io/Logging_2260/klagomålsmail/A 45122-2021 FSC-klagomål mail.docx", "A 45122-2021")</f>
        <v/>
      </c>
      <c r="X142">
        <f>HYPERLINK("https://klasma.github.io/Logging_2260/tillsyn/A 45122-2021 tillsynsbegäran.docx", "A 45122-2021")</f>
        <v/>
      </c>
      <c r="Y142">
        <f>HYPERLINK("https://klasma.github.io/Logging_2260/tillsynsmail/A 45122-2021 tillsynsbegäran mail.docx", "A 45122-2021")</f>
        <v/>
      </c>
    </row>
    <row r="143" ht="15" customHeight="1">
      <c r="A143" t="inlineStr">
        <is>
          <t>A 47798-2022</t>
        </is>
      </c>
      <c r="B143" s="1" t="n">
        <v>44854.95365740741</v>
      </c>
      <c r="C143" s="1" t="n">
        <v>46065</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36635-2021</t>
        </is>
      </c>
      <c r="B144" s="1" t="n">
        <v>44391</v>
      </c>
      <c r="C144" s="1" t="n">
        <v>46065</v>
      </c>
      <c r="D144" t="inlineStr">
        <is>
          <t>VÄSTERNORRLANDS LÄN</t>
        </is>
      </c>
      <c r="E144" t="inlineStr">
        <is>
          <t>ÅNGE</t>
        </is>
      </c>
      <c r="F144" t="inlineStr">
        <is>
          <t>SCA</t>
        </is>
      </c>
      <c r="G144" t="n">
        <v>3.7</v>
      </c>
      <c r="H144" t="n">
        <v>1</v>
      </c>
      <c r="I144" t="n">
        <v>0</v>
      </c>
      <c r="J144" t="n">
        <v>1</v>
      </c>
      <c r="K144" t="n">
        <v>1</v>
      </c>
      <c r="L144" t="n">
        <v>0</v>
      </c>
      <c r="M144" t="n">
        <v>0</v>
      </c>
      <c r="N144" t="n">
        <v>0</v>
      </c>
      <c r="O144" t="n">
        <v>2</v>
      </c>
      <c r="P144" t="n">
        <v>1</v>
      </c>
      <c r="Q144" t="n">
        <v>2</v>
      </c>
      <c r="R144" s="2" t="inlineStr">
        <is>
          <t>Knärot
Tallticka</t>
        </is>
      </c>
      <c r="S144">
        <f>HYPERLINK("https://klasma.github.io/Logging_2260/artfynd/A 36635-2021 artfynd.xlsx", "A 36635-2021")</f>
        <v/>
      </c>
      <c r="T144">
        <f>HYPERLINK("https://klasma.github.io/Logging_2260/kartor/A 36635-2021 karta.png", "A 36635-2021")</f>
        <v/>
      </c>
      <c r="U144">
        <f>HYPERLINK("https://klasma.github.io/Logging_2260/knärot/A 36635-2021 karta knärot.png", "A 36635-2021")</f>
        <v/>
      </c>
      <c r="V144">
        <f>HYPERLINK("https://klasma.github.io/Logging_2260/klagomål/A 36635-2021 FSC-klagomål.docx", "A 36635-2021")</f>
        <v/>
      </c>
      <c r="W144">
        <f>HYPERLINK("https://klasma.github.io/Logging_2260/klagomålsmail/A 36635-2021 FSC-klagomål mail.docx", "A 36635-2021")</f>
        <v/>
      </c>
      <c r="X144">
        <f>HYPERLINK("https://klasma.github.io/Logging_2260/tillsyn/A 36635-2021 tillsynsbegäran.docx", "A 36635-2021")</f>
        <v/>
      </c>
      <c r="Y144">
        <f>HYPERLINK("https://klasma.github.io/Logging_2260/tillsynsmail/A 36635-2021 tillsynsbegäran mail.docx", "A 36635-2021")</f>
        <v/>
      </c>
    </row>
    <row r="145" ht="15" customHeight="1">
      <c r="A145" t="inlineStr">
        <is>
          <t>A 1082-2022</t>
        </is>
      </c>
      <c r="B145" s="1" t="n">
        <v>44571</v>
      </c>
      <c r="C145" s="1" t="n">
        <v>46065</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48152-2022</t>
        </is>
      </c>
      <c r="B146" s="1" t="n">
        <v>44853</v>
      </c>
      <c r="C146" s="1" t="n">
        <v>46065</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46065</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8234-2022</t>
        </is>
      </c>
      <c r="B148" s="1" t="n">
        <v>44609</v>
      </c>
      <c r="C148" s="1" t="n">
        <v>46065</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40965-2021</t>
        </is>
      </c>
      <c r="B149" s="1" t="n">
        <v>44421.57918981482</v>
      </c>
      <c r="C149" s="1" t="n">
        <v>46065</v>
      </c>
      <c r="D149" t="inlineStr">
        <is>
          <t>VÄSTERNORRLANDS LÄN</t>
        </is>
      </c>
      <c r="E149" t="inlineStr">
        <is>
          <t>ÅNGE</t>
        </is>
      </c>
      <c r="F149" t="inlineStr">
        <is>
          <t>Sveaskog</t>
        </is>
      </c>
      <c r="G149" t="n">
        <v>5.4</v>
      </c>
      <c r="H149" t="n">
        <v>1</v>
      </c>
      <c r="I149" t="n">
        <v>1</v>
      </c>
      <c r="J149" t="n">
        <v>1</v>
      </c>
      <c r="K149" t="n">
        <v>0</v>
      </c>
      <c r="L149" t="n">
        <v>0</v>
      </c>
      <c r="M149" t="n">
        <v>0</v>
      </c>
      <c r="N149" t="n">
        <v>0</v>
      </c>
      <c r="O149" t="n">
        <v>1</v>
      </c>
      <c r="P149" t="n">
        <v>0</v>
      </c>
      <c r="Q149" t="n">
        <v>2</v>
      </c>
      <c r="R149" s="2" t="inlineStr">
        <is>
          <t>Skogsfru
Skogsbräsma</t>
        </is>
      </c>
      <c r="S149">
        <f>HYPERLINK("https://klasma.github.io/Logging_2260/artfynd/A 40965-2021 artfynd.xlsx", "A 40965-2021")</f>
        <v/>
      </c>
      <c r="T149">
        <f>HYPERLINK("https://klasma.github.io/Logging_2260/kartor/A 40965-2021 karta.png", "A 40965-2021")</f>
        <v/>
      </c>
      <c r="V149">
        <f>HYPERLINK("https://klasma.github.io/Logging_2260/klagomål/A 40965-2021 FSC-klagomål.docx", "A 40965-2021")</f>
        <v/>
      </c>
      <c r="W149">
        <f>HYPERLINK("https://klasma.github.io/Logging_2260/klagomålsmail/A 40965-2021 FSC-klagomål mail.docx", "A 40965-2021")</f>
        <v/>
      </c>
      <c r="X149">
        <f>HYPERLINK("https://klasma.github.io/Logging_2260/tillsyn/A 40965-2021 tillsynsbegäran.docx", "A 40965-2021")</f>
        <v/>
      </c>
      <c r="Y149">
        <f>HYPERLINK("https://klasma.github.io/Logging_2260/tillsynsmail/A 40965-2021 tillsynsbegäran mail.docx", "A 40965-2021")</f>
        <v/>
      </c>
    </row>
    <row r="150" ht="15" customHeight="1">
      <c r="A150" t="inlineStr">
        <is>
          <t>A 29325-2023</t>
        </is>
      </c>
      <c r="B150" s="1" t="n">
        <v>45105</v>
      </c>
      <c r="C150" s="1" t="n">
        <v>46065</v>
      </c>
      <c r="D150" t="inlineStr">
        <is>
          <t>VÄSTERNORRLANDS LÄN</t>
        </is>
      </c>
      <c r="E150" t="inlineStr">
        <is>
          <t>ÅNGE</t>
        </is>
      </c>
      <c r="G150" t="n">
        <v>12.4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HYPERLINK("https://klasma.github.io/Logging_2260/artfynd/A 29325-2023 artfynd.xlsx", "A 29325-2023")</f>
        <v/>
      </c>
      <c r="T150">
        <f>HYPERLINK("https://klasma.github.io/Logging_2260/kartor/A 29325-2023 karta.png", "A 29325-2023")</f>
        <v/>
      </c>
      <c r="V150">
        <f>HYPERLINK("https://klasma.github.io/Logging_2260/klagomål/A 29325-2023 FSC-klagomål.docx", "A 29325-2023")</f>
        <v/>
      </c>
      <c r="W150">
        <f>HYPERLINK("https://klasma.github.io/Logging_2260/klagomålsmail/A 29325-2023 FSC-klagomål mail.docx", "A 29325-2023")</f>
        <v/>
      </c>
      <c r="X150">
        <f>HYPERLINK("https://klasma.github.io/Logging_2260/tillsyn/A 29325-2023 tillsynsbegäran.docx", "A 29325-2023")</f>
        <v/>
      </c>
      <c r="Y150">
        <f>HYPERLINK("https://klasma.github.io/Logging_2260/tillsynsmail/A 29325-2023 tillsynsbegäran mail.docx", "A 29325-2023")</f>
        <v/>
      </c>
    </row>
    <row r="151" ht="15" customHeight="1">
      <c r="A151" t="inlineStr">
        <is>
          <t>A 4093-2025</t>
        </is>
      </c>
      <c r="B151" s="1" t="n">
        <v>45684.67762731481</v>
      </c>
      <c r="C151" s="1" t="n">
        <v>46065</v>
      </c>
      <c r="D151" t="inlineStr">
        <is>
          <t>VÄSTERNORRLANDS LÄN</t>
        </is>
      </c>
      <c r="E151" t="inlineStr">
        <is>
          <t>ÅNGE</t>
        </is>
      </c>
      <c r="F151" t="inlineStr">
        <is>
          <t>SCA</t>
        </is>
      </c>
      <c r="G151" t="n">
        <v>2.6</v>
      </c>
      <c r="H151" t="n">
        <v>1</v>
      </c>
      <c r="I151" t="n">
        <v>2</v>
      </c>
      <c r="J151" t="n">
        <v>0</v>
      </c>
      <c r="K151" t="n">
        <v>0</v>
      </c>
      <c r="L151" t="n">
        <v>0</v>
      </c>
      <c r="M151" t="n">
        <v>0</v>
      </c>
      <c r="N151" t="n">
        <v>0</v>
      </c>
      <c r="O151" t="n">
        <v>0</v>
      </c>
      <c r="P151" t="n">
        <v>0</v>
      </c>
      <c r="Q151" t="n">
        <v>2</v>
      </c>
      <c r="R151" s="2" t="inlineStr">
        <is>
          <t>Kransrams
Spindelblomster</t>
        </is>
      </c>
      <c r="S151">
        <f>HYPERLINK("https://klasma.github.io/Logging_2260/artfynd/A 4093-2025 artfynd.xlsx", "A 4093-2025")</f>
        <v/>
      </c>
      <c r="T151">
        <f>HYPERLINK("https://klasma.github.io/Logging_2260/kartor/A 4093-2025 karta.png", "A 4093-2025")</f>
        <v/>
      </c>
      <c r="V151">
        <f>HYPERLINK("https://klasma.github.io/Logging_2260/klagomål/A 4093-2025 FSC-klagomål.docx", "A 4093-2025")</f>
        <v/>
      </c>
      <c r="W151">
        <f>HYPERLINK("https://klasma.github.io/Logging_2260/klagomålsmail/A 4093-2025 FSC-klagomål mail.docx", "A 4093-2025")</f>
        <v/>
      </c>
      <c r="X151">
        <f>HYPERLINK("https://klasma.github.io/Logging_2260/tillsyn/A 4093-2025 tillsynsbegäran.docx", "A 4093-2025")</f>
        <v/>
      </c>
      <c r="Y151">
        <f>HYPERLINK("https://klasma.github.io/Logging_2260/tillsynsmail/A 4093-2025 tillsynsbegäran mail.docx", "A 4093-2025")</f>
        <v/>
      </c>
    </row>
    <row r="152" ht="15" customHeight="1">
      <c r="A152" t="inlineStr">
        <is>
          <t>A 25034-2024</t>
        </is>
      </c>
      <c r="B152" s="1" t="n">
        <v>45461.96458333333</v>
      </c>
      <c r="C152" s="1" t="n">
        <v>46065</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Rosenticka
Ullticka</t>
        </is>
      </c>
      <c r="S152">
        <f>HYPERLINK("https://klasma.github.io/Logging_2260/artfynd/A 25034-2024 artfynd.xlsx", "A 25034-2024")</f>
        <v/>
      </c>
      <c r="T152">
        <f>HYPERLINK("https://klasma.github.io/Logging_2260/kartor/A 25034-2024 karta.png", "A 25034-2024")</f>
        <v/>
      </c>
      <c r="V152">
        <f>HYPERLINK("https://klasma.github.io/Logging_2260/klagomål/A 25034-2024 FSC-klagomål.docx", "A 25034-2024")</f>
        <v/>
      </c>
      <c r="W152">
        <f>HYPERLINK("https://klasma.github.io/Logging_2260/klagomålsmail/A 25034-2024 FSC-klagomål mail.docx", "A 25034-2024")</f>
        <v/>
      </c>
      <c r="X152">
        <f>HYPERLINK("https://klasma.github.io/Logging_2260/tillsyn/A 25034-2024 tillsynsbegäran.docx", "A 25034-2024")</f>
        <v/>
      </c>
      <c r="Y152">
        <f>HYPERLINK("https://klasma.github.io/Logging_2260/tillsynsmail/A 25034-2024 tillsynsbegäran mail.docx", "A 25034-2024")</f>
        <v/>
      </c>
    </row>
    <row r="153" ht="15" customHeight="1">
      <c r="A153" t="inlineStr">
        <is>
          <t>A 26906-2025</t>
        </is>
      </c>
      <c r="B153" s="1" t="n">
        <v>45811.34552083333</v>
      </c>
      <c r="C153" s="1" t="n">
        <v>46065</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47719-2024</t>
        </is>
      </c>
      <c r="B154" s="1" t="n">
        <v>45588.48996527777</v>
      </c>
      <c r="C154" s="1" t="n">
        <v>46065</v>
      </c>
      <c r="D154" t="inlineStr">
        <is>
          <t>VÄSTERNORRLANDS LÄN</t>
        </is>
      </c>
      <c r="E154" t="inlineStr">
        <is>
          <t>ÅNGE</t>
        </is>
      </c>
      <c r="F154" t="inlineStr">
        <is>
          <t>SCA</t>
        </is>
      </c>
      <c r="G154" t="n">
        <v>1.4</v>
      </c>
      <c r="H154" t="n">
        <v>0</v>
      </c>
      <c r="I154" t="n">
        <v>0</v>
      </c>
      <c r="J154" t="n">
        <v>2</v>
      </c>
      <c r="K154" t="n">
        <v>0</v>
      </c>
      <c r="L154" t="n">
        <v>0</v>
      </c>
      <c r="M154" t="n">
        <v>0</v>
      </c>
      <c r="N154" t="n">
        <v>0</v>
      </c>
      <c r="O154" t="n">
        <v>2</v>
      </c>
      <c r="P154" t="n">
        <v>0</v>
      </c>
      <c r="Q154" t="n">
        <v>2</v>
      </c>
      <c r="R154" s="2" t="inlineStr">
        <is>
          <t>Dvärgbägarlav
Vedskivlav</t>
        </is>
      </c>
      <c r="S154">
        <f>HYPERLINK("https://klasma.github.io/Logging_2260/artfynd/A 47719-2024 artfynd.xlsx", "A 47719-2024")</f>
        <v/>
      </c>
      <c r="T154">
        <f>HYPERLINK("https://klasma.github.io/Logging_2260/kartor/A 47719-2024 karta.png", "A 47719-2024")</f>
        <v/>
      </c>
      <c r="V154">
        <f>HYPERLINK("https://klasma.github.io/Logging_2260/klagomål/A 47719-2024 FSC-klagomål.docx", "A 47719-2024")</f>
        <v/>
      </c>
      <c r="W154">
        <f>HYPERLINK("https://klasma.github.io/Logging_2260/klagomålsmail/A 47719-2024 FSC-klagomål mail.docx", "A 47719-2024")</f>
        <v/>
      </c>
      <c r="X154">
        <f>HYPERLINK("https://klasma.github.io/Logging_2260/tillsyn/A 47719-2024 tillsynsbegäran.docx", "A 47719-2024")</f>
        <v/>
      </c>
      <c r="Y154">
        <f>HYPERLINK("https://klasma.github.io/Logging_2260/tillsynsmail/A 47719-2024 tillsynsbegäran mail.docx", "A 47719-2024")</f>
        <v/>
      </c>
    </row>
    <row r="155" ht="15" customHeight="1">
      <c r="A155" t="inlineStr">
        <is>
          <t>A 57089-2024</t>
        </is>
      </c>
      <c r="B155" s="1" t="n">
        <v>45629.35665509259</v>
      </c>
      <c r="C155" s="1" t="n">
        <v>46065</v>
      </c>
      <c r="D155" t="inlineStr">
        <is>
          <t>VÄSTERNORRLANDS LÄN</t>
        </is>
      </c>
      <c r="E155" t="inlineStr">
        <is>
          <t>ÅNGE</t>
        </is>
      </c>
      <c r="F155" t="inlineStr">
        <is>
          <t>SCA</t>
        </is>
      </c>
      <c r="G155" t="n">
        <v>1.5</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57089-2024 artfynd.xlsx", "A 57089-2024")</f>
        <v/>
      </c>
      <c r="T155">
        <f>HYPERLINK("https://klasma.github.io/Logging_2260/kartor/A 57089-2024 karta.png", "A 57089-2024")</f>
        <v/>
      </c>
      <c r="V155">
        <f>HYPERLINK("https://klasma.github.io/Logging_2260/klagomål/A 57089-2024 FSC-klagomål.docx", "A 57089-2024")</f>
        <v/>
      </c>
      <c r="W155">
        <f>HYPERLINK("https://klasma.github.io/Logging_2260/klagomålsmail/A 57089-2024 FSC-klagomål mail.docx", "A 57089-2024")</f>
        <v/>
      </c>
      <c r="X155">
        <f>HYPERLINK("https://klasma.github.io/Logging_2260/tillsyn/A 57089-2024 tillsynsbegäran.docx", "A 57089-2024")</f>
        <v/>
      </c>
      <c r="Y155">
        <f>HYPERLINK("https://klasma.github.io/Logging_2260/tillsynsmail/A 57089-2024 tillsynsbegäran mail.docx", "A 57089-2024")</f>
        <v/>
      </c>
    </row>
    <row r="156" ht="15" customHeight="1">
      <c r="A156" t="inlineStr">
        <is>
          <t>A 57594-2022</t>
        </is>
      </c>
      <c r="B156" s="1" t="n">
        <v>44896.97854166666</v>
      </c>
      <c r="C156" s="1" t="n">
        <v>46065</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165-2025</t>
        </is>
      </c>
      <c r="B157" s="1" t="n">
        <v>45659</v>
      </c>
      <c r="C157" s="1" t="n">
        <v>46065</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57597-2022</t>
        </is>
      </c>
      <c r="B158" s="1" t="n">
        <v>44896.97878472223</v>
      </c>
      <c r="C158" s="1" t="n">
        <v>46065</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26020-2024</t>
        </is>
      </c>
      <c r="B159" s="1" t="n">
        <v>45467.9603125</v>
      </c>
      <c r="C159" s="1" t="n">
        <v>46065</v>
      </c>
      <c r="D159" t="inlineStr">
        <is>
          <t>VÄSTERNORRLANDS LÄN</t>
        </is>
      </c>
      <c r="E159" t="inlineStr">
        <is>
          <t>ÅNGE</t>
        </is>
      </c>
      <c r="F159" t="inlineStr">
        <is>
          <t>SCA</t>
        </is>
      </c>
      <c r="G159" t="n">
        <v>4.8</v>
      </c>
      <c r="H159" t="n">
        <v>0</v>
      </c>
      <c r="I159" t="n">
        <v>1</v>
      </c>
      <c r="J159" t="n">
        <v>1</v>
      </c>
      <c r="K159" t="n">
        <v>0</v>
      </c>
      <c r="L159" t="n">
        <v>0</v>
      </c>
      <c r="M159" t="n">
        <v>0</v>
      </c>
      <c r="N159" t="n">
        <v>0</v>
      </c>
      <c r="O159" t="n">
        <v>1</v>
      </c>
      <c r="P159" t="n">
        <v>0</v>
      </c>
      <c r="Q159" t="n">
        <v>2</v>
      </c>
      <c r="R159" s="2" t="inlineStr">
        <is>
          <t>Lunglav
Stuplav</t>
        </is>
      </c>
      <c r="S159">
        <f>HYPERLINK("https://klasma.github.io/Logging_2260/artfynd/A 26020-2024 artfynd.xlsx", "A 26020-2024")</f>
        <v/>
      </c>
      <c r="T159">
        <f>HYPERLINK("https://klasma.github.io/Logging_2260/kartor/A 26020-2024 karta.png", "A 26020-2024")</f>
        <v/>
      </c>
      <c r="V159">
        <f>HYPERLINK("https://klasma.github.io/Logging_2260/klagomål/A 26020-2024 FSC-klagomål.docx", "A 26020-2024")</f>
        <v/>
      </c>
      <c r="W159">
        <f>HYPERLINK("https://klasma.github.io/Logging_2260/klagomålsmail/A 26020-2024 FSC-klagomål mail.docx", "A 26020-2024")</f>
        <v/>
      </c>
      <c r="X159">
        <f>HYPERLINK("https://klasma.github.io/Logging_2260/tillsyn/A 26020-2024 tillsynsbegäran.docx", "A 26020-2024")</f>
        <v/>
      </c>
      <c r="Y159">
        <f>HYPERLINK("https://klasma.github.io/Logging_2260/tillsynsmail/A 26020-2024 tillsynsbegäran mail.docx", "A 26020-2024")</f>
        <v/>
      </c>
    </row>
    <row r="160" ht="15" customHeight="1">
      <c r="A160" t="inlineStr">
        <is>
          <t>A 32659-2024</t>
        </is>
      </c>
      <c r="B160" s="1" t="n">
        <v>45513</v>
      </c>
      <c r="C160" s="1" t="n">
        <v>46065</v>
      </c>
      <c r="D160" t="inlineStr">
        <is>
          <t>VÄSTERNORRLANDS LÄN</t>
        </is>
      </c>
      <c r="E160" t="inlineStr">
        <is>
          <t>ÅNGE</t>
        </is>
      </c>
      <c r="F160" t="inlineStr">
        <is>
          <t>SCA</t>
        </is>
      </c>
      <c r="G160" t="n">
        <v>6.9</v>
      </c>
      <c r="H160" t="n">
        <v>0</v>
      </c>
      <c r="I160" t="n">
        <v>0</v>
      </c>
      <c r="J160" t="n">
        <v>2</v>
      </c>
      <c r="K160" t="n">
        <v>0</v>
      </c>
      <c r="L160" t="n">
        <v>0</v>
      </c>
      <c r="M160" t="n">
        <v>0</v>
      </c>
      <c r="N160" t="n">
        <v>0</v>
      </c>
      <c r="O160" t="n">
        <v>2</v>
      </c>
      <c r="P160" t="n">
        <v>0</v>
      </c>
      <c r="Q160" t="n">
        <v>2</v>
      </c>
      <c r="R160" s="2" t="inlineStr">
        <is>
          <t>Lunglav
Stjärntagging</t>
        </is>
      </c>
      <c r="S160">
        <f>HYPERLINK("https://klasma.github.io/Logging_2260/artfynd/A 32659-2024 artfynd.xlsx", "A 32659-2024")</f>
        <v/>
      </c>
      <c r="T160">
        <f>HYPERLINK("https://klasma.github.io/Logging_2260/kartor/A 32659-2024 karta.png", "A 32659-2024")</f>
        <v/>
      </c>
      <c r="V160">
        <f>HYPERLINK("https://klasma.github.io/Logging_2260/klagomål/A 32659-2024 FSC-klagomål.docx", "A 32659-2024")</f>
        <v/>
      </c>
      <c r="W160">
        <f>HYPERLINK("https://klasma.github.io/Logging_2260/klagomålsmail/A 32659-2024 FSC-klagomål mail.docx", "A 32659-2024")</f>
        <v/>
      </c>
      <c r="X160">
        <f>HYPERLINK("https://klasma.github.io/Logging_2260/tillsyn/A 32659-2024 tillsynsbegäran.docx", "A 32659-2024")</f>
        <v/>
      </c>
      <c r="Y160">
        <f>HYPERLINK("https://klasma.github.io/Logging_2260/tillsynsmail/A 32659-2024 tillsynsbegäran mail.docx", "A 32659-2024")</f>
        <v/>
      </c>
    </row>
    <row r="161" ht="15" customHeight="1">
      <c r="A161" t="inlineStr">
        <is>
          <t>A 31493-2024</t>
        </is>
      </c>
      <c r="B161" s="1" t="n">
        <v>45505</v>
      </c>
      <c r="C161" s="1" t="n">
        <v>46065</v>
      </c>
      <c r="D161" t="inlineStr">
        <is>
          <t>VÄSTERNORRLANDS LÄN</t>
        </is>
      </c>
      <c r="E161" t="inlineStr">
        <is>
          <t>ÅNGE</t>
        </is>
      </c>
      <c r="F161" t="inlineStr">
        <is>
          <t>SCA</t>
        </is>
      </c>
      <c r="G161" t="n">
        <v>4.4</v>
      </c>
      <c r="H161" t="n">
        <v>1</v>
      </c>
      <c r="I161" t="n">
        <v>1</v>
      </c>
      <c r="J161" t="n">
        <v>0</v>
      </c>
      <c r="K161" t="n">
        <v>1</v>
      </c>
      <c r="L161" t="n">
        <v>0</v>
      </c>
      <c r="M161" t="n">
        <v>0</v>
      </c>
      <c r="N161" t="n">
        <v>0</v>
      </c>
      <c r="O161" t="n">
        <v>1</v>
      </c>
      <c r="P161" t="n">
        <v>1</v>
      </c>
      <c r="Q161" t="n">
        <v>2</v>
      </c>
      <c r="R161" s="2" t="inlineStr">
        <is>
          <t>Knärot
Korallblylav</t>
        </is>
      </c>
      <c r="S161">
        <f>HYPERLINK("https://klasma.github.io/Logging_2260/artfynd/A 31493-2024 artfynd.xlsx", "A 31493-2024")</f>
        <v/>
      </c>
      <c r="T161">
        <f>HYPERLINK("https://klasma.github.io/Logging_2260/kartor/A 31493-2024 karta.png", "A 31493-2024")</f>
        <v/>
      </c>
      <c r="U161">
        <f>HYPERLINK("https://klasma.github.io/Logging_2260/knärot/A 31493-2024 karta knärot.png", "A 31493-2024")</f>
        <v/>
      </c>
      <c r="V161">
        <f>HYPERLINK("https://klasma.github.io/Logging_2260/klagomål/A 31493-2024 FSC-klagomål.docx", "A 31493-2024")</f>
        <v/>
      </c>
      <c r="W161">
        <f>HYPERLINK("https://klasma.github.io/Logging_2260/klagomålsmail/A 31493-2024 FSC-klagomål mail.docx", "A 31493-2024")</f>
        <v/>
      </c>
      <c r="X161">
        <f>HYPERLINK("https://klasma.github.io/Logging_2260/tillsyn/A 31493-2024 tillsynsbegäran.docx", "A 31493-2024")</f>
        <v/>
      </c>
      <c r="Y161">
        <f>HYPERLINK("https://klasma.github.io/Logging_2260/tillsynsmail/A 31493-2024 tillsynsbegäran mail.docx", "A 31493-2024")</f>
        <v/>
      </c>
    </row>
    <row r="162" ht="15" customHeight="1">
      <c r="A162" t="inlineStr">
        <is>
          <t>A 36414-2025</t>
        </is>
      </c>
      <c r="B162" s="1" t="n">
        <v>45868.69246527777</v>
      </c>
      <c r="C162" s="1" t="n">
        <v>46065</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46065</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17861-2023</t>
        </is>
      </c>
      <c r="B164" s="1" t="n">
        <v>45037.94171296297</v>
      </c>
      <c r="C164" s="1" t="n">
        <v>46065</v>
      </c>
      <c r="D164" t="inlineStr">
        <is>
          <t>VÄSTERNORRLANDS LÄN</t>
        </is>
      </c>
      <c r="E164" t="inlineStr">
        <is>
          <t>ÅNGE</t>
        </is>
      </c>
      <c r="F164" t="inlineStr">
        <is>
          <t>SCA</t>
        </is>
      </c>
      <c r="G164" t="n">
        <v>1.1</v>
      </c>
      <c r="H164" t="n">
        <v>0</v>
      </c>
      <c r="I164" t="n">
        <v>1</v>
      </c>
      <c r="J164" t="n">
        <v>1</v>
      </c>
      <c r="K164" t="n">
        <v>0</v>
      </c>
      <c r="L164" t="n">
        <v>0</v>
      </c>
      <c r="M164" t="n">
        <v>0</v>
      </c>
      <c r="N164" t="n">
        <v>0</v>
      </c>
      <c r="O164" t="n">
        <v>1</v>
      </c>
      <c r="P164" t="n">
        <v>0</v>
      </c>
      <c r="Q164" t="n">
        <v>2</v>
      </c>
      <c r="R164" s="2" t="inlineStr">
        <is>
          <t>Skrovlig taggsvamp
Dropptaggsvamp</t>
        </is>
      </c>
      <c r="S164">
        <f>HYPERLINK("https://klasma.github.io/Logging_2260/artfynd/A 17861-2023 artfynd.xlsx", "A 17861-2023")</f>
        <v/>
      </c>
      <c r="T164">
        <f>HYPERLINK("https://klasma.github.io/Logging_2260/kartor/A 17861-2023 karta.png", "A 17861-2023")</f>
        <v/>
      </c>
      <c r="V164">
        <f>HYPERLINK("https://klasma.github.io/Logging_2260/klagomål/A 17861-2023 FSC-klagomål.docx", "A 17861-2023")</f>
        <v/>
      </c>
      <c r="W164">
        <f>HYPERLINK("https://klasma.github.io/Logging_2260/klagomålsmail/A 17861-2023 FSC-klagomål mail.docx", "A 17861-2023")</f>
        <v/>
      </c>
      <c r="X164">
        <f>HYPERLINK("https://klasma.github.io/Logging_2260/tillsyn/A 17861-2023 tillsynsbegäran.docx", "A 17861-2023")</f>
        <v/>
      </c>
      <c r="Y164">
        <f>HYPERLINK("https://klasma.github.io/Logging_2260/tillsynsmail/A 17861-2023 tillsynsbegäran mail.docx", "A 17861-2023")</f>
        <v/>
      </c>
    </row>
    <row r="165" ht="15" customHeight="1">
      <c r="A165" t="inlineStr">
        <is>
          <t>A 4873-2025</t>
        </is>
      </c>
      <c r="B165" s="1" t="n">
        <v>45688.67633101852</v>
      </c>
      <c r="C165" s="1" t="n">
        <v>46065</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38298-2025</t>
        </is>
      </c>
      <c r="B166" s="1" t="n">
        <v>45883.4568287037</v>
      </c>
      <c r="C166" s="1" t="n">
        <v>46065</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62861-2021</t>
        </is>
      </c>
      <c r="B167" s="1" t="n">
        <v>44503</v>
      </c>
      <c r="C167" s="1" t="n">
        <v>46065</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46065</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46065</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18081-2025</t>
        </is>
      </c>
      <c r="B170" s="1" t="n">
        <v>45761.51086805556</v>
      </c>
      <c r="C170" s="1" t="n">
        <v>46065</v>
      </c>
      <c r="D170" t="inlineStr">
        <is>
          <t>VÄSTERNORRLANDS LÄN</t>
        </is>
      </c>
      <c r="E170" t="inlineStr">
        <is>
          <t>ÅNGE</t>
        </is>
      </c>
      <c r="F170" t="inlineStr">
        <is>
          <t>SCA</t>
        </is>
      </c>
      <c r="G170" t="n">
        <v>2.6</v>
      </c>
      <c r="H170" t="n">
        <v>1</v>
      </c>
      <c r="I170" t="n">
        <v>1</v>
      </c>
      <c r="J170" t="n">
        <v>0</v>
      </c>
      <c r="K170" t="n">
        <v>1</v>
      </c>
      <c r="L170" t="n">
        <v>0</v>
      </c>
      <c r="M170" t="n">
        <v>0</v>
      </c>
      <c r="N170" t="n">
        <v>0</v>
      </c>
      <c r="O170" t="n">
        <v>1</v>
      </c>
      <c r="P170" t="n">
        <v>1</v>
      </c>
      <c r="Q170" t="n">
        <v>2</v>
      </c>
      <c r="R170" s="2" t="inlineStr">
        <is>
          <t>Knärot
Dropptaggsvamp</t>
        </is>
      </c>
      <c r="S170">
        <f>HYPERLINK("https://klasma.github.io/Logging_2260/artfynd/A 18081-2025 artfynd.xlsx", "A 18081-2025")</f>
        <v/>
      </c>
      <c r="T170">
        <f>HYPERLINK("https://klasma.github.io/Logging_2260/kartor/A 18081-2025 karta.png", "A 18081-2025")</f>
        <v/>
      </c>
      <c r="U170">
        <f>HYPERLINK("https://klasma.github.io/Logging_2260/knärot/A 18081-2025 karta knärot.png", "A 18081-2025")</f>
        <v/>
      </c>
      <c r="V170">
        <f>HYPERLINK("https://klasma.github.io/Logging_2260/klagomål/A 18081-2025 FSC-klagomål.docx", "A 18081-2025")</f>
        <v/>
      </c>
      <c r="W170">
        <f>HYPERLINK("https://klasma.github.io/Logging_2260/klagomålsmail/A 18081-2025 FSC-klagomål mail.docx", "A 18081-2025")</f>
        <v/>
      </c>
      <c r="X170">
        <f>HYPERLINK("https://klasma.github.io/Logging_2260/tillsyn/A 18081-2025 tillsynsbegäran.docx", "A 18081-2025")</f>
        <v/>
      </c>
      <c r="Y170">
        <f>HYPERLINK("https://klasma.github.io/Logging_2260/tillsynsmail/A 18081-2025 tillsynsbegäran mail.docx", "A 18081-2025")</f>
        <v/>
      </c>
    </row>
    <row r="171" ht="15" customHeight="1">
      <c r="A171" t="inlineStr">
        <is>
          <t>A 48374-2024</t>
        </is>
      </c>
      <c r="B171" s="1" t="n">
        <v>45590.58028935185</v>
      </c>
      <c r="C171" s="1" t="n">
        <v>46065</v>
      </c>
      <c r="D171" t="inlineStr">
        <is>
          <t>VÄSTERNORRLANDS LÄN</t>
        </is>
      </c>
      <c r="E171" t="inlineStr">
        <is>
          <t>ÅNGE</t>
        </is>
      </c>
      <c r="G171" t="n">
        <v>6.6</v>
      </c>
      <c r="H171" t="n">
        <v>0</v>
      </c>
      <c r="I171" t="n">
        <v>1</v>
      </c>
      <c r="J171" t="n">
        <v>1</v>
      </c>
      <c r="K171" t="n">
        <v>0</v>
      </c>
      <c r="L171" t="n">
        <v>0</v>
      </c>
      <c r="M171" t="n">
        <v>0</v>
      </c>
      <c r="N171" t="n">
        <v>0</v>
      </c>
      <c r="O171" t="n">
        <v>1</v>
      </c>
      <c r="P171" t="n">
        <v>0</v>
      </c>
      <c r="Q171" t="n">
        <v>2</v>
      </c>
      <c r="R171" s="2" t="inlineStr">
        <is>
          <t>Kolflarnlav
Bollvitmossa</t>
        </is>
      </c>
      <c r="S171">
        <f>HYPERLINK("https://klasma.github.io/Logging_2260/artfynd/A 48374-2024 artfynd.xlsx", "A 48374-2024")</f>
        <v/>
      </c>
      <c r="T171">
        <f>HYPERLINK("https://klasma.github.io/Logging_2260/kartor/A 48374-2024 karta.png", "A 48374-2024")</f>
        <v/>
      </c>
      <c r="V171">
        <f>HYPERLINK("https://klasma.github.io/Logging_2260/klagomål/A 48374-2024 FSC-klagomål.docx", "A 48374-2024")</f>
        <v/>
      </c>
      <c r="W171">
        <f>HYPERLINK("https://klasma.github.io/Logging_2260/klagomålsmail/A 48374-2024 FSC-klagomål mail.docx", "A 48374-2024")</f>
        <v/>
      </c>
      <c r="X171">
        <f>HYPERLINK("https://klasma.github.io/Logging_2260/tillsyn/A 48374-2024 tillsynsbegäran.docx", "A 48374-2024")</f>
        <v/>
      </c>
      <c r="Y171">
        <f>HYPERLINK("https://klasma.github.io/Logging_2260/tillsynsmail/A 48374-2024 tillsynsbegäran mail.docx", "A 48374-2024")</f>
        <v/>
      </c>
    </row>
    <row r="172" ht="15" customHeight="1">
      <c r="A172" t="inlineStr">
        <is>
          <t>A 48695-2024</t>
        </is>
      </c>
      <c r="B172" s="1" t="n">
        <v>45593.5109837963</v>
      </c>
      <c r="C172" s="1" t="n">
        <v>46065</v>
      </c>
      <c r="D172" t="inlineStr">
        <is>
          <t>VÄSTERNORRLANDS LÄN</t>
        </is>
      </c>
      <c r="E172" t="inlineStr">
        <is>
          <t>ÅNGE</t>
        </is>
      </c>
      <c r="F172" t="inlineStr">
        <is>
          <t>SCA</t>
        </is>
      </c>
      <c r="G172" t="n">
        <v>1.2</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48695-2024 artfynd.xlsx", "A 48695-2024")</f>
        <v/>
      </c>
      <c r="T172">
        <f>HYPERLINK("https://klasma.github.io/Logging_2260/kartor/A 48695-2024 karta.png", "A 48695-2024")</f>
        <v/>
      </c>
      <c r="V172">
        <f>HYPERLINK("https://klasma.github.io/Logging_2260/klagomål/A 48695-2024 FSC-klagomål.docx", "A 48695-2024")</f>
        <v/>
      </c>
      <c r="W172">
        <f>HYPERLINK("https://klasma.github.io/Logging_2260/klagomålsmail/A 48695-2024 FSC-klagomål mail.docx", "A 48695-2024")</f>
        <v/>
      </c>
      <c r="X172">
        <f>HYPERLINK("https://klasma.github.io/Logging_2260/tillsyn/A 48695-2024 tillsynsbegäran.docx", "A 48695-2024")</f>
        <v/>
      </c>
      <c r="Y172">
        <f>HYPERLINK("https://klasma.github.io/Logging_2260/tillsynsmail/A 48695-2024 tillsynsbegäran mail.docx", "A 48695-2024")</f>
        <v/>
      </c>
    </row>
    <row r="173" ht="15" customHeight="1">
      <c r="A173" t="inlineStr">
        <is>
          <t>A 49871-2024</t>
        </is>
      </c>
      <c r="B173" s="1" t="n">
        <v>45597.4903125</v>
      </c>
      <c r="C173" s="1" t="n">
        <v>46065</v>
      </c>
      <c r="D173" t="inlineStr">
        <is>
          <t>VÄSTERNORRLANDS LÄN</t>
        </is>
      </c>
      <c r="E173" t="inlineStr">
        <is>
          <t>ÅNGE</t>
        </is>
      </c>
      <c r="F173" t="inlineStr">
        <is>
          <t>SCA</t>
        </is>
      </c>
      <c r="G173" t="n">
        <v>6.3</v>
      </c>
      <c r="H173" t="n">
        <v>1</v>
      </c>
      <c r="I173" t="n">
        <v>0</v>
      </c>
      <c r="J173" t="n">
        <v>1</v>
      </c>
      <c r="K173" t="n">
        <v>1</v>
      </c>
      <c r="L173" t="n">
        <v>0</v>
      </c>
      <c r="M173" t="n">
        <v>0</v>
      </c>
      <c r="N173" t="n">
        <v>0</v>
      </c>
      <c r="O173" t="n">
        <v>2</v>
      </c>
      <c r="P173" t="n">
        <v>1</v>
      </c>
      <c r="Q173" t="n">
        <v>2</v>
      </c>
      <c r="R173" s="2" t="inlineStr">
        <is>
          <t>Knärot
Garnlav</t>
        </is>
      </c>
      <c r="S173">
        <f>HYPERLINK("https://klasma.github.io/Logging_2260/artfynd/A 49871-2024 artfynd.xlsx", "A 49871-2024")</f>
        <v/>
      </c>
      <c r="T173">
        <f>HYPERLINK("https://klasma.github.io/Logging_2260/kartor/A 49871-2024 karta.png", "A 49871-2024")</f>
        <v/>
      </c>
      <c r="U173">
        <f>HYPERLINK("https://klasma.github.io/Logging_2260/knärot/A 49871-2024 karta knärot.png", "A 49871-2024")</f>
        <v/>
      </c>
      <c r="V173">
        <f>HYPERLINK("https://klasma.github.io/Logging_2260/klagomål/A 49871-2024 FSC-klagomål.docx", "A 49871-2024")</f>
        <v/>
      </c>
      <c r="W173">
        <f>HYPERLINK("https://klasma.github.io/Logging_2260/klagomålsmail/A 49871-2024 FSC-klagomål mail.docx", "A 49871-2024")</f>
        <v/>
      </c>
      <c r="X173">
        <f>HYPERLINK("https://klasma.github.io/Logging_2260/tillsyn/A 49871-2024 tillsynsbegäran.docx", "A 49871-2024")</f>
        <v/>
      </c>
      <c r="Y173">
        <f>HYPERLINK("https://klasma.github.io/Logging_2260/tillsynsmail/A 49871-2024 tillsynsbegäran mail.docx", "A 49871-2024")</f>
        <v/>
      </c>
    </row>
    <row r="174" ht="15" customHeight="1">
      <c r="A174" t="inlineStr">
        <is>
          <t>A 42864-2025</t>
        </is>
      </c>
      <c r="B174" s="1" t="n">
        <v>45908</v>
      </c>
      <c r="C174" s="1" t="n">
        <v>46065</v>
      </c>
      <c r="D174" t="inlineStr">
        <is>
          <t>VÄSTERNORRLANDS LÄN</t>
        </is>
      </c>
      <c r="E174" t="inlineStr">
        <is>
          <t>ÅNGE</t>
        </is>
      </c>
      <c r="G174" t="n">
        <v>2.9</v>
      </c>
      <c r="H174" t="n">
        <v>0</v>
      </c>
      <c r="I174" t="n">
        <v>0</v>
      </c>
      <c r="J174" t="n">
        <v>2</v>
      </c>
      <c r="K174" t="n">
        <v>0</v>
      </c>
      <c r="L174" t="n">
        <v>0</v>
      </c>
      <c r="M174" t="n">
        <v>0</v>
      </c>
      <c r="N174" t="n">
        <v>0</v>
      </c>
      <c r="O174" t="n">
        <v>2</v>
      </c>
      <c r="P174" t="n">
        <v>0</v>
      </c>
      <c r="Q174" t="n">
        <v>2</v>
      </c>
      <c r="R174" s="2" t="inlineStr">
        <is>
          <t>Mörk kolflarnlav
Vedflamlav</t>
        </is>
      </c>
      <c r="S174">
        <f>HYPERLINK("https://klasma.github.io/Logging_2260/artfynd/A 42864-2025 artfynd.xlsx", "A 42864-2025")</f>
        <v/>
      </c>
      <c r="T174">
        <f>HYPERLINK("https://klasma.github.io/Logging_2260/kartor/A 42864-2025 karta.png", "A 42864-2025")</f>
        <v/>
      </c>
      <c r="V174">
        <f>HYPERLINK("https://klasma.github.io/Logging_2260/klagomål/A 42864-2025 FSC-klagomål.docx", "A 42864-2025")</f>
        <v/>
      </c>
      <c r="W174">
        <f>HYPERLINK("https://klasma.github.io/Logging_2260/klagomålsmail/A 42864-2025 FSC-klagomål mail.docx", "A 42864-2025")</f>
        <v/>
      </c>
      <c r="X174">
        <f>HYPERLINK("https://klasma.github.io/Logging_2260/tillsyn/A 42864-2025 tillsynsbegäran.docx", "A 42864-2025")</f>
        <v/>
      </c>
      <c r="Y174">
        <f>HYPERLINK("https://klasma.github.io/Logging_2260/tillsynsmail/A 42864-2025 tillsynsbegäran mail.docx", "A 42864-2025")</f>
        <v/>
      </c>
    </row>
    <row r="175" ht="15" customHeight="1">
      <c r="A175" t="inlineStr">
        <is>
          <t>A 43721-2025</t>
        </is>
      </c>
      <c r="B175" s="1" t="n">
        <v>45912.42800925926</v>
      </c>
      <c r="C175" s="1" t="n">
        <v>46065</v>
      </c>
      <c r="D175" t="inlineStr">
        <is>
          <t>VÄSTERNORRLANDS LÄN</t>
        </is>
      </c>
      <c r="E175" t="inlineStr">
        <is>
          <t>ÅNGE</t>
        </is>
      </c>
      <c r="F175" t="inlineStr">
        <is>
          <t>SCA</t>
        </is>
      </c>
      <c r="G175" t="n">
        <v>9.9</v>
      </c>
      <c r="H175" t="n">
        <v>1</v>
      </c>
      <c r="I175" t="n">
        <v>1</v>
      </c>
      <c r="J175" t="n">
        <v>0</v>
      </c>
      <c r="K175" t="n">
        <v>1</v>
      </c>
      <c r="L175" t="n">
        <v>0</v>
      </c>
      <c r="M175" t="n">
        <v>0</v>
      </c>
      <c r="N175" t="n">
        <v>0</v>
      </c>
      <c r="O175" t="n">
        <v>1</v>
      </c>
      <c r="P175" t="n">
        <v>1</v>
      </c>
      <c r="Q175" t="n">
        <v>2</v>
      </c>
      <c r="R175" s="2" t="inlineStr">
        <is>
          <t>Knärot
Svavelriska</t>
        </is>
      </c>
      <c r="S175">
        <f>HYPERLINK("https://klasma.github.io/Logging_2260/artfynd/A 43721-2025 artfynd.xlsx", "A 43721-2025")</f>
        <v/>
      </c>
      <c r="T175">
        <f>HYPERLINK("https://klasma.github.io/Logging_2260/kartor/A 43721-2025 karta.png", "A 43721-2025")</f>
        <v/>
      </c>
      <c r="U175">
        <f>HYPERLINK("https://klasma.github.io/Logging_2260/knärot/A 43721-2025 karta knärot.png", "A 43721-2025")</f>
        <v/>
      </c>
      <c r="V175">
        <f>HYPERLINK("https://klasma.github.io/Logging_2260/klagomål/A 43721-2025 FSC-klagomål.docx", "A 43721-2025")</f>
        <v/>
      </c>
      <c r="W175">
        <f>HYPERLINK("https://klasma.github.io/Logging_2260/klagomålsmail/A 43721-2025 FSC-klagomål mail.docx", "A 43721-2025")</f>
        <v/>
      </c>
      <c r="X175">
        <f>HYPERLINK("https://klasma.github.io/Logging_2260/tillsyn/A 43721-2025 tillsynsbegäran.docx", "A 43721-2025")</f>
        <v/>
      </c>
      <c r="Y175">
        <f>HYPERLINK("https://klasma.github.io/Logging_2260/tillsynsmail/A 43721-2025 tillsynsbegäran mail.docx", "A 43721-2025")</f>
        <v/>
      </c>
    </row>
    <row r="176" ht="15" customHeight="1">
      <c r="A176" t="inlineStr">
        <is>
          <t>A 8324-2025</t>
        </is>
      </c>
      <c r="B176" s="1" t="n">
        <v>45708.63621527778</v>
      </c>
      <c r="C176" s="1" t="n">
        <v>46065</v>
      </c>
      <c r="D176" t="inlineStr">
        <is>
          <t>VÄSTERNORRLANDS LÄN</t>
        </is>
      </c>
      <c r="E176" t="inlineStr">
        <is>
          <t>ÅNGE</t>
        </is>
      </c>
      <c r="F176" t="inlineStr">
        <is>
          <t>SCA</t>
        </is>
      </c>
      <c r="G176" t="n">
        <v>7.8</v>
      </c>
      <c r="H176" t="n">
        <v>0</v>
      </c>
      <c r="I176" t="n">
        <v>1</v>
      </c>
      <c r="J176" t="n">
        <v>1</v>
      </c>
      <c r="K176" t="n">
        <v>0</v>
      </c>
      <c r="L176" t="n">
        <v>0</v>
      </c>
      <c r="M176" t="n">
        <v>0</v>
      </c>
      <c r="N176" t="n">
        <v>0</v>
      </c>
      <c r="O176" t="n">
        <v>1</v>
      </c>
      <c r="P176" t="n">
        <v>0</v>
      </c>
      <c r="Q176" t="n">
        <v>2</v>
      </c>
      <c r="R176" s="2" t="inlineStr">
        <is>
          <t>Vitgrynig nållav
Bollvitmossa</t>
        </is>
      </c>
      <c r="S176">
        <f>HYPERLINK("https://klasma.github.io/Logging_2260/artfynd/A 8324-2025 artfynd.xlsx", "A 8324-2025")</f>
        <v/>
      </c>
      <c r="T176">
        <f>HYPERLINK("https://klasma.github.io/Logging_2260/kartor/A 8324-2025 karta.png", "A 8324-2025")</f>
        <v/>
      </c>
      <c r="V176">
        <f>HYPERLINK("https://klasma.github.io/Logging_2260/klagomål/A 8324-2025 FSC-klagomål.docx", "A 8324-2025")</f>
        <v/>
      </c>
      <c r="W176">
        <f>HYPERLINK("https://klasma.github.io/Logging_2260/klagomålsmail/A 8324-2025 FSC-klagomål mail.docx", "A 8324-2025")</f>
        <v/>
      </c>
      <c r="X176">
        <f>HYPERLINK("https://klasma.github.io/Logging_2260/tillsyn/A 8324-2025 tillsynsbegäran.docx", "A 8324-2025")</f>
        <v/>
      </c>
      <c r="Y176">
        <f>HYPERLINK("https://klasma.github.io/Logging_2260/tillsynsmail/A 8324-2025 tillsynsbegäran mail.docx", "A 8324-2025")</f>
        <v/>
      </c>
    </row>
    <row r="177" ht="15" customHeight="1">
      <c r="A177" t="inlineStr">
        <is>
          <t>A 21453-2025</t>
        </is>
      </c>
      <c r="B177" s="1" t="n">
        <v>45782.55311342593</v>
      </c>
      <c r="C177" s="1" t="n">
        <v>46065</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24176-2025</t>
        </is>
      </c>
      <c r="B178" s="1" t="n">
        <v>45796.69832175926</v>
      </c>
      <c r="C178" s="1" t="n">
        <v>46065</v>
      </c>
      <c r="D178" t="inlineStr">
        <is>
          <t>VÄSTERNORRLANDS LÄN</t>
        </is>
      </c>
      <c r="E178" t="inlineStr">
        <is>
          <t>ÅNGE</t>
        </is>
      </c>
      <c r="F178" t="inlineStr">
        <is>
          <t>SCA</t>
        </is>
      </c>
      <c r="G178" t="n">
        <v>3.9</v>
      </c>
      <c r="H178" t="n">
        <v>0</v>
      </c>
      <c r="I178" t="n">
        <v>1</v>
      </c>
      <c r="J178" t="n">
        <v>1</v>
      </c>
      <c r="K178" t="n">
        <v>0</v>
      </c>
      <c r="L178" t="n">
        <v>0</v>
      </c>
      <c r="M178" t="n">
        <v>0</v>
      </c>
      <c r="N178" t="n">
        <v>0</v>
      </c>
      <c r="O178" t="n">
        <v>1</v>
      </c>
      <c r="P178" t="n">
        <v>0</v>
      </c>
      <c r="Q178" t="n">
        <v>2</v>
      </c>
      <c r="R178" s="2" t="inlineStr">
        <is>
          <t>Vitgrynig nållav
Vedticka</t>
        </is>
      </c>
      <c r="S178">
        <f>HYPERLINK("https://klasma.github.io/Logging_2260/artfynd/A 24176-2025 artfynd.xlsx", "A 24176-2025")</f>
        <v/>
      </c>
      <c r="T178">
        <f>HYPERLINK("https://klasma.github.io/Logging_2260/kartor/A 24176-2025 karta.png", "A 24176-2025")</f>
        <v/>
      </c>
      <c r="V178">
        <f>HYPERLINK("https://klasma.github.io/Logging_2260/klagomål/A 24176-2025 FSC-klagomål.docx", "A 24176-2025")</f>
        <v/>
      </c>
      <c r="W178">
        <f>HYPERLINK("https://klasma.github.io/Logging_2260/klagomålsmail/A 24176-2025 FSC-klagomål mail.docx", "A 24176-2025")</f>
        <v/>
      </c>
      <c r="X178">
        <f>HYPERLINK("https://klasma.github.io/Logging_2260/tillsyn/A 24176-2025 tillsynsbegäran.docx", "A 24176-2025")</f>
        <v/>
      </c>
      <c r="Y178">
        <f>HYPERLINK("https://klasma.github.io/Logging_2260/tillsynsmail/A 24176-2025 tillsynsbegäran mail.docx", "A 24176-2025")</f>
        <v/>
      </c>
    </row>
    <row r="179" ht="15" customHeight="1">
      <c r="A179" t="inlineStr">
        <is>
          <t>A 54625-2025</t>
        </is>
      </c>
      <c r="B179" s="1" t="n">
        <v>45966.34552083333</v>
      </c>
      <c r="C179" s="1" t="n">
        <v>46065</v>
      </c>
      <c r="D179" t="inlineStr">
        <is>
          <t>VÄSTERNORRLANDS LÄN</t>
        </is>
      </c>
      <c r="E179" t="inlineStr">
        <is>
          <t>ÅNGE</t>
        </is>
      </c>
      <c r="F179" t="inlineStr">
        <is>
          <t>SCA</t>
        </is>
      </c>
      <c r="G179" t="n">
        <v>2.5</v>
      </c>
      <c r="H179" t="n">
        <v>1</v>
      </c>
      <c r="I179" t="n">
        <v>1</v>
      </c>
      <c r="J179" t="n">
        <v>1</v>
      </c>
      <c r="K179" t="n">
        <v>0</v>
      </c>
      <c r="L179" t="n">
        <v>0</v>
      </c>
      <c r="M179" t="n">
        <v>0</v>
      </c>
      <c r="N179" t="n">
        <v>0</v>
      </c>
      <c r="O179" t="n">
        <v>1</v>
      </c>
      <c r="P179" t="n">
        <v>0</v>
      </c>
      <c r="Q179" t="n">
        <v>2</v>
      </c>
      <c r="R179" s="2" t="inlineStr">
        <is>
          <t>Talltita
Dropptaggsvamp</t>
        </is>
      </c>
      <c r="S179">
        <f>HYPERLINK("https://klasma.github.io/Logging_2260/artfynd/A 54625-2025 artfynd.xlsx", "A 54625-2025")</f>
        <v/>
      </c>
      <c r="T179">
        <f>HYPERLINK("https://klasma.github.io/Logging_2260/kartor/A 54625-2025 karta.png", "A 54625-2025")</f>
        <v/>
      </c>
      <c r="V179">
        <f>HYPERLINK("https://klasma.github.io/Logging_2260/klagomål/A 54625-2025 FSC-klagomål.docx", "A 54625-2025")</f>
        <v/>
      </c>
      <c r="W179">
        <f>HYPERLINK("https://klasma.github.io/Logging_2260/klagomålsmail/A 54625-2025 FSC-klagomål mail.docx", "A 54625-2025")</f>
        <v/>
      </c>
      <c r="X179">
        <f>HYPERLINK("https://klasma.github.io/Logging_2260/tillsyn/A 54625-2025 tillsynsbegäran.docx", "A 54625-2025")</f>
        <v/>
      </c>
      <c r="Y179">
        <f>HYPERLINK("https://klasma.github.io/Logging_2260/tillsynsmail/A 54625-2025 tillsynsbegäran mail.docx", "A 54625-2025")</f>
        <v/>
      </c>
      <c r="Z179">
        <f>HYPERLINK("https://klasma.github.io/Logging_2260/fåglar/A 54625-2025 prioriterade fågelarter.docx", "A 54625-2025")</f>
        <v/>
      </c>
    </row>
    <row r="180" ht="15" customHeight="1">
      <c r="A180" t="inlineStr">
        <is>
          <t>A 5638-2026</t>
        </is>
      </c>
      <c r="B180" s="1" t="n">
        <v>46051</v>
      </c>
      <c r="C180" s="1" t="n">
        <v>46065</v>
      </c>
      <c r="D180" t="inlineStr">
        <is>
          <t>VÄSTERNORRLANDS LÄN</t>
        </is>
      </c>
      <c r="E180" t="inlineStr">
        <is>
          <t>ÅNGE</t>
        </is>
      </c>
      <c r="G180" t="n">
        <v>0.9</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5638-2026 artfynd.xlsx", "A 5638-2026")</f>
        <v/>
      </c>
      <c r="T180">
        <f>HYPERLINK("https://klasma.github.io/Logging_2260/kartor/A 5638-2026 karta.png", "A 5638-2026")</f>
        <v/>
      </c>
      <c r="V180">
        <f>HYPERLINK("https://klasma.github.io/Logging_2260/klagomål/A 5638-2026 FSC-klagomål.docx", "A 5638-2026")</f>
        <v/>
      </c>
      <c r="W180">
        <f>HYPERLINK("https://klasma.github.io/Logging_2260/klagomålsmail/A 5638-2026 FSC-klagomål mail.docx", "A 5638-2026")</f>
        <v/>
      </c>
      <c r="X180">
        <f>HYPERLINK("https://klasma.github.io/Logging_2260/tillsyn/A 5638-2026 tillsynsbegäran.docx", "A 5638-2026")</f>
        <v/>
      </c>
      <c r="Y180">
        <f>HYPERLINK("https://klasma.github.io/Logging_2260/tillsynsmail/A 5638-2026 tillsynsbegäran mail.docx", "A 5638-2026")</f>
        <v/>
      </c>
    </row>
    <row r="181" ht="15" customHeight="1">
      <c r="A181" t="inlineStr">
        <is>
          <t>A 20367-2022</t>
        </is>
      </c>
      <c r="B181" s="1" t="n">
        <v>44699</v>
      </c>
      <c r="C181" s="1" t="n">
        <v>46065</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46065</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35018-2021</t>
        </is>
      </c>
      <c r="B183" s="1" t="n">
        <v>44383.69549768518</v>
      </c>
      <c r="C183" s="1" t="n">
        <v>46065</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61479-2021</t>
        </is>
      </c>
      <c r="B184" s="1" t="n">
        <v>44500</v>
      </c>
      <c r="C184" s="1" t="n">
        <v>46065</v>
      </c>
      <c r="D184" t="inlineStr">
        <is>
          <t>VÄSTERNORRLANDS LÄN</t>
        </is>
      </c>
      <c r="E184" t="inlineStr">
        <is>
          <t>ÅNGE</t>
        </is>
      </c>
      <c r="F184" t="inlineStr">
        <is>
          <t>SCA</t>
        </is>
      </c>
      <c r="G184" t="n">
        <v>7.2</v>
      </c>
      <c r="H184" t="n">
        <v>1</v>
      </c>
      <c r="I184" t="n">
        <v>0</v>
      </c>
      <c r="J184" t="n">
        <v>0</v>
      </c>
      <c r="K184" t="n">
        <v>1</v>
      </c>
      <c r="L184" t="n">
        <v>0</v>
      </c>
      <c r="M184" t="n">
        <v>0</v>
      </c>
      <c r="N184" t="n">
        <v>0</v>
      </c>
      <c r="O184" t="n">
        <v>1</v>
      </c>
      <c r="P184" t="n">
        <v>1</v>
      </c>
      <c r="Q184" t="n">
        <v>1</v>
      </c>
      <c r="R184" s="2" t="inlineStr">
        <is>
          <t>Knärot</t>
        </is>
      </c>
      <c r="S184">
        <f>HYPERLINK("https://klasma.github.io/Logging_2260/artfynd/A 61479-2021 artfynd.xlsx", "A 61479-2021")</f>
        <v/>
      </c>
      <c r="T184">
        <f>HYPERLINK("https://klasma.github.io/Logging_2260/kartor/A 61479-2021 karta.png", "A 61479-2021")</f>
        <v/>
      </c>
      <c r="U184">
        <f>HYPERLINK("https://klasma.github.io/Logging_2260/knärot/A 61479-2021 karta knärot.png", "A 61479-2021")</f>
        <v/>
      </c>
      <c r="V184">
        <f>HYPERLINK("https://klasma.github.io/Logging_2260/klagomål/A 61479-2021 FSC-klagomål.docx", "A 61479-2021")</f>
        <v/>
      </c>
      <c r="W184">
        <f>HYPERLINK("https://klasma.github.io/Logging_2260/klagomålsmail/A 61479-2021 FSC-klagomål mail.docx", "A 61479-2021")</f>
        <v/>
      </c>
      <c r="X184">
        <f>HYPERLINK("https://klasma.github.io/Logging_2260/tillsyn/A 61479-2021 tillsynsbegäran.docx", "A 61479-2021")</f>
        <v/>
      </c>
      <c r="Y184">
        <f>HYPERLINK("https://klasma.github.io/Logging_2260/tillsynsmail/A 61479-2021 tillsynsbegäran mail.docx", "A 61479-2021")</f>
        <v/>
      </c>
    </row>
    <row r="185" ht="15" customHeight="1">
      <c r="A185" t="inlineStr">
        <is>
          <t>A 31578-2021</t>
        </is>
      </c>
      <c r="B185" s="1" t="n">
        <v>44369</v>
      </c>
      <c r="C185" s="1" t="n">
        <v>46065</v>
      </c>
      <c r="D185" t="inlineStr">
        <is>
          <t>VÄSTERNORRLANDS LÄN</t>
        </is>
      </c>
      <c r="E185" t="inlineStr">
        <is>
          <t>ÅNGE</t>
        </is>
      </c>
      <c r="G185" t="n">
        <v>25.8</v>
      </c>
      <c r="H185" t="n">
        <v>1</v>
      </c>
      <c r="I185" t="n">
        <v>0</v>
      </c>
      <c r="J185" t="n">
        <v>0</v>
      </c>
      <c r="K185" t="n">
        <v>1</v>
      </c>
      <c r="L185" t="n">
        <v>0</v>
      </c>
      <c r="M185" t="n">
        <v>0</v>
      </c>
      <c r="N185" t="n">
        <v>0</v>
      </c>
      <c r="O185" t="n">
        <v>1</v>
      </c>
      <c r="P185" t="n">
        <v>1</v>
      </c>
      <c r="Q185" t="n">
        <v>1</v>
      </c>
      <c r="R185" s="2" t="inlineStr">
        <is>
          <t>Knärot</t>
        </is>
      </c>
      <c r="S185">
        <f>HYPERLINK("https://klasma.github.io/Logging_2260/artfynd/A 31578-2021 artfynd.xlsx", "A 31578-2021")</f>
        <v/>
      </c>
      <c r="T185">
        <f>HYPERLINK("https://klasma.github.io/Logging_2260/kartor/A 31578-2021 karta.png", "A 31578-2021")</f>
        <v/>
      </c>
      <c r="U185">
        <f>HYPERLINK("https://klasma.github.io/Logging_2260/knärot/A 31578-2021 karta knärot.png", "A 31578-2021")</f>
        <v/>
      </c>
      <c r="V185">
        <f>HYPERLINK("https://klasma.github.io/Logging_2260/klagomål/A 31578-2021 FSC-klagomål.docx", "A 31578-2021")</f>
        <v/>
      </c>
      <c r="W185">
        <f>HYPERLINK("https://klasma.github.io/Logging_2260/klagomålsmail/A 31578-2021 FSC-klagomål mail.docx", "A 31578-2021")</f>
        <v/>
      </c>
      <c r="X185">
        <f>HYPERLINK("https://klasma.github.io/Logging_2260/tillsyn/A 31578-2021 tillsynsbegäran.docx", "A 31578-2021")</f>
        <v/>
      </c>
      <c r="Y185">
        <f>HYPERLINK("https://klasma.github.io/Logging_2260/tillsynsmail/A 31578-2021 tillsynsbegäran mail.docx", "A 31578-2021")</f>
        <v/>
      </c>
    </row>
    <row r="186" ht="15" customHeight="1">
      <c r="A186" t="inlineStr">
        <is>
          <t>A 38606-2024</t>
        </is>
      </c>
      <c r="B186" s="1" t="n">
        <v>45546.67804398148</v>
      </c>
      <c r="C186" s="1" t="n">
        <v>46065</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31544-2024</t>
        </is>
      </c>
      <c r="B187" s="1" t="n">
        <v>45505</v>
      </c>
      <c r="C187" s="1" t="n">
        <v>46065</v>
      </c>
      <c r="D187" t="inlineStr">
        <is>
          <t>VÄSTERNORRLANDS LÄN</t>
        </is>
      </c>
      <c r="E187" t="inlineStr">
        <is>
          <t>ÅNGE</t>
        </is>
      </c>
      <c r="F187" t="inlineStr">
        <is>
          <t>SCA</t>
        </is>
      </c>
      <c r="G187" t="n">
        <v>3.5</v>
      </c>
      <c r="H187" t="n">
        <v>0</v>
      </c>
      <c r="I187" t="n">
        <v>0</v>
      </c>
      <c r="J187" t="n">
        <v>1</v>
      </c>
      <c r="K187" t="n">
        <v>0</v>
      </c>
      <c r="L187" t="n">
        <v>0</v>
      </c>
      <c r="M187" t="n">
        <v>0</v>
      </c>
      <c r="N187" t="n">
        <v>0</v>
      </c>
      <c r="O187" t="n">
        <v>1</v>
      </c>
      <c r="P187" t="n">
        <v>0</v>
      </c>
      <c r="Q187" t="n">
        <v>1</v>
      </c>
      <c r="R187" s="2" t="inlineStr">
        <is>
          <t>Granticka</t>
        </is>
      </c>
      <c r="S187">
        <f>HYPERLINK("https://klasma.github.io/Logging_2260/artfynd/A 31544-2024 artfynd.xlsx", "A 31544-2024")</f>
        <v/>
      </c>
      <c r="T187">
        <f>HYPERLINK("https://klasma.github.io/Logging_2260/kartor/A 31544-2024 karta.png", "A 31544-2024")</f>
        <v/>
      </c>
      <c r="V187">
        <f>HYPERLINK("https://klasma.github.io/Logging_2260/klagomål/A 31544-2024 FSC-klagomål.docx", "A 31544-2024")</f>
        <v/>
      </c>
      <c r="W187">
        <f>HYPERLINK("https://klasma.github.io/Logging_2260/klagomålsmail/A 31544-2024 FSC-klagomål mail.docx", "A 31544-2024")</f>
        <v/>
      </c>
      <c r="X187">
        <f>HYPERLINK("https://klasma.github.io/Logging_2260/tillsyn/A 31544-2024 tillsynsbegäran.docx", "A 31544-2024")</f>
        <v/>
      </c>
      <c r="Y187">
        <f>HYPERLINK("https://klasma.github.io/Logging_2260/tillsynsmail/A 31544-2024 tillsynsbegäran mail.docx", "A 31544-2024")</f>
        <v/>
      </c>
    </row>
    <row r="188" ht="15" customHeight="1">
      <c r="A188" t="inlineStr">
        <is>
          <t>A 43171-2024</t>
        </is>
      </c>
      <c r="B188" s="1" t="n">
        <v>45567</v>
      </c>
      <c r="C188" s="1" t="n">
        <v>46065</v>
      </c>
      <c r="D188" t="inlineStr">
        <is>
          <t>VÄSTERNORRLANDS LÄN</t>
        </is>
      </c>
      <c r="E188" t="inlineStr">
        <is>
          <t>ÅNGE</t>
        </is>
      </c>
      <c r="F188" t="inlineStr">
        <is>
          <t>SCA</t>
        </is>
      </c>
      <c r="G188" t="n">
        <v>3.4</v>
      </c>
      <c r="H188" t="n">
        <v>0</v>
      </c>
      <c r="I188" t="n">
        <v>0</v>
      </c>
      <c r="J188" t="n">
        <v>1</v>
      </c>
      <c r="K188" t="n">
        <v>0</v>
      </c>
      <c r="L188" t="n">
        <v>0</v>
      </c>
      <c r="M188" t="n">
        <v>0</v>
      </c>
      <c r="N188" t="n">
        <v>0</v>
      </c>
      <c r="O188" t="n">
        <v>1</v>
      </c>
      <c r="P188" t="n">
        <v>0</v>
      </c>
      <c r="Q188" t="n">
        <v>1</v>
      </c>
      <c r="R188" s="2" t="inlineStr">
        <is>
          <t>Rosenticka</t>
        </is>
      </c>
      <c r="S188">
        <f>HYPERLINK("https://klasma.github.io/Logging_2260/artfynd/A 43171-2024 artfynd.xlsx", "A 43171-2024")</f>
        <v/>
      </c>
      <c r="T188">
        <f>HYPERLINK("https://klasma.github.io/Logging_2260/kartor/A 43171-2024 karta.png", "A 43171-2024")</f>
        <v/>
      </c>
      <c r="V188">
        <f>HYPERLINK("https://klasma.github.io/Logging_2260/klagomål/A 43171-2024 FSC-klagomål.docx", "A 43171-2024")</f>
        <v/>
      </c>
      <c r="W188">
        <f>HYPERLINK("https://klasma.github.io/Logging_2260/klagomålsmail/A 43171-2024 FSC-klagomål mail.docx", "A 43171-2024")</f>
        <v/>
      </c>
      <c r="X188">
        <f>HYPERLINK("https://klasma.github.io/Logging_2260/tillsyn/A 43171-2024 tillsynsbegäran.docx", "A 43171-2024")</f>
        <v/>
      </c>
      <c r="Y188">
        <f>HYPERLINK("https://klasma.github.io/Logging_2260/tillsynsmail/A 43171-2024 tillsynsbegäran mail.docx", "A 43171-2024")</f>
        <v/>
      </c>
    </row>
    <row r="189" ht="15" customHeight="1">
      <c r="A189" t="inlineStr">
        <is>
          <t>A 30774-2024</t>
        </is>
      </c>
      <c r="B189" s="1" t="n">
        <v>45496.949375</v>
      </c>
      <c r="C189" s="1" t="n">
        <v>46065</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50651-2021</t>
        </is>
      </c>
      <c r="B190" s="1" t="n">
        <v>44459</v>
      </c>
      <c r="C190" s="1" t="n">
        <v>46065</v>
      </c>
      <c r="D190" t="inlineStr">
        <is>
          <t>VÄSTERNORRLANDS LÄN</t>
        </is>
      </c>
      <c r="E190" t="inlineStr">
        <is>
          <t>ÅNGE</t>
        </is>
      </c>
      <c r="G190" t="n">
        <v>20.6</v>
      </c>
      <c r="H190" t="n">
        <v>0</v>
      </c>
      <c r="I190" t="n">
        <v>0</v>
      </c>
      <c r="J190" t="n">
        <v>1</v>
      </c>
      <c r="K190" t="n">
        <v>0</v>
      </c>
      <c r="L190" t="n">
        <v>0</v>
      </c>
      <c r="M190" t="n">
        <v>0</v>
      </c>
      <c r="N190" t="n">
        <v>0</v>
      </c>
      <c r="O190" t="n">
        <v>1</v>
      </c>
      <c r="P190" t="n">
        <v>0</v>
      </c>
      <c r="Q190" t="n">
        <v>1</v>
      </c>
      <c r="R190" s="2" t="inlineStr">
        <is>
          <t>Garnlav</t>
        </is>
      </c>
      <c r="S190">
        <f>HYPERLINK("https://klasma.github.io/Logging_2260/artfynd/A 50651-2021 artfynd.xlsx", "A 50651-2021")</f>
        <v/>
      </c>
      <c r="T190">
        <f>HYPERLINK("https://klasma.github.io/Logging_2260/kartor/A 50651-2021 karta.png", "A 50651-2021")</f>
        <v/>
      </c>
      <c r="V190">
        <f>HYPERLINK("https://klasma.github.io/Logging_2260/klagomål/A 50651-2021 FSC-klagomål.docx", "A 50651-2021")</f>
        <v/>
      </c>
      <c r="W190">
        <f>HYPERLINK("https://klasma.github.io/Logging_2260/klagomålsmail/A 50651-2021 FSC-klagomål mail.docx", "A 50651-2021")</f>
        <v/>
      </c>
      <c r="X190">
        <f>HYPERLINK("https://klasma.github.io/Logging_2260/tillsyn/A 50651-2021 tillsynsbegäran.docx", "A 50651-2021")</f>
        <v/>
      </c>
      <c r="Y190">
        <f>HYPERLINK("https://klasma.github.io/Logging_2260/tillsynsmail/A 50651-2021 tillsynsbegäran mail.docx", "A 50651-2021")</f>
        <v/>
      </c>
    </row>
    <row r="191" ht="15" customHeight="1">
      <c r="A191" t="inlineStr">
        <is>
          <t>A 64510-2023</t>
        </is>
      </c>
      <c r="B191" s="1" t="n">
        <v>45281</v>
      </c>
      <c r="C191" s="1" t="n">
        <v>46065</v>
      </c>
      <c r="D191" t="inlineStr">
        <is>
          <t>VÄSTERNORRLANDS LÄN</t>
        </is>
      </c>
      <c r="E191" t="inlineStr">
        <is>
          <t>ÅNGE</t>
        </is>
      </c>
      <c r="G191" t="n">
        <v>3.7</v>
      </c>
      <c r="H191" t="n">
        <v>0</v>
      </c>
      <c r="I191" t="n">
        <v>1</v>
      </c>
      <c r="J191" t="n">
        <v>0</v>
      </c>
      <c r="K191" t="n">
        <v>0</v>
      </c>
      <c r="L191" t="n">
        <v>0</v>
      </c>
      <c r="M191" t="n">
        <v>0</v>
      </c>
      <c r="N191" t="n">
        <v>0</v>
      </c>
      <c r="O191" t="n">
        <v>0</v>
      </c>
      <c r="P191" t="n">
        <v>0</v>
      </c>
      <c r="Q191" t="n">
        <v>1</v>
      </c>
      <c r="R191" s="2" t="inlineStr">
        <is>
          <t>Dropptaggsvamp</t>
        </is>
      </c>
      <c r="S191">
        <f>HYPERLINK("https://klasma.github.io/Logging_2260/artfynd/A 64510-2023 artfynd.xlsx", "A 64510-2023")</f>
        <v/>
      </c>
      <c r="T191">
        <f>HYPERLINK("https://klasma.github.io/Logging_2260/kartor/A 64510-2023 karta.png", "A 64510-2023")</f>
        <v/>
      </c>
      <c r="V191">
        <f>HYPERLINK("https://klasma.github.io/Logging_2260/klagomål/A 64510-2023 FSC-klagomål.docx", "A 64510-2023")</f>
        <v/>
      </c>
      <c r="W191">
        <f>HYPERLINK("https://klasma.github.io/Logging_2260/klagomålsmail/A 64510-2023 FSC-klagomål mail.docx", "A 64510-2023")</f>
        <v/>
      </c>
      <c r="X191">
        <f>HYPERLINK("https://klasma.github.io/Logging_2260/tillsyn/A 64510-2023 tillsynsbegäran.docx", "A 64510-2023")</f>
        <v/>
      </c>
      <c r="Y191">
        <f>HYPERLINK("https://klasma.github.io/Logging_2260/tillsynsmail/A 64510-2023 tillsynsbegäran mail.docx", "A 64510-2023")</f>
        <v/>
      </c>
    </row>
    <row r="192" ht="15" customHeight="1">
      <c r="A192" t="inlineStr">
        <is>
          <t>A 38603-2024</t>
        </is>
      </c>
      <c r="B192" s="1" t="n">
        <v>45546</v>
      </c>
      <c r="C192" s="1" t="n">
        <v>46065</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20192-2025</t>
        </is>
      </c>
      <c r="B193" s="1" t="n">
        <v>45772.60177083333</v>
      </c>
      <c r="C193" s="1" t="n">
        <v>46065</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24798-2024</t>
        </is>
      </c>
      <c r="B194" s="1" t="n">
        <v>45460.95277777778</v>
      </c>
      <c r="C194" s="1" t="n">
        <v>46065</v>
      </c>
      <c r="D194" t="inlineStr">
        <is>
          <t>VÄSTERNORRLANDS LÄN</t>
        </is>
      </c>
      <c r="E194" t="inlineStr">
        <is>
          <t>ÅNGE</t>
        </is>
      </c>
      <c r="F194" t="inlineStr">
        <is>
          <t>SCA</t>
        </is>
      </c>
      <c r="G194" t="n">
        <v>1.3</v>
      </c>
      <c r="H194" t="n">
        <v>0</v>
      </c>
      <c r="I194" t="n">
        <v>0</v>
      </c>
      <c r="J194" t="n">
        <v>1</v>
      </c>
      <c r="K194" t="n">
        <v>0</v>
      </c>
      <c r="L194" t="n">
        <v>0</v>
      </c>
      <c r="M194" t="n">
        <v>0</v>
      </c>
      <c r="N194" t="n">
        <v>0</v>
      </c>
      <c r="O194" t="n">
        <v>1</v>
      </c>
      <c r="P194" t="n">
        <v>0</v>
      </c>
      <c r="Q194" t="n">
        <v>1</v>
      </c>
      <c r="R194" s="2" t="inlineStr">
        <is>
          <t>Lunglav</t>
        </is>
      </c>
      <c r="S194">
        <f>HYPERLINK("https://klasma.github.io/Logging_2260/artfynd/A 24798-2024 artfynd.xlsx", "A 24798-2024")</f>
        <v/>
      </c>
      <c r="T194">
        <f>HYPERLINK("https://klasma.github.io/Logging_2260/kartor/A 24798-2024 karta.png", "A 24798-2024")</f>
        <v/>
      </c>
      <c r="V194">
        <f>HYPERLINK("https://klasma.github.io/Logging_2260/klagomål/A 24798-2024 FSC-klagomål.docx", "A 24798-2024")</f>
        <v/>
      </c>
      <c r="W194">
        <f>HYPERLINK("https://klasma.github.io/Logging_2260/klagomålsmail/A 24798-2024 FSC-klagomål mail.docx", "A 24798-2024")</f>
        <v/>
      </c>
      <c r="X194">
        <f>HYPERLINK("https://klasma.github.io/Logging_2260/tillsyn/A 24798-2024 tillsynsbegäran.docx", "A 24798-2024")</f>
        <v/>
      </c>
      <c r="Y194">
        <f>HYPERLINK("https://klasma.github.io/Logging_2260/tillsynsmail/A 24798-2024 tillsynsbegäran mail.docx", "A 24798-2024")</f>
        <v/>
      </c>
    </row>
    <row r="195" ht="15" customHeight="1">
      <c r="A195" t="inlineStr">
        <is>
          <t>A 24799-2024</t>
        </is>
      </c>
      <c r="B195" s="1" t="n">
        <v>45460</v>
      </c>
      <c r="C195" s="1" t="n">
        <v>46065</v>
      </c>
      <c r="D195" t="inlineStr">
        <is>
          <t>VÄSTERNORRLANDS LÄN</t>
        </is>
      </c>
      <c r="E195" t="inlineStr">
        <is>
          <t>ÅNGE</t>
        </is>
      </c>
      <c r="F195" t="inlineStr">
        <is>
          <t>SCA</t>
        </is>
      </c>
      <c r="G195" t="n">
        <v>2.8</v>
      </c>
      <c r="H195" t="n">
        <v>1</v>
      </c>
      <c r="I195" t="n">
        <v>0</v>
      </c>
      <c r="J195" t="n">
        <v>0</v>
      </c>
      <c r="K195" t="n">
        <v>1</v>
      </c>
      <c r="L195" t="n">
        <v>0</v>
      </c>
      <c r="M195" t="n">
        <v>0</v>
      </c>
      <c r="N195" t="n">
        <v>0</v>
      </c>
      <c r="O195" t="n">
        <v>1</v>
      </c>
      <c r="P195" t="n">
        <v>1</v>
      </c>
      <c r="Q195" t="n">
        <v>1</v>
      </c>
      <c r="R195" s="2" t="inlineStr">
        <is>
          <t>Doftticka</t>
        </is>
      </c>
      <c r="S195">
        <f>HYPERLINK("https://klasma.github.io/Logging_2260/artfynd/A 24799-2024 artfynd.xlsx", "A 24799-2024")</f>
        <v/>
      </c>
      <c r="T195">
        <f>HYPERLINK("https://klasma.github.io/Logging_2260/kartor/A 24799-2024 karta.png", "A 24799-2024")</f>
        <v/>
      </c>
      <c r="V195">
        <f>HYPERLINK("https://klasma.github.io/Logging_2260/klagomål/A 24799-2024 FSC-klagomål.docx", "A 24799-2024")</f>
        <v/>
      </c>
      <c r="W195">
        <f>HYPERLINK("https://klasma.github.io/Logging_2260/klagomålsmail/A 24799-2024 FSC-klagomål mail.docx", "A 24799-2024")</f>
        <v/>
      </c>
      <c r="X195">
        <f>HYPERLINK("https://klasma.github.io/Logging_2260/tillsyn/A 24799-2024 tillsynsbegäran.docx", "A 24799-2024")</f>
        <v/>
      </c>
      <c r="Y195">
        <f>HYPERLINK("https://klasma.github.io/Logging_2260/tillsynsmail/A 24799-2024 tillsynsbegäran mail.docx", "A 24799-2024")</f>
        <v/>
      </c>
    </row>
    <row r="196" ht="15" customHeight="1">
      <c r="A196" t="inlineStr">
        <is>
          <t>A 13934-2024</t>
        </is>
      </c>
      <c r="B196" s="1" t="n">
        <v>45391</v>
      </c>
      <c r="C196" s="1" t="n">
        <v>46065</v>
      </c>
      <c r="D196" t="inlineStr">
        <is>
          <t>VÄSTERNORRLANDS LÄN</t>
        </is>
      </c>
      <c r="E196" t="inlineStr">
        <is>
          <t>ÅNGE</t>
        </is>
      </c>
      <c r="F196" t="inlineStr">
        <is>
          <t>SCA</t>
        </is>
      </c>
      <c r="G196" t="n">
        <v>5.8</v>
      </c>
      <c r="H196" t="n">
        <v>0</v>
      </c>
      <c r="I196" t="n">
        <v>0</v>
      </c>
      <c r="J196" t="n">
        <v>1</v>
      </c>
      <c r="K196" t="n">
        <v>0</v>
      </c>
      <c r="L196" t="n">
        <v>0</v>
      </c>
      <c r="M196" t="n">
        <v>0</v>
      </c>
      <c r="N196" t="n">
        <v>0</v>
      </c>
      <c r="O196" t="n">
        <v>1</v>
      </c>
      <c r="P196" t="n">
        <v>0</v>
      </c>
      <c r="Q196" t="n">
        <v>1</v>
      </c>
      <c r="R196" s="2" t="inlineStr">
        <is>
          <t>Ullticka</t>
        </is>
      </c>
      <c r="S196">
        <f>HYPERLINK("https://klasma.github.io/Logging_2260/artfynd/A 13934-2024 artfynd.xlsx", "A 13934-2024")</f>
        <v/>
      </c>
      <c r="T196">
        <f>HYPERLINK("https://klasma.github.io/Logging_2260/kartor/A 13934-2024 karta.png", "A 13934-2024")</f>
        <v/>
      </c>
      <c r="V196">
        <f>HYPERLINK("https://klasma.github.io/Logging_2260/klagomål/A 13934-2024 FSC-klagomål.docx", "A 13934-2024")</f>
        <v/>
      </c>
      <c r="W196">
        <f>HYPERLINK("https://klasma.github.io/Logging_2260/klagomålsmail/A 13934-2024 FSC-klagomål mail.docx", "A 13934-2024")</f>
        <v/>
      </c>
      <c r="X196">
        <f>HYPERLINK("https://klasma.github.io/Logging_2260/tillsyn/A 13934-2024 tillsynsbegäran.docx", "A 13934-2024")</f>
        <v/>
      </c>
      <c r="Y196">
        <f>HYPERLINK("https://klasma.github.io/Logging_2260/tillsynsmail/A 13934-2024 tillsynsbegäran mail.docx", "A 13934-2024")</f>
        <v/>
      </c>
    </row>
    <row r="197" ht="15" customHeight="1">
      <c r="A197" t="inlineStr">
        <is>
          <t>A 37914-2024</t>
        </is>
      </c>
      <c r="B197" s="1" t="n">
        <v>45544</v>
      </c>
      <c r="C197" s="1" t="n">
        <v>46065</v>
      </c>
      <c r="D197" t="inlineStr">
        <is>
          <t>VÄSTERNORRLANDS LÄN</t>
        </is>
      </c>
      <c r="E197" t="inlineStr">
        <is>
          <t>ÅNGE</t>
        </is>
      </c>
      <c r="F197" t="inlineStr">
        <is>
          <t>SCA</t>
        </is>
      </c>
      <c r="G197" t="n">
        <v>9</v>
      </c>
      <c r="H197" t="n">
        <v>0</v>
      </c>
      <c r="I197" t="n">
        <v>0</v>
      </c>
      <c r="J197" t="n">
        <v>1</v>
      </c>
      <c r="K197" t="n">
        <v>0</v>
      </c>
      <c r="L197" t="n">
        <v>0</v>
      </c>
      <c r="M197" t="n">
        <v>0</v>
      </c>
      <c r="N197" t="n">
        <v>0</v>
      </c>
      <c r="O197" t="n">
        <v>1</v>
      </c>
      <c r="P197" t="n">
        <v>0</v>
      </c>
      <c r="Q197" t="n">
        <v>1</v>
      </c>
      <c r="R197" s="2" t="inlineStr">
        <is>
          <t>Granticka</t>
        </is>
      </c>
      <c r="S197">
        <f>HYPERLINK("https://klasma.github.io/Logging_2260/artfynd/A 37914-2024 artfynd.xlsx", "A 37914-2024")</f>
        <v/>
      </c>
      <c r="T197">
        <f>HYPERLINK("https://klasma.github.io/Logging_2260/kartor/A 37914-2024 karta.png", "A 37914-2024")</f>
        <v/>
      </c>
      <c r="V197">
        <f>HYPERLINK("https://klasma.github.io/Logging_2260/klagomål/A 37914-2024 FSC-klagomål.docx", "A 37914-2024")</f>
        <v/>
      </c>
      <c r="W197">
        <f>HYPERLINK("https://klasma.github.io/Logging_2260/klagomålsmail/A 37914-2024 FSC-klagomål mail.docx", "A 37914-2024")</f>
        <v/>
      </c>
      <c r="X197">
        <f>HYPERLINK("https://klasma.github.io/Logging_2260/tillsyn/A 37914-2024 tillsynsbegäran.docx", "A 37914-2024")</f>
        <v/>
      </c>
      <c r="Y197">
        <f>HYPERLINK("https://klasma.github.io/Logging_2260/tillsynsmail/A 37914-2024 tillsynsbegäran mail.docx", "A 37914-2024")</f>
        <v/>
      </c>
    </row>
    <row r="198" ht="15" customHeight="1">
      <c r="A198" t="inlineStr">
        <is>
          <t>A 25705-2024</t>
        </is>
      </c>
      <c r="B198" s="1" t="n">
        <v>45463.9428587963</v>
      </c>
      <c r="C198" s="1" t="n">
        <v>46065</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71366-2021</t>
        </is>
      </c>
      <c r="B199" s="1" t="n">
        <v>44539</v>
      </c>
      <c r="C199" s="1" t="n">
        <v>46065</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54386-2024</t>
        </is>
      </c>
      <c r="B200" s="1" t="n">
        <v>45617.44822916666</v>
      </c>
      <c r="C200" s="1" t="n">
        <v>46065</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Reliktbock</t>
        </is>
      </c>
      <c r="S200">
        <f>HYPERLINK("https://klasma.github.io/Logging_2260/artfynd/A 54386-2024 artfynd.xlsx", "A 54386-2024")</f>
        <v/>
      </c>
      <c r="T200">
        <f>HYPERLINK("https://klasma.github.io/Logging_2260/kartor/A 54386-2024 karta.png", "A 54386-2024")</f>
        <v/>
      </c>
      <c r="V200">
        <f>HYPERLINK("https://klasma.github.io/Logging_2260/klagomål/A 54386-2024 FSC-klagomål.docx", "A 54386-2024")</f>
        <v/>
      </c>
      <c r="W200">
        <f>HYPERLINK("https://klasma.github.io/Logging_2260/klagomålsmail/A 54386-2024 FSC-klagomål mail.docx", "A 54386-2024")</f>
        <v/>
      </c>
      <c r="X200">
        <f>HYPERLINK("https://klasma.github.io/Logging_2260/tillsyn/A 54386-2024 tillsynsbegäran.docx", "A 54386-2024")</f>
        <v/>
      </c>
      <c r="Y200">
        <f>HYPERLINK("https://klasma.github.io/Logging_2260/tillsynsmail/A 54386-2024 tillsynsbegäran mail.docx", "A 54386-2024")</f>
        <v/>
      </c>
    </row>
    <row r="201" ht="15" customHeight="1">
      <c r="A201" t="inlineStr">
        <is>
          <t>A 56091-2024</t>
        </is>
      </c>
      <c r="B201" s="1" t="n">
        <v>45624.40678240741</v>
      </c>
      <c r="C201" s="1" t="n">
        <v>46065</v>
      </c>
      <c r="D201" t="inlineStr">
        <is>
          <t>VÄSTERNORRLANDS LÄN</t>
        </is>
      </c>
      <c r="E201" t="inlineStr">
        <is>
          <t>ÅNGE</t>
        </is>
      </c>
      <c r="F201" t="inlineStr">
        <is>
          <t>SCA</t>
        </is>
      </c>
      <c r="G201" t="n">
        <v>2.5</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56091-2024 artfynd.xlsx", "A 56091-2024")</f>
        <v/>
      </c>
      <c r="T201">
        <f>HYPERLINK("https://klasma.github.io/Logging_2260/kartor/A 56091-2024 karta.png", "A 56091-2024")</f>
        <v/>
      </c>
      <c r="V201">
        <f>HYPERLINK("https://klasma.github.io/Logging_2260/klagomål/A 56091-2024 FSC-klagomål.docx", "A 56091-2024")</f>
        <v/>
      </c>
      <c r="W201">
        <f>HYPERLINK("https://klasma.github.io/Logging_2260/klagomålsmail/A 56091-2024 FSC-klagomål mail.docx", "A 56091-2024")</f>
        <v/>
      </c>
      <c r="X201">
        <f>HYPERLINK("https://klasma.github.io/Logging_2260/tillsyn/A 56091-2024 tillsynsbegäran.docx", "A 56091-2024")</f>
        <v/>
      </c>
      <c r="Y201">
        <f>HYPERLINK("https://klasma.github.io/Logging_2260/tillsynsmail/A 56091-2024 tillsynsbegäran mail.docx", "A 56091-2024")</f>
        <v/>
      </c>
    </row>
    <row r="202" ht="15" customHeight="1">
      <c r="A202" t="inlineStr">
        <is>
          <t>A 31878-2024</t>
        </is>
      </c>
      <c r="B202" s="1" t="n">
        <v>45509</v>
      </c>
      <c r="C202" s="1" t="n">
        <v>46065</v>
      </c>
      <c r="D202" t="inlineStr">
        <is>
          <t>VÄSTERNORRLANDS LÄN</t>
        </is>
      </c>
      <c r="E202" t="inlineStr">
        <is>
          <t>ÅNGE</t>
        </is>
      </c>
      <c r="F202" t="inlineStr">
        <is>
          <t>SCA</t>
        </is>
      </c>
      <c r="G202" t="n">
        <v>5.1</v>
      </c>
      <c r="H202" t="n">
        <v>0</v>
      </c>
      <c r="I202" t="n">
        <v>1</v>
      </c>
      <c r="J202" t="n">
        <v>0</v>
      </c>
      <c r="K202" t="n">
        <v>0</v>
      </c>
      <c r="L202" t="n">
        <v>0</v>
      </c>
      <c r="M202" t="n">
        <v>0</v>
      </c>
      <c r="N202" t="n">
        <v>0</v>
      </c>
      <c r="O202" t="n">
        <v>0</v>
      </c>
      <c r="P202" t="n">
        <v>0</v>
      </c>
      <c r="Q202" t="n">
        <v>1</v>
      </c>
      <c r="R202" s="2" t="inlineStr">
        <is>
          <t>Grönpyrola</t>
        </is>
      </c>
      <c r="S202">
        <f>HYPERLINK("https://klasma.github.io/Logging_2260/artfynd/A 31878-2024 artfynd.xlsx", "A 31878-2024")</f>
        <v/>
      </c>
      <c r="T202">
        <f>HYPERLINK("https://klasma.github.io/Logging_2260/kartor/A 31878-2024 karta.png", "A 31878-2024")</f>
        <v/>
      </c>
      <c r="V202">
        <f>HYPERLINK("https://klasma.github.io/Logging_2260/klagomål/A 31878-2024 FSC-klagomål.docx", "A 31878-2024")</f>
        <v/>
      </c>
      <c r="W202">
        <f>HYPERLINK("https://klasma.github.io/Logging_2260/klagomålsmail/A 31878-2024 FSC-klagomål mail.docx", "A 31878-2024")</f>
        <v/>
      </c>
      <c r="X202">
        <f>HYPERLINK("https://klasma.github.io/Logging_2260/tillsyn/A 31878-2024 tillsynsbegäran.docx", "A 31878-2024")</f>
        <v/>
      </c>
      <c r="Y202">
        <f>HYPERLINK("https://klasma.github.io/Logging_2260/tillsynsmail/A 31878-2024 tillsynsbegäran mail.docx", "A 31878-2024")</f>
        <v/>
      </c>
    </row>
    <row r="203" ht="15" customHeight="1">
      <c r="A203" t="inlineStr">
        <is>
          <t>A 27025-2025</t>
        </is>
      </c>
      <c r="B203" s="1" t="n">
        <v>45811</v>
      </c>
      <c r="C203" s="1" t="n">
        <v>46065</v>
      </c>
      <c r="D203" t="inlineStr">
        <is>
          <t>VÄSTERNORRLANDS LÄN</t>
        </is>
      </c>
      <c r="E203" t="inlineStr">
        <is>
          <t>ÅNGE</t>
        </is>
      </c>
      <c r="G203" t="n">
        <v>25.5</v>
      </c>
      <c r="H203" t="n">
        <v>0</v>
      </c>
      <c r="I203" t="n">
        <v>0</v>
      </c>
      <c r="J203" t="n">
        <v>1</v>
      </c>
      <c r="K203" t="n">
        <v>0</v>
      </c>
      <c r="L203" t="n">
        <v>0</v>
      </c>
      <c r="M203" t="n">
        <v>0</v>
      </c>
      <c r="N203" t="n">
        <v>0</v>
      </c>
      <c r="O203" t="n">
        <v>1</v>
      </c>
      <c r="P203" t="n">
        <v>0</v>
      </c>
      <c r="Q203" t="n">
        <v>1</v>
      </c>
      <c r="R203" s="2" t="inlineStr">
        <is>
          <t>Garnlav</t>
        </is>
      </c>
      <c r="S203">
        <f>HYPERLINK("https://klasma.github.io/Logging_2260/artfynd/A 27025-2025 artfynd.xlsx", "A 27025-2025")</f>
        <v/>
      </c>
      <c r="T203">
        <f>HYPERLINK("https://klasma.github.io/Logging_2260/kartor/A 27025-2025 karta.png", "A 27025-2025")</f>
        <v/>
      </c>
      <c r="U203">
        <f>HYPERLINK("https://klasma.github.io/Logging_2260/knärot/A 27025-2025 karta knärot.png", "A 27025-2025")</f>
        <v/>
      </c>
      <c r="V203">
        <f>HYPERLINK("https://klasma.github.io/Logging_2260/klagomål/A 27025-2025 FSC-klagomål.docx", "A 27025-2025")</f>
        <v/>
      </c>
      <c r="W203">
        <f>HYPERLINK("https://klasma.github.io/Logging_2260/klagomålsmail/A 27025-2025 FSC-klagomål mail.docx", "A 27025-2025")</f>
        <v/>
      </c>
      <c r="X203">
        <f>HYPERLINK("https://klasma.github.io/Logging_2260/tillsyn/A 27025-2025 tillsynsbegäran.docx", "A 27025-2025")</f>
        <v/>
      </c>
      <c r="Y203">
        <f>HYPERLINK("https://klasma.github.io/Logging_2260/tillsynsmail/A 27025-2025 tillsynsbegäran mail.docx", "A 27025-2025")</f>
        <v/>
      </c>
    </row>
    <row r="204" ht="15" customHeight="1">
      <c r="A204" t="inlineStr">
        <is>
          <t>A 57272-2024</t>
        </is>
      </c>
      <c r="B204" s="1" t="n">
        <v>45629.57380787037</v>
      </c>
      <c r="C204" s="1" t="n">
        <v>46065</v>
      </c>
      <c r="D204" t="inlineStr">
        <is>
          <t>VÄSTERNORRLANDS LÄN</t>
        </is>
      </c>
      <c r="E204" t="inlineStr">
        <is>
          <t>ÅNGE</t>
        </is>
      </c>
      <c r="F204" t="inlineStr">
        <is>
          <t>SCA</t>
        </is>
      </c>
      <c r="G204" t="n">
        <v>5.4</v>
      </c>
      <c r="H204" t="n">
        <v>0</v>
      </c>
      <c r="I204" t="n">
        <v>0</v>
      </c>
      <c r="J204" t="n">
        <v>1</v>
      </c>
      <c r="K204" t="n">
        <v>0</v>
      </c>
      <c r="L204" t="n">
        <v>0</v>
      </c>
      <c r="M204" t="n">
        <v>0</v>
      </c>
      <c r="N204" t="n">
        <v>0</v>
      </c>
      <c r="O204" t="n">
        <v>1</v>
      </c>
      <c r="P204" t="n">
        <v>0</v>
      </c>
      <c r="Q204" t="n">
        <v>1</v>
      </c>
      <c r="R204" s="2" t="inlineStr">
        <is>
          <t>Orange taggsvamp</t>
        </is>
      </c>
      <c r="S204">
        <f>HYPERLINK("https://klasma.github.io/Logging_2260/artfynd/A 57272-2024 artfynd.xlsx", "A 57272-2024")</f>
        <v/>
      </c>
      <c r="T204">
        <f>HYPERLINK("https://klasma.github.io/Logging_2260/kartor/A 57272-2024 karta.png", "A 57272-2024")</f>
        <v/>
      </c>
      <c r="V204">
        <f>HYPERLINK("https://klasma.github.io/Logging_2260/klagomål/A 57272-2024 FSC-klagomål.docx", "A 57272-2024")</f>
        <v/>
      </c>
      <c r="W204">
        <f>HYPERLINK("https://klasma.github.io/Logging_2260/klagomålsmail/A 57272-2024 FSC-klagomål mail.docx", "A 57272-2024")</f>
        <v/>
      </c>
      <c r="X204">
        <f>HYPERLINK("https://klasma.github.io/Logging_2260/tillsyn/A 57272-2024 tillsynsbegäran.docx", "A 57272-2024")</f>
        <v/>
      </c>
      <c r="Y204">
        <f>HYPERLINK("https://klasma.github.io/Logging_2260/tillsynsmail/A 57272-2024 tillsynsbegäran mail.docx", "A 57272-2024")</f>
        <v/>
      </c>
    </row>
    <row r="205" ht="15" customHeight="1">
      <c r="A205" t="inlineStr">
        <is>
          <t>A 52424-2023</t>
        </is>
      </c>
      <c r="B205" s="1" t="n">
        <v>45217</v>
      </c>
      <c r="C205" s="1" t="n">
        <v>46065</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39638-2024</t>
        </is>
      </c>
      <c r="B206" s="1" t="n">
        <v>45552</v>
      </c>
      <c r="C206" s="1" t="n">
        <v>46065</v>
      </c>
      <c r="D206" t="inlineStr">
        <is>
          <t>VÄSTERNORRLANDS LÄN</t>
        </is>
      </c>
      <c r="E206" t="inlineStr">
        <is>
          <t>ÅNGE</t>
        </is>
      </c>
      <c r="G206" t="n">
        <v>3</v>
      </c>
      <c r="H206" t="n">
        <v>1</v>
      </c>
      <c r="I206" t="n">
        <v>0</v>
      </c>
      <c r="J206" t="n">
        <v>0</v>
      </c>
      <c r="K206" t="n">
        <v>0</v>
      </c>
      <c r="L206" t="n">
        <v>0</v>
      </c>
      <c r="M206" t="n">
        <v>0</v>
      </c>
      <c r="N206" t="n">
        <v>0</v>
      </c>
      <c r="O206" t="n">
        <v>0</v>
      </c>
      <c r="P206" t="n">
        <v>0</v>
      </c>
      <c r="Q206" t="n">
        <v>1</v>
      </c>
      <c r="R206" s="2" t="inlineStr">
        <is>
          <t>Tjäder</t>
        </is>
      </c>
      <c r="S206">
        <f>HYPERLINK("https://klasma.github.io/Logging_2260/artfynd/A 39638-2024 artfynd.xlsx", "A 39638-2024")</f>
        <v/>
      </c>
      <c r="T206">
        <f>HYPERLINK("https://klasma.github.io/Logging_2260/kartor/A 39638-2024 karta.png", "A 39638-2024")</f>
        <v/>
      </c>
      <c r="V206">
        <f>HYPERLINK("https://klasma.github.io/Logging_2260/klagomål/A 39638-2024 FSC-klagomål.docx", "A 39638-2024")</f>
        <v/>
      </c>
      <c r="W206">
        <f>HYPERLINK("https://klasma.github.io/Logging_2260/klagomålsmail/A 39638-2024 FSC-klagomål mail.docx", "A 39638-2024")</f>
        <v/>
      </c>
      <c r="X206">
        <f>HYPERLINK("https://klasma.github.io/Logging_2260/tillsyn/A 39638-2024 tillsynsbegäran.docx", "A 39638-2024")</f>
        <v/>
      </c>
      <c r="Y206">
        <f>HYPERLINK("https://klasma.github.io/Logging_2260/tillsynsmail/A 39638-2024 tillsynsbegäran mail.docx", "A 39638-2024")</f>
        <v/>
      </c>
      <c r="Z206">
        <f>HYPERLINK("https://klasma.github.io/Logging_2260/fåglar/A 39638-2024 prioriterade fågelarter.docx", "A 39638-2024")</f>
        <v/>
      </c>
    </row>
    <row r="207" ht="15" customHeight="1">
      <c r="A207" t="inlineStr">
        <is>
          <t>A 54751-2021</t>
        </is>
      </c>
      <c r="B207" s="1" t="n">
        <v>44473</v>
      </c>
      <c r="C207" s="1" t="n">
        <v>46065</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31510-2024</t>
        </is>
      </c>
      <c r="B208" s="1" t="n">
        <v>45505</v>
      </c>
      <c r="C208" s="1" t="n">
        <v>46065</v>
      </c>
      <c r="D208" t="inlineStr">
        <is>
          <t>VÄSTERNORRLANDS LÄN</t>
        </is>
      </c>
      <c r="E208" t="inlineStr">
        <is>
          <t>ÅNGE</t>
        </is>
      </c>
      <c r="F208" t="inlineStr">
        <is>
          <t>SCA</t>
        </is>
      </c>
      <c r="G208" t="n">
        <v>6</v>
      </c>
      <c r="H208" t="n">
        <v>1</v>
      </c>
      <c r="I208" t="n">
        <v>0</v>
      </c>
      <c r="J208" t="n">
        <v>0</v>
      </c>
      <c r="K208" t="n">
        <v>1</v>
      </c>
      <c r="L208" t="n">
        <v>0</v>
      </c>
      <c r="M208" t="n">
        <v>0</v>
      </c>
      <c r="N208" t="n">
        <v>0</v>
      </c>
      <c r="O208" t="n">
        <v>1</v>
      </c>
      <c r="P208" t="n">
        <v>1</v>
      </c>
      <c r="Q208" t="n">
        <v>1</v>
      </c>
      <c r="R208" s="2" t="inlineStr">
        <is>
          <t>Doftticka</t>
        </is>
      </c>
      <c r="S208">
        <f>HYPERLINK("https://klasma.github.io/Logging_2260/artfynd/A 31510-2024 artfynd.xlsx", "A 31510-2024")</f>
        <v/>
      </c>
      <c r="T208">
        <f>HYPERLINK("https://klasma.github.io/Logging_2260/kartor/A 31510-2024 karta.png", "A 31510-2024")</f>
        <v/>
      </c>
      <c r="V208">
        <f>HYPERLINK("https://klasma.github.io/Logging_2260/klagomål/A 31510-2024 FSC-klagomål.docx", "A 31510-2024")</f>
        <v/>
      </c>
      <c r="W208">
        <f>HYPERLINK("https://klasma.github.io/Logging_2260/klagomålsmail/A 31510-2024 FSC-klagomål mail.docx", "A 31510-2024")</f>
        <v/>
      </c>
      <c r="X208">
        <f>HYPERLINK("https://klasma.github.io/Logging_2260/tillsyn/A 31510-2024 tillsynsbegäran.docx", "A 31510-2024")</f>
        <v/>
      </c>
      <c r="Y208">
        <f>HYPERLINK("https://klasma.github.io/Logging_2260/tillsynsmail/A 31510-2024 tillsynsbegäran mail.docx", "A 31510-2024")</f>
        <v/>
      </c>
    </row>
    <row r="209" ht="15" customHeight="1">
      <c r="A209" t="inlineStr">
        <is>
          <t>A 40214-2024</t>
        </is>
      </c>
      <c r="B209" s="1" t="n">
        <v>45554.59460648148</v>
      </c>
      <c r="C209" s="1" t="n">
        <v>46065</v>
      </c>
      <c r="D209" t="inlineStr">
        <is>
          <t>VÄSTERNORRLANDS LÄN</t>
        </is>
      </c>
      <c r="E209" t="inlineStr">
        <is>
          <t>ÅNGE</t>
        </is>
      </c>
      <c r="F209" t="inlineStr">
        <is>
          <t>SCA</t>
        </is>
      </c>
      <c r="G209" t="n">
        <v>7.7</v>
      </c>
      <c r="H209" t="n">
        <v>0</v>
      </c>
      <c r="I209" t="n">
        <v>0</v>
      </c>
      <c r="J209" t="n">
        <v>1</v>
      </c>
      <c r="K209" t="n">
        <v>0</v>
      </c>
      <c r="L209" t="n">
        <v>0</v>
      </c>
      <c r="M209" t="n">
        <v>0</v>
      </c>
      <c r="N209" t="n">
        <v>0</v>
      </c>
      <c r="O209" t="n">
        <v>1</v>
      </c>
      <c r="P209" t="n">
        <v>0</v>
      </c>
      <c r="Q209" t="n">
        <v>1</v>
      </c>
      <c r="R209" s="2" t="inlineStr">
        <is>
          <t>Lunglav</t>
        </is>
      </c>
      <c r="S209">
        <f>HYPERLINK("https://klasma.github.io/Logging_2260/artfynd/A 40214-2024 artfynd.xlsx", "A 40214-2024")</f>
        <v/>
      </c>
      <c r="T209">
        <f>HYPERLINK("https://klasma.github.io/Logging_2260/kartor/A 40214-2024 karta.png", "A 40214-2024")</f>
        <v/>
      </c>
      <c r="V209">
        <f>HYPERLINK("https://klasma.github.io/Logging_2260/klagomål/A 40214-2024 FSC-klagomål.docx", "A 40214-2024")</f>
        <v/>
      </c>
      <c r="W209">
        <f>HYPERLINK("https://klasma.github.io/Logging_2260/klagomålsmail/A 40214-2024 FSC-klagomål mail.docx", "A 40214-2024")</f>
        <v/>
      </c>
      <c r="X209">
        <f>HYPERLINK("https://klasma.github.io/Logging_2260/tillsyn/A 40214-2024 tillsynsbegäran.docx", "A 40214-2024")</f>
        <v/>
      </c>
      <c r="Y209">
        <f>HYPERLINK("https://klasma.github.io/Logging_2260/tillsynsmail/A 40214-2024 tillsynsbegäran mail.docx", "A 40214-2024")</f>
        <v/>
      </c>
    </row>
    <row r="210" ht="15" customHeight="1">
      <c r="A210" t="inlineStr">
        <is>
          <t>A 1449-2025</t>
        </is>
      </c>
      <c r="B210" s="1" t="n">
        <v>45670.27537037037</v>
      </c>
      <c r="C210" s="1" t="n">
        <v>46065</v>
      </c>
      <c r="D210" t="inlineStr">
        <is>
          <t>VÄSTERNORRLANDS LÄN</t>
        </is>
      </c>
      <c r="E210" t="inlineStr">
        <is>
          <t>ÅNGE</t>
        </is>
      </c>
      <c r="G210" t="n">
        <v>6.3</v>
      </c>
      <c r="H210" t="n">
        <v>0</v>
      </c>
      <c r="I210" t="n">
        <v>1</v>
      </c>
      <c r="J210" t="n">
        <v>0</v>
      </c>
      <c r="K210" t="n">
        <v>0</v>
      </c>
      <c r="L210" t="n">
        <v>0</v>
      </c>
      <c r="M210" t="n">
        <v>0</v>
      </c>
      <c r="N210" t="n">
        <v>0</v>
      </c>
      <c r="O210" t="n">
        <v>0</v>
      </c>
      <c r="P210" t="n">
        <v>0</v>
      </c>
      <c r="Q210" t="n">
        <v>1</v>
      </c>
      <c r="R210" s="2" t="inlineStr">
        <is>
          <t>Korallblylav</t>
        </is>
      </c>
      <c r="S210">
        <f>HYPERLINK("https://klasma.github.io/Logging_2260/artfynd/A 1449-2025 artfynd.xlsx", "A 1449-2025")</f>
        <v/>
      </c>
      <c r="T210">
        <f>HYPERLINK("https://klasma.github.io/Logging_2260/kartor/A 1449-2025 karta.png", "A 1449-2025")</f>
        <v/>
      </c>
      <c r="V210">
        <f>HYPERLINK("https://klasma.github.io/Logging_2260/klagomål/A 1449-2025 FSC-klagomål.docx", "A 1449-2025")</f>
        <v/>
      </c>
      <c r="W210">
        <f>HYPERLINK("https://klasma.github.io/Logging_2260/klagomålsmail/A 1449-2025 FSC-klagomål mail.docx", "A 1449-2025")</f>
        <v/>
      </c>
      <c r="X210">
        <f>HYPERLINK("https://klasma.github.io/Logging_2260/tillsyn/A 1449-2025 tillsynsbegäran.docx", "A 1449-2025")</f>
        <v/>
      </c>
      <c r="Y210">
        <f>HYPERLINK("https://klasma.github.io/Logging_2260/tillsynsmail/A 1449-2025 tillsynsbegäran mail.docx", "A 1449-2025")</f>
        <v/>
      </c>
    </row>
    <row r="211" ht="15" customHeight="1">
      <c r="A211" t="inlineStr">
        <is>
          <t>A 35648-2025</t>
        </is>
      </c>
      <c r="B211" s="1" t="n">
        <v>45859.51670138889</v>
      </c>
      <c r="C211" s="1" t="n">
        <v>46065</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46065</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55015-2023</t>
        </is>
      </c>
      <c r="B213" s="1" t="n">
        <v>45237.32185185186</v>
      </c>
      <c r="C213" s="1" t="n">
        <v>46065</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37432-2025</t>
        </is>
      </c>
      <c r="B214" s="1" t="n">
        <v>45877.51106481482</v>
      </c>
      <c r="C214" s="1" t="n">
        <v>46065</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29327-2023</t>
        </is>
      </c>
      <c r="B215" s="1" t="n">
        <v>45105.94349537037</v>
      </c>
      <c r="C215" s="1" t="n">
        <v>46065</v>
      </c>
      <c r="D215" t="inlineStr">
        <is>
          <t>VÄSTERNORRLANDS LÄN</t>
        </is>
      </c>
      <c r="E215" t="inlineStr">
        <is>
          <t>ÅNGE</t>
        </is>
      </c>
      <c r="G215" t="n">
        <v>7.8</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29327-2023 artfynd.xlsx", "A 29327-2023")</f>
        <v/>
      </c>
      <c r="T215">
        <f>HYPERLINK("https://klasma.github.io/Logging_2260/kartor/A 29327-2023 karta.png", "A 29327-2023")</f>
        <v/>
      </c>
      <c r="V215">
        <f>HYPERLINK("https://klasma.github.io/Logging_2260/klagomål/A 29327-2023 FSC-klagomål.docx", "A 29327-2023")</f>
        <v/>
      </c>
      <c r="W215">
        <f>HYPERLINK("https://klasma.github.io/Logging_2260/klagomålsmail/A 29327-2023 FSC-klagomål mail.docx", "A 29327-2023")</f>
        <v/>
      </c>
      <c r="X215">
        <f>HYPERLINK("https://klasma.github.io/Logging_2260/tillsyn/A 29327-2023 tillsynsbegäran.docx", "A 29327-2023")</f>
        <v/>
      </c>
      <c r="Y215">
        <f>HYPERLINK("https://klasma.github.io/Logging_2260/tillsynsmail/A 29327-2023 tillsynsbegäran mail.docx", "A 29327-2023")</f>
        <v/>
      </c>
    </row>
    <row r="216" ht="15" customHeight="1">
      <c r="A216" t="inlineStr">
        <is>
          <t>A 39180-2024</t>
        </is>
      </c>
      <c r="B216" s="1" t="n">
        <v>45548.6571412037</v>
      </c>
      <c r="C216" s="1" t="n">
        <v>46065</v>
      </c>
      <c r="D216" t="inlineStr">
        <is>
          <t>VÄSTERNORRLANDS LÄN</t>
        </is>
      </c>
      <c r="E216" t="inlineStr">
        <is>
          <t>ÅNGE</t>
        </is>
      </c>
      <c r="F216" t="inlineStr">
        <is>
          <t>SCA</t>
        </is>
      </c>
      <c r="G216" t="n">
        <v>8.699999999999999</v>
      </c>
      <c r="H216" t="n">
        <v>0</v>
      </c>
      <c r="I216" t="n">
        <v>0</v>
      </c>
      <c r="J216" t="n">
        <v>1</v>
      </c>
      <c r="K216" t="n">
        <v>0</v>
      </c>
      <c r="L216" t="n">
        <v>0</v>
      </c>
      <c r="M216" t="n">
        <v>0</v>
      </c>
      <c r="N216" t="n">
        <v>0</v>
      </c>
      <c r="O216" t="n">
        <v>1</v>
      </c>
      <c r="P216" t="n">
        <v>0</v>
      </c>
      <c r="Q216" t="n">
        <v>1</v>
      </c>
      <c r="R216" s="2" t="inlineStr">
        <is>
          <t>Lunglav</t>
        </is>
      </c>
      <c r="S216">
        <f>HYPERLINK("https://klasma.github.io/Logging_2260/artfynd/A 39180-2024 artfynd.xlsx", "A 39180-2024")</f>
        <v/>
      </c>
      <c r="T216">
        <f>HYPERLINK("https://klasma.github.io/Logging_2260/kartor/A 39180-2024 karta.png", "A 39180-2024")</f>
        <v/>
      </c>
      <c r="V216">
        <f>HYPERLINK("https://klasma.github.io/Logging_2260/klagomål/A 39180-2024 FSC-klagomål.docx", "A 39180-2024")</f>
        <v/>
      </c>
      <c r="W216">
        <f>HYPERLINK("https://klasma.github.io/Logging_2260/klagomålsmail/A 39180-2024 FSC-klagomål mail.docx", "A 39180-2024")</f>
        <v/>
      </c>
      <c r="X216">
        <f>HYPERLINK("https://klasma.github.io/Logging_2260/tillsyn/A 39180-2024 tillsynsbegäran.docx", "A 39180-2024")</f>
        <v/>
      </c>
      <c r="Y216">
        <f>HYPERLINK("https://klasma.github.io/Logging_2260/tillsynsmail/A 39180-2024 tillsynsbegäran mail.docx", "A 39180-2024")</f>
        <v/>
      </c>
    </row>
    <row r="217" ht="15" customHeight="1">
      <c r="A217" t="inlineStr">
        <is>
          <t>A 34696-2024</t>
        </is>
      </c>
      <c r="B217" s="1" t="n">
        <v>45526</v>
      </c>
      <c r="C217" s="1" t="n">
        <v>46065</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41493-2021</t>
        </is>
      </c>
      <c r="B218" s="1" t="n">
        <v>44424</v>
      </c>
      <c r="C218" s="1" t="n">
        <v>46065</v>
      </c>
      <c r="D218" t="inlineStr">
        <is>
          <t>VÄSTERNORRLANDS LÄN</t>
        </is>
      </c>
      <c r="E218" t="inlineStr">
        <is>
          <t>ÅNGE</t>
        </is>
      </c>
      <c r="F218" t="inlineStr">
        <is>
          <t>SCA</t>
        </is>
      </c>
      <c r="G218" t="n">
        <v>8</v>
      </c>
      <c r="H218" t="n">
        <v>1</v>
      </c>
      <c r="I218" t="n">
        <v>0</v>
      </c>
      <c r="J218" t="n">
        <v>0</v>
      </c>
      <c r="K218" t="n">
        <v>1</v>
      </c>
      <c r="L218" t="n">
        <v>0</v>
      </c>
      <c r="M218" t="n">
        <v>0</v>
      </c>
      <c r="N218" t="n">
        <v>0</v>
      </c>
      <c r="O218" t="n">
        <v>1</v>
      </c>
      <c r="P218" t="n">
        <v>1</v>
      </c>
      <c r="Q218" t="n">
        <v>1</v>
      </c>
      <c r="R218" s="2" t="inlineStr">
        <is>
          <t>Knärot</t>
        </is>
      </c>
      <c r="S218">
        <f>HYPERLINK("https://klasma.github.io/Logging_2260/artfynd/A 41493-2021 artfynd.xlsx", "A 41493-2021")</f>
        <v/>
      </c>
      <c r="T218">
        <f>HYPERLINK("https://klasma.github.io/Logging_2260/kartor/A 41493-2021 karta.png", "A 41493-2021")</f>
        <v/>
      </c>
      <c r="U218">
        <f>HYPERLINK("https://klasma.github.io/Logging_2260/knärot/A 41493-2021 karta knärot.png", "A 41493-2021")</f>
        <v/>
      </c>
      <c r="V218">
        <f>HYPERLINK("https://klasma.github.io/Logging_2260/klagomål/A 41493-2021 FSC-klagomål.docx", "A 41493-2021")</f>
        <v/>
      </c>
      <c r="W218">
        <f>HYPERLINK("https://klasma.github.io/Logging_2260/klagomålsmail/A 41493-2021 FSC-klagomål mail.docx", "A 41493-2021")</f>
        <v/>
      </c>
      <c r="X218">
        <f>HYPERLINK("https://klasma.github.io/Logging_2260/tillsyn/A 41493-2021 tillsynsbegäran.docx", "A 41493-2021")</f>
        <v/>
      </c>
      <c r="Y218">
        <f>HYPERLINK("https://klasma.github.io/Logging_2260/tillsynsmail/A 41493-2021 tillsynsbegäran mail.docx", "A 41493-2021")</f>
        <v/>
      </c>
    </row>
    <row r="219" ht="15" customHeight="1">
      <c r="A219" t="inlineStr">
        <is>
          <t>A 39933-2022</t>
        </is>
      </c>
      <c r="B219" s="1" t="n">
        <v>44819</v>
      </c>
      <c r="C219" s="1" t="n">
        <v>46065</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32457-2024</t>
        </is>
      </c>
      <c r="B220" s="1" t="n">
        <v>45512</v>
      </c>
      <c r="C220" s="1" t="n">
        <v>46065</v>
      </c>
      <c r="D220" t="inlineStr">
        <is>
          <t>VÄSTERNORRLANDS LÄN</t>
        </is>
      </c>
      <c r="E220" t="inlineStr">
        <is>
          <t>ÅNGE</t>
        </is>
      </c>
      <c r="F220" t="inlineStr">
        <is>
          <t>SCA</t>
        </is>
      </c>
      <c r="G220" t="n">
        <v>1.3</v>
      </c>
      <c r="H220" t="n">
        <v>0</v>
      </c>
      <c r="I220" t="n">
        <v>0</v>
      </c>
      <c r="J220" t="n">
        <v>1</v>
      </c>
      <c r="K220" t="n">
        <v>0</v>
      </c>
      <c r="L220" t="n">
        <v>0</v>
      </c>
      <c r="M220" t="n">
        <v>0</v>
      </c>
      <c r="N220" t="n">
        <v>0</v>
      </c>
      <c r="O220" t="n">
        <v>1</v>
      </c>
      <c r="P220" t="n">
        <v>0</v>
      </c>
      <c r="Q220" t="n">
        <v>1</v>
      </c>
      <c r="R220" s="2" t="inlineStr">
        <is>
          <t>Ullticka</t>
        </is>
      </c>
      <c r="S220">
        <f>HYPERLINK("https://klasma.github.io/Logging_2260/artfynd/A 32457-2024 artfynd.xlsx", "A 32457-2024")</f>
        <v/>
      </c>
      <c r="T220">
        <f>HYPERLINK("https://klasma.github.io/Logging_2260/kartor/A 32457-2024 karta.png", "A 32457-2024")</f>
        <v/>
      </c>
      <c r="V220">
        <f>HYPERLINK("https://klasma.github.io/Logging_2260/klagomål/A 32457-2024 FSC-klagomål.docx", "A 32457-2024")</f>
        <v/>
      </c>
      <c r="W220">
        <f>HYPERLINK("https://klasma.github.io/Logging_2260/klagomålsmail/A 32457-2024 FSC-klagomål mail.docx", "A 32457-2024")</f>
        <v/>
      </c>
      <c r="X220">
        <f>HYPERLINK("https://klasma.github.io/Logging_2260/tillsyn/A 32457-2024 tillsynsbegäran.docx", "A 32457-2024")</f>
        <v/>
      </c>
      <c r="Y220">
        <f>HYPERLINK("https://klasma.github.io/Logging_2260/tillsynsmail/A 32457-2024 tillsynsbegäran mail.docx", "A 32457-2024")</f>
        <v/>
      </c>
    </row>
    <row r="221" ht="15" customHeight="1">
      <c r="A221" t="inlineStr">
        <is>
          <t>A 42524-2025</t>
        </is>
      </c>
      <c r="B221" s="1" t="n">
        <v>45905.55262731481</v>
      </c>
      <c r="C221" s="1" t="n">
        <v>46065</v>
      </c>
      <c r="D221" t="inlineStr">
        <is>
          <t>VÄSTERNORRLANDS LÄN</t>
        </is>
      </c>
      <c r="E221" t="inlineStr">
        <is>
          <t>ÅNGE</t>
        </is>
      </c>
      <c r="F221" t="inlineStr">
        <is>
          <t>SCA</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HYPERLINK("https://klasma.github.io/Logging_2260/artfynd/A 42524-2025 artfynd.xlsx", "A 42524-2025")</f>
        <v/>
      </c>
      <c r="T221">
        <f>HYPERLINK("https://klasma.github.io/Logging_2260/kartor/A 42524-2025 karta.png", "A 42524-2025")</f>
        <v/>
      </c>
      <c r="V221">
        <f>HYPERLINK("https://klasma.github.io/Logging_2260/klagomål/A 42524-2025 FSC-klagomål.docx", "A 42524-2025")</f>
        <v/>
      </c>
      <c r="W221">
        <f>HYPERLINK("https://klasma.github.io/Logging_2260/klagomålsmail/A 42524-2025 FSC-klagomål mail.docx", "A 42524-2025")</f>
        <v/>
      </c>
      <c r="X221">
        <f>HYPERLINK("https://klasma.github.io/Logging_2260/tillsyn/A 42524-2025 tillsynsbegäran.docx", "A 42524-2025")</f>
        <v/>
      </c>
      <c r="Y221">
        <f>HYPERLINK("https://klasma.github.io/Logging_2260/tillsynsmail/A 42524-2025 tillsynsbegäran mail.docx", "A 42524-2025")</f>
        <v/>
      </c>
    </row>
    <row r="222" ht="15" customHeight="1">
      <c r="A222" t="inlineStr">
        <is>
          <t>A 43590-2025</t>
        </is>
      </c>
      <c r="B222" s="1" t="n">
        <v>45911.65665509259</v>
      </c>
      <c r="C222" s="1" t="n">
        <v>46065</v>
      </c>
      <c r="D222" t="inlineStr">
        <is>
          <t>VÄSTERNORRLANDS LÄN</t>
        </is>
      </c>
      <c r="E222" t="inlineStr">
        <is>
          <t>ÅNGE</t>
        </is>
      </c>
      <c r="F222" t="inlineStr">
        <is>
          <t>SCA</t>
        </is>
      </c>
      <c r="G222" t="n">
        <v>2.9</v>
      </c>
      <c r="H222" t="n">
        <v>0</v>
      </c>
      <c r="I222" t="n">
        <v>0</v>
      </c>
      <c r="J222" t="n">
        <v>1</v>
      </c>
      <c r="K222" t="n">
        <v>0</v>
      </c>
      <c r="L222" t="n">
        <v>0</v>
      </c>
      <c r="M222" t="n">
        <v>0</v>
      </c>
      <c r="N222" t="n">
        <v>0</v>
      </c>
      <c r="O222" t="n">
        <v>1</v>
      </c>
      <c r="P222" t="n">
        <v>0</v>
      </c>
      <c r="Q222" t="n">
        <v>1</v>
      </c>
      <c r="R222" s="2" t="inlineStr">
        <is>
          <t>Granticka</t>
        </is>
      </c>
      <c r="S222">
        <f>HYPERLINK("https://klasma.github.io/Logging_2260/artfynd/A 43590-2025 artfynd.xlsx", "A 43590-2025")</f>
        <v/>
      </c>
      <c r="T222">
        <f>HYPERLINK("https://klasma.github.io/Logging_2260/kartor/A 43590-2025 karta.png", "A 43590-2025")</f>
        <v/>
      </c>
      <c r="V222">
        <f>HYPERLINK("https://klasma.github.io/Logging_2260/klagomål/A 43590-2025 FSC-klagomål.docx", "A 43590-2025")</f>
        <v/>
      </c>
      <c r="W222">
        <f>HYPERLINK("https://klasma.github.io/Logging_2260/klagomålsmail/A 43590-2025 FSC-klagomål mail.docx", "A 43590-2025")</f>
        <v/>
      </c>
      <c r="X222">
        <f>HYPERLINK("https://klasma.github.io/Logging_2260/tillsyn/A 43590-2025 tillsynsbegäran.docx", "A 43590-2025")</f>
        <v/>
      </c>
      <c r="Y222">
        <f>HYPERLINK("https://klasma.github.io/Logging_2260/tillsynsmail/A 43590-2025 tillsynsbegäran mail.docx", "A 43590-2025")</f>
        <v/>
      </c>
    </row>
    <row r="223" ht="15" customHeight="1">
      <c r="A223" t="inlineStr">
        <is>
          <t>A 4351-2024</t>
        </is>
      </c>
      <c r="B223" s="1" t="n">
        <v>45324</v>
      </c>
      <c r="C223" s="1" t="n">
        <v>46065</v>
      </c>
      <c r="D223" t="inlineStr">
        <is>
          <t>VÄSTERNORRLANDS LÄN</t>
        </is>
      </c>
      <c r="E223" t="inlineStr">
        <is>
          <t>ÅNGE</t>
        </is>
      </c>
      <c r="F223" t="inlineStr">
        <is>
          <t>SCA</t>
        </is>
      </c>
      <c r="G223" t="n">
        <v>0.5</v>
      </c>
      <c r="H223" t="n">
        <v>0</v>
      </c>
      <c r="I223" t="n">
        <v>0</v>
      </c>
      <c r="J223" t="n">
        <v>1</v>
      </c>
      <c r="K223" t="n">
        <v>0</v>
      </c>
      <c r="L223" t="n">
        <v>0</v>
      </c>
      <c r="M223" t="n">
        <v>0</v>
      </c>
      <c r="N223" t="n">
        <v>0</v>
      </c>
      <c r="O223" t="n">
        <v>1</v>
      </c>
      <c r="P223" t="n">
        <v>0</v>
      </c>
      <c r="Q223" t="n">
        <v>1</v>
      </c>
      <c r="R223" s="2" t="inlineStr">
        <is>
          <t>Garnlav</t>
        </is>
      </c>
      <c r="S223">
        <f>HYPERLINK("https://klasma.github.io/Logging_2260/artfynd/A 4351-2024 artfynd.xlsx", "A 4351-2024")</f>
        <v/>
      </c>
      <c r="T223">
        <f>HYPERLINK("https://klasma.github.io/Logging_2260/kartor/A 4351-2024 karta.png", "A 4351-2024")</f>
        <v/>
      </c>
      <c r="V223">
        <f>HYPERLINK("https://klasma.github.io/Logging_2260/klagomål/A 4351-2024 FSC-klagomål.docx", "A 4351-2024")</f>
        <v/>
      </c>
      <c r="W223">
        <f>HYPERLINK("https://klasma.github.io/Logging_2260/klagomålsmail/A 4351-2024 FSC-klagomål mail.docx", "A 4351-2024")</f>
        <v/>
      </c>
      <c r="X223">
        <f>HYPERLINK("https://klasma.github.io/Logging_2260/tillsyn/A 4351-2024 tillsynsbegäran.docx", "A 4351-2024")</f>
        <v/>
      </c>
      <c r="Y223">
        <f>HYPERLINK("https://klasma.github.io/Logging_2260/tillsynsmail/A 4351-2024 tillsynsbegäran mail.docx", "A 4351-2024")</f>
        <v/>
      </c>
    </row>
    <row r="224" ht="15" customHeight="1">
      <c r="A224" t="inlineStr">
        <is>
          <t>A 27308-2024</t>
        </is>
      </c>
      <c r="B224" s="1" t="n">
        <v>45471</v>
      </c>
      <c r="C224" s="1" t="n">
        <v>46065</v>
      </c>
      <c r="D224" t="inlineStr">
        <is>
          <t>VÄSTERNORRLANDS LÄN</t>
        </is>
      </c>
      <c r="E224" t="inlineStr">
        <is>
          <t>ÅNGE</t>
        </is>
      </c>
      <c r="F224" t="inlineStr">
        <is>
          <t>SCA</t>
        </is>
      </c>
      <c r="G224" t="n">
        <v>15.9</v>
      </c>
      <c r="H224" t="n">
        <v>0</v>
      </c>
      <c r="I224" t="n">
        <v>0</v>
      </c>
      <c r="J224" t="n">
        <v>1</v>
      </c>
      <c r="K224" t="n">
        <v>0</v>
      </c>
      <c r="L224" t="n">
        <v>0</v>
      </c>
      <c r="M224" t="n">
        <v>0</v>
      </c>
      <c r="N224" t="n">
        <v>0</v>
      </c>
      <c r="O224" t="n">
        <v>1</v>
      </c>
      <c r="P224" t="n">
        <v>0</v>
      </c>
      <c r="Q224" t="n">
        <v>1</v>
      </c>
      <c r="R224" s="2" t="inlineStr">
        <is>
          <t>Lunglav</t>
        </is>
      </c>
      <c r="S224">
        <f>HYPERLINK("https://klasma.github.io/Logging_2260/artfynd/A 27308-2024 artfynd.xlsx", "A 27308-2024")</f>
        <v/>
      </c>
      <c r="T224">
        <f>HYPERLINK("https://klasma.github.io/Logging_2260/kartor/A 27308-2024 karta.png", "A 27308-2024")</f>
        <v/>
      </c>
      <c r="V224">
        <f>HYPERLINK("https://klasma.github.io/Logging_2260/klagomål/A 27308-2024 FSC-klagomål.docx", "A 27308-2024")</f>
        <v/>
      </c>
      <c r="W224">
        <f>HYPERLINK("https://klasma.github.io/Logging_2260/klagomålsmail/A 27308-2024 FSC-klagomål mail.docx", "A 27308-2024")</f>
        <v/>
      </c>
      <c r="X224">
        <f>HYPERLINK("https://klasma.github.io/Logging_2260/tillsyn/A 27308-2024 tillsynsbegäran.docx", "A 27308-2024")</f>
        <v/>
      </c>
      <c r="Y224">
        <f>HYPERLINK("https://klasma.github.io/Logging_2260/tillsynsmail/A 27308-2024 tillsynsbegäran mail.docx", "A 27308-2024")</f>
        <v/>
      </c>
    </row>
    <row r="225" ht="15" customHeight="1">
      <c r="A225" t="inlineStr">
        <is>
          <t>A 46094-2025</t>
        </is>
      </c>
      <c r="B225" s="1" t="n">
        <v>45924</v>
      </c>
      <c r="C225" s="1" t="n">
        <v>46065</v>
      </c>
      <c r="D225" t="inlineStr">
        <is>
          <t>VÄSTERNORRLANDS LÄN</t>
        </is>
      </c>
      <c r="E225" t="inlineStr">
        <is>
          <t>ÅNGE</t>
        </is>
      </c>
      <c r="F225" t="inlineStr">
        <is>
          <t>SCA</t>
        </is>
      </c>
      <c r="G225" t="n">
        <v>1.1</v>
      </c>
      <c r="H225" t="n">
        <v>1</v>
      </c>
      <c r="I225" t="n">
        <v>0</v>
      </c>
      <c r="J225" t="n">
        <v>1</v>
      </c>
      <c r="K225" t="n">
        <v>0</v>
      </c>
      <c r="L225" t="n">
        <v>0</v>
      </c>
      <c r="M225" t="n">
        <v>0</v>
      </c>
      <c r="N225" t="n">
        <v>0</v>
      </c>
      <c r="O225" t="n">
        <v>1</v>
      </c>
      <c r="P225" t="n">
        <v>0</v>
      </c>
      <c r="Q225" t="n">
        <v>1</v>
      </c>
      <c r="R225" s="2" t="inlineStr">
        <is>
          <t>Utter</t>
        </is>
      </c>
      <c r="S225">
        <f>HYPERLINK("https://klasma.github.io/Logging_2260/artfynd/A 46094-2025 artfynd.xlsx", "A 46094-2025")</f>
        <v/>
      </c>
      <c r="T225">
        <f>HYPERLINK("https://klasma.github.io/Logging_2260/kartor/A 46094-2025 karta.png", "A 46094-2025")</f>
        <v/>
      </c>
      <c r="V225">
        <f>HYPERLINK("https://klasma.github.io/Logging_2260/klagomål/A 46094-2025 FSC-klagomål.docx", "A 46094-2025")</f>
        <v/>
      </c>
      <c r="W225">
        <f>HYPERLINK("https://klasma.github.io/Logging_2260/klagomålsmail/A 46094-2025 FSC-klagomål mail.docx", "A 46094-2025")</f>
        <v/>
      </c>
      <c r="X225">
        <f>HYPERLINK("https://klasma.github.io/Logging_2260/tillsyn/A 46094-2025 tillsynsbegäran.docx", "A 46094-2025")</f>
        <v/>
      </c>
      <c r="Y225">
        <f>HYPERLINK("https://klasma.github.io/Logging_2260/tillsynsmail/A 46094-2025 tillsynsbegäran mail.docx", "A 46094-2025")</f>
        <v/>
      </c>
    </row>
    <row r="226" ht="15" customHeight="1">
      <c r="A226" t="inlineStr">
        <is>
          <t>A 47857-2025</t>
        </is>
      </c>
      <c r="B226" s="1" t="n">
        <v>45932.4068287037</v>
      </c>
      <c r="C226" s="1" t="n">
        <v>46065</v>
      </c>
      <c r="D226" t="inlineStr">
        <is>
          <t>VÄSTERNORRLANDS LÄN</t>
        </is>
      </c>
      <c r="E226" t="inlineStr">
        <is>
          <t>ÅNGE</t>
        </is>
      </c>
      <c r="G226" t="n">
        <v>2.5</v>
      </c>
      <c r="H226" t="n">
        <v>1</v>
      </c>
      <c r="I226" t="n">
        <v>0</v>
      </c>
      <c r="J226" t="n">
        <v>1</v>
      </c>
      <c r="K226" t="n">
        <v>0</v>
      </c>
      <c r="L226" t="n">
        <v>0</v>
      </c>
      <c r="M226" t="n">
        <v>0</v>
      </c>
      <c r="N226" t="n">
        <v>0</v>
      </c>
      <c r="O226" t="n">
        <v>1</v>
      </c>
      <c r="P226" t="n">
        <v>0</v>
      </c>
      <c r="Q226" t="n">
        <v>1</v>
      </c>
      <c r="R226" s="2" t="inlineStr">
        <is>
          <t>Kungsörn</t>
        </is>
      </c>
      <c r="S226">
        <f>HYPERLINK("https://klasma.github.io/Logging_2260/artfynd/A 47857-2025 artfynd.xlsx", "A 47857-2025")</f>
        <v/>
      </c>
      <c r="T226">
        <f>HYPERLINK("https://klasma.github.io/Logging_2260/kartor/A 47857-2025 karta.png", "A 47857-2025")</f>
        <v/>
      </c>
      <c r="V226">
        <f>HYPERLINK("https://klasma.github.io/Logging_2260/klagomål/A 47857-2025 FSC-klagomål.docx", "A 47857-2025")</f>
        <v/>
      </c>
      <c r="W226">
        <f>HYPERLINK("https://klasma.github.io/Logging_2260/klagomålsmail/A 47857-2025 FSC-klagomål mail.docx", "A 47857-2025")</f>
        <v/>
      </c>
      <c r="X226">
        <f>HYPERLINK("https://klasma.github.io/Logging_2260/tillsyn/A 47857-2025 tillsynsbegäran.docx", "A 47857-2025")</f>
        <v/>
      </c>
      <c r="Y226">
        <f>HYPERLINK("https://klasma.github.io/Logging_2260/tillsynsmail/A 47857-2025 tillsynsbegäran mail.docx", "A 47857-2025")</f>
        <v/>
      </c>
      <c r="Z226">
        <f>HYPERLINK("https://klasma.github.io/Logging_2260/fåglar/A 47857-2025 prioriterade fågelarter.docx", "A 47857-2025")</f>
        <v/>
      </c>
    </row>
    <row r="227" ht="15" customHeight="1">
      <c r="A227" t="inlineStr">
        <is>
          <t>A 48237-2025</t>
        </is>
      </c>
      <c r="B227" s="1" t="n">
        <v>45933</v>
      </c>
      <c r="C227" s="1" t="n">
        <v>46065</v>
      </c>
      <c r="D227" t="inlineStr">
        <is>
          <t>VÄSTERNORRLANDS LÄN</t>
        </is>
      </c>
      <c r="E227" t="inlineStr">
        <is>
          <t>ÅNGE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HYPERLINK("https://klasma.github.io/Logging_2260/artfynd/A 48237-2025 artfynd.xlsx", "A 48237-2025")</f>
        <v/>
      </c>
      <c r="T227">
        <f>HYPERLINK("https://klasma.github.io/Logging_2260/kartor/A 48237-2025 karta.png", "A 48237-2025")</f>
        <v/>
      </c>
      <c r="U227">
        <f>HYPERLINK("https://klasma.github.io/Logging_2260/knärot/A 48237-2025 karta knärot.png", "A 48237-2025")</f>
        <v/>
      </c>
      <c r="V227">
        <f>HYPERLINK("https://klasma.github.io/Logging_2260/klagomål/A 48237-2025 FSC-klagomål.docx", "A 48237-2025")</f>
        <v/>
      </c>
      <c r="W227">
        <f>HYPERLINK("https://klasma.github.io/Logging_2260/klagomålsmail/A 48237-2025 FSC-klagomål mail.docx", "A 48237-2025")</f>
        <v/>
      </c>
      <c r="X227">
        <f>HYPERLINK("https://klasma.github.io/Logging_2260/tillsyn/A 48237-2025 tillsynsbegäran.docx", "A 48237-2025")</f>
        <v/>
      </c>
      <c r="Y227">
        <f>HYPERLINK("https://klasma.github.io/Logging_2260/tillsynsmail/A 48237-2025 tillsynsbegäran mail.docx", "A 48237-2025")</f>
        <v/>
      </c>
    </row>
    <row r="228" ht="15" customHeight="1">
      <c r="A228" t="inlineStr">
        <is>
          <t>A 23490-2025</t>
        </is>
      </c>
      <c r="B228" s="1" t="n">
        <v>45792.46907407408</v>
      </c>
      <c r="C228" s="1" t="n">
        <v>46065</v>
      </c>
      <c r="D228" t="inlineStr">
        <is>
          <t>VÄSTERNORRLANDS LÄN</t>
        </is>
      </c>
      <c r="E228" t="inlineStr">
        <is>
          <t>ÅNGE</t>
        </is>
      </c>
      <c r="F228" t="inlineStr">
        <is>
          <t>SCA</t>
        </is>
      </c>
      <c r="G228" t="n">
        <v>3.3</v>
      </c>
      <c r="H228" t="n">
        <v>0</v>
      </c>
      <c r="I228" t="n">
        <v>0</v>
      </c>
      <c r="J228" t="n">
        <v>1</v>
      </c>
      <c r="K228" t="n">
        <v>0</v>
      </c>
      <c r="L228" t="n">
        <v>0</v>
      </c>
      <c r="M228" t="n">
        <v>0</v>
      </c>
      <c r="N228" t="n">
        <v>0</v>
      </c>
      <c r="O228" t="n">
        <v>1</v>
      </c>
      <c r="P228" t="n">
        <v>0</v>
      </c>
      <c r="Q228" t="n">
        <v>1</v>
      </c>
      <c r="R228" s="2" t="inlineStr">
        <is>
          <t>Garnlav</t>
        </is>
      </c>
      <c r="S228">
        <f>HYPERLINK("https://klasma.github.io/Logging_2260/artfynd/A 23490-2025 artfynd.xlsx", "A 23490-2025")</f>
        <v/>
      </c>
      <c r="T228">
        <f>HYPERLINK("https://klasma.github.io/Logging_2260/kartor/A 23490-2025 karta.png", "A 23490-2025")</f>
        <v/>
      </c>
      <c r="V228">
        <f>HYPERLINK("https://klasma.github.io/Logging_2260/klagomål/A 23490-2025 FSC-klagomål.docx", "A 23490-2025")</f>
        <v/>
      </c>
      <c r="W228">
        <f>HYPERLINK("https://klasma.github.io/Logging_2260/klagomålsmail/A 23490-2025 FSC-klagomål mail.docx", "A 23490-2025")</f>
        <v/>
      </c>
      <c r="X228">
        <f>HYPERLINK("https://klasma.github.io/Logging_2260/tillsyn/A 23490-2025 tillsynsbegäran.docx", "A 23490-2025")</f>
        <v/>
      </c>
      <c r="Y228">
        <f>HYPERLINK("https://klasma.github.io/Logging_2260/tillsynsmail/A 23490-2025 tillsynsbegäran mail.docx", "A 23490-2025")</f>
        <v/>
      </c>
    </row>
    <row r="229" ht="15" customHeight="1">
      <c r="A229" t="inlineStr">
        <is>
          <t>A 53683-2025</t>
        </is>
      </c>
      <c r="B229" s="1" t="n">
        <v>45960</v>
      </c>
      <c r="C229" s="1" t="n">
        <v>46065</v>
      </c>
      <c r="D229" t="inlineStr">
        <is>
          <t>VÄSTERNORRLANDS LÄN</t>
        </is>
      </c>
      <c r="E229" t="inlineStr">
        <is>
          <t>ÅNGE</t>
        </is>
      </c>
      <c r="F229" t="inlineStr">
        <is>
          <t>SCA</t>
        </is>
      </c>
      <c r="G229" t="n">
        <v>3.6</v>
      </c>
      <c r="H229" t="n">
        <v>0</v>
      </c>
      <c r="I229" t="n">
        <v>1</v>
      </c>
      <c r="J229" t="n">
        <v>0</v>
      </c>
      <c r="K229" t="n">
        <v>0</v>
      </c>
      <c r="L229" t="n">
        <v>0</v>
      </c>
      <c r="M229" t="n">
        <v>0</v>
      </c>
      <c r="N229" t="n">
        <v>0</v>
      </c>
      <c r="O229" t="n">
        <v>0</v>
      </c>
      <c r="P229" t="n">
        <v>0</v>
      </c>
      <c r="Q229" t="n">
        <v>1</v>
      </c>
      <c r="R229" s="2" t="inlineStr">
        <is>
          <t>Ögonpyrola</t>
        </is>
      </c>
      <c r="S229">
        <f>HYPERLINK("https://klasma.github.io/Logging_2260/artfynd/A 53683-2025 artfynd.xlsx", "A 53683-2025")</f>
        <v/>
      </c>
      <c r="T229">
        <f>HYPERLINK("https://klasma.github.io/Logging_2260/kartor/A 53683-2025 karta.png", "A 53683-2025")</f>
        <v/>
      </c>
      <c r="U229">
        <f>HYPERLINK("https://klasma.github.io/Logging_2260/knärot/A 53683-2025 karta knärot.png", "A 53683-2025")</f>
        <v/>
      </c>
      <c r="V229">
        <f>HYPERLINK("https://klasma.github.io/Logging_2260/klagomål/A 53683-2025 FSC-klagomål.docx", "A 53683-2025")</f>
        <v/>
      </c>
      <c r="W229">
        <f>HYPERLINK("https://klasma.github.io/Logging_2260/klagomålsmail/A 53683-2025 FSC-klagomål mail.docx", "A 53683-2025")</f>
        <v/>
      </c>
      <c r="X229">
        <f>HYPERLINK("https://klasma.github.io/Logging_2260/tillsyn/A 53683-2025 tillsynsbegäran.docx", "A 53683-2025")</f>
        <v/>
      </c>
      <c r="Y229">
        <f>HYPERLINK("https://klasma.github.io/Logging_2260/tillsynsmail/A 53683-2025 tillsynsbegäran mail.docx", "A 53683-2025")</f>
        <v/>
      </c>
    </row>
    <row r="230" ht="15" customHeight="1">
      <c r="A230" t="inlineStr">
        <is>
          <t>A 25332-2025</t>
        </is>
      </c>
      <c r="B230" s="1" t="n">
        <v>45800.59418981482</v>
      </c>
      <c r="C230" s="1" t="n">
        <v>46065</v>
      </c>
      <c r="D230" t="inlineStr">
        <is>
          <t>VÄSTERNORRLANDS LÄN</t>
        </is>
      </c>
      <c r="E230" t="inlineStr">
        <is>
          <t>ÅNGE</t>
        </is>
      </c>
      <c r="F230" t="inlineStr">
        <is>
          <t>SCA</t>
        </is>
      </c>
      <c r="G230" t="n">
        <v>1.6</v>
      </c>
      <c r="H230" t="n">
        <v>0</v>
      </c>
      <c r="I230" t="n">
        <v>0</v>
      </c>
      <c r="J230" t="n">
        <v>1</v>
      </c>
      <c r="K230" t="n">
        <v>0</v>
      </c>
      <c r="L230" t="n">
        <v>0</v>
      </c>
      <c r="M230" t="n">
        <v>0</v>
      </c>
      <c r="N230" t="n">
        <v>0</v>
      </c>
      <c r="O230" t="n">
        <v>1</v>
      </c>
      <c r="P230" t="n">
        <v>0</v>
      </c>
      <c r="Q230" t="n">
        <v>1</v>
      </c>
      <c r="R230" s="2" t="inlineStr">
        <is>
          <t>Lunglav</t>
        </is>
      </c>
      <c r="S230">
        <f>HYPERLINK("https://klasma.github.io/Logging_2260/artfynd/A 25332-2025 artfynd.xlsx", "A 25332-2025")</f>
        <v/>
      </c>
      <c r="T230">
        <f>HYPERLINK("https://klasma.github.io/Logging_2260/kartor/A 25332-2025 karta.png", "A 25332-2025")</f>
        <v/>
      </c>
      <c r="V230">
        <f>HYPERLINK("https://klasma.github.io/Logging_2260/klagomål/A 25332-2025 FSC-klagomål.docx", "A 25332-2025")</f>
        <v/>
      </c>
      <c r="W230">
        <f>HYPERLINK("https://klasma.github.io/Logging_2260/klagomålsmail/A 25332-2025 FSC-klagomål mail.docx", "A 25332-2025")</f>
        <v/>
      </c>
      <c r="X230">
        <f>HYPERLINK("https://klasma.github.io/Logging_2260/tillsyn/A 25332-2025 tillsynsbegäran.docx", "A 25332-2025")</f>
        <v/>
      </c>
      <c r="Y230">
        <f>HYPERLINK("https://klasma.github.io/Logging_2260/tillsynsmail/A 25332-2025 tillsynsbegäran mail.docx", "A 25332-2025")</f>
        <v/>
      </c>
    </row>
    <row r="231" ht="15" customHeight="1">
      <c r="A231" t="inlineStr">
        <is>
          <t>A 329-2026</t>
        </is>
      </c>
      <c r="B231" s="1" t="n">
        <v>46027.59431712963</v>
      </c>
      <c r="C231" s="1" t="n">
        <v>46065</v>
      </c>
      <c r="D231" t="inlineStr">
        <is>
          <t>VÄSTERNORRLANDS LÄN</t>
        </is>
      </c>
      <c r="E231" t="inlineStr">
        <is>
          <t>ÅNGE</t>
        </is>
      </c>
      <c r="F231" t="inlineStr">
        <is>
          <t>SCA</t>
        </is>
      </c>
      <c r="G231" t="n">
        <v>3.3</v>
      </c>
      <c r="H231" t="n">
        <v>1</v>
      </c>
      <c r="I231" t="n">
        <v>0</v>
      </c>
      <c r="J231" t="n">
        <v>0</v>
      </c>
      <c r="K231" t="n">
        <v>0</v>
      </c>
      <c r="L231" t="n">
        <v>0</v>
      </c>
      <c r="M231" t="n">
        <v>0</v>
      </c>
      <c r="N231" t="n">
        <v>0</v>
      </c>
      <c r="O231" t="n">
        <v>0</v>
      </c>
      <c r="P231" t="n">
        <v>0</v>
      </c>
      <c r="Q231" t="n">
        <v>1</v>
      </c>
      <c r="R231" s="2" t="inlineStr">
        <is>
          <t>Revlummer</t>
        </is>
      </c>
      <c r="S231">
        <f>HYPERLINK("https://klasma.github.io/Logging_2260/artfynd/A 329-2026 artfynd.xlsx", "A 329-2026")</f>
        <v/>
      </c>
      <c r="T231">
        <f>HYPERLINK("https://klasma.github.io/Logging_2260/kartor/A 329-2026 karta.png", "A 329-2026")</f>
        <v/>
      </c>
      <c r="V231">
        <f>HYPERLINK("https://klasma.github.io/Logging_2260/klagomål/A 329-2026 FSC-klagomål.docx", "A 329-2026")</f>
        <v/>
      </c>
      <c r="W231">
        <f>HYPERLINK("https://klasma.github.io/Logging_2260/klagomålsmail/A 329-2026 FSC-klagomål mail.docx", "A 329-2026")</f>
        <v/>
      </c>
      <c r="X231">
        <f>HYPERLINK("https://klasma.github.io/Logging_2260/tillsyn/A 329-2026 tillsynsbegäran.docx", "A 329-2026")</f>
        <v/>
      </c>
      <c r="Y231">
        <f>HYPERLINK("https://klasma.github.io/Logging_2260/tillsynsmail/A 329-2026 tillsynsbegäran mail.docx", "A 329-2026")</f>
        <v/>
      </c>
    </row>
    <row r="232" ht="15" customHeight="1">
      <c r="A232" t="inlineStr">
        <is>
          <t>A 58534-2025</t>
        </is>
      </c>
      <c r="B232" s="1" t="n">
        <v>45985.80396990741</v>
      </c>
      <c r="C232" s="1" t="n">
        <v>46065</v>
      </c>
      <c r="D232" t="inlineStr">
        <is>
          <t>VÄSTERNORRLANDS LÄN</t>
        </is>
      </c>
      <c r="E232" t="inlineStr">
        <is>
          <t>ÅNGE</t>
        </is>
      </c>
      <c r="F232" t="inlineStr">
        <is>
          <t>Holmen skog AB</t>
        </is>
      </c>
      <c r="G232" t="n">
        <v>2.2</v>
      </c>
      <c r="H232" t="n">
        <v>0</v>
      </c>
      <c r="I232" t="n">
        <v>0</v>
      </c>
      <c r="J232" t="n">
        <v>1</v>
      </c>
      <c r="K232" t="n">
        <v>0</v>
      </c>
      <c r="L232" t="n">
        <v>0</v>
      </c>
      <c r="M232" t="n">
        <v>0</v>
      </c>
      <c r="N232" t="n">
        <v>0</v>
      </c>
      <c r="O232" t="n">
        <v>1</v>
      </c>
      <c r="P232" t="n">
        <v>0</v>
      </c>
      <c r="Q232" t="n">
        <v>1</v>
      </c>
      <c r="R232" s="2" t="inlineStr">
        <is>
          <t>Ullticka</t>
        </is>
      </c>
      <c r="S232">
        <f>HYPERLINK("https://klasma.github.io/Logging_2260/artfynd/A 58534-2025 artfynd.xlsx", "A 58534-2025")</f>
        <v/>
      </c>
      <c r="T232">
        <f>HYPERLINK("https://klasma.github.io/Logging_2260/kartor/A 58534-2025 karta.png", "A 58534-2025")</f>
        <v/>
      </c>
      <c r="V232">
        <f>HYPERLINK("https://klasma.github.io/Logging_2260/klagomål/A 58534-2025 FSC-klagomål.docx", "A 58534-2025")</f>
        <v/>
      </c>
      <c r="W232">
        <f>HYPERLINK("https://klasma.github.io/Logging_2260/klagomålsmail/A 58534-2025 FSC-klagomål mail.docx", "A 58534-2025")</f>
        <v/>
      </c>
      <c r="X232">
        <f>HYPERLINK("https://klasma.github.io/Logging_2260/tillsyn/A 58534-2025 tillsynsbegäran.docx", "A 58534-2025")</f>
        <v/>
      </c>
      <c r="Y232">
        <f>HYPERLINK("https://klasma.github.io/Logging_2260/tillsynsmail/A 58534-2025 tillsynsbegäran mail.docx", "A 58534-2025")</f>
        <v/>
      </c>
    </row>
    <row r="233" ht="15" customHeight="1">
      <c r="A233" t="inlineStr">
        <is>
          <t>A 61076-2025</t>
        </is>
      </c>
      <c r="B233" s="1" t="n">
        <v>46000.39689814814</v>
      </c>
      <c r="C233" s="1" t="n">
        <v>46065</v>
      </c>
      <c r="D233" t="inlineStr">
        <is>
          <t>VÄSTERNORRLANDS LÄN</t>
        </is>
      </c>
      <c r="E233" t="inlineStr">
        <is>
          <t>ÅNGE</t>
        </is>
      </c>
      <c r="F233" t="inlineStr">
        <is>
          <t>Holmen skog AB</t>
        </is>
      </c>
      <c r="G233" t="n">
        <v>2.7</v>
      </c>
      <c r="H233" t="n">
        <v>0</v>
      </c>
      <c r="I233" t="n">
        <v>1</v>
      </c>
      <c r="J233" t="n">
        <v>0</v>
      </c>
      <c r="K233" t="n">
        <v>0</v>
      </c>
      <c r="L233" t="n">
        <v>0</v>
      </c>
      <c r="M233" t="n">
        <v>0</v>
      </c>
      <c r="N233" t="n">
        <v>0</v>
      </c>
      <c r="O233" t="n">
        <v>0</v>
      </c>
      <c r="P233" t="n">
        <v>0</v>
      </c>
      <c r="Q233" t="n">
        <v>1</v>
      </c>
      <c r="R233" s="2" t="inlineStr">
        <is>
          <t>Stor aspticka</t>
        </is>
      </c>
      <c r="S233">
        <f>HYPERLINK("https://klasma.github.io/Logging_2260/artfynd/A 61076-2025 artfynd.xlsx", "A 61076-2025")</f>
        <v/>
      </c>
      <c r="T233">
        <f>HYPERLINK("https://klasma.github.io/Logging_2260/kartor/A 61076-2025 karta.png", "A 61076-2025")</f>
        <v/>
      </c>
      <c r="V233">
        <f>HYPERLINK("https://klasma.github.io/Logging_2260/klagomål/A 61076-2025 FSC-klagomål.docx", "A 61076-2025")</f>
        <v/>
      </c>
      <c r="W233">
        <f>HYPERLINK("https://klasma.github.io/Logging_2260/klagomålsmail/A 61076-2025 FSC-klagomål mail.docx", "A 61076-2025")</f>
        <v/>
      </c>
      <c r="X233">
        <f>HYPERLINK("https://klasma.github.io/Logging_2260/tillsyn/A 61076-2025 tillsynsbegäran.docx", "A 61076-2025")</f>
        <v/>
      </c>
      <c r="Y233">
        <f>HYPERLINK("https://klasma.github.io/Logging_2260/tillsynsmail/A 61076-2025 tillsynsbegäran mail.docx", "A 61076-2025")</f>
        <v/>
      </c>
    </row>
    <row r="234" ht="15" customHeight="1">
      <c r="A234" t="inlineStr">
        <is>
          <t>A 20354-2021</t>
        </is>
      </c>
      <c r="B234" s="1" t="n">
        <v>44312</v>
      </c>
      <c r="C234" s="1" t="n">
        <v>46065</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21740-2022</t>
        </is>
      </c>
      <c r="B235" s="1" t="n">
        <v>44708.37472222222</v>
      </c>
      <c r="C235" s="1" t="n">
        <v>46065</v>
      </c>
      <c r="D235" t="inlineStr">
        <is>
          <t>VÄSTERNORRLANDS LÄN</t>
        </is>
      </c>
      <c r="E235" t="inlineStr">
        <is>
          <t>ÅNGE</t>
        </is>
      </c>
      <c r="G235" t="n">
        <v>2</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46065</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24353-2022</t>
        </is>
      </c>
      <c r="B237" s="1" t="n">
        <v>44726.37769675926</v>
      </c>
      <c r="C237" s="1" t="n">
        <v>46065</v>
      </c>
      <c r="D237" t="inlineStr">
        <is>
          <t>VÄSTERNORRLANDS LÄN</t>
        </is>
      </c>
      <c r="E237" t="inlineStr">
        <is>
          <t>ÅNGE</t>
        </is>
      </c>
      <c r="G237" t="n">
        <v>1</v>
      </c>
      <c r="H237" t="n">
        <v>0</v>
      </c>
      <c r="I237" t="n">
        <v>0</v>
      </c>
      <c r="J237" t="n">
        <v>0</v>
      </c>
      <c r="K237" t="n">
        <v>0</v>
      </c>
      <c r="L237" t="n">
        <v>0</v>
      </c>
      <c r="M237" t="n">
        <v>0</v>
      </c>
      <c r="N237" t="n">
        <v>0</v>
      </c>
      <c r="O237" t="n">
        <v>0</v>
      </c>
      <c r="P237" t="n">
        <v>0</v>
      </c>
      <c r="Q237" t="n">
        <v>0</v>
      </c>
      <c r="R237" s="2" t="inlineStr"/>
    </row>
    <row r="238" ht="15" customHeight="1">
      <c r="A238" t="inlineStr">
        <is>
          <t>A 5381-2022</t>
        </is>
      </c>
      <c r="B238" s="1" t="n">
        <v>44594.9337037037</v>
      </c>
      <c r="C238" s="1" t="n">
        <v>46065</v>
      </c>
      <c r="D238" t="inlineStr">
        <is>
          <t>VÄSTERNORRLANDS LÄN</t>
        </is>
      </c>
      <c r="E238" t="inlineStr">
        <is>
          <t>ÅNGE</t>
        </is>
      </c>
      <c r="F238" t="inlineStr">
        <is>
          <t>SCA</t>
        </is>
      </c>
      <c r="G238" t="n">
        <v>4.3</v>
      </c>
      <c r="H238" t="n">
        <v>0</v>
      </c>
      <c r="I238" t="n">
        <v>0</v>
      </c>
      <c r="J238" t="n">
        <v>0</v>
      </c>
      <c r="K238" t="n">
        <v>0</v>
      </c>
      <c r="L238" t="n">
        <v>0</v>
      </c>
      <c r="M238" t="n">
        <v>0</v>
      </c>
      <c r="N238" t="n">
        <v>0</v>
      </c>
      <c r="O238" t="n">
        <v>0</v>
      </c>
      <c r="P238" t="n">
        <v>0</v>
      </c>
      <c r="Q238" t="n">
        <v>0</v>
      </c>
      <c r="R238" s="2" t="inlineStr"/>
    </row>
    <row r="239" ht="15" customHeight="1">
      <c r="A239" t="inlineStr">
        <is>
          <t>A 38432-2021</t>
        </is>
      </c>
      <c r="B239" s="1" t="n">
        <v>44406</v>
      </c>
      <c r="C239" s="1" t="n">
        <v>46065</v>
      </c>
      <c r="D239" t="inlineStr">
        <is>
          <t>VÄSTERNORRLANDS LÄN</t>
        </is>
      </c>
      <c r="E239" t="inlineStr">
        <is>
          <t>ÅNGE</t>
        </is>
      </c>
      <c r="G239" t="n">
        <v>0.4</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46065</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46065</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46065</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39744-2021</t>
        </is>
      </c>
      <c r="B243" s="1" t="n">
        <v>44417</v>
      </c>
      <c r="C243" s="1" t="n">
        <v>46065</v>
      </c>
      <c r="D243" t="inlineStr">
        <is>
          <t>VÄSTERNORRLANDS LÄN</t>
        </is>
      </c>
      <c r="E243" t="inlineStr">
        <is>
          <t>ÅNGE</t>
        </is>
      </c>
      <c r="G243" t="n">
        <v>1.1</v>
      </c>
      <c r="H243" t="n">
        <v>0</v>
      </c>
      <c r="I243" t="n">
        <v>0</v>
      </c>
      <c r="J243" t="n">
        <v>0</v>
      </c>
      <c r="K243" t="n">
        <v>0</v>
      </c>
      <c r="L243" t="n">
        <v>0</v>
      </c>
      <c r="M243" t="n">
        <v>0</v>
      </c>
      <c r="N243" t="n">
        <v>0</v>
      </c>
      <c r="O243" t="n">
        <v>0</v>
      </c>
      <c r="P243" t="n">
        <v>0</v>
      </c>
      <c r="Q243" t="n">
        <v>0</v>
      </c>
      <c r="R243" s="2" t="inlineStr"/>
    </row>
    <row r="244" ht="15" customHeight="1">
      <c r="A244" t="inlineStr">
        <is>
          <t>A 74088-2021</t>
        </is>
      </c>
      <c r="B244" s="1" t="n">
        <v>44557.59435185185</v>
      </c>
      <c r="C244" s="1" t="n">
        <v>46065</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46065</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46065</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46065</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19102-2021</t>
        </is>
      </c>
      <c r="B248" s="1" t="n">
        <v>44308</v>
      </c>
      <c r="C248" s="1" t="n">
        <v>46065</v>
      </c>
      <c r="D248" t="inlineStr">
        <is>
          <t>VÄSTERNORRLANDS LÄN</t>
        </is>
      </c>
      <c r="E248" t="inlineStr">
        <is>
          <t>ÅNGE</t>
        </is>
      </c>
      <c r="G248" t="n">
        <v>3.3</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46065</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46065</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46065</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46065</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46065</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46065</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46065</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46065</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46065</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46065</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46065</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46065</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46065</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46065</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46065</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46065</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46065</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46065</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46065</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46065</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46065</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46065</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46065</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46065</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46065</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46065</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46065</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46065</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46065</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46065</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46065</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13510-2021</t>
        </is>
      </c>
      <c r="B280" s="1" t="n">
        <v>44273</v>
      </c>
      <c r="C280" s="1" t="n">
        <v>46065</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13479-2021</t>
        </is>
      </c>
      <c r="B281" s="1" t="n">
        <v>44273</v>
      </c>
      <c r="C281" s="1" t="n">
        <v>46065</v>
      </c>
      <c r="D281" t="inlineStr">
        <is>
          <t>VÄSTERNORRLANDS LÄN</t>
        </is>
      </c>
      <c r="E281" t="inlineStr">
        <is>
          <t>ÅNGE</t>
        </is>
      </c>
      <c r="G281" t="n">
        <v>0.1</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46065</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35058-2021</t>
        </is>
      </c>
      <c r="B283" s="1" t="n">
        <v>44383</v>
      </c>
      <c r="C283" s="1" t="n">
        <v>46065</v>
      </c>
      <c r="D283" t="inlineStr">
        <is>
          <t>VÄSTERNORRLANDS LÄN</t>
        </is>
      </c>
      <c r="E283" t="inlineStr">
        <is>
          <t>ÅNGE</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35079-2021</t>
        </is>
      </c>
      <c r="B284" s="1" t="n">
        <v>44383</v>
      </c>
      <c r="C284" s="1" t="n">
        <v>46065</v>
      </c>
      <c r="D284" t="inlineStr">
        <is>
          <t>VÄSTERNORRLANDS LÄN</t>
        </is>
      </c>
      <c r="E284" t="inlineStr">
        <is>
          <t>ÅNGE</t>
        </is>
      </c>
      <c r="G284" t="n">
        <v>2.8</v>
      </c>
      <c r="H284" t="n">
        <v>0</v>
      </c>
      <c r="I284" t="n">
        <v>0</v>
      </c>
      <c r="J284" t="n">
        <v>0</v>
      </c>
      <c r="K284" t="n">
        <v>0</v>
      </c>
      <c r="L284" t="n">
        <v>0</v>
      </c>
      <c r="M284" t="n">
        <v>0</v>
      </c>
      <c r="N284" t="n">
        <v>0</v>
      </c>
      <c r="O284" t="n">
        <v>0</v>
      </c>
      <c r="P284" t="n">
        <v>0</v>
      </c>
      <c r="Q284" t="n">
        <v>0</v>
      </c>
      <c r="R284" s="2" t="inlineStr"/>
    </row>
    <row r="285" ht="15" customHeight="1">
      <c r="A285" t="inlineStr">
        <is>
          <t>A 53010-2022</t>
        </is>
      </c>
      <c r="B285" s="1" t="n">
        <v>44875</v>
      </c>
      <c r="C285" s="1" t="n">
        <v>46065</v>
      </c>
      <c r="D285" t="inlineStr">
        <is>
          <t>VÄSTERNORRLANDS LÄN</t>
        </is>
      </c>
      <c r="E285" t="inlineStr">
        <is>
          <t>ÅNGE</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30286-2021</t>
        </is>
      </c>
      <c r="B286" s="1" t="n">
        <v>44363</v>
      </c>
      <c r="C286" s="1" t="n">
        <v>46065</v>
      </c>
      <c r="D286" t="inlineStr">
        <is>
          <t>VÄSTERNORRLANDS LÄN</t>
        </is>
      </c>
      <c r="E286" t="inlineStr">
        <is>
          <t>ÅNGE</t>
        </is>
      </c>
      <c r="G286" t="n">
        <v>1.2</v>
      </c>
      <c r="H286" t="n">
        <v>0</v>
      </c>
      <c r="I286" t="n">
        <v>0</v>
      </c>
      <c r="J286" t="n">
        <v>0</v>
      </c>
      <c r="K286" t="n">
        <v>0</v>
      </c>
      <c r="L286" t="n">
        <v>0</v>
      </c>
      <c r="M286" t="n">
        <v>0</v>
      </c>
      <c r="N286" t="n">
        <v>0</v>
      </c>
      <c r="O286" t="n">
        <v>0</v>
      </c>
      <c r="P286" t="n">
        <v>0</v>
      </c>
      <c r="Q286" t="n">
        <v>0</v>
      </c>
      <c r="R286" s="2" t="inlineStr"/>
    </row>
    <row r="287" ht="15" customHeight="1">
      <c r="A287" t="inlineStr">
        <is>
          <t>A 21642-2021</t>
        </is>
      </c>
      <c r="B287" s="1" t="n">
        <v>44321.94239583334</v>
      </c>
      <c r="C287" s="1" t="n">
        <v>46065</v>
      </c>
      <c r="D287" t="inlineStr">
        <is>
          <t>VÄSTERNORRLANDS LÄN</t>
        </is>
      </c>
      <c r="E287" t="inlineStr">
        <is>
          <t>ÅNGE</t>
        </is>
      </c>
      <c r="F287" t="inlineStr">
        <is>
          <t>SCA</t>
        </is>
      </c>
      <c r="G287" t="n">
        <v>0.4</v>
      </c>
      <c r="H287" t="n">
        <v>0</v>
      </c>
      <c r="I287" t="n">
        <v>0</v>
      </c>
      <c r="J287" t="n">
        <v>0</v>
      </c>
      <c r="K287" t="n">
        <v>0</v>
      </c>
      <c r="L287" t="n">
        <v>0</v>
      </c>
      <c r="M287" t="n">
        <v>0</v>
      </c>
      <c r="N287" t="n">
        <v>0</v>
      </c>
      <c r="O287" t="n">
        <v>0</v>
      </c>
      <c r="P287" t="n">
        <v>0</v>
      </c>
      <c r="Q287" t="n">
        <v>0</v>
      </c>
      <c r="R287" s="2" t="inlineStr"/>
    </row>
    <row r="288" ht="15" customHeight="1">
      <c r="A288" t="inlineStr">
        <is>
          <t>A 39723-2021</t>
        </is>
      </c>
      <c r="B288" s="1" t="n">
        <v>44417.47886574074</v>
      </c>
      <c r="C288" s="1" t="n">
        <v>46065</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35276-2022</t>
        </is>
      </c>
      <c r="B289" s="1" t="n">
        <v>44798</v>
      </c>
      <c r="C289" s="1" t="n">
        <v>46065</v>
      </c>
      <c r="D289" t="inlineStr">
        <is>
          <t>VÄSTERNORRLANDS LÄN</t>
        </is>
      </c>
      <c r="E289" t="inlineStr">
        <is>
          <t>ÅNGE</t>
        </is>
      </c>
      <c r="G289" t="n">
        <v>15.2</v>
      </c>
      <c r="H289" t="n">
        <v>0</v>
      </c>
      <c r="I289" t="n">
        <v>0</v>
      </c>
      <c r="J289" t="n">
        <v>0</v>
      </c>
      <c r="K289" t="n">
        <v>0</v>
      </c>
      <c r="L289" t="n">
        <v>0</v>
      </c>
      <c r="M289" t="n">
        <v>0</v>
      </c>
      <c r="N289" t="n">
        <v>0</v>
      </c>
      <c r="O289" t="n">
        <v>0</v>
      </c>
      <c r="P289" t="n">
        <v>0</v>
      </c>
      <c r="Q289" t="n">
        <v>0</v>
      </c>
      <c r="R289" s="2" t="inlineStr"/>
    </row>
    <row r="290" ht="15" customHeight="1">
      <c r="A290" t="inlineStr">
        <is>
          <t>A 13149-2021</t>
        </is>
      </c>
      <c r="B290" s="1" t="n">
        <v>44272</v>
      </c>
      <c r="C290" s="1" t="n">
        <v>46065</v>
      </c>
      <c r="D290" t="inlineStr">
        <is>
          <t>VÄSTERNORRLANDS LÄN</t>
        </is>
      </c>
      <c r="E290" t="inlineStr">
        <is>
          <t>ÅNGE</t>
        </is>
      </c>
      <c r="G290" t="n">
        <v>3.4</v>
      </c>
      <c r="H290" t="n">
        <v>0</v>
      </c>
      <c r="I290" t="n">
        <v>0</v>
      </c>
      <c r="J290" t="n">
        <v>0</v>
      </c>
      <c r="K290" t="n">
        <v>0</v>
      </c>
      <c r="L290" t="n">
        <v>0</v>
      </c>
      <c r="M290" t="n">
        <v>0</v>
      </c>
      <c r="N290" t="n">
        <v>0</v>
      </c>
      <c r="O290" t="n">
        <v>0</v>
      </c>
      <c r="P290" t="n">
        <v>0</v>
      </c>
      <c r="Q290" t="n">
        <v>0</v>
      </c>
      <c r="R290" s="2" t="inlineStr"/>
    </row>
    <row r="291" ht="15" customHeight="1">
      <c r="A291" t="inlineStr">
        <is>
          <t>A 11098-2022</t>
        </is>
      </c>
      <c r="B291" s="1" t="n">
        <v>44628</v>
      </c>
      <c r="C291" s="1" t="n">
        <v>46065</v>
      </c>
      <c r="D291" t="inlineStr">
        <is>
          <t>VÄSTERNORRLANDS LÄN</t>
        </is>
      </c>
      <c r="E291" t="inlineStr">
        <is>
          <t>ÅNGE</t>
        </is>
      </c>
      <c r="G291" t="n">
        <v>8.9</v>
      </c>
      <c r="H291" t="n">
        <v>0</v>
      </c>
      <c r="I291" t="n">
        <v>0</v>
      </c>
      <c r="J291" t="n">
        <v>0</v>
      </c>
      <c r="K291" t="n">
        <v>0</v>
      </c>
      <c r="L291" t="n">
        <v>0</v>
      </c>
      <c r="M291" t="n">
        <v>0</v>
      </c>
      <c r="N291" t="n">
        <v>0</v>
      </c>
      <c r="O291" t="n">
        <v>0</v>
      </c>
      <c r="P291" t="n">
        <v>0</v>
      </c>
      <c r="Q291" t="n">
        <v>0</v>
      </c>
      <c r="R291" s="2" t="inlineStr"/>
    </row>
    <row r="292" ht="15" customHeight="1">
      <c r="A292" t="inlineStr">
        <is>
          <t>A 4939-2022</t>
        </is>
      </c>
      <c r="B292" s="1" t="n">
        <v>44593.50019675926</v>
      </c>
      <c r="C292" s="1" t="n">
        <v>46065</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35283-2022</t>
        </is>
      </c>
      <c r="B293" s="1" t="n">
        <v>44798.39916666667</v>
      </c>
      <c r="C293" s="1" t="n">
        <v>46065</v>
      </c>
      <c r="D293" t="inlineStr">
        <is>
          <t>VÄSTERNORRLANDS LÄN</t>
        </is>
      </c>
      <c r="E293" t="inlineStr">
        <is>
          <t>ÅNGE</t>
        </is>
      </c>
      <c r="G293" t="n">
        <v>4.5</v>
      </c>
      <c r="H293" t="n">
        <v>0</v>
      </c>
      <c r="I293" t="n">
        <v>0</v>
      </c>
      <c r="J293" t="n">
        <v>0</v>
      </c>
      <c r="K293" t="n">
        <v>0</v>
      </c>
      <c r="L293" t="n">
        <v>0</v>
      </c>
      <c r="M293" t="n">
        <v>0</v>
      </c>
      <c r="N293" t="n">
        <v>0</v>
      </c>
      <c r="O293" t="n">
        <v>0</v>
      </c>
      <c r="P293" t="n">
        <v>0</v>
      </c>
      <c r="Q293" t="n">
        <v>0</v>
      </c>
      <c r="R293" s="2" t="inlineStr"/>
    </row>
    <row r="294" ht="15" customHeight="1">
      <c r="A294" t="inlineStr">
        <is>
          <t>A 71651-2021</t>
        </is>
      </c>
      <c r="B294" s="1" t="n">
        <v>44538</v>
      </c>
      <c r="C294" s="1" t="n">
        <v>46065</v>
      </c>
      <c r="D294" t="inlineStr">
        <is>
          <t>VÄSTERNORRLANDS LÄN</t>
        </is>
      </c>
      <c r="E294" t="inlineStr">
        <is>
          <t>ÅNGE</t>
        </is>
      </c>
      <c r="G294" t="n">
        <v>4.4</v>
      </c>
      <c r="H294" t="n">
        <v>0</v>
      </c>
      <c r="I294" t="n">
        <v>0</v>
      </c>
      <c r="J294" t="n">
        <v>0</v>
      </c>
      <c r="K294" t="n">
        <v>0</v>
      </c>
      <c r="L294" t="n">
        <v>0</v>
      </c>
      <c r="M294" t="n">
        <v>0</v>
      </c>
      <c r="N294" t="n">
        <v>0</v>
      </c>
      <c r="O294" t="n">
        <v>0</v>
      </c>
      <c r="P294" t="n">
        <v>0</v>
      </c>
      <c r="Q294" t="n">
        <v>0</v>
      </c>
      <c r="R294" s="2" t="inlineStr"/>
    </row>
    <row r="295" ht="15" customHeight="1">
      <c r="A295" t="inlineStr">
        <is>
          <t>A 55905-2021</t>
        </is>
      </c>
      <c r="B295" s="1" t="n">
        <v>44476.91895833334</v>
      </c>
      <c r="C295" s="1" t="n">
        <v>46065</v>
      </c>
      <c r="D295" t="inlineStr">
        <is>
          <t>VÄSTERNORRLANDS LÄN</t>
        </is>
      </c>
      <c r="E295" t="inlineStr">
        <is>
          <t>ÅNGE</t>
        </is>
      </c>
      <c r="G295" t="n">
        <v>0.9</v>
      </c>
      <c r="H295" t="n">
        <v>0</v>
      </c>
      <c r="I295" t="n">
        <v>0</v>
      </c>
      <c r="J295" t="n">
        <v>0</v>
      </c>
      <c r="K295" t="n">
        <v>0</v>
      </c>
      <c r="L295" t="n">
        <v>0</v>
      </c>
      <c r="M295" t="n">
        <v>0</v>
      </c>
      <c r="N295" t="n">
        <v>0</v>
      </c>
      <c r="O295" t="n">
        <v>0</v>
      </c>
      <c r="P295" t="n">
        <v>0</v>
      </c>
      <c r="Q295" t="n">
        <v>0</v>
      </c>
      <c r="R295" s="2" t="inlineStr"/>
    </row>
    <row r="296" ht="15" customHeight="1">
      <c r="A296" t="inlineStr">
        <is>
          <t>A 17580-2022</t>
        </is>
      </c>
      <c r="B296" s="1" t="n">
        <v>44679</v>
      </c>
      <c r="C296" s="1" t="n">
        <v>46065</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29509-2021</t>
        </is>
      </c>
      <c r="B297" s="1" t="n">
        <v>44361</v>
      </c>
      <c r="C297" s="1" t="n">
        <v>46065</v>
      </c>
      <c r="D297" t="inlineStr">
        <is>
          <t>VÄSTERNORRLANDS LÄN</t>
        </is>
      </c>
      <c r="E297" t="inlineStr">
        <is>
          <t>ÅNGE</t>
        </is>
      </c>
      <c r="G297" t="n">
        <v>3.6</v>
      </c>
      <c r="H297" t="n">
        <v>0</v>
      </c>
      <c r="I297" t="n">
        <v>0</v>
      </c>
      <c r="J297" t="n">
        <v>0</v>
      </c>
      <c r="K297" t="n">
        <v>0</v>
      </c>
      <c r="L297" t="n">
        <v>0</v>
      </c>
      <c r="M297" t="n">
        <v>0</v>
      </c>
      <c r="N297" t="n">
        <v>0</v>
      </c>
      <c r="O297" t="n">
        <v>0</v>
      </c>
      <c r="P297" t="n">
        <v>0</v>
      </c>
      <c r="Q297" t="n">
        <v>0</v>
      </c>
      <c r="R297" s="2" t="inlineStr"/>
    </row>
    <row r="298" ht="15" customHeight="1">
      <c r="A298" t="inlineStr">
        <is>
          <t>A 58942-2021</t>
        </is>
      </c>
      <c r="B298" s="1" t="n">
        <v>44489.9221875</v>
      </c>
      <c r="C298" s="1" t="n">
        <v>46065</v>
      </c>
      <c r="D298" t="inlineStr">
        <is>
          <t>VÄSTERNORRLANDS LÄN</t>
        </is>
      </c>
      <c r="E298" t="inlineStr">
        <is>
          <t>ÅNGE</t>
        </is>
      </c>
      <c r="G298" t="n">
        <v>5.6</v>
      </c>
      <c r="H298" t="n">
        <v>0</v>
      </c>
      <c r="I298" t="n">
        <v>0</v>
      </c>
      <c r="J298" t="n">
        <v>0</v>
      </c>
      <c r="K298" t="n">
        <v>0</v>
      </c>
      <c r="L298" t="n">
        <v>0</v>
      </c>
      <c r="M298" t="n">
        <v>0</v>
      </c>
      <c r="N298" t="n">
        <v>0</v>
      </c>
      <c r="O298" t="n">
        <v>0</v>
      </c>
      <c r="P298" t="n">
        <v>0</v>
      </c>
      <c r="Q298" t="n">
        <v>0</v>
      </c>
      <c r="R298" s="2" t="inlineStr"/>
    </row>
    <row r="299" ht="15" customHeight="1">
      <c r="A299" t="inlineStr">
        <is>
          <t>A 33274-2022</t>
        </is>
      </c>
      <c r="B299" s="1" t="n">
        <v>44788</v>
      </c>
      <c r="C299" s="1" t="n">
        <v>46065</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7633-2022</t>
        </is>
      </c>
      <c r="B300" s="1" t="n">
        <v>44607.71378472223</v>
      </c>
      <c r="C300" s="1" t="n">
        <v>46065</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47660-2022</t>
        </is>
      </c>
      <c r="B301" s="1" t="n">
        <v>44854.45766203704</v>
      </c>
      <c r="C301" s="1" t="n">
        <v>46065</v>
      </c>
      <c r="D301" t="inlineStr">
        <is>
          <t>VÄSTERNORRLANDS LÄN</t>
        </is>
      </c>
      <c r="E301" t="inlineStr">
        <is>
          <t>ÅNGE</t>
        </is>
      </c>
      <c r="F301" t="inlineStr">
        <is>
          <t>Holmen skog AB</t>
        </is>
      </c>
      <c r="G301" t="n">
        <v>0.5</v>
      </c>
      <c r="H301" t="n">
        <v>0</v>
      </c>
      <c r="I301" t="n">
        <v>0</v>
      </c>
      <c r="J301" t="n">
        <v>0</v>
      </c>
      <c r="K301" t="n">
        <v>0</v>
      </c>
      <c r="L301" t="n">
        <v>0</v>
      </c>
      <c r="M301" t="n">
        <v>0</v>
      </c>
      <c r="N301" t="n">
        <v>0</v>
      </c>
      <c r="O301" t="n">
        <v>0</v>
      </c>
      <c r="P301" t="n">
        <v>0</v>
      </c>
      <c r="Q301" t="n">
        <v>0</v>
      </c>
      <c r="R301" s="2" t="inlineStr"/>
    </row>
    <row r="302" ht="15" customHeight="1">
      <c r="A302" t="inlineStr">
        <is>
          <t>A 50710-2021</t>
        </is>
      </c>
      <c r="B302" s="1" t="n">
        <v>44460.366875</v>
      </c>
      <c r="C302" s="1" t="n">
        <v>46065</v>
      </c>
      <c r="D302" t="inlineStr">
        <is>
          <t>VÄSTERNORRLANDS LÄN</t>
        </is>
      </c>
      <c r="E302" t="inlineStr">
        <is>
          <t>ÅNGE</t>
        </is>
      </c>
      <c r="G302" t="n">
        <v>2.2</v>
      </c>
      <c r="H302" t="n">
        <v>0</v>
      </c>
      <c r="I302" t="n">
        <v>0</v>
      </c>
      <c r="J302" t="n">
        <v>0</v>
      </c>
      <c r="K302" t="n">
        <v>0</v>
      </c>
      <c r="L302" t="n">
        <v>0</v>
      </c>
      <c r="M302" t="n">
        <v>0</v>
      </c>
      <c r="N302" t="n">
        <v>0</v>
      </c>
      <c r="O302" t="n">
        <v>0</v>
      </c>
      <c r="P302" t="n">
        <v>0</v>
      </c>
      <c r="Q302" t="n">
        <v>0</v>
      </c>
      <c r="R302" s="2" t="inlineStr"/>
    </row>
    <row r="303" ht="15" customHeight="1">
      <c r="A303" t="inlineStr">
        <is>
          <t>A 40476-2022</t>
        </is>
      </c>
      <c r="B303" s="1" t="n">
        <v>44823.54685185185</v>
      </c>
      <c r="C303" s="1" t="n">
        <v>46065</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14813-2022</t>
        </is>
      </c>
      <c r="B304" s="1" t="n">
        <v>44656</v>
      </c>
      <c r="C304" s="1" t="n">
        <v>46065</v>
      </c>
      <c r="D304" t="inlineStr">
        <is>
          <t>VÄSTERNORRLANDS LÄN</t>
        </is>
      </c>
      <c r="E304" t="inlineStr">
        <is>
          <t>ÅNGE</t>
        </is>
      </c>
      <c r="G304" t="n">
        <v>2.2</v>
      </c>
      <c r="H304" t="n">
        <v>0</v>
      </c>
      <c r="I304" t="n">
        <v>0</v>
      </c>
      <c r="J304" t="n">
        <v>0</v>
      </c>
      <c r="K304" t="n">
        <v>0</v>
      </c>
      <c r="L304" t="n">
        <v>0</v>
      </c>
      <c r="M304" t="n">
        <v>0</v>
      </c>
      <c r="N304" t="n">
        <v>0</v>
      </c>
      <c r="O304" t="n">
        <v>0</v>
      </c>
      <c r="P304" t="n">
        <v>0</v>
      </c>
      <c r="Q304" t="n">
        <v>0</v>
      </c>
      <c r="R304" s="2" t="inlineStr"/>
    </row>
    <row r="305" ht="15" customHeight="1">
      <c r="A305" t="inlineStr">
        <is>
          <t>A 30345-2021</t>
        </is>
      </c>
      <c r="B305" s="1" t="n">
        <v>44364</v>
      </c>
      <c r="C305" s="1" t="n">
        <v>46065</v>
      </c>
      <c r="D305" t="inlineStr">
        <is>
          <t>VÄSTERNORRLANDS LÄN</t>
        </is>
      </c>
      <c r="E305" t="inlineStr">
        <is>
          <t>ÅNGE</t>
        </is>
      </c>
      <c r="G305" t="n">
        <v>7.7</v>
      </c>
      <c r="H305" t="n">
        <v>0</v>
      </c>
      <c r="I305" t="n">
        <v>0</v>
      </c>
      <c r="J305" t="n">
        <v>0</v>
      </c>
      <c r="K305" t="n">
        <v>0</v>
      </c>
      <c r="L305" t="n">
        <v>0</v>
      </c>
      <c r="M305" t="n">
        <v>0</v>
      </c>
      <c r="N305" t="n">
        <v>0</v>
      </c>
      <c r="O305" t="n">
        <v>0</v>
      </c>
      <c r="P305" t="n">
        <v>0</v>
      </c>
      <c r="Q305" t="n">
        <v>0</v>
      </c>
      <c r="R305" s="2" t="inlineStr"/>
    </row>
    <row r="306" ht="15" customHeight="1">
      <c r="A306" t="inlineStr">
        <is>
          <t>A 57418-2021</t>
        </is>
      </c>
      <c r="B306" s="1" t="n">
        <v>44483</v>
      </c>
      <c r="C306" s="1" t="n">
        <v>46065</v>
      </c>
      <c r="D306" t="inlineStr">
        <is>
          <t>VÄSTERNORRLANDS LÄN</t>
        </is>
      </c>
      <c r="E306" t="inlineStr">
        <is>
          <t>ÅNGE</t>
        </is>
      </c>
      <c r="G306" t="n">
        <v>4.4</v>
      </c>
      <c r="H306" t="n">
        <v>0</v>
      </c>
      <c r="I306" t="n">
        <v>0</v>
      </c>
      <c r="J306" t="n">
        <v>0</v>
      </c>
      <c r="K306" t="n">
        <v>0</v>
      </c>
      <c r="L306" t="n">
        <v>0</v>
      </c>
      <c r="M306" t="n">
        <v>0</v>
      </c>
      <c r="N306" t="n">
        <v>0</v>
      </c>
      <c r="O306" t="n">
        <v>0</v>
      </c>
      <c r="P306" t="n">
        <v>0</v>
      </c>
      <c r="Q306" t="n">
        <v>0</v>
      </c>
      <c r="R306" s="2" t="inlineStr"/>
    </row>
    <row r="307" ht="15" customHeight="1">
      <c r="A307" t="inlineStr">
        <is>
          <t>A 46865-2021</t>
        </is>
      </c>
      <c r="B307" s="1" t="n">
        <v>44446.39883101852</v>
      </c>
      <c r="C307" s="1" t="n">
        <v>46065</v>
      </c>
      <c r="D307" t="inlineStr">
        <is>
          <t>VÄSTERNORRLANDS LÄN</t>
        </is>
      </c>
      <c r="E307" t="inlineStr">
        <is>
          <t>ÅNGE</t>
        </is>
      </c>
      <c r="G307" t="n">
        <v>1.6</v>
      </c>
      <c r="H307" t="n">
        <v>0</v>
      </c>
      <c r="I307" t="n">
        <v>0</v>
      </c>
      <c r="J307" t="n">
        <v>0</v>
      </c>
      <c r="K307" t="n">
        <v>0</v>
      </c>
      <c r="L307" t="n">
        <v>0</v>
      </c>
      <c r="M307" t="n">
        <v>0</v>
      </c>
      <c r="N307" t="n">
        <v>0</v>
      </c>
      <c r="O307" t="n">
        <v>0</v>
      </c>
      <c r="P307" t="n">
        <v>0</v>
      </c>
      <c r="Q307" t="n">
        <v>0</v>
      </c>
      <c r="R307" s="2" t="inlineStr"/>
    </row>
    <row r="308" ht="15" customHeight="1">
      <c r="A308" t="inlineStr">
        <is>
          <t>A 37605-2021</t>
        </is>
      </c>
      <c r="B308" s="1" t="n">
        <v>44399</v>
      </c>
      <c r="C308" s="1" t="n">
        <v>46065</v>
      </c>
      <c r="D308" t="inlineStr">
        <is>
          <t>VÄSTERNORRLANDS LÄN</t>
        </is>
      </c>
      <c r="E308" t="inlineStr">
        <is>
          <t>ÅNGE</t>
        </is>
      </c>
      <c r="G308" t="n">
        <v>0.5</v>
      </c>
      <c r="H308" t="n">
        <v>0</v>
      </c>
      <c r="I308" t="n">
        <v>0</v>
      </c>
      <c r="J308" t="n">
        <v>0</v>
      </c>
      <c r="K308" t="n">
        <v>0</v>
      </c>
      <c r="L308" t="n">
        <v>0</v>
      </c>
      <c r="M308" t="n">
        <v>0</v>
      </c>
      <c r="N308" t="n">
        <v>0</v>
      </c>
      <c r="O308" t="n">
        <v>0</v>
      </c>
      <c r="P308" t="n">
        <v>0</v>
      </c>
      <c r="Q308" t="n">
        <v>0</v>
      </c>
      <c r="R308" s="2" t="inlineStr"/>
    </row>
    <row r="309" ht="15" customHeight="1">
      <c r="A309" t="inlineStr">
        <is>
          <t>A 37620-2021</t>
        </is>
      </c>
      <c r="B309" s="1" t="n">
        <v>44399</v>
      </c>
      <c r="C309" s="1" t="n">
        <v>46065</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37010-2021</t>
        </is>
      </c>
      <c r="B310" s="1" t="n">
        <v>44393</v>
      </c>
      <c r="C310" s="1" t="n">
        <v>46065</v>
      </c>
      <c r="D310" t="inlineStr">
        <is>
          <t>VÄSTERNORRLANDS LÄN</t>
        </is>
      </c>
      <c r="E310" t="inlineStr">
        <is>
          <t>ÅNGE</t>
        </is>
      </c>
      <c r="F310" t="inlineStr">
        <is>
          <t>Kyrkan</t>
        </is>
      </c>
      <c r="G310" t="n">
        <v>16.8</v>
      </c>
      <c r="H310" t="n">
        <v>0</v>
      </c>
      <c r="I310" t="n">
        <v>0</v>
      </c>
      <c r="J310" t="n">
        <v>0</v>
      </c>
      <c r="K310" t="n">
        <v>0</v>
      </c>
      <c r="L310" t="n">
        <v>0</v>
      </c>
      <c r="M310" t="n">
        <v>0</v>
      </c>
      <c r="N310" t="n">
        <v>0</v>
      </c>
      <c r="O310" t="n">
        <v>0</v>
      </c>
      <c r="P310" t="n">
        <v>0</v>
      </c>
      <c r="Q310" t="n">
        <v>0</v>
      </c>
      <c r="R310" s="2" t="inlineStr"/>
    </row>
    <row r="311" ht="15" customHeight="1">
      <c r="A311" t="inlineStr">
        <is>
          <t>A 53664-2022</t>
        </is>
      </c>
      <c r="B311" s="1" t="n">
        <v>44879.95643518519</v>
      </c>
      <c r="C311" s="1" t="n">
        <v>46065</v>
      </c>
      <c r="D311" t="inlineStr">
        <is>
          <t>VÄSTERNORRLANDS LÄN</t>
        </is>
      </c>
      <c r="E311" t="inlineStr">
        <is>
          <t>ÅNGE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50125-2021</t>
        </is>
      </c>
      <c r="B312" s="1" t="n">
        <v>44456</v>
      </c>
      <c r="C312" s="1" t="n">
        <v>46065</v>
      </c>
      <c r="D312" t="inlineStr">
        <is>
          <t>VÄSTERNORRLANDS LÄN</t>
        </is>
      </c>
      <c r="E312" t="inlineStr">
        <is>
          <t>ÅNGE</t>
        </is>
      </c>
      <c r="G312" t="n">
        <v>1.2</v>
      </c>
      <c r="H312" t="n">
        <v>0</v>
      </c>
      <c r="I312" t="n">
        <v>0</v>
      </c>
      <c r="J312" t="n">
        <v>0</v>
      </c>
      <c r="K312" t="n">
        <v>0</v>
      </c>
      <c r="L312" t="n">
        <v>0</v>
      </c>
      <c r="M312" t="n">
        <v>0</v>
      </c>
      <c r="N312" t="n">
        <v>0</v>
      </c>
      <c r="O312" t="n">
        <v>0</v>
      </c>
      <c r="P312" t="n">
        <v>0</v>
      </c>
      <c r="Q312" t="n">
        <v>0</v>
      </c>
      <c r="R312" s="2" t="inlineStr"/>
    </row>
    <row r="313" ht="15" customHeight="1">
      <c r="A313" t="inlineStr">
        <is>
          <t>A 70893-2021</t>
        </is>
      </c>
      <c r="B313" s="1" t="n">
        <v>44538</v>
      </c>
      <c r="C313" s="1" t="n">
        <v>46065</v>
      </c>
      <c r="D313" t="inlineStr">
        <is>
          <t>VÄSTERNORRLANDS LÄN</t>
        </is>
      </c>
      <c r="E313" t="inlineStr">
        <is>
          <t>ÅNGE</t>
        </is>
      </c>
      <c r="G313" t="n">
        <v>6.2</v>
      </c>
      <c r="H313" t="n">
        <v>0</v>
      </c>
      <c r="I313" t="n">
        <v>0</v>
      </c>
      <c r="J313" t="n">
        <v>0</v>
      </c>
      <c r="K313" t="n">
        <v>0</v>
      </c>
      <c r="L313" t="n">
        <v>0</v>
      </c>
      <c r="M313" t="n">
        <v>0</v>
      </c>
      <c r="N313" t="n">
        <v>0</v>
      </c>
      <c r="O313" t="n">
        <v>0</v>
      </c>
      <c r="P313" t="n">
        <v>0</v>
      </c>
      <c r="Q313" t="n">
        <v>0</v>
      </c>
      <c r="R313" s="2" t="inlineStr"/>
    </row>
    <row r="314" ht="15" customHeight="1">
      <c r="A314" t="inlineStr">
        <is>
          <t>A 1297-2022</t>
        </is>
      </c>
      <c r="B314" s="1" t="n">
        <v>44572.69135416667</v>
      </c>
      <c r="C314" s="1" t="n">
        <v>46065</v>
      </c>
      <c r="D314" t="inlineStr">
        <is>
          <t>VÄSTERNORRLANDS LÄN</t>
        </is>
      </c>
      <c r="E314" t="inlineStr">
        <is>
          <t>ÅNGE</t>
        </is>
      </c>
      <c r="G314" t="n">
        <v>2.3</v>
      </c>
      <c r="H314" t="n">
        <v>0</v>
      </c>
      <c r="I314" t="n">
        <v>0</v>
      </c>
      <c r="J314" t="n">
        <v>0</v>
      </c>
      <c r="K314" t="n">
        <v>0</v>
      </c>
      <c r="L314" t="n">
        <v>0</v>
      </c>
      <c r="M314" t="n">
        <v>0</v>
      </c>
      <c r="N314" t="n">
        <v>0</v>
      </c>
      <c r="O314" t="n">
        <v>0</v>
      </c>
      <c r="P314" t="n">
        <v>0</v>
      </c>
      <c r="Q314" t="n">
        <v>0</v>
      </c>
      <c r="R314" s="2" t="inlineStr"/>
    </row>
    <row r="315" ht="15" customHeight="1">
      <c r="A315" t="inlineStr">
        <is>
          <t>A 71357-2021</t>
        </is>
      </c>
      <c r="B315" s="1" t="n">
        <v>44539.92232638889</v>
      </c>
      <c r="C315" s="1" t="n">
        <v>46065</v>
      </c>
      <c r="D315" t="inlineStr">
        <is>
          <t>VÄSTERNORRLANDS LÄN</t>
        </is>
      </c>
      <c r="E315" t="inlineStr">
        <is>
          <t>ÅNGE</t>
        </is>
      </c>
      <c r="G315" t="n">
        <v>5.4</v>
      </c>
      <c r="H315" t="n">
        <v>0</v>
      </c>
      <c r="I315" t="n">
        <v>0</v>
      </c>
      <c r="J315" t="n">
        <v>0</v>
      </c>
      <c r="K315" t="n">
        <v>0</v>
      </c>
      <c r="L315" t="n">
        <v>0</v>
      </c>
      <c r="M315" t="n">
        <v>0</v>
      </c>
      <c r="N315" t="n">
        <v>0</v>
      </c>
      <c r="O315" t="n">
        <v>0</v>
      </c>
      <c r="P315" t="n">
        <v>0</v>
      </c>
      <c r="Q315" t="n">
        <v>0</v>
      </c>
      <c r="R315" s="2" t="inlineStr"/>
    </row>
    <row r="316" ht="15" customHeight="1">
      <c r="A316" t="inlineStr">
        <is>
          <t>A 10342-2021</t>
        </is>
      </c>
      <c r="B316" s="1" t="n">
        <v>44257</v>
      </c>
      <c r="C316" s="1" t="n">
        <v>46065</v>
      </c>
      <c r="D316" t="inlineStr">
        <is>
          <t>VÄSTERNORRLANDS LÄN</t>
        </is>
      </c>
      <c r="E316" t="inlineStr">
        <is>
          <t>ÅNGE</t>
        </is>
      </c>
      <c r="G316" t="n">
        <v>1.8</v>
      </c>
      <c r="H316" t="n">
        <v>0</v>
      </c>
      <c r="I316" t="n">
        <v>0</v>
      </c>
      <c r="J316" t="n">
        <v>0</v>
      </c>
      <c r="K316" t="n">
        <v>0</v>
      </c>
      <c r="L316" t="n">
        <v>0</v>
      </c>
      <c r="M316" t="n">
        <v>0</v>
      </c>
      <c r="N316" t="n">
        <v>0</v>
      </c>
      <c r="O316" t="n">
        <v>0</v>
      </c>
      <c r="P316" t="n">
        <v>0</v>
      </c>
      <c r="Q316" t="n">
        <v>0</v>
      </c>
      <c r="R316" s="2" t="inlineStr"/>
    </row>
    <row r="317" ht="15" customHeight="1">
      <c r="A317" t="inlineStr">
        <is>
          <t>A 6115-2022</t>
        </is>
      </c>
      <c r="B317" s="1" t="n">
        <v>44599</v>
      </c>
      <c r="C317" s="1" t="n">
        <v>46065</v>
      </c>
      <c r="D317" t="inlineStr">
        <is>
          <t>VÄSTERNORRLANDS LÄN</t>
        </is>
      </c>
      <c r="E317" t="inlineStr">
        <is>
          <t>ÅNGE</t>
        </is>
      </c>
      <c r="G317" t="n">
        <v>1.1</v>
      </c>
      <c r="H317" t="n">
        <v>0</v>
      </c>
      <c r="I317" t="n">
        <v>0</v>
      </c>
      <c r="J317" t="n">
        <v>0</v>
      </c>
      <c r="K317" t="n">
        <v>0</v>
      </c>
      <c r="L317" t="n">
        <v>0</v>
      </c>
      <c r="M317" t="n">
        <v>0</v>
      </c>
      <c r="N317" t="n">
        <v>0</v>
      </c>
      <c r="O317" t="n">
        <v>0</v>
      </c>
      <c r="P317" t="n">
        <v>0</v>
      </c>
      <c r="Q317" t="n">
        <v>0</v>
      </c>
      <c r="R317" s="2" t="inlineStr"/>
    </row>
    <row r="318" ht="15" customHeight="1">
      <c r="A318" t="inlineStr">
        <is>
          <t>A 6898-2022</t>
        </is>
      </c>
      <c r="B318" s="1" t="n">
        <v>44602.92141203704</v>
      </c>
      <c r="C318" s="1" t="n">
        <v>46065</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20369-2022</t>
        </is>
      </c>
      <c r="B319" s="1" t="n">
        <v>44699.41140046297</v>
      </c>
      <c r="C319" s="1" t="n">
        <v>46065</v>
      </c>
      <c r="D319" t="inlineStr">
        <is>
          <t>VÄSTERNORRLANDS LÄN</t>
        </is>
      </c>
      <c r="E319" t="inlineStr">
        <is>
          <t>ÅNGE</t>
        </is>
      </c>
      <c r="G319" t="n">
        <v>5.5</v>
      </c>
      <c r="H319" t="n">
        <v>0</v>
      </c>
      <c r="I319" t="n">
        <v>0</v>
      </c>
      <c r="J319" t="n">
        <v>0</v>
      </c>
      <c r="K319" t="n">
        <v>0</v>
      </c>
      <c r="L319" t="n">
        <v>0</v>
      </c>
      <c r="M319" t="n">
        <v>0</v>
      </c>
      <c r="N319" t="n">
        <v>0</v>
      </c>
      <c r="O319" t="n">
        <v>0</v>
      </c>
      <c r="P319" t="n">
        <v>0</v>
      </c>
      <c r="Q319" t="n">
        <v>0</v>
      </c>
      <c r="R319" s="2" t="inlineStr"/>
    </row>
    <row r="320" ht="15" customHeight="1">
      <c r="A320" t="inlineStr">
        <is>
          <t>A 49137-2021</t>
        </is>
      </c>
      <c r="B320" s="1" t="n">
        <v>44453</v>
      </c>
      <c r="C320" s="1" t="n">
        <v>46065</v>
      </c>
      <c r="D320" t="inlineStr">
        <is>
          <t>VÄSTERNORRLANDS LÄN</t>
        </is>
      </c>
      <c r="E320" t="inlineStr">
        <is>
          <t>ÅNGE</t>
        </is>
      </c>
      <c r="G320" t="n">
        <v>2.3</v>
      </c>
      <c r="H320" t="n">
        <v>0</v>
      </c>
      <c r="I320" t="n">
        <v>0</v>
      </c>
      <c r="J320" t="n">
        <v>0</v>
      </c>
      <c r="K320" t="n">
        <v>0</v>
      </c>
      <c r="L320" t="n">
        <v>0</v>
      </c>
      <c r="M320" t="n">
        <v>0</v>
      </c>
      <c r="N320" t="n">
        <v>0</v>
      </c>
      <c r="O320" t="n">
        <v>0</v>
      </c>
      <c r="P320" t="n">
        <v>0</v>
      </c>
      <c r="Q320" t="n">
        <v>0</v>
      </c>
      <c r="R320" s="2" t="inlineStr"/>
    </row>
    <row r="321" ht="15" customHeight="1">
      <c r="A321" t="inlineStr">
        <is>
          <t>A 20807-2021</t>
        </is>
      </c>
      <c r="B321" s="1" t="n">
        <v>44316.93965277778</v>
      </c>
      <c r="C321" s="1" t="n">
        <v>46065</v>
      </c>
      <c r="D321" t="inlineStr">
        <is>
          <t>VÄSTERNORRLANDS LÄN</t>
        </is>
      </c>
      <c r="E321" t="inlineStr">
        <is>
          <t>ÅNGE</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5113-2022</t>
        </is>
      </c>
      <c r="B322" s="1" t="n">
        <v>44593.93362268519</v>
      </c>
      <c r="C322" s="1" t="n">
        <v>46065</v>
      </c>
      <c r="D322" t="inlineStr">
        <is>
          <t>VÄSTERNORRLANDS LÄN</t>
        </is>
      </c>
      <c r="E322" t="inlineStr">
        <is>
          <t>ÅNGE</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31668-2021</t>
        </is>
      </c>
      <c r="B323" s="1" t="n">
        <v>44369</v>
      </c>
      <c r="C323" s="1" t="n">
        <v>46065</v>
      </c>
      <c r="D323" t="inlineStr">
        <is>
          <t>VÄSTERNORRLANDS LÄN</t>
        </is>
      </c>
      <c r="E323" t="inlineStr">
        <is>
          <t>ÅNGE</t>
        </is>
      </c>
      <c r="F323" t="inlineStr">
        <is>
          <t>Kyrkan</t>
        </is>
      </c>
      <c r="G323" t="n">
        <v>3.6</v>
      </c>
      <c r="H323" t="n">
        <v>0</v>
      </c>
      <c r="I323" t="n">
        <v>0</v>
      </c>
      <c r="J323" t="n">
        <v>0</v>
      </c>
      <c r="K323" t="n">
        <v>0</v>
      </c>
      <c r="L323" t="n">
        <v>0</v>
      </c>
      <c r="M323" t="n">
        <v>0</v>
      </c>
      <c r="N323" t="n">
        <v>0</v>
      </c>
      <c r="O323" t="n">
        <v>0</v>
      </c>
      <c r="P323" t="n">
        <v>0</v>
      </c>
      <c r="Q323" t="n">
        <v>0</v>
      </c>
      <c r="R323" s="2" t="inlineStr"/>
    </row>
    <row r="324" ht="15" customHeight="1">
      <c r="A324" t="inlineStr">
        <is>
          <t>A 17594-2021</t>
        </is>
      </c>
      <c r="B324" s="1" t="n">
        <v>44299</v>
      </c>
      <c r="C324" s="1" t="n">
        <v>46065</v>
      </c>
      <c r="D324" t="inlineStr">
        <is>
          <t>VÄSTERNORRLANDS LÄN</t>
        </is>
      </c>
      <c r="E324" t="inlineStr">
        <is>
          <t>ÅNGE</t>
        </is>
      </c>
      <c r="G324" t="n">
        <v>0.8</v>
      </c>
      <c r="H324" t="n">
        <v>0</v>
      </c>
      <c r="I324" t="n">
        <v>0</v>
      </c>
      <c r="J324" t="n">
        <v>0</v>
      </c>
      <c r="K324" t="n">
        <v>0</v>
      </c>
      <c r="L324" t="n">
        <v>0</v>
      </c>
      <c r="M324" t="n">
        <v>0</v>
      </c>
      <c r="N324" t="n">
        <v>0</v>
      </c>
      <c r="O324" t="n">
        <v>0</v>
      </c>
      <c r="P324" t="n">
        <v>0</v>
      </c>
      <c r="Q324" t="n">
        <v>0</v>
      </c>
      <c r="R324" s="2" t="inlineStr"/>
    </row>
    <row r="325" ht="15" customHeight="1">
      <c r="A325" t="inlineStr">
        <is>
          <t>A 32328-2021</t>
        </is>
      </c>
      <c r="B325" s="1" t="n">
        <v>44371.55924768518</v>
      </c>
      <c r="C325" s="1" t="n">
        <v>46065</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61761-2021</t>
        </is>
      </c>
      <c r="B326" s="1" t="n">
        <v>44501</v>
      </c>
      <c r="C326" s="1" t="n">
        <v>46065</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row>
    <row r="327" ht="15" customHeight="1">
      <c r="A327" t="inlineStr">
        <is>
          <t>A 69736-2021</t>
        </is>
      </c>
      <c r="B327" s="1" t="n">
        <v>44532</v>
      </c>
      <c r="C327" s="1" t="n">
        <v>46065</v>
      </c>
      <c r="D327" t="inlineStr">
        <is>
          <t>VÄSTERNORRLANDS LÄN</t>
        </is>
      </c>
      <c r="E327" t="inlineStr">
        <is>
          <t>ÅNGE</t>
        </is>
      </c>
      <c r="G327" t="n">
        <v>5</v>
      </c>
      <c r="H327" t="n">
        <v>0</v>
      </c>
      <c r="I327" t="n">
        <v>0</v>
      </c>
      <c r="J327" t="n">
        <v>0</v>
      </c>
      <c r="K327" t="n">
        <v>0</v>
      </c>
      <c r="L327" t="n">
        <v>0</v>
      </c>
      <c r="M327" t="n">
        <v>0</v>
      </c>
      <c r="N327" t="n">
        <v>0</v>
      </c>
      <c r="O327" t="n">
        <v>0</v>
      </c>
      <c r="P327" t="n">
        <v>0</v>
      </c>
      <c r="Q327" t="n">
        <v>0</v>
      </c>
      <c r="R327" s="2" t="inlineStr"/>
    </row>
    <row r="328" ht="15" customHeight="1">
      <c r="A328" t="inlineStr">
        <is>
          <t>A 50333-2021</t>
        </is>
      </c>
      <c r="B328" s="1" t="n">
        <v>44454</v>
      </c>
      <c r="C328" s="1" t="n">
        <v>46065</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37621-2021</t>
        </is>
      </c>
      <c r="B329" s="1" t="n">
        <v>44399</v>
      </c>
      <c r="C329" s="1" t="n">
        <v>46065</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30768-2022</t>
        </is>
      </c>
      <c r="B330" s="1" t="n">
        <v>44764.53608796297</v>
      </c>
      <c r="C330" s="1" t="n">
        <v>46065</v>
      </c>
      <c r="D330" t="inlineStr">
        <is>
          <t>VÄSTERNORRLANDS LÄN</t>
        </is>
      </c>
      <c r="E330" t="inlineStr">
        <is>
          <t>ÅNGE</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66233-2021</t>
        </is>
      </c>
      <c r="B331" s="1" t="n">
        <v>44518.39234953704</v>
      </c>
      <c r="C331" s="1" t="n">
        <v>46065</v>
      </c>
      <c r="D331" t="inlineStr">
        <is>
          <t>VÄSTERNORRLANDS LÄN</t>
        </is>
      </c>
      <c r="E331" t="inlineStr">
        <is>
          <t>ÅNGE</t>
        </is>
      </c>
      <c r="G331" t="n">
        <v>3.1</v>
      </c>
      <c r="H331" t="n">
        <v>0</v>
      </c>
      <c r="I331" t="n">
        <v>0</v>
      </c>
      <c r="J331" t="n">
        <v>0</v>
      </c>
      <c r="K331" t="n">
        <v>0</v>
      </c>
      <c r="L331" t="n">
        <v>0</v>
      </c>
      <c r="M331" t="n">
        <v>0</v>
      </c>
      <c r="N331" t="n">
        <v>0</v>
      </c>
      <c r="O331" t="n">
        <v>0</v>
      </c>
      <c r="P331" t="n">
        <v>0</v>
      </c>
      <c r="Q331" t="n">
        <v>0</v>
      </c>
      <c r="R331" s="2" t="inlineStr"/>
    </row>
    <row r="332" ht="15" customHeight="1">
      <c r="A332" t="inlineStr">
        <is>
          <t>A 51555-2022</t>
        </is>
      </c>
      <c r="B332" s="1" t="n">
        <v>44869.9495949074</v>
      </c>
      <c r="C332" s="1" t="n">
        <v>46065</v>
      </c>
      <c r="D332" t="inlineStr">
        <is>
          <t>VÄSTERNORRLANDS LÄN</t>
        </is>
      </c>
      <c r="E332" t="inlineStr">
        <is>
          <t>ÅNGE</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33408-2021</t>
        </is>
      </c>
      <c r="B333" s="1" t="n">
        <v>44377</v>
      </c>
      <c r="C333" s="1" t="n">
        <v>46065</v>
      </c>
      <c r="D333" t="inlineStr">
        <is>
          <t>VÄSTERNORRLANDS LÄN</t>
        </is>
      </c>
      <c r="E333" t="inlineStr">
        <is>
          <t>ÅNGE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51494-2022</t>
        </is>
      </c>
      <c r="B334" s="1" t="n">
        <v>44869</v>
      </c>
      <c r="C334" s="1" t="n">
        <v>46065</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65790-2021</t>
        </is>
      </c>
      <c r="B335" s="1" t="n">
        <v>44516.94785879629</v>
      </c>
      <c r="C335" s="1" t="n">
        <v>46065</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5279-2022</t>
        </is>
      </c>
      <c r="B336" s="1" t="n">
        <v>44594</v>
      </c>
      <c r="C336" s="1" t="n">
        <v>46065</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14587-2021</t>
        </is>
      </c>
      <c r="B337" s="1" t="n">
        <v>44279.91825231481</v>
      </c>
      <c r="C337" s="1" t="n">
        <v>46065</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70899-2021</t>
        </is>
      </c>
      <c r="B338" s="1" t="n">
        <v>44537</v>
      </c>
      <c r="C338" s="1" t="n">
        <v>46065</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74194-2021</t>
        </is>
      </c>
      <c r="B339" s="1" t="n">
        <v>44558.47333333334</v>
      </c>
      <c r="C339" s="1" t="n">
        <v>46065</v>
      </c>
      <c r="D339" t="inlineStr">
        <is>
          <t>VÄSTERNORRLANDS LÄN</t>
        </is>
      </c>
      <c r="E339" t="inlineStr">
        <is>
          <t>ÅNGE</t>
        </is>
      </c>
      <c r="G339" t="n">
        <v>1.9</v>
      </c>
      <c r="H339" t="n">
        <v>0</v>
      </c>
      <c r="I339" t="n">
        <v>0</v>
      </c>
      <c r="J339" t="n">
        <v>0</v>
      </c>
      <c r="K339" t="n">
        <v>0</v>
      </c>
      <c r="L339" t="n">
        <v>0</v>
      </c>
      <c r="M339" t="n">
        <v>0</v>
      </c>
      <c r="N339" t="n">
        <v>0</v>
      </c>
      <c r="O339" t="n">
        <v>0</v>
      </c>
      <c r="P339" t="n">
        <v>0</v>
      </c>
      <c r="Q339" t="n">
        <v>0</v>
      </c>
      <c r="R339" s="2" t="inlineStr"/>
    </row>
    <row r="340" ht="15" customHeight="1">
      <c r="A340" t="inlineStr">
        <is>
          <t>A 46053-2021</t>
        </is>
      </c>
      <c r="B340" s="1" t="n">
        <v>44441</v>
      </c>
      <c r="C340" s="1" t="n">
        <v>46065</v>
      </c>
      <c r="D340" t="inlineStr">
        <is>
          <t>VÄSTERNORRLANDS LÄN</t>
        </is>
      </c>
      <c r="E340" t="inlineStr">
        <is>
          <t>ÅNGE</t>
        </is>
      </c>
      <c r="F340" t="inlineStr">
        <is>
          <t>SCA</t>
        </is>
      </c>
      <c r="G340" t="n">
        <v>0.2</v>
      </c>
      <c r="H340" t="n">
        <v>0</v>
      </c>
      <c r="I340" t="n">
        <v>0</v>
      </c>
      <c r="J340" t="n">
        <v>0</v>
      </c>
      <c r="K340" t="n">
        <v>0</v>
      </c>
      <c r="L340" t="n">
        <v>0</v>
      </c>
      <c r="M340" t="n">
        <v>0</v>
      </c>
      <c r="N340" t="n">
        <v>0</v>
      </c>
      <c r="O340" t="n">
        <v>0</v>
      </c>
      <c r="P340" t="n">
        <v>0</v>
      </c>
      <c r="Q340" t="n">
        <v>0</v>
      </c>
      <c r="R340" s="2" t="inlineStr"/>
    </row>
    <row r="341" ht="15" customHeight="1">
      <c r="A341" t="inlineStr">
        <is>
          <t>A 13641-2022</t>
        </is>
      </c>
      <c r="B341" s="1" t="n">
        <v>44648</v>
      </c>
      <c r="C341" s="1" t="n">
        <v>46065</v>
      </c>
      <c r="D341" t="inlineStr">
        <is>
          <t>VÄSTERNORRLANDS LÄN</t>
        </is>
      </c>
      <c r="E341" t="inlineStr">
        <is>
          <t>ÅNGE</t>
        </is>
      </c>
      <c r="G341" t="n">
        <v>4.9</v>
      </c>
      <c r="H341" t="n">
        <v>0</v>
      </c>
      <c r="I341" t="n">
        <v>0</v>
      </c>
      <c r="J341" t="n">
        <v>0</v>
      </c>
      <c r="K341" t="n">
        <v>0</v>
      </c>
      <c r="L341" t="n">
        <v>0</v>
      </c>
      <c r="M341" t="n">
        <v>0</v>
      </c>
      <c r="N341" t="n">
        <v>0</v>
      </c>
      <c r="O341" t="n">
        <v>0</v>
      </c>
      <c r="P341" t="n">
        <v>0</v>
      </c>
      <c r="Q341" t="n">
        <v>0</v>
      </c>
      <c r="R341" s="2" t="inlineStr"/>
    </row>
    <row r="342" ht="15" customHeight="1">
      <c r="A342" t="inlineStr">
        <is>
          <t>A 45145-2021</t>
        </is>
      </c>
      <c r="B342" s="1" t="n">
        <v>44439</v>
      </c>
      <c r="C342" s="1" t="n">
        <v>46065</v>
      </c>
      <c r="D342" t="inlineStr">
        <is>
          <t>VÄSTERNORRLANDS LÄN</t>
        </is>
      </c>
      <c r="E342" t="inlineStr">
        <is>
          <t>ÅNGE</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55912-2021</t>
        </is>
      </c>
      <c r="B343" s="1" t="n">
        <v>44476.91979166667</v>
      </c>
      <c r="C343" s="1" t="n">
        <v>46065</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71302-2021</t>
        </is>
      </c>
      <c r="B344" s="1" t="n">
        <v>44539.63871527778</v>
      </c>
      <c r="C344" s="1" t="n">
        <v>46065</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51163-2021</t>
        </is>
      </c>
      <c r="B345" s="1" t="n">
        <v>44461.4665625</v>
      </c>
      <c r="C345" s="1" t="n">
        <v>46065</v>
      </c>
      <c r="D345" t="inlineStr">
        <is>
          <t>VÄSTERNORRLANDS LÄN</t>
        </is>
      </c>
      <c r="E345" t="inlineStr">
        <is>
          <t>ÅNGE</t>
        </is>
      </c>
      <c r="G345" t="n">
        <v>2.5</v>
      </c>
      <c r="H345" t="n">
        <v>0</v>
      </c>
      <c r="I345" t="n">
        <v>0</v>
      </c>
      <c r="J345" t="n">
        <v>0</v>
      </c>
      <c r="K345" t="n">
        <v>0</v>
      </c>
      <c r="L345" t="n">
        <v>0</v>
      </c>
      <c r="M345" t="n">
        <v>0</v>
      </c>
      <c r="N345" t="n">
        <v>0</v>
      </c>
      <c r="O345" t="n">
        <v>0</v>
      </c>
      <c r="P345" t="n">
        <v>0</v>
      </c>
      <c r="Q345" t="n">
        <v>0</v>
      </c>
      <c r="R345" s="2" t="inlineStr"/>
    </row>
    <row r="346" ht="15" customHeight="1">
      <c r="A346" t="inlineStr">
        <is>
          <t>A 57162-2021</t>
        </is>
      </c>
      <c r="B346" s="1" t="n">
        <v>44482</v>
      </c>
      <c r="C346" s="1" t="n">
        <v>46065</v>
      </c>
      <c r="D346" t="inlineStr">
        <is>
          <t>VÄSTERNORRLANDS LÄN</t>
        </is>
      </c>
      <c r="E346" t="inlineStr">
        <is>
          <t>ÅNGE</t>
        </is>
      </c>
      <c r="G346" t="n">
        <v>2.5</v>
      </c>
      <c r="H346" t="n">
        <v>0</v>
      </c>
      <c r="I346" t="n">
        <v>0</v>
      </c>
      <c r="J346" t="n">
        <v>0</v>
      </c>
      <c r="K346" t="n">
        <v>0</v>
      </c>
      <c r="L346" t="n">
        <v>0</v>
      </c>
      <c r="M346" t="n">
        <v>0</v>
      </c>
      <c r="N346" t="n">
        <v>0</v>
      </c>
      <c r="O346" t="n">
        <v>0</v>
      </c>
      <c r="P346" t="n">
        <v>0</v>
      </c>
      <c r="Q346" t="n">
        <v>0</v>
      </c>
      <c r="R346" s="2" t="inlineStr"/>
    </row>
    <row r="347" ht="15" customHeight="1">
      <c r="A347" t="inlineStr">
        <is>
          <t>A 6732-2022</t>
        </is>
      </c>
      <c r="B347" s="1" t="n">
        <v>44602.46072916667</v>
      </c>
      <c r="C347" s="1" t="n">
        <v>46065</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5565-2022</t>
        </is>
      </c>
      <c r="B348" s="1" t="n">
        <v>44595</v>
      </c>
      <c r="C348" s="1" t="n">
        <v>46065</v>
      </c>
      <c r="D348" t="inlineStr">
        <is>
          <t>VÄSTERNORRLANDS LÄN</t>
        </is>
      </c>
      <c r="E348" t="inlineStr">
        <is>
          <t>ÅNGE</t>
        </is>
      </c>
      <c r="G348" t="n">
        <v>0.3</v>
      </c>
      <c r="H348" t="n">
        <v>0</v>
      </c>
      <c r="I348" t="n">
        <v>0</v>
      </c>
      <c r="J348" t="n">
        <v>0</v>
      </c>
      <c r="K348" t="n">
        <v>0</v>
      </c>
      <c r="L348" t="n">
        <v>0</v>
      </c>
      <c r="M348" t="n">
        <v>0</v>
      </c>
      <c r="N348" t="n">
        <v>0</v>
      </c>
      <c r="O348" t="n">
        <v>0</v>
      </c>
      <c r="P348" t="n">
        <v>0</v>
      </c>
      <c r="Q348" t="n">
        <v>0</v>
      </c>
      <c r="R348" s="2" t="inlineStr"/>
    </row>
    <row r="349" ht="15" customHeight="1">
      <c r="A349" t="inlineStr">
        <is>
          <t>A 23016-2021</t>
        </is>
      </c>
      <c r="B349" s="1" t="n">
        <v>44328.92197916667</v>
      </c>
      <c r="C349" s="1" t="n">
        <v>46065</v>
      </c>
      <c r="D349" t="inlineStr">
        <is>
          <t>VÄSTERNORRLANDS LÄN</t>
        </is>
      </c>
      <c r="E349" t="inlineStr">
        <is>
          <t>ÅNGE</t>
        </is>
      </c>
      <c r="G349" t="n">
        <v>1.5</v>
      </c>
      <c r="H349" t="n">
        <v>0</v>
      </c>
      <c r="I349" t="n">
        <v>0</v>
      </c>
      <c r="J349" t="n">
        <v>0</v>
      </c>
      <c r="K349" t="n">
        <v>0</v>
      </c>
      <c r="L349" t="n">
        <v>0</v>
      </c>
      <c r="M349" t="n">
        <v>0</v>
      </c>
      <c r="N349" t="n">
        <v>0</v>
      </c>
      <c r="O349" t="n">
        <v>0</v>
      </c>
      <c r="P349" t="n">
        <v>0</v>
      </c>
      <c r="Q349" t="n">
        <v>0</v>
      </c>
      <c r="R349" s="2" t="inlineStr"/>
    </row>
    <row r="350" ht="15" customHeight="1">
      <c r="A350" t="inlineStr">
        <is>
          <t>A 44412-2022</t>
        </is>
      </c>
      <c r="B350" s="1" t="n">
        <v>44839.92626157407</v>
      </c>
      <c r="C350" s="1" t="n">
        <v>46065</v>
      </c>
      <c r="D350" t="inlineStr">
        <is>
          <t>VÄSTERNORRLANDS LÄN</t>
        </is>
      </c>
      <c r="E350" t="inlineStr">
        <is>
          <t>ÅNGE</t>
        </is>
      </c>
      <c r="G350" t="n">
        <v>1.6</v>
      </c>
      <c r="H350" t="n">
        <v>0</v>
      </c>
      <c r="I350" t="n">
        <v>0</v>
      </c>
      <c r="J350" t="n">
        <v>0</v>
      </c>
      <c r="K350" t="n">
        <v>0</v>
      </c>
      <c r="L350" t="n">
        <v>0</v>
      </c>
      <c r="M350" t="n">
        <v>0</v>
      </c>
      <c r="N350" t="n">
        <v>0</v>
      </c>
      <c r="O350" t="n">
        <v>0</v>
      </c>
      <c r="P350" t="n">
        <v>0</v>
      </c>
      <c r="Q350" t="n">
        <v>0</v>
      </c>
      <c r="R350" s="2" t="inlineStr"/>
    </row>
    <row r="351" ht="15" customHeight="1">
      <c r="A351" t="inlineStr">
        <is>
          <t>A 55907-2022</t>
        </is>
      </c>
      <c r="B351" s="1" t="n">
        <v>44888.95457175926</v>
      </c>
      <c r="C351" s="1" t="n">
        <v>46065</v>
      </c>
      <c r="D351" t="inlineStr">
        <is>
          <t>VÄSTERNORRLANDS LÄN</t>
        </is>
      </c>
      <c r="E351" t="inlineStr">
        <is>
          <t>ÅNGE</t>
        </is>
      </c>
      <c r="F351" t="inlineStr">
        <is>
          <t>SCA</t>
        </is>
      </c>
      <c r="G351" t="n">
        <v>8.4</v>
      </c>
      <c r="H351" t="n">
        <v>0</v>
      </c>
      <c r="I351" t="n">
        <v>0</v>
      </c>
      <c r="J351" t="n">
        <v>0</v>
      </c>
      <c r="K351" t="n">
        <v>0</v>
      </c>
      <c r="L351" t="n">
        <v>0</v>
      </c>
      <c r="M351" t="n">
        <v>0</v>
      </c>
      <c r="N351" t="n">
        <v>0</v>
      </c>
      <c r="O351" t="n">
        <v>0</v>
      </c>
      <c r="P351" t="n">
        <v>0</v>
      </c>
      <c r="Q351" t="n">
        <v>0</v>
      </c>
      <c r="R351" s="2" t="inlineStr"/>
    </row>
    <row r="352" ht="15" customHeight="1">
      <c r="A352" t="inlineStr">
        <is>
          <t>A 6263-2022</t>
        </is>
      </c>
      <c r="B352" s="1" t="n">
        <v>44600</v>
      </c>
      <c r="C352" s="1" t="n">
        <v>46065</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31647-2022</t>
        </is>
      </c>
      <c r="B353" s="1" t="n">
        <v>44775.94328703704</v>
      </c>
      <c r="C353" s="1" t="n">
        <v>46065</v>
      </c>
      <c r="D353" t="inlineStr">
        <is>
          <t>VÄSTERNORRLANDS LÄN</t>
        </is>
      </c>
      <c r="E353" t="inlineStr">
        <is>
          <t>ÅNGE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66560-2021</t>
        </is>
      </c>
      <c r="B354" s="1" t="n">
        <v>44519</v>
      </c>
      <c r="C354" s="1" t="n">
        <v>46065</v>
      </c>
      <c r="D354" t="inlineStr">
        <is>
          <t>VÄSTERNORRLANDS LÄN</t>
        </is>
      </c>
      <c r="E354" t="inlineStr">
        <is>
          <t>ÅNGE</t>
        </is>
      </c>
      <c r="G354" t="n">
        <v>2.6</v>
      </c>
      <c r="H354" t="n">
        <v>0</v>
      </c>
      <c r="I354" t="n">
        <v>0</v>
      </c>
      <c r="J354" t="n">
        <v>0</v>
      </c>
      <c r="K354" t="n">
        <v>0</v>
      </c>
      <c r="L354" t="n">
        <v>0</v>
      </c>
      <c r="M354" t="n">
        <v>0</v>
      </c>
      <c r="N354" t="n">
        <v>0</v>
      </c>
      <c r="O354" t="n">
        <v>0</v>
      </c>
      <c r="P354" t="n">
        <v>0</v>
      </c>
      <c r="Q354" t="n">
        <v>0</v>
      </c>
      <c r="R354" s="2" t="inlineStr"/>
    </row>
    <row r="355" ht="15" customHeight="1">
      <c r="A355" t="inlineStr">
        <is>
          <t>A 61909-2021</t>
        </is>
      </c>
      <c r="B355" s="1" t="n">
        <v>44502.35310185186</v>
      </c>
      <c r="C355" s="1" t="n">
        <v>46065</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27953-2021</t>
        </is>
      </c>
      <c r="B356" s="1" t="n">
        <v>44354.9209375</v>
      </c>
      <c r="C356" s="1" t="n">
        <v>46065</v>
      </c>
      <c r="D356" t="inlineStr">
        <is>
          <t>VÄSTERNORRLANDS LÄN</t>
        </is>
      </c>
      <c r="E356" t="inlineStr">
        <is>
          <t>ÅNGE</t>
        </is>
      </c>
      <c r="G356" t="n">
        <v>2.9</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46065</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66229-2021</t>
        </is>
      </c>
      <c r="B358" s="1" t="n">
        <v>44518.3875</v>
      </c>
      <c r="C358" s="1" t="n">
        <v>46065</v>
      </c>
      <c r="D358" t="inlineStr">
        <is>
          <t>VÄSTERNORRLANDS LÄN</t>
        </is>
      </c>
      <c r="E358" t="inlineStr">
        <is>
          <t>ÅNGE</t>
        </is>
      </c>
      <c r="G358" t="n">
        <v>3.5</v>
      </c>
      <c r="H358" t="n">
        <v>0</v>
      </c>
      <c r="I358" t="n">
        <v>0</v>
      </c>
      <c r="J358" t="n">
        <v>0</v>
      </c>
      <c r="K358" t="n">
        <v>0</v>
      </c>
      <c r="L358" t="n">
        <v>0</v>
      </c>
      <c r="M358" t="n">
        <v>0</v>
      </c>
      <c r="N358" t="n">
        <v>0</v>
      </c>
      <c r="O358" t="n">
        <v>0</v>
      </c>
      <c r="P358" t="n">
        <v>0</v>
      </c>
      <c r="Q358" t="n">
        <v>0</v>
      </c>
      <c r="R358" s="2" t="inlineStr"/>
    </row>
    <row r="359" ht="15" customHeight="1">
      <c r="A359" t="inlineStr">
        <is>
          <t>A 30365-2021</t>
        </is>
      </c>
      <c r="B359" s="1" t="n">
        <v>44364.45164351852</v>
      </c>
      <c r="C359" s="1" t="n">
        <v>46065</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46065</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17044-2022</t>
        </is>
      </c>
      <c r="B361" s="1" t="n">
        <v>44676</v>
      </c>
      <c r="C361" s="1" t="n">
        <v>46065</v>
      </c>
      <c r="D361" t="inlineStr">
        <is>
          <t>VÄSTERNORRLANDS LÄN</t>
        </is>
      </c>
      <c r="E361" t="inlineStr">
        <is>
          <t>ÅNGE</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24355-2022</t>
        </is>
      </c>
      <c r="B362" s="1" t="n">
        <v>44726.3816087963</v>
      </c>
      <c r="C362" s="1" t="n">
        <v>46065</v>
      </c>
      <c r="D362" t="inlineStr">
        <is>
          <t>VÄSTERNORRLANDS LÄN</t>
        </is>
      </c>
      <c r="E362" t="inlineStr">
        <is>
          <t>ÅNGE</t>
        </is>
      </c>
      <c r="G362" t="n">
        <v>0.7</v>
      </c>
      <c r="H362" t="n">
        <v>0</v>
      </c>
      <c r="I362" t="n">
        <v>0</v>
      </c>
      <c r="J362" t="n">
        <v>0</v>
      </c>
      <c r="K362" t="n">
        <v>0</v>
      </c>
      <c r="L362" t="n">
        <v>0</v>
      </c>
      <c r="M362" t="n">
        <v>0</v>
      </c>
      <c r="N362" t="n">
        <v>0</v>
      </c>
      <c r="O362" t="n">
        <v>0</v>
      </c>
      <c r="P362" t="n">
        <v>0</v>
      </c>
      <c r="Q362" t="n">
        <v>0</v>
      </c>
      <c r="R362" s="2" t="inlineStr"/>
    </row>
    <row r="363" ht="15" customHeight="1">
      <c r="A363" t="inlineStr">
        <is>
          <t>A 18024-2022</t>
        </is>
      </c>
      <c r="B363" s="1" t="n">
        <v>44683.94383101852</v>
      </c>
      <c r="C363" s="1" t="n">
        <v>46065</v>
      </c>
      <c r="D363" t="inlineStr">
        <is>
          <t>VÄSTERNORRLANDS LÄN</t>
        </is>
      </c>
      <c r="E363" t="inlineStr">
        <is>
          <t>ÅNGE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17963-2022</t>
        </is>
      </c>
      <c r="B364" s="1" t="n">
        <v>44683</v>
      </c>
      <c r="C364" s="1" t="n">
        <v>46065</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35507-2022</t>
        </is>
      </c>
      <c r="B365" s="1" t="n">
        <v>44798</v>
      </c>
      <c r="C365" s="1" t="n">
        <v>46065</v>
      </c>
      <c r="D365" t="inlineStr">
        <is>
          <t>VÄSTERNORRLANDS LÄN</t>
        </is>
      </c>
      <c r="E365" t="inlineStr">
        <is>
          <t>ÅNGE</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35496-2022</t>
        </is>
      </c>
      <c r="B366" s="1" t="n">
        <v>44798</v>
      </c>
      <c r="C366" s="1" t="n">
        <v>46065</v>
      </c>
      <c r="D366" t="inlineStr">
        <is>
          <t>VÄSTERNORRLANDS LÄN</t>
        </is>
      </c>
      <c r="E366" t="inlineStr">
        <is>
          <t>ÅNGE</t>
        </is>
      </c>
      <c r="F366" t="inlineStr">
        <is>
          <t>SCA</t>
        </is>
      </c>
      <c r="G366" t="n">
        <v>15.6</v>
      </c>
      <c r="H366" t="n">
        <v>0</v>
      </c>
      <c r="I366" t="n">
        <v>0</v>
      </c>
      <c r="J366" t="n">
        <v>0</v>
      </c>
      <c r="K366" t="n">
        <v>0</v>
      </c>
      <c r="L366" t="n">
        <v>0</v>
      </c>
      <c r="M366" t="n">
        <v>0</v>
      </c>
      <c r="N366" t="n">
        <v>0</v>
      </c>
      <c r="O366" t="n">
        <v>0</v>
      </c>
      <c r="P366" t="n">
        <v>0</v>
      </c>
      <c r="Q366" t="n">
        <v>0</v>
      </c>
      <c r="R366" s="2" t="inlineStr"/>
    </row>
    <row r="367" ht="15" customHeight="1">
      <c r="A367" t="inlineStr">
        <is>
          <t>A 10680-2022</t>
        </is>
      </c>
      <c r="B367" s="1" t="n">
        <v>44624</v>
      </c>
      <c r="C367" s="1" t="n">
        <v>46065</v>
      </c>
      <c r="D367" t="inlineStr">
        <is>
          <t>VÄSTERNORRLANDS LÄN</t>
        </is>
      </c>
      <c r="E367" t="inlineStr">
        <is>
          <t>ÅNGE</t>
        </is>
      </c>
      <c r="G367" t="n">
        <v>1</v>
      </c>
      <c r="H367" t="n">
        <v>0</v>
      </c>
      <c r="I367" t="n">
        <v>0</v>
      </c>
      <c r="J367" t="n">
        <v>0</v>
      </c>
      <c r="K367" t="n">
        <v>0</v>
      </c>
      <c r="L367" t="n">
        <v>0</v>
      </c>
      <c r="M367" t="n">
        <v>0</v>
      </c>
      <c r="N367" t="n">
        <v>0</v>
      </c>
      <c r="O367" t="n">
        <v>0</v>
      </c>
      <c r="P367" t="n">
        <v>0</v>
      </c>
      <c r="Q367" t="n">
        <v>0</v>
      </c>
      <c r="R367" s="2" t="inlineStr"/>
    </row>
    <row r="368" ht="15" customHeight="1">
      <c r="A368" t="inlineStr">
        <is>
          <t>A 10686-2022</t>
        </is>
      </c>
      <c r="B368" s="1" t="n">
        <v>44624.92680555556</v>
      </c>
      <c r="C368" s="1" t="n">
        <v>46065</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24232-2024</t>
        </is>
      </c>
      <c r="B369" s="1" t="n">
        <v>45457.34686342593</v>
      </c>
      <c r="C369" s="1" t="n">
        <v>46065</v>
      </c>
      <c r="D369" t="inlineStr">
        <is>
          <t>VÄSTERNORRLANDS LÄN</t>
        </is>
      </c>
      <c r="E369" t="inlineStr">
        <is>
          <t>ÅNGE</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50640-2022</t>
        </is>
      </c>
      <c r="B370" s="1" t="n">
        <v>44866.94734953704</v>
      </c>
      <c r="C370" s="1" t="n">
        <v>46065</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62870-2021</t>
        </is>
      </c>
      <c r="B371" s="1" t="n">
        <v>44503</v>
      </c>
      <c r="C371" s="1" t="n">
        <v>46065</v>
      </c>
      <c r="D371" t="inlineStr">
        <is>
          <t>VÄSTERNORRLANDS LÄN</t>
        </is>
      </c>
      <c r="E371" t="inlineStr">
        <is>
          <t>ÅNGE</t>
        </is>
      </c>
      <c r="F371" t="inlineStr">
        <is>
          <t>Övriga statliga verk och myndigheter</t>
        </is>
      </c>
      <c r="G371" t="n">
        <v>3</v>
      </c>
      <c r="H371" t="n">
        <v>0</v>
      </c>
      <c r="I371" t="n">
        <v>0</v>
      </c>
      <c r="J371" t="n">
        <v>0</v>
      </c>
      <c r="K371" t="n">
        <v>0</v>
      </c>
      <c r="L371" t="n">
        <v>0</v>
      </c>
      <c r="M371" t="n">
        <v>0</v>
      </c>
      <c r="N371" t="n">
        <v>0</v>
      </c>
      <c r="O371" t="n">
        <v>0</v>
      </c>
      <c r="P371" t="n">
        <v>0</v>
      </c>
      <c r="Q371" t="n">
        <v>0</v>
      </c>
      <c r="R371" s="2" t="inlineStr"/>
    </row>
    <row r="372" ht="15" customHeight="1">
      <c r="A372" t="inlineStr">
        <is>
          <t>A 33783-2024</t>
        </is>
      </c>
      <c r="B372" s="1" t="n">
        <v>45520</v>
      </c>
      <c r="C372" s="1" t="n">
        <v>46065</v>
      </c>
      <c r="D372" t="inlineStr">
        <is>
          <t>VÄSTERNORRLANDS LÄN</t>
        </is>
      </c>
      <c r="E372" t="inlineStr">
        <is>
          <t>ÅNGE</t>
        </is>
      </c>
      <c r="G372" t="n">
        <v>0.7</v>
      </c>
      <c r="H372" t="n">
        <v>0</v>
      </c>
      <c r="I372" t="n">
        <v>0</v>
      </c>
      <c r="J372" t="n">
        <v>0</v>
      </c>
      <c r="K372" t="n">
        <v>0</v>
      </c>
      <c r="L372" t="n">
        <v>0</v>
      </c>
      <c r="M372" t="n">
        <v>0</v>
      </c>
      <c r="N372" t="n">
        <v>0</v>
      </c>
      <c r="O372" t="n">
        <v>0</v>
      </c>
      <c r="P372" t="n">
        <v>0</v>
      </c>
      <c r="Q372" t="n">
        <v>0</v>
      </c>
      <c r="R372" s="2" t="inlineStr"/>
    </row>
    <row r="373" ht="15" customHeight="1">
      <c r="A373" t="inlineStr">
        <is>
          <t>A 45128-2022</t>
        </is>
      </c>
      <c r="B373" s="1" t="n">
        <v>44844.3146412037</v>
      </c>
      <c r="C373" s="1" t="n">
        <v>46065</v>
      </c>
      <c r="D373" t="inlineStr">
        <is>
          <t>VÄSTERNORRLANDS LÄN</t>
        </is>
      </c>
      <c r="E373" t="inlineStr">
        <is>
          <t>ÅNGE</t>
        </is>
      </c>
      <c r="G373" t="n">
        <v>4.1</v>
      </c>
      <c r="H373" t="n">
        <v>0</v>
      </c>
      <c r="I373" t="n">
        <v>0</v>
      </c>
      <c r="J373" t="n">
        <v>0</v>
      </c>
      <c r="K373" t="n">
        <v>0</v>
      </c>
      <c r="L373" t="n">
        <v>0</v>
      </c>
      <c r="M373" t="n">
        <v>0</v>
      </c>
      <c r="N373" t="n">
        <v>0</v>
      </c>
      <c r="O373" t="n">
        <v>0</v>
      </c>
      <c r="P373" t="n">
        <v>0</v>
      </c>
      <c r="Q373" t="n">
        <v>0</v>
      </c>
      <c r="R373" s="2" t="inlineStr"/>
    </row>
    <row r="374" ht="15" customHeight="1">
      <c r="A374" t="inlineStr">
        <is>
          <t>A 26951-2024</t>
        </is>
      </c>
      <c r="B374" s="1" t="n">
        <v>45470.96991898148</v>
      </c>
      <c r="C374" s="1" t="n">
        <v>46065</v>
      </c>
      <c r="D374" t="inlineStr">
        <is>
          <t>VÄSTERNORRLANDS LÄN</t>
        </is>
      </c>
      <c r="E374" t="inlineStr">
        <is>
          <t>ÅNGE</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26952-2024</t>
        </is>
      </c>
      <c r="B375" s="1" t="n">
        <v>45470</v>
      </c>
      <c r="C375" s="1" t="n">
        <v>46065</v>
      </c>
      <c r="D375" t="inlineStr">
        <is>
          <t>VÄSTERNORRLANDS LÄN</t>
        </is>
      </c>
      <c r="E375" t="inlineStr">
        <is>
          <t>ÅNGE</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27321-2024</t>
        </is>
      </c>
      <c r="B376" s="1" t="n">
        <v>45471</v>
      </c>
      <c r="C376" s="1" t="n">
        <v>46065</v>
      </c>
      <c r="D376" t="inlineStr">
        <is>
          <t>VÄSTERNORRLANDS LÄN</t>
        </is>
      </c>
      <c r="E376" t="inlineStr">
        <is>
          <t>ÅNGE</t>
        </is>
      </c>
      <c r="F376" t="inlineStr">
        <is>
          <t>SCA</t>
        </is>
      </c>
      <c r="G376" t="n">
        <v>14.1</v>
      </c>
      <c r="H376" t="n">
        <v>0</v>
      </c>
      <c r="I376" t="n">
        <v>0</v>
      </c>
      <c r="J376" t="n">
        <v>0</v>
      </c>
      <c r="K376" t="n">
        <v>0</v>
      </c>
      <c r="L376" t="n">
        <v>0</v>
      </c>
      <c r="M376" t="n">
        <v>0</v>
      </c>
      <c r="N376" t="n">
        <v>0</v>
      </c>
      <c r="O376" t="n">
        <v>0</v>
      </c>
      <c r="P376" t="n">
        <v>0</v>
      </c>
      <c r="Q376" t="n">
        <v>0</v>
      </c>
      <c r="R376" s="2" t="inlineStr"/>
    </row>
    <row r="377" ht="15" customHeight="1">
      <c r="A377" t="inlineStr">
        <is>
          <t>A 37382-2021</t>
        </is>
      </c>
      <c r="B377" s="1" t="n">
        <v>44397</v>
      </c>
      <c r="C377" s="1" t="n">
        <v>46065</v>
      </c>
      <c r="D377" t="inlineStr">
        <is>
          <t>VÄSTERNORRLANDS LÄN</t>
        </is>
      </c>
      <c r="E377" t="inlineStr">
        <is>
          <t>ÅNGE</t>
        </is>
      </c>
      <c r="G377" t="n">
        <v>2.4</v>
      </c>
      <c r="H377" t="n">
        <v>0</v>
      </c>
      <c r="I377" t="n">
        <v>0</v>
      </c>
      <c r="J377" t="n">
        <v>0</v>
      </c>
      <c r="K377" t="n">
        <v>0</v>
      </c>
      <c r="L377" t="n">
        <v>0</v>
      </c>
      <c r="M377" t="n">
        <v>0</v>
      </c>
      <c r="N377" t="n">
        <v>0</v>
      </c>
      <c r="O377" t="n">
        <v>0</v>
      </c>
      <c r="P377" t="n">
        <v>0</v>
      </c>
      <c r="Q377" t="n">
        <v>0</v>
      </c>
      <c r="R377" s="2" t="inlineStr"/>
    </row>
    <row r="378" ht="15" customHeight="1">
      <c r="A378" t="inlineStr">
        <is>
          <t>A 27668-2024</t>
        </is>
      </c>
      <c r="B378" s="1" t="n">
        <v>45474.95435185185</v>
      </c>
      <c r="C378" s="1" t="n">
        <v>46065</v>
      </c>
      <c r="D378" t="inlineStr">
        <is>
          <t>VÄSTERNORRLANDS LÄN</t>
        </is>
      </c>
      <c r="E378" t="inlineStr">
        <is>
          <t>ÅNGE</t>
        </is>
      </c>
      <c r="F378" t="inlineStr">
        <is>
          <t>SCA</t>
        </is>
      </c>
      <c r="G378" t="n">
        <v>5.5</v>
      </c>
      <c r="H378" t="n">
        <v>0</v>
      </c>
      <c r="I378" t="n">
        <v>0</v>
      </c>
      <c r="J378" t="n">
        <v>0</v>
      </c>
      <c r="K378" t="n">
        <v>0</v>
      </c>
      <c r="L378" t="n">
        <v>0</v>
      </c>
      <c r="M378" t="n">
        <v>0</v>
      </c>
      <c r="N378" t="n">
        <v>0</v>
      </c>
      <c r="O378" t="n">
        <v>0</v>
      </c>
      <c r="P378" t="n">
        <v>0</v>
      </c>
      <c r="Q378" t="n">
        <v>0</v>
      </c>
      <c r="R378" s="2" t="inlineStr"/>
    </row>
    <row r="379" ht="15" customHeight="1">
      <c r="A379" t="inlineStr">
        <is>
          <t>A 18422-2021</t>
        </is>
      </c>
      <c r="B379" s="1" t="n">
        <v>44305</v>
      </c>
      <c r="C379" s="1" t="n">
        <v>46065</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14084-2022</t>
        </is>
      </c>
      <c r="B380" s="1" t="n">
        <v>44651</v>
      </c>
      <c r="C380" s="1" t="n">
        <v>46065</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1116-2023</t>
        </is>
      </c>
      <c r="B381" s="1" t="n">
        <v>44929</v>
      </c>
      <c r="C381" s="1" t="n">
        <v>46065</v>
      </c>
      <c r="D381" t="inlineStr">
        <is>
          <t>VÄSTERNORRLANDS LÄN</t>
        </is>
      </c>
      <c r="E381" t="inlineStr">
        <is>
          <t>ÅNGE</t>
        </is>
      </c>
      <c r="G381" t="n">
        <v>17.2</v>
      </c>
      <c r="H381" t="n">
        <v>0</v>
      </c>
      <c r="I381" t="n">
        <v>0</v>
      </c>
      <c r="J381" t="n">
        <v>0</v>
      </c>
      <c r="K381" t="n">
        <v>0</v>
      </c>
      <c r="L381" t="n">
        <v>0</v>
      </c>
      <c r="M381" t="n">
        <v>0</v>
      </c>
      <c r="N381" t="n">
        <v>0</v>
      </c>
      <c r="O381" t="n">
        <v>0</v>
      </c>
      <c r="P381" t="n">
        <v>0</v>
      </c>
      <c r="Q381" t="n">
        <v>0</v>
      </c>
      <c r="R381" s="2" t="inlineStr"/>
    </row>
    <row r="382" ht="15" customHeight="1">
      <c r="A382" t="inlineStr">
        <is>
          <t>A 14091-2022</t>
        </is>
      </c>
      <c r="B382" s="1" t="n">
        <v>44651</v>
      </c>
      <c r="C382" s="1" t="n">
        <v>46065</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46065</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49711-2024</t>
        </is>
      </c>
      <c r="B384" s="1" t="n">
        <v>45596.69891203703</v>
      </c>
      <c r="C384" s="1" t="n">
        <v>46065</v>
      </c>
      <c r="D384" t="inlineStr">
        <is>
          <t>VÄSTERNORRLANDS LÄN</t>
        </is>
      </c>
      <c r="E384" t="inlineStr">
        <is>
          <t>ÅNGE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24293-2023</t>
        </is>
      </c>
      <c r="B385" s="1" t="n">
        <v>45079.92756944444</v>
      </c>
      <c r="C385" s="1" t="n">
        <v>46065</v>
      </c>
      <c r="D385" t="inlineStr">
        <is>
          <t>VÄSTERNORRLANDS LÄN</t>
        </is>
      </c>
      <c r="E385" t="inlineStr">
        <is>
          <t>ÅNGE</t>
        </is>
      </c>
      <c r="G385" t="n">
        <v>0.8</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46065</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25779-2023</t>
        </is>
      </c>
      <c r="B387" s="1" t="n">
        <v>45090.47439814815</v>
      </c>
      <c r="C387" s="1" t="n">
        <v>46065</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9211-2023</t>
        </is>
      </c>
      <c r="B388" s="1" t="n">
        <v>44980</v>
      </c>
      <c r="C388" s="1" t="n">
        <v>46065</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8627-2023</t>
        </is>
      </c>
      <c r="B389" s="1" t="n">
        <v>44977</v>
      </c>
      <c r="C389" s="1" t="n">
        <v>46065</v>
      </c>
      <c r="D389" t="inlineStr">
        <is>
          <t>VÄSTERNORRLANDS LÄN</t>
        </is>
      </c>
      <c r="E389" t="inlineStr">
        <is>
          <t>ÅNGE</t>
        </is>
      </c>
      <c r="G389" t="n">
        <v>3</v>
      </c>
      <c r="H389" t="n">
        <v>0</v>
      </c>
      <c r="I389" t="n">
        <v>0</v>
      </c>
      <c r="J389" t="n">
        <v>0</v>
      </c>
      <c r="K389" t="n">
        <v>0</v>
      </c>
      <c r="L389" t="n">
        <v>0</v>
      </c>
      <c r="M389" t="n">
        <v>0</v>
      </c>
      <c r="N389" t="n">
        <v>0</v>
      </c>
      <c r="O389" t="n">
        <v>0</v>
      </c>
      <c r="P389" t="n">
        <v>0</v>
      </c>
      <c r="Q389" t="n">
        <v>0</v>
      </c>
      <c r="R389" s="2" t="inlineStr"/>
    </row>
    <row r="390" ht="15" customHeight="1">
      <c r="A390" t="inlineStr">
        <is>
          <t>A 27260-2023</t>
        </is>
      </c>
      <c r="B390" s="1" t="n">
        <v>45092</v>
      </c>
      <c r="C390" s="1" t="n">
        <v>46065</v>
      </c>
      <c r="D390" t="inlineStr">
        <is>
          <t>VÄSTERNORRLANDS LÄN</t>
        </is>
      </c>
      <c r="E390" t="inlineStr">
        <is>
          <t>ÅNGE</t>
        </is>
      </c>
      <c r="G390" t="n">
        <v>2.7</v>
      </c>
      <c r="H390" t="n">
        <v>0</v>
      </c>
      <c r="I390" t="n">
        <v>0</v>
      </c>
      <c r="J390" t="n">
        <v>0</v>
      </c>
      <c r="K390" t="n">
        <v>0</v>
      </c>
      <c r="L390" t="n">
        <v>0</v>
      </c>
      <c r="M390" t="n">
        <v>0</v>
      </c>
      <c r="N390" t="n">
        <v>0</v>
      </c>
      <c r="O390" t="n">
        <v>0</v>
      </c>
      <c r="P390" t="n">
        <v>0</v>
      </c>
      <c r="Q390" t="n">
        <v>0</v>
      </c>
      <c r="R390" s="2" t="inlineStr"/>
    </row>
    <row r="391" ht="15" customHeight="1">
      <c r="A391" t="inlineStr">
        <is>
          <t>A 16934-2025</t>
        </is>
      </c>
      <c r="B391" s="1" t="n">
        <v>45755.40671296296</v>
      </c>
      <c r="C391" s="1" t="n">
        <v>46065</v>
      </c>
      <c r="D391" t="inlineStr">
        <is>
          <t>VÄSTERNORRLANDS LÄN</t>
        </is>
      </c>
      <c r="E391" t="inlineStr">
        <is>
          <t>ÅNGE</t>
        </is>
      </c>
      <c r="G391" t="n">
        <v>3.9</v>
      </c>
      <c r="H391" t="n">
        <v>0</v>
      </c>
      <c r="I391" t="n">
        <v>0</v>
      </c>
      <c r="J391" t="n">
        <v>0</v>
      </c>
      <c r="K391" t="n">
        <v>0</v>
      </c>
      <c r="L391" t="n">
        <v>0</v>
      </c>
      <c r="M391" t="n">
        <v>0</v>
      </c>
      <c r="N391" t="n">
        <v>0</v>
      </c>
      <c r="O391" t="n">
        <v>0</v>
      </c>
      <c r="P391" t="n">
        <v>0</v>
      </c>
      <c r="Q391" t="n">
        <v>0</v>
      </c>
      <c r="R391" s="2" t="inlineStr"/>
    </row>
    <row r="392" ht="15" customHeight="1">
      <c r="A392" t="inlineStr">
        <is>
          <t>A 5552-2022</t>
        </is>
      </c>
      <c r="B392" s="1" t="n">
        <v>44595.62966435185</v>
      </c>
      <c r="C392" s="1" t="n">
        <v>46065</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35026-2022</t>
        </is>
      </c>
      <c r="B393" s="1" t="n">
        <v>44796</v>
      </c>
      <c r="C393" s="1" t="n">
        <v>46065</v>
      </c>
      <c r="D393" t="inlineStr">
        <is>
          <t>VÄSTERNORRLANDS LÄN</t>
        </is>
      </c>
      <c r="E393" t="inlineStr">
        <is>
          <t>ÅNGE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32535-2022</t>
        </is>
      </c>
      <c r="B394" s="1" t="n">
        <v>44783.29856481482</v>
      </c>
      <c r="C394" s="1" t="n">
        <v>46065</v>
      </c>
      <c r="D394" t="inlineStr">
        <is>
          <t>VÄSTERNORRLANDS LÄN</t>
        </is>
      </c>
      <c r="E394" t="inlineStr">
        <is>
          <t>ÅNGE</t>
        </is>
      </c>
      <c r="G394" t="n">
        <v>10.3</v>
      </c>
      <c r="H394" t="n">
        <v>0</v>
      </c>
      <c r="I394" t="n">
        <v>0</v>
      </c>
      <c r="J394" t="n">
        <v>0</v>
      </c>
      <c r="K394" t="n">
        <v>0</v>
      </c>
      <c r="L394" t="n">
        <v>0</v>
      </c>
      <c r="M394" t="n">
        <v>0</v>
      </c>
      <c r="N394" t="n">
        <v>0</v>
      </c>
      <c r="O394" t="n">
        <v>0</v>
      </c>
      <c r="P394" t="n">
        <v>0</v>
      </c>
      <c r="Q394" t="n">
        <v>0</v>
      </c>
      <c r="R394" s="2" t="inlineStr"/>
    </row>
    <row r="395" ht="15" customHeight="1">
      <c r="A395" t="inlineStr">
        <is>
          <t>A 56434-2021</t>
        </is>
      </c>
      <c r="B395" s="1" t="n">
        <v>44477</v>
      </c>
      <c r="C395" s="1" t="n">
        <v>46065</v>
      </c>
      <c r="D395" t="inlineStr">
        <is>
          <t>VÄSTERNORRLANDS LÄN</t>
        </is>
      </c>
      <c r="E395" t="inlineStr">
        <is>
          <t>ÅNGE</t>
        </is>
      </c>
      <c r="G395" t="n">
        <v>2.7</v>
      </c>
      <c r="H395" t="n">
        <v>0</v>
      </c>
      <c r="I395" t="n">
        <v>0</v>
      </c>
      <c r="J395" t="n">
        <v>0</v>
      </c>
      <c r="K395" t="n">
        <v>0</v>
      </c>
      <c r="L395" t="n">
        <v>0</v>
      </c>
      <c r="M395" t="n">
        <v>0</v>
      </c>
      <c r="N395" t="n">
        <v>0</v>
      </c>
      <c r="O395" t="n">
        <v>0</v>
      </c>
      <c r="P395" t="n">
        <v>0</v>
      </c>
      <c r="Q395" t="n">
        <v>0</v>
      </c>
      <c r="R395" s="2" t="inlineStr"/>
    </row>
    <row r="396" ht="15" customHeight="1">
      <c r="A396" t="inlineStr">
        <is>
          <t>A 21189-2021</t>
        </is>
      </c>
      <c r="B396" s="1" t="n">
        <v>44320</v>
      </c>
      <c r="C396" s="1" t="n">
        <v>46065</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46065</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46065</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54946-2021</t>
        </is>
      </c>
      <c r="B399" s="1" t="n">
        <v>44474.46466435185</v>
      </c>
      <c r="C399" s="1" t="n">
        <v>46065</v>
      </c>
      <c r="D399" t="inlineStr">
        <is>
          <t>VÄSTERNORRLANDS LÄN</t>
        </is>
      </c>
      <c r="E399" t="inlineStr">
        <is>
          <t>ÅNGE</t>
        </is>
      </c>
      <c r="G399" t="n">
        <v>5.4</v>
      </c>
      <c r="H399" t="n">
        <v>0</v>
      </c>
      <c r="I399" t="n">
        <v>0</v>
      </c>
      <c r="J399" t="n">
        <v>0</v>
      </c>
      <c r="K399" t="n">
        <v>0</v>
      </c>
      <c r="L399" t="n">
        <v>0</v>
      </c>
      <c r="M399" t="n">
        <v>0</v>
      </c>
      <c r="N399" t="n">
        <v>0</v>
      </c>
      <c r="O399" t="n">
        <v>0</v>
      </c>
      <c r="P399" t="n">
        <v>0</v>
      </c>
      <c r="Q399" t="n">
        <v>0</v>
      </c>
      <c r="R399" s="2" t="inlineStr"/>
    </row>
    <row r="400" ht="15" customHeight="1">
      <c r="A400" t="inlineStr">
        <is>
          <t>A 57109-2023</t>
        </is>
      </c>
      <c r="B400" s="1" t="n">
        <v>45239</v>
      </c>
      <c r="C400" s="1" t="n">
        <v>46065</v>
      </c>
      <c r="D400" t="inlineStr">
        <is>
          <t>VÄSTERNORRLANDS LÄN</t>
        </is>
      </c>
      <c r="E400" t="inlineStr">
        <is>
          <t>ÅNGE</t>
        </is>
      </c>
      <c r="G400" t="n">
        <v>7</v>
      </c>
      <c r="H400" t="n">
        <v>0</v>
      </c>
      <c r="I400" t="n">
        <v>0</v>
      </c>
      <c r="J400" t="n">
        <v>0</v>
      </c>
      <c r="K400" t="n">
        <v>0</v>
      </c>
      <c r="L400" t="n">
        <v>0</v>
      </c>
      <c r="M400" t="n">
        <v>0</v>
      </c>
      <c r="N400" t="n">
        <v>0</v>
      </c>
      <c r="O400" t="n">
        <v>0</v>
      </c>
      <c r="P400" t="n">
        <v>0</v>
      </c>
      <c r="Q400" t="n">
        <v>0</v>
      </c>
      <c r="R400" s="2" t="inlineStr"/>
    </row>
    <row r="401" ht="15" customHeight="1">
      <c r="A401" t="inlineStr">
        <is>
          <t>A 63216-2023</t>
        </is>
      </c>
      <c r="B401" s="1" t="n">
        <v>45273.62721064815</v>
      </c>
      <c r="C401" s="1" t="n">
        <v>46065</v>
      </c>
      <c r="D401" t="inlineStr">
        <is>
          <t>VÄSTERNORRLANDS LÄN</t>
        </is>
      </c>
      <c r="E401" t="inlineStr">
        <is>
          <t>ÅNGE</t>
        </is>
      </c>
      <c r="F401" t="inlineStr">
        <is>
          <t>Holmen skog AB</t>
        </is>
      </c>
      <c r="G401" t="n">
        <v>2.9</v>
      </c>
      <c r="H401" t="n">
        <v>0</v>
      </c>
      <c r="I401" t="n">
        <v>0</v>
      </c>
      <c r="J401" t="n">
        <v>0</v>
      </c>
      <c r="K401" t="n">
        <v>0</v>
      </c>
      <c r="L401" t="n">
        <v>0</v>
      </c>
      <c r="M401" t="n">
        <v>0</v>
      </c>
      <c r="N401" t="n">
        <v>0</v>
      </c>
      <c r="O401" t="n">
        <v>0</v>
      </c>
      <c r="P401" t="n">
        <v>0</v>
      </c>
      <c r="Q401" t="n">
        <v>0</v>
      </c>
      <c r="R401" s="2" t="inlineStr"/>
    </row>
    <row r="402" ht="15" customHeight="1">
      <c r="A402" t="inlineStr">
        <is>
          <t>A 55197-2022</t>
        </is>
      </c>
      <c r="B402" s="1" t="n">
        <v>44886.93714120371</v>
      </c>
      <c r="C402" s="1" t="n">
        <v>46065</v>
      </c>
      <c r="D402" t="inlineStr">
        <is>
          <t>VÄSTERNORRLANDS LÄN</t>
        </is>
      </c>
      <c r="E402" t="inlineStr">
        <is>
          <t>ÅNGE</t>
        </is>
      </c>
      <c r="G402" t="n">
        <v>1.4</v>
      </c>
      <c r="H402" t="n">
        <v>0</v>
      </c>
      <c r="I402" t="n">
        <v>0</v>
      </c>
      <c r="J402" t="n">
        <v>0</v>
      </c>
      <c r="K402" t="n">
        <v>0</v>
      </c>
      <c r="L402" t="n">
        <v>0</v>
      </c>
      <c r="M402" t="n">
        <v>0</v>
      </c>
      <c r="N402" t="n">
        <v>0</v>
      </c>
      <c r="O402" t="n">
        <v>0</v>
      </c>
      <c r="P402" t="n">
        <v>0</v>
      </c>
      <c r="Q402" t="n">
        <v>0</v>
      </c>
      <c r="R402" s="2" t="inlineStr"/>
    </row>
    <row r="403" ht="15" customHeight="1">
      <c r="A403" t="inlineStr">
        <is>
          <t>A 50186-2021</t>
        </is>
      </c>
      <c r="B403" s="1" t="n">
        <v>44456</v>
      </c>
      <c r="C403" s="1" t="n">
        <v>46065</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42346-2023</t>
        </is>
      </c>
      <c r="B404" s="1" t="n">
        <v>45180</v>
      </c>
      <c r="C404" s="1" t="n">
        <v>46065</v>
      </c>
      <c r="D404" t="inlineStr">
        <is>
          <t>VÄSTERNORRLANDS LÄN</t>
        </is>
      </c>
      <c r="E404" t="inlineStr">
        <is>
          <t>ÅNGE</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16563-2025</t>
        </is>
      </c>
      <c r="B405" s="1" t="n">
        <v>45752.34430555555</v>
      </c>
      <c r="C405" s="1" t="n">
        <v>46065</v>
      </c>
      <c r="D405" t="inlineStr">
        <is>
          <t>VÄSTERNORRLANDS LÄN</t>
        </is>
      </c>
      <c r="E405" t="inlineStr">
        <is>
          <t>ÅNGE</t>
        </is>
      </c>
      <c r="F405" t="inlineStr">
        <is>
          <t>SCA</t>
        </is>
      </c>
      <c r="G405" t="n">
        <v>24.7</v>
      </c>
      <c r="H405" t="n">
        <v>0</v>
      </c>
      <c r="I405" t="n">
        <v>0</v>
      </c>
      <c r="J405" t="n">
        <v>0</v>
      </c>
      <c r="K405" t="n">
        <v>0</v>
      </c>
      <c r="L405" t="n">
        <v>0</v>
      </c>
      <c r="M405" t="n">
        <v>0</v>
      </c>
      <c r="N405" t="n">
        <v>0</v>
      </c>
      <c r="O405" t="n">
        <v>0</v>
      </c>
      <c r="P405" t="n">
        <v>0</v>
      </c>
      <c r="Q405" t="n">
        <v>0</v>
      </c>
      <c r="R405" s="2" t="inlineStr"/>
    </row>
    <row r="406" ht="15" customHeight="1">
      <c r="A406" t="inlineStr">
        <is>
          <t>A 15368-2024</t>
        </is>
      </c>
      <c r="B406" s="1" t="n">
        <v>45400.92284722222</v>
      </c>
      <c r="C406" s="1" t="n">
        <v>46065</v>
      </c>
      <c r="D406" t="inlineStr">
        <is>
          <t>VÄSTERNORRLANDS LÄN</t>
        </is>
      </c>
      <c r="E406" t="inlineStr">
        <is>
          <t>ÅNGE</t>
        </is>
      </c>
      <c r="G406" t="n">
        <v>0.4</v>
      </c>
      <c r="H406" t="n">
        <v>0</v>
      </c>
      <c r="I406" t="n">
        <v>0</v>
      </c>
      <c r="J406" t="n">
        <v>0</v>
      </c>
      <c r="K406" t="n">
        <v>0</v>
      </c>
      <c r="L406" t="n">
        <v>0</v>
      </c>
      <c r="M406" t="n">
        <v>0</v>
      </c>
      <c r="N406" t="n">
        <v>0</v>
      </c>
      <c r="O406" t="n">
        <v>0</v>
      </c>
      <c r="P406" t="n">
        <v>0</v>
      </c>
      <c r="Q406" t="n">
        <v>0</v>
      </c>
      <c r="R406" s="2" t="inlineStr"/>
    </row>
    <row r="407" ht="15" customHeight="1">
      <c r="A407" t="inlineStr">
        <is>
          <t>A 57636-2022</t>
        </is>
      </c>
      <c r="B407" s="1" t="n">
        <v>44897</v>
      </c>
      <c r="C407" s="1" t="n">
        <v>46065</v>
      </c>
      <c r="D407" t="inlineStr">
        <is>
          <t>VÄSTERNORRLANDS LÄN</t>
        </is>
      </c>
      <c r="E407" t="inlineStr">
        <is>
          <t>ÅNGE</t>
        </is>
      </c>
      <c r="G407" t="n">
        <v>0.8</v>
      </c>
      <c r="H407" t="n">
        <v>0</v>
      </c>
      <c r="I407" t="n">
        <v>0</v>
      </c>
      <c r="J407" t="n">
        <v>0</v>
      </c>
      <c r="K407" t="n">
        <v>0</v>
      </c>
      <c r="L407" t="n">
        <v>0</v>
      </c>
      <c r="M407" t="n">
        <v>0</v>
      </c>
      <c r="N407" t="n">
        <v>0</v>
      </c>
      <c r="O407" t="n">
        <v>0</v>
      </c>
      <c r="P407" t="n">
        <v>0</v>
      </c>
      <c r="Q407" t="n">
        <v>0</v>
      </c>
      <c r="R407" s="2" t="inlineStr"/>
    </row>
    <row r="408" ht="15" customHeight="1">
      <c r="A408" t="inlineStr">
        <is>
          <t>A 31864-2024</t>
        </is>
      </c>
      <c r="B408" s="1" t="n">
        <v>45509.74791666667</v>
      </c>
      <c r="C408" s="1" t="n">
        <v>46065</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16978-2024</t>
        </is>
      </c>
      <c r="B409" s="1" t="n">
        <v>45412.02416666667</v>
      </c>
      <c r="C409" s="1" t="n">
        <v>46065</v>
      </c>
      <c r="D409" t="inlineStr">
        <is>
          <t>VÄSTERNORRLANDS LÄN</t>
        </is>
      </c>
      <c r="E409" t="inlineStr">
        <is>
          <t>ÅNGE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49532-2024</t>
        </is>
      </c>
      <c r="B410" s="1" t="n">
        <v>45596.41797453703</v>
      </c>
      <c r="C410" s="1" t="n">
        <v>46065</v>
      </c>
      <c r="D410" t="inlineStr">
        <is>
          <t>VÄSTERNORRLANDS LÄN</t>
        </is>
      </c>
      <c r="E410" t="inlineStr">
        <is>
          <t>ÅNGE</t>
        </is>
      </c>
      <c r="G410" t="n">
        <v>3.3</v>
      </c>
      <c r="H410" t="n">
        <v>0</v>
      </c>
      <c r="I410" t="n">
        <v>0</v>
      </c>
      <c r="J410" t="n">
        <v>0</v>
      </c>
      <c r="K410" t="n">
        <v>0</v>
      </c>
      <c r="L410" t="n">
        <v>0</v>
      </c>
      <c r="M410" t="n">
        <v>0</v>
      </c>
      <c r="N410" t="n">
        <v>0</v>
      </c>
      <c r="O410" t="n">
        <v>0</v>
      </c>
      <c r="P410" t="n">
        <v>0</v>
      </c>
      <c r="Q410" t="n">
        <v>0</v>
      </c>
      <c r="R410" s="2" t="inlineStr"/>
    </row>
    <row r="411" ht="15" customHeight="1">
      <c r="A411" t="inlineStr">
        <is>
          <t>A 40790-2023</t>
        </is>
      </c>
      <c r="B411" s="1" t="n">
        <v>45170.95814814815</v>
      </c>
      <c r="C411" s="1" t="n">
        <v>46065</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52685-2024</t>
        </is>
      </c>
      <c r="B412" s="1" t="n">
        <v>45610</v>
      </c>
      <c r="C412" s="1" t="n">
        <v>46065</v>
      </c>
      <c r="D412" t="inlineStr">
        <is>
          <t>VÄSTERNORRLANDS LÄN</t>
        </is>
      </c>
      <c r="E412" t="inlineStr">
        <is>
          <t>ÅNGE</t>
        </is>
      </c>
      <c r="G412" t="n">
        <v>2.3</v>
      </c>
      <c r="H412" t="n">
        <v>0</v>
      </c>
      <c r="I412" t="n">
        <v>0</v>
      </c>
      <c r="J412" t="n">
        <v>0</v>
      </c>
      <c r="K412" t="n">
        <v>0</v>
      </c>
      <c r="L412" t="n">
        <v>0</v>
      </c>
      <c r="M412" t="n">
        <v>0</v>
      </c>
      <c r="N412" t="n">
        <v>0</v>
      </c>
      <c r="O412" t="n">
        <v>0</v>
      </c>
      <c r="P412" t="n">
        <v>0</v>
      </c>
      <c r="Q412" t="n">
        <v>0</v>
      </c>
      <c r="R412" s="2" t="inlineStr"/>
    </row>
    <row r="413" ht="15" customHeight="1">
      <c r="A413" t="inlineStr">
        <is>
          <t>A 11310-2023</t>
        </is>
      </c>
      <c r="B413" s="1" t="n">
        <v>44993.01190972222</v>
      </c>
      <c r="C413" s="1" t="n">
        <v>46065</v>
      </c>
      <c r="D413" t="inlineStr">
        <is>
          <t>VÄSTERNORRLANDS LÄN</t>
        </is>
      </c>
      <c r="E413" t="inlineStr">
        <is>
          <t>ÅNGE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55664-2023</t>
        </is>
      </c>
      <c r="B414" s="1" t="n">
        <v>45238.96748842593</v>
      </c>
      <c r="C414" s="1" t="n">
        <v>46065</v>
      </c>
      <c r="D414" t="inlineStr">
        <is>
          <t>VÄSTERNORRLANDS LÄN</t>
        </is>
      </c>
      <c r="E414" t="inlineStr">
        <is>
          <t>ÅNGE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1090-2023</t>
        </is>
      </c>
      <c r="B415" s="1" t="n">
        <v>44929</v>
      </c>
      <c r="C415" s="1" t="n">
        <v>46065</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53549-2023</t>
        </is>
      </c>
      <c r="B416" s="1" t="n">
        <v>45230</v>
      </c>
      <c r="C416" s="1" t="n">
        <v>46065</v>
      </c>
      <c r="D416" t="inlineStr">
        <is>
          <t>VÄSTERNORRLANDS LÄN</t>
        </is>
      </c>
      <c r="E416" t="inlineStr">
        <is>
          <t>ÅNGE</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5366-2022</t>
        </is>
      </c>
      <c r="B417" s="1" t="n">
        <v>44594.92107638889</v>
      </c>
      <c r="C417" s="1" t="n">
        <v>46065</v>
      </c>
      <c r="D417" t="inlineStr">
        <is>
          <t>VÄSTERNORRLANDS LÄN</t>
        </is>
      </c>
      <c r="E417" t="inlineStr">
        <is>
          <t>ÅNGE</t>
        </is>
      </c>
      <c r="G417" t="n">
        <v>0.6</v>
      </c>
      <c r="H417" t="n">
        <v>0</v>
      </c>
      <c r="I417" t="n">
        <v>0</v>
      </c>
      <c r="J417" t="n">
        <v>0</v>
      </c>
      <c r="K417" t="n">
        <v>0</v>
      </c>
      <c r="L417" t="n">
        <v>0</v>
      </c>
      <c r="M417" t="n">
        <v>0</v>
      </c>
      <c r="N417" t="n">
        <v>0</v>
      </c>
      <c r="O417" t="n">
        <v>0</v>
      </c>
      <c r="P417" t="n">
        <v>0</v>
      </c>
      <c r="Q417" t="n">
        <v>0</v>
      </c>
      <c r="R417" s="2" t="inlineStr"/>
    </row>
    <row r="418" ht="15" customHeight="1">
      <c r="A418" t="inlineStr">
        <is>
          <t>A 58275-2022</t>
        </is>
      </c>
      <c r="B418" s="1" t="n">
        <v>44901.47865740741</v>
      </c>
      <c r="C418" s="1" t="n">
        <v>46065</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31325-2022</t>
        </is>
      </c>
      <c r="B419" s="1" t="n">
        <v>44774.41421296296</v>
      </c>
      <c r="C419" s="1" t="n">
        <v>46065</v>
      </c>
      <c r="D419" t="inlineStr">
        <is>
          <t>VÄSTERNORRLANDS LÄN</t>
        </is>
      </c>
      <c r="E419" t="inlineStr">
        <is>
          <t>ÅNGE</t>
        </is>
      </c>
      <c r="G419" t="n">
        <v>6.3</v>
      </c>
      <c r="H419" t="n">
        <v>0</v>
      </c>
      <c r="I419" t="n">
        <v>0</v>
      </c>
      <c r="J419" t="n">
        <v>0</v>
      </c>
      <c r="K419" t="n">
        <v>0</v>
      </c>
      <c r="L419" t="n">
        <v>0</v>
      </c>
      <c r="M419" t="n">
        <v>0</v>
      </c>
      <c r="N419" t="n">
        <v>0</v>
      </c>
      <c r="O419" t="n">
        <v>0</v>
      </c>
      <c r="P419" t="n">
        <v>0</v>
      </c>
      <c r="Q419" t="n">
        <v>0</v>
      </c>
      <c r="R419" s="2" t="inlineStr"/>
    </row>
    <row r="420" ht="15" customHeight="1">
      <c r="A420" t="inlineStr">
        <is>
          <t>A 51810-2023</t>
        </is>
      </c>
      <c r="B420" s="1" t="n">
        <v>45222.96583333334</v>
      </c>
      <c r="C420" s="1" t="n">
        <v>46065</v>
      </c>
      <c r="D420" t="inlineStr">
        <is>
          <t>VÄSTERNORRLANDS LÄN</t>
        </is>
      </c>
      <c r="E420" t="inlineStr">
        <is>
          <t>ÅNGE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35426-2024</t>
        </is>
      </c>
      <c r="B421" s="1" t="n">
        <v>45531</v>
      </c>
      <c r="C421" s="1" t="n">
        <v>46065</v>
      </c>
      <c r="D421" t="inlineStr">
        <is>
          <t>VÄSTERNORRLANDS LÄN</t>
        </is>
      </c>
      <c r="E421" t="inlineStr">
        <is>
          <t>ÅNGE</t>
        </is>
      </c>
      <c r="F421" t="inlineStr">
        <is>
          <t>SCA</t>
        </is>
      </c>
      <c r="G421" t="n">
        <v>10.9</v>
      </c>
      <c r="H421" t="n">
        <v>0</v>
      </c>
      <c r="I421" t="n">
        <v>0</v>
      </c>
      <c r="J421" t="n">
        <v>0</v>
      </c>
      <c r="K421" t="n">
        <v>0</v>
      </c>
      <c r="L421" t="n">
        <v>0</v>
      </c>
      <c r="M421" t="n">
        <v>0</v>
      </c>
      <c r="N421" t="n">
        <v>0</v>
      </c>
      <c r="O421" t="n">
        <v>0</v>
      </c>
      <c r="P421" t="n">
        <v>0</v>
      </c>
      <c r="Q421" t="n">
        <v>0</v>
      </c>
      <c r="R421" s="2" t="inlineStr"/>
    </row>
    <row r="422" ht="15" customHeight="1">
      <c r="A422" t="inlineStr">
        <is>
          <t>A 31545-2024</t>
        </is>
      </c>
      <c r="B422" s="1" t="n">
        <v>45505</v>
      </c>
      <c r="C422" s="1" t="n">
        <v>46065</v>
      </c>
      <c r="D422" t="inlineStr">
        <is>
          <t>VÄSTERNORRLANDS LÄN</t>
        </is>
      </c>
      <c r="E422" t="inlineStr">
        <is>
          <t>ÅNGE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25023-2022</t>
        </is>
      </c>
      <c r="B423" s="1" t="n">
        <v>44728</v>
      </c>
      <c r="C423" s="1" t="n">
        <v>46065</v>
      </c>
      <c r="D423" t="inlineStr">
        <is>
          <t>VÄSTERNORRLANDS LÄN</t>
        </is>
      </c>
      <c r="E423" t="inlineStr">
        <is>
          <t>ÅNGE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27915-2024</t>
        </is>
      </c>
      <c r="B424" s="1" t="n">
        <v>45475</v>
      </c>
      <c r="C424" s="1" t="n">
        <v>46065</v>
      </c>
      <c r="D424" t="inlineStr">
        <is>
          <t>VÄSTERNORRLANDS LÄN</t>
        </is>
      </c>
      <c r="E424" t="inlineStr">
        <is>
          <t>ÅNGE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29063-2023</t>
        </is>
      </c>
      <c r="B425" s="1" t="n">
        <v>45104.94068287037</v>
      </c>
      <c r="C425" s="1" t="n">
        <v>46065</v>
      </c>
      <c r="D425" t="inlineStr">
        <is>
          <t>VÄSTERNORRLANDS LÄN</t>
        </is>
      </c>
      <c r="E425" t="inlineStr">
        <is>
          <t>ÅNGE</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1964-2022</t>
        </is>
      </c>
      <c r="B426" s="1" t="n">
        <v>44575.5050462963</v>
      </c>
      <c r="C426" s="1" t="n">
        <v>46065</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51609-2023</t>
        </is>
      </c>
      <c r="B427" s="1" t="n">
        <v>45215</v>
      </c>
      <c r="C427" s="1" t="n">
        <v>46065</v>
      </c>
      <c r="D427" t="inlineStr">
        <is>
          <t>VÄSTERNORRLANDS LÄN</t>
        </is>
      </c>
      <c r="E427" t="inlineStr">
        <is>
          <t>ÅNGE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53970-2021</t>
        </is>
      </c>
      <c r="B428" s="1" t="n">
        <v>44469</v>
      </c>
      <c r="C428" s="1" t="n">
        <v>46065</v>
      </c>
      <c r="D428" t="inlineStr">
        <is>
          <t>VÄSTERNORRLANDS LÄN</t>
        </is>
      </c>
      <c r="E428" t="inlineStr">
        <is>
          <t>ÅNGE</t>
        </is>
      </c>
      <c r="G428" t="n">
        <v>3.4</v>
      </c>
      <c r="H428" t="n">
        <v>0</v>
      </c>
      <c r="I428" t="n">
        <v>0</v>
      </c>
      <c r="J428" t="n">
        <v>0</v>
      </c>
      <c r="K428" t="n">
        <v>0</v>
      </c>
      <c r="L428" t="n">
        <v>0</v>
      </c>
      <c r="M428" t="n">
        <v>0</v>
      </c>
      <c r="N428" t="n">
        <v>0</v>
      </c>
      <c r="O428" t="n">
        <v>0</v>
      </c>
      <c r="P428" t="n">
        <v>0</v>
      </c>
      <c r="Q428" t="n">
        <v>0</v>
      </c>
      <c r="R428" s="2" t="inlineStr"/>
    </row>
    <row r="429" ht="15" customHeight="1">
      <c r="A429" t="inlineStr">
        <is>
          <t>A 2415-2024</t>
        </is>
      </c>
      <c r="B429" s="1" t="n">
        <v>45310</v>
      </c>
      <c r="C429" s="1" t="n">
        <v>46065</v>
      </c>
      <c r="D429" t="inlineStr">
        <is>
          <t>VÄSTERNORRLANDS LÄN</t>
        </is>
      </c>
      <c r="E429" t="inlineStr">
        <is>
          <t>ÅNGE</t>
        </is>
      </c>
      <c r="F429" t="inlineStr">
        <is>
          <t>Kyrkan</t>
        </is>
      </c>
      <c r="G429" t="n">
        <v>0.2</v>
      </c>
      <c r="H429" t="n">
        <v>0</v>
      </c>
      <c r="I429" t="n">
        <v>0</v>
      </c>
      <c r="J429" t="n">
        <v>0</v>
      </c>
      <c r="K429" t="n">
        <v>0</v>
      </c>
      <c r="L429" t="n">
        <v>0</v>
      </c>
      <c r="M429" t="n">
        <v>0</v>
      </c>
      <c r="N429" t="n">
        <v>0</v>
      </c>
      <c r="O429" t="n">
        <v>0</v>
      </c>
      <c r="P429" t="n">
        <v>0</v>
      </c>
      <c r="Q429" t="n">
        <v>0</v>
      </c>
      <c r="R429" s="2" t="inlineStr"/>
    </row>
    <row r="430" ht="15" customHeight="1">
      <c r="A430" t="inlineStr">
        <is>
          <t>A 63522-2021</t>
        </is>
      </c>
      <c r="B430" s="1" t="n">
        <v>44508</v>
      </c>
      <c r="C430" s="1" t="n">
        <v>46065</v>
      </c>
      <c r="D430" t="inlineStr">
        <is>
          <t>VÄSTERNORRLANDS LÄN</t>
        </is>
      </c>
      <c r="E430" t="inlineStr">
        <is>
          <t>ÅNGE</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31696-2022</t>
        </is>
      </c>
      <c r="B431" s="1" t="n">
        <v>44776</v>
      </c>
      <c r="C431" s="1" t="n">
        <v>46065</v>
      </c>
      <c r="D431" t="inlineStr">
        <is>
          <t>VÄSTERNORRLANDS LÄN</t>
        </is>
      </c>
      <c r="E431" t="inlineStr">
        <is>
          <t>ÅNGE</t>
        </is>
      </c>
      <c r="G431" t="n">
        <v>1.8</v>
      </c>
      <c r="H431" t="n">
        <v>0</v>
      </c>
      <c r="I431" t="n">
        <v>0</v>
      </c>
      <c r="J431" t="n">
        <v>0</v>
      </c>
      <c r="K431" t="n">
        <v>0</v>
      </c>
      <c r="L431" t="n">
        <v>0</v>
      </c>
      <c r="M431" t="n">
        <v>0</v>
      </c>
      <c r="N431" t="n">
        <v>0</v>
      </c>
      <c r="O431" t="n">
        <v>0</v>
      </c>
      <c r="P431" t="n">
        <v>0</v>
      </c>
      <c r="Q431" t="n">
        <v>0</v>
      </c>
      <c r="R431" s="2" t="inlineStr"/>
    </row>
    <row r="432" ht="15" customHeight="1">
      <c r="A432" t="inlineStr">
        <is>
          <t>A 6686-2024</t>
        </is>
      </c>
      <c r="B432" s="1" t="n">
        <v>45341</v>
      </c>
      <c r="C432" s="1" t="n">
        <v>46065</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57287-2022</t>
        </is>
      </c>
      <c r="B433" s="1" t="n">
        <v>44895.95</v>
      </c>
      <c r="C433" s="1" t="n">
        <v>46065</v>
      </c>
      <c r="D433" t="inlineStr">
        <is>
          <t>VÄSTERNORRLANDS LÄN</t>
        </is>
      </c>
      <c r="E433" t="inlineStr">
        <is>
          <t>ÅNGE</t>
        </is>
      </c>
      <c r="F433" t="inlineStr">
        <is>
          <t>SCA</t>
        </is>
      </c>
      <c r="G433" t="n">
        <v>4.8</v>
      </c>
      <c r="H433" t="n">
        <v>0</v>
      </c>
      <c r="I433" t="n">
        <v>0</v>
      </c>
      <c r="J433" t="n">
        <v>0</v>
      </c>
      <c r="K433" t="n">
        <v>0</v>
      </c>
      <c r="L433" t="n">
        <v>0</v>
      </c>
      <c r="M433" t="n">
        <v>0</v>
      </c>
      <c r="N433" t="n">
        <v>0</v>
      </c>
      <c r="O433" t="n">
        <v>0</v>
      </c>
      <c r="P433" t="n">
        <v>0</v>
      </c>
      <c r="Q433" t="n">
        <v>0</v>
      </c>
      <c r="R433" s="2" t="inlineStr"/>
    </row>
    <row r="434" ht="15" customHeight="1">
      <c r="A434" t="inlineStr">
        <is>
          <t>A 57291-2022</t>
        </is>
      </c>
      <c r="B434" s="1" t="n">
        <v>44895</v>
      </c>
      <c r="C434" s="1" t="n">
        <v>46065</v>
      </c>
      <c r="D434" t="inlineStr">
        <is>
          <t>VÄSTERNORRLANDS LÄN</t>
        </is>
      </c>
      <c r="E434" t="inlineStr">
        <is>
          <t>ÅNGE</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30682-2024</t>
        </is>
      </c>
      <c r="B435" s="1" t="n">
        <v>45495.95109953704</v>
      </c>
      <c r="C435" s="1" t="n">
        <v>46065</v>
      </c>
      <c r="D435" t="inlineStr">
        <is>
          <t>VÄSTERNORRLANDS LÄN</t>
        </is>
      </c>
      <c r="E435" t="inlineStr">
        <is>
          <t>ÅNGE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58634-2023</t>
        </is>
      </c>
      <c r="B436" s="1" t="n">
        <v>45251</v>
      </c>
      <c r="C436" s="1" t="n">
        <v>46065</v>
      </c>
      <c r="D436" t="inlineStr">
        <is>
          <t>VÄSTERNORRLANDS LÄN</t>
        </is>
      </c>
      <c r="E436" t="inlineStr">
        <is>
          <t>ÅNGE</t>
        </is>
      </c>
      <c r="G436" t="n">
        <v>1</v>
      </c>
      <c r="H436" t="n">
        <v>0</v>
      </c>
      <c r="I436" t="n">
        <v>0</v>
      </c>
      <c r="J436" t="n">
        <v>0</v>
      </c>
      <c r="K436" t="n">
        <v>0</v>
      </c>
      <c r="L436" t="n">
        <v>0</v>
      </c>
      <c r="M436" t="n">
        <v>0</v>
      </c>
      <c r="N436" t="n">
        <v>0</v>
      </c>
      <c r="O436" t="n">
        <v>0</v>
      </c>
      <c r="P436" t="n">
        <v>0</v>
      </c>
      <c r="Q436" t="n">
        <v>0</v>
      </c>
      <c r="R436" s="2" t="inlineStr"/>
    </row>
    <row r="437" ht="15" customHeight="1">
      <c r="A437" t="inlineStr">
        <is>
          <t>A 6680-2024</t>
        </is>
      </c>
      <c r="B437" s="1" t="n">
        <v>45341</v>
      </c>
      <c r="C437" s="1" t="n">
        <v>46065</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6685-2024</t>
        </is>
      </c>
      <c r="B438" s="1" t="n">
        <v>45341</v>
      </c>
      <c r="C438" s="1" t="n">
        <v>46065</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6689-2024</t>
        </is>
      </c>
      <c r="B439" s="1" t="n">
        <v>45341.9259375</v>
      </c>
      <c r="C439" s="1" t="n">
        <v>46065</v>
      </c>
      <c r="D439" t="inlineStr">
        <is>
          <t>VÄSTERNORRLANDS LÄN</t>
        </is>
      </c>
      <c r="E439" t="inlineStr">
        <is>
          <t>ÅNGE</t>
        </is>
      </c>
      <c r="G439" t="n">
        <v>1</v>
      </c>
      <c r="H439" t="n">
        <v>0</v>
      </c>
      <c r="I439" t="n">
        <v>0</v>
      </c>
      <c r="J439" t="n">
        <v>0</v>
      </c>
      <c r="K439" t="n">
        <v>0</v>
      </c>
      <c r="L439" t="n">
        <v>0</v>
      </c>
      <c r="M439" t="n">
        <v>0</v>
      </c>
      <c r="N439" t="n">
        <v>0</v>
      </c>
      <c r="O439" t="n">
        <v>0</v>
      </c>
      <c r="P439" t="n">
        <v>0</v>
      </c>
      <c r="Q439" t="n">
        <v>0</v>
      </c>
      <c r="R439" s="2" t="inlineStr"/>
    </row>
    <row r="440" ht="15" customHeight="1">
      <c r="A440" t="inlineStr">
        <is>
          <t>A 30753-2024</t>
        </is>
      </c>
      <c r="B440" s="1" t="n">
        <v>45496</v>
      </c>
      <c r="C440" s="1" t="n">
        <v>46065</v>
      </c>
      <c r="D440" t="inlineStr">
        <is>
          <t>VÄSTERNORRLANDS LÄN</t>
        </is>
      </c>
      <c r="E440" t="inlineStr">
        <is>
          <t>ÅNGE</t>
        </is>
      </c>
      <c r="G440" t="n">
        <v>1.4</v>
      </c>
      <c r="H440" t="n">
        <v>0</v>
      </c>
      <c r="I440" t="n">
        <v>0</v>
      </c>
      <c r="J440" t="n">
        <v>0</v>
      </c>
      <c r="K440" t="n">
        <v>0</v>
      </c>
      <c r="L440" t="n">
        <v>0</v>
      </c>
      <c r="M440" t="n">
        <v>0</v>
      </c>
      <c r="N440" t="n">
        <v>0</v>
      </c>
      <c r="O440" t="n">
        <v>0</v>
      </c>
      <c r="P440" t="n">
        <v>0</v>
      </c>
      <c r="Q440" t="n">
        <v>0</v>
      </c>
      <c r="R440" s="2" t="inlineStr"/>
    </row>
    <row r="441" ht="15" customHeight="1">
      <c r="A441" t="inlineStr">
        <is>
          <t>A 30754-2024</t>
        </is>
      </c>
      <c r="B441" s="1" t="n">
        <v>45496</v>
      </c>
      <c r="C441" s="1" t="n">
        <v>46065</v>
      </c>
      <c r="D441" t="inlineStr">
        <is>
          <t>VÄSTERNORRLANDS LÄN</t>
        </is>
      </c>
      <c r="E441" t="inlineStr">
        <is>
          <t>ÅNGE</t>
        </is>
      </c>
      <c r="G441" t="n">
        <v>3.8</v>
      </c>
      <c r="H441" t="n">
        <v>0</v>
      </c>
      <c r="I441" t="n">
        <v>0</v>
      </c>
      <c r="J441" t="n">
        <v>0</v>
      </c>
      <c r="K441" t="n">
        <v>0</v>
      </c>
      <c r="L441" t="n">
        <v>0</v>
      </c>
      <c r="M441" t="n">
        <v>0</v>
      </c>
      <c r="N441" t="n">
        <v>0</v>
      </c>
      <c r="O441" t="n">
        <v>0</v>
      </c>
      <c r="P441" t="n">
        <v>0</v>
      </c>
      <c r="Q441" t="n">
        <v>0</v>
      </c>
      <c r="R441" s="2" t="inlineStr"/>
    </row>
    <row r="442" ht="15" customHeight="1">
      <c r="A442" t="inlineStr">
        <is>
          <t>A 38960-2021</t>
        </is>
      </c>
      <c r="B442" s="1" t="n">
        <v>44411</v>
      </c>
      <c r="C442" s="1" t="n">
        <v>46065</v>
      </c>
      <c r="D442" t="inlineStr">
        <is>
          <t>VÄSTERNORRLANDS LÄN</t>
        </is>
      </c>
      <c r="E442" t="inlineStr">
        <is>
          <t>ÅNGE</t>
        </is>
      </c>
      <c r="G442" t="n">
        <v>1</v>
      </c>
      <c r="H442" t="n">
        <v>0</v>
      </c>
      <c r="I442" t="n">
        <v>0</v>
      </c>
      <c r="J442" t="n">
        <v>0</v>
      </c>
      <c r="K442" t="n">
        <v>0</v>
      </c>
      <c r="L442" t="n">
        <v>0</v>
      </c>
      <c r="M442" t="n">
        <v>0</v>
      </c>
      <c r="N442" t="n">
        <v>0</v>
      </c>
      <c r="O442" t="n">
        <v>0</v>
      </c>
      <c r="P442" t="n">
        <v>0</v>
      </c>
      <c r="Q442" t="n">
        <v>0</v>
      </c>
      <c r="R442" s="2" t="inlineStr"/>
    </row>
    <row r="443" ht="15" customHeight="1">
      <c r="A443" t="inlineStr">
        <is>
          <t>A 35581-2024</t>
        </is>
      </c>
      <c r="B443" s="1" t="n">
        <v>45531</v>
      </c>
      <c r="C443" s="1" t="n">
        <v>46065</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65633-2021</t>
        </is>
      </c>
      <c r="B444" s="1" t="n">
        <v>44516.56181712963</v>
      </c>
      <c r="C444" s="1" t="n">
        <v>46065</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35488-2024</t>
        </is>
      </c>
      <c r="B445" s="1" t="n">
        <v>45531</v>
      </c>
      <c r="C445" s="1" t="n">
        <v>46065</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35593-2024</t>
        </is>
      </c>
      <c r="B446" s="1" t="n">
        <v>45531</v>
      </c>
      <c r="C446" s="1" t="n">
        <v>46065</v>
      </c>
      <c r="D446" t="inlineStr">
        <is>
          <t>VÄSTERNORRLANDS LÄN</t>
        </is>
      </c>
      <c r="E446" t="inlineStr">
        <is>
          <t>ÅNGE</t>
        </is>
      </c>
      <c r="G446" t="n">
        <v>17.6</v>
      </c>
      <c r="H446" t="n">
        <v>0</v>
      </c>
      <c r="I446" t="n">
        <v>0</v>
      </c>
      <c r="J446" t="n">
        <v>0</v>
      </c>
      <c r="K446" t="n">
        <v>0</v>
      </c>
      <c r="L446" t="n">
        <v>0</v>
      </c>
      <c r="M446" t="n">
        <v>0</v>
      </c>
      <c r="N446" t="n">
        <v>0</v>
      </c>
      <c r="O446" t="n">
        <v>0</v>
      </c>
      <c r="P446" t="n">
        <v>0</v>
      </c>
      <c r="Q446" t="n">
        <v>0</v>
      </c>
      <c r="R446" s="2" t="inlineStr"/>
    </row>
    <row r="447" ht="15" customHeight="1">
      <c r="A447" t="inlineStr">
        <is>
          <t>A 15369-2024</t>
        </is>
      </c>
      <c r="B447" s="1" t="n">
        <v>45400.92290509259</v>
      </c>
      <c r="C447" s="1" t="n">
        <v>46065</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27468-2024</t>
        </is>
      </c>
      <c r="B448" s="1" t="n">
        <v>45474</v>
      </c>
      <c r="C448" s="1" t="n">
        <v>46065</v>
      </c>
      <c r="D448" t="inlineStr">
        <is>
          <t>VÄSTERNORRLANDS LÄN</t>
        </is>
      </c>
      <c r="E448" t="inlineStr">
        <is>
          <t>ÅNGE</t>
        </is>
      </c>
      <c r="G448" t="n">
        <v>1.3</v>
      </c>
      <c r="H448" t="n">
        <v>0</v>
      </c>
      <c r="I448" t="n">
        <v>0</v>
      </c>
      <c r="J448" t="n">
        <v>0</v>
      </c>
      <c r="K448" t="n">
        <v>0</v>
      </c>
      <c r="L448" t="n">
        <v>0</v>
      </c>
      <c r="M448" t="n">
        <v>0</v>
      </c>
      <c r="N448" t="n">
        <v>0</v>
      </c>
      <c r="O448" t="n">
        <v>0</v>
      </c>
      <c r="P448" t="n">
        <v>0</v>
      </c>
      <c r="Q448" t="n">
        <v>0</v>
      </c>
      <c r="R448" s="2" t="inlineStr"/>
    </row>
    <row r="449" ht="15" customHeight="1">
      <c r="A449" t="inlineStr">
        <is>
          <t>A 9605-2025</t>
        </is>
      </c>
      <c r="B449" s="1" t="n">
        <v>45715.65657407408</v>
      </c>
      <c r="C449" s="1" t="n">
        <v>46065</v>
      </c>
      <c r="D449" t="inlineStr">
        <is>
          <t>VÄSTERNORRLANDS LÄN</t>
        </is>
      </c>
      <c r="E449" t="inlineStr">
        <is>
          <t>ÅNGE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30055-2024</t>
        </is>
      </c>
      <c r="B450" s="1" t="n">
        <v>45488.94767361111</v>
      </c>
      <c r="C450" s="1" t="n">
        <v>46065</v>
      </c>
      <c r="D450" t="inlineStr">
        <is>
          <t>VÄSTERNORRLANDS LÄN</t>
        </is>
      </c>
      <c r="E450" t="inlineStr">
        <is>
          <t>ÅNGE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20108-2025</t>
        </is>
      </c>
      <c r="B451" s="1" t="n">
        <v>45772.47006944445</v>
      </c>
      <c r="C451" s="1" t="n">
        <v>46065</v>
      </c>
      <c r="D451" t="inlineStr">
        <is>
          <t>VÄSTERNORRLANDS LÄN</t>
        </is>
      </c>
      <c r="E451" t="inlineStr">
        <is>
          <t>ÅNGE</t>
        </is>
      </c>
      <c r="F451" t="inlineStr">
        <is>
          <t>Naturvårdsverket</t>
        </is>
      </c>
      <c r="G451" t="n">
        <v>2</v>
      </c>
      <c r="H451" t="n">
        <v>0</v>
      </c>
      <c r="I451" t="n">
        <v>0</v>
      </c>
      <c r="J451" t="n">
        <v>0</v>
      </c>
      <c r="K451" t="n">
        <v>0</v>
      </c>
      <c r="L451" t="n">
        <v>0</v>
      </c>
      <c r="M451" t="n">
        <v>0</v>
      </c>
      <c r="N451" t="n">
        <v>0</v>
      </c>
      <c r="O451" t="n">
        <v>0</v>
      </c>
      <c r="P451" t="n">
        <v>0</v>
      </c>
      <c r="Q451" t="n">
        <v>0</v>
      </c>
      <c r="R451" s="2" t="inlineStr"/>
    </row>
    <row r="452" ht="15" customHeight="1">
      <c r="A452" t="inlineStr">
        <is>
          <t>A 41507-2024</t>
        </is>
      </c>
      <c r="B452" s="1" t="n">
        <v>45560</v>
      </c>
      <c r="C452" s="1" t="n">
        <v>46065</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6610-2025</t>
        </is>
      </c>
      <c r="B453" s="1" t="n">
        <v>45700</v>
      </c>
      <c r="C453" s="1" t="n">
        <v>46065</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17749-2025</t>
        </is>
      </c>
      <c r="B454" s="1" t="n">
        <v>45758.48380787037</v>
      </c>
      <c r="C454" s="1" t="n">
        <v>46065</v>
      </c>
      <c r="D454" t="inlineStr">
        <is>
          <t>VÄSTERNORRLANDS LÄN</t>
        </is>
      </c>
      <c r="E454" t="inlineStr">
        <is>
          <t>ÅNGE</t>
        </is>
      </c>
      <c r="G454" t="n">
        <v>7.3</v>
      </c>
      <c r="H454" t="n">
        <v>0</v>
      </c>
      <c r="I454" t="n">
        <v>0</v>
      </c>
      <c r="J454" t="n">
        <v>0</v>
      </c>
      <c r="K454" t="n">
        <v>0</v>
      </c>
      <c r="L454" t="n">
        <v>0</v>
      </c>
      <c r="M454" t="n">
        <v>0</v>
      </c>
      <c r="N454" t="n">
        <v>0</v>
      </c>
      <c r="O454" t="n">
        <v>0</v>
      </c>
      <c r="P454" t="n">
        <v>0</v>
      </c>
      <c r="Q454" t="n">
        <v>0</v>
      </c>
      <c r="R454" s="2" t="inlineStr"/>
    </row>
    <row r="455" ht="15" customHeight="1">
      <c r="A455" t="inlineStr">
        <is>
          <t>A 16853-2023</t>
        </is>
      </c>
      <c r="B455" s="1" t="n">
        <v>45033</v>
      </c>
      <c r="C455" s="1" t="n">
        <v>46065</v>
      </c>
      <c r="D455" t="inlineStr">
        <is>
          <t>VÄSTERNORRLANDS LÄN</t>
        </is>
      </c>
      <c r="E455" t="inlineStr">
        <is>
          <t>ÅNGE</t>
        </is>
      </c>
      <c r="G455" t="n">
        <v>0.7</v>
      </c>
      <c r="H455" t="n">
        <v>0</v>
      </c>
      <c r="I455" t="n">
        <v>0</v>
      </c>
      <c r="J455" t="n">
        <v>0</v>
      </c>
      <c r="K455" t="n">
        <v>0</v>
      </c>
      <c r="L455" t="n">
        <v>0</v>
      </c>
      <c r="M455" t="n">
        <v>0</v>
      </c>
      <c r="N455" t="n">
        <v>0</v>
      </c>
      <c r="O455" t="n">
        <v>0</v>
      </c>
      <c r="P455" t="n">
        <v>0</v>
      </c>
      <c r="Q455" t="n">
        <v>0</v>
      </c>
      <c r="R455" s="2" t="inlineStr"/>
    </row>
    <row r="456" ht="15" customHeight="1">
      <c r="A456" t="inlineStr">
        <is>
          <t>A 42044-2024</t>
        </is>
      </c>
      <c r="B456" s="1" t="n">
        <v>45561</v>
      </c>
      <c r="C456" s="1" t="n">
        <v>46065</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26011-2024</t>
        </is>
      </c>
      <c r="B457" s="1" t="n">
        <v>45467.95828703704</v>
      </c>
      <c r="C457" s="1" t="n">
        <v>46065</v>
      </c>
      <c r="D457" t="inlineStr">
        <is>
          <t>VÄSTERNORRLANDS LÄN</t>
        </is>
      </c>
      <c r="E457" t="inlineStr">
        <is>
          <t>ÅNGE</t>
        </is>
      </c>
      <c r="F457" t="inlineStr">
        <is>
          <t>SCA</t>
        </is>
      </c>
      <c r="G457" t="n">
        <v>4.5</v>
      </c>
      <c r="H457" t="n">
        <v>0</v>
      </c>
      <c r="I457" t="n">
        <v>0</v>
      </c>
      <c r="J457" t="n">
        <v>0</v>
      </c>
      <c r="K457" t="n">
        <v>0</v>
      </c>
      <c r="L457" t="n">
        <v>0</v>
      </c>
      <c r="M457" t="n">
        <v>0</v>
      </c>
      <c r="N457" t="n">
        <v>0</v>
      </c>
      <c r="O457" t="n">
        <v>0</v>
      </c>
      <c r="P457" t="n">
        <v>0</v>
      </c>
      <c r="Q457" t="n">
        <v>0</v>
      </c>
      <c r="R457" s="2" t="inlineStr"/>
    </row>
    <row r="458" ht="15" customHeight="1">
      <c r="A458" t="inlineStr">
        <is>
          <t>A 26014-2024</t>
        </is>
      </c>
      <c r="B458" s="1" t="n">
        <v>45467.95862268518</v>
      </c>
      <c r="C458" s="1" t="n">
        <v>46065</v>
      </c>
      <c r="D458" t="inlineStr">
        <is>
          <t>VÄSTERNORRLANDS LÄN</t>
        </is>
      </c>
      <c r="E458" t="inlineStr">
        <is>
          <t>ÅNGE</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26019-2024</t>
        </is>
      </c>
      <c r="B459" s="1" t="n">
        <v>45467.96015046296</v>
      </c>
      <c r="C459" s="1" t="n">
        <v>46065</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3256-2024</t>
        </is>
      </c>
      <c r="B460" s="1" t="n">
        <v>45316</v>
      </c>
      <c r="C460" s="1" t="n">
        <v>46065</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63709-2023</t>
        </is>
      </c>
      <c r="B461" s="1" t="n">
        <v>45275.95069444444</v>
      </c>
      <c r="C461" s="1" t="n">
        <v>46065</v>
      </c>
      <c r="D461" t="inlineStr">
        <is>
          <t>VÄSTERNORRLANDS LÄN</t>
        </is>
      </c>
      <c r="E461" t="inlineStr">
        <is>
          <t>ÅNGE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34091-2022</t>
        </is>
      </c>
      <c r="B462" s="1" t="n">
        <v>44791</v>
      </c>
      <c r="C462" s="1" t="n">
        <v>46065</v>
      </c>
      <c r="D462" t="inlineStr">
        <is>
          <t>VÄSTERNORRLANDS LÄN</t>
        </is>
      </c>
      <c r="E462" t="inlineStr">
        <is>
          <t>ÅNGE</t>
        </is>
      </c>
      <c r="G462" t="n">
        <v>10.1</v>
      </c>
      <c r="H462" t="n">
        <v>0</v>
      </c>
      <c r="I462" t="n">
        <v>0</v>
      </c>
      <c r="J462" t="n">
        <v>0</v>
      </c>
      <c r="K462" t="n">
        <v>0</v>
      </c>
      <c r="L462" t="n">
        <v>0</v>
      </c>
      <c r="M462" t="n">
        <v>0</v>
      </c>
      <c r="N462" t="n">
        <v>0</v>
      </c>
      <c r="O462" t="n">
        <v>0</v>
      </c>
      <c r="P462" t="n">
        <v>0</v>
      </c>
      <c r="Q462" t="n">
        <v>0</v>
      </c>
      <c r="R462" s="2" t="inlineStr"/>
    </row>
    <row r="463" ht="15" customHeight="1">
      <c r="A463" t="inlineStr">
        <is>
          <t>A 14889-2022</t>
        </is>
      </c>
      <c r="B463" s="1" t="n">
        <v>44656</v>
      </c>
      <c r="C463" s="1" t="n">
        <v>46065</v>
      </c>
      <c r="D463" t="inlineStr">
        <is>
          <t>VÄSTERNORRLANDS LÄN</t>
        </is>
      </c>
      <c r="E463" t="inlineStr">
        <is>
          <t>ÅNGE</t>
        </is>
      </c>
      <c r="G463" t="n">
        <v>14</v>
      </c>
      <c r="H463" t="n">
        <v>0</v>
      </c>
      <c r="I463" t="n">
        <v>0</v>
      </c>
      <c r="J463" t="n">
        <v>0</v>
      </c>
      <c r="K463" t="n">
        <v>0</v>
      </c>
      <c r="L463" t="n">
        <v>0</v>
      </c>
      <c r="M463" t="n">
        <v>0</v>
      </c>
      <c r="N463" t="n">
        <v>0</v>
      </c>
      <c r="O463" t="n">
        <v>0</v>
      </c>
      <c r="P463" t="n">
        <v>0</v>
      </c>
      <c r="Q463" t="n">
        <v>0</v>
      </c>
      <c r="R463" s="2" t="inlineStr"/>
    </row>
    <row r="464" ht="15" customHeight="1">
      <c r="A464" t="inlineStr">
        <is>
          <t>A 46351-2022</t>
        </is>
      </c>
      <c r="B464" s="1" t="n">
        <v>44847</v>
      </c>
      <c r="C464" s="1" t="n">
        <v>46065</v>
      </c>
      <c r="D464" t="inlineStr">
        <is>
          <t>VÄSTERNORRLANDS LÄN</t>
        </is>
      </c>
      <c r="E464" t="inlineStr">
        <is>
          <t>ÅNGE</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14751-2025</t>
        </is>
      </c>
      <c r="B465" s="1" t="n">
        <v>45742.65863425926</v>
      </c>
      <c r="C465" s="1" t="n">
        <v>46065</v>
      </c>
      <c r="D465" t="inlineStr">
        <is>
          <t>VÄSTERNORRLANDS LÄN</t>
        </is>
      </c>
      <c r="E465" t="inlineStr">
        <is>
          <t>ÅNGE</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10339-2025</t>
        </is>
      </c>
      <c r="B466" s="1" t="n">
        <v>45720</v>
      </c>
      <c r="C466" s="1" t="n">
        <v>46065</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41083-2024</t>
        </is>
      </c>
      <c r="B467" s="1" t="n">
        <v>45559.40684027778</v>
      </c>
      <c r="C467" s="1" t="n">
        <v>46065</v>
      </c>
      <c r="D467" t="inlineStr">
        <is>
          <t>VÄSTERNORRLANDS LÄN</t>
        </is>
      </c>
      <c r="E467" t="inlineStr">
        <is>
          <t>ÅNGE</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41766-2024</t>
        </is>
      </c>
      <c r="B468" s="1" t="n">
        <v>45561.34594907407</v>
      </c>
      <c r="C468" s="1" t="n">
        <v>46065</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35577-2024</t>
        </is>
      </c>
      <c r="B469" s="1" t="n">
        <v>45531</v>
      </c>
      <c r="C469" s="1" t="n">
        <v>46065</v>
      </c>
      <c r="D469" t="inlineStr">
        <is>
          <t>VÄSTERNORRLANDS LÄN</t>
        </is>
      </c>
      <c r="E469" t="inlineStr">
        <is>
          <t>ÅNGE</t>
        </is>
      </c>
      <c r="F469" t="inlineStr">
        <is>
          <t>SCA</t>
        </is>
      </c>
      <c r="G469" t="n">
        <v>0.1</v>
      </c>
      <c r="H469" t="n">
        <v>0</v>
      </c>
      <c r="I469" t="n">
        <v>0</v>
      </c>
      <c r="J469" t="n">
        <v>0</v>
      </c>
      <c r="K469" t="n">
        <v>0</v>
      </c>
      <c r="L469" t="n">
        <v>0</v>
      </c>
      <c r="M469" t="n">
        <v>0</v>
      </c>
      <c r="N469" t="n">
        <v>0</v>
      </c>
      <c r="O469" t="n">
        <v>0</v>
      </c>
      <c r="P469" t="n">
        <v>0</v>
      </c>
      <c r="Q469" t="n">
        <v>0</v>
      </c>
      <c r="R469" s="2" t="inlineStr"/>
    </row>
    <row r="470" ht="15" customHeight="1">
      <c r="A470" t="inlineStr">
        <is>
          <t>A 35580-2024</t>
        </is>
      </c>
      <c r="B470" s="1" t="n">
        <v>45531</v>
      </c>
      <c r="C470" s="1" t="n">
        <v>46065</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44413-2022</t>
        </is>
      </c>
      <c r="B471" s="1" t="n">
        <v>44839.92630787037</v>
      </c>
      <c r="C471" s="1" t="n">
        <v>46065</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60817-2024</t>
        </is>
      </c>
      <c r="B472" s="1" t="n">
        <v>45644</v>
      </c>
      <c r="C472" s="1" t="n">
        <v>46065</v>
      </c>
      <c r="D472" t="inlineStr">
        <is>
          <t>VÄSTERNORRLANDS LÄN</t>
        </is>
      </c>
      <c r="E472" t="inlineStr">
        <is>
          <t>ÅNGE</t>
        </is>
      </c>
      <c r="G472" t="n">
        <v>3.2</v>
      </c>
      <c r="H472" t="n">
        <v>0</v>
      </c>
      <c r="I472" t="n">
        <v>0</v>
      </c>
      <c r="J472" t="n">
        <v>0</v>
      </c>
      <c r="K472" t="n">
        <v>0</v>
      </c>
      <c r="L472" t="n">
        <v>0</v>
      </c>
      <c r="M472" t="n">
        <v>0</v>
      </c>
      <c r="N472" t="n">
        <v>0</v>
      </c>
      <c r="O472" t="n">
        <v>0</v>
      </c>
      <c r="P472" t="n">
        <v>0</v>
      </c>
      <c r="Q472" t="n">
        <v>0</v>
      </c>
      <c r="R472" s="2" t="inlineStr"/>
    </row>
    <row r="473" ht="15" customHeight="1">
      <c r="A473" t="inlineStr">
        <is>
          <t>A 23225-2024</t>
        </is>
      </c>
      <c r="B473" s="1" t="n">
        <v>45452.9490162037</v>
      </c>
      <c r="C473" s="1" t="n">
        <v>46065</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18067-2025</t>
        </is>
      </c>
      <c r="B474" s="1" t="n">
        <v>45761.49016203704</v>
      </c>
      <c r="C474" s="1" t="n">
        <v>46065</v>
      </c>
      <c r="D474" t="inlineStr">
        <is>
          <t>VÄSTERNORRLANDS LÄN</t>
        </is>
      </c>
      <c r="E474" t="inlineStr">
        <is>
          <t>ÅNGE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54342-2023</t>
        </is>
      </c>
      <c r="B475" s="1" t="n">
        <v>45232</v>
      </c>
      <c r="C475" s="1" t="n">
        <v>46065</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51024-2024</t>
        </is>
      </c>
      <c r="B476" s="1" t="n">
        <v>45603.4141087963</v>
      </c>
      <c r="C476" s="1" t="n">
        <v>46065</v>
      </c>
      <c r="D476" t="inlineStr">
        <is>
          <t>VÄSTERNORRLANDS LÄN</t>
        </is>
      </c>
      <c r="E476" t="inlineStr">
        <is>
          <t>ÅNGE</t>
        </is>
      </c>
      <c r="G476" t="n">
        <v>8.9</v>
      </c>
      <c r="H476" t="n">
        <v>0</v>
      </c>
      <c r="I476" t="n">
        <v>0</v>
      </c>
      <c r="J476" t="n">
        <v>0</v>
      </c>
      <c r="K476" t="n">
        <v>0</v>
      </c>
      <c r="L476" t="n">
        <v>0</v>
      </c>
      <c r="M476" t="n">
        <v>0</v>
      </c>
      <c r="N476" t="n">
        <v>0</v>
      </c>
      <c r="O476" t="n">
        <v>0</v>
      </c>
      <c r="P476" t="n">
        <v>0</v>
      </c>
      <c r="Q476" t="n">
        <v>0</v>
      </c>
      <c r="R476" s="2" t="inlineStr"/>
    </row>
    <row r="477" ht="15" customHeight="1">
      <c r="A477" t="inlineStr">
        <is>
          <t>A 33305-2024</t>
        </is>
      </c>
      <c r="B477" s="1" t="n">
        <v>45518</v>
      </c>
      <c r="C477" s="1" t="n">
        <v>46065</v>
      </c>
      <c r="D477" t="inlineStr">
        <is>
          <t>VÄSTERNORRLANDS LÄN</t>
        </is>
      </c>
      <c r="E477" t="inlineStr">
        <is>
          <t>ÅNGE</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33306-2024</t>
        </is>
      </c>
      <c r="B478" s="1" t="n">
        <v>45518</v>
      </c>
      <c r="C478" s="1" t="n">
        <v>46065</v>
      </c>
      <c r="D478" t="inlineStr">
        <is>
          <t>VÄSTERNORRLANDS LÄN</t>
        </is>
      </c>
      <c r="E478" t="inlineStr">
        <is>
          <t>ÅNGE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46255-2023</t>
        </is>
      </c>
      <c r="B479" s="1" t="n">
        <v>45196</v>
      </c>
      <c r="C479" s="1" t="n">
        <v>46065</v>
      </c>
      <c r="D479" t="inlineStr">
        <is>
          <t>VÄSTERNORRLANDS LÄN</t>
        </is>
      </c>
      <c r="E479" t="inlineStr">
        <is>
          <t>ÅNGE</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1095-2023</t>
        </is>
      </c>
      <c r="B480" s="1" t="n">
        <v>44929</v>
      </c>
      <c r="C480" s="1" t="n">
        <v>46065</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64121-2021</t>
        </is>
      </c>
      <c r="B481" s="1" t="n">
        <v>44510.4730787037</v>
      </c>
      <c r="C481" s="1" t="n">
        <v>46065</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7535-2023</t>
        </is>
      </c>
      <c r="B482" s="1" t="n">
        <v>44971</v>
      </c>
      <c r="C482" s="1" t="n">
        <v>46065</v>
      </c>
      <c r="D482" t="inlineStr">
        <is>
          <t>VÄSTERNORRLANDS LÄN</t>
        </is>
      </c>
      <c r="E482" t="inlineStr">
        <is>
          <t>ÅNGE</t>
        </is>
      </c>
      <c r="F482" t="inlineStr">
        <is>
          <t>SCA</t>
        </is>
      </c>
      <c r="G482" t="n">
        <v>14.6</v>
      </c>
      <c r="H482" t="n">
        <v>0</v>
      </c>
      <c r="I482" t="n">
        <v>0</v>
      </c>
      <c r="J482" t="n">
        <v>0</v>
      </c>
      <c r="K482" t="n">
        <v>0</v>
      </c>
      <c r="L482" t="n">
        <v>0</v>
      </c>
      <c r="M482" t="n">
        <v>0</v>
      </c>
      <c r="N482" t="n">
        <v>0</v>
      </c>
      <c r="O482" t="n">
        <v>0</v>
      </c>
      <c r="P482" t="n">
        <v>0</v>
      </c>
      <c r="Q482" t="n">
        <v>0</v>
      </c>
      <c r="R482" s="2" t="inlineStr"/>
    </row>
    <row r="483" ht="15" customHeight="1">
      <c r="A483" t="inlineStr">
        <is>
          <t>A 2365-2024</t>
        </is>
      </c>
      <c r="B483" s="1" t="n">
        <v>45310.59778935185</v>
      </c>
      <c r="C483" s="1" t="n">
        <v>46065</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2372-2024</t>
        </is>
      </c>
      <c r="B484" s="1" t="n">
        <v>45310.6115625</v>
      </c>
      <c r="C484" s="1" t="n">
        <v>46065</v>
      </c>
      <c r="D484" t="inlineStr">
        <is>
          <t>VÄSTERNORRLANDS LÄN</t>
        </is>
      </c>
      <c r="E484" t="inlineStr">
        <is>
          <t>ÅNGE</t>
        </is>
      </c>
      <c r="G484" t="n">
        <v>5.6</v>
      </c>
      <c r="H484" t="n">
        <v>0</v>
      </c>
      <c r="I484" t="n">
        <v>0</v>
      </c>
      <c r="J484" t="n">
        <v>0</v>
      </c>
      <c r="K484" t="n">
        <v>0</v>
      </c>
      <c r="L484" t="n">
        <v>0</v>
      </c>
      <c r="M484" t="n">
        <v>0</v>
      </c>
      <c r="N484" t="n">
        <v>0</v>
      </c>
      <c r="O484" t="n">
        <v>0</v>
      </c>
      <c r="P484" t="n">
        <v>0</v>
      </c>
      <c r="Q484" t="n">
        <v>0</v>
      </c>
      <c r="R484" s="2" t="inlineStr"/>
    </row>
    <row r="485" ht="15" customHeight="1">
      <c r="A485" t="inlineStr">
        <is>
          <t>A 17452-2025</t>
        </is>
      </c>
      <c r="B485" s="1" t="n">
        <v>45757.44842592593</v>
      </c>
      <c r="C485" s="1" t="n">
        <v>46065</v>
      </c>
      <c r="D485" t="inlineStr">
        <is>
          <t>VÄSTERNORRLANDS LÄN</t>
        </is>
      </c>
      <c r="E485" t="inlineStr">
        <is>
          <t>ÅNGE</t>
        </is>
      </c>
      <c r="F485" t="inlineStr">
        <is>
          <t>SCA</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42881-2024</t>
        </is>
      </c>
      <c r="B486" s="1" t="n">
        <v>45566.70916666667</v>
      </c>
      <c r="C486" s="1" t="n">
        <v>46065</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37038-2024</t>
        </is>
      </c>
      <c r="B487" s="1" t="n">
        <v>45539.40881944444</v>
      </c>
      <c r="C487" s="1" t="n">
        <v>46065</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22752-2023</t>
        </is>
      </c>
      <c r="B488" s="1" t="n">
        <v>45071.94104166667</v>
      </c>
      <c r="C488" s="1" t="n">
        <v>46065</v>
      </c>
      <c r="D488" t="inlineStr">
        <is>
          <t>VÄSTERNORRLANDS LÄN</t>
        </is>
      </c>
      <c r="E488" t="inlineStr">
        <is>
          <t>ÅNGE</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60779-2024</t>
        </is>
      </c>
      <c r="B489" s="1" t="n">
        <v>45644</v>
      </c>
      <c r="C489" s="1" t="n">
        <v>46065</v>
      </c>
      <c r="D489" t="inlineStr">
        <is>
          <t>VÄSTERNORRLANDS LÄN</t>
        </is>
      </c>
      <c r="E489" t="inlineStr">
        <is>
          <t>ÅNGE</t>
        </is>
      </c>
      <c r="G489" t="n">
        <v>3.1</v>
      </c>
      <c r="H489" t="n">
        <v>0</v>
      </c>
      <c r="I489" t="n">
        <v>0</v>
      </c>
      <c r="J489" t="n">
        <v>0</v>
      </c>
      <c r="K489" t="n">
        <v>0</v>
      </c>
      <c r="L489" t="n">
        <v>0</v>
      </c>
      <c r="M489" t="n">
        <v>0</v>
      </c>
      <c r="N489" t="n">
        <v>0</v>
      </c>
      <c r="O489" t="n">
        <v>0</v>
      </c>
      <c r="P489" t="n">
        <v>0</v>
      </c>
      <c r="Q489" t="n">
        <v>0</v>
      </c>
      <c r="R489" s="2" t="inlineStr"/>
    </row>
    <row r="490" ht="15" customHeight="1">
      <c r="A490" t="inlineStr">
        <is>
          <t>A 28428-2023</t>
        </is>
      </c>
      <c r="B490" s="1" t="n">
        <v>45102</v>
      </c>
      <c r="C490" s="1" t="n">
        <v>46065</v>
      </c>
      <c r="D490" t="inlineStr">
        <is>
          <t>VÄSTERNORRLANDS LÄN</t>
        </is>
      </c>
      <c r="E490" t="inlineStr">
        <is>
          <t>ÅNGE</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43366-2024</t>
        </is>
      </c>
      <c r="B491" s="1" t="n">
        <v>45568</v>
      </c>
      <c r="C491" s="1" t="n">
        <v>46065</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21200-2024</t>
        </is>
      </c>
      <c r="B492" s="1" t="n">
        <v>45440</v>
      </c>
      <c r="C492" s="1" t="n">
        <v>46065</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51383-2022</t>
        </is>
      </c>
      <c r="B493" s="1" t="n">
        <v>44866</v>
      </c>
      <c r="C493" s="1" t="n">
        <v>46065</v>
      </c>
      <c r="D493" t="inlineStr">
        <is>
          <t>VÄSTERNORRLANDS LÄN</t>
        </is>
      </c>
      <c r="E493" t="inlineStr">
        <is>
          <t>ÅNGE</t>
        </is>
      </c>
      <c r="G493" t="n">
        <v>1.5</v>
      </c>
      <c r="H493" t="n">
        <v>0</v>
      </c>
      <c r="I493" t="n">
        <v>0</v>
      </c>
      <c r="J493" t="n">
        <v>0</v>
      </c>
      <c r="K493" t="n">
        <v>0</v>
      </c>
      <c r="L493" t="n">
        <v>0</v>
      </c>
      <c r="M493" t="n">
        <v>0</v>
      </c>
      <c r="N493" t="n">
        <v>0</v>
      </c>
      <c r="O493" t="n">
        <v>0</v>
      </c>
      <c r="P493" t="n">
        <v>0</v>
      </c>
      <c r="Q493" t="n">
        <v>0</v>
      </c>
      <c r="R493" s="2" t="inlineStr"/>
    </row>
    <row r="494" ht="15" customHeight="1">
      <c r="A494" t="inlineStr">
        <is>
          <t>A 51393-2022</t>
        </is>
      </c>
      <c r="B494" s="1" t="n">
        <v>44869.43277777778</v>
      </c>
      <c r="C494" s="1" t="n">
        <v>46065</v>
      </c>
      <c r="D494" t="inlineStr">
        <is>
          <t>VÄSTERNORRLANDS LÄN</t>
        </is>
      </c>
      <c r="E494" t="inlineStr">
        <is>
          <t>ÅNGE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34491-2023</t>
        </is>
      </c>
      <c r="B495" s="1" t="n">
        <v>45139.94775462963</v>
      </c>
      <c r="C495" s="1" t="n">
        <v>46065</v>
      </c>
      <c r="D495" t="inlineStr">
        <is>
          <t>VÄSTERNORRLANDS LÄN</t>
        </is>
      </c>
      <c r="E495" t="inlineStr">
        <is>
          <t>ÅNGE</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10089-2023</t>
        </is>
      </c>
      <c r="B496" s="1" t="n">
        <v>44985</v>
      </c>
      <c r="C496" s="1" t="n">
        <v>46065</v>
      </c>
      <c r="D496" t="inlineStr">
        <is>
          <t>VÄSTERNORRLANDS LÄN</t>
        </is>
      </c>
      <c r="E496" t="inlineStr">
        <is>
          <t>ÅNGE</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10090-2023</t>
        </is>
      </c>
      <c r="B497" s="1" t="n">
        <v>44985.94511574074</v>
      </c>
      <c r="C497" s="1" t="n">
        <v>46065</v>
      </c>
      <c r="D497" t="inlineStr">
        <is>
          <t>VÄSTERNORRLANDS LÄN</t>
        </is>
      </c>
      <c r="E497" t="inlineStr">
        <is>
          <t>ÅNGE</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39005-2024</t>
        </is>
      </c>
      <c r="B498" s="1" t="n">
        <v>45548.42743055556</v>
      </c>
      <c r="C498" s="1" t="n">
        <v>46065</v>
      </c>
      <c r="D498" t="inlineStr">
        <is>
          <t>VÄSTERNORRLANDS LÄN</t>
        </is>
      </c>
      <c r="E498" t="inlineStr">
        <is>
          <t>ÅNGE</t>
        </is>
      </c>
      <c r="F498" t="inlineStr">
        <is>
          <t>SCA</t>
        </is>
      </c>
      <c r="G498" t="n">
        <v>2.6</v>
      </c>
      <c r="H498" t="n">
        <v>0</v>
      </c>
      <c r="I498" t="n">
        <v>0</v>
      </c>
      <c r="J498" t="n">
        <v>0</v>
      </c>
      <c r="K498" t="n">
        <v>0</v>
      </c>
      <c r="L498" t="n">
        <v>0</v>
      </c>
      <c r="M498" t="n">
        <v>0</v>
      </c>
      <c r="N498" t="n">
        <v>0</v>
      </c>
      <c r="O498" t="n">
        <v>0</v>
      </c>
      <c r="P498" t="n">
        <v>0</v>
      </c>
      <c r="Q498" t="n">
        <v>0</v>
      </c>
      <c r="R498" s="2" t="inlineStr"/>
      <c r="U498">
        <f>HYPERLINK("https://klasma.github.io/Logging_2260/knärot/A 39005-2024 karta knärot.png", "A 39005-2024")</f>
        <v/>
      </c>
      <c r="V498">
        <f>HYPERLINK("https://klasma.github.io/Logging_2260/klagomål/A 39005-2024 FSC-klagomål.docx", "A 39005-2024")</f>
        <v/>
      </c>
      <c r="W498">
        <f>HYPERLINK("https://klasma.github.io/Logging_2260/klagomålsmail/A 39005-2024 FSC-klagomål mail.docx", "A 39005-2024")</f>
        <v/>
      </c>
      <c r="X498">
        <f>HYPERLINK("https://klasma.github.io/Logging_2260/tillsyn/A 39005-2024 tillsynsbegäran.docx", "A 39005-2024")</f>
        <v/>
      </c>
      <c r="Y498">
        <f>HYPERLINK("https://klasma.github.io/Logging_2260/tillsynsmail/A 39005-2024 tillsynsbegäran mail.docx", "A 39005-2024")</f>
        <v/>
      </c>
    </row>
    <row r="499" ht="15" customHeight="1">
      <c r="A499" t="inlineStr">
        <is>
          <t>A 20761-2024</t>
        </is>
      </c>
      <c r="B499" s="1" t="n">
        <v>45436</v>
      </c>
      <c r="C499" s="1" t="n">
        <v>46065</v>
      </c>
      <c r="D499" t="inlineStr">
        <is>
          <t>VÄSTERNORRLANDS LÄN</t>
        </is>
      </c>
      <c r="E499" t="inlineStr">
        <is>
          <t>ÅNGE</t>
        </is>
      </c>
      <c r="G499" t="n">
        <v>1.1</v>
      </c>
      <c r="H499" t="n">
        <v>0</v>
      </c>
      <c r="I499" t="n">
        <v>0</v>
      </c>
      <c r="J499" t="n">
        <v>0</v>
      </c>
      <c r="K499" t="n">
        <v>0</v>
      </c>
      <c r="L499" t="n">
        <v>0</v>
      </c>
      <c r="M499" t="n">
        <v>0</v>
      </c>
      <c r="N499" t="n">
        <v>0</v>
      </c>
      <c r="O499" t="n">
        <v>0</v>
      </c>
      <c r="P499" t="n">
        <v>0</v>
      </c>
      <c r="Q499" t="n">
        <v>0</v>
      </c>
      <c r="R499" s="2" t="inlineStr"/>
    </row>
    <row r="500" ht="15" customHeight="1">
      <c r="A500" t="inlineStr">
        <is>
          <t>A 42857-2022</t>
        </is>
      </c>
      <c r="B500" s="1" t="n">
        <v>44832</v>
      </c>
      <c r="C500" s="1" t="n">
        <v>46065</v>
      </c>
      <c r="D500" t="inlineStr">
        <is>
          <t>VÄSTERNORRLANDS LÄN</t>
        </is>
      </c>
      <c r="E500" t="inlineStr">
        <is>
          <t>ÅNGE</t>
        </is>
      </c>
      <c r="G500" t="n">
        <v>3.4</v>
      </c>
      <c r="H500" t="n">
        <v>0</v>
      </c>
      <c r="I500" t="n">
        <v>0</v>
      </c>
      <c r="J500" t="n">
        <v>0</v>
      </c>
      <c r="K500" t="n">
        <v>0</v>
      </c>
      <c r="L500" t="n">
        <v>0</v>
      </c>
      <c r="M500" t="n">
        <v>0</v>
      </c>
      <c r="N500" t="n">
        <v>0</v>
      </c>
      <c r="O500" t="n">
        <v>0</v>
      </c>
      <c r="P500" t="n">
        <v>0</v>
      </c>
      <c r="Q500" t="n">
        <v>0</v>
      </c>
      <c r="R500" s="2" t="inlineStr"/>
    </row>
    <row r="501" ht="15" customHeight="1">
      <c r="A501" t="inlineStr">
        <is>
          <t>A 57593-2022</t>
        </is>
      </c>
      <c r="B501" s="1" t="n">
        <v>44896.97847222222</v>
      </c>
      <c r="C501" s="1" t="n">
        <v>46065</v>
      </c>
      <c r="D501" t="inlineStr">
        <is>
          <t>VÄSTERNORRLANDS LÄN</t>
        </is>
      </c>
      <c r="E501" t="inlineStr">
        <is>
          <t>ÅNGE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57596-2022</t>
        </is>
      </c>
      <c r="B502" s="1" t="n">
        <v>44896.97871527778</v>
      </c>
      <c r="C502" s="1" t="n">
        <v>46065</v>
      </c>
      <c r="D502" t="inlineStr">
        <is>
          <t>VÄSTERNORRLANDS LÄN</t>
        </is>
      </c>
      <c r="E502" t="inlineStr">
        <is>
          <t>ÅNGE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59626-2022</t>
        </is>
      </c>
      <c r="B503" s="1" t="n">
        <v>44907.92354166666</v>
      </c>
      <c r="C503" s="1" t="n">
        <v>46065</v>
      </c>
      <c r="D503" t="inlineStr">
        <is>
          <t>VÄSTERNORRLANDS LÄN</t>
        </is>
      </c>
      <c r="E503" t="inlineStr">
        <is>
          <t>ÅNGE</t>
        </is>
      </c>
      <c r="G503" t="n">
        <v>1.4</v>
      </c>
      <c r="H503" t="n">
        <v>0</v>
      </c>
      <c r="I503" t="n">
        <v>0</v>
      </c>
      <c r="J503" t="n">
        <v>0</v>
      </c>
      <c r="K503" t="n">
        <v>0</v>
      </c>
      <c r="L503" t="n">
        <v>0</v>
      </c>
      <c r="M503" t="n">
        <v>0</v>
      </c>
      <c r="N503" t="n">
        <v>0</v>
      </c>
      <c r="O503" t="n">
        <v>0</v>
      </c>
      <c r="P503" t="n">
        <v>0</v>
      </c>
      <c r="Q503" t="n">
        <v>0</v>
      </c>
      <c r="R503" s="2" t="inlineStr"/>
    </row>
    <row r="504" ht="15" customHeight="1">
      <c r="A504" t="inlineStr">
        <is>
          <t>A 15287-2025</t>
        </is>
      </c>
      <c r="B504" s="1" t="n">
        <v>45745</v>
      </c>
      <c r="C504" s="1" t="n">
        <v>46065</v>
      </c>
      <c r="D504" t="inlineStr">
        <is>
          <t>VÄSTERNORRLANDS LÄN</t>
        </is>
      </c>
      <c r="E504" t="inlineStr">
        <is>
          <t>ÅNGE</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15288-2025</t>
        </is>
      </c>
      <c r="B505" s="1" t="n">
        <v>45745.34423611111</v>
      </c>
      <c r="C505" s="1" t="n">
        <v>46065</v>
      </c>
      <c r="D505" t="inlineStr">
        <is>
          <t>VÄSTERNORRLANDS LÄN</t>
        </is>
      </c>
      <c r="E505" t="inlineStr">
        <is>
          <t>ÅNGE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3249-2024</t>
        </is>
      </c>
      <c r="B506" s="1" t="n">
        <v>45316</v>
      </c>
      <c r="C506" s="1" t="n">
        <v>46065</v>
      </c>
      <c r="D506" t="inlineStr">
        <is>
          <t>VÄSTERNORRLANDS LÄN</t>
        </is>
      </c>
      <c r="E506" t="inlineStr">
        <is>
          <t>ÅNGE</t>
        </is>
      </c>
      <c r="G506" t="n">
        <v>0.3</v>
      </c>
      <c r="H506" t="n">
        <v>0</v>
      </c>
      <c r="I506" t="n">
        <v>0</v>
      </c>
      <c r="J506" t="n">
        <v>0</v>
      </c>
      <c r="K506" t="n">
        <v>0</v>
      </c>
      <c r="L506" t="n">
        <v>0</v>
      </c>
      <c r="M506" t="n">
        <v>0</v>
      </c>
      <c r="N506" t="n">
        <v>0</v>
      </c>
      <c r="O506" t="n">
        <v>0</v>
      </c>
      <c r="P506" t="n">
        <v>0</v>
      </c>
      <c r="Q506" t="n">
        <v>0</v>
      </c>
      <c r="R506" s="2" t="inlineStr"/>
    </row>
    <row r="507" ht="15" customHeight="1">
      <c r="A507" t="inlineStr">
        <is>
          <t>A 41222-2024</t>
        </is>
      </c>
      <c r="B507" s="1" t="n">
        <v>45559.55306712963</v>
      </c>
      <c r="C507" s="1" t="n">
        <v>46065</v>
      </c>
      <c r="D507" t="inlineStr">
        <is>
          <t>VÄSTERNORRLANDS LÄN</t>
        </is>
      </c>
      <c r="E507" t="inlineStr">
        <is>
          <t>ÅNGE</t>
        </is>
      </c>
      <c r="G507" t="n">
        <v>0.4</v>
      </c>
      <c r="H507" t="n">
        <v>0</v>
      </c>
      <c r="I507" t="n">
        <v>0</v>
      </c>
      <c r="J507" t="n">
        <v>0</v>
      </c>
      <c r="K507" t="n">
        <v>0</v>
      </c>
      <c r="L507" t="n">
        <v>0</v>
      </c>
      <c r="M507" t="n">
        <v>0</v>
      </c>
      <c r="N507" t="n">
        <v>0</v>
      </c>
      <c r="O507" t="n">
        <v>0</v>
      </c>
      <c r="P507" t="n">
        <v>0</v>
      </c>
      <c r="Q507" t="n">
        <v>0</v>
      </c>
      <c r="R507" s="2" t="inlineStr"/>
    </row>
    <row r="508" ht="15" customHeight="1">
      <c r="A508" t="inlineStr">
        <is>
          <t>A 58997-2023</t>
        </is>
      </c>
      <c r="B508" s="1" t="n">
        <v>45252.6352662037</v>
      </c>
      <c r="C508" s="1" t="n">
        <v>46065</v>
      </c>
      <c r="D508" t="inlineStr">
        <is>
          <t>VÄSTERNORRLANDS LÄN</t>
        </is>
      </c>
      <c r="E508" t="inlineStr">
        <is>
          <t>ÅNGE</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13091-2024</t>
        </is>
      </c>
      <c r="B509" s="1" t="n">
        <v>45385</v>
      </c>
      <c r="C509" s="1" t="n">
        <v>46065</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9759-2024</t>
        </is>
      </c>
      <c r="B510" s="1" t="n">
        <v>45362</v>
      </c>
      <c r="C510" s="1" t="n">
        <v>46065</v>
      </c>
      <c r="D510" t="inlineStr">
        <is>
          <t>VÄSTERNORRLANDS LÄN</t>
        </is>
      </c>
      <c r="E510" t="inlineStr">
        <is>
          <t>ÅNGE</t>
        </is>
      </c>
      <c r="G510" t="n">
        <v>2.5</v>
      </c>
      <c r="H510" t="n">
        <v>0</v>
      </c>
      <c r="I510" t="n">
        <v>0</v>
      </c>
      <c r="J510" t="n">
        <v>0</v>
      </c>
      <c r="K510" t="n">
        <v>0</v>
      </c>
      <c r="L510" t="n">
        <v>0</v>
      </c>
      <c r="M510" t="n">
        <v>0</v>
      </c>
      <c r="N510" t="n">
        <v>0</v>
      </c>
      <c r="O510" t="n">
        <v>0</v>
      </c>
      <c r="P510" t="n">
        <v>0</v>
      </c>
      <c r="Q510" t="n">
        <v>0</v>
      </c>
      <c r="R510" s="2" t="inlineStr"/>
    </row>
    <row r="511" ht="15" customHeight="1">
      <c r="A511" t="inlineStr">
        <is>
          <t>A 3624-2024</t>
        </is>
      </c>
      <c r="B511" s="1" t="n">
        <v>45320.95305555555</v>
      </c>
      <c r="C511" s="1" t="n">
        <v>46065</v>
      </c>
      <c r="D511" t="inlineStr">
        <is>
          <t>VÄSTERNORRLANDS LÄN</t>
        </is>
      </c>
      <c r="E511" t="inlineStr">
        <is>
          <t>ÅNGE</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1127-2023</t>
        </is>
      </c>
      <c r="B512" s="1" t="n">
        <v>44929</v>
      </c>
      <c r="C512" s="1" t="n">
        <v>46065</v>
      </c>
      <c r="D512" t="inlineStr">
        <is>
          <t>VÄSTERNORRLANDS LÄN</t>
        </is>
      </c>
      <c r="E512" t="inlineStr">
        <is>
          <t>ÅNGE</t>
        </is>
      </c>
      <c r="G512" t="n">
        <v>10.5</v>
      </c>
      <c r="H512" t="n">
        <v>0</v>
      </c>
      <c r="I512" t="n">
        <v>0</v>
      </c>
      <c r="J512" t="n">
        <v>0</v>
      </c>
      <c r="K512" t="n">
        <v>0</v>
      </c>
      <c r="L512" t="n">
        <v>0</v>
      </c>
      <c r="M512" t="n">
        <v>0</v>
      </c>
      <c r="N512" t="n">
        <v>0</v>
      </c>
      <c r="O512" t="n">
        <v>0</v>
      </c>
      <c r="P512" t="n">
        <v>0</v>
      </c>
      <c r="Q512" t="n">
        <v>0</v>
      </c>
      <c r="R512" s="2" t="inlineStr"/>
    </row>
    <row r="513" ht="15" customHeight="1">
      <c r="A513" t="inlineStr">
        <is>
          <t>A 47792-2022</t>
        </is>
      </c>
      <c r="B513" s="1" t="n">
        <v>44854.95238425926</v>
      </c>
      <c r="C513" s="1" t="n">
        <v>46065</v>
      </c>
      <c r="D513" t="inlineStr">
        <is>
          <t>VÄSTERNORRLANDS LÄN</t>
        </is>
      </c>
      <c r="E513" t="inlineStr">
        <is>
          <t>ÅNGE</t>
        </is>
      </c>
      <c r="F513" t="inlineStr">
        <is>
          <t>SCA</t>
        </is>
      </c>
      <c r="G513" t="n">
        <v>10.9</v>
      </c>
      <c r="H513" t="n">
        <v>0</v>
      </c>
      <c r="I513" t="n">
        <v>0</v>
      </c>
      <c r="J513" t="n">
        <v>0</v>
      </c>
      <c r="K513" t="n">
        <v>0</v>
      </c>
      <c r="L513" t="n">
        <v>0</v>
      </c>
      <c r="M513" t="n">
        <v>0</v>
      </c>
      <c r="N513" t="n">
        <v>0</v>
      </c>
      <c r="O513" t="n">
        <v>0</v>
      </c>
      <c r="P513" t="n">
        <v>0</v>
      </c>
      <c r="Q513" t="n">
        <v>0</v>
      </c>
      <c r="R513" s="2" t="inlineStr"/>
    </row>
    <row r="514" ht="15" customHeight="1">
      <c r="A514" t="inlineStr">
        <is>
          <t>A 18869-2024</t>
        </is>
      </c>
      <c r="B514" s="1" t="n">
        <v>45426</v>
      </c>
      <c r="C514" s="1" t="n">
        <v>46065</v>
      </c>
      <c r="D514" t="inlineStr">
        <is>
          <t>VÄSTERNORRLANDS LÄN</t>
        </is>
      </c>
      <c r="E514" t="inlineStr">
        <is>
          <t>ÅNGE</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24797-2024</t>
        </is>
      </c>
      <c r="B515" s="1" t="n">
        <v>45460.95269675926</v>
      </c>
      <c r="C515" s="1" t="n">
        <v>46065</v>
      </c>
      <c r="D515" t="inlineStr">
        <is>
          <t>VÄSTERNORRLANDS LÄN</t>
        </is>
      </c>
      <c r="E515" t="inlineStr">
        <is>
          <t>ÅNGE</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41781-2024</t>
        </is>
      </c>
      <c r="B516" s="1" t="n">
        <v>45561.34938657407</v>
      </c>
      <c r="C516" s="1" t="n">
        <v>46065</v>
      </c>
      <c r="D516" t="inlineStr">
        <is>
          <t>VÄSTERNORRLANDS LÄN</t>
        </is>
      </c>
      <c r="E516" t="inlineStr">
        <is>
          <t>ÅNGE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58469-2023</t>
        </is>
      </c>
      <c r="B517" s="1" t="n">
        <v>45250</v>
      </c>
      <c r="C517" s="1" t="n">
        <v>46065</v>
      </c>
      <c r="D517" t="inlineStr">
        <is>
          <t>VÄSTERNORRLANDS LÄN</t>
        </is>
      </c>
      <c r="E517" t="inlineStr">
        <is>
          <t>ÅNGE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22680-2024</t>
        </is>
      </c>
      <c r="B518" s="1" t="n">
        <v>45447.94548611111</v>
      </c>
      <c r="C518" s="1" t="n">
        <v>46065</v>
      </c>
      <c r="D518" t="inlineStr">
        <is>
          <t>VÄSTERNORRLANDS LÄN</t>
        </is>
      </c>
      <c r="E518" t="inlineStr">
        <is>
          <t>ÅNGE</t>
        </is>
      </c>
      <c r="G518" t="n">
        <v>0.7</v>
      </c>
      <c r="H518" t="n">
        <v>0</v>
      </c>
      <c r="I518" t="n">
        <v>0</v>
      </c>
      <c r="J518" t="n">
        <v>0</v>
      </c>
      <c r="K518" t="n">
        <v>0</v>
      </c>
      <c r="L518" t="n">
        <v>0</v>
      </c>
      <c r="M518" t="n">
        <v>0</v>
      </c>
      <c r="N518" t="n">
        <v>0</v>
      </c>
      <c r="O518" t="n">
        <v>0</v>
      </c>
      <c r="P518" t="n">
        <v>0</v>
      </c>
      <c r="Q518" t="n">
        <v>0</v>
      </c>
      <c r="R518" s="2" t="inlineStr"/>
    </row>
    <row r="519" ht="15" customHeight="1">
      <c r="A519" t="inlineStr">
        <is>
          <t>A 42090-2024</t>
        </is>
      </c>
      <c r="B519" s="1" t="n">
        <v>45562</v>
      </c>
      <c r="C519" s="1" t="n">
        <v>46065</v>
      </c>
      <c r="D519" t="inlineStr">
        <is>
          <t>VÄSTERNORRLANDS LÄN</t>
        </is>
      </c>
      <c r="E519" t="inlineStr">
        <is>
          <t>ÅNGE</t>
        </is>
      </c>
      <c r="F519" t="inlineStr">
        <is>
          <t>SCA</t>
        </is>
      </c>
      <c r="G519" t="n">
        <v>20.2</v>
      </c>
      <c r="H519" t="n">
        <v>0</v>
      </c>
      <c r="I519" t="n">
        <v>0</v>
      </c>
      <c r="J519" t="n">
        <v>0</v>
      </c>
      <c r="K519" t="n">
        <v>0</v>
      </c>
      <c r="L519" t="n">
        <v>0</v>
      </c>
      <c r="M519" t="n">
        <v>0</v>
      </c>
      <c r="N519" t="n">
        <v>0</v>
      </c>
      <c r="O519" t="n">
        <v>0</v>
      </c>
      <c r="P519" t="n">
        <v>0</v>
      </c>
      <c r="Q519" t="n">
        <v>0</v>
      </c>
      <c r="R519" s="2" t="inlineStr"/>
    </row>
    <row r="520" ht="15" customHeight="1">
      <c r="A520" t="inlineStr">
        <is>
          <t>A 42098-2024</t>
        </is>
      </c>
      <c r="B520" s="1" t="n">
        <v>45562.34532407407</v>
      </c>
      <c r="C520" s="1" t="n">
        <v>46065</v>
      </c>
      <c r="D520" t="inlineStr">
        <is>
          <t>VÄSTERNORRLANDS LÄN</t>
        </is>
      </c>
      <c r="E520" t="inlineStr">
        <is>
          <t>ÅNGE</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55324-2023</t>
        </is>
      </c>
      <c r="B521" s="1" t="n">
        <v>45237.9734837963</v>
      </c>
      <c r="C521" s="1" t="n">
        <v>46065</v>
      </c>
      <c r="D521" t="inlineStr">
        <is>
          <t>VÄSTERNORRLANDS LÄN</t>
        </is>
      </c>
      <c r="E521" t="inlineStr">
        <is>
          <t>ÅNGE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23035-2024</t>
        </is>
      </c>
      <c r="B522" s="1" t="n">
        <v>45450.39016203704</v>
      </c>
      <c r="C522" s="1" t="n">
        <v>46065</v>
      </c>
      <c r="D522" t="inlineStr">
        <is>
          <t>VÄSTERNORRLANDS LÄN</t>
        </is>
      </c>
      <c r="E522" t="inlineStr">
        <is>
          <t>ÅNGE</t>
        </is>
      </c>
      <c r="G522" t="n">
        <v>12.1</v>
      </c>
      <c r="H522" t="n">
        <v>0</v>
      </c>
      <c r="I522" t="n">
        <v>0</v>
      </c>
      <c r="J522" t="n">
        <v>0</v>
      </c>
      <c r="K522" t="n">
        <v>0</v>
      </c>
      <c r="L522" t="n">
        <v>0</v>
      </c>
      <c r="M522" t="n">
        <v>0</v>
      </c>
      <c r="N522" t="n">
        <v>0</v>
      </c>
      <c r="O522" t="n">
        <v>0</v>
      </c>
      <c r="P522" t="n">
        <v>0</v>
      </c>
      <c r="Q522" t="n">
        <v>0</v>
      </c>
      <c r="R522" s="2" t="inlineStr"/>
    </row>
    <row r="523" ht="15" customHeight="1">
      <c r="A523" t="inlineStr">
        <is>
          <t>A 23063-2024</t>
        </is>
      </c>
      <c r="B523" s="1" t="n">
        <v>45450.44278935185</v>
      </c>
      <c r="C523" s="1" t="n">
        <v>46065</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42953-2024</t>
        </is>
      </c>
      <c r="B524" s="1" t="n">
        <v>45567</v>
      </c>
      <c r="C524" s="1" t="n">
        <v>46065</v>
      </c>
      <c r="D524" t="inlineStr">
        <is>
          <t>VÄSTERNORRLANDS LÄN</t>
        </is>
      </c>
      <c r="E524" t="inlineStr">
        <is>
          <t>ÅNGE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42968-2024</t>
        </is>
      </c>
      <c r="B525" s="1" t="n">
        <v>45567</v>
      </c>
      <c r="C525" s="1" t="n">
        <v>46065</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4361-2024</t>
        </is>
      </c>
      <c r="B526" s="1" t="n">
        <v>45325.65047453704</v>
      </c>
      <c r="C526" s="1" t="n">
        <v>46065</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65229-2021</t>
        </is>
      </c>
      <c r="B527" s="1" t="n">
        <v>44515</v>
      </c>
      <c r="C527" s="1" t="n">
        <v>46065</v>
      </c>
      <c r="D527" t="inlineStr">
        <is>
          <t>VÄSTERNORRLANDS LÄN</t>
        </is>
      </c>
      <c r="E527" t="inlineStr">
        <is>
          <t>ÅNGE</t>
        </is>
      </c>
      <c r="G527" t="n">
        <v>12.1</v>
      </c>
      <c r="H527" t="n">
        <v>0</v>
      </c>
      <c r="I527" t="n">
        <v>0</v>
      </c>
      <c r="J527" t="n">
        <v>0</v>
      </c>
      <c r="K527" t="n">
        <v>0</v>
      </c>
      <c r="L527" t="n">
        <v>0</v>
      </c>
      <c r="M527" t="n">
        <v>0</v>
      </c>
      <c r="N527" t="n">
        <v>0</v>
      </c>
      <c r="O527" t="n">
        <v>0</v>
      </c>
      <c r="P527" t="n">
        <v>0</v>
      </c>
      <c r="Q527" t="n">
        <v>0</v>
      </c>
      <c r="R527" s="2" t="inlineStr"/>
    </row>
    <row r="528" ht="15" customHeight="1">
      <c r="A528" t="inlineStr">
        <is>
          <t>A 32069-2023</t>
        </is>
      </c>
      <c r="B528" s="1" t="n">
        <v>45107</v>
      </c>
      <c r="C528" s="1" t="n">
        <v>46065</v>
      </c>
      <c r="D528" t="inlineStr">
        <is>
          <t>VÄSTERNORRLANDS LÄN</t>
        </is>
      </c>
      <c r="E528" t="inlineStr">
        <is>
          <t>ÅNGE</t>
        </is>
      </c>
      <c r="G528" t="n">
        <v>4.4</v>
      </c>
      <c r="H528" t="n">
        <v>0</v>
      </c>
      <c r="I528" t="n">
        <v>0</v>
      </c>
      <c r="J528" t="n">
        <v>0</v>
      </c>
      <c r="K528" t="n">
        <v>0</v>
      </c>
      <c r="L528" t="n">
        <v>0</v>
      </c>
      <c r="M528" t="n">
        <v>0</v>
      </c>
      <c r="N528" t="n">
        <v>0</v>
      </c>
      <c r="O528" t="n">
        <v>0</v>
      </c>
      <c r="P528" t="n">
        <v>0</v>
      </c>
      <c r="Q528" t="n">
        <v>0</v>
      </c>
      <c r="R528" s="2" t="inlineStr"/>
    </row>
    <row r="529" ht="15" customHeight="1">
      <c r="A529" t="inlineStr">
        <is>
          <t>A 19829-2025</t>
        </is>
      </c>
      <c r="B529" s="1" t="n">
        <v>45771.46944444445</v>
      </c>
      <c r="C529" s="1" t="n">
        <v>46065</v>
      </c>
      <c r="D529" t="inlineStr">
        <is>
          <t>VÄSTERNORRLANDS LÄN</t>
        </is>
      </c>
      <c r="E529" t="inlineStr">
        <is>
          <t>ÅNGE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12581-2024</t>
        </is>
      </c>
      <c r="B530" s="1" t="n">
        <v>45379</v>
      </c>
      <c r="C530" s="1" t="n">
        <v>46065</v>
      </c>
      <c r="D530" t="inlineStr">
        <is>
          <t>VÄSTERNORRLANDS LÄN</t>
        </is>
      </c>
      <c r="E530" t="inlineStr">
        <is>
          <t>ÅNGE</t>
        </is>
      </c>
      <c r="G530" t="n">
        <v>1.7</v>
      </c>
      <c r="H530" t="n">
        <v>0</v>
      </c>
      <c r="I530" t="n">
        <v>0</v>
      </c>
      <c r="J530" t="n">
        <v>0</v>
      </c>
      <c r="K530" t="n">
        <v>0</v>
      </c>
      <c r="L530" t="n">
        <v>0</v>
      </c>
      <c r="M530" t="n">
        <v>0</v>
      </c>
      <c r="N530" t="n">
        <v>0</v>
      </c>
      <c r="O530" t="n">
        <v>0</v>
      </c>
      <c r="P530" t="n">
        <v>0</v>
      </c>
      <c r="Q530" t="n">
        <v>0</v>
      </c>
      <c r="R530" s="2" t="inlineStr"/>
    </row>
    <row r="531" ht="15" customHeight="1">
      <c r="A531" t="inlineStr">
        <is>
          <t>A 46015-2024</t>
        </is>
      </c>
      <c r="B531" s="1" t="n">
        <v>45580.67760416667</v>
      </c>
      <c r="C531" s="1" t="n">
        <v>46065</v>
      </c>
      <c r="D531" t="inlineStr">
        <is>
          <t>VÄSTERNORRLANDS LÄN</t>
        </is>
      </c>
      <c r="E531" t="inlineStr">
        <is>
          <t>ÅNGE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56907-2021</t>
        </is>
      </c>
      <c r="B532" s="1" t="n">
        <v>44481.93837962963</v>
      </c>
      <c r="C532" s="1" t="n">
        <v>46065</v>
      </c>
      <c r="D532" t="inlineStr">
        <is>
          <t>VÄSTERNORRLANDS LÄN</t>
        </is>
      </c>
      <c r="E532" t="inlineStr">
        <is>
          <t>ÅNGE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41302-2024</t>
        </is>
      </c>
      <c r="B533" s="1" t="n">
        <v>45559.62077546296</v>
      </c>
      <c r="C533" s="1" t="n">
        <v>46065</v>
      </c>
      <c r="D533" t="inlineStr">
        <is>
          <t>VÄSTERNORRLANDS LÄN</t>
        </is>
      </c>
      <c r="E533" t="inlineStr">
        <is>
          <t>ÅNGE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16576-2023</t>
        </is>
      </c>
      <c r="B534" s="1" t="n">
        <v>45029.94251157407</v>
      </c>
      <c r="C534" s="1" t="n">
        <v>46065</v>
      </c>
      <c r="D534" t="inlineStr">
        <is>
          <t>VÄSTERNORRLANDS LÄN</t>
        </is>
      </c>
      <c r="E534" t="inlineStr">
        <is>
          <t>ÅNGE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12800-2021</t>
        </is>
      </c>
      <c r="B535" s="1" t="n">
        <v>44270.92056712963</v>
      </c>
      <c r="C535" s="1" t="n">
        <v>46065</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42100-2023</t>
        </is>
      </c>
      <c r="B536" s="1" t="n">
        <v>45174</v>
      </c>
      <c r="C536" s="1" t="n">
        <v>46065</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37503-2023</t>
        </is>
      </c>
      <c r="B537" s="1" t="n">
        <v>45157.5796875</v>
      </c>
      <c r="C537" s="1" t="n">
        <v>46065</v>
      </c>
      <c r="D537" t="inlineStr">
        <is>
          <t>VÄSTERNORRLANDS LÄN</t>
        </is>
      </c>
      <c r="E537" t="inlineStr">
        <is>
          <t>ÅNGE</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24231-2024</t>
        </is>
      </c>
      <c r="B538" s="1" t="n">
        <v>45457.34393518518</v>
      </c>
      <c r="C538" s="1" t="n">
        <v>46065</v>
      </c>
      <c r="D538" t="inlineStr">
        <is>
          <t>VÄSTERNORRLANDS LÄN</t>
        </is>
      </c>
      <c r="E538" t="inlineStr">
        <is>
          <t>ÅNGE</t>
        </is>
      </c>
      <c r="F538" t="inlineStr">
        <is>
          <t>Sveaskog</t>
        </is>
      </c>
      <c r="G538" t="n">
        <v>7</v>
      </c>
      <c r="H538" t="n">
        <v>0</v>
      </c>
      <c r="I538" t="n">
        <v>0</v>
      </c>
      <c r="J538" t="n">
        <v>0</v>
      </c>
      <c r="K538" t="n">
        <v>0</v>
      </c>
      <c r="L538" t="n">
        <v>0</v>
      </c>
      <c r="M538" t="n">
        <v>0</v>
      </c>
      <c r="N538" t="n">
        <v>0</v>
      </c>
      <c r="O538" t="n">
        <v>0</v>
      </c>
      <c r="P538" t="n">
        <v>0</v>
      </c>
      <c r="Q538" t="n">
        <v>0</v>
      </c>
      <c r="R538" s="2" t="inlineStr"/>
    </row>
    <row r="539" ht="15" customHeight="1">
      <c r="A539" t="inlineStr">
        <is>
          <t>A 51411-2023</t>
        </is>
      </c>
      <c r="B539" s="1" t="n">
        <v>45219</v>
      </c>
      <c r="C539" s="1" t="n">
        <v>46065</v>
      </c>
      <c r="D539" t="inlineStr">
        <is>
          <t>VÄSTERNORRLANDS LÄN</t>
        </is>
      </c>
      <c r="E539" t="inlineStr">
        <is>
          <t>ÅNGE</t>
        </is>
      </c>
      <c r="G539" t="n">
        <v>2.5</v>
      </c>
      <c r="H539" t="n">
        <v>0</v>
      </c>
      <c r="I539" t="n">
        <v>0</v>
      </c>
      <c r="J539" t="n">
        <v>0</v>
      </c>
      <c r="K539" t="n">
        <v>0</v>
      </c>
      <c r="L539" t="n">
        <v>0</v>
      </c>
      <c r="M539" t="n">
        <v>0</v>
      </c>
      <c r="N539" t="n">
        <v>0</v>
      </c>
      <c r="O539" t="n">
        <v>0</v>
      </c>
      <c r="P539" t="n">
        <v>0</v>
      </c>
      <c r="Q539" t="n">
        <v>0</v>
      </c>
      <c r="R539" s="2" t="inlineStr"/>
    </row>
    <row r="540" ht="15" customHeight="1">
      <c r="A540" t="inlineStr">
        <is>
          <t>A 3323-2023</t>
        </is>
      </c>
      <c r="B540" s="1" t="n">
        <v>44945</v>
      </c>
      <c r="C540" s="1" t="n">
        <v>46065</v>
      </c>
      <c r="D540" t="inlineStr">
        <is>
          <t>VÄSTERNORRLANDS LÄN</t>
        </is>
      </c>
      <c r="E540" t="inlineStr">
        <is>
          <t>ÅNGE</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1869-2022</t>
        </is>
      </c>
      <c r="B541" s="1" t="n">
        <v>44574</v>
      </c>
      <c r="C541" s="1" t="n">
        <v>46065</v>
      </c>
      <c r="D541" t="inlineStr">
        <is>
          <t>VÄSTERNORRLANDS LÄN</t>
        </is>
      </c>
      <c r="E541" t="inlineStr">
        <is>
          <t>ÅNGE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13773-2024</t>
        </is>
      </c>
      <c r="B542" s="1" t="n">
        <v>45390.95297453704</v>
      </c>
      <c r="C542" s="1" t="n">
        <v>46065</v>
      </c>
      <c r="D542" t="inlineStr">
        <is>
          <t>VÄSTERNORRLANDS LÄN</t>
        </is>
      </c>
      <c r="E542" t="inlineStr">
        <is>
          <t>ÅNGE</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51377-2024</t>
        </is>
      </c>
      <c r="B543" s="1" t="n">
        <v>45604.38142361111</v>
      </c>
      <c r="C543" s="1" t="n">
        <v>46065</v>
      </c>
      <c r="D543" t="inlineStr">
        <is>
          <t>VÄSTERNORRLANDS LÄN</t>
        </is>
      </c>
      <c r="E543" t="inlineStr">
        <is>
          <t>ÅNGE</t>
        </is>
      </c>
      <c r="G543" t="n">
        <v>0.6</v>
      </c>
      <c r="H543" t="n">
        <v>0</v>
      </c>
      <c r="I543" t="n">
        <v>0</v>
      </c>
      <c r="J543" t="n">
        <v>0</v>
      </c>
      <c r="K543" t="n">
        <v>0</v>
      </c>
      <c r="L543" t="n">
        <v>0</v>
      </c>
      <c r="M543" t="n">
        <v>0</v>
      </c>
      <c r="N543" t="n">
        <v>0</v>
      </c>
      <c r="O543" t="n">
        <v>0</v>
      </c>
      <c r="P543" t="n">
        <v>0</v>
      </c>
      <c r="Q543" t="n">
        <v>0</v>
      </c>
      <c r="R543" s="2" t="inlineStr"/>
    </row>
    <row r="544" ht="15" customHeight="1">
      <c r="A544" t="inlineStr">
        <is>
          <t>A 60860-2022</t>
        </is>
      </c>
      <c r="B544" s="1" t="n">
        <v>44914</v>
      </c>
      <c r="C544" s="1" t="n">
        <v>46065</v>
      </c>
      <c r="D544" t="inlineStr">
        <is>
          <t>VÄSTERNORRLANDS LÄN</t>
        </is>
      </c>
      <c r="E544" t="inlineStr">
        <is>
          <t>ÅNGE</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5367-2022</t>
        </is>
      </c>
      <c r="B545" s="1" t="n">
        <v>44594.92111111111</v>
      </c>
      <c r="C545" s="1" t="n">
        <v>46065</v>
      </c>
      <c r="D545" t="inlineStr">
        <is>
          <t>VÄSTERNORRLANDS LÄN</t>
        </is>
      </c>
      <c r="E545" t="inlineStr">
        <is>
          <t>ÅNGE</t>
        </is>
      </c>
      <c r="G545" t="n">
        <v>1.4</v>
      </c>
      <c r="H545" t="n">
        <v>0</v>
      </c>
      <c r="I545" t="n">
        <v>0</v>
      </c>
      <c r="J545" t="n">
        <v>0</v>
      </c>
      <c r="K545" t="n">
        <v>0</v>
      </c>
      <c r="L545" t="n">
        <v>0</v>
      </c>
      <c r="M545" t="n">
        <v>0</v>
      </c>
      <c r="N545" t="n">
        <v>0</v>
      </c>
      <c r="O545" t="n">
        <v>0</v>
      </c>
      <c r="P545" t="n">
        <v>0</v>
      </c>
      <c r="Q545" t="n">
        <v>0</v>
      </c>
      <c r="R545" s="2" t="inlineStr"/>
    </row>
    <row r="546" ht="15" customHeight="1">
      <c r="A546" t="inlineStr">
        <is>
          <t>A 9567-2024</t>
        </is>
      </c>
      <c r="B546" s="1" t="n">
        <v>45360.03635416667</v>
      </c>
      <c r="C546" s="1" t="n">
        <v>46065</v>
      </c>
      <c r="D546" t="inlineStr">
        <is>
          <t>VÄSTERNORRLANDS LÄN</t>
        </is>
      </c>
      <c r="E546" t="inlineStr">
        <is>
          <t>ÅNGE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72239-2021</t>
        </is>
      </c>
      <c r="B547" s="1" t="n">
        <v>44544.9203587963</v>
      </c>
      <c r="C547" s="1" t="n">
        <v>46065</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57286-2022</t>
        </is>
      </c>
      <c r="B548" s="1" t="n">
        <v>44895.94991898148</v>
      </c>
      <c r="C548" s="1" t="n">
        <v>46065</v>
      </c>
      <c r="D548" t="inlineStr">
        <is>
          <t>VÄSTERNORRLANDS LÄN</t>
        </is>
      </c>
      <c r="E548" t="inlineStr">
        <is>
          <t>ÅNGE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16572-2023</t>
        </is>
      </c>
      <c r="B549" s="1" t="n">
        <v>45029.94224537037</v>
      </c>
      <c r="C549" s="1" t="n">
        <v>46065</v>
      </c>
      <c r="D549" t="inlineStr">
        <is>
          <t>VÄSTERNORRLANDS LÄN</t>
        </is>
      </c>
      <c r="E549" t="inlineStr">
        <is>
          <t>ÅNGE</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51311-2022</t>
        </is>
      </c>
      <c r="B550" s="1" t="n">
        <v>44868</v>
      </c>
      <c r="C550" s="1" t="n">
        <v>46065</v>
      </c>
      <c r="D550" t="inlineStr">
        <is>
          <t>VÄSTERNORRLANDS LÄN</t>
        </is>
      </c>
      <c r="E550" t="inlineStr">
        <is>
          <t>ÅNGE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33428-2023</t>
        </is>
      </c>
      <c r="B551" s="1" t="n">
        <v>45128.94976851852</v>
      </c>
      <c r="C551" s="1" t="n">
        <v>46065</v>
      </c>
      <c r="D551" t="inlineStr">
        <is>
          <t>VÄSTERNORRLANDS LÄN</t>
        </is>
      </c>
      <c r="E551" t="inlineStr">
        <is>
          <t>ÅNGE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16365-2023</t>
        </is>
      </c>
      <c r="B552" s="1" t="n">
        <v>45028</v>
      </c>
      <c r="C552" s="1" t="n">
        <v>46065</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55882-2022</t>
        </is>
      </c>
      <c r="B553" s="1" t="n">
        <v>44888</v>
      </c>
      <c r="C553" s="1" t="n">
        <v>46065</v>
      </c>
      <c r="D553" t="inlineStr">
        <is>
          <t>VÄSTERNORRLANDS LÄN</t>
        </is>
      </c>
      <c r="E553" t="inlineStr">
        <is>
          <t>ÅNGE</t>
        </is>
      </c>
      <c r="G553" t="n">
        <v>2.7</v>
      </c>
      <c r="H553" t="n">
        <v>0</v>
      </c>
      <c r="I553" t="n">
        <v>0</v>
      </c>
      <c r="J553" t="n">
        <v>0</v>
      </c>
      <c r="K553" t="n">
        <v>0</v>
      </c>
      <c r="L553" t="n">
        <v>0</v>
      </c>
      <c r="M553" t="n">
        <v>0</v>
      </c>
      <c r="N553" t="n">
        <v>0</v>
      </c>
      <c r="O553" t="n">
        <v>0</v>
      </c>
      <c r="P553" t="n">
        <v>0</v>
      </c>
      <c r="Q553" t="n">
        <v>0</v>
      </c>
      <c r="R553" s="2" t="inlineStr"/>
    </row>
    <row r="554" ht="15" customHeight="1">
      <c r="A554" t="inlineStr">
        <is>
          <t>A 24063-2023</t>
        </is>
      </c>
      <c r="B554" s="1" t="n">
        <v>45078.94140046297</v>
      </c>
      <c r="C554" s="1" t="n">
        <v>46065</v>
      </c>
      <c r="D554" t="inlineStr">
        <is>
          <t>VÄSTERNORRLANDS LÄN</t>
        </is>
      </c>
      <c r="E554" t="inlineStr">
        <is>
          <t>ÅNGE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34815-2024</t>
        </is>
      </c>
      <c r="B555" s="1" t="n">
        <v>45526.70732638889</v>
      </c>
      <c r="C555" s="1" t="n">
        <v>46065</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56399-2022</t>
        </is>
      </c>
      <c r="B556" s="1" t="n">
        <v>44890</v>
      </c>
      <c r="C556" s="1" t="n">
        <v>46065</v>
      </c>
      <c r="D556" t="inlineStr">
        <is>
          <t>VÄSTERNORRLANDS LÄN</t>
        </is>
      </c>
      <c r="E556" t="inlineStr">
        <is>
          <t>ÅNGE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10087-2023</t>
        </is>
      </c>
      <c r="B557" s="1" t="n">
        <v>44985</v>
      </c>
      <c r="C557" s="1" t="n">
        <v>46065</v>
      </c>
      <c r="D557" t="inlineStr">
        <is>
          <t>VÄSTERNORRLANDS LÄN</t>
        </is>
      </c>
      <c r="E557" t="inlineStr">
        <is>
          <t>ÅNGE</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27682-2023</t>
        </is>
      </c>
      <c r="B558" s="1" t="n">
        <v>45097.93758101852</v>
      </c>
      <c r="C558" s="1" t="n">
        <v>46065</v>
      </c>
      <c r="D558" t="inlineStr">
        <is>
          <t>VÄSTERNORRLANDS LÄN</t>
        </is>
      </c>
      <c r="E558" t="inlineStr">
        <is>
          <t>ÅNGE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46249-2024</t>
        </is>
      </c>
      <c r="B559" s="1" t="n">
        <v>45581.59409722222</v>
      </c>
      <c r="C559" s="1" t="n">
        <v>46065</v>
      </c>
      <c r="D559" t="inlineStr">
        <is>
          <t>VÄSTERNORRLANDS LÄN</t>
        </is>
      </c>
      <c r="E559" t="inlineStr">
        <is>
          <t>ÅNGE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28506-2024</t>
        </is>
      </c>
      <c r="B560" s="1" t="n">
        <v>45477.9475</v>
      </c>
      <c r="C560" s="1" t="n">
        <v>46065</v>
      </c>
      <c r="D560" t="inlineStr">
        <is>
          <t>VÄSTERNORRLANDS LÄN</t>
        </is>
      </c>
      <c r="E560" t="inlineStr">
        <is>
          <t>ÅNGE</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1420-2023</t>
        </is>
      </c>
      <c r="B561" s="1" t="n">
        <v>44936.92762731481</v>
      </c>
      <c r="C561" s="1" t="n">
        <v>46065</v>
      </c>
      <c r="D561" t="inlineStr">
        <is>
          <t>VÄSTERNORRLANDS LÄN</t>
        </is>
      </c>
      <c r="E561" t="inlineStr">
        <is>
          <t>ÅNGE</t>
        </is>
      </c>
      <c r="G561" t="n">
        <v>3.7</v>
      </c>
      <c r="H561" t="n">
        <v>0</v>
      </c>
      <c r="I561" t="n">
        <v>0</v>
      </c>
      <c r="J561" t="n">
        <v>0</v>
      </c>
      <c r="K561" t="n">
        <v>0</v>
      </c>
      <c r="L561" t="n">
        <v>0</v>
      </c>
      <c r="M561" t="n">
        <v>0</v>
      </c>
      <c r="N561" t="n">
        <v>0</v>
      </c>
      <c r="O561" t="n">
        <v>0</v>
      </c>
      <c r="P561" t="n">
        <v>0</v>
      </c>
      <c r="Q561" t="n">
        <v>0</v>
      </c>
      <c r="R561" s="2" t="inlineStr"/>
    </row>
    <row r="562" ht="15" customHeight="1">
      <c r="A562" t="inlineStr">
        <is>
          <t>A 60205-2023</t>
        </is>
      </c>
      <c r="B562" s="1" t="n">
        <v>45257</v>
      </c>
      <c r="C562" s="1" t="n">
        <v>46065</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8418-2023</t>
        </is>
      </c>
      <c r="B563" s="1" t="n">
        <v>44971</v>
      </c>
      <c r="C563" s="1" t="n">
        <v>46065</v>
      </c>
      <c r="D563" t="inlineStr">
        <is>
          <t>VÄSTERNORRLANDS LÄN</t>
        </is>
      </c>
      <c r="E563" t="inlineStr">
        <is>
          <t>ÅNGE</t>
        </is>
      </c>
      <c r="G563" t="n">
        <v>8.6</v>
      </c>
      <c r="H563" t="n">
        <v>0</v>
      </c>
      <c r="I563" t="n">
        <v>0</v>
      </c>
      <c r="J563" t="n">
        <v>0</v>
      </c>
      <c r="K563" t="n">
        <v>0</v>
      </c>
      <c r="L563" t="n">
        <v>0</v>
      </c>
      <c r="M563" t="n">
        <v>0</v>
      </c>
      <c r="N563" t="n">
        <v>0</v>
      </c>
      <c r="O563" t="n">
        <v>0</v>
      </c>
      <c r="P563" t="n">
        <v>0</v>
      </c>
      <c r="Q563" t="n">
        <v>0</v>
      </c>
      <c r="R563" s="2" t="inlineStr"/>
    </row>
    <row r="564" ht="15" customHeight="1">
      <c r="A564" t="inlineStr">
        <is>
          <t>A 33631-2024</t>
        </is>
      </c>
      <c r="B564" s="1" t="n">
        <v>45520</v>
      </c>
      <c r="C564" s="1" t="n">
        <v>46065</v>
      </c>
      <c r="D564" t="inlineStr">
        <is>
          <t>VÄSTERNORRLANDS LÄN</t>
        </is>
      </c>
      <c r="E564" t="inlineStr">
        <is>
          <t>ÅNGE</t>
        </is>
      </c>
      <c r="G564" t="n">
        <v>1.7</v>
      </c>
      <c r="H564" t="n">
        <v>0</v>
      </c>
      <c r="I564" t="n">
        <v>0</v>
      </c>
      <c r="J564" t="n">
        <v>0</v>
      </c>
      <c r="K564" t="n">
        <v>0</v>
      </c>
      <c r="L564" t="n">
        <v>0</v>
      </c>
      <c r="M564" t="n">
        <v>0</v>
      </c>
      <c r="N564" t="n">
        <v>0</v>
      </c>
      <c r="O564" t="n">
        <v>0</v>
      </c>
      <c r="P564" t="n">
        <v>0</v>
      </c>
      <c r="Q564" t="n">
        <v>0</v>
      </c>
      <c r="R564" s="2" t="inlineStr"/>
    </row>
    <row r="565" ht="15" customHeight="1">
      <c r="A565" t="inlineStr">
        <is>
          <t>A 38795-2023</t>
        </is>
      </c>
      <c r="B565" s="1" t="n">
        <v>45162</v>
      </c>
      <c r="C565" s="1" t="n">
        <v>46065</v>
      </c>
      <c r="D565" t="inlineStr">
        <is>
          <t>VÄSTERNORRLANDS LÄN</t>
        </is>
      </c>
      <c r="E565" t="inlineStr">
        <is>
          <t>ÅNGE</t>
        </is>
      </c>
      <c r="G565" t="n">
        <v>0.7</v>
      </c>
      <c r="H565" t="n">
        <v>0</v>
      </c>
      <c r="I565" t="n">
        <v>0</v>
      </c>
      <c r="J565" t="n">
        <v>0</v>
      </c>
      <c r="K565" t="n">
        <v>0</v>
      </c>
      <c r="L565" t="n">
        <v>0</v>
      </c>
      <c r="M565" t="n">
        <v>0</v>
      </c>
      <c r="N565" t="n">
        <v>0</v>
      </c>
      <c r="O565" t="n">
        <v>0</v>
      </c>
      <c r="P565" t="n">
        <v>0</v>
      </c>
      <c r="Q565" t="n">
        <v>0</v>
      </c>
      <c r="R565" s="2" t="inlineStr"/>
    </row>
    <row r="566" ht="15" customHeight="1">
      <c r="A566" t="inlineStr">
        <is>
          <t>A 35979-2023</t>
        </is>
      </c>
      <c r="B566" s="1" t="n">
        <v>45148</v>
      </c>
      <c r="C566" s="1" t="n">
        <v>46065</v>
      </c>
      <c r="D566" t="inlineStr">
        <is>
          <t>VÄSTERNORRLANDS LÄN</t>
        </is>
      </c>
      <c r="E566" t="inlineStr">
        <is>
          <t>ÅNGE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44876-2024</t>
        </is>
      </c>
      <c r="B567" s="1" t="n">
        <v>45575.34474537037</v>
      </c>
      <c r="C567" s="1" t="n">
        <v>46065</v>
      </c>
      <c r="D567" t="inlineStr">
        <is>
          <t>VÄSTERNORRLANDS LÄN</t>
        </is>
      </c>
      <c r="E567" t="inlineStr">
        <is>
          <t>ÅNGE</t>
        </is>
      </c>
      <c r="F567" t="inlineStr">
        <is>
          <t>SCA</t>
        </is>
      </c>
      <c r="G567" t="n">
        <v>12.4</v>
      </c>
      <c r="H567" t="n">
        <v>0</v>
      </c>
      <c r="I567" t="n">
        <v>0</v>
      </c>
      <c r="J567" t="n">
        <v>0</v>
      </c>
      <c r="K567" t="n">
        <v>0</v>
      </c>
      <c r="L567" t="n">
        <v>0</v>
      </c>
      <c r="M567" t="n">
        <v>0</v>
      </c>
      <c r="N567" t="n">
        <v>0</v>
      </c>
      <c r="O567" t="n">
        <v>0</v>
      </c>
      <c r="P567" t="n">
        <v>0</v>
      </c>
      <c r="Q567" t="n">
        <v>0</v>
      </c>
      <c r="R567" s="2" t="inlineStr"/>
    </row>
    <row r="568" ht="15" customHeight="1">
      <c r="A568" t="inlineStr">
        <is>
          <t>A 11088-2024</t>
        </is>
      </c>
      <c r="B568" s="1" t="n">
        <v>45370</v>
      </c>
      <c r="C568" s="1" t="n">
        <v>46065</v>
      </c>
      <c r="D568" t="inlineStr">
        <is>
          <t>VÄSTERNORRLANDS LÄN</t>
        </is>
      </c>
      <c r="E568" t="inlineStr">
        <is>
          <t>ÅNGE</t>
        </is>
      </c>
      <c r="F568" t="inlineStr">
        <is>
          <t>SCA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35582-2024</t>
        </is>
      </c>
      <c r="B569" s="1" t="n">
        <v>45531.64800925926</v>
      </c>
      <c r="C569" s="1" t="n">
        <v>46065</v>
      </c>
      <c r="D569" t="inlineStr">
        <is>
          <t>VÄSTERNORRLANDS LÄN</t>
        </is>
      </c>
      <c r="E569" t="inlineStr">
        <is>
          <t>ÅNGE</t>
        </is>
      </c>
      <c r="G569" t="n">
        <v>4.1</v>
      </c>
      <c r="H569" t="n">
        <v>0</v>
      </c>
      <c r="I569" t="n">
        <v>0</v>
      </c>
      <c r="J569" t="n">
        <v>0</v>
      </c>
      <c r="K569" t="n">
        <v>0</v>
      </c>
      <c r="L569" t="n">
        <v>0</v>
      </c>
      <c r="M569" t="n">
        <v>0</v>
      </c>
      <c r="N569" t="n">
        <v>0</v>
      </c>
      <c r="O569" t="n">
        <v>0</v>
      </c>
      <c r="P569" t="n">
        <v>0</v>
      </c>
      <c r="Q569" t="n">
        <v>0</v>
      </c>
      <c r="R569" s="2" t="inlineStr"/>
    </row>
    <row r="570" ht="15" customHeight="1">
      <c r="A570" t="inlineStr">
        <is>
          <t>A 36466-2024</t>
        </is>
      </c>
      <c r="B570" s="1" t="n">
        <v>45537.35872685185</v>
      </c>
      <c r="C570" s="1" t="n">
        <v>46065</v>
      </c>
      <c r="D570" t="inlineStr">
        <is>
          <t>VÄSTERNORRLANDS LÄN</t>
        </is>
      </c>
      <c r="E570" t="inlineStr">
        <is>
          <t>ÅNGE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38272-2024</t>
        </is>
      </c>
      <c r="B571" s="1" t="n">
        <v>45545.60392361111</v>
      </c>
      <c r="C571" s="1" t="n">
        <v>46065</v>
      </c>
      <c r="D571" t="inlineStr">
        <is>
          <t>VÄSTERNORRLANDS LÄN</t>
        </is>
      </c>
      <c r="E571" t="inlineStr">
        <is>
          <t>ÅNGE</t>
        </is>
      </c>
      <c r="G571" t="n">
        <v>1.7</v>
      </c>
      <c r="H571" t="n">
        <v>0</v>
      </c>
      <c r="I571" t="n">
        <v>0</v>
      </c>
      <c r="J571" t="n">
        <v>0</v>
      </c>
      <c r="K571" t="n">
        <v>0</v>
      </c>
      <c r="L571" t="n">
        <v>0</v>
      </c>
      <c r="M571" t="n">
        <v>0</v>
      </c>
      <c r="N571" t="n">
        <v>0</v>
      </c>
      <c r="O571" t="n">
        <v>0</v>
      </c>
      <c r="P571" t="n">
        <v>0</v>
      </c>
      <c r="Q571" t="n">
        <v>0</v>
      </c>
      <c r="R571" s="2" t="inlineStr"/>
    </row>
    <row r="572" ht="15" customHeight="1">
      <c r="A572" t="inlineStr">
        <is>
          <t>A 52785-2024</t>
        </is>
      </c>
      <c r="B572" s="1" t="n">
        <v>45610.55273148148</v>
      </c>
      <c r="C572" s="1" t="n">
        <v>46065</v>
      </c>
      <c r="D572" t="inlineStr">
        <is>
          <t>VÄSTERNORRLANDS LÄN</t>
        </is>
      </c>
      <c r="E572" t="inlineStr">
        <is>
          <t>ÅNGE</t>
        </is>
      </c>
      <c r="F572" t="inlineStr">
        <is>
          <t>SCA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52786-2024</t>
        </is>
      </c>
      <c r="B573" s="1" t="n">
        <v>45610.55283564814</v>
      </c>
      <c r="C573" s="1" t="n">
        <v>46065</v>
      </c>
      <c r="D573" t="inlineStr">
        <is>
          <t>VÄSTERNORRLANDS LÄN</t>
        </is>
      </c>
      <c r="E573" t="inlineStr">
        <is>
          <t>ÅNGE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26012-2024</t>
        </is>
      </c>
      <c r="B574" s="1" t="n">
        <v>45467</v>
      </c>
      <c r="C574" s="1" t="n">
        <v>46065</v>
      </c>
      <c r="D574" t="inlineStr">
        <is>
          <t>VÄSTERNORRLANDS LÄN</t>
        </is>
      </c>
      <c r="E574" t="inlineStr">
        <is>
          <t>ÅNGE</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30348-2024</t>
        </is>
      </c>
      <c r="B575" s="1" t="n">
        <v>45490.95524305556</v>
      </c>
      <c r="C575" s="1" t="n">
        <v>46065</v>
      </c>
      <c r="D575" t="inlineStr">
        <is>
          <t>VÄSTERNORRLANDS LÄN</t>
        </is>
      </c>
      <c r="E575" t="inlineStr">
        <is>
          <t>ÅNGE</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31457-2024</t>
        </is>
      </c>
      <c r="B576" s="1" t="n">
        <v>45505</v>
      </c>
      <c r="C576" s="1" t="n">
        <v>46065</v>
      </c>
      <c r="D576" t="inlineStr">
        <is>
          <t>VÄSTERNORRLANDS LÄN</t>
        </is>
      </c>
      <c r="E576" t="inlineStr">
        <is>
          <t>ÅNGE</t>
        </is>
      </c>
      <c r="F576" t="inlineStr">
        <is>
          <t>SCA</t>
        </is>
      </c>
      <c r="G576" t="n">
        <v>5.2</v>
      </c>
      <c r="H576" t="n">
        <v>0</v>
      </c>
      <c r="I576" t="n">
        <v>0</v>
      </c>
      <c r="J576" t="n">
        <v>0</v>
      </c>
      <c r="K576" t="n">
        <v>0</v>
      </c>
      <c r="L576" t="n">
        <v>0</v>
      </c>
      <c r="M576" t="n">
        <v>0</v>
      </c>
      <c r="N576" t="n">
        <v>0</v>
      </c>
      <c r="O576" t="n">
        <v>0</v>
      </c>
      <c r="P576" t="n">
        <v>0</v>
      </c>
      <c r="Q576" t="n">
        <v>0</v>
      </c>
      <c r="R576" s="2" t="inlineStr"/>
    </row>
    <row r="577" ht="15" customHeight="1">
      <c r="A577" t="inlineStr">
        <is>
          <t>A 16593-2023</t>
        </is>
      </c>
      <c r="B577" s="1" t="n">
        <v>45030</v>
      </c>
      <c r="C577" s="1" t="n">
        <v>46065</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16600-2023</t>
        </is>
      </c>
      <c r="B578" s="1" t="n">
        <v>45030</v>
      </c>
      <c r="C578" s="1" t="n">
        <v>46065</v>
      </c>
      <c r="D578" t="inlineStr">
        <is>
          <t>VÄSTERNORRLANDS LÄN</t>
        </is>
      </c>
      <c r="E578" t="inlineStr">
        <is>
          <t>ÅNGE</t>
        </is>
      </c>
      <c r="G578" t="n">
        <v>0.1</v>
      </c>
      <c r="H578" t="n">
        <v>0</v>
      </c>
      <c r="I578" t="n">
        <v>0</v>
      </c>
      <c r="J578" t="n">
        <v>0</v>
      </c>
      <c r="K578" t="n">
        <v>0</v>
      </c>
      <c r="L578" t="n">
        <v>0</v>
      </c>
      <c r="M578" t="n">
        <v>0</v>
      </c>
      <c r="N578" t="n">
        <v>0</v>
      </c>
      <c r="O578" t="n">
        <v>0</v>
      </c>
      <c r="P578" t="n">
        <v>0</v>
      </c>
      <c r="Q578" t="n">
        <v>0</v>
      </c>
      <c r="R578" s="2" t="inlineStr"/>
    </row>
    <row r="579" ht="15" customHeight="1">
      <c r="A579" t="inlineStr">
        <is>
          <t>A 35392-2024</t>
        </is>
      </c>
      <c r="B579" s="1" t="n">
        <v>45531.4025462963</v>
      </c>
      <c r="C579" s="1" t="n">
        <v>46065</v>
      </c>
      <c r="D579" t="inlineStr">
        <is>
          <t>VÄSTERNORRLANDS LÄN</t>
        </is>
      </c>
      <c r="E579" t="inlineStr">
        <is>
          <t>ÅNGE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4006-2022</t>
        </is>
      </c>
      <c r="B580" s="1" t="n">
        <v>44587.92019675926</v>
      </c>
      <c r="C580" s="1" t="n">
        <v>46065</v>
      </c>
      <c r="D580" t="inlineStr">
        <is>
          <t>VÄSTERNORRLANDS LÄN</t>
        </is>
      </c>
      <c r="E580" t="inlineStr">
        <is>
          <t>ÅNGE</t>
        </is>
      </c>
      <c r="G580" t="n">
        <v>5</v>
      </c>
      <c r="H580" t="n">
        <v>0</v>
      </c>
      <c r="I580" t="n">
        <v>0</v>
      </c>
      <c r="J580" t="n">
        <v>0</v>
      </c>
      <c r="K580" t="n">
        <v>0</v>
      </c>
      <c r="L580" t="n">
        <v>0</v>
      </c>
      <c r="M580" t="n">
        <v>0</v>
      </c>
      <c r="N580" t="n">
        <v>0</v>
      </c>
      <c r="O580" t="n">
        <v>0</v>
      </c>
      <c r="P580" t="n">
        <v>0</v>
      </c>
      <c r="Q580" t="n">
        <v>0</v>
      </c>
      <c r="R580" s="2" t="inlineStr"/>
    </row>
    <row r="581" ht="15" customHeight="1">
      <c r="A581" t="inlineStr">
        <is>
          <t>A 43066-2022</t>
        </is>
      </c>
      <c r="B581" s="1" t="n">
        <v>44833</v>
      </c>
      <c r="C581" s="1" t="n">
        <v>46065</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42488-2024</t>
        </is>
      </c>
      <c r="B582" s="1" t="n">
        <v>45565.49420138889</v>
      </c>
      <c r="C582" s="1" t="n">
        <v>46065</v>
      </c>
      <c r="D582" t="inlineStr">
        <is>
          <t>VÄSTERNORRLANDS LÄN</t>
        </is>
      </c>
      <c r="E582" t="inlineStr">
        <is>
          <t>ÅNGE</t>
        </is>
      </c>
      <c r="F582" t="inlineStr">
        <is>
          <t>SCA</t>
        </is>
      </c>
      <c r="G582" t="n">
        <v>6</v>
      </c>
      <c r="H582" t="n">
        <v>0</v>
      </c>
      <c r="I582" t="n">
        <v>0</v>
      </c>
      <c r="J582" t="n">
        <v>0</v>
      </c>
      <c r="K582" t="n">
        <v>0</v>
      </c>
      <c r="L582" t="n">
        <v>0</v>
      </c>
      <c r="M582" t="n">
        <v>0</v>
      </c>
      <c r="N582" t="n">
        <v>0</v>
      </c>
      <c r="O582" t="n">
        <v>0</v>
      </c>
      <c r="P582" t="n">
        <v>0</v>
      </c>
      <c r="Q582" t="n">
        <v>0</v>
      </c>
      <c r="R582" s="2" t="inlineStr"/>
    </row>
    <row r="583" ht="15" customHeight="1">
      <c r="A583" t="inlineStr">
        <is>
          <t>A 57595-2022</t>
        </is>
      </c>
      <c r="B583" s="1" t="n">
        <v>44896.97862268519</v>
      </c>
      <c r="C583" s="1" t="n">
        <v>46065</v>
      </c>
      <c r="D583" t="inlineStr">
        <is>
          <t>VÄSTERNORRLANDS LÄN</t>
        </is>
      </c>
      <c r="E583" t="inlineStr">
        <is>
          <t>ÅNGE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35399-2024</t>
        </is>
      </c>
      <c r="B584" s="1" t="n">
        <v>45531.40438657408</v>
      </c>
      <c r="C584" s="1" t="n">
        <v>46065</v>
      </c>
      <c r="D584" t="inlineStr">
        <is>
          <t>VÄSTERNORRLANDS LÄN</t>
        </is>
      </c>
      <c r="E584" t="inlineStr">
        <is>
          <t>ÅNGE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48787-2024</t>
        </is>
      </c>
      <c r="B585" s="1" t="n">
        <v>45593.63888888889</v>
      </c>
      <c r="C585" s="1" t="n">
        <v>46065</v>
      </c>
      <c r="D585" t="inlineStr">
        <is>
          <t>VÄSTERNORRLANDS LÄN</t>
        </is>
      </c>
      <c r="E585" t="inlineStr">
        <is>
          <t>ÅNGE</t>
        </is>
      </c>
      <c r="G585" t="n">
        <v>1.7</v>
      </c>
      <c r="H585" t="n">
        <v>0</v>
      </c>
      <c r="I585" t="n">
        <v>0</v>
      </c>
      <c r="J585" t="n">
        <v>0</v>
      </c>
      <c r="K585" t="n">
        <v>0</v>
      </c>
      <c r="L585" t="n">
        <v>0</v>
      </c>
      <c r="M585" t="n">
        <v>0</v>
      </c>
      <c r="N585" t="n">
        <v>0</v>
      </c>
      <c r="O585" t="n">
        <v>0</v>
      </c>
      <c r="P585" t="n">
        <v>0</v>
      </c>
      <c r="Q585" t="n">
        <v>0</v>
      </c>
      <c r="R585" s="2" t="inlineStr"/>
    </row>
    <row r="586" ht="15" customHeight="1">
      <c r="A586" t="inlineStr">
        <is>
          <t>A 58939-2021</t>
        </is>
      </c>
      <c r="B586" s="1" t="n">
        <v>44489</v>
      </c>
      <c r="C586" s="1" t="n">
        <v>46065</v>
      </c>
      <c r="D586" t="inlineStr">
        <is>
          <t>VÄSTERNORRLANDS LÄN</t>
        </is>
      </c>
      <c r="E586" t="inlineStr">
        <is>
          <t>ÅNGE</t>
        </is>
      </c>
      <c r="G586" t="n">
        <v>2.5</v>
      </c>
      <c r="H586" t="n">
        <v>0</v>
      </c>
      <c r="I586" t="n">
        <v>0</v>
      </c>
      <c r="J586" t="n">
        <v>0</v>
      </c>
      <c r="K586" t="n">
        <v>0</v>
      </c>
      <c r="L586" t="n">
        <v>0</v>
      </c>
      <c r="M586" t="n">
        <v>0</v>
      </c>
      <c r="N586" t="n">
        <v>0</v>
      </c>
      <c r="O586" t="n">
        <v>0</v>
      </c>
      <c r="P586" t="n">
        <v>0</v>
      </c>
      <c r="Q586" t="n">
        <v>0</v>
      </c>
      <c r="R586" s="2" t="inlineStr"/>
    </row>
    <row r="587" ht="15" customHeight="1">
      <c r="A587" t="inlineStr">
        <is>
          <t>A 15863-2022</t>
        </is>
      </c>
      <c r="B587" s="1" t="n">
        <v>44664</v>
      </c>
      <c r="C587" s="1" t="n">
        <v>46065</v>
      </c>
      <c r="D587" t="inlineStr">
        <is>
          <t>VÄSTERNORRLANDS LÄN</t>
        </is>
      </c>
      <c r="E587" t="inlineStr">
        <is>
          <t>ÅNGE</t>
        </is>
      </c>
      <c r="G587" t="n">
        <v>3.6</v>
      </c>
      <c r="H587" t="n">
        <v>0</v>
      </c>
      <c r="I587" t="n">
        <v>0</v>
      </c>
      <c r="J587" t="n">
        <v>0</v>
      </c>
      <c r="K587" t="n">
        <v>0</v>
      </c>
      <c r="L587" t="n">
        <v>0</v>
      </c>
      <c r="M587" t="n">
        <v>0</v>
      </c>
      <c r="N587" t="n">
        <v>0</v>
      </c>
      <c r="O587" t="n">
        <v>0</v>
      </c>
      <c r="P587" t="n">
        <v>0</v>
      </c>
      <c r="Q587" t="n">
        <v>0</v>
      </c>
      <c r="R587" s="2" t="inlineStr"/>
    </row>
    <row r="588" ht="15" customHeight="1">
      <c r="A588" t="inlineStr">
        <is>
          <t>A 42969-2024</t>
        </is>
      </c>
      <c r="B588" s="1" t="n">
        <v>45567.37300925926</v>
      </c>
      <c r="C588" s="1" t="n">
        <v>46065</v>
      </c>
      <c r="D588" t="inlineStr">
        <is>
          <t>VÄSTERNORRLANDS LÄN</t>
        </is>
      </c>
      <c r="E588" t="inlineStr">
        <is>
          <t>ÅNGE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39682-2024</t>
        </is>
      </c>
      <c r="B589" s="1" t="n">
        <v>45552</v>
      </c>
      <c r="C589" s="1" t="n">
        <v>46065</v>
      </c>
      <c r="D589" t="inlineStr">
        <is>
          <t>VÄSTERNORRLANDS LÄN</t>
        </is>
      </c>
      <c r="E589" t="inlineStr">
        <is>
          <t>ÅNGE</t>
        </is>
      </c>
      <c r="G589" t="n">
        <v>35.4</v>
      </c>
      <c r="H589" t="n">
        <v>0</v>
      </c>
      <c r="I589" t="n">
        <v>0</v>
      </c>
      <c r="J589" t="n">
        <v>0</v>
      </c>
      <c r="K589" t="n">
        <v>0</v>
      </c>
      <c r="L589" t="n">
        <v>0</v>
      </c>
      <c r="M589" t="n">
        <v>0</v>
      </c>
      <c r="N589" t="n">
        <v>0</v>
      </c>
      <c r="O589" t="n">
        <v>0</v>
      </c>
      <c r="P589" t="n">
        <v>0</v>
      </c>
      <c r="Q589" t="n">
        <v>0</v>
      </c>
      <c r="R589" s="2" t="inlineStr"/>
    </row>
    <row r="590" ht="15" customHeight="1">
      <c r="A590" t="inlineStr">
        <is>
          <t>A 17668-2023</t>
        </is>
      </c>
      <c r="B590" s="1" t="n">
        <v>45036</v>
      </c>
      <c r="C590" s="1" t="n">
        <v>46065</v>
      </c>
      <c r="D590" t="inlineStr">
        <is>
          <t>VÄSTERNORRLANDS LÄN</t>
        </is>
      </c>
      <c r="E590" t="inlineStr">
        <is>
          <t>ÅNGE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52683-2024</t>
        </is>
      </c>
      <c r="B591" s="1" t="n">
        <v>45610</v>
      </c>
      <c r="C591" s="1" t="n">
        <v>46065</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37558-2023</t>
        </is>
      </c>
      <c r="B592" s="1" t="n">
        <v>45159.34511574074</v>
      </c>
      <c r="C592" s="1" t="n">
        <v>46065</v>
      </c>
      <c r="D592" t="inlineStr">
        <is>
          <t>VÄSTERNORRLANDS LÄN</t>
        </is>
      </c>
      <c r="E592" t="inlineStr">
        <is>
          <t>ÅNGE</t>
        </is>
      </c>
      <c r="F592" t="inlineStr">
        <is>
          <t>Kyrkan</t>
        </is>
      </c>
      <c r="G592" t="n">
        <v>5.6</v>
      </c>
      <c r="H592" t="n">
        <v>0</v>
      </c>
      <c r="I592" t="n">
        <v>0</v>
      </c>
      <c r="J592" t="n">
        <v>0</v>
      </c>
      <c r="K592" t="n">
        <v>0</v>
      </c>
      <c r="L592" t="n">
        <v>0</v>
      </c>
      <c r="M592" t="n">
        <v>0</v>
      </c>
      <c r="N592" t="n">
        <v>0</v>
      </c>
      <c r="O592" t="n">
        <v>0</v>
      </c>
      <c r="P592" t="n">
        <v>0</v>
      </c>
      <c r="Q592" t="n">
        <v>0</v>
      </c>
      <c r="R592" s="2" t="inlineStr"/>
    </row>
    <row r="593" ht="15" customHeight="1">
      <c r="A593" t="inlineStr">
        <is>
          <t>A 34852-2023</t>
        </is>
      </c>
      <c r="B593" s="1" t="n">
        <v>45141</v>
      </c>
      <c r="C593" s="1" t="n">
        <v>46065</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8406-2023</t>
        </is>
      </c>
      <c r="B594" s="1" t="n">
        <v>44971</v>
      </c>
      <c r="C594" s="1" t="n">
        <v>46065</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19798-2025</t>
        </is>
      </c>
      <c r="B595" s="1" t="n">
        <v>45771.44824074074</v>
      </c>
      <c r="C595" s="1" t="n">
        <v>46065</v>
      </c>
      <c r="D595" t="inlineStr">
        <is>
          <t>VÄSTERNORRLANDS LÄN</t>
        </is>
      </c>
      <c r="E595" t="inlineStr">
        <is>
          <t>ÅNGE</t>
        </is>
      </c>
      <c r="F595" t="inlineStr">
        <is>
          <t>SCA</t>
        </is>
      </c>
      <c r="G595" t="n">
        <v>4.8</v>
      </c>
      <c r="H595" t="n">
        <v>0</v>
      </c>
      <c r="I595" t="n">
        <v>0</v>
      </c>
      <c r="J595" t="n">
        <v>0</v>
      </c>
      <c r="K595" t="n">
        <v>0</v>
      </c>
      <c r="L595" t="n">
        <v>0</v>
      </c>
      <c r="M595" t="n">
        <v>0</v>
      </c>
      <c r="N595" t="n">
        <v>0</v>
      </c>
      <c r="O595" t="n">
        <v>0</v>
      </c>
      <c r="P595" t="n">
        <v>0</v>
      </c>
      <c r="Q595" t="n">
        <v>0</v>
      </c>
      <c r="R595" s="2" t="inlineStr"/>
    </row>
    <row r="596" ht="15" customHeight="1">
      <c r="A596" t="inlineStr">
        <is>
          <t>A 4651-2022</t>
        </is>
      </c>
      <c r="B596" s="1" t="n">
        <v>44592</v>
      </c>
      <c r="C596" s="1" t="n">
        <v>46065</v>
      </c>
      <c r="D596" t="inlineStr">
        <is>
          <t>VÄSTERNORRLANDS LÄN</t>
        </is>
      </c>
      <c r="E596" t="inlineStr">
        <is>
          <t>ÅNGE</t>
        </is>
      </c>
      <c r="G596" t="n">
        <v>1.7</v>
      </c>
      <c r="H596" t="n">
        <v>0</v>
      </c>
      <c r="I596" t="n">
        <v>0</v>
      </c>
      <c r="J596" t="n">
        <v>0</v>
      </c>
      <c r="K596" t="n">
        <v>0</v>
      </c>
      <c r="L596" t="n">
        <v>0</v>
      </c>
      <c r="M596" t="n">
        <v>0</v>
      </c>
      <c r="N596" t="n">
        <v>0</v>
      </c>
      <c r="O596" t="n">
        <v>0</v>
      </c>
      <c r="P596" t="n">
        <v>0</v>
      </c>
      <c r="Q596" t="n">
        <v>0</v>
      </c>
      <c r="R596" s="2" t="inlineStr"/>
    </row>
    <row r="597" ht="15" customHeight="1">
      <c r="A597" t="inlineStr">
        <is>
          <t>A 26193-2025</t>
        </is>
      </c>
      <c r="B597" s="1" t="n">
        <v>45805.48922453704</v>
      </c>
      <c r="C597" s="1" t="n">
        <v>46065</v>
      </c>
      <c r="D597" t="inlineStr">
        <is>
          <t>VÄSTERNORRLANDS LÄN</t>
        </is>
      </c>
      <c r="E597" t="inlineStr">
        <is>
          <t>ÅNGE</t>
        </is>
      </c>
      <c r="G597" t="n">
        <v>2.3</v>
      </c>
      <c r="H597" t="n">
        <v>0</v>
      </c>
      <c r="I597" t="n">
        <v>0</v>
      </c>
      <c r="J597" t="n">
        <v>0</v>
      </c>
      <c r="K597" t="n">
        <v>0</v>
      </c>
      <c r="L597" t="n">
        <v>0</v>
      </c>
      <c r="M597" t="n">
        <v>0</v>
      </c>
      <c r="N597" t="n">
        <v>0</v>
      </c>
      <c r="O597" t="n">
        <v>0</v>
      </c>
      <c r="P597" t="n">
        <v>0</v>
      </c>
      <c r="Q597" t="n">
        <v>0</v>
      </c>
      <c r="R597" s="2" t="inlineStr"/>
    </row>
    <row r="598" ht="15" customHeight="1">
      <c r="A598" t="inlineStr">
        <is>
          <t>A 45933-2023</t>
        </is>
      </c>
      <c r="B598" s="1" t="n">
        <v>45195</v>
      </c>
      <c r="C598" s="1" t="n">
        <v>46065</v>
      </c>
      <c r="D598" t="inlineStr">
        <is>
          <t>VÄSTERNORRLANDS LÄN</t>
        </is>
      </c>
      <c r="E598" t="inlineStr">
        <is>
          <t>ÅNGE</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26388-2025</t>
        </is>
      </c>
      <c r="B599" s="1" t="n">
        <v>45806.51069444444</v>
      </c>
      <c r="C599" s="1" t="n">
        <v>46065</v>
      </c>
      <c r="D599" t="inlineStr">
        <is>
          <t>VÄSTERNORRLANDS LÄN</t>
        </is>
      </c>
      <c r="E599" t="inlineStr">
        <is>
          <t>ÅNGE</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26365-2025</t>
        </is>
      </c>
      <c r="B600" s="1" t="n">
        <v>45806.34412037037</v>
      </c>
      <c r="C600" s="1" t="n">
        <v>46065</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57601-2022</t>
        </is>
      </c>
      <c r="B601" s="1" t="n">
        <v>44896</v>
      </c>
      <c r="C601" s="1" t="n">
        <v>46065</v>
      </c>
      <c r="D601" t="inlineStr">
        <is>
          <t>VÄSTERNORRLANDS LÄN</t>
        </is>
      </c>
      <c r="E601" t="inlineStr">
        <is>
          <t>ÅNGE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26389-2025</t>
        </is>
      </c>
      <c r="B602" s="1" t="n">
        <v>45806.51078703703</v>
      </c>
      <c r="C602" s="1" t="n">
        <v>46065</v>
      </c>
      <c r="D602" t="inlineStr">
        <is>
          <t>VÄSTERNORRLANDS LÄN</t>
        </is>
      </c>
      <c r="E602" t="inlineStr">
        <is>
          <t>ÅNGE</t>
        </is>
      </c>
      <c r="F602" t="inlineStr">
        <is>
          <t>SCA</t>
        </is>
      </c>
      <c r="G602" t="n">
        <v>11.9</v>
      </c>
      <c r="H602" t="n">
        <v>0</v>
      </c>
      <c r="I602" t="n">
        <v>0</v>
      </c>
      <c r="J602" t="n">
        <v>0</v>
      </c>
      <c r="K602" t="n">
        <v>0</v>
      </c>
      <c r="L602" t="n">
        <v>0</v>
      </c>
      <c r="M602" t="n">
        <v>0</v>
      </c>
      <c r="N602" t="n">
        <v>0</v>
      </c>
      <c r="O602" t="n">
        <v>0</v>
      </c>
      <c r="P602" t="n">
        <v>0</v>
      </c>
      <c r="Q602" t="n">
        <v>0</v>
      </c>
      <c r="R602" s="2" t="inlineStr"/>
    </row>
    <row r="603" ht="15" customHeight="1">
      <c r="A603" t="inlineStr">
        <is>
          <t>A 21262-2025</t>
        </is>
      </c>
      <c r="B603" s="1" t="n">
        <v>45779</v>
      </c>
      <c r="C603" s="1" t="n">
        <v>46065</v>
      </c>
      <c r="D603" t="inlineStr">
        <is>
          <t>VÄSTERNORRLANDS LÄN</t>
        </is>
      </c>
      <c r="E603" t="inlineStr">
        <is>
          <t>ÅNGE</t>
        </is>
      </c>
      <c r="F603" t="inlineStr">
        <is>
          <t>Sveaskog</t>
        </is>
      </c>
      <c r="G603" t="n">
        <v>9</v>
      </c>
      <c r="H603" t="n">
        <v>0</v>
      </c>
      <c r="I603" t="n">
        <v>0</v>
      </c>
      <c r="J603" t="n">
        <v>0</v>
      </c>
      <c r="K603" t="n">
        <v>0</v>
      </c>
      <c r="L603" t="n">
        <v>0</v>
      </c>
      <c r="M603" t="n">
        <v>0</v>
      </c>
      <c r="N603" t="n">
        <v>0</v>
      </c>
      <c r="O603" t="n">
        <v>0</v>
      </c>
      <c r="P603" t="n">
        <v>0</v>
      </c>
      <c r="Q603" t="n">
        <v>0</v>
      </c>
      <c r="R603" s="2" t="inlineStr"/>
    </row>
    <row r="604" ht="15" customHeight="1">
      <c r="A604" t="inlineStr">
        <is>
          <t>A 26366-2025</t>
        </is>
      </c>
      <c r="B604" s="1" t="n">
        <v>45806.34424768519</v>
      </c>
      <c r="C604" s="1" t="n">
        <v>46065</v>
      </c>
      <c r="D604" t="inlineStr">
        <is>
          <t>VÄSTERNORRLANDS LÄN</t>
        </is>
      </c>
      <c r="E604" t="inlineStr">
        <is>
          <t>ÅNGE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34649-2024</t>
        </is>
      </c>
      <c r="B605" s="1" t="n">
        <v>45526.48325231481</v>
      </c>
      <c r="C605" s="1" t="n">
        <v>46065</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10558-2023</t>
        </is>
      </c>
      <c r="B606" s="1" t="n">
        <v>44987.94438657408</v>
      </c>
      <c r="C606" s="1" t="n">
        <v>46065</v>
      </c>
      <c r="D606" t="inlineStr">
        <is>
          <t>VÄSTERNORRLANDS LÄN</t>
        </is>
      </c>
      <c r="E606" t="inlineStr">
        <is>
          <t>ÅNGE</t>
        </is>
      </c>
      <c r="F606" t="inlineStr">
        <is>
          <t>SCA</t>
        </is>
      </c>
      <c r="G606" t="n">
        <v>3.3</v>
      </c>
      <c r="H606" t="n">
        <v>0</v>
      </c>
      <c r="I606" t="n">
        <v>0</v>
      </c>
      <c r="J606" t="n">
        <v>0</v>
      </c>
      <c r="K606" t="n">
        <v>0</v>
      </c>
      <c r="L606" t="n">
        <v>0</v>
      </c>
      <c r="M606" t="n">
        <v>0</v>
      </c>
      <c r="N606" t="n">
        <v>0</v>
      </c>
      <c r="O606" t="n">
        <v>0</v>
      </c>
      <c r="P606" t="n">
        <v>0</v>
      </c>
      <c r="Q606" t="n">
        <v>0</v>
      </c>
      <c r="R606" s="2" t="inlineStr"/>
    </row>
    <row r="607" ht="15" customHeight="1">
      <c r="A607" t="inlineStr">
        <is>
          <t>A 49487-2024</t>
        </is>
      </c>
      <c r="B607" s="1" t="n">
        <v>45596.35813657408</v>
      </c>
      <c r="C607" s="1" t="n">
        <v>46065</v>
      </c>
      <c r="D607" t="inlineStr">
        <is>
          <t>VÄSTERNORRLANDS LÄN</t>
        </is>
      </c>
      <c r="E607" t="inlineStr">
        <is>
          <t>ÅNGE</t>
        </is>
      </c>
      <c r="G607" t="n">
        <v>4.3</v>
      </c>
      <c r="H607" t="n">
        <v>0</v>
      </c>
      <c r="I607" t="n">
        <v>0</v>
      </c>
      <c r="J607" t="n">
        <v>0</v>
      </c>
      <c r="K607" t="n">
        <v>0</v>
      </c>
      <c r="L607" t="n">
        <v>0</v>
      </c>
      <c r="M607" t="n">
        <v>0</v>
      </c>
      <c r="N607" t="n">
        <v>0</v>
      </c>
      <c r="O607" t="n">
        <v>0</v>
      </c>
      <c r="P607" t="n">
        <v>0</v>
      </c>
      <c r="Q607" t="n">
        <v>0</v>
      </c>
      <c r="R607" s="2" t="inlineStr"/>
    </row>
    <row r="608" ht="15" customHeight="1">
      <c r="A608" t="inlineStr">
        <is>
          <t>A 44606-2024</t>
        </is>
      </c>
      <c r="B608" s="1" t="n">
        <v>45574.51195601852</v>
      </c>
      <c r="C608" s="1" t="n">
        <v>46065</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44626-2024</t>
        </is>
      </c>
      <c r="B609" s="1" t="n">
        <v>45574.51378472222</v>
      </c>
      <c r="C609" s="1" t="n">
        <v>46065</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26655-2025</t>
        </is>
      </c>
      <c r="B610" s="1" t="n">
        <v>45810.39047453704</v>
      </c>
      <c r="C610" s="1" t="n">
        <v>46065</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25973-2022</t>
        </is>
      </c>
      <c r="B611" s="1" t="n">
        <v>44734</v>
      </c>
      <c r="C611" s="1" t="n">
        <v>46065</v>
      </c>
      <c r="D611" t="inlineStr">
        <is>
          <t>VÄSTERNORRLANDS LÄN</t>
        </is>
      </c>
      <c r="E611" t="inlineStr">
        <is>
          <t>ÅNGE</t>
        </is>
      </c>
      <c r="G611" t="n">
        <v>4.1</v>
      </c>
      <c r="H611" t="n">
        <v>0</v>
      </c>
      <c r="I611" t="n">
        <v>0</v>
      </c>
      <c r="J611" t="n">
        <v>0</v>
      </c>
      <c r="K611" t="n">
        <v>0</v>
      </c>
      <c r="L611" t="n">
        <v>0</v>
      </c>
      <c r="M611" t="n">
        <v>0</v>
      </c>
      <c r="N611" t="n">
        <v>0</v>
      </c>
      <c r="O611" t="n">
        <v>0</v>
      </c>
      <c r="P611" t="n">
        <v>0</v>
      </c>
      <c r="Q611" t="n">
        <v>0</v>
      </c>
      <c r="R611" s="2" t="inlineStr"/>
    </row>
    <row r="612" ht="15" customHeight="1">
      <c r="A612" t="inlineStr">
        <is>
          <t>A 26608-2025</t>
        </is>
      </c>
      <c r="B612" s="1" t="n">
        <v>45809.98600694445</v>
      </c>
      <c r="C612" s="1" t="n">
        <v>46065</v>
      </c>
      <c r="D612" t="inlineStr">
        <is>
          <t>VÄSTERNORRLANDS LÄN</t>
        </is>
      </c>
      <c r="E612" t="inlineStr">
        <is>
          <t>ÅNGE</t>
        </is>
      </c>
      <c r="G612" t="n">
        <v>4.5</v>
      </c>
      <c r="H612" t="n">
        <v>0</v>
      </c>
      <c r="I612" t="n">
        <v>0</v>
      </c>
      <c r="J612" t="n">
        <v>0</v>
      </c>
      <c r="K612" t="n">
        <v>0</v>
      </c>
      <c r="L612" t="n">
        <v>0</v>
      </c>
      <c r="M612" t="n">
        <v>0</v>
      </c>
      <c r="N612" t="n">
        <v>0</v>
      </c>
      <c r="O612" t="n">
        <v>0</v>
      </c>
      <c r="P612" t="n">
        <v>0</v>
      </c>
      <c r="Q612" t="n">
        <v>0</v>
      </c>
      <c r="R612" s="2" t="inlineStr"/>
    </row>
    <row r="613" ht="15" customHeight="1">
      <c r="A613" t="inlineStr">
        <is>
          <t>A 34679-2024</t>
        </is>
      </c>
      <c r="B613" s="1" t="n">
        <v>45526</v>
      </c>
      <c r="C613" s="1" t="n">
        <v>46065</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61781-2023</t>
        </is>
      </c>
      <c r="B614" s="1" t="n">
        <v>45265.95708333333</v>
      </c>
      <c r="C614" s="1" t="n">
        <v>46065</v>
      </c>
      <c r="D614" t="inlineStr">
        <is>
          <t>VÄSTERNORRLANDS LÄN</t>
        </is>
      </c>
      <c r="E614" t="inlineStr">
        <is>
          <t>ÅNGE</t>
        </is>
      </c>
      <c r="F614" t="inlineStr">
        <is>
          <t>SCA</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42242-2023</t>
        </is>
      </c>
      <c r="B615" s="1" t="n">
        <v>45180.35025462963</v>
      </c>
      <c r="C615" s="1" t="n">
        <v>46065</v>
      </c>
      <c r="D615" t="inlineStr">
        <is>
          <t>VÄSTERNORRLANDS LÄN</t>
        </is>
      </c>
      <c r="E615" t="inlineStr">
        <is>
          <t>ÅNGE</t>
        </is>
      </c>
      <c r="G615" t="n">
        <v>5.7</v>
      </c>
      <c r="H615" t="n">
        <v>0</v>
      </c>
      <c r="I615" t="n">
        <v>0</v>
      </c>
      <c r="J615" t="n">
        <v>0</v>
      </c>
      <c r="K615" t="n">
        <v>0</v>
      </c>
      <c r="L615" t="n">
        <v>0</v>
      </c>
      <c r="M615" t="n">
        <v>0</v>
      </c>
      <c r="N615" t="n">
        <v>0</v>
      </c>
      <c r="O615" t="n">
        <v>0</v>
      </c>
      <c r="P615" t="n">
        <v>0</v>
      </c>
      <c r="Q615" t="n">
        <v>0</v>
      </c>
      <c r="R615" s="2" t="inlineStr"/>
    </row>
    <row r="616" ht="15" customHeight="1">
      <c r="A616" t="inlineStr">
        <is>
          <t>A 58445-2022</t>
        </is>
      </c>
      <c r="B616" s="1" t="n">
        <v>44901.95453703704</v>
      </c>
      <c r="C616" s="1" t="n">
        <v>46065</v>
      </c>
      <c r="D616" t="inlineStr">
        <is>
          <t>VÄSTERNORRLANDS LÄN</t>
        </is>
      </c>
      <c r="E616" t="inlineStr">
        <is>
          <t>ÅNGE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23058-2024</t>
        </is>
      </c>
      <c r="B617" s="1" t="n">
        <v>45450.44020833333</v>
      </c>
      <c r="C617" s="1" t="n">
        <v>46065</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49187-2024</t>
        </is>
      </c>
      <c r="B618" s="1" t="n">
        <v>45595.34490740741</v>
      </c>
      <c r="C618" s="1" t="n">
        <v>46065</v>
      </c>
      <c r="D618" t="inlineStr">
        <is>
          <t>VÄSTERNORRLANDS LÄN</t>
        </is>
      </c>
      <c r="E618" t="inlineStr">
        <is>
          <t>ÅNGE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36790-2023</t>
        </is>
      </c>
      <c r="B619" s="1" t="n">
        <v>45154.36418981481</v>
      </c>
      <c r="C619" s="1" t="n">
        <v>46065</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64946-2023</t>
        </is>
      </c>
      <c r="B620" s="1" t="n">
        <v>45282.94678240741</v>
      </c>
      <c r="C620" s="1" t="n">
        <v>46065</v>
      </c>
      <c r="D620" t="inlineStr">
        <is>
          <t>VÄSTERNORRLANDS LÄN</t>
        </is>
      </c>
      <c r="E620" t="inlineStr">
        <is>
          <t>ÅNGE</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26734-2025</t>
        </is>
      </c>
      <c r="B621" s="1" t="n">
        <v>45810.51087962963</v>
      </c>
      <c r="C621" s="1" t="n">
        <v>46065</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28873-2024</t>
        </is>
      </c>
      <c r="B622" s="1" t="n">
        <v>45478.94766203704</v>
      </c>
      <c r="C622" s="1" t="n">
        <v>46065</v>
      </c>
      <c r="D622" t="inlineStr">
        <is>
          <t>VÄSTERNORRLANDS LÄN</t>
        </is>
      </c>
      <c r="E622" t="inlineStr">
        <is>
          <t>ÅNGE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31563-2024</t>
        </is>
      </c>
      <c r="B623" s="1" t="n">
        <v>45505</v>
      </c>
      <c r="C623" s="1" t="n">
        <v>46065</v>
      </c>
      <c r="D623" t="inlineStr">
        <is>
          <t>VÄSTERNORRLANDS LÄN</t>
        </is>
      </c>
      <c r="E623" t="inlineStr">
        <is>
          <t>ÅNGE</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34705-2023</t>
        </is>
      </c>
      <c r="B624" s="1" t="n">
        <v>45140.96452546296</v>
      </c>
      <c r="C624" s="1" t="n">
        <v>46065</v>
      </c>
      <c r="D624" t="inlineStr">
        <is>
          <t>VÄSTERNORRLANDS LÄN</t>
        </is>
      </c>
      <c r="E624" t="inlineStr">
        <is>
          <t>ÅNGE</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27023-2025</t>
        </is>
      </c>
      <c r="B625" s="1" t="n">
        <v>45811.57342592593</v>
      </c>
      <c r="C625" s="1" t="n">
        <v>46065</v>
      </c>
      <c r="D625" t="inlineStr">
        <is>
          <t>VÄSTERNORRLANDS LÄN</t>
        </is>
      </c>
      <c r="E625" t="inlineStr">
        <is>
          <t>ÅNGE</t>
        </is>
      </c>
      <c r="G625" t="n">
        <v>0.3</v>
      </c>
      <c r="H625" t="n">
        <v>0</v>
      </c>
      <c r="I625" t="n">
        <v>0</v>
      </c>
      <c r="J625" t="n">
        <v>0</v>
      </c>
      <c r="K625" t="n">
        <v>0</v>
      </c>
      <c r="L625" t="n">
        <v>0</v>
      </c>
      <c r="M625" t="n">
        <v>0</v>
      </c>
      <c r="N625" t="n">
        <v>0</v>
      </c>
      <c r="O625" t="n">
        <v>0</v>
      </c>
      <c r="P625" t="n">
        <v>0</v>
      </c>
      <c r="Q625" t="n">
        <v>0</v>
      </c>
      <c r="R625" s="2" t="inlineStr"/>
    </row>
    <row r="626" ht="15" customHeight="1">
      <c r="A626" t="inlineStr">
        <is>
          <t>A 34750-2023</t>
        </is>
      </c>
      <c r="B626" s="1" t="n">
        <v>45139</v>
      </c>
      <c r="C626" s="1" t="n">
        <v>46065</v>
      </c>
      <c r="D626" t="inlineStr">
        <is>
          <t>VÄSTERNORRLANDS LÄN</t>
        </is>
      </c>
      <c r="E626" t="inlineStr">
        <is>
          <t>ÅNGE</t>
        </is>
      </c>
      <c r="G626" t="n">
        <v>2.9</v>
      </c>
      <c r="H626" t="n">
        <v>0</v>
      </c>
      <c r="I626" t="n">
        <v>0</v>
      </c>
      <c r="J626" t="n">
        <v>0</v>
      </c>
      <c r="K626" t="n">
        <v>0</v>
      </c>
      <c r="L626" t="n">
        <v>0</v>
      </c>
      <c r="M626" t="n">
        <v>0</v>
      </c>
      <c r="N626" t="n">
        <v>0</v>
      </c>
      <c r="O626" t="n">
        <v>0</v>
      </c>
      <c r="P626" t="n">
        <v>0</v>
      </c>
      <c r="Q626" t="n">
        <v>0</v>
      </c>
      <c r="R626" s="2" t="inlineStr"/>
    </row>
    <row r="627" ht="15" customHeight="1">
      <c r="A627" t="inlineStr">
        <is>
          <t>A 27164-2025</t>
        </is>
      </c>
      <c r="B627" s="1" t="n">
        <v>45812.34430555555</v>
      </c>
      <c r="C627" s="1" t="n">
        <v>46065</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69790-2021</t>
        </is>
      </c>
      <c r="B628" s="1" t="n">
        <v>44532.605625</v>
      </c>
      <c r="C628" s="1" t="n">
        <v>46065</v>
      </c>
      <c r="D628" t="inlineStr">
        <is>
          <t>VÄSTERNORRLANDS LÄN</t>
        </is>
      </c>
      <c r="E628" t="inlineStr">
        <is>
          <t>ÅNGE</t>
        </is>
      </c>
      <c r="G628" t="n">
        <v>1.9</v>
      </c>
      <c r="H628" t="n">
        <v>0</v>
      </c>
      <c r="I628" t="n">
        <v>0</v>
      </c>
      <c r="J628" t="n">
        <v>0</v>
      </c>
      <c r="K628" t="n">
        <v>0</v>
      </c>
      <c r="L628" t="n">
        <v>0</v>
      </c>
      <c r="M628" t="n">
        <v>0</v>
      </c>
      <c r="N628" t="n">
        <v>0</v>
      </c>
      <c r="O628" t="n">
        <v>0</v>
      </c>
      <c r="P628" t="n">
        <v>0</v>
      </c>
      <c r="Q628" t="n">
        <v>0</v>
      </c>
      <c r="R628" s="2" t="inlineStr"/>
    </row>
    <row r="629" ht="15" customHeight="1">
      <c r="A629" t="inlineStr">
        <is>
          <t>A 3330-2025</t>
        </is>
      </c>
      <c r="B629" s="1" t="n">
        <v>45679.70041666667</v>
      </c>
      <c r="C629" s="1" t="n">
        <v>46065</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26901-2025</t>
        </is>
      </c>
      <c r="B630" s="1" t="n">
        <v>45811.34457175926</v>
      </c>
      <c r="C630" s="1" t="n">
        <v>46065</v>
      </c>
      <c r="D630" t="inlineStr">
        <is>
          <t>VÄSTERNORRLANDS LÄN</t>
        </is>
      </c>
      <c r="E630" t="inlineStr">
        <is>
          <t>ÅNGE</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46681-2023</t>
        </is>
      </c>
      <c r="B631" s="1" t="n">
        <v>45198</v>
      </c>
      <c r="C631" s="1" t="n">
        <v>46065</v>
      </c>
      <c r="D631" t="inlineStr">
        <is>
          <t>VÄSTERNORRLANDS LÄN</t>
        </is>
      </c>
      <c r="E631" t="inlineStr">
        <is>
          <t>ÅNGE</t>
        </is>
      </c>
      <c r="G631" t="n">
        <v>0.8</v>
      </c>
      <c r="H631" t="n">
        <v>0</v>
      </c>
      <c r="I631" t="n">
        <v>0</v>
      </c>
      <c r="J631" t="n">
        <v>0</v>
      </c>
      <c r="K631" t="n">
        <v>0</v>
      </c>
      <c r="L631" t="n">
        <v>0</v>
      </c>
      <c r="M631" t="n">
        <v>0</v>
      </c>
      <c r="N631" t="n">
        <v>0</v>
      </c>
      <c r="O631" t="n">
        <v>0</v>
      </c>
      <c r="P631" t="n">
        <v>0</v>
      </c>
      <c r="Q631" t="n">
        <v>0</v>
      </c>
      <c r="R631" s="2" t="inlineStr"/>
    </row>
    <row r="632" ht="15" customHeight="1">
      <c r="A632" t="inlineStr">
        <is>
          <t>A 33750-2024</t>
        </is>
      </c>
      <c r="B632" s="1" t="n">
        <v>45520.56475694444</v>
      </c>
      <c r="C632" s="1" t="n">
        <v>46065</v>
      </c>
      <c r="D632" t="inlineStr">
        <is>
          <t>VÄSTERNORRLANDS LÄN</t>
        </is>
      </c>
      <c r="E632" t="inlineStr">
        <is>
          <t>ÅNGE</t>
        </is>
      </c>
      <c r="G632" t="n">
        <v>1.3</v>
      </c>
      <c r="H632" t="n">
        <v>0</v>
      </c>
      <c r="I632" t="n">
        <v>0</v>
      </c>
      <c r="J632" t="n">
        <v>0</v>
      </c>
      <c r="K632" t="n">
        <v>0</v>
      </c>
      <c r="L632" t="n">
        <v>0</v>
      </c>
      <c r="M632" t="n">
        <v>0</v>
      </c>
      <c r="N632" t="n">
        <v>0</v>
      </c>
      <c r="O632" t="n">
        <v>0</v>
      </c>
      <c r="P632" t="n">
        <v>0</v>
      </c>
      <c r="Q632" t="n">
        <v>0</v>
      </c>
      <c r="R632" s="2" t="inlineStr"/>
    </row>
    <row r="633" ht="15" customHeight="1">
      <c r="A633" t="inlineStr">
        <is>
          <t>A 41586-2024</t>
        </is>
      </c>
      <c r="B633" s="1" t="n">
        <v>45560.56089120371</v>
      </c>
      <c r="C633" s="1" t="n">
        <v>46065</v>
      </c>
      <c r="D633" t="inlineStr">
        <is>
          <t>VÄSTERNORRLANDS LÄN</t>
        </is>
      </c>
      <c r="E633" t="inlineStr">
        <is>
          <t>ÅNGE</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27165-2025</t>
        </is>
      </c>
      <c r="B634" s="1" t="n">
        <v>45812.34440972222</v>
      </c>
      <c r="C634" s="1" t="n">
        <v>46065</v>
      </c>
      <c r="D634" t="inlineStr">
        <is>
          <t>VÄSTERNORRLANDS LÄN</t>
        </is>
      </c>
      <c r="E634" t="inlineStr">
        <is>
          <t>ÅNGE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5931-2025</t>
        </is>
      </c>
      <c r="B635" s="1" t="n">
        <v>45695.44827546296</v>
      </c>
      <c r="C635" s="1" t="n">
        <v>46065</v>
      </c>
      <c r="D635" t="inlineStr">
        <is>
          <t>VÄSTERNORRLANDS LÄN</t>
        </is>
      </c>
      <c r="E635" t="inlineStr">
        <is>
          <t>ÅNGE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48946-2024</t>
        </is>
      </c>
      <c r="B636" s="1" t="n">
        <v>45594.42736111111</v>
      </c>
      <c r="C636" s="1" t="n">
        <v>46065</v>
      </c>
      <c r="D636" t="inlineStr">
        <is>
          <t>VÄSTERNORRLANDS LÄN</t>
        </is>
      </c>
      <c r="E636" t="inlineStr">
        <is>
          <t>ÅNGE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22988-2024</t>
        </is>
      </c>
      <c r="B637" s="1" t="n">
        <v>45449.94530092592</v>
      </c>
      <c r="C637" s="1" t="n">
        <v>46065</v>
      </c>
      <c r="D637" t="inlineStr">
        <is>
          <t>VÄSTERNORRLANDS LÄN</t>
        </is>
      </c>
      <c r="E637" t="inlineStr">
        <is>
          <t>ÅNGE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3023-2023</t>
        </is>
      </c>
      <c r="B638" s="1" t="n">
        <v>44945</v>
      </c>
      <c r="C638" s="1" t="n">
        <v>46065</v>
      </c>
      <c r="D638" t="inlineStr">
        <is>
          <t>VÄSTERNORRLANDS LÄN</t>
        </is>
      </c>
      <c r="E638" t="inlineStr">
        <is>
          <t>ÅNGE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3025-2023</t>
        </is>
      </c>
      <c r="B639" s="1" t="n">
        <v>44945</v>
      </c>
      <c r="C639" s="1" t="n">
        <v>46065</v>
      </c>
      <c r="D639" t="inlineStr">
        <is>
          <t>VÄSTERNORRLANDS LÄN</t>
        </is>
      </c>
      <c r="E639" t="inlineStr">
        <is>
          <t>ÅNGE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27545-2025</t>
        </is>
      </c>
      <c r="B640" s="1" t="n">
        <v>45813.46942129629</v>
      </c>
      <c r="C640" s="1" t="n">
        <v>46065</v>
      </c>
      <c r="D640" t="inlineStr">
        <is>
          <t>VÄSTERNORRLANDS LÄN</t>
        </is>
      </c>
      <c r="E640" t="inlineStr">
        <is>
          <t>ÅNGE</t>
        </is>
      </c>
      <c r="F640" t="inlineStr">
        <is>
          <t>SCA</t>
        </is>
      </c>
      <c r="G640" t="n">
        <v>14.3</v>
      </c>
      <c r="H640" t="n">
        <v>0</v>
      </c>
      <c r="I640" t="n">
        <v>0</v>
      </c>
      <c r="J640" t="n">
        <v>0</v>
      </c>
      <c r="K640" t="n">
        <v>0</v>
      </c>
      <c r="L640" t="n">
        <v>0</v>
      </c>
      <c r="M640" t="n">
        <v>0</v>
      </c>
      <c r="N640" t="n">
        <v>0</v>
      </c>
      <c r="O640" t="n">
        <v>0</v>
      </c>
      <c r="P640" t="n">
        <v>0</v>
      </c>
      <c r="Q640" t="n">
        <v>0</v>
      </c>
      <c r="R640" s="2" t="inlineStr"/>
    </row>
    <row r="641" ht="15" customHeight="1">
      <c r="A641" t="inlineStr">
        <is>
          <t>A 27572-2025</t>
        </is>
      </c>
      <c r="B641" s="1" t="n">
        <v>45813.49049768518</v>
      </c>
      <c r="C641" s="1" t="n">
        <v>46065</v>
      </c>
      <c r="D641" t="inlineStr">
        <is>
          <t>VÄSTERNORRLANDS LÄN</t>
        </is>
      </c>
      <c r="E641" t="inlineStr">
        <is>
          <t>ÅNGE</t>
        </is>
      </c>
      <c r="F641" t="inlineStr">
        <is>
          <t>SCA</t>
        </is>
      </c>
      <c r="G641" t="n">
        <v>14.3</v>
      </c>
      <c r="H641" t="n">
        <v>0</v>
      </c>
      <c r="I641" t="n">
        <v>0</v>
      </c>
      <c r="J641" t="n">
        <v>0</v>
      </c>
      <c r="K641" t="n">
        <v>0</v>
      </c>
      <c r="L641" t="n">
        <v>0</v>
      </c>
      <c r="M641" t="n">
        <v>0</v>
      </c>
      <c r="N641" t="n">
        <v>0</v>
      </c>
      <c r="O641" t="n">
        <v>0</v>
      </c>
      <c r="P641" t="n">
        <v>0</v>
      </c>
      <c r="Q641" t="n">
        <v>0</v>
      </c>
      <c r="R641" s="2" t="inlineStr"/>
    </row>
    <row r="642" ht="15" customHeight="1">
      <c r="A642" t="inlineStr">
        <is>
          <t>A 27606-2025</t>
        </is>
      </c>
      <c r="B642" s="1" t="n">
        <v>45813.53200231482</v>
      </c>
      <c r="C642" s="1" t="n">
        <v>46065</v>
      </c>
      <c r="D642" t="inlineStr">
        <is>
          <t>VÄSTERNORRLANDS LÄN</t>
        </is>
      </c>
      <c r="E642" t="inlineStr">
        <is>
          <t>ÅNGE</t>
        </is>
      </c>
      <c r="F642" t="inlineStr">
        <is>
          <t>SCA</t>
        </is>
      </c>
      <c r="G642" t="n">
        <v>6.3</v>
      </c>
      <c r="H642" t="n">
        <v>0</v>
      </c>
      <c r="I642" t="n">
        <v>0</v>
      </c>
      <c r="J642" t="n">
        <v>0</v>
      </c>
      <c r="K642" t="n">
        <v>0</v>
      </c>
      <c r="L642" t="n">
        <v>0</v>
      </c>
      <c r="M642" t="n">
        <v>0</v>
      </c>
      <c r="N642" t="n">
        <v>0</v>
      </c>
      <c r="O642" t="n">
        <v>0</v>
      </c>
      <c r="P642" t="n">
        <v>0</v>
      </c>
      <c r="Q642" t="n">
        <v>0</v>
      </c>
      <c r="R642" s="2" t="inlineStr"/>
    </row>
    <row r="643" ht="15" customHeight="1">
      <c r="A643" t="inlineStr">
        <is>
          <t>A 38002-2024</t>
        </is>
      </c>
      <c r="B643" s="1" t="n">
        <v>45544.61484953704</v>
      </c>
      <c r="C643" s="1" t="n">
        <v>46065</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31568-2024</t>
        </is>
      </c>
      <c r="B644" s="1" t="n">
        <v>45505.96721064814</v>
      </c>
      <c r="C644" s="1" t="n">
        <v>46065</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31229-2023</t>
        </is>
      </c>
      <c r="B645" s="1" t="n">
        <v>45114</v>
      </c>
      <c r="C645" s="1" t="n">
        <v>46065</v>
      </c>
      <c r="D645" t="inlineStr">
        <is>
          <t>VÄSTERNORRLANDS LÄN</t>
        </is>
      </c>
      <c r="E645" t="inlineStr">
        <is>
          <t>ÅNGE</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44565-2024</t>
        </is>
      </c>
      <c r="B646" s="1" t="n">
        <v>45574.47518518518</v>
      </c>
      <c r="C646" s="1" t="n">
        <v>46065</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19997-2023</t>
        </is>
      </c>
      <c r="B647" s="1" t="n">
        <v>45054</v>
      </c>
      <c r="C647" s="1" t="n">
        <v>46065</v>
      </c>
      <c r="D647" t="inlineStr">
        <is>
          <t>VÄSTERNORRLANDS LÄN</t>
        </is>
      </c>
      <c r="E647" t="inlineStr">
        <is>
          <t>ÅNGE</t>
        </is>
      </c>
      <c r="G647" t="n">
        <v>0.3</v>
      </c>
      <c r="H647" t="n">
        <v>0</v>
      </c>
      <c r="I647" t="n">
        <v>0</v>
      </c>
      <c r="J647" t="n">
        <v>0</v>
      </c>
      <c r="K647" t="n">
        <v>0</v>
      </c>
      <c r="L647" t="n">
        <v>0</v>
      </c>
      <c r="M647" t="n">
        <v>0</v>
      </c>
      <c r="N647" t="n">
        <v>0</v>
      </c>
      <c r="O647" t="n">
        <v>0</v>
      </c>
      <c r="P647" t="n">
        <v>0</v>
      </c>
      <c r="Q647" t="n">
        <v>0</v>
      </c>
      <c r="R647" s="2" t="inlineStr"/>
    </row>
    <row r="648" ht="15" customHeight="1">
      <c r="A648" t="inlineStr">
        <is>
          <t>A 34959-2023</t>
        </is>
      </c>
      <c r="B648" s="1" t="n">
        <v>45142</v>
      </c>
      <c r="C648" s="1" t="n">
        <v>46065</v>
      </c>
      <c r="D648" t="inlineStr">
        <is>
          <t>VÄSTERNORRLANDS LÄN</t>
        </is>
      </c>
      <c r="E648" t="inlineStr">
        <is>
          <t>ÅNGE</t>
        </is>
      </c>
      <c r="F648" t="inlineStr">
        <is>
          <t>Sveaskog</t>
        </is>
      </c>
      <c r="G648" t="n">
        <v>6.6</v>
      </c>
      <c r="H648" t="n">
        <v>0</v>
      </c>
      <c r="I648" t="n">
        <v>0</v>
      </c>
      <c r="J648" t="n">
        <v>0</v>
      </c>
      <c r="K648" t="n">
        <v>0</v>
      </c>
      <c r="L648" t="n">
        <v>0</v>
      </c>
      <c r="M648" t="n">
        <v>0</v>
      </c>
      <c r="N648" t="n">
        <v>0</v>
      </c>
      <c r="O648" t="n">
        <v>0</v>
      </c>
      <c r="P648" t="n">
        <v>0</v>
      </c>
      <c r="Q648" t="n">
        <v>0</v>
      </c>
      <c r="R648" s="2" t="inlineStr"/>
    </row>
    <row r="649" ht="15" customHeight="1">
      <c r="A649" t="inlineStr">
        <is>
          <t>A 27639-2025</t>
        </is>
      </c>
      <c r="B649" s="1" t="n">
        <v>45813</v>
      </c>
      <c r="C649" s="1" t="n">
        <v>46065</v>
      </c>
      <c r="D649" t="inlineStr">
        <is>
          <t>VÄSTERNORRLANDS LÄN</t>
        </is>
      </c>
      <c r="E649" t="inlineStr">
        <is>
          <t>ÅNGE</t>
        </is>
      </c>
      <c r="G649" t="n">
        <v>22.9</v>
      </c>
      <c r="H649" t="n">
        <v>0</v>
      </c>
      <c r="I649" t="n">
        <v>0</v>
      </c>
      <c r="J649" t="n">
        <v>0</v>
      </c>
      <c r="K649" t="n">
        <v>0</v>
      </c>
      <c r="L649" t="n">
        <v>0</v>
      </c>
      <c r="M649" t="n">
        <v>0</v>
      </c>
      <c r="N649" t="n">
        <v>0</v>
      </c>
      <c r="O649" t="n">
        <v>0</v>
      </c>
      <c r="P649" t="n">
        <v>0</v>
      </c>
      <c r="Q649" t="n">
        <v>0</v>
      </c>
      <c r="R649" s="2" t="inlineStr"/>
    </row>
    <row r="650" ht="15" customHeight="1">
      <c r="A650" t="inlineStr">
        <is>
          <t>A 48690-2024</t>
        </is>
      </c>
      <c r="B650" s="1" t="n">
        <v>45593.50704861111</v>
      </c>
      <c r="C650" s="1" t="n">
        <v>46065</v>
      </c>
      <c r="D650" t="inlineStr">
        <is>
          <t>VÄSTERNORRLANDS LÄN</t>
        </is>
      </c>
      <c r="E650" t="inlineStr">
        <is>
          <t>ÅNGE</t>
        </is>
      </c>
      <c r="G650" t="n">
        <v>5</v>
      </c>
      <c r="H650" t="n">
        <v>0</v>
      </c>
      <c r="I650" t="n">
        <v>0</v>
      </c>
      <c r="J650" t="n">
        <v>0</v>
      </c>
      <c r="K650" t="n">
        <v>0</v>
      </c>
      <c r="L650" t="n">
        <v>0</v>
      </c>
      <c r="M650" t="n">
        <v>0</v>
      </c>
      <c r="N650" t="n">
        <v>0</v>
      </c>
      <c r="O650" t="n">
        <v>0</v>
      </c>
      <c r="P650" t="n">
        <v>0</v>
      </c>
      <c r="Q650" t="n">
        <v>0</v>
      </c>
      <c r="R650" s="2" t="inlineStr"/>
    </row>
    <row r="651" ht="15" customHeight="1">
      <c r="A651" t="inlineStr">
        <is>
          <t>A 54346-2023</t>
        </is>
      </c>
      <c r="B651" s="1" t="n">
        <v>45232.96087962963</v>
      </c>
      <c r="C651" s="1" t="n">
        <v>46065</v>
      </c>
      <c r="D651" t="inlineStr">
        <is>
          <t>VÄSTERNORRLANDS LÄN</t>
        </is>
      </c>
      <c r="E651" t="inlineStr">
        <is>
          <t>ÅNGE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28070-2025</t>
        </is>
      </c>
      <c r="B652" s="1" t="n">
        <v>45817.67739583334</v>
      </c>
      <c r="C652" s="1" t="n">
        <v>46065</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55328-2023</t>
        </is>
      </c>
      <c r="B653" s="1" t="n">
        <v>45237</v>
      </c>
      <c r="C653" s="1" t="n">
        <v>46065</v>
      </c>
      <c r="D653" t="inlineStr">
        <is>
          <t>VÄSTERNORRLANDS LÄN</t>
        </is>
      </c>
      <c r="E653" t="inlineStr">
        <is>
          <t>ÅNGE</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19342-2024</t>
        </is>
      </c>
      <c r="B654" s="1" t="n">
        <v>45428</v>
      </c>
      <c r="C654" s="1" t="n">
        <v>46065</v>
      </c>
      <c r="D654" t="inlineStr">
        <is>
          <t>VÄSTERNORRLANDS LÄN</t>
        </is>
      </c>
      <c r="E654" t="inlineStr">
        <is>
          <t>ÅNGE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11531-2023</t>
        </is>
      </c>
      <c r="B655" s="1" t="n">
        <v>44993.77038194444</v>
      </c>
      <c r="C655" s="1" t="n">
        <v>46065</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11532-2023</t>
        </is>
      </c>
      <c r="B656" s="1" t="n">
        <v>44993.77212962963</v>
      </c>
      <c r="C656" s="1" t="n">
        <v>46065</v>
      </c>
      <c r="D656" t="inlineStr">
        <is>
          <t>VÄSTERNORRLANDS LÄN</t>
        </is>
      </c>
      <c r="E656" t="inlineStr">
        <is>
          <t>ÅNGE</t>
        </is>
      </c>
      <c r="G656" t="n">
        <v>0.5</v>
      </c>
      <c r="H656" t="n">
        <v>0</v>
      </c>
      <c r="I656" t="n">
        <v>0</v>
      </c>
      <c r="J656" t="n">
        <v>0</v>
      </c>
      <c r="K656" t="n">
        <v>0</v>
      </c>
      <c r="L656" t="n">
        <v>0</v>
      </c>
      <c r="M656" t="n">
        <v>0</v>
      </c>
      <c r="N656" t="n">
        <v>0</v>
      </c>
      <c r="O656" t="n">
        <v>0</v>
      </c>
      <c r="P656" t="n">
        <v>0</v>
      </c>
      <c r="Q656" t="n">
        <v>0</v>
      </c>
      <c r="R656" s="2" t="inlineStr"/>
    </row>
    <row r="657" ht="15" customHeight="1">
      <c r="A657" t="inlineStr">
        <is>
          <t>A 41355-2024</t>
        </is>
      </c>
      <c r="B657" s="1" t="n">
        <v>45559.69833333333</v>
      </c>
      <c r="C657" s="1" t="n">
        <v>46065</v>
      </c>
      <c r="D657" t="inlineStr">
        <is>
          <t>VÄSTERNORRLANDS LÄN</t>
        </is>
      </c>
      <c r="E657" t="inlineStr">
        <is>
          <t>ÅNGE</t>
        </is>
      </c>
      <c r="F657" t="inlineStr">
        <is>
          <t>SCA</t>
        </is>
      </c>
      <c r="G657" t="n">
        <v>6.1</v>
      </c>
      <c r="H657" t="n">
        <v>0</v>
      </c>
      <c r="I657" t="n">
        <v>0</v>
      </c>
      <c r="J657" t="n">
        <v>0</v>
      </c>
      <c r="K657" t="n">
        <v>0</v>
      </c>
      <c r="L657" t="n">
        <v>0</v>
      </c>
      <c r="M657" t="n">
        <v>0</v>
      </c>
      <c r="N657" t="n">
        <v>0</v>
      </c>
      <c r="O657" t="n">
        <v>0</v>
      </c>
      <c r="P657" t="n">
        <v>0</v>
      </c>
      <c r="Q657" t="n">
        <v>0</v>
      </c>
      <c r="R657" s="2" t="inlineStr"/>
    </row>
    <row r="658" ht="15" customHeight="1">
      <c r="A658" t="inlineStr">
        <is>
          <t>A 25035-2023</t>
        </is>
      </c>
      <c r="B658" s="1" t="n">
        <v>45085</v>
      </c>
      <c r="C658" s="1" t="n">
        <v>46065</v>
      </c>
      <c r="D658" t="inlineStr">
        <is>
          <t>VÄSTERNORRLANDS LÄN</t>
        </is>
      </c>
      <c r="E658" t="inlineStr">
        <is>
          <t>ÅNGE</t>
        </is>
      </c>
      <c r="G658" t="n">
        <v>0.3</v>
      </c>
      <c r="H658" t="n">
        <v>0</v>
      </c>
      <c r="I658" t="n">
        <v>0</v>
      </c>
      <c r="J658" t="n">
        <v>0</v>
      </c>
      <c r="K658" t="n">
        <v>0</v>
      </c>
      <c r="L658" t="n">
        <v>0</v>
      </c>
      <c r="M658" t="n">
        <v>0</v>
      </c>
      <c r="N658" t="n">
        <v>0</v>
      </c>
      <c r="O658" t="n">
        <v>0</v>
      </c>
      <c r="P658" t="n">
        <v>0</v>
      </c>
      <c r="Q658" t="n">
        <v>0</v>
      </c>
      <c r="R658" s="2" t="inlineStr"/>
    </row>
    <row r="659" ht="15" customHeight="1">
      <c r="A659" t="inlineStr">
        <is>
          <t>A 28085-2025</t>
        </is>
      </c>
      <c r="B659" s="1" t="n">
        <v>45817.71924768519</v>
      </c>
      <c r="C659" s="1" t="n">
        <v>46065</v>
      </c>
      <c r="D659" t="inlineStr">
        <is>
          <t>VÄSTERNORRLANDS LÄN</t>
        </is>
      </c>
      <c r="E659" t="inlineStr">
        <is>
          <t>ÅNGE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48725-2024</t>
        </is>
      </c>
      <c r="B660" s="1" t="n">
        <v>45593.55793981482</v>
      </c>
      <c r="C660" s="1" t="n">
        <v>46065</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28143-2025</t>
        </is>
      </c>
      <c r="B661" s="1" t="n">
        <v>45818.34546296296</v>
      </c>
      <c r="C661" s="1" t="n">
        <v>46065</v>
      </c>
      <c r="D661" t="inlineStr">
        <is>
          <t>VÄSTERNORRLANDS LÄN</t>
        </is>
      </c>
      <c r="E661" t="inlineStr">
        <is>
          <t>ÅNGE</t>
        </is>
      </c>
      <c r="F661" t="inlineStr">
        <is>
          <t>SCA</t>
        </is>
      </c>
      <c r="G661" t="n">
        <v>6.8</v>
      </c>
      <c r="H661" t="n">
        <v>0</v>
      </c>
      <c r="I661" t="n">
        <v>0</v>
      </c>
      <c r="J661" t="n">
        <v>0</v>
      </c>
      <c r="K661" t="n">
        <v>0</v>
      </c>
      <c r="L661" t="n">
        <v>0</v>
      </c>
      <c r="M661" t="n">
        <v>0</v>
      </c>
      <c r="N661" t="n">
        <v>0</v>
      </c>
      <c r="O661" t="n">
        <v>0</v>
      </c>
      <c r="P661" t="n">
        <v>0</v>
      </c>
      <c r="Q661" t="n">
        <v>0</v>
      </c>
      <c r="R661" s="2" t="inlineStr"/>
    </row>
    <row r="662" ht="15" customHeight="1">
      <c r="A662" t="inlineStr">
        <is>
          <t>A 40755-2023</t>
        </is>
      </c>
      <c r="B662" s="1" t="n">
        <v>45170</v>
      </c>
      <c r="C662" s="1" t="n">
        <v>46065</v>
      </c>
      <c r="D662" t="inlineStr">
        <is>
          <t>VÄSTERNORRLANDS LÄN</t>
        </is>
      </c>
      <c r="E662" t="inlineStr">
        <is>
          <t>ÅNGE</t>
        </is>
      </c>
      <c r="G662" t="n">
        <v>3.6</v>
      </c>
      <c r="H662" t="n">
        <v>0</v>
      </c>
      <c r="I662" t="n">
        <v>0</v>
      </c>
      <c r="J662" t="n">
        <v>0</v>
      </c>
      <c r="K662" t="n">
        <v>0</v>
      </c>
      <c r="L662" t="n">
        <v>0</v>
      </c>
      <c r="M662" t="n">
        <v>0</v>
      </c>
      <c r="N662" t="n">
        <v>0</v>
      </c>
      <c r="O662" t="n">
        <v>0</v>
      </c>
      <c r="P662" t="n">
        <v>0</v>
      </c>
      <c r="Q662" t="n">
        <v>0</v>
      </c>
      <c r="R662" s="2" t="inlineStr"/>
    </row>
    <row r="663" ht="15" customHeight="1">
      <c r="A663" t="inlineStr">
        <is>
          <t>A 41284-2024</t>
        </is>
      </c>
      <c r="B663" s="1" t="n">
        <v>45559.59520833333</v>
      </c>
      <c r="C663" s="1" t="n">
        <v>46065</v>
      </c>
      <c r="D663" t="inlineStr">
        <is>
          <t>VÄSTERNORRLANDS LÄN</t>
        </is>
      </c>
      <c r="E663" t="inlineStr">
        <is>
          <t>ÅNGE</t>
        </is>
      </c>
      <c r="F663" t="inlineStr">
        <is>
          <t>SCA</t>
        </is>
      </c>
      <c r="G663" t="n">
        <v>5.5</v>
      </c>
      <c r="H663" t="n">
        <v>0</v>
      </c>
      <c r="I663" t="n">
        <v>0</v>
      </c>
      <c r="J663" t="n">
        <v>0</v>
      </c>
      <c r="K663" t="n">
        <v>0</v>
      </c>
      <c r="L663" t="n">
        <v>0</v>
      </c>
      <c r="M663" t="n">
        <v>0</v>
      </c>
      <c r="N663" t="n">
        <v>0</v>
      </c>
      <c r="O663" t="n">
        <v>0</v>
      </c>
      <c r="P663" t="n">
        <v>0</v>
      </c>
      <c r="Q663" t="n">
        <v>0</v>
      </c>
      <c r="R663" s="2" t="inlineStr"/>
    </row>
    <row r="664" ht="15" customHeight="1">
      <c r="A664" t="inlineStr">
        <is>
          <t>A 45631-2021</t>
        </is>
      </c>
      <c r="B664" s="1" t="n">
        <v>44440.98045138889</v>
      </c>
      <c r="C664" s="1" t="n">
        <v>46065</v>
      </c>
      <c r="D664" t="inlineStr">
        <is>
          <t>VÄSTERNORRLANDS LÄN</t>
        </is>
      </c>
      <c r="E664" t="inlineStr">
        <is>
          <t>ÅNGE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57592-2022</t>
        </is>
      </c>
      <c r="B665" s="1" t="n">
        <v>44896.97841435186</v>
      </c>
      <c r="C665" s="1" t="n">
        <v>46065</v>
      </c>
      <c r="D665" t="inlineStr">
        <is>
          <t>VÄSTERNORRLANDS LÄN</t>
        </is>
      </c>
      <c r="E665" t="inlineStr">
        <is>
          <t>ÅNGE</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28404-2025</t>
        </is>
      </c>
      <c r="B666" s="1" t="n">
        <v>45819.34532407407</v>
      </c>
      <c r="C666" s="1" t="n">
        <v>46065</v>
      </c>
      <c r="D666" t="inlineStr">
        <is>
          <t>VÄSTERNORRLANDS LÄN</t>
        </is>
      </c>
      <c r="E666" t="inlineStr">
        <is>
          <t>ÅNGE</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57602-2022</t>
        </is>
      </c>
      <c r="B667" s="1" t="n">
        <v>44896</v>
      </c>
      <c r="C667" s="1" t="n">
        <v>46065</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28896-2025</t>
        </is>
      </c>
      <c r="B668" s="1" t="n">
        <v>45820.63584490741</v>
      </c>
      <c r="C668" s="1" t="n">
        <v>46065</v>
      </c>
      <c r="D668" t="inlineStr">
        <is>
          <t>VÄSTERNORRLANDS LÄN</t>
        </is>
      </c>
      <c r="E668" t="inlineStr">
        <is>
          <t>ÅNGE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20231-2022</t>
        </is>
      </c>
      <c r="B669" s="1" t="n">
        <v>44698</v>
      </c>
      <c r="C669" s="1" t="n">
        <v>46065</v>
      </c>
      <c r="D669" t="inlineStr">
        <is>
          <t>VÄSTERNORRLANDS LÄN</t>
        </is>
      </c>
      <c r="E669" t="inlineStr">
        <is>
          <t>ÅNGE</t>
        </is>
      </c>
      <c r="G669" t="n">
        <v>4.2</v>
      </c>
      <c r="H669" t="n">
        <v>0</v>
      </c>
      <c r="I669" t="n">
        <v>0</v>
      </c>
      <c r="J669" t="n">
        <v>0</v>
      </c>
      <c r="K669" t="n">
        <v>0</v>
      </c>
      <c r="L669" t="n">
        <v>0</v>
      </c>
      <c r="M669" t="n">
        <v>0</v>
      </c>
      <c r="N669" t="n">
        <v>0</v>
      </c>
      <c r="O669" t="n">
        <v>0</v>
      </c>
      <c r="P669" t="n">
        <v>0</v>
      </c>
      <c r="Q669" t="n">
        <v>0</v>
      </c>
      <c r="R669" s="2" t="inlineStr"/>
    </row>
    <row r="670" ht="15" customHeight="1">
      <c r="A670" t="inlineStr">
        <is>
          <t>A 39985-2023</t>
        </is>
      </c>
      <c r="B670" s="1" t="n">
        <v>45168</v>
      </c>
      <c r="C670" s="1" t="n">
        <v>46065</v>
      </c>
      <c r="D670" t="inlineStr">
        <is>
          <t>VÄSTERNORRLANDS LÄN</t>
        </is>
      </c>
      <c r="E670" t="inlineStr">
        <is>
          <t>ÅNGE</t>
        </is>
      </c>
      <c r="G670" t="n">
        <v>0.1</v>
      </c>
      <c r="H670" t="n">
        <v>0</v>
      </c>
      <c r="I670" t="n">
        <v>0</v>
      </c>
      <c r="J670" t="n">
        <v>0</v>
      </c>
      <c r="K670" t="n">
        <v>0</v>
      </c>
      <c r="L670" t="n">
        <v>0</v>
      </c>
      <c r="M670" t="n">
        <v>0</v>
      </c>
      <c r="N670" t="n">
        <v>0</v>
      </c>
      <c r="O670" t="n">
        <v>0</v>
      </c>
      <c r="P670" t="n">
        <v>0</v>
      </c>
      <c r="Q670" t="n">
        <v>0</v>
      </c>
      <c r="R670" s="2" t="inlineStr"/>
    </row>
    <row r="671" ht="15" customHeight="1">
      <c r="A671" t="inlineStr">
        <is>
          <t>A 32901-2023</t>
        </is>
      </c>
      <c r="B671" s="1" t="n">
        <v>45124.95063657407</v>
      </c>
      <c r="C671" s="1" t="n">
        <v>46065</v>
      </c>
      <c r="D671" t="inlineStr">
        <is>
          <t>VÄSTERNORRLANDS LÄN</t>
        </is>
      </c>
      <c r="E671" t="inlineStr">
        <is>
          <t>ÅNGE</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16903-2024</t>
        </is>
      </c>
      <c r="B672" s="1" t="n">
        <v>45411.63106481481</v>
      </c>
      <c r="C672" s="1" t="n">
        <v>46065</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16915-2024</t>
        </is>
      </c>
      <c r="B673" s="1" t="n">
        <v>45411.65185185185</v>
      </c>
      <c r="C673" s="1" t="n">
        <v>46065</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5613-2024</t>
        </is>
      </c>
      <c r="B674" s="1" t="n">
        <v>45334</v>
      </c>
      <c r="C674" s="1" t="n">
        <v>46065</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58748-2023</t>
        </is>
      </c>
      <c r="B675" s="1" t="n">
        <v>45251.92936342592</v>
      </c>
      <c r="C675" s="1" t="n">
        <v>46065</v>
      </c>
      <c r="D675" t="inlineStr">
        <is>
          <t>VÄSTERNORRLANDS LÄN</t>
        </is>
      </c>
      <c r="E675" t="inlineStr">
        <is>
          <t>ÅNGE</t>
        </is>
      </c>
      <c r="G675" t="n">
        <v>2.7</v>
      </c>
      <c r="H675" t="n">
        <v>0</v>
      </c>
      <c r="I675" t="n">
        <v>0</v>
      </c>
      <c r="J675" t="n">
        <v>0</v>
      </c>
      <c r="K675" t="n">
        <v>0</v>
      </c>
      <c r="L675" t="n">
        <v>0</v>
      </c>
      <c r="M675" t="n">
        <v>0</v>
      </c>
      <c r="N675" t="n">
        <v>0</v>
      </c>
      <c r="O675" t="n">
        <v>0</v>
      </c>
      <c r="P675" t="n">
        <v>0</v>
      </c>
      <c r="Q675" t="n">
        <v>0</v>
      </c>
      <c r="R675" s="2" t="inlineStr"/>
    </row>
    <row r="676" ht="15" customHeight="1">
      <c r="A676" t="inlineStr">
        <is>
          <t>A 43552-2023</t>
        </is>
      </c>
      <c r="B676" s="1" t="n">
        <v>45181</v>
      </c>
      <c r="C676" s="1" t="n">
        <v>46065</v>
      </c>
      <c r="D676" t="inlineStr">
        <is>
          <t>VÄSTERNORRLANDS LÄN</t>
        </is>
      </c>
      <c r="E676" t="inlineStr">
        <is>
          <t>ÅNGE</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54456-2024</t>
        </is>
      </c>
      <c r="B677" s="1" t="n">
        <v>45617.53160879629</v>
      </c>
      <c r="C677" s="1" t="n">
        <v>46065</v>
      </c>
      <c r="D677" t="inlineStr">
        <is>
          <t>VÄSTERNORRLANDS LÄN</t>
        </is>
      </c>
      <c r="E677" t="inlineStr">
        <is>
          <t>ÅNGE</t>
        </is>
      </c>
      <c r="F677" t="inlineStr">
        <is>
          <t>SCA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28819-2025</t>
        </is>
      </c>
      <c r="B678" s="1" t="n">
        <v>45820.53758101852</v>
      </c>
      <c r="C678" s="1" t="n">
        <v>46065</v>
      </c>
      <c r="D678" t="inlineStr">
        <is>
          <t>VÄSTERNORRLANDS LÄN</t>
        </is>
      </c>
      <c r="E678" t="inlineStr">
        <is>
          <t>ÅNGE</t>
        </is>
      </c>
      <c r="G678" t="n">
        <v>2.9</v>
      </c>
      <c r="H678" t="n">
        <v>0</v>
      </c>
      <c r="I678" t="n">
        <v>0</v>
      </c>
      <c r="J678" t="n">
        <v>0</v>
      </c>
      <c r="K678" t="n">
        <v>0</v>
      </c>
      <c r="L678" t="n">
        <v>0</v>
      </c>
      <c r="M678" t="n">
        <v>0</v>
      </c>
      <c r="N678" t="n">
        <v>0</v>
      </c>
      <c r="O678" t="n">
        <v>0</v>
      </c>
      <c r="P678" t="n">
        <v>0</v>
      </c>
      <c r="Q678" t="n">
        <v>0</v>
      </c>
      <c r="R678" s="2" t="inlineStr"/>
    </row>
    <row r="679" ht="15" customHeight="1">
      <c r="A679" t="inlineStr">
        <is>
          <t>A 28845-2025</t>
        </is>
      </c>
      <c r="B679" s="1" t="n">
        <v>45820.57324074074</v>
      </c>
      <c r="C679" s="1" t="n">
        <v>46065</v>
      </c>
      <c r="D679" t="inlineStr">
        <is>
          <t>VÄSTERNORRLANDS LÄN</t>
        </is>
      </c>
      <c r="E679" t="inlineStr">
        <is>
          <t>ÅNGE</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25311-2023</t>
        </is>
      </c>
      <c r="B680" s="1" t="n">
        <v>45086.93869212963</v>
      </c>
      <c r="C680" s="1" t="n">
        <v>46065</v>
      </c>
      <c r="D680" t="inlineStr">
        <is>
          <t>VÄSTERNORRLANDS LÄN</t>
        </is>
      </c>
      <c r="E680" t="inlineStr">
        <is>
          <t>ÅNGE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28814-2025</t>
        </is>
      </c>
      <c r="B681" s="1" t="n">
        <v>45820.52846064815</v>
      </c>
      <c r="C681" s="1" t="n">
        <v>46065</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46775-2024</t>
        </is>
      </c>
      <c r="B682" s="1" t="n">
        <v>45583.49711805556</v>
      </c>
      <c r="C682" s="1" t="n">
        <v>46065</v>
      </c>
      <c r="D682" t="inlineStr">
        <is>
          <t>VÄSTERNORRLANDS LÄN</t>
        </is>
      </c>
      <c r="E682" t="inlineStr">
        <is>
          <t>ÅNGE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46780-2024</t>
        </is>
      </c>
      <c r="B683" s="1" t="n">
        <v>45583.51076388889</v>
      </c>
      <c r="C683" s="1" t="n">
        <v>46065</v>
      </c>
      <c r="D683" t="inlineStr">
        <is>
          <t>VÄSTERNORRLANDS LÄN</t>
        </is>
      </c>
      <c r="E683" t="inlineStr">
        <is>
          <t>ÅNGE</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18880-2024</t>
        </is>
      </c>
      <c r="B684" s="1" t="n">
        <v>45426</v>
      </c>
      <c r="C684" s="1" t="n">
        <v>46065</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28717-2025</t>
        </is>
      </c>
      <c r="B685" s="1" t="n">
        <v>45820</v>
      </c>
      <c r="C685" s="1" t="n">
        <v>46065</v>
      </c>
      <c r="D685" t="inlineStr">
        <is>
          <t>VÄSTERNORRLANDS LÄN</t>
        </is>
      </c>
      <c r="E685" t="inlineStr">
        <is>
          <t>ÅNGE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55558-2024</t>
        </is>
      </c>
      <c r="B686" s="1" t="n">
        <v>45622.52586805556</v>
      </c>
      <c r="C686" s="1" t="n">
        <v>46065</v>
      </c>
      <c r="D686" t="inlineStr">
        <is>
          <t>VÄSTERNORRLANDS LÄN</t>
        </is>
      </c>
      <c r="E686" t="inlineStr">
        <is>
          <t>ÅNGE</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29350-2025</t>
        </is>
      </c>
      <c r="B687" s="1" t="n">
        <v>45824.53206018519</v>
      </c>
      <c r="C687" s="1" t="n">
        <v>46065</v>
      </c>
      <c r="D687" t="inlineStr">
        <is>
          <t>VÄSTERNORRLANDS LÄN</t>
        </is>
      </c>
      <c r="E687" t="inlineStr">
        <is>
          <t>ÅNGE</t>
        </is>
      </c>
      <c r="G687" t="n">
        <v>8.6</v>
      </c>
      <c r="H687" t="n">
        <v>0</v>
      </c>
      <c r="I687" t="n">
        <v>0</v>
      </c>
      <c r="J687" t="n">
        <v>0</v>
      </c>
      <c r="K687" t="n">
        <v>0</v>
      </c>
      <c r="L687" t="n">
        <v>0</v>
      </c>
      <c r="M687" t="n">
        <v>0</v>
      </c>
      <c r="N687" t="n">
        <v>0</v>
      </c>
      <c r="O687" t="n">
        <v>0</v>
      </c>
      <c r="P687" t="n">
        <v>0</v>
      </c>
      <c r="Q687" t="n">
        <v>0</v>
      </c>
      <c r="R687" s="2" t="inlineStr"/>
    </row>
    <row r="688" ht="15" customHeight="1">
      <c r="A688" t="inlineStr">
        <is>
          <t>A 20229-2022</t>
        </is>
      </c>
      <c r="B688" s="1" t="n">
        <v>44698.61150462963</v>
      </c>
      <c r="C688" s="1" t="n">
        <v>46065</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4904-2024</t>
        </is>
      </c>
      <c r="B689" s="1" t="n">
        <v>45329.47856481482</v>
      </c>
      <c r="C689" s="1" t="n">
        <v>46065</v>
      </c>
      <c r="D689" t="inlineStr">
        <is>
          <t>VÄSTERNORRLANDS LÄN</t>
        </is>
      </c>
      <c r="E689" t="inlineStr">
        <is>
          <t>ÅNGE</t>
        </is>
      </c>
      <c r="G689" t="n">
        <v>3.5</v>
      </c>
      <c r="H689" t="n">
        <v>0</v>
      </c>
      <c r="I689" t="n">
        <v>0</v>
      </c>
      <c r="J689" t="n">
        <v>0</v>
      </c>
      <c r="K689" t="n">
        <v>0</v>
      </c>
      <c r="L689" t="n">
        <v>0</v>
      </c>
      <c r="M689" t="n">
        <v>0</v>
      </c>
      <c r="N689" t="n">
        <v>0</v>
      </c>
      <c r="O689" t="n">
        <v>0</v>
      </c>
      <c r="P689" t="n">
        <v>0</v>
      </c>
      <c r="Q689" t="n">
        <v>0</v>
      </c>
      <c r="R689" s="2" t="inlineStr"/>
    </row>
    <row r="690" ht="15" customHeight="1">
      <c r="A690" t="inlineStr">
        <is>
          <t>A 29462-2024</t>
        </is>
      </c>
      <c r="B690" s="1" t="n">
        <v>45483.96979166667</v>
      </c>
      <c r="C690" s="1" t="n">
        <v>46065</v>
      </c>
      <c r="D690" t="inlineStr">
        <is>
          <t>VÄSTERNORRLANDS LÄN</t>
        </is>
      </c>
      <c r="E690" t="inlineStr">
        <is>
          <t>ÅNGE</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44178-2023</t>
        </is>
      </c>
      <c r="B691" s="1" t="n">
        <v>45183</v>
      </c>
      <c r="C691" s="1" t="n">
        <v>46065</v>
      </c>
      <c r="D691" t="inlineStr">
        <is>
          <t>VÄSTERNORRLANDS LÄN</t>
        </is>
      </c>
      <c r="E691" t="inlineStr">
        <is>
          <t>ÅNGE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29153-2025</t>
        </is>
      </c>
      <c r="B692" s="1" t="n">
        <v>45821.63574074074</v>
      </c>
      <c r="C692" s="1" t="n">
        <v>46065</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8648-2025</t>
        </is>
      </c>
      <c r="B693" s="1" t="n">
        <v>45712.34501157407</v>
      </c>
      <c r="C693" s="1" t="n">
        <v>46065</v>
      </c>
      <c r="D693" t="inlineStr">
        <is>
          <t>VÄSTERNORRLANDS LÄN</t>
        </is>
      </c>
      <c r="E693" t="inlineStr">
        <is>
          <t>ÅNGE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58639-2023</t>
        </is>
      </c>
      <c r="B694" s="1" t="n">
        <v>45251</v>
      </c>
      <c r="C694" s="1" t="n">
        <v>46065</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27952-2024</t>
        </is>
      </c>
      <c r="B695" s="1" t="n">
        <v>45476.33063657407</v>
      </c>
      <c r="C695" s="1" t="n">
        <v>46065</v>
      </c>
      <c r="D695" t="inlineStr">
        <is>
          <t>VÄSTERNORRLANDS LÄN</t>
        </is>
      </c>
      <c r="E695" t="inlineStr">
        <is>
          <t>ÅNGE</t>
        </is>
      </c>
      <c r="G695" t="n">
        <v>12.2</v>
      </c>
      <c r="H695" t="n">
        <v>0</v>
      </c>
      <c r="I695" t="n">
        <v>0</v>
      </c>
      <c r="J695" t="n">
        <v>0</v>
      </c>
      <c r="K695" t="n">
        <v>0</v>
      </c>
      <c r="L695" t="n">
        <v>0</v>
      </c>
      <c r="M695" t="n">
        <v>0</v>
      </c>
      <c r="N695" t="n">
        <v>0</v>
      </c>
      <c r="O695" t="n">
        <v>0</v>
      </c>
      <c r="P695" t="n">
        <v>0</v>
      </c>
      <c r="Q695" t="n">
        <v>0</v>
      </c>
      <c r="R695" s="2" t="inlineStr"/>
    </row>
    <row r="696" ht="15" customHeight="1">
      <c r="A696" t="inlineStr">
        <is>
          <t>A 32439-2024</t>
        </is>
      </c>
      <c r="B696" s="1" t="n">
        <v>45512</v>
      </c>
      <c r="C696" s="1" t="n">
        <v>46065</v>
      </c>
      <c r="D696" t="inlineStr">
        <is>
          <t>VÄSTERNORRLANDS LÄN</t>
        </is>
      </c>
      <c r="E696" t="inlineStr">
        <is>
          <t>ÅNGE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35498-2022</t>
        </is>
      </c>
      <c r="B697" s="1" t="n">
        <v>44798.94810185185</v>
      </c>
      <c r="C697" s="1" t="n">
        <v>46065</v>
      </c>
      <c r="D697" t="inlineStr">
        <is>
          <t>VÄSTERNORRLANDS LÄN</t>
        </is>
      </c>
      <c r="E697" t="inlineStr">
        <is>
          <t>ÅNGE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60363-2024</t>
        </is>
      </c>
      <c r="B698" s="1" t="n">
        <v>45643</v>
      </c>
      <c r="C698" s="1" t="n">
        <v>46065</v>
      </c>
      <c r="D698" t="inlineStr">
        <is>
          <t>VÄSTERNORRLANDS LÄN</t>
        </is>
      </c>
      <c r="E698" t="inlineStr">
        <is>
          <t>ÅNGE</t>
        </is>
      </c>
      <c r="G698" t="n">
        <v>1.3</v>
      </c>
      <c r="H698" t="n">
        <v>0</v>
      </c>
      <c r="I698" t="n">
        <v>0</v>
      </c>
      <c r="J698" t="n">
        <v>0</v>
      </c>
      <c r="K698" t="n">
        <v>0</v>
      </c>
      <c r="L698" t="n">
        <v>0</v>
      </c>
      <c r="M698" t="n">
        <v>0</v>
      </c>
      <c r="N698" t="n">
        <v>0</v>
      </c>
      <c r="O698" t="n">
        <v>0</v>
      </c>
      <c r="P698" t="n">
        <v>0</v>
      </c>
      <c r="Q698" t="n">
        <v>0</v>
      </c>
      <c r="R698" s="2" t="inlineStr"/>
    </row>
    <row r="699" ht="15" customHeight="1">
      <c r="A699" t="inlineStr">
        <is>
          <t>A 51070-2024</t>
        </is>
      </c>
      <c r="B699" s="1" t="n">
        <v>45603</v>
      </c>
      <c r="C699" s="1" t="n">
        <v>46065</v>
      </c>
      <c r="D699" t="inlineStr">
        <is>
          <t>VÄSTERNORRLANDS LÄN</t>
        </is>
      </c>
      <c r="E699" t="inlineStr">
        <is>
          <t>ÅNGE</t>
        </is>
      </c>
      <c r="G699" t="n">
        <v>11.1</v>
      </c>
      <c r="H699" t="n">
        <v>0</v>
      </c>
      <c r="I699" t="n">
        <v>0</v>
      </c>
      <c r="J699" t="n">
        <v>0</v>
      </c>
      <c r="K699" t="n">
        <v>0</v>
      </c>
      <c r="L699" t="n">
        <v>0</v>
      </c>
      <c r="M699" t="n">
        <v>0</v>
      </c>
      <c r="N699" t="n">
        <v>0</v>
      </c>
      <c r="O699" t="n">
        <v>0</v>
      </c>
      <c r="P699" t="n">
        <v>0</v>
      </c>
      <c r="Q699" t="n">
        <v>0</v>
      </c>
      <c r="R699" s="2" t="inlineStr"/>
    </row>
    <row r="700" ht="15" customHeight="1">
      <c r="A700" t="inlineStr">
        <is>
          <t>A 60514-2024</t>
        </is>
      </c>
      <c r="B700" s="1" t="n">
        <v>45643.67474537037</v>
      </c>
      <c r="C700" s="1" t="n">
        <v>46065</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29862-2025</t>
        </is>
      </c>
      <c r="B701" s="1" t="n">
        <v>45826.3465625</v>
      </c>
      <c r="C701" s="1" t="n">
        <v>46065</v>
      </c>
      <c r="D701" t="inlineStr">
        <is>
          <t>VÄSTERNORRLANDS LÄN</t>
        </is>
      </c>
      <c r="E701" t="inlineStr">
        <is>
          <t>ÅNGE</t>
        </is>
      </c>
      <c r="G701" t="n">
        <v>0.8</v>
      </c>
      <c r="H701" t="n">
        <v>0</v>
      </c>
      <c r="I701" t="n">
        <v>0</v>
      </c>
      <c r="J701" t="n">
        <v>0</v>
      </c>
      <c r="K701" t="n">
        <v>0</v>
      </c>
      <c r="L701" t="n">
        <v>0</v>
      </c>
      <c r="M701" t="n">
        <v>0</v>
      </c>
      <c r="N701" t="n">
        <v>0</v>
      </c>
      <c r="O701" t="n">
        <v>0</v>
      </c>
      <c r="P701" t="n">
        <v>0</v>
      </c>
      <c r="Q701" t="n">
        <v>0</v>
      </c>
      <c r="R701" s="2" t="inlineStr"/>
    </row>
    <row r="702" ht="15" customHeight="1">
      <c r="A702" t="inlineStr">
        <is>
          <t>A 29882-2025</t>
        </is>
      </c>
      <c r="B702" s="1" t="n">
        <v>45826.36548611111</v>
      </c>
      <c r="C702" s="1" t="n">
        <v>46065</v>
      </c>
      <c r="D702" t="inlineStr">
        <is>
          <t>VÄSTERNORRLANDS LÄN</t>
        </is>
      </c>
      <c r="E702" t="inlineStr">
        <is>
          <t>ÅNGE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52665-2024</t>
        </is>
      </c>
      <c r="B703" s="1" t="n">
        <v>45610.36549768518</v>
      </c>
      <c r="C703" s="1" t="n">
        <v>46065</v>
      </c>
      <c r="D703" t="inlineStr">
        <is>
          <t>VÄSTERNORRLANDS LÄN</t>
        </is>
      </c>
      <c r="E703" t="inlineStr">
        <is>
          <t>ÅNGE</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3347-2024</t>
        </is>
      </c>
      <c r="B704" s="1" t="n">
        <v>45317</v>
      </c>
      <c r="C704" s="1" t="n">
        <v>46065</v>
      </c>
      <c r="D704" t="inlineStr">
        <is>
          <t>VÄSTERNORRLANDS LÄN</t>
        </is>
      </c>
      <c r="E704" t="inlineStr">
        <is>
          <t>ÅNGE</t>
        </is>
      </c>
      <c r="G704" t="n">
        <v>0.5</v>
      </c>
      <c r="H704" t="n">
        <v>0</v>
      </c>
      <c r="I704" t="n">
        <v>0</v>
      </c>
      <c r="J704" t="n">
        <v>0</v>
      </c>
      <c r="K704" t="n">
        <v>0</v>
      </c>
      <c r="L704" t="n">
        <v>0</v>
      </c>
      <c r="M704" t="n">
        <v>0</v>
      </c>
      <c r="N704" t="n">
        <v>0</v>
      </c>
      <c r="O704" t="n">
        <v>0</v>
      </c>
      <c r="P704" t="n">
        <v>0</v>
      </c>
      <c r="Q704" t="n">
        <v>0</v>
      </c>
      <c r="R704" s="2" t="inlineStr"/>
    </row>
    <row r="705" ht="15" customHeight="1">
      <c r="A705" t="inlineStr">
        <is>
          <t>A 29916-2025</t>
        </is>
      </c>
      <c r="B705" s="1" t="n">
        <v>45826.41822916667</v>
      </c>
      <c r="C705" s="1" t="n">
        <v>46065</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29560-2025</t>
        </is>
      </c>
      <c r="B706" s="1" t="n">
        <v>45825.36497685185</v>
      </c>
      <c r="C706" s="1" t="n">
        <v>46065</v>
      </c>
      <c r="D706" t="inlineStr">
        <is>
          <t>VÄSTERNORRLANDS LÄN</t>
        </is>
      </c>
      <c r="E706" t="inlineStr">
        <is>
          <t>ÅNGE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9382-2025</t>
        </is>
      </c>
      <c r="B707" s="1" t="n">
        <v>45715.34425925926</v>
      </c>
      <c r="C707" s="1" t="n">
        <v>46065</v>
      </c>
      <c r="D707" t="inlineStr">
        <is>
          <t>VÄSTERNORRLANDS LÄN</t>
        </is>
      </c>
      <c r="E707" t="inlineStr">
        <is>
          <t>ÅNGE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29786-2025</t>
        </is>
      </c>
      <c r="B708" s="1" t="n">
        <v>45825.65663194445</v>
      </c>
      <c r="C708" s="1" t="n">
        <v>46065</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1711-2025</t>
        </is>
      </c>
      <c r="B709" s="1" t="n">
        <v>45671.31184027778</v>
      </c>
      <c r="C709" s="1" t="n">
        <v>46065</v>
      </c>
      <c r="D709" t="inlineStr">
        <is>
          <t>VÄSTERNORRLANDS LÄN</t>
        </is>
      </c>
      <c r="E709" t="inlineStr">
        <is>
          <t>ÅNGE</t>
        </is>
      </c>
      <c r="G709" t="n">
        <v>2.8</v>
      </c>
      <c r="H709" t="n">
        <v>0</v>
      </c>
      <c r="I709" t="n">
        <v>0</v>
      </c>
      <c r="J709" t="n">
        <v>0</v>
      </c>
      <c r="K709" t="n">
        <v>0</v>
      </c>
      <c r="L709" t="n">
        <v>0</v>
      </c>
      <c r="M709" t="n">
        <v>0</v>
      </c>
      <c r="N709" t="n">
        <v>0</v>
      </c>
      <c r="O709" t="n">
        <v>0</v>
      </c>
      <c r="P709" t="n">
        <v>0</v>
      </c>
      <c r="Q709" t="n">
        <v>0</v>
      </c>
      <c r="R709" s="2" t="inlineStr"/>
    </row>
    <row r="710" ht="15" customHeight="1">
      <c r="A710" t="inlineStr">
        <is>
          <t>A 42043-2024</t>
        </is>
      </c>
      <c r="B710" s="1" t="n">
        <v>45561</v>
      </c>
      <c r="C710" s="1" t="n">
        <v>46065</v>
      </c>
      <c r="D710" t="inlineStr">
        <is>
          <t>VÄSTERNORRLANDS LÄN</t>
        </is>
      </c>
      <c r="E710" t="inlineStr">
        <is>
          <t>ÅNGE</t>
        </is>
      </c>
      <c r="G710" t="n">
        <v>3.1</v>
      </c>
      <c r="H710" t="n">
        <v>0</v>
      </c>
      <c r="I710" t="n">
        <v>0</v>
      </c>
      <c r="J710" t="n">
        <v>0</v>
      </c>
      <c r="K710" t="n">
        <v>0</v>
      </c>
      <c r="L710" t="n">
        <v>0</v>
      </c>
      <c r="M710" t="n">
        <v>0</v>
      </c>
      <c r="N710" t="n">
        <v>0</v>
      </c>
      <c r="O710" t="n">
        <v>0</v>
      </c>
      <c r="P710" t="n">
        <v>0</v>
      </c>
      <c r="Q710" t="n">
        <v>0</v>
      </c>
      <c r="R710" s="2" t="inlineStr"/>
    </row>
    <row r="711" ht="15" customHeight="1">
      <c r="A711" t="inlineStr">
        <is>
          <t>A 42046-2024</t>
        </is>
      </c>
      <c r="B711" s="1" t="n">
        <v>45561.83422453704</v>
      </c>
      <c r="C711" s="1" t="n">
        <v>46065</v>
      </c>
      <c r="D711" t="inlineStr">
        <is>
          <t>VÄSTERNORRLANDS LÄN</t>
        </is>
      </c>
      <c r="E711" t="inlineStr">
        <is>
          <t>ÅNGE</t>
        </is>
      </c>
      <c r="G711" t="n">
        <v>0.6</v>
      </c>
      <c r="H711" t="n">
        <v>0</v>
      </c>
      <c r="I711" t="n">
        <v>0</v>
      </c>
      <c r="J711" t="n">
        <v>0</v>
      </c>
      <c r="K711" t="n">
        <v>0</v>
      </c>
      <c r="L711" t="n">
        <v>0</v>
      </c>
      <c r="M711" t="n">
        <v>0</v>
      </c>
      <c r="N711" t="n">
        <v>0</v>
      </c>
      <c r="O711" t="n">
        <v>0</v>
      </c>
      <c r="P711" t="n">
        <v>0</v>
      </c>
      <c r="Q711" t="n">
        <v>0</v>
      </c>
      <c r="R711" s="2" t="inlineStr"/>
    </row>
    <row r="712" ht="15" customHeight="1">
      <c r="A712" t="inlineStr">
        <is>
          <t>A 41831-2021</t>
        </is>
      </c>
      <c r="B712" s="1" t="n">
        <v>44425.92212962963</v>
      </c>
      <c r="C712" s="1" t="n">
        <v>46065</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55751-2024</t>
        </is>
      </c>
      <c r="B713" s="1" t="n">
        <v>45623.34409722222</v>
      </c>
      <c r="C713" s="1" t="n">
        <v>46065</v>
      </c>
      <c r="D713" t="inlineStr">
        <is>
          <t>VÄSTERNORRLANDS LÄN</t>
        </is>
      </c>
      <c r="E713" t="inlineStr">
        <is>
          <t>ÅNGE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57815-2024</t>
        </is>
      </c>
      <c r="B714" s="1" t="n">
        <v>45631.37068287037</v>
      </c>
      <c r="C714" s="1" t="n">
        <v>46065</v>
      </c>
      <c r="D714" t="inlineStr">
        <is>
          <t>VÄSTERNORRLANDS LÄN</t>
        </is>
      </c>
      <c r="E714" t="inlineStr">
        <is>
          <t>ÅNGE</t>
        </is>
      </c>
      <c r="G714" t="n">
        <v>2.6</v>
      </c>
      <c r="H714" t="n">
        <v>0</v>
      </c>
      <c r="I714" t="n">
        <v>0</v>
      </c>
      <c r="J714" t="n">
        <v>0</v>
      </c>
      <c r="K714" t="n">
        <v>0</v>
      </c>
      <c r="L714" t="n">
        <v>0</v>
      </c>
      <c r="M714" t="n">
        <v>0</v>
      </c>
      <c r="N714" t="n">
        <v>0</v>
      </c>
      <c r="O714" t="n">
        <v>0</v>
      </c>
      <c r="P714" t="n">
        <v>0</v>
      </c>
      <c r="Q714" t="n">
        <v>0</v>
      </c>
      <c r="R714" s="2" t="inlineStr"/>
    </row>
    <row r="715" ht="15" customHeight="1">
      <c r="A715" t="inlineStr">
        <is>
          <t>A 30475-2025</t>
        </is>
      </c>
      <c r="B715" s="1" t="n">
        <v>45828.34444444445</v>
      </c>
      <c r="C715" s="1" t="n">
        <v>46065</v>
      </c>
      <c r="D715" t="inlineStr">
        <is>
          <t>VÄSTERNORRLANDS LÄN</t>
        </is>
      </c>
      <c r="E715" t="inlineStr">
        <is>
          <t>ÅNGE</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6691-2024</t>
        </is>
      </c>
      <c r="B716" s="1" t="n">
        <v>45341</v>
      </c>
      <c r="C716" s="1" t="n">
        <v>46065</v>
      </c>
      <c r="D716" t="inlineStr">
        <is>
          <t>VÄSTERNORRLANDS LÄN</t>
        </is>
      </c>
      <c r="E716" t="inlineStr">
        <is>
          <t>ÅNGE</t>
        </is>
      </c>
      <c r="G716" t="n">
        <v>0.9</v>
      </c>
      <c r="H716" t="n">
        <v>0</v>
      </c>
      <c r="I716" t="n">
        <v>0</v>
      </c>
      <c r="J716" t="n">
        <v>0</v>
      </c>
      <c r="K716" t="n">
        <v>0</v>
      </c>
      <c r="L716" t="n">
        <v>0</v>
      </c>
      <c r="M716" t="n">
        <v>0</v>
      </c>
      <c r="N716" t="n">
        <v>0</v>
      </c>
      <c r="O716" t="n">
        <v>0</v>
      </c>
      <c r="P716" t="n">
        <v>0</v>
      </c>
      <c r="Q716" t="n">
        <v>0</v>
      </c>
      <c r="R716" s="2" t="inlineStr"/>
    </row>
    <row r="717" ht="15" customHeight="1">
      <c r="A717" t="inlineStr">
        <is>
          <t>A 56232-2024</t>
        </is>
      </c>
      <c r="B717" s="1" t="n">
        <v>45624</v>
      </c>
      <c r="C717" s="1" t="n">
        <v>46065</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44635-2024</t>
        </is>
      </c>
      <c r="B718" s="1" t="n">
        <v>45574.51488425926</v>
      </c>
      <c r="C718" s="1" t="n">
        <v>46065</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12123-2024</t>
        </is>
      </c>
      <c r="B719" s="1" t="n">
        <v>45377</v>
      </c>
      <c r="C719" s="1" t="n">
        <v>46065</v>
      </c>
      <c r="D719" t="inlineStr">
        <is>
          <t>VÄSTERNORRLANDS LÄN</t>
        </is>
      </c>
      <c r="E719" t="inlineStr">
        <is>
          <t>ÅNGE</t>
        </is>
      </c>
      <c r="G719" t="n">
        <v>2.2</v>
      </c>
      <c r="H719" t="n">
        <v>0</v>
      </c>
      <c r="I719" t="n">
        <v>0</v>
      </c>
      <c r="J719" t="n">
        <v>0</v>
      </c>
      <c r="K719" t="n">
        <v>0</v>
      </c>
      <c r="L719" t="n">
        <v>0</v>
      </c>
      <c r="M719" t="n">
        <v>0</v>
      </c>
      <c r="N719" t="n">
        <v>0</v>
      </c>
      <c r="O719" t="n">
        <v>0</v>
      </c>
      <c r="P719" t="n">
        <v>0</v>
      </c>
      <c r="Q719" t="n">
        <v>0</v>
      </c>
      <c r="R719" s="2" t="inlineStr"/>
    </row>
    <row r="720" ht="15" customHeight="1">
      <c r="A720" t="inlineStr">
        <is>
          <t>A 16191-2023</t>
        </is>
      </c>
      <c r="B720" s="1" t="n">
        <v>45027.94111111111</v>
      </c>
      <c r="C720" s="1" t="n">
        <v>46065</v>
      </c>
      <c r="D720" t="inlineStr">
        <is>
          <t>VÄSTERNORRLANDS LÄN</t>
        </is>
      </c>
      <c r="E720" t="inlineStr">
        <is>
          <t>ÅNGE</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48988-2021</t>
        </is>
      </c>
      <c r="B721" s="1" t="n">
        <v>44453.43</v>
      </c>
      <c r="C721" s="1" t="n">
        <v>46065</v>
      </c>
      <c r="D721" t="inlineStr">
        <is>
          <t>VÄSTERNORRLANDS LÄN</t>
        </is>
      </c>
      <c r="E721" t="inlineStr">
        <is>
          <t>ÅNGE</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17670-2023</t>
        </is>
      </c>
      <c r="B722" s="1" t="n">
        <v>45036</v>
      </c>
      <c r="C722" s="1" t="n">
        <v>46065</v>
      </c>
      <c r="D722" t="inlineStr">
        <is>
          <t>VÄSTERNORRLANDS LÄN</t>
        </is>
      </c>
      <c r="E722" t="inlineStr">
        <is>
          <t>ÅNGE</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12806-2025</t>
        </is>
      </c>
      <c r="B723" s="1" t="n">
        <v>45733.61518518518</v>
      </c>
      <c r="C723" s="1" t="n">
        <v>46065</v>
      </c>
      <c r="D723" t="inlineStr">
        <is>
          <t>VÄSTERNORRLANDS LÄN</t>
        </is>
      </c>
      <c r="E723" t="inlineStr">
        <is>
          <t>ÅNGE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30875-2025</t>
        </is>
      </c>
      <c r="B724" s="1" t="n">
        <v>45832.34447916667</v>
      </c>
      <c r="C724" s="1" t="n">
        <v>46065</v>
      </c>
      <c r="D724" t="inlineStr">
        <is>
          <t>VÄSTERNORRLANDS LÄN</t>
        </is>
      </c>
      <c r="E724" t="inlineStr">
        <is>
          <t>ÅNGE</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20024-2023</t>
        </is>
      </c>
      <c r="B725" s="1" t="n">
        <v>45051</v>
      </c>
      <c r="C725" s="1" t="n">
        <v>46065</v>
      </c>
      <c r="D725" t="inlineStr">
        <is>
          <t>VÄSTERNORRLANDS LÄN</t>
        </is>
      </c>
      <c r="E725" t="inlineStr">
        <is>
          <t>ÅNGE</t>
        </is>
      </c>
      <c r="G725" t="n">
        <v>0.8</v>
      </c>
      <c r="H725" t="n">
        <v>0</v>
      </c>
      <c r="I725" t="n">
        <v>0</v>
      </c>
      <c r="J725" t="n">
        <v>0</v>
      </c>
      <c r="K725" t="n">
        <v>0</v>
      </c>
      <c r="L725" t="n">
        <v>0</v>
      </c>
      <c r="M725" t="n">
        <v>0</v>
      </c>
      <c r="N725" t="n">
        <v>0</v>
      </c>
      <c r="O725" t="n">
        <v>0</v>
      </c>
      <c r="P725" t="n">
        <v>0</v>
      </c>
      <c r="Q725" t="n">
        <v>0</v>
      </c>
      <c r="R725" s="2" t="inlineStr"/>
    </row>
    <row r="726" ht="15" customHeight="1">
      <c r="A726" t="inlineStr">
        <is>
          <t>A 31211-2025</t>
        </is>
      </c>
      <c r="B726" s="1" t="n">
        <v>45832.71938657408</v>
      </c>
      <c r="C726" s="1" t="n">
        <v>46065</v>
      </c>
      <c r="D726" t="inlineStr">
        <is>
          <t>VÄSTERNORRLANDS LÄN</t>
        </is>
      </c>
      <c r="E726" t="inlineStr">
        <is>
          <t>ÅNGE</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59412-2024</t>
        </is>
      </c>
      <c r="B727" s="1" t="n">
        <v>45638</v>
      </c>
      <c r="C727" s="1" t="n">
        <v>46065</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13164-2022</t>
        </is>
      </c>
      <c r="B728" s="1" t="n">
        <v>44644</v>
      </c>
      <c r="C728" s="1" t="n">
        <v>46065</v>
      </c>
      <c r="D728" t="inlineStr">
        <is>
          <t>VÄSTERNORRLANDS LÄN</t>
        </is>
      </c>
      <c r="E728" t="inlineStr">
        <is>
          <t>ÅNGE</t>
        </is>
      </c>
      <c r="G728" t="n">
        <v>1.8</v>
      </c>
      <c r="H728" t="n">
        <v>0</v>
      </c>
      <c r="I728" t="n">
        <v>0</v>
      </c>
      <c r="J728" t="n">
        <v>0</v>
      </c>
      <c r="K728" t="n">
        <v>0</v>
      </c>
      <c r="L728" t="n">
        <v>0</v>
      </c>
      <c r="M728" t="n">
        <v>0</v>
      </c>
      <c r="N728" t="n">
        <v>0</v>
      </c>
      <c r="O728" t="n">
        <v>0</v>
      </c>
      <c r="P728" t="n">
        <v>0</v>
      </c>
      <c r="Q728" t="n">
        <v>0</v>
      </c>
      <c r="R728" s="2" t="inlineStr"/>
    </row>
    <row r="729" ht="15" customHeight="1">
      <c r="A729" t="inlineStr">
        <is>
          <t>A 5456-2024</t>
        </is>
      </c>
      <c r="B729" s="1" t="n">
        <v>45331</v>
      </c>
      <c r="C729" s="1" t="n">
        <v>46065</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44518-2024</t>
        </is>
      </c>
      <c r="B730" s="1" t="n">
        <v>45574.43376157407</v>
      </c>
      <c r="C730" s="1" t="n">
        <v>46065</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1886-2024</t>
        </is>
      </c>
      <c r="B731" s="1" t="n">
        <v>45307.96335648148</v>
      </c>
      <c r="C731" s="1" t="n">
        <v>46065</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44979-2023</t>
        </is>
      </c>
      <c r="B732" s="1" t="n">
        <v>45190.95752314815</v>
      </c>
      <c r="C732" s="1" t="n">
        <v>46065</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51124-2024</t>
        </is>
      </c>
      <c r="B733" s="1" t="n">
        <v>45603.50716435185</v>
      </c>
      <c r="C733" s="1" t="n">
        <v>46065</v>
      </c>
      <c r="D733" t="inlineStr">
        <is>
          <t>VÄSTERNORRLANDS LÄN</t>
        </is>
      </c>
      <c r="E733" t="inlineStr">
        <is>
          <t>ÅNGE</t>
        </is>
      </c>
      <c r="G733" t="n">
        <v>0.6</v>
      </c>
      <c r="H733" t="n">
        <v>0</v>
      </c>
      <c r="I733" t="n">
        <v>0</v>
      </c>
      <c r="J733" t="n">
        <v>0</v>
      </c>
      <c r="K733" t="n">
        <v>0</v>
      </c>
      <c r="L733" t="n">
        <v>0</v>
      </c>
      <c r="M733" t="n">
        <v>0</v>
      </c>
      <c r="N733" t="n">
        <v>0</v>
      </c>
      <c r="O733" t="n">
        <v>0</v>
      </c>
      <c r="P733" t="n">
        <v>0</v>
      </c>
      <c r="Q733" t="n">
        <v>0</v>
      </c>
      <c r="R733" s="2" t="inlineStr"/>
    </row>
    <row r="734" ht="15" customHeight="1">
      <c r="A734" t="inlineStr">
        <is>
          <t>A 30618-2025</t>
        </is>
      </c>
      <c r="B734" s="1" t="n">
        <v>45831.46909722222</v>
      </c>
      <c r="C734" s="1" t="n">
        <v>46065</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30474-2024</t>
        </is>
      </c>
      <c r="B735" s="1" t="n">
        <v>45491</v>
      </c>
      <c r="C735" s="1" t="n">
        <v>46065</v>
      </c>
      <c r="D735" t="inlineStr">
        <is>
          <t>VÄSTERNORRLANDS LÄN</t>
        </is>
      </c>
      <c r="E735" t="inlineStr">
        <is>
          <t>ÅNGE</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30475-2024</t>
        </is>
      </c>
      <c r="B736" s="1" t="n">
        <v>45491</v>
      </c>
      <c r="C736" s="1" t="n">
        <v>46065</v>
      </c>
      <c r="D736" t="inlineStr">
        <is>
          <t>VÄSTERNORRLANDS LÄN</t>
        </is>
      </c>
      <c r="E736" t="inlineStr">
        <is>
          <t>ÅNGE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31188-2025</t>
        </is>
      </c>
      <c r="B737" s="1" t="n">
        <v>45832.67842592593</v>
      </c>
      <c r="C737" s="1" t="n">
        <v>46065</v>
      </c>
      <c r="D737" t="inlineStr">
        <is>
          <t>VÄSTERNORRLANDS LÄN</t>
        </is>
      </c>
      <c r="E737" t="inlineStr">
        <is>
          <t>ÅNGE</t>
        </is>
      </c>
      <c r="F737" t="inlineStr">
        <is>
          <t>SCA</t>
        </is>
      </c>
      <c r="G737" t="n">
        <v>14.9</v>
      </c>
      <c r="H737" t="n">
        <v>0</v>
      </c>
      <c r="I737" t="n">
        <v>0</v>
      </c>
      <c r="J737" t="n">
        <v>0</v>
      </c>
      <c r="K737" t="n">
        <v>0</v>
      </c>
      <c r="L737" t="n">
        <v>0</v>
      </c>
      <c r="M737" t="n">
        <v>0</v>
      </c>
      <c r="N737" t="n">
        <v>0</v>
      </c>
      <c r="O737" t="n">
        <v>0</v>
      </c>
      <c r="P737" t="n">
        <v>0</v>
      </c>
      <c r="Q737" t="n">
        <v>0</v>
      </c>
      <c r="R737" s="2" t="inlineStr"/>
    </row>
    <row r="738" ht="15" customHeight="1">
      <c r="A738" t="inlineStr">
        <is>
          <t>A 50674-2024</t>
        </is>
      </c>
      <c r="B738" s="1" t="n">
        <v>45601.85402777778</v>
      </c>
      <c r="C738" s="1" t="n">
        <v>46065</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54720-2024</t>
        </is>
      </c>
      <c r="B739" s="1" t="n">
        <v>45618.43715277778</v>
      </c>
      <c r="C739" s="1" t="n">
        <v>46065</v>
      </c>
      <c r="D739" t="inlineStr">
        <is>
          <t>VÄSTERNORRLANDS LÄN</t>
        </is>
      </c>
      <c r="E739" t="inlineStr">
        <is>
          <t>ÅNGE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31042-2025</t>
        </is>
      </c>
      <c r="B740" s="1" t="n">
        <v>45832.55267361111</v>
      </c>
      <c r="C740" s="1" t="n">
        <v>46065</v>
      </c>
      <c r="D740" t="inlineStr">
        <is>
          <t>VÄSTERNORRLANDS LÄN</t>
        </is>
      </c>
      <c r="E740" t="inlineStr">
        <is>
          <t>ÅNGE</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31135-2025</t>
        </is>
      </c>
      <c r="B741" s="1" t="n">
        <v>45832.63581018519</v>
      </c>
      <c r="C741" s="1" t="n">
        <v>46065</v>
      </c>
      <c r="D741" t="inlineStr">
        <is>
          <t>VÄSTERNORRLANDS LÄN</t>
        </is>
      </c>
      <c r="E741" t="inlineStr">
        <is>
          <t>ÅNGE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17923-2025</t>
        </is>
      </c>
      <c r="B742" s="1" t="n">
        <v>45759.34415509259</v>
      </c>
      <c r="C742" s="1" t="n">
        <v>46065</v>
      </c>
      <c r="D742" t="inlineStr">
        <is>
          <t>VÄSTERNORRLANDS LÄN</t>
        </is>
      </c>
      <c r="E742" t="inlineStr">
        <is>
          <t>ÅNGE</t>
        </is>
      </c>
      <c r="F742" t="inlineStr">
        <is>
          <t>SCA</t>
        </is>
      </c>
      <c r="G742" t="n">
        <v>9.6</v>
      </c>
      <c r="H742" t="n">
        <v>0</v>
      </c>
      <c r="I742" t="n">
        <v>0</v>
      </c>
      <c r="J742" t="n">
        <v>0</v>
      </c>
      <c r="K742" t="n">
        <v>0</v>
      </c>
      <c r="L742" t="n">
        <v>0</v>
      </c>
      <c r="M742" t="n">
        <v>0</v>
      </c>
      <c r="N742" t="n">
        <v>0</v>
      </c>
      <c r="O742" t="n">
        <v>0</v>
      </c>
      <c r="P742" t="n">
        <v>0</v>
      </c>
      <c r="Q742" t="n">
        <v>0</v>
      </c>
      <c r="R742" s="2" t="inlineStr"/>
    </row>
    <row r="743" ht="15" customHeight="1">
      <c r="A743" t="inlineStr">
        <is>
          <t>A 30892-2025</t>
        </is>
      </c>
      <c r="B743" s="1" t="n">
        <v>45832.34663194444</v>
      </c>
      <c r="C743" s="1" t="n">
        <v>46065</v>
      </c>
      <c r="D743" t="inlineStr">
        <is>
          <t>VÄSTERNORRLANDS LÄN</t>
        </is>
      </c>
      <c r="E743" t="inlineStr">
        <is>
          <t>ÅNGE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71965-2021</t>
        </is>
      </c>
      <c r="B744" s="1" t="n">
        <v>44544.32483796297</v>
      </c>
      <c r="C744" s="1" t="n">
        <v>46065</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56574-2024</t>
        </is>
      </c>
      <c r="B745" s="1" t="n">
        <v>45625.59616898148</v>
      </c>
      <c r="C745" s="1" t="n">
        <v>46065</v>
      </c>
      <c r="D745" t="inlineStr">
        <is>
          <t>VÄSTERNORRLANDS LÄN</t>
        </is>
      </c>
      <c r="E745" t="inlineStr">
        <is>
          <t>ÅNGE</t>
        </is>
      </c>
      <c r="G745" t="n">
        <v>0.9</v>
      </c>
      <c r="H745" t="n">
        <v>0</v>
      </c>
      <c r="I745" t="n">
        <v>0</v>
      </c>
      <c r="J745" t="n">
        <v>0</v>
      </c>
      <c r="K745" t="n">
        <v>0</v>
      </c>
      <c r="L745" t="n">
        <v>0</v>
      </c>
      <c r="M745" t="n">
        <v>0</v>
      </c>
      <c r="N745" t="n">
        <v>0</v>
      </c>
      <c r="O745" t="n">
        <v>0</v>
      </c>
      <c r="P745" t="n">
        <v>0</v>
      </c>
      <c r="Q745" t="n">
        <v>0</v>
      </c>
      <c r="R745" s="2" t="inlineStr"/>
    </row>
    <row r="746" ht="15" customHeight="1">
      <c r="A746" t="inlineStr">
        <is>
          <t>A 53336-2024</t>
        </is>
      </c>
      <c r="B746" s="1" t="n">
        <v>45614.42753472222</v>
      </c>
      <c r="C746" s="1" t="n">
        <v>46065</v>
      </c>
      <c r="D746" t="inlineStr">
        <is>
          <t>VÄSTERNORRLANDS LÄN</t>
        </is>
      </c>
      <c r="E746" t="inlineStr">
        <is>
          <t>ÅNGE</t>
        </is>
      </c>
      <c r="G746" t="n">
        <v>1.5</v>
      </c>
      <c r="H746" t="n">
        <v>0</v>
      </c>
      <c r="I746" t="n">
        <v>0</v>
      </c>
      <c r="J746" t="n">
        <v>0</v>
      </c>
      <c r="K746" t="n">
        <v>0</v>
      </c>
      <c r="L746" t="n">
        <v>0</v>
      </c>
      <c r="M746" t="n">
        <v>0</v>
      </c>
      <c r="N746" t="n">
        <v>0</v>
      </c>
      <c r="O746" t="n">
        <v>0</v>
      </c>
      <c r="P746" t="n">
        <v>0</v>
      </c>
      <c r="Q746" t="n">
        <v>0</v>
      </c>
      <c r="R746" s="2" t="inlineStr"/>
    </row>
    <row r="747" ht="15" customHeight="1">
      <c r="A747" t="inlineStr">
        <is>
          <t>A 1582-2025</t>
        </is>
      </c>
      <c r="B747" s="1" t="n">
        <v>45670</v>
      </c>
      <c r="C747" s="1" t="n">
        <v>46065</v>
      </c>
      <c r="D747" t="inlineStr">
        <is>
          <t>VÄSTERNORRLANDS LÄN</t>
        </is>
      </c>
      <c r="E747" t="inlineStr">
        <is>
          <t>ÅNGE</t>
        </is>
      </c>
      <c r="G747" t="n">
        <v>7.3</v>
      </c>
      <c r="H747" t="n">
        <v>0</v>
      </c>
      <c r="I747" t="n">
        <v>0</v>
      </c>
      <c r="J747" t="n">
        <v>0</v>
      </c>
      <c r="K747" t="n">
        <v>0</v>
      </c>
      <c r="L747" t="n">
        <v>0</v>
      </c>
      <c r="M747" t="n">
        <v>0</v>
      </c>
      <c r="N747" t="n">
        <v>0</v>
      </c>
      <c r="O747" t="n">
        <v>0</v>
      </c>
      <c r="P747" t="n">
        <v>0</v>
      </c>
      <c r="Q747" t="n">
        <v>0</v>
      </c>
      <c r="R747" s="2" t="inlineStr"/>
      <c r="U747">
        <f>HYPERLINK("https://klasma.github.io/Logging_2260/knärot/A 1582-2025 karta knärot.png", "A 1582-2025")</f>
        <v/>
      </c>
      <c r="V747">
        <f>HYPERLINK("https://klasma.github.io/Logging_2260/klagomål/A 1582-2025 FSC-klagomål.docx", "A 1582-2025")</f>
        <v/>
      </c>
      <c r="W747">
        <f>HYPERLINK("https://klasma.github.io/Logging_2260/klagomålsmail/A 1582-2025 FSC-klagomål mail.docx", "A 1582-2025")</f>
        <v/>
      </c>
      <c r="X747">
        <f>HYPERLINK("https://klasma.github.io/Logging_2260/tillsyn/A 1582-2025 tillsynsbegäran.docx", "A 1582-2025")</f>
        <v/>
      </c>
      <c r="Y747">
        <f>HYPERLINK("https://klasma.github.io/Logging_2260/tillsynsmail/A 1582-2025 tillsynsbegäran mail.docx", "A 1582-2025")</f>
        <v/>
      </c>
    </row>
    <row r="748" ht="15" customHeight="1">
      <c r="A748" t="inlineStr">
        <is>
          <t>A 54908-2021</t>
        </is>
      </c>
      <c r="B748" s="1" t="n">
        <v>44474.39769675926</v>
      </c>
      <c r="C748" s="1" t="n">
        <v>46065</v>
      </c>
      <c r="D748" t="inlineStr">
        <is>
          <t>VÄSTERNORRLANDS LÄN</t>
        </is>
      </c>
      <c r="E748" t="inlineStr">
        <is>
          <t>ÅNGE</t>
        </is>
      </c>
      <c r="G748" t="n">
        <v>7.8</v>
      </c>
      <c r="H748" t="n">
        <v>0</v>
      </c>
      <c r="I748" t="n">
        <v>0</v>
      </c>
      <c r="J748" t="n">
        <v>0</v>
      </c>
      <c r="K748" t="n">
        <v>0</v>
      </c>
      <c r="L748" t="n">
        <v>0</v>
      </c>
      <c r="M748" t="n">
        <v>0</v>
      </c>
      <c r="N748" t="n">
        <v>0</v>
      </c>
      <c r="O748" t="n">
        <v>0</v>
      </c>
      <c r="P748" t="n">
        <v>0</v>
      </c>
      <c r="Q748" t="n">
        <v>0</v>
      </c>
      <c r="R748" s="2" t="inlineStr"/>
    </row>
    <row r="749" ht="15" customHeight="1">
      <c r="A749" t="inlineStr">
        <is>
          <t>A 30598-2025</t>
        </is>
      </c>
      <c r="B749" s="1" t="n">
        <v>45831.44834490741</v>
      </c>
      <c r="C749" s="1" t="n">
        <v>46065</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27951-2021</t>
        </is>
      </c>
      <c r="B750" s="1" t="n">
        <v>44354</v>
      </c>
      <c r="C750" s="1" t="n">
        <v>46065</v>
      </c>
      <c r="D750" t="inlineStr">
        <is>
          <t>VÄSTERNORRLANDS LÄN</t>
        </is>
      </c>
      <c r="E750" t="inlineStr">
        <is>
          <t>ÅNGE</t>
        </is>
      </c>
      <c r="G750" t="n">
        <v>3</v>
      </c>
      <c r="H750" t="n">
        <v>0</v>
      </c>
      <c r="I750" t="n">
        <v>0</v>
      </c>
      <c r="J750" t="n">
        <v>0</v>
      </c>
      <c r="K750" t="n">
        <v>0</v>
      </c>
      <c r="L750" t="n">
        <v>0</v>
      </c>
      <c r="M750" t="n">
        <v>0</v>
      </c>
      <c r="N750" t="n">
        <v>0</v>
      </c>
      <c r="O750" t="n">
        <v>0</v>
      </c>
      <c r="P750" t="n">
        <v>0</v>
      </c>
      <c r="Q750" t="n">
        <v>0</v>
      </c>
      <c r="R750" s="2" t="inlineStr"/>
    </row>
    <row r="751" ht="15" customHeight="1">
      <c r="A751" t="inlineStr">
        <is>
          <t>A 57598-2022</t>
        </is>
      </c>
      <c r="B751" s="1" t="n">
        <v>44896</v>
      </c>
      <c r="C751" s="1" t="n">
        <v>46065</v>
      </c>
      <c r="D751" t="inlineStr">
        <is>
          <t>VÄSTERNORRLANDS LÄN</t>
        </is>
      </c>
      <c r="E751" t="inlineStr">
        <is>
          <t>ÅNGE</t>
        </is>
      </c>
      <c r="F751" t="inlineStr">
        <is>
          <t>SCA</t>
        </is>
      </c>
      <c r="G751" t="n">
        <v>3.1</v>
      </c>
      <c r="H751" t="n">
        <v>0</v>
      </c>
      <c r="I751" t="n">
        <v>0</v>
      </c>
      <c r="J751" t="n">
        <v>0</v>
      </c>
      <c r="K751" t="n">
        <v>0</v>
      </c>
      <c r="L751" t="n">
        <v>0</v>
      </c>
      <c r="M751" t="n">
        <v>0</v>
      </c>
      <c r="N751" t="n">
        <v>0</v>
      </c>
      <c r="O751" t="n">
        <v>0</v>
      </c>
      <c r="P751" t="n">
        <v>0</v>
      </c>
      <c r="Q751" t="n">
        <v>0</v>
      </c>
      <c r="R751" s="2" t="inlineStr"/>
    </row>
    <row r="752" ht="15" customHeight="1">
      <c r="A752" t="inlineStr">
        <is>
          <t>A 58087-2024</t>
        </is>
      </c>
      <c r="B752" s="1" t="n">
        <v>45632.34502314815</v>
      </c>
      <c r="C752" s="1" t="n">
        <v>46065</v>
      </c>
      <c r="D752" t="inlineStr">
        <is>
          <t>VÄSTERNORRLANDS LÄN</t>
        </is>
      </c>
      <c r="E752" t="inlineStr">
        <is>
          <t>ÅNGE</t>
        </is>
      </c>
      <c r="G752" t="n">
        <v>2.6</v>
      </c>
      <c r="H752" t="n">
        <v>0</v>
      </c>
      <c r="I752" t="n">
        <v>0</v>
      </c>
      <c r="J752" t="n">
        <v>0</v>
      </c>
      <c r="K752" t="n">
        <v>0</v>
      </c>
      <c r="L752" t="n">
        <v>0</v>
      </c>
      <c r="M752" t="n">
        <v>0</v>
      </c>
      <c r="N752" t="n">
        <v>0</v>
      </c>
      <c r="O752" t="n">
        <v>0</v>
      </c>
      <c r="P752" t="n">
        <v>0</v>
      </c>
      <c r="Q752" t="n">
        <v>0</v>
      </c>
      <c r="R752" s="2" t="inlineStr"/>
    </row>
    <row r="753" ht="15" customHeight="1">
      <c r="A753" t="inlineStr">
        <is>
          <t>A 22990-2024</t>
        </is>
      </c>
      <c r="B753" s="1" t="n">
        <v>45449.94548611111</v>
      </c>
      <c r="C753" s="1" t="n">
        <v>46065</v>
      </c>
      <c r="D753" t="inlineStr">
        <is>
          <t>VÄSTERNORRLANDS LÄN</t>
        </is>
      </c>
      <c r="E753" t="inlineStr">
        <is>
          <t>ÅNGE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50231-2024</t>
        </is>
      </c>
      <c r="B754" s="1" t="n">
        <v>45600.55251157407</v>
      </c>
      <c r="C754" s="1" t="n">
        <v>46065</v>
      </c>
      <c r="D754" t="inlineStr">
        <is>
          <t>VÄSTERNORRLANDS LÄN</t>
        </is>
      </c>
      <c r="E754" t="inlineStr">
        <is>
          <t>ÅNGE</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31041-2025</t>
        </is>
      </c>
      <c r="B755" s="1" t="n">
        <v>45832.55247685185</v>
      </c>
      <c r="C755" s="1" t="n">
        <v>46065</v>
      </c>
      <c r="D755" t="inlineStr">
        <is>
          <t>VÄSTERNORRLANDS LÄN</t>
        </is>
      </c>
      <c r="E755" t="inlineStr">
        <is>
          <t>ÅNGE</t>
        </is>
      </c>
      <c r="F755" t="inlineStr">
        <is>
          <t>SCA</t>
        </is>
      </c>
      <c r="G755" t="n">
        <v>15.1</v>
      </c>
      <c r="H755" t="n">
        <v>0</v>
      </c>
      <c r="I755" t="n">
        <v>0</v>
      </c>
      <c r="J755" t="n">
        <v>0</v>
      </c>
      <c r="K755" t="n">
        <v>0</v>
      </c>
      <c r="L755" t="n">
        <v>0</v>
      </c>
      <c r="M755" t="n">
        <v>0</v>
      </c>
      <c r="N755" t="n">
        <v>0</v>
      </c>
      <c r="O755" t="n">
        <v>0</v>
      </c>
      <c r="P755" t="n">
        <v>0</v>
      </c>
      <c r="Q755" t="n">
        <v>0</v>
      </c>
      <c r="R755" s="2" t="inlineStr"/>
    </row>
    <row r="756" ht="15" customHeight="1">
      <c r="A756" t="inlineStr">
        <is>
          <t>A 31139-2025</t>
        </is>
      </c>
      <c r="B756" s="1" t="n">
        <v>45832.63633101852</v>
      </c>
      <c r="C756" s="1" t="n">
        <v>46065</v>
      </c>
      <c r="D756" t="inlineStr">
        <is>
          <t>VÄSTERNORRLANDS LÄN</t>
        </is>
      </c>
      <c r="E756" t="inlineStr">
        <is>
          <t>ÅNGE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30877-2025</t>
        </is>
      </c>
      <c r="B757" s="1" t="n">
        <v>45832.34478009259</v>
      </c>
      <c r="C757" s="1" t="n">
        <v>46065</v>
      </c>
      <c r="D757" t="inlineStr">
        <is>
          <t>VÄSTERNORRLANDS LÄN</t>
        </is>
      </c>
      <c r="E757" t="inlineStr">
        <is>
          <t>ÅNGE</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30888-2025</t>
        </is>
      </c>
      <c r="B758" s="1" t="n">
        <v>45832.34606481482</v>
      </c>
      <c r="C758" s="1" t="n">
        <v>46065</v>
      </c>
      <c r="D758" t="inlineStr">
        <is>
          <t>VÄSTERNORRLANDS LÄN</t>
        </is>
      </c>
      <c r="E758" t="inlineStr">
        <is>
          <t>ÅNGE</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31275-2025</t>
        </is>
      </c>
      <c r="B759" s="1" t="n">
        <v>45833.34459490741</v>
      </c>
      <c r="C759" s="1" t="n">
        <v>46065</v>
      </c>
      <c r="D759" t="inlineStr">
        <is>
          <t>VÄSTERNORRLANDS LÄN</t>
        </is>
      </c>
      <c r="E759" t="inlineStr">
        <is>
          <t>ÅNGE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1975-2025</t>
        </is>
      </c>
      <c r="B760" s="1" t="n">
        <v>45672.39332175926</v>
      </c>
      <c r="C760" s="1" t="n">
        <v>46065</v>
      </c>
      <c r="D760" t="inlineStr">
        <is>
          <t>VÄSTERNORRLANDS LÄN</t>
        </is>
      </c>
      <c r="E760" t="inlineStr">
        <is>
          <t>ÅNGE</t>
        </is>
      </c>
      <c r="G760" t="n">
        <v>6.2</v>
      </c>
      <c r="H760" t="n">
        <v>0</v>
      </c>
      <c r="I760" t="n">
        <v>0</v>
      </c>
      <c r="J760" t="n">
        <v>0</v>
      </c>
      <c r="K760" t="n">
        <v>0</v>
      </c>
      <c r="L760" t="n">
        <v>0</v>
      </c>
      <c r="M760" t="n">
        <v>0</v>
      </c>
      <c r="N760" t="n">
        <v>0</v>
      </c>
      <c r="O760" t="n">
        <v>0</v>
      </c>
      <c r="P760" t="n">
        <v>0</v>
      </c>
      <c r="Q760" t="n">
        <v>0</v>
      </c>
      <c r="R760" s="2" t="inlineStr"/>
    </row>
    <row r="761" ht="15" customHeight="1">
      <c r="A761" t="inlineStr">
        <is>
          <t>A 33429-2023</t>
        </is>
      </c>
      <c r="B761" s="1" t="n">
        <v>45128.94983796297</v>
      </c>
      <c r="C761" s="1" t="n">
        <v>46065</v>
      </c>
      <c r="D761" t="inlineStr">
        <is>
          <t>VÄSTERNORRLANDS LÄN</t>
        </is>
      </c>
      <c r="E761" t="inlineStr">
        <is>
          <t>ÅNGE</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31452-2025</t>
        </is>
      </c>
      <c r="B762" s="1" t="n">
        <v>45833.53179398148</v>
      </c>
      <c r="C762" s="1" t="n">
        <v>46065</v>
      </c>
      <c r="D762" t="inlineStr">
        <is>
          <t>VÄSTERNORRLANDS LÄN</t>
        </is>
      </c>
      <c r="E762" t="inlineStr">
        <is>
          <t>ÅNGE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20576-2021</t>
        </is>
      </c>
      <c r="B763" s="1" t="n">
        <v>44316.3290162037</v>
      </c>
      <c r="C763" s="1" t="n">
        <v>46065</v>
      </c>
      <c r="D763" t="inlineStr">
        <is>
          <t>VÄSTERNORRLANDS LÄN</t>
        </is>
      </c>
      <c r="E763" t="inlineStr">
        <is>
          <t>ÅNGE</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31544-2025</t>
        </is>
      </c>
      <c r="B764" s="1" t="n">
        <v>45833.63597222222</v>
      </c>
      <c r="C764" s="1" t="n">
        <v>46065</v>
      </c>
      <c r="D764" t="inlineStr">
        <is>
          <t>VÄSTERNORRLANDS LÄN</t>
        </is>
      </c>
      <c r="E764" t="inlineStr">
        <is>
          <t>ÅNGE</t>
        </is>
      </c>
      <c r="G764" t="n">
        <v>2.1</v>
      </c>
      <c r="H764" t="n">
        <v>0</v>
      </c>
      <c r="I764" t="n">
        <v>0</v>
      </c>
      <c r="J764" t="n">
        <v>0</v>
      </c>
      <c r="K764" t="n">
        <v>0</v>
      </c>
      <c r="L764" t="n">
        <v>0</v>
      </c>
      <c r="M764" t="n">
        <v>0</v>
      </c>
      <c r="N764" t="n">
        <v>0</v>
      </c>
      <c r="O764" t="n">
        <v>0</v>
      </c>
      <c r="P764" t="n">
        <v>0</v>
      </c>
      <c r="Q764" t="n">
        <v>0</v>
      </c>
      <c r="R764" s="2" t="inlineStr"/>
    </row>
    <row r="765" ht="15" customHeight="1">
      <c r="A765" t="inlineStr">
        <is>
          <t>A 59600-2024</t>
        </is>
      </c>
      <c r="B765" s="1" t="n">
        <v>45638.71763888889</v>
      </c>
      <c r="C765" s="1" t="n">
        <v>46065</v>
      </c>
      <c r="D765" t="inlineStr">
        <is>
          <t>VÄSTERNORRLANDS LÄN</t>
        </is>
      </c>
      <c r="E765" t="inlineStr">
        <is>
          <t>ÅNGE</t>
        </is>
      </c>
      <c r="G765" t="n">
        <v>1.3</v>
      </c>
      <c r="H765" t="n">
        <v>0</v>
      </c>
      <c r="I765" t="n">
        <v>0</v>
      </c>
      <c r="J765" t="n">
        <v>0</v>
      </c>
      <c r="K765" t="n">
        <v>0</v>
      </c>
      <c r="L765" t="n">
        <v>0</v>
      </c>
      <c r="M765" t="n">
        <v>0</v>
      </c>
      <c r="N765" t="n">
        <v>0</v>
      </c>
      <c r="O765" t="n">
        <v>0</v>
      </c>
      <c r="P765" t="n">
        <v>0</v>
      </c>
      <c r="Q765" t="n">
        <v>0</v>
      </c>
      <c r="R765" s="2" t="inlineStr"/>
    </row>
    <row r="766" ht="15" customHeight="1">
      <c r="A766" t="inlineStr">
        <is>
          <t>A 31646-2025</t>
        </is>
      </c>
      <c r="B766" s="1" t="n">
        <v>45834.34563657407</v>
      </c>
      <c r="C766" s="1" t="n">
        <v>46065</v>
      </c>
      <c r="D766" t="inlineStr">
        <is>
          <t>VÄSTERNORRLANDS LÄN</t>
        </is>
      </c>
      <c r="E766" t="inlineStr">
        <is>
          <t>ÅNGE</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1235-2023</t>
        </is>
      </c>
      <c r="B767" s="1" t="n">
        <v>44935</v>
      </c>
      <c r="C767" s="1" t="n">
        <v>46065</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31484-2025</t>
        </is>
      </c>
      <c r="B768" s="1" t="n">
        <v>45833.57418981481</v>
      </c>
      <c r="C768" s="1" t="n">
        <v>46065</v>
      </c>
      <c r="D768" t="inlineStr">
        <is>
          <t>VÄSTERNORRLANDS LÄN</t>
        </is>
      </c>
      <c r="E768" t="inlineStr">
        <is>
          <t>ÅNGE</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31642-2025</t>
        </is>
      </c>
      <c r="B769" s="1" t="n">
        <v>45834.34474537037</v>
      </c>
      <c r="C769" s="1" t="n">
        <v>46065</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13501-2021</t>
        </is>
      </c>
      <c r="B770" s="1" t="n">
        <v>44273</v>
      </c>
      <c r="C770" s="1" t="n">
        <v>46065</v>
      </c>
      <c r="D770" t="inlineStr">
        <is>
          <t>VÄSTERNORRLANDS LÄN</t>
        </is>
      </c>
      <c r="E770" t="inlineStr">
        <is>
          <t>ÅNGE</t>
        </is>
      </c>
      <c r="G770" t="n">
        <v>0.4</v>
      </c>
      <c r="H770" t="n">
        <v>0</v>
      </c>
      <c r="I770" t="n">
        <v>0</v>
      </c>
      <c r="J770" t="n">
        <v>0</v>
      </c>
      <c r="K770" t="n">
        <v>0</v>
      </c>
      <c r="L770" t="n">
        <v>0</v>
      </c>
      <c r="M770" t="n">
        <v>0</v>
      </c>
      <c r="N770" t="n">
        <v>0</v>
      </c>
      <c r="O770" t="n">
        <v>0</v>
      </c>
      <c r="P770" t="n">
        <v>0</v>
      </c>
      <c r="Q770" t="n">
        <v>0</v>
      </c>
      <c r="R770" s="2" t="inlineStr"/>
    </row>
    <row r="771" ht="15" customHeight="1">
      <c r="A771" t="inlineStr">
        <is>
          <t>A 33302-2024</t>
        </is>
      </c>
      <c r="B771" s="1" t="n">
        <v>45518.96967592592</v>
      </c>
      <c r="C771" s="1" t="n">
        <v>46065</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7528-2023</t>
        </is>
      </c>
      <c r="B772" s="1" t="n">
        <v>44971.97662037037</v>
      </c>
      <c r="C772" s="1" t="n">
        <v>46065</v>
      </c>
      <c r="D772" t="inlineStr">
        <is>
          <t>VÄSTERNORRLANDS LÄN</t>
        </is>
      </c>
      <c r="E772" t="inlineStr">
        <is>
          <t>ÅNGE</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3133-2024</t>
        </is>
      </c>
      <c r="B773" s="1" t="n">
        <v>45316.55885416667</v>
      </c>
      <c r="C773" s="1" t="n">
        <v>46065</v>
      </c>
      <c r="D773" t="inlineStr">
        <is>
          <t>VÄSTERNORRLANDS LÄN</t>
        </is>
      </c>
      <c r="E773" t="inlineStr">
        <is>
          <t>ÅNGE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31666-2025</t>
        </is>
      </c>
      <c r="B774" s="1" t="n">
        <v>45834.36519675926</v>
      </c>
      <c r="C774" s="1" t="n">
        <v>46065</v>
      </c>
      <c r="D774" t="inlineStr">
        <is>
          <t>VÄSTERNORRLANDS LÄN</t>
        </is>
      </c>
      <c r="E774" t="inlineStr">
        <is>
          <t>ÅNGE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17210-2022</t>
        </is>
      </c>
      <c r="B775" s="1" t="n">
        <v>44677.92701388889</v>
      </c>
      <c r="C775" s="1" t="n">
        <v>46065</v>
      </c>
      <c r="D775" t="inlineStr">
        <is>
          <t>VÄSTERNORRLANDS LÄN</t>
        </is>
      </c>
      <c r="E775" t="inlineStr">
        <is>
          <t>ÅNGE</t>
        </is>
      </c>
      <c r="G775" t="n">
        <v>1.8</v>
      </c>
      <c r="H775" t="n">
        <v>0</v>
      </c>
      <c r="I775" t="n">
        <v>0</v>
      </c>
      <c r="J775" t="n">
        <v>0</v>
      </c>
      <c r="K775" t="n">
        <v>0</v>
      </c>
      <c r="L775" t="n">
        <v>0</v>
      </c>
      <c r="M775" t="n">
        <v>0</v>
      </c>
      <c r="N775" t="n">
        <v>0</v>
      </c>
      <c r="O775" t="n">
        <v>0</v>
      </c>
      <c r="P775" t="n">
        <v>0</v>
      </c>
      <c r="Q775" t="n">
        <v>0</v>
      </c>
      <c r="R775" s="2" t="inlineStr"/>
    </row>
    <row r="776" ht="15" customHeight="1">
      <c r="A776" t="inlineStr">
        <is>
          <t>A 10195-2024</t>
        </is>
      </c>
      <c r="B776" s="1" t="n">
        <v>45364</v>
      </c>
      <c r="C776" s="1" t="n">
        <v>46065</v>
      </c>
      <c r="D776" t="inlineStr">
        <is>
          <t>VÄSTERNORRLANDS LÄN</t>
        </is>
      </c>
      <c r="E776" t="inlineStr">
        <is>
          <t>ÅNGE</t>
        </is>
      </c>
      <c r="G776" t="n">
        <v>0.7</v>
      </c>
      <c r="H776" t="n">
        <v>0</v>
      </c>
      <c r="I776" t="n">
        <v>0</v>
      </c>
      <c r="J776" t="n">
        <v>0</v>
      </c>
      <c r="K776" t="n">
        <v>0</v>
      </c>
      <c r="L776" t="n">
        <v>0</v>
      </c>
      <c r="M776" t="n">
        <v>0</v>
      </c>
      <c r="N776" t="n">
        <v>0</v>
      </c>
      <c r="O776" t="n">
        <v>0</v>
      </c>
      <c r="P776" t="n">
        <v>0</v>
      </c>
      <c r="Q776" t="n">
        <v>0</v>
      </c>
      <c r="R776" s="2" t="inlineStr"/>
    </row>
    <row r="777" ht="15" customHeight="1">
      <c r="A777" t="inlineStr">
        <is>
          <t>A 39589-2022</t>
        </is>
      </c>
      <c r="B777" s="1" t="n">
        <v>44818</v>
      </c>
      <c r="C777" s="1" t="n">
        <v>46065</v>
      </c>
      <c r="D777" t="inlineStr">
        <is>
          <t>VÄSTERNORRLANDS LÄN</t>
        </is>
      </c>
      <c r="E777" t="inlineStr">
        <is>
          <t>ÅNGE</t>
        </is>
      </c>
      <c r="G777" t="n">
        <v>4.8</v>
      </c>
      <c r="H777" t="n">
        <v>0</v>
      </c>
      <c r="I777" t="n">
        <v>0</v>
      </c>
      <c r="J777" t="n">
        <v>0</v>
      </c>
      <c r="K777" t="n">
        <v>0</v>
      </c>
      <c r="L777" t="n">
        <v>0</v>
      </c>
      <c r="M777" t="n">
        <v>0</v>
      </c>
      <c r="N777" t="n">
        <v>0</v>
      </c>
      <c r="O777" t="n">
        <v>0</v>
      </c>
      <c r="P777" t="n">
        <v>0</v>
      </c>
      <c r="Q777" t="n">
        <v>0</v>
      </c>
      <c r="R777" s="2" t="inlineStr"/>
    </row>
    <row r="778" ht="15" customHeight="1">
      <c r="A778" t="inlineStr">
        <is>
          <t>A 34851-2023</t>
        </is>
      </c>
      <c r="B778" s="1" t="n">
        <v>45141</v>
      </c>
      <c r="C778" s="1" t="n">
        <v>46065</v>
      </c>
      <c r="D778" t="inlineStr">
        <is>
          <t>VÄSTERNORRLANDS LÄN</t>
        </is>
      </c>
      <c r="E778" t="inlineStr">
        <is>
          <t>ÅNGE</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361-2025</t>
        </is>
      </c>
      <c r="B779" s="1" t="n">
        <v>45660</v>
      </c>
      <c r="C779" s="1" t="n">
        <v>46065</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12021-2022</t>
        </is>
      </c>
      <c r="B780" s="1" t="n">
        <v>44635</v>
      </c>
      <c r="C780" s="1" t="n">
        <v>46065</v>
      </c>
      <c r="D780" t="inlineStr">
        <is>
          <t>VÄSTERNORRLANDS LÄN</t>
        </is>
      </c>
      <c r="E780" t="inlineStr">
        <is>
          <t>ÅNGE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25320-2023</t>
        </is>
      </c>
      <c r="B781" s="1" t="n">
        <v>45086.93929398148</v>
      </c>
      <c r="C781" s="1" t="n">
        <v>46065</v>
      </c>
      <c r="D781" t="inlineStr">
        <is>
          <t>VÄSTERNORRLANDS LÄN</t>
        </is>
      </c>
      <c r="E781" t="inlineStr">
        <is>
          <t>ÅNGE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32025-2025</t>
        </is>
      </c>
      <c r="B782" s="1" t="n">
        <v>45835.40721064815</v>
      </c>
      <c r="C782" s="1" t="n">
        <v>46065</v>
      </c>
      <c r="D782" t="inlineStr">
        <is>
          <t>VÄSTERNORRLANDS LÄN</t>
        </is>
      </c>
      <c r="E782" t="inlineStr">
        <is>
          <t>ÅNGE</t>
        </is>
      </c>
      <c r="G782" t="n">
        <v>1.6</v>
      </c>
      <c r="H782" t="n">
        <v>0</v>
      </c>
      <c r="I782" t="n">
        <v>0</v>
      </c>
      <c r="J782" t="n">
        <v>0</v>
      </c>
      <c r="K782" t="n">
        <v>0</v>
      </c>
      <c r="L782" t="n">
        <v>0</v>
      </c>
      <c r="M782" t="n">
        <v>0</v>
      </c>
      <c r="N782" t="n">
        <v>0</v>
      </c>
      <c r="O782" t="n">
        <v>0</v>
      </c>
      <c r="P782" t="n">
        <v>0</v>
      </c>
      <c r="Q782" t="n">
        <v>0</v>
      </c>
      <c r="R782" s="2" t="inlineStr"/>
    </row>
    <row r="783" ht="15" customHeight="1">
      <c r="A783" t="inlineStr">
        <is>
          <t>A 24541-2023</t>
        </is>
      </c>
      <c r="B783" s="1" t="n">
        <v>45082.94135416667</v>
      </c>
      <c r="C783" s="1" t="n">
        <v>46065</v>
      </c>
      <c r="D783" t="inlineStr">
        <is>
          <t>VÄSTERNORRLANDS LÄN</t>
        </is>
      </c>
      <c r="E783" t="inlineStr">
        <is>
          <t>ÅNGE</t>
        </is>
      </c>
      <c r="F783" t="inlineStr">
        <is>
          <t>SCA</t>
        </is>
      </c>
      <c r="G783" t="n">
        <v>6.8</v>
      </c>
      <c r="H783" t="n">
        <v>0</v>
      </c>
      <c r="I783" t="n">
        <v>0</v>
      </c>
      <c r="J783" t="n">
        <v>0</v>
      </c>
      <c r="K783" t="n">
        <v>0</v>
      </c>
      <c r="L783" t="n">
        <v>0</v>
      </c>
      <c r="M783" t="n">
        <v>0</v>
      </c>
      <c r="N783" t="n">
        <v>0</v>
      </c>
      <c r="O783" t="n">
        <v>0</v>
      </c>
      <c r="P783" t="n">
        <v>0</v>
      </c>
      <c r="Q783" t="n">
        <v>0</v>
      </c>
      <c r="R783" s="2" t="inlineStr"/>
    </row>
    <row r="784" ht="15" customHeight="1">
      <c r="A784" t="inlineStr">
        <is>
          <t>A 26092-2025</t>
        </is>
      </c>
      <c r="B784" s="1" t="n">
        <v>45805</v>
      </c>
      <c r="C784" s="1" t="n">
        <v>46065</v>
      </c>
      <c r="D784" t="inlineStr">
        <is>
          <t>VÄSTERNORRLANDS LÄN</t>
        </is>
      </c>
      <c r="E784" t="inlineStr">
        <is>
          <t>ÅNGE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6690-2024</t>
        </is>
      </c>
      <c r="B785" s="1" t="n">
        <v>45341</v>
      </c>
      <c r="C785" s="1" t="n">
        <v>46065</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18542-2022</t>
        </is>
      </c>
      <c r="B786" s="1" t="n">
        <v>44686</v>
      </c>
      <c r="C786" s="1" t="n">
        <v>46065</v>
      </c>
      <c r="D786" t="inlineStr">
        <is>
          <t>VÄSTERNORRLANDS LÄN</t>
        </is>
      </c>
      <c r="E786" t="inlineStr">
        <is>
          <t>ÅNGE</t>
        </is>
      </c>
      <c r="G786" t="n">
        <v>0.2</v>
      </c>
      <c r="H786" t="n">
        <v>0</v>
      </c>
      <c r="I786" t="n">
        <v>0</v>
      </c>
      <c r="J786" t="n">
        <v>0</v>
      </c>
      <c r="K786" t="n">
        <v>0</v>
      </c>
      <c r="L786" t="n">
        <v>0</v>
      </c>
      <c r="M786" t="n">
        <v>0</v>
      </c>
      <c r="N786" t="n">
        <v>0</v>
      </c>
      <c r="O786" t="n">
        <v>0</v>
      </c>
      <c r="P786" t="n">
        <v>0</v>
      </c>
      <c r="Q786" t="n">
        <v>0</v>
      </c>
      <c r="R786" s="2" t="inlineStr"/>
    </row>
    <row r="787" ht="15" customHeight="1">
      <c r="A787" t="inlineStr">
        <is>
          <t>A 44600-2024</t>
        </is>
      </c>
      <c r="B787" s="1" t="n">
        <v>45574.51113425926</v>
      </c>
      <c r="C787" s="1" t="n">
        <v>46065</v>
      </c>
      <c r="D787" t="inlineStr">
        <is>
          <t>VÄSTERNORRLANDS LÄN</t>
        </is>
      </c>
      <c r="E787" t="inlineStr">
        <is>
          <t>ÅNGE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26013-2024</t>
        </is>
      </c>
      <c r="B788" s="1" t="n">
        <v>45467</v>
      </c>
      <c r="C788" s="1" t="n">
        <v>46065</v>
      </c>
      <c r="D788" t="inlineStr">
        <is>
          <t>VÄSTERNORRLANDS LÄN</t>
        </is>
      </c>
      <c r="E788" t="inlineStr">
        <is>
          <t>ÅNGE</t>
        </is>
      </c>
      <c r="F788" t="inlineStr">
        <is>
          <t>SCA</t>
        </is>
      </c>
      <c r="G788" t="n">
        <v>6.8</v>
      </c>
      <c r="H788" t="n">
        <v>0</v>
      </c>
      <c r="I788" t="n">
        <v>0</v>
      </c>
      <c r="J788" t="n">
        <v>0</v>
      </c>
      <c r="K788" t="n">
        <v>0</v>
      </c>
      <c r="L788" t="n">
        <v>0</v>
      </c>
      <c r="M788" t="n">
        <v>0</v>
      </c>
      <c r="N788" t="n">
        <v>0</v>
      </c>
      <c r="O788" t="n">
        <v>0</v>
      </c>
      <c r="P788" t="n">
        <v>0</v>
      </c>
      <c r="Q788" t="n">
        <v>0</v>
      </c>
      <c r="R788" s="2" t="inlineStr"/>
    </row>
    <row r="789" ht="15" customHeight="1">
      <c r="A789" t="inlineStr">
        <is>
          <t>A 25377-2024</t>
        </is>
      </c>
      <c r="B789" s="1" t="n">
        <v>45462.96211805556</v>
      </c>
      <c r="C789" s="1" t="n">
        <v>46065</v>
      </c>
      <c r="D789" t="inlineStr">
        <is>
          <t>VÄSTERNORRLANDS LÄN</t>
        </is>
      </c>
      <c r="E789" t="inlineStr">
        <is>
          <t>ÅNGE</t>
        </is>
      </c>
      <c r="F789" t="inlineStr">
        <is>
          <t>SCA</t>
        </is>
      </c>
      <c r="G789" t="n">
        <v>20.7</v>
      </c>
      <c r="H789" t="n">
        <v>0</v>
      </c>
      <c r="I789" t="n">
        <v>0</v>
      </c>
      <c r="J789" t="n">
        <v>0</v>
      </c>
      <c r="K789" t="n">
        <v>0</v>
      </c>
      <c r="L789" t="n">
        <v>0</v>
      </c>
      <c r="M789" t="n">
        <v>0</v>
      </c>
      <c r="N789" t="n">
        <v>0</v>
      </c>
      <c r="O789" t="n">
        <v>0</v>
      </c>
      <c r="P789" t="n">
        <v>0</v>
      </c>
      <c r="Q789" t="n">
        <v>0</v>
      </c>
      <c r="R789" s="2" t="inlineStr"/>
    </row>
    <row r="790" ht="15" customHeight="1">
      <c r="A790" t="inlineStr">
        <is>
          <t>A 56956-2022</t>
        </is>
      </c>
      <c r="B790" s="1" t="n">
        <v>44894</v>
      </c>
      <c r="C790" s="1" t="n">
        <v>46065</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32024-2025</t>
        </is>
      </c>
      <c r="B791" s="1" t="n">
        <v>45835.40706018519</v>
      </c>
      <c r="C791" s="1" t="n">
        <v>46065</v>
      </c>
      <c r="D791" t="inlineStr">
        <is>
          <t>VÄSTERNORRLANDS LÄN</t>
        </is>
      </c>
      <c r="E791" t="inlineStr">
        <is>
          <t>ÅNGE</t>
        </is>
      </c>
      <c r="F791" t="inlineStr">
        <is>
          <t>SCA</t>
        </is>
      </c>
      <c r="G791" t="n">
        <v>12.3</v>
      </c>
      <c r="H791" t="n">
        <v>0</v>
      </c>
      <c r="I791" t="n">
        <v>0</v>
      </c>
      <c r="J791" t="n">
        <v>0</v>
      </c>
      <c r="K791" t="n">
        <v>0</v>
      </c>
      <c r="L791" t="n">
        <v>0</v>
      </c>
      <c r="M791" t="n">
        <v>0</v>
      </c>
      <c r="N791" t="n">
        <v>0</v>
      </c>
      <c r="O791" t="n">
        <v>0</v>
      </c>
      <c r="P791" t="n">
        <v>0</v>
      </c>
      <c r="Q791" t="n">
        <v>0</v>
      </c>
      <c r="R791" s="2" t="inlineStr"/>
    </row>
    <row r="792" ht="15" customHeight="1">
      <c r="A792" t="inlineStr">
        <is>
          <t>A 3977-2025</t>
        </is>
      </c>
      <c r="B792" s="1" t="n">
        <v>45684</v>
      </c>
      <c r="C792" s="1" t="n">
        <v>46065</v>
      </c>
      <c r="D792" t="inlineStr">
        <is>
          <t>VÄSTERNORRLANDS LÄN</t>
        </is>
      </c>
      <c r="E792" t="inlineStr">
        <is>
          <t>ÅNGE</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32847-2025</t>
        </is>
      </c>
      <c r="B793" s="1" t="n">
        <v>45839.57354166666</v>
      </c>
      <c r="C793" s="1" t="n">
        <v>46065</v>
      </c>
      <c r="D793" t="inlineStr">
        <is>
          <t>VÄSTERNORRLANDS LÄN</t>
        </is>
      </c>
      <c r="E793" t="inlineStr">
        <is>
          <t>ÅNGE</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14976-2025</t>
        </is>
      </c>
      <c r="B794" s="1" t="n">
        <v>45743</v>
      </c>
      <c r="C794" s="1" t="n">
        <v>46065</v>
      </c>
      <c r="D794" t="inlineStr">
        <is>
          <t>VÄSTERNORRLANDS LÄN</t>
        </is>
      </c>
      <c r="E794" t="inlineStr">
        <is>
          <t>ÅNGE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5249-2025</t>
        </is>
      </c>
      <c r="B795" s="1" t="n">
        <v>45692.34465277778</v>
      </c>
      <c r="C795" s="1" t="n">
        <v>46065</v>
      </c>
      <c r="D795" t="inlineStr">
        <is>
          <t>VÄSTERNORRLANDS LÄN</t>
        </is>
      </c>
      <c r="E795" t="inlineStr">
        <is>
          <t>ÅNGE</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26018-2024</t>
        </is>
      </c>
      <c r="B796" s="1" t="n">
        <v>45467.95998842592</v>
      </c>
      <c r="C796" s="1" t="n">
        <v>46065</v>
      </c>
      <c r="D796" t="inlineStr">
        <is>
          <t>VÄSTERNORRLANDS LÄN</t>
        </is>
      </c>
      <c r="E796" t="inlineStr">
        <is>
          <t>ÅNGE</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26021-2024</t>
        </is>
      </c>
      <c r="B797" s="1" t="n">
        <v>45467</v>
      </c>
      <c r="C797" s="1" t="n">
        <v>46065</v>
      </c>
      <c r="D797" t="inlineStr">
        <is>
          <t>VÄSTERNORRLANDS LÄN</t>
        </is>
      </c>
      <c r="E797" t="inlineStr">
        <is>
          <t>ÅNGE</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45932-2023</t>
        </is>
      </c>
      <c r="B798" s="1" t="n">
        <v>45195</v>
      </c>
      <c r="C798" s="1" t="n">
        <v>46065</v>
      </c>
      <c r="D798" t="inlineStr">
        <is>
          <t>VÄSTERNORRLANDS LÄN</t>
        </is>
      </c>
      <c r="E798" t="inlineStr">
        <is>
          <t>ÅNGE</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57271-2024</t>
        </is>
      </c>
      <c r="B799" s="1" t="n">
        <v>45629.57364583333</v>
      </c>
      <c r="C799" s="1" t="n">
        <v>46065</v>
      </c>
      <c r="D799" t="inlineStr">
        <is>
          <t>VÄSTERNORRLANDS LÄN</t>
        </is>
      </c>
      <c r="E799" t="inlineStr">
        <is>
          <t>ÅNGE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44594.92113425926</v>
      </c>
      <c r="C800" s="1" t="n">
        <v>46065</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6-2025</t>
        </is>
      </c>
      <c r="B801" s="1" t="n">
        <v>45658.50759259259</v>
      </c>
      <c r="C801" s="1" t="n">
        <v>46065</v>
      </c>
      <c r="D801" t="inlineStr">
        <is>
          <t>VÄSTERNORRLANDS LÄN</t>
        </is>
      </c>
      <c r="E801" t="inlineStr">
        <is>
          <t>ÅNGE</t>
        </is>
      </c>
      <c r="G801" t="n">
        <v>4.3</v>
      </c>
      <c r="H801" t="n">
        <v>0</v>
      </c>
      <c r="I801" t="n">
        <v>0</v>
      </c>
      <c r="J801" t="n">
        <v>0</v>
      </c>
      <c r="K801" t="n">
        <v>0</v>
      </c>
      <c r="L801" t="n">
        <v>0</v>
      </c>
      <c r="M801" t="n">
        <v>0</v>
      </c>
      <c r="N801" t="n">
        <v>0</v>
      </c>
      <c r="O801" t="n">
        <v>0</v>
      </c>
      <c r="P801" t="n">
        <v>0</v>
      </c>
      <c r="Q801" t="n">
        <v>0</v>
      </c>
      <c r="R801" s="2" t="inlineStr"/>
    </row>
    <row r="802" ht="15" customHeight="1">
      <c r="A802" t="inlineStr">
        <is>
          <t>A 4883-2023</t>
        </is>
      </c>
      <c r="B802" s="1" t="n">
        <v>44957</v>
      </c>
      <c r="C802" s="1" t="n">
        <v>46065</v>
      </c>
      <c r="D802" t="inlineStr">
        <is>
          <t>VÄSTERNORRLANDS LÄN</t>
        </is>
      </c>
      <c r="E802" t="inlineStr">
        <is>
          <t>ÅNGE</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8755-2022</t>
        </is>
      </c>
      <c r="B803" s="1" t="n">
        <v>44614</v>
      </c>
      <c r="C803" s="1" t="n">
        <v>46065</v>
      </c>
      <c r="D803" t="inlineStr">
        <is>
          <t>VÄSTERNORRLANDS LÄN</t>
        </is>
      </c>
      <c r="E803" t="inlineStr">
        <is>
          <t>ÅNGE</t>
        </is>
      </c>
      <c r="G803" t="n">
        <v>2</v>
      </c>
      <c r="H803" t="n">
        <v>0</v>
      </c>
      <c r="I803" t="n">
        <v>0</v>
      </c>
      <c r="J803" t="n">
        <v>0</v>
      </c>
      <c r="K803" t="n">
        <v>0</v>
      </c>
      <c r="L803" t="n">
        <v>0</v>
      </c>
      <c r="M803" t="n">
        <v>0</v>
      </c>
      <c r="N803" t="n">
        <v>0</v>
      </c>
      <c r="O803" t="n">
        <v>0</v>
      </c>
      <c r="P803" t="n">
        <v>0</v>
      </c>
      <c r="Q803" t="n">
        <v>0</v>
      </c>
      <c r="R803" s="2" t="inlineStr"/>
    </row>
    <row r="804" ht="15" customHeight="1">
      <c r="A804" t="inlineStr">
        <is>
          <t>A 39764-2024</t>
        </is>
      </c>
      <c r="B804" s="1" t="n">
        <v>45552.7190162037</v>
      </c>
      <c r="C804" s="1" t="n">
        <v>46065</v>
      </c>
      <c r="D804" t="inlineStr">
        <is>
          <t>VÄSTERNORRLANDS LÄN</t>
        </is>
      </c>
      <c r="E804" t="inlineStr">
        <is>
          <t>ÅNGE</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22755-2023</t>
        </is>
      </c>
      <c r="B805" s="1" t="n">
        <v>45071.94127314815</v>
      </c>
      <c r="C805" s="1" t="n">
        <v>46065</v>
      </c>
      <c r="D805" t="inlineStr">
        <is>
          <t>VÄSTERNORRLANDS LÄN</t>
        </is>
      </c>
      <c r="E805" t="inlineStr">
        <is>
          <t>ÅNGE</t>
        </is>
      </c>
      <c r="F805" t="inlineStr">
        <is>
          <t>SCA</t>
        </is>
      </c>
      <c r="G805" t="n">
        <v>12.6</v>
      </c>
      <c r="H805" t="n">
        <v>0</v>
      </c>
      <c r="I805" t="n">
        <v>0</v>
      </c>
      <c r="J805" t="n">
        <v>0</v>
      </c>
      <c r="K805" t="n">
        <v>0</v>
      </c>
      <c r="L805" t="n">
        <v>0</v>
      </c>
      <c r="M805" t="n">
        <v>0</v>
      </c>
      <c r="N805" t="n">
        <v>0</v>
      </c>
      <c r="O805" t="n">
        <v>0</v>
      </c>
      <c r="P805" t="n">
        <v>0</v>
      </c>
      <c r="Q805" t="n">
        <v>0</v>
      </c>
      <c r="R805" s="2" t="inlineStr"/>
    </row>
    <row r="806" ht="15" customHeight="1">
      <c r="A806" t="inlineStr">
        <is>
          <t>A 50419-2022</t>
        </is>
      </c>
      <c r="B806" s="1" t="n">
        <v>44861</v>
      </c>
      <c r="C806" s="1" t="n">
        <v>46065</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42881-2023</t>
        </is>
      </c>
      <c r="B807" s="1" t="n">
        <v>45182.45256944445</v>
      </c>
      <c r="C807" s="1" t="n">
        <v>46065</v>
      </c>
      <c r="D807" t="inlineStr">
        <is>
          <t>VÄSTERNORRLANDS LÄN</t>
        </is>
      </c>
      <c r="E807" t="inlineStr">
        <is>
          <t>ÅNGE</t>
        </is>
      </c>
      <c r="G807" t="n">
        <v>3.9</v>
      </c>
      <c r="H807" t="n">
        <v>0</v>
      </c>
      <c r="I807" t="n">
        <v>0</v>
      </c>
      <c r="J807" t="n">
        <v>0</v>
      </c>
      <c r="K807" t="n">
        <v>0</v>
      </c>
      <c r="L807" t="n">
        <v>0</v>
      </c>
      <c r="M807" t="n">
        <v>0</v>
      </c>
      <c r="N807" t="n">
        <v>0</v>
      </c>
      <c r="O807" t="n">
        <v>0</v>
      </c>
      <c r="P807" t="n">
        <v>0</v>
      </c>
      <c r="Q807" t="n">
        <v>0</v>
      </c>
      <c r="R807" s="2" t="inlineStr"/>
    </row>
    <row r="808" ht="15" customHeight="1">
      <c r="A808" t="inlineStr">
        <is>
          <t>A 18430-2025</t>
        </is>
      </c>
      <c r="B808" s="1" t="n">
        <v>45762.63576388889</v>
      </c>
      <c r="C808" s="1" t="n">
        <v>46065</v>
      </c>
      <c r="D808" t="inlineStr">
        <is>
          <t>VÄSTERNORRLANDS LÄN</t>
        </is>
      </c>
      <c r="E808" t="inlineStr">
        <is>
          <t>ÅNGE</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30747-2024</t>
        </is>
      </c>
      <c r="B809" s="1" t="n">
        <v>45496</v>
      </c>
      <c r="C809" s="1" t="n">
        <v>46065</v>
      </c>
      <c r="D809" t="inlineStr">
        <is>
          <t>VÄSTERNORRLANDS LÄN</t>
        </is>
      </c>
      <c r="E809" t="inlineStr">
        <is>
          <t>ÅNGE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43916-2023</t>
        </is>
      </c>
      <c r="B810" s="1" t="n">
        <v>45187.72152777778</v>
      </c>
      <c r="C810" s="1" t="n">
        <v>46065</v>
      </c>
      <c r="D810" t="inlineStr">
        <is>
          <t>VÄSTERNORRLANDS LÄN</t>
        </is>
      </c>
      <c r="E810" t="inlineStr">
        <is>
          <t>ÅNGE</t>
        </is>
      </c>
      <c r="G810" t="n">
        <v>3.1</v>
      </c>
      <c r="H810" t="n">
        <v>0</v>
      </c>
      <c r="I810" t="n">
        <v>0</v>
      </c>
      <c r="J810" t="n">
        <v>0</v>
      </c>
      <c r="K810" t="n">
        <v>0</v>
      </c>
      <c r="L810" t="n">
        <v>0</v>
      </c>
      <c r="M810" t="n">
        <v>0</v>
      </c>
      <c r="N810" t="n">
        <v>0</v>
      </c>
      <c r="O810" t="n">
        <v>0</v>
      </c>
      <c r="P810" t="n">
        <v>0</v>
      </c>
      <c r="Q810" t="n">
        <v>0</v>
      </c>
      <c r="R810" s="2" t="inlineStr"/>
    </row>
    <row r="811" ht="15" customHeight="1">
      <c r="A811" t="inlineStr">
        <is>
          <t>A 33782-2025</t>
        </is>
      </c>
      <c r="B811" s="1" t="n">
        <v>45842.40678240741</v>
      </c>
      <c r="C811" s="1" t="n">
        <v>46065</v>
      </c>
      <c r="D811" t="inlineStr">
        <is>
          <t>VÄSTERNORRLANDS LÄN</t>
        </is>
      </c>
      <c r="E811" t="inlineStr">
        <is>
          <t>ÅNGE</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58929-2024</t>
        </is>
      </c>
      <c r="B812" s="1" t="n">
        <v>45636.51090277778</v>
      </c>
      <c r="C812" s="1" t="n">
        <v>46065</v>
      </c>
      <c r="D812" t="inlineStr">
        <is>
          <t>VÄSTERNORRLANDS LÄN</t>
        </is>
      </c>
      <c r="E812" t="inlineStr">
        <is>
          <t>ÅNGE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46254-2023</t>
        </is>
      </c>
      <c r="B813" s="1" t="n">
        <v>45196</v>
      </c>
      <c r="C813" s="1" t="n">
        <v>46065</v>
      </c>
      <c r="D813" t="inlineStr">
        <is>
          <t>VÄSTERNORRLANDS LÄN</t>
        </is>
      </c>
      <c r="E813" t="inlineStr">
        <is>
          <t>ÅNGE</t>
        </is>
      </c>
      <c r="F813" t="inlineStr">
        <is>
          <t>SCA</t>
        </is>
      </c>
      <c r="G813" t="n">
        <v>0.1</v>
      </c>
      <c r="H813" t="n">
        <v>0</v>
      </c>
      <c r="I813" t="n">
        <v>0</v>
      </c>
      <c r="J813" t="n">
        <v>0</v>
      </c>
      <c r="K813" t="n">
        <v>0</v>
      </c>
      <c r="L813" t="n">
        <v>0</v>
      </c>
      <c r="M813" t="n">
        <v>0</v>
      </c>
      <c r="N813" t="n">
        <v>0</v>
      </c>
      <c r="O813" t="n">
        <v>0</v>
      </c>
      <c r="P813" t="n">
        <v>0</v>
      </c>
      <c r="Q813" t="n">
        <v>0</v>
      </c>
      <c r="R813" s="2" t="inlineStr"/>
    </row>
    <row r="814" ht="15" customHeight="1">
      <c r="A814" t="inlineStr">
        <is>
          <t>A 46262-2023</t>
        </is>
      </c>
      <c r="B814" s="1" t="n">
        <v>45196.93855324074</v>
      </c>
      <c r="C814" s="1" t="n">
        <v>46065</v>
      </c>
      <c r="D814" t="inlineStr">
        <is>
          <t>VÄSTERNORRLANDS LÄN</t>
        </is>
      </c>
      <c r="E814" t="inlineStr">
        <is>
          <t>ÅNGE</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45027-2023</t>
        </is>
      </c>
      <c r="B815" s="1" t="n">
        <v>45190.96303240741</v>
      </c>
      <c r="C815" s="1" t="n">
        <v>46065</v>
      </c>
      <c r="D815" t="inlineStr">
        <is>
          <t>VÄSTERNORRLANDS LÄN</t>
        </is>
      </c>
      <c r="E815" t="inlineStr">
        <is>
          <t>ÅNGE</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21409-2022</t>
        </is>
      </c>
      <c r="B816" s="1" t="n">
        <v>44705.9406712963</v>
      </c>
      <c r="C816" s="1" t="n">
        <v>46065</v>
      </c>
      <c r="D816" t="inlineStr">
        <is>
          <t>VÄSTERNORRLANDS LÄN</t>
        </is>
      </c>
      <c r="E816" t="inlineStr">
        <is>
          <t>ÅNGE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55380-2024</t>
        </is>
      </c>
      <c r="B817" s="1" t="n">
        <v>45622.28810185185</v>
      </c>
      <c r="C817" s="1" t="n">
        <v>46065</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22678-2024</t>
        </is>
      </c>
      <c r="B818" s="1" t="n">
        <v>45447.94533564815</v>
      </c>
      <c r="C818" s="1" t="n">
        <v>46065</v>
      </c>
      <c r="D818" t="inlineStr">
        <is>
          <t>VÄSTERNORRLANDS LÄN</t>
        </is>
      </c>
      <c r="E818" t="inlineStr">
        <is>
          <t>ÅNGE</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10084-2023</t>
        </is>
      </c>
      <c r="B819" s="1" t="n">
        <v>44985.94465277778</v>
      </c>
      <c r="C819" s="1" t="n">
        <v>46065</v>
      </c>
      <c r="D819" t="inlineStr">
        <is>
          <t>VÄSTERNORRLANDS LÄN</t>
        </is>
      </c>
      <c r="E819" t="inlineStr">
        <is>
          <t>ÅNGE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39991-2023</t>
        </is>
      </c>
      <c r="B820" s="1" t="n">
        <v>45168.6043287037</v>
      </c>
      <c r="C820" s="1" t="n">
        <v>46065</v>
      </c>
      <c r="D820" t="inlineStr">
        <is>
          <t>VÄSTERNORRLANDS LÄN</t>
        </is>
      </c>
      <c r="E820" t="inlineStr">
        <is>
          <t>ÅNGE</t>
        </is>
      </c>
      <c r="G820" t="n">
        <v>10.2</v>
      </c>
      <c r="H820" t="n">
        <v>0</v>
      </c>
      <c r="I820" t="n">
        <v>0</v>
      </c>
      <c r="J820" t="n">
        <v>0</v>
      </c>
      <c r="K820" t="n">
        <v>0</v>
      </c>
      <c r="L820" t="n">
        <v>0</v>
      </c>
      <c r="M820" t="n">
        <v>0</v>
      </c>
      <c r="N820" t="n">
        <v>0</v>
      </c>
      <c r="O820" t="n">
        <v>0</v>
      </c>
      <c r="P820" t="n">
        <v>0</v>
      </c>
      <c r="Q820" t="n">
        <v>0</v>
      </c>
      <c r="R820" s="2" t="inlineStr"/>
    </row>
    <row r="821" ht="15" customHeight="1">
      <c r="A821" t="inlineStr">
        <is>
          <t>A 20255-2023</t>
        </is>
      </c>
      <c r="B821" s="1" t="n">
        <v>45055</v>
      </c>
      <c r="C821" s="1" t="n">
        <v>46065</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54429-2024</t>
        </is>
      </c>
      <c r="B822" s="1" t="n">
        <v>45617.49087962963</v>
      </c>
      <c r="C822" s="1" t="n">
        <v>46065</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15167-2025</t>
        </is>
      </c>
      <c r="B823" s="1" t="n">
        <v>45744.49009259259</v>
      </c>
      <c r="C823" s="1" t="n">
        <v>46065</v>
      </c>
      <c r="D823" t="inlineStr">
        <is>
          <t>VÄSTERNORRLANDS LÄN</t>
        </is>
      </c>
      <c r="E823" t="inlineStr">
        <is>
          <t>ÅNGE</t>
        </is>
      </c>
      <c r="F823" t="inlineStr">
        <is>
          <t>SCA</t>
        </is>
      </c>
      <c r="G823" t="n">
        <v>6.4</v>
      </c>
      <c r="H823" t="n">
        <v>0</v>
      </c>
      <c r="I823" t="n">
        <v>0</v>
      </c>
      <c r="J823" t="n">
        <v>0</v>
      </c>
      <c r="K823" t="n">
        <v>0</v>
      </c>
      <c r="L823" t="n">
        <v>0</v>
      </c>
      <c r="M823" t="n">
        <v>0</v>
      </c>
      <c r="N823" t="n">
        <v>0</v>
      </c>
      <c r="O823" t="n">
        <v>0</v>
      </c>
      <c r="P823" t="n">
        <v>0</v>
      </c>
      <c r="Q823" t="n">
        <v>0</v>
      </c>
      <c r="R823" s="2" t="inlineStr"/>
    </row>
    <row r="824" ht="15" customHeight="1">
      <c r="A824" t="inlineStr">
        <is>
          <t>A 30556-2023</t>
        </is>
      </c>
      <c r="B824" s="1" t="n">
        <v>45111.87935185185</v>
      </c>
      <c r="C824" s="1" t="n">
        <v>46065</v>
      </c>
      <c r="D824" t="inlineStr">
        <is>
          <t>VÄSTERNORRLANDS LÄN</t>
        </is>
      </c>
      <c r="E824" t="inlineStr">
        <is>
          <t>ÅNGE</t>
        </is>
      </c>
      <c r="G824" t="n">
        <v>3.7</v>
      </c>
      <c r="H824" t="n">
        <v>0</v>
      </c>
      <c r="I824" t="n">
        <v>0</v>
      </c>
      <c r="J824" t="n">
        <v>0</v>
      </c>
      <c r="K824" t="n">
        <v>0</v>
      </c>
      <c r="L824" t="n">
        <v>0</v>
      </c>
      <c r="M824" t="n">
        <v>0</v>
      </c>
      <c r="N824" t="n">
        <v>0</v>
      </c>
      <c r="O824" t="n">
        <v>0</v>
      </c>
      <c r="P824" t="n">
        <v>0</v>
      </c>
      <c r="Q824" t="n">
        <v>0</v>
      </c>
      <c r="R824" s="2" t="inlineStr"/>
    </row>
    <row r="825" ht="15" customHeight="1">
      <c r="A825" t="inlineStr">
        <is>
          <t>A 5393-2025</t>
        </is>
      </c>
      <c r="B825" s="1" t="n">
        <v>45692.63574074074</v>
      </c>
      <c r="C825" s="1" t="n">
        <v>46065</v>
      </c>
      <c r="D825" t="inlineStr">
        <is>
          <t>VÄSTERNORRLANDS LÄN</t>
        </is>
      </c>
      <c r="E825" t="inlineStr">
        <is>
          <t>ÅNGE</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34971-2023</t>
        </is>
      </c>
      <c r="B826" s="1" t="n">
        <v>45142.61635416667</v>
      </c>
      <c r="C826" s="1" t="n">
        <v>46065</v>
      </c>
      <c r="D826" t="inlineStr">
        <is>
          <t>VÄSTERNORRLANDS LÄN</t>
        </is>
      </c>
      <c r="E826" t="inlineStr">
        <is>
          <t>ÅNGE</t>
        </is>
      </c>
      <c r="F826" t="inlineStr">
        <is>
          <t>Sveaskog</t>
        </is>
      </c>
      <c r="G826" t="n">
        <v>4.5</v>
      </c>
      <c r="H826" t="n">
        <v>0</v>
      </c>
      <c r="I826" t="n">
        <v>0</v>
      </c>
      <c r="J826" t="n">
        <v>0</v>
      </c>
      <c r="K826" t="n">
        <v>0</v>
      </c>
      <c r="L826" t="n">
        <v>0</v>
      </c>
      <c r="M826" t="n">
        <v>0</v>
      </c>
      <c r="N826" t="n">
        <v>0</v>
      </c>
      <c r="O826" t="n">
        <v>0</v>
      </c>
      <c r="P826" t="n">
        <v>0</v>
      </c>
      <c r="Q826" t="n">
        <v>0</v>
      </c>
      <c r="R826" s="2" t="inlineStr"/>
    </row>
    <row r="827" ht="15" customHeight="1">
      <c r="A827" t="inlineStr">
        <is>
          <t>A 9480-2022</t>
        </is>
      </c>
      <c r="B827" s="1" t="n">
        <v>44616</v>
      </c>
      <c r="C827" s="1" t="n">
        <v>46065</v>
      </c>
      <c r="D827" t="inlineStr">
        <is>
          <t>VÄSTERNORRLANDS LÄN</t>
        </is>
      </c>
      <c r="E827" t="inlineStr">
        <is>
          <t>ÅNGE</t>
        </is>
      </c>
      <c r="G827" t="n">
        <v>0.3</v>
      </c>
      <c r="H827" t="n">
        <v>0</v>
      </c>
      <c r="I827" t="n">
        <v>0</v>
      </c>
      <c r="J827" t="n">
        <v>0</v>
      </c>
      <c r="K827" t="n">
        <v>0</v>
      </c>
      <c r="L827" t="n">
        <v>0</v>
      </c>
      <c r="M827" t="n">
        <v>0</v>
      </c>
      <c r="N827" t="n">
        <v>0</v>
      </c>
      <c r="O827" t="n">
        <v>0</v>
      </c>
      <c r="P827" t="n">
        <v>0</v>
      </c>
      <c r="Q827" t="n">
        <v>0</v>
      </c>
      <c r="R827" s="2" t="inlineStr"/>
    </row>
    <row r="828" ht="15" customHeight="1">
      <c r="A828" t="inlineStr">
        <is>
          <t>A 18617-2024</t>
        </is>
      </c>
      <c r="B828" s="1" t="n">
        <v>45425</v>
      </c>
      <c r="C828" s="1" t="n">
        <v>46065</v>
      </c>
      <c r="D828" t="inlineStr">
        <is>
          <t>VÄSTERNORRLANDS LÄN</t>
        </is>
      </c>
      <c r="E828" t="inlineStr">
        <is>
          <t>ÅNGE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33717-2025</t>
        </is>
      </c>
      <c r="B829" s="1" t="n">
        <v>45841.89357638889</v>
      </c>
      <c r="C829" s="1" t="n">
        <v>46065</v>
      </c>
      <c r="D829" t="inlineStr">
        <is>
          <t>VÄSTERNORRLANDS LÄN</t>
        </is>
      </c>
      <c r="E829" t="inlineStr">
        <is>
          <t>ÅNGE</t>
        </is>
      </c>
      <c r="G829" t="n">
        <v>14.3</v>
      </c>
      <c r="H829" t="n">
        <v>0</v>
      </c>
      <c r="I829" t="n">
        <v>0</v>
      </c>
      <c r="J829" t="n">
        <v>0</v>
      </c>
      <c r="K829" t="n">
        <v>0</v>
      </c>
      <c r="L829" t="n">
        <v>0</v>
      </c>
      <c r="M829" t="n">
        <v>0</v>
      </c>
      <c r="N829" t="n">
        <v>0</v>
      </c>
      <c r="O829" t="n">
        <v>0</v>
      </c>
      <c r="P829" t="n">
        <v>0</v>
      </c>
      <c r="Q829" t="n">
        <v>0</v>
      </c>
      <c r="R829" s="2" t="inlineStr"/>
    </row>
    <row r="830" ht="15" customHeight="1">
      <c r="A830" t="inlineStr">
        <is>
          <t>A 33738-2025</t>
        </is>
      </c>
      <c r="B830" s="1" t="n">
        <v>45842.33795138889</v>
      </c>
      <c r="C830" s="1" t="n">
        <v>46065</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36492-2023</t>
        </is>
      </c>
      <c r="B831" s="1" t="n">
        <v>45152.92479166666</v>
      </c>
      <c r="C831" s="1" t="n">
        <v>46065</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8650-2024</t>
        </is>
      </c>
      <c r="B832" s="1" t="n">
        <v>45356</v>
      </c>
      <c r="C832" s="1" t="n">
        <v>46065</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34019-2025</t>
        </is>
      </c>
      <c r="B833" s="1" t="n">
        <v>45845.34416666667</v>
      </c>
      <c r="C833" s="1" t="n">
        <v>46065</v>
      </c>
      <c r="D833" t="inlineStr">
        <is>
          <t>VÄSTERNORRLANDS LÄN</t>
        </is>
      </c>
      <c r="E833" t="inlineStr">
        <is>
          <t>ÅNGE</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8868-2023</t>
        </is>
      </c>
      <c r="B834" s="1" t="n">
        <v>44978</v>
      </c>
      <c r="C834" s="1" t="n">
        <v>46065</v>
      </c>
      <c r="D834" t="inlineStr">
        <is>
          <t>VÄSTERNORRLANDS LÄN</t>
        </is>
      </c>
      <c r="E834" t="inlineStr">
        <is>
          <t>ÅNGE</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53988-2024</t>
        </is>
      </c>
      <c r="B835" s="1" t="n">
        <v>45616.34408564815</v>
      </c>
      <c r="C835" s="1" t="n">
        <v>46065</v>
      </c>
      <c r="D835" t="inlineStr">
        <is>
          <t>VÄSTERNORRLANDS LÄN</t>
        </is>
      </c>
      <c r="E835" t="inlineStr">
        <is>
          <t>ÅNGE</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54002-2024</t>
        </is>
      </c>
      <c r="B836" s="1" t="n">
        <v>45616.36491898148</v>
      </c>
      <c r="C836" s="1" t="n">
        <v>46065</v>
      </c>
      <c r="D836" t="inlineStr">
        <is>
          <t>VÄSTERNORRLANDS LÄN</t>
        </is>
      </c>
      <c r="E836" t="inlineStr">
        <is>
          <t>ÅNGE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34031-2025</t>
        </is>
      </c>
      <c r="B837" s="1" t="n">
        <v>45845.36508101852</v>
      </c>
      <c r="C837" s="1" t="n">
        <v>46065</v>
      </c>
      <c r="D837" t="inlineStr">
        <is>
          <t>VÄSTERNORRLANDS LÄN</t>
        </is>
      </c>
      <c r="E837" t="inlineStr">
        <is>
          <t>ÅNGE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10917-2024</t>
        </is>
      </c>
      <c r="B838" s="1" t="n">
        <v>45370</v>
      </c>
      <c r="C838" s="1" t="n">
        <v>46065</v>
      </c>
      <c r="D838" t="inlineStr">
        <is>
          <t>VÄSTERNORRLANDS LÄN</t>
        </is>
      </c>
      <c r="E838" t="inlineStr">
        <is>
          <t>ÅNGE</t>
        </is>
      </c>
      <c r="G838" t="n">
        <v>2.2</v>
      </c>
      <c r="H838" t="n">
        <v>0</v>
      </c>
      <c r="I838" t="n">
        <v>0</v>
      </c>
      <c r="J838" t="n">
        <v>0</v>
      </c>
      <c r="K838" t="n">
        <v>0</v>
      </c>
      <c r="L838" t="n">
        <v>0</v>
      </c>
      <c r="M838" t="n">
        <v>0</v>
      </c>
      <c r="N838" t="n">
        <v>0</v>
      </c>
      <c r="O838" t="n">
        <v>0</v>
      </c>
      <c r="P838" t="n">
        <v>0</v>
      </c>
      <c r="Q838" t="n">
        <v>0</v>
      </c>
      <c r="R838" s="2" t="inlineStr"/>
    </row>
    <row r="839" ht="15" customHeight="1">
      <c r="A839" t="inlineStr">
        <is>
          <t>A 56569-2024</t>
        </is>
      </c>
      <c r="B839" s="1" t="n">
        <v>45625</v>
      </c>
      <c r="C839" s="1" t="n">
        <v>46065</v>
      </c>
      <c r="D839" t="inlineStr">
        <is>
          <t>VÄSTERNORRLANDS LÄN</t>
        </is>
      </c>
      <c r="E839" t="inlineStr">
        <is>
          <t>ÅNGE</t>
        </is>
      </c>
      <c r="G839" t="n">
        <v>4.8</v>
      </c>
      <c r="H839" t="n">
        <v>0</v>
      </c>
      <c r="I839" t="n">
        <v>0</v>
      </c>
      <c r="J839" t="n">
        <v>0</v>
      </c>
      <c r="K839" t="n">
        <v>0</v>
      </c>
      <c r="L839" t="n">
        <v>0</v>
      </c>
      <c r="M839" t="n">
        <v>0</v>
      </c>
      <c r="N839" t="n">
        <v>0</v>
      </c>
      <c r="O839" t="n">
        <v>0</v>
      </c>
      <c r="P839" t="n">
        <v>0</v>
      </c>
      <c r="Q839" t="n">
        <v>0</v>
      </c>
      <c r="R839" s="2" t="inlineStr"/>
    </row>
    <row r="840" ht="15" customHeight="1">
      <c r="A840" t="inlineStr">
        <is>
          <t>A 57529-2024</t>
        </is>
      </c>
      <c r="B840" s="1" t="n">
        <v>45630</v>
      </c>
      <c r="C840" s="1" t="n">
        <v>46065</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43775-2022</t>
        </is>
      </c>
      <c r="B841" s="1" t="n">
        <v>44837.95053240741</v>
      </c>
      <c r="C841" s="1" t="n">
        <v>46065</v>
      </c>
      <c r="D841" t="inlineStr">
        <is>
          <t>VÄSTERNORRLANDS LÄN</t>
        </is>
      </c>
      <c r="E841" t="inlineStr">
        <is>
          <t>ÅNGE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48697-2024</t>
        </is>
      </c>
      <c r="B842" s="1" t="n">
        <v>45593.51136574074</v>
      </c>
      <c r="C842" s="1" t="n">
        <v>46065</v>
      </c>
      <c r="D842" t="inlineStr">
        <is>
          <t>VÄSTERNORRLANDS LÄN</t>
        </is>
      </c>
      <c r="E842" t="inlineStr">
        <is>
          <t>ÅNGE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27306-2024</t>
        </is>
      </c>
      <c r="B843" s="1" t="n">
        <v>45471.94454861111</v>
      </c>
      <c r="C843" s="1" t="n">
        <v>46065</v>
      </c>
      <c r="D843" t="inlineStr">
        <is>
          <t>VÄSTERNORRLANDS LÄN</t>
        </is>
      </c>
      <c r="E843" t="inlineStr">
        <is>
          <t>ÅNGE</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4872-2025</t>
        </is>
      </c>
      <c r="B844" s="1" t="n">
        <v>45688.67619212963</v>
      </c>
      <c r="C844" s="1" t="n">
        <v>46065</v>
      </c>
      <c r="D844" t="inlineStr">
        <is>
          <t>VÄSTERNORRLANDS LÄN</t>
        </is>
      </c>
      <c r="E844" t="inlineStr">
        <is>
          <t>ÅNGE</t>
        </is>
      </c>
      <c r="F844" t="inlineStr">
        <is>
          <t>SCA</t>
        </is>
      </c>
      <c r="G844" t="n">
        <v>31.3</v>
      </c>
      <c r="H844" t="n">
        <v>0</v>
      </c>
      <c r="I844" t="n">
        <v>0</v>
      </c>
      <c r="J844" t="n">
        <v>0</v>
      </c>
      <c r="K844" t="n">
        <v>0</v>
      </c>
      <c r="L844" t="n">
        <v>0</v>
      </c>
      <c r="M844" t="n">
        <v>0</v>
      </c>
      <c r="N844" t="n">
        <v>0</v>
      </c>
      <c r="O844" t="n">
        <v>0</v>
      </c>
      <c r="P844" t="n">
        <v>0</v>
      </c>
      <c r="Q844" t="n">
        <v>0</v>
      </c>
      <c r="R844" s="2" t="inlineStr"/>
      <c r="U844">
        <f>HYPERLINK("https://klasma.github.io/Logging_2260/knärot/A 4872-2025 karta knärot.png", "A 4872-2025")</f>
        <v/>
      </c>
      <c r="V844">
        <f>HYPERLINK("https://klasma.github.io/Logging_2260/klagomål/A 4872-2025 FSC-klagomål.docx", "A 4872-2025")</f>
        <v/>
      </c>
      <c r="W844">
        <f>HYPERLINK("https://klasma.github.io/Logging_2260/klagomålsmail/A 4872-2025 FSC-klagomål mail.docx", "A 4872-2025")</f>
        <v/>
      </c>
      <c r="X844">
        <f>HYPERLINK("https://klasma.github.io/Logging_2260/tillsyn/A 4872-2025 tillsynsbegäran.docx", "A 4872-2025")</f>
        <v/>
      </c>
      <c r="Y844">
        <f>HYPERLINK("https://klasma.github.io/Logging_2260/tillsynsmail/A 4872-2025 tillsynsbegäran mail.docx", "A 4872-2025")</f>
        <v/>
      </c>
    </row>
    <row r="845" ht="15" customHeight="1">
      <c r="A845" t="inlineStr">
        <is>
          <t>A 11396-2024</t>
        </is>
      </c>
      <c r="B845" s="1" t="n">
        <v>45372</v>
      </c>
      <c r="C845" s="1" t="n">
        <v>46065</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25680-2023</t>
        </is>
      </c>
      <c r="B846" s="1" t="n">
        <v>45089</v>
      </c>
      <c r="C846" s="1" t="n">
        <v>46065</v>
      </c>
      <c r="D846" t="inlineStr">
        <is>
          <t>VÄSTERNORRLANDS LÄN</t>
        </is>
      </c>
      <c r="E846" t="inlineStr">
        <is>
          <t>ÅNGE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16973-2025</t>
        </is>
      </c>
      <c r="B847" s="1" t="n">
        <v>45755.46967592592</v>
      </c>
      <c r="C847" s="1" t="n">
        <v>46065</v>
      </c>
      <c r="D847" t="inlineStr">
        <is>
          <t>VÄSTERNORRLANDS LÄN</t>
        </is>
      </c>
      <c r="E847" t="inlineStr">
        <is>
          <t>ÅNGE</t>
        </is>
      </c>
      <c r="F847" t="inlineStr">
        <is>
          <t>SCA</t>
        </is>
      </c>
      <c r="G847" t="n">
        <v>3.5</v>
      </c>
      <c r="H847" t="n">
        <v>0</v>
      </c>
      <c r="I847" t="n">
        <v>0</v>
      </c>
      <c r="J847" t="n">
        <v>0</v>
      </c>
      <c r="K847" t="n">
        <v>0</v>
      </c>
      <c r="L847" t="n">
        <v>0</v>
      </c>
      <c r="M847" t="n">
        <v>0</v>
      </c>
      <c r="N847" t="n">
        <v>0</v>
      </c>
      <c r="O847" t="n">
        <v>0</v>
      </c>
      <c r="P847" t="n">
        <v>0</v>
      </c>
      <c r="Q847" t="n">
        <v>0</v>
      </c>
      <c r="R847" s="2" t="inlineStr"/>
    </row>
    <row r="848" ht="15" customHeight="1">
      <c r="A848" t="inlineStr">
        <is>
          <t>A 34785-2025</t>
        </is>
      </c>
      <c r="B848" s="1" t="n">
        <v>45848.67771990741</v>
      </c>
      <c r="C848" s="1" t="n">
        <v>46065</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48632-2023</t>
        </is>
      </c>
      <c r="B849" s="1" t="n">
        <v>45208.57944444445</v>
      </c>
      <c r="C849" s="1" t="n">
        <v>46065</v>
      </c>
      <c r="D849" t="inlineStr">
        <is>
          <t>VÄSTERNORRLANDS LÄN</t>
        </is>
      </c>
      <c r="E849" t="inlineStr">
        <is>
          <t>ÅNGE</t>
        </is>
      </c>
      <c r="G849" t="n">
        <v>2.2</v>
      </c>
      <c r="H849" t="n">
        <v>0</v>
      </c>
      <c r="I849" t="n">
        <v>0</v>
      </c>
      <c r="J849" t="n">
        <v>0</v>
      </c>
      <c r="K849" t="n">
        <v>0</v>
      </c>
      <c r="L849" t="n">
        <v>0</v>
      </c>
      <c r="M849" t="n">
        <v>0</v>
      </c>
      <c r="N849" t="n">
        <v>0</v>
      </c>
      <c r="O849" t="n">
        <v>0</v>
      </c>
      <c r="P849" t="n">
        <v>0</v>
      </c>
      <c r="Q849" t="n">
        <v>0</v>
      </c>
      <c r="R849" s="2" t="inlineStr"/>
    </row>
    <row r="850" ht="15" customHeight="1">
      <c r="A850" t="inlineStr">
        <is>
          <t>A 34591-2025</t>
        </is>
      </c>
      <c r="B850" s="1" t="n">
        <v>45847.62920138889</v>
      </c>
      <c r="C850" s="1" t="n">
        <v>46065</v>
      </c>
      <c r="D850" t="inlineStr">
        <is>
          <t>VÄSTERNORRLANDS LÄN</t>
        </is>
      </c>
      <c r="E850" t="inlineStr">
        <is>
          <t>ÅNGE</t>
        </is>
      </c>
      <c r="G850" t="n">
        <v>0.9</v>
      </c>
      <c r="H850" t="n">
        <v>0</v>
      </c>
      <c r="I850" t="n">
        <v>0</v>
      </c>
      <c r="J850" t="n">
        <v>0</v>
      </c>
      <c r="K850" t="n">
        <v>0</v>
      </c>
      <c r="L850" t="n">
        <v>0</v>
      </c>
      <c r="M850" t="n">
        <v>0</v>
      </c>
      <c r="N850" t="n">
        <v>0</v>
      </c>
      <c r="O850" t="n">
        <v>0</v>
      </c>
      <c r="P850" t="n">
        <v>0</v>
      </c>
      <c r="Q850" t="n">
        <v>0</v>
      </c>
      <c r="R850" s="2" t="inlineStr"/>
    </row>
    <row r="851" ht="15" customHeight="1">
      <c r="A851" t="inlineStr">
        <is>
          <t>A 34593-2025</t>
        </is>
      </c>
      <c r="B851" s="1" t="n">
        <v>45847.6316087963</v>
      </c>
      <c r="C851" s="1" t="n">
        <v>46065</v>
      </c>
      <c r="D851" t="inlineStr">
        <is>
          <t>VÄSTERNORRLANDS LÄN</t>
        </is>
      </c>
      <c r="E851" t="inlineStr">
        <is>
          <t>ÅNGE</t>
        </is>
      </c>
      <c r="G851" t="n">
        <v>5.3</v>
      </c>
      <c r="H851" t="n">
        <v>0</v>
      </c>
      <c r="I851" t="n">
        <v>0</v>
      </c>
      <c r="J851" t="n">
        <v>0</v>
      </c>
      <c r="K851" t="n">
        <v>0</v>
      </c>
      <c r="L851" t="n">
        <v>0</v>
      </c>
      <c r="M851" t="n">
        <v>0</v>
      </c>
      <c r="N851" t="n">
        <v>0</v>
      </c>
      <c r="O851" t="n">
        <v>0</v>
      </c>
      <c r="P851" t="n">
        <v>0</v>
      </c>
      <c r="Q851" t="n">
        <v>0</v>
      </c>
      <c r="R851" s="2" t="inlineStr"/>
    </row>
    <row r="852" ht="15" customHeight="1">
      <c r="A852" t="inlineStr">
        <is>
          <t>A 11764-2024</t>
        </is>
      </c>
      <c r="B852" s="1" t="n">
        <v>45373.94837962963</v>
      </c>
      <c r="C852" s="1" t="n">
        <v>46065</v>
      </c>
      <c r="D852" t="inlineStr">
        <is>
          <t>VÄSTERNORRLANDS LÄN</t>
        </is>
      </c>
      <c r="E852" t="inlineStr">
        <is>
          <t>ÅNGE</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8747-2022</t>
        </is>
      </c>
      <c r="B853" s="1" t="n">
        <v>44614.33912037037</v>
      </c>
      <c r="C853" s="1" t="n">
        <v>46065</v>
      </c>
      <c r="D853" t="inlineStr">
        <is>
          <t>VÄSTERNORRLANDS LÄN</t>
        </is>
      </c>
      <c r="E853" t="inlineStr">
        <is>
          <t>ÅNGE</t>
        </is>
      </c>
      <c r="G853" t="n">
        <v>1.5</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46065</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59818-2024</t>
        </is>
      </c>
      <c r="B855" s="1" t="n">
        <v>45639.63572916666</v>
      </c>
      <c r="C855" s="1" t="n">
        <v>46065</v>
      </c>
      <c r="D855" t="inlineStr">
        <is>
          <t>VÄSTERNORRLANDS LÄN</t>
        </is>
      </c>
      <c r="E855" t="inlineStr">
        <is>
          <t>ÅNGE</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54059-2024</t>
        </is>
      </c>
      <c r="B856" s="1" t="n">
        <v>45616.46943287037</v>
      </c>
      <c r="C856" s="1" t="n">
        <v>46065</v>
      </c>
      <c r="D856" t="inlineStr">
        <is>
          <t>VÄSTERNORRLANDS LÄN</t>
        </is>
      </c>
      <c r="E856" t="inlineStr">
        <is>
          <t>ÅNGE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55329-2023</t>
        </is>
      </c>
      <c r="B857" s="1" t="n">
        <v>45237</v>
      </c>
      <c r="C857" s="1" t="n">
        <v>46065</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3986-2025</t>
        </is>
      </c>
      <c r="B858" s="1" t="n">
        <v>45684.55262731481</v>
      </c>
      <c r="C858" s="1" t="n">
        <v>46065</v>
      </c>
      <c r="D858" t="inlineStr">
        <is>
          <t>VÄSTERNORRLANDS LÄN</t>
        </is>
      </c>
      <c r="E858" t="inlineStr">
        <is>
          <t>ÅNGE</t>
        </is>
      </c>
      <c r="F858" t="inlineStr">
        <is>
          <t>SCA</t>
        </is>
      </c>
      <c r="G858" t="n">
        <v>10.5</v>
      </c>
      <c r="H858" t="n">
        <v>0</v>
      </c>
      <c r="I858" t="n">
        <v>0</v>
      </c>
      <c r="J858" t="n">
        <v>0</v>
      </c>
      <c r="K858" t="n">
        <v>0</v>
      </c>
      <c r="L858" t="n">
        <v>0</v>
      </c>
      <c r="M858" t="n">
        <v>0</v>
      </c>
      <c r="N858" t="n">
        <v>0</v>
      </c>
      <c r="O858" t="n">
        <v>0</v>
      </c>
      <c r="P858" t="n">
        <v>0</v>
      </c>
      <c r="Q858" t="n">
        <v>0</v>
      </c>
      <c r="R858" s="2" t="inlineStr"/>
    </row>
    <row r="859" ht="15" customHeight="1">
      <c r="A859" t="inlineStr">
        <is>
          <t>A 44158-2024</t>
        </is>
      </c>
      <c r="B859" s="1" t="n">
        <v>45572</v>
      </c>
      <c r="C859" s="1" t="n">
        <v>46065</v>
      </c>
      <c r="D859" t="inlineStr">
        <is>
          <t>VÄSTERNORRLANDS LÄN</t>
        </is>
      </c>
      <c r="E859" t="inlineStr">
        <is>
          <t>ÅNGE</t>
        </is>
      </c>
      <c r="G859" t="n">
        <v>2.6</v>
      </c>
      <c r="H859" t="n">
        <v>0</v>
      </c>
      <c r="I859" t="n">
        <v>0</v>
      </c>
      <c r="J859" t="n">
        <v>0</v>
      </c>
      <c r="K859" t="n">
        <v>0</v>
      </c>
      <c r="L859" t="n">
        <v>0</v>
      </c>
      <c r="M859" t="n">
        <v>0</v>
      </c>
      <c r="N859" t="n">
        <v>0</v>
      </c>
      <c r="O859" t="n">
        <v>0</v>
      </c>
      <c r="P859" t="n">
        <v>0</v>
      </c>
      <c r="Q859" t="n">
        <v>0</v>
      </c>
      <c r="R859" s="2" t="inlineStr"/>
    </row>
    <row r="860" ht="15" customHeight="1">
      <c r="A860" t="inlineStr">
        <is>
          <t>A 2299-2025</t>
        </is>
      </c>
      <c r="B860" s="1" t="n">
        <v>45673.59516203704</v>
      </c>
      <c r="C860" s="1" t="n">
        <v>46065</v>
      </c>
      <c r="D860" t="inlineStr">
        <is>
          <t>VÄSTERNORRLANDS LÄN</t>
        </is>
      </c>
      <c r="E860" t="inlineStr">
        <is>
          <t>ÅNGE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35143-2025</t>
        </is>
      </c>
      <c r="B861" s="1" t="n">
        <v>45852.65660879629</v>
      </c>
      <c r="C861" s="1" t="n">
        <v>46065</v>
      </c>
      <c r="D861" t="inlineStr">
        <is>
          <t>VÄSTERNORRLANDS LÄN</t>
        </is>
      </c>
      <c r="E861" t="inlineStr">
        <is>
          <t>ÅNGE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35061-2025</t>
        </is>
      </c>
      <c r="B862" s="1" t="n">
        <v>45852</v>
      </c>
      <c r="C862" s="1" t="n">
        <v>46065</v>
      </c>
      <c r="D862" t="inlineStr">
        <is>
          <t>VÄSTERNORRLANDS LÄN</t>
        </is>
      </c>
      <c r="E862" t="inlineStr">
        <is>
          <t>ÅNGE</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44639-2023</t>
        </is>
      </c>
      <c r="B863" s="1" t="n">
        <v>45184</v>
      </c>
      <c r="C863" s="1" t="n">
        <v>46065</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17009-2023</t>
        </is>
      </c>
      <c r="B864" s="1" t="n">
        <v>45033.9455787037</v>
      </c>
      <c r="C864" s="1" t="n">
        <v>46065</v>
      </c>
      <c r="D864" t="inlineStr">
        <is>
          <t>VÄSTERNORRLANDS LÄN</t>
        </is>
      </c>
      <c r="E864" t="inlineStr">
        <is>
          <t>ÅNGE</t>
        </is>
      </c>
      <c r="F864" t="inlineStr">
        <is>
          <t>SCA</t>
        </is>
      </c>
      <c r="G864" t="n">
        <v>5.8</v>
      </c>
      <c r="H864" t="n">
        <v>0</v>
      </c>
      <c r="I864" t="n">
        <v>0</v>
      </c>
      <c r="J864" t="n">
        <v>0</v>
      </c>
      <c r="K864" t="n">
        <v>0</v>
      </c>
      <c r="L864" t="n">
        <v>0</v>
      </c>
      <c r="M864" t="n">
        <v>0</v>
      </c>
      <c r="N864" t="n">
        <v>0</v>
      </c>
      <c r="O864" t="n">
        <v>0</v>
      </c>
      <c r="P864" t="n">
        <v>0</v>
      </c>
      <c r="Q864" t="n">
        <v>0</v>
      </c>
      <c r="R864" s="2" t="inlineStr"/>
    </row>
    <row r="865" ht="15" customHeight="1">
      <c r="A865" t="inlineStr">
        <is>
          <t>A 60578-2024</t>
        </is>
      </c>
      <c r="B865" s="1" t="n">
        <v>45644.34434027778</v>
      </c>
      <c r="C865" s="1" t="n">
        <v>46065</v>
      </c>
      <c r="D865" t="inlineStr">
        <is>
          <t>VÄSTERNORRLANDS LÄN</t>
        </is>
      </c>
      <c r="E865" t="inlineStr">
        <is>
          <t>ÅNGE</t>
        </is>
      </c>
      <c r="F865" t="inlineStr">
        <is>
          <t>SCA</t>
        </is>
      </c>
      <c r="G865" t="n">
        <v>5.8</v>
      </c>
      <c r="H865" t="n">
        <v>0</v>
      </c>
      <c r="I865" t="n">
        <v>0</v>
      </c>
      <c r="J865" t="n">
        <v>0</v>
      </c>
      <c r="K865" t="n">
        <v>0</v>
      </c>
      <c r="L865" t="n">
        <v>0</v>
      </c>
      <c r="M865" t="n">
        <v>0</v>
      </c>
      <c r="N865" t="n">
        <v>0</v>
      </c>
      <c r="O865" t="n">
        <v>0</v>
      </c>
      <c r="P865" t="n">
        <v>0</v>
      </c>
      <c r="Q865" t="n">
        <v>0</v>
      </c>
      <c r="R865" s="2" t="inlineStr"/>
    </row>
    <row r="866" ht="15" customHeight="1">
      <c r="A866" t="inlineStr">
        <is>
          <t>A 46795-2023</t>
        </is>
      </c>
      <c r="B866" s="1" t="n">
        <v>45198</v>
      </c>
      <c r="C866" s="1" t="n">
        <v>46065</v>
      </c>
      <c r="D866" t="inlineStr">
        <is>
          <t>VÄSTERNORRLANDS LÄN</t>
        </is>
      </c>
      <c r="E866" t="inlineStr">
        <is>
          <t>ÅNGE</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35503-2025</t>
        </is>
      </c>
      <c r="B867" s="1" t="n">
        <v>45856</v>
      </c>
      <c r="C867" s="1" t="n">
        <v>46065</v>
      </c>
      <c r="D867" t="inlineStr">
        <is>
          <t>VÄSTERNORRLANDS LÄN</t>
        </is>
      </c>
      <c r="E867" t="inlineStr">
        <is>
          <t>ÅNGE</t>
        </is>
      </c>
      <c r="G867" t="n">
        <v>5.2</v>
      </c>
      <c r="H867" t="n">
        <v>0</v>
      </c>
      <c r="I867" t="n">
        <v>0</v>
      </c>
      <c r="J867" t="n">
        <v>0</v>
      </c>
      <c r="K867" t="n">
        <v>0</v>
      </c>
      <c r="L867" t="n">
        <v>0</v>
      </c>
      <c r="M867" t="n">
        <v>0</v>
      </c>
      <c r="N867" t="n">
        <v>0</v>
      </c>
      <c r="O867" t="n">
        <v>0</v>
      </c>
      <c r="P867" t="n">
        <v>0</v>
      </c>
      <c r="Q867" t="n">
        <v>0</v>
      </c>
      <c r="R867" s="2" t="inlineStr"/>
    </row>
    <row r="868" ht="15" customHeight="1">
      <c r="A868" t="inlineStr">
        <is>
          <t>A 35540-2025</t>
        </is>
      </c>
      <c r="B868" s="1" t="n">
        <v>45856.46912037037</v>
      </c>
      <c r="C868" s="1" t="n">
        <v>46065</v>
      </c>
      <c r="D868" t="inlineStr">
        <is>
          <t>VÄSTERNORRLANDS LÄN</t>
        </is>
      </c>
      <c r="E868" t="inlineStr">
        <is>
          <t>ÅNGE</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35548-2025</t>
        </is>
      </c>
      <c r="B869" s="1" t="n">
        <v>45856.48995370371</v>
      </c>
      <c r="C869" s="1" t="n">
        <v>46065</v>
      </c>
      <c r="D869" t="inlineStr">
        <is>
          <t>VÄSTERNORRLANDS LÄN</t>
        </is>
      </c>
      <c r="E869" t="inlineStr">
        <is>
          <t>ÅNGE</t>
        </is>
      </c>
      <c r="F869" t="inlineStr">
        <is>
          <t>SCA</t>
        </is>
      </c>
      <c r="G869" t="n">
        <v>14.6</v>
      </c>
      <c r="H869" t="n">
        <v>0</v>
      </c>
      <c r="I869" t="n">
        <v>0</v>
      </c>
      <c r="J869" t="n">
        <v>0</v>
      </c>
      <c r="K869" t="n">
        <v>0</v>
      </c>
      <c r="L869" t="n">
        <v>0</v>
      </c>
      <c r="M869" t="n">
        <v>0</v>
      </c>
      <c r="N869" t="n">
        <v>0</v>
      </c>
      <c r="O869" t="n">
        <v>0</v>
      </c>
      <c r="P869" t="n">
        <v>0</v>
      </c>
      <c r="Q869" t="n">
        <v>0</v>
      </c>
      <c r="R869" s="2" t="inlineStr"/>
    </row>
    <row r="870" ht="15" customHeight="1">
      <c r="A870" t="inlineStr">
        <is>
          <t>A 35575-2025</t>
        </is>
      </c>
      <c r="B870" s="1" t="n">
        <v>45856.63591435185</v>
      </c>
      <c r="C870" s="1" t="n">
        <v>46065</v>
      </c>
      <c r="D870" t="inlineStr">
        <is>
          <t>VÄSTERNORRLANDS LÄN</t>
        </is>
      </c>
      <c r="E870" t="inlineStr">
        <is>
          <t>ÅNGE</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35497-2025</t>
        </is>
      </c>
      <c r="B871" s="1" t="n">
        <v>45856.29752314815</v>
      </c>
      <c r="C871" s="1" t="n">
        <v>46065</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24977-2021</t>
        </is>
      </c>
      <c r="B872" s="1" t="n">
        <v>44341.51386574074</v>
      </c>
      <c r="C872" s="1" t="n">
        <v>46065</v>
      </c>
      <c r="D872" t="inlineStr">
        <is>
          <t>VÄSTERNORRLANDS LÄN</t>
        </is>
      </c>
      <c r="E872" t="inlineStr">
        <is>
          <t>ÅNGE</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25034-2023</t>
        </is>
      </c>
      <c r="B873" s="1" t="n">
        <v>45085</v>
      </c>
      <c r="C873" s="1" t="n">
        <v>46065</v>
      </c>
      <c r="D873" t="inlineStr">
        <is>
          <t>VÄSTERNORRLANDS LÄN</t>
        </is>
      </c>
      <c r="E873" t="inlineStr">
        <is>
          <t>ÅNGE</t>
        </is>
      </c>
      <c r="G873" t="n">
        <v>0.6</v>
      </c>
      <c r="H873" t="n">
        <v>0</v>
      </c>
      <c r="I873" t="n">
        <v>0</v>
      </c>
      <c r="J873" t="n">
        <v>0</v>
      </c>
      <c r="K873" t="n">
        <v>0</v>
      </c>
      <c r="L873" t="n">
        <v>0</v>
      </c>
      <c r="M873" t="n">
        <v>0</v>
      </c>
      <c r="N873" t="n">
        <v>0</v>
      </c>
      <c r="O873" t="n">
        <v>0</v>
      </c>
      <c r="P873" t="n">
        <v>0</v>
      </c>
      <c r="Q873" t="n">
        <v>0</v>
      </c>
      <c r="R873" s="2" t="inlineStr"/>
    </row>
    <row r="874" ht="15" customHeight="1">
      <c r="A874" t="inlineStr">
        <is>
          <t>A 35432-2025</t>
        </is>
      </c>
      <c r="B874" s="1" t="n">
        <v>45855.44831018519</v>
      </c>
      <c r="C874" s="1" t="n">
        <v>46065</v>
      </c>
      <c r="D874" t="inlineStr">
        <is>
          <t>VÄSTERNORRLANDS LÄN</t>
        </is>
      </c>
      <c r="E874" t="inlineStr">
        <is>
          <t>ÅNGE</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35577-2025</t>
        </is>
      </c>
      <c r="B875" s="1" t="n">
        <v>45856.67762731481</v>
      </c>
      <c r="C875" s="1" t="n">
        <v>46065</v>
      </c>
      <c r="D875" t="inlineStr">
        <is>
          <t>VÄSTERNORRLANDS LÄN</t>
        </is>
      </c>
      <c r="E875" t="inlineStr">
        <is>
          <t>ÅNGE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4094-2025</t>
        </is>
      </c>
      <c r="B876" s="1" t="n">
        <v>45684.6778125</v>
      </c>
      <c r="C876" s="1" t="n">
        <v>46065</v>
      </c>
      <c r="D876" t="inlineStr">
        <is>
          <t>VÄSTERNORRLANDS LÄN</t>
        </is>
      </c>
      <c r="E876" t="inlineStr">
        <is>
          <t>ÅNGE</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35690-2025</t>
        </is>
      </c>
      <c r="B877" s="1" t="n">
        <v>45860.34421296296</v>
      </c>
      <c r="C877" s="1" t="n">
        <v>46065</v>
      </c>
      <c r="D877" t="inlineStr">
        <is>
          <t>VÄSTERNORRLANDS LÄN</t>
        </is>
      </c>
      <c r="E877" t="inlineStr">
        <is>
          <t>ÅNGE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35781-2025</t>
        </is>
      </c>
      <c r="B878" s="1" t="n">
        <v>45860.70613425926</v>
      </c>
      <c r="C878" s="1" t="n">
        <v>46065</v>
      </c>
      <c r="D878" t="inlineStr">
        <is>
          <t>VÄSTERNORRLANDS LÄN</t>
        </is>
      </c>
      <c r="E878" t="inlineStr">
        <is>
          <t>ÅNGE</t>
        </is>
      </c>
      <c r="G878" t="n">
        <v>2.2</v>
      </c>
      <c r="H878" t="n">
        <v>0</v>
      </c>
      <c r="I878" t="n">
        <v>0</v>
      </c>
      <c r="J878" t="n">
        <v>0</v>
      </c>
      <c r="K878" t="n">
        <v>0</v>
      </c>
      <c r="L878" t="n">
        <v>0</v>
      </c>
      <c r="M878" t="n">
        <v>0</v>
      </c>
      <c r="N878" t="n">
        <v>0</v>
      </c>
      <c r="O878" t="n">
        <v>0</v>
      </c>
      <c r="P878" t="n">
        <v>0</v>
      </c>
      <c r="Q878" t="n">
        <v>0</v>
      </c>
      <c r="R878" s="2" t="inlineStr"/>
    </row>
    <row r="879" ht="15" customHeight="1">
      <c r="A879" t="inlineStr">
        <is>
          <t>A 22597-2021</t>
        </is>
      </c>
      <c r="B879" s="1" t="n">
        <v>44326</v>
      </c>
      <c r="C879" s="1" t="n">
        <v>46065</v>
      </c>
      <c r="D879" t="inlineStr">
        <is>
          <t>VÄSTERNORRLANDS LÄN</t>
        </is>
      </c>
      <c r="E879" t="inlineStr">
        <is>
          <t>ÅNGE</t>
        </is>
      </c>
      <c r="G879" t="n">
        <v>0.9</v>
      </c>
      <c r="H879" t="n">
        <v>0</v>
      </c>
      <c r="I879" t="n">
        <v>0</v>
      </c>
      <c r="J879" t="n">
        <v>0</v>
      </c>
      <c r="K879" t="n">
        <v>0</v>
      </c>
      <c r="L879" t="n">
        <v>0</v>
      </c>
      <c r="M879" t="n">
        <v>0</v>
      </c>
      <c r="N879" t="n">
        <v>0</v>
      </c>
      <c r="O879" t="n">
        <v>0</v>
      </c>
      <c r="P879" t="n">
        <v>0</v>
      </c>
      <c r="Q879" t="n">
        <v>0</v>
      </c>
      <c r="R879" s="2" t="inlineStr"/>
    </row>
    <row r="880" ht="15" customHeight="1">
      <c r="A880" t="inlineStr">
        <is>
          <t>A 35766-2025</t>
        </is>
      </c>
      <c r="B880" s="1" t="n">
        <v>45860.63077546296</v>
      </c>
      <c r="C880" s="1" t="n">
        <v>46065</v>
      </c>
      <c r="D880" t="inlineStr">
        <is>
          <t>VÄSTERNORRLANDS LÄN</t>
        </is>
      </c>
      <c r="E880" t="inlineStr">
        <is>
          <t>ÅNGE</t>
        </is>
      </c>
      <c r="G880" t="n">
        <v>10.7</v>
      </c>
      <c r="H880" t="n">
        <v>0</v>
      </c>
      <c r="I880" t="n">
        <v>0</v>
      </c>
      <c r="J880" t="n">
        <v>0</v>
      </c>
      <c r="K880" t="n">
        <v>0</v>
      </c>
      <c r="L880" t="n">
        <v>0</v>
      </c>
      <c r="M880" t="n">
        <v>0</v>
      </c>
      <c r="N880" t="n">
        <v>0</v>
      </c>
      <c r="O880" t="n">
        <v>0</v>
      </c>
      <c r="P880" t="n">
        <v>0</v>
      </c>
      <c r="Q880" t="n">
        <v>0</v>
      </c>
      <c r="R880" s="2" t="inlineStr"/>
    </row>
    <row r="881" ht="15" customHeight="1">
      <c r="A881" t="inlineStr">
        <is>
          <t>A 39973-2023</t>
        </is>
      </c>
      <c r="B881" s="1" t="n">
        <v>45168.5858912037</v>
      </c>
      <c r="C881" s="1" t="n">
        <v>46065</v>
      </c>
      <c r="D881" t="inlineStr">
        <is>
          <t>VÄSTERNORRLANDS LÄN</t>
        </is>
      </c>
      <c r="E881" t="inlineStr">
        <is>
          <t>ÅNGE</t>
        </is>
      </c>
      <c r="G881" t="n">
        <v>3.6</v>
      </c>
      <c r="H881" t="n">
        <v>0</v>
      </c>
      <c r="I881" t="n">
        <v>0</v>
      </c>
      <c r="J881" t="n">
        <v>0</v>
      </c>
      <c r="K881" t="n">
        <v>0</v>
      </c>
      <c r="L881" t="n">
        <v>0</v>
      </c>
      <c r="M881" t="n">
        <v>0</v>
      </c>
      <c r="N881" t="n">
        <v>0</v>
      </c>
      <c r="O881" t="n">
        <v>0</v>
      </c>
      <c r="P881" t="n">
        <v>0</v>
      </c>
      <c r="Q881" t="n">
        <v>0</v>
      </c>
      <c r="R881" s="2" t="inlineStr"/>
    </row>
    <row r="882" ht="15" customHeight="1">
      <c r="A882" t="inlineStr">
        <is>
          <t>A 1769-2023</t>
        </is>
      </c>
      <c r="B882" s="1" t="n">
        <v>44938.58025462963</v>
      </c>
      <c r="C882" s="1" t="n">
        <v>46065</v>
      </c>
      <c r="D882" t="inlineStr">
        <is>
          <t>VÄSTERNORRLANDS LÄN</t>
        </is>
      </c>
      <c r="E882" t="inlineStr">
        <is>
          <t>ÅNGE</t>
        </is>
      </c>
      <c r="G882" t="n">
        <v>1.3</v>
      </c>
      <c r="H882" t="n">
        <v>0</v>
      </c>
      <c r="I882" t="n">
        <v>0</v>
      </c>
      <c r="J882" t="n">
        <v>0</v>
      </c>
      <c r="K882" t="n">
        <v>0</v>
      </c>
      <c r="L882" t="n">
        <v>0</v>
      </c>
      <c r="M882" t="n">
        <v>0</v>
      </c>
      <c r="N882" t="n">
        <v>0</v>
      </c>
      <c r="O882" t="n">
        <v>0</v>
      </c>
      <c r="P882" t="n">
        <v>0</v>
      </c>
      <c r="Q882" t="n">
        <v>0</v>
      </c>
      <c r="R882" s="2" t="inlineStr"/>
    </row>
    <row r="883" ht="15" customHeight="1">
      <c r="A883" t="inlineStr">
        <is>
          <t>A 1775-2023</t>
        </is>
      </c>
      <c r="B883" s="1" t="n">
        <v>44938</v>
      </c>
      <c r="C883" s="1" t="n">
        <v>46065</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35826-2025</t>
        </is>
      </c>
      <c r="B884" s="1" t="n">
        <v>45861.48997685185</v>
      </c>
      <c r="C884" s="1" t="n">
        <v>46065</v>
      </c>
      <c r="D884" t="inlineStr">
        <is>
          <t>VÄSTERNORRLANDS LÄN</t>
        </is>
      </c>
      <c r="E884" t="inlineStr">
        <is>
          <t>ÅNGE</t>
        </is>
      </c>
      <c r="G884" t="n">
        <v>2.5</v>
      </c>
      <c r="H884" t="n">
        <v>0</v>
      </c>
      <c r="I884" t="n">
        <v>0</v>
      </c>
      <c r="J884" t="n">
        <v>0</v>
      </c>
      <c r="K884" t="n">
        <v>0</v>
      </c>
      <c r="L884" t="n">
        <v>0</v>
      </c>
      <c r="M884" t="n">
        <v>0</v>
      </c>
      <c r="N884" t="n">
        <v>0</v>
      </c>
      <c r="O884" t="n">
        <v>0</v>
      </c>
      <c r="P884" t="n">
        <v>0</v>
      </c>
      <c r="Q884" t="n">
        <v>0</v>
      </c>
      <c r="R884" s="2" t="inlineStr"/>
    </row>
    <row r="885" ht="15" customHeight="1">
      <c r="A885" t="inlineStr">
        <is>
          <t>A 35838-2025</t>
        </is>
      </c>
      <c r="B885" s="1" t="n">
        <v>45861.53829861111</v>
      </c>
      <c r="C885" s="1" t="n">
        <v>46065</v>
      </c>
      <c r="D885" t="inlineStr">
        <is>
          <t>VÄSTERNORRLANDS LÄN</t>
        </is>
      </c>
      <c r="E885" t="inlineStr">
        <is>
          <t>ÅNGE</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10282-2025</t>
        </is>
      </c>
      <c r="B886" s="1" t="n">
        <v>45720.40659722222</v>
      </c>
      <c r="C886" s="1" t="n">
        <v>46065</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10878-2024</t>
        </is>
      </c>
      <c r="B887" s="1" t="n">
        <v>45370</v>
      </c>
      <c r="C887" s="1" t="n">
        <v>46065</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137-2025</t>
        </is>
      </c>
      <c r="B888" s="1" t="n">
        <v>45659.57684027778</v>
      </c>
      <c r="C888" s="1" t="n">
        <v>46065</v>
      </c>
      <c r="D888" t="inlineStr">
        <is>
          <t>VÄSTERNORRLANDS LÄN</t>
        </is>
      </c>
      <c r="E888" t="inlineStr">
        <is>
          <t>ÅNGE</t>
        </is>
      </c>
      <c r="G888" t="n">
        <v>0.2</v>
      </c>
      <c r="H888" t="n">
        <v>0</v>
      </c>
      <c r="I888" t="n">
        <v>0</v>
      </c>
      <c r="J888" t="n">
        <v>0</v>
      </c>
      <c r="K888" t="n">
        <v>0</v>
      </c>
      <c r="L888" t="n">
        <v>0</v>
      </c>
      <c r="M888" t="n">
        <v>0</v>
      </c>
      <c r="N888" t="n">
        <v>0</v>
      </c>
      <c r="O888" t="n">
        <v>0</v>
      </c>
      <c r="P888" t="n">
        <v>0</v>
      </c>
      <c r="Q888" t="n">
        <v>0</v>
      </c>
      <c r="R888" s="2" t="inlineStr"/>
    </row>
    <row r="889" ht="15" customHeight="1">
      <c r="A889" t="inlineStr">
        <is>
          <t>A 58637-2023</t>
        </is>
      </c>
      <c r="B889" s="1" t="n">
        <v>45251</v>
      </c>
      <c r="C889" s="1" t="n">
        <v>46065</v>
      </c>
      <c r="D889" t="inlineStr">
        <is>
          <t>VÄSTERNORRLANDS LÄN</t>
        </is>
      </c>
      <c r="E889" t="inlineStr">
        <is>
          <t>ÅNGE</t>
        </is>
      </c>
      <c r="G889" t="n">
        <v>0.6</v>
      </c>
      <c r="H889" t="n">
        <v>0</v>
      </c>
      <c r="I889" t="n">
        <v>0</v>
      </c>
      <c r="J889" t="n">
        <v>0</v>
      </c>
      <c r="K889" t="n">
        <v>0</v>
      </c>
      <c r="L889" t="n">
        <v>0</v>
      </c>
      <c r="M889" t="n">
        <v>0</v>
      </c>
      <c r="N889" t="n">
        <v>0</v>
      </c>
      <c r="O889" t="n">
        <v>0</v>
      </c>
      <c r="P889" t="n">
        <v>0</v>
      </c>
      <c r="Q889" t="n">
        <v>0</v>
      </c>
      <c r="R889" s="2" t="inlineStr"/>
    </row>
    <row r="890" ht="15" customHeight="1">
      <c r="A890" t="inlineStr">
        <is>
          <t>A 35827-2025</t>
        </is>
      </c>
      <c r="B890" s="1" t="n">
        <v>45861.49017361111</v>
      </c>
      <c r="C890" s="1" t="n">
        <v>46065</v>
      </c>
      <c r="D890" t="inlineStr">
        <is>
          <t>VÄSTERNORRLANDS LÄN</t>
        </is>
      </c>
      <c r="E890" t="inlineStr">
        <is>
          <t>ÅNGE</t>
        </is>
      </c>
      <c r="G890" t="n">
        <v>0.6</v>
      </c>
      <c r="H890" t="n">
        <v>0</v>
      </c>
      <c r="I890" t="n">
        <v>0</v>
      </c>
      <c r="J890" t="n">
        <v>0</v>
      </c>
      <c r="K890" t="n">
        <v>0</v>
      </c>
      <c r="L890" t="n">
        <v>0</v>
      </c>
      <c r="M890" t="n">
        <v>0</v>
      </c>
      <c r="N890" t="n">
        <v>0</v>
      </c>
      <c r="O890" t="n">
        <v>0</v>
      </c>
      <c r="P890" t="n">
        <v>0</v>
      </c>
      <c r="Q890" t="n">
        <v>0</v>
      </c>
      <c r="R890" s="2" t="inlineStr"/>
    </row>
    <row r="891" ht="15" customHeight="1">
      <c r="A891" t="inlineStr">
        <is>
          <t>A 30683-2024</t>
        </is>
      </c>
      <c r="B891" s="1" t="n">
        <v>45495</v>
      </c>
      <c r="C891" s="1" t="n">
        <v>46065</v>
      </c>
      <c r="D891" t="inlineStr">
        <is>
          <t>VÄSTERNORRLANDS LÄN</t>
        </is>
      </c>
      <c r="E891" t="inlineStr">
        <is>
          <t>ÅNGE</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10071-2023</t>
        </is>
      </c>
      <c r="B892" s="1" t="n">
        <v>44985.92418981482</v>
      </c>
      <c r="C892" s="1" t="n">
        <v>46065</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19066-2024</t>
        </is>
      </c>
      <c r="B893" s="1" t="n">
        <v>45427</v>
      </c>
      <c r="C893" s="1" t="n">
        <v>46065</v>
      </c>
      <c r="D893" t="inlineStr">
        <is>
          <t>VÄSTERNORRLANDS LÄN</t>
        </is>
      </c>
      <c r="E893" t="inlineStr">
        <is>
          <t>ÅNGE</t>
        </is>
      </c>
      <c r="G893" t="n">
        <v>0.8</v>
      </c>
      <c r="H893" t="n">
        <v>0</v>
      </c>
      <c r="I893" t="n">
        <v>0</v>
      </c>
      <c r="J893" t="n">
        <v>0</v>
      </c>
      <c r="K893" t="n">
        <v>0</v>
      </c>
      <c r="L893" t="n">
        <v>0</v>
      </c>
      <c r="M893" t="n">
        <v>0</v>
      </c>
      <c r="N893" t="n">
        <v>0</v>
      </c>
      <c r="O893" t="n">
        <v>0</v>
      </c>
      <c r="P893" t="n">
        <v>0</v>
      </c>
      <c r="Q893" t="n">
        <v>0</v>
      </c>
      <c r="R893" s="2" t="inlineStr"/>
    </row>
    <row r="894" ht="15" customHeight="1">
      <c r="A894" t="inlineStr">
        <is>
          <t>A 36205-2025</t>
        </is>
      </c>
      <c r="B894" s="1" t="n">
        <v>45867.44855324074</v>
      </c>
      <c r="C894" s="1" t="n">
        <v>46065</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36240-2025</t>
        </is>
      </c>
      <c r="B895" s="1" t="n">
        <v>45867.55298611111</v>
      </c>
      <c r="C895" s="1" t="n">
        <v>46065</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36210-2025</t>
        </is>
      </c>
      <c r="B896" s="1" t="n">
        <v>45867.46930555555</v>
      </c>
      <c r="C896" s="1" t="n">
        <v>46065</v>
      </c>
      <c r="D896" t="inlineStr">
        <is>
          <t>VÄSTERNORRLANDS LÄN</t>
        </is>
      </c>
      <c r="E896" t="inlineStr">
        <is>
          <t>ÅNGE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36236-2025</t>
        </is>
      </c>
      <c r="B897" s="1" t="n">
        <v>45867.55245370371</v>
      </c>
      <c r="C897" s="1" t="n">
        <v>46065</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36248-2025</t>
        </is>
      </c>
      <c r="B898" s="1" t="n">
        <v>45867.57326388889</v>
      </c>
      <c r="C898" s="1" t="n">
        <v>46065</v>
      </c>
      <c r="D898" t="inlineStr">
        <is>
          <t>VÄSTERNORRLANDS LÄN</t>
        </is>
      </c>
      <c r="E898" t="inlineStr">
        <is>
          <t>ÅNGE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36237-2025</t>
        </is>
      </c>
      <c r="B899" s="1" t="n">
        <v>45867.55263888889</v>
      </c>
      <c r="C899" s="1" t="n">
        <v>46065</v>
      </c>
      <c r="D899" t="inlineStr">
        <is>
          <t>VÄSTERNORRLANDS LÄN</t>
        </is>
      </c>
      <c r="E899" t="inlineStr">
        <is>
          <t>ÅNGE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4236-2025</t>
        </is>
      </c>
      <c r="B900" s="1" t="n">
        <v>45685.56534722223</v>
      </c>
      <c r="C900" s="1" t="n">
        <v>46065</v>
      </c>
      <c r="D900" t="inlineStr">
        <is>
          <t>VÄSTERNORRLANDS LÄN</t>
        </is>
      </c>
      <c r="E900" t="inlineStr">
        <is>
          <t>ÅNGE</t>
        </is>
      </c>
      <c r="G900" t="n">
        <v>2.4</v>
      </c>
      <c r="H900" t="n">
        <v>0</v>
      </c>
      <c r="I900" t="n">
        <v>0</v>
      </c>
      <c r="J900" t="n">
        <v>0</v>
      </c>
      <c r="K900" t="n">
        <v>0</v>
      </c>
      <c r="L900" t="n">
        <v>0</v>
      </c>
      <c r="M900" t="n">
        <v>0</v>
      </c>
      <c r="N900" t="n">
        <v>0</v>
      </c>
      <c r="O900" t="n">
        <v>0</v>
      </c>
      <c r="P900" t="n">
        <v>0</v>
      </c>
      <c r="Q900" t="n">
        <v>0</v>
      </c>
      <c r="R900" s="2" t="inlineStr"/>
    </row>
    <row r="901" ht="15" customHeight="1">
      <c r="A901" t="inlineStr">
        <is>
          <t>A 36193-2025</t>
        </is>
      </c>
      <c r="B901" s="1" t="n">
        <v>45867.42741898148</v>
      </c>
      <c r="C901" s="1" t="n">
        <v>46065</v>
      </c>
      <c r="D901" t="inlineStr">
        <is>
          <t>VÄSTERNORRLANDS LÄN</t>
        </is>
      </c>
      <c r="E901" t="inlineStr">
        <is>
          <t>ÅNGE</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36336-2025</t>
        </is>
      </c>
      <c r="B902" s="1" t="n">
        <v>45868.44751157407</v>
      </c>
      <c r="C902" s="1" t="n">
        <v>46065</v>
      </c>
      <c r="D902" t="inlineStr">
        <is>
          <t>VÄSTERNORRLANDS LÄN</t>
        </is>
      </c>
      <c r="E902" t="inlineStr">
        <is>
          <t>ÅNGE</t>
        </is>
      </c>
      <c r="G902" t="n">
        <v>7.3</v>
      </c>
      <c r="H902" t="n">
        <v>0</v>
      </c>
      <c r="I902" t="n">
        <v>0</v>
      </c>
      <c r="J902" t="n">
        <v>0</v>
      </c>
      <c r="K902" t="n">
        <v>0</v>
      </c>
      <c r="L902" t="n">
        <v>0</v>
      </c>
      <c r="M902" t="n">
        <v>0</v>
      </c>
      <c r="N902" t="n">
        <v>0</v>
      </c>
      <c r="O902" t="n">
        <v>0</v>
      </c>
      <c r="P902" t="n">
        <v>0</v>
      </c>
      <c r="Q902" t="n">
        <v>0</v>
      </c>
      <c r="R902" s="2" t="inlineStr"/>
    </row>
    <row r="903" ht="15" customHeight="1">
      <c r="A903" t="inlineStr">
        <is>
          <t>A 16362-2023</t>
        </is>
      </c>
      <c r="B903" s="1" t="n">
        <v>45028.9250462963</v>
      </c>
      <c r="C903" s="1" t="n">
        <v>46065</v>
      </c>
      <c r="D903" t="inlineStr">
        <is>
          <t>VÄSTERNORRLANDS LÄN</t>
        </is>
      </c>
      <c r="E903" t="inlineStr">
        <is>
          <t>ÅNGE</t>
        </is>
      </c>
      <c r="G903" t="n">
        <v>4.8</v>
      </c>
      <c r="H903" t="n">
        <v>0</v>
      </c>
      <c r="I903" t="n">
        <v>0</v>
      </c>
      <c r="J903" t="n">
        <v>0</v>
      </c>
      <c r="K903" t="n">
        <v>0</v>
      </c>
      <c r="L903" t="n">
        <v>0</v>
      </c>
      <c r="M903" t="n">
        <v>0</v>
      </c>
      <c r="N903" t="n">
        <v>0</v>
      </c>
      <c r="O903" t="n">
        <v>0</v>
      </c>
      <c r="P903" t="n">
        <v>0</v>
      </c>
      <c r="Q903" t="n">
        <v>0</v>
      </c>
      <c r="R903" s="2" t="inlineStr"/>
    </row>
    <row r="904" ht="15" customHeight="1">
      <c r="A904" t="inlineStr">
        <is>
          <t>A 36457-2025</t>
        </is>
      </c>
      <c r="B904" s="1" t="n">
        <v>45869.44842592593</v>
      </c>
      <c r="C904" s="1" t="n">
        <v>46065</v>
      </c>
      <c r="D904" t="inlineStr">
        <is>
          <t>VÄSTERNORRLANDS LÄN</t>
        </is>
      </c>
      <c r="E904" t="inlineStr">
        <is>
          <t>ÅNGE</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51131-2022</t>
        </is>
      </c>
      <c r="B905" s="1" t="n">
        <v>44868</v>
      </c>
      <c r="C905" s="1" t="n">
        <v>46065</v>
      </c>
      <c r="D905" t="inlineStr">
        <is>
          <t>VÄSTERNORRLANDS LÄN</t>
        </is>
      </c>
      <c r="E905" t="inlineStr">
        <is>
          <t>ÅNGE</t>
        </is>
      </c>
      <c r="G905" t="n">
        <v>11.1</v>
      </c>
      <c r="H905" t="n">
        <v>0</v>
      </c>
      <c r="I905" t="n">
        <v>0</v>
      </c>
      <c r="J905" t="n">
        <v>0</v>
      </c>
      <c r="K905" t="n">
        <v>0</v>
      </c>
      <c r="L905" t="n">
        <v>0</v>
      </c>
      <c r="M905" t="n">
        <v>0</v>
      </c>
      <c r="N905" t="n">
        <v>0</v>
      </c>
      <c r="O905" t="n">
        <v>0</v>
      </c>
      <c r="P905" t="n">
        <v>0</v>
      </c>
      <c r="Q905" t="n">
        <v>0</v>
      </c>
      <c r="R905" s="2" t="inlineStr"/>
    </row>
    <row r="906" ht="15" customHeight="1">
      <c r="A906" t="inlineStr">
        <is>
          <t>A 28779-2023</t>
        </is>
      </c>
      <c r="B906" s="1" t="n">
        <v>45104.34314814815</v>
      </c>
      <c r="C906" s="1" t="n">
        <v>46065</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63607-2021</t>
        </is>
      </c>
      <c r="B907" s="1" t="n">
        <v>44508.94650462963</v>
      </c>
      <c r="C907" s="1" t="n">
        <v>46065</v>
      </c>
      <c r="D907" t="inlineStr">
        <is>
          <t>VÄSTERNORRLANDS LÄN</t>
        </is>
      </c>
      <c r="E907" t="inlineStr">
        <is>
          <t>ÅNGE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30235-2024</t>
        </is>
      </c>
      <c r="B908" s="1" t="n">
        <v>45490.49040509259</v>
      </c>
      <c r="C908" s="1" t="n">
        <v>46065</v>
      </c>
      <c r="D908" t="inlineStr">
        <is>
          <t>VÄSTERNORRLANDS LÄN</t>
        </is>
      </c>
      <c r="E908" t="inlineStr">
        <is>
          <t>ÅNGE</t>
        </is>
      </c>
      <c r="G908" t="n">
        <v>3.7</v>
      </c>
      <c r="H908" t="n">
        <v>0</v>
      </c>
      <c r="I908" t="n">
        <v>0</v>
      </c>
      <c r="J908" t="n">
        <v>0</v>
      </c>
      <c r="K908" t="n">
        <v>0</v>
      </c>
      <c r="L908" t="n">
        <v>0</v>
      </c>
      <c r="M908" t="n">
        <v>0</v>
      </c>
      <c r="N908" t="n">
        <v>0</v>
      </c>
      <c r="O908" t="n">
        <v>0</v>
      </c>
      <c r="P908" t="n">
        <v>0</v>
      </c>
      <c r="Q908" t="n">
        <v>0</v>
      </c>
      <c r="R908" s="2" t="inlineStr"/>
    </row>
    <row r="909" ht="15" customHeight="1">
      <c r="A909" t="inlineStr">
        <is>
          <t>A 36456-2025</t>
        </is>
      </c>
      <c r="B909" s="1" t="n">
        <v>45869.44827546296</v>
      </c>
      <c r="C909" s="1" t="n">
        <v>46065</v>
      </c>
      <c r="D909" t="inlineStr">
        <is>
          <t>VÄSTERNORRLANDS LÄN</t>
        </is>
      </c>
      <c r="E909" t="inlineStr">
        <is>
          <t>ÅNGE</t>
        </is>
      </c>
      <c r="F909" t="inlineStr">
        <is>
          <t>SCA</t>
        </is>
      </c>
      <c r="G909" t="n">
        <v>7.2</v>
      </c>
      <c r="H909" t="n">
        <v>0</v>
      </c>
      <c r="I909" t="n">
        <v>0</v>
      </c>
      <c r="J909" t="n">
        <v>0</v>
      </c>
      <c r="K909" t="n">
        <v>0</v>
      </c>
      <c r="L909" t="n">
        <v>0</v>
      </c>
      <c r="M909" t="n">
        <v>0</v>
      </c>
      <c r="N909" t="n">
        <v>0</v>
      </c>
      <c r="O909" t="n">
        <v>0</v>
      </c>
      <c r="P909" t="n">
        <v>0</v>
      </c>
      <c r="Q909" t="n">
        <v>0</v>
      </c>
      <c r="R909" s="2" t="inlineStr"/>
    </row>
    <row r="910" ht="15" customHeight="1">
      <c r="A910" t="inlineStr">
        <is>
          <t>A 3629-2023</t>
        </is>
      </c>
      <c r="B910" s="1" t="n">
        <v>44950</v>
      </c>
      <c r="C910" s="1" t="n">
        <v>46065</v>
      </c>
      <c r="D910" t="inlineStr">
        <is>
          <t>VÄSTERNORRLANDS LÄN</t>
        </is>
      </c>
      <c r="E910" t="inlineStr">
        <is>
          <t>ÅNGE</t>
        </is>
      </c>
      <c r="G910" t="n">
        <v>2.5</v>
      </c>
      <c r="H910" t="n">
        <v>0</v>
      </c>
      <c r="I910" t="n">
        <v>0</v>
      </c>
      <c r="J910" t="n">
        <v>0</v>
      </c>
      <c r="K910" t="n">
        <v>0</v>
      </c>
      <c r="L910" t="n">
        <v>0</v>
      </c>
      <c r="M910" t="n">
        <v>0</v>
      </c>
      <c r="N910" t="n">
        <v>0</v>
      </c>
      <c r="O910" t="n">
        <v>0</v>
      </c>
      <c r="P910" t="n">
        <v>0</v>
      </c>
      <c r="Q910" t="n">
        <v>0</v>
      </c>
      <c r="R910" s="2" t="inlineStr"/>
    </row>
    <row r="911" ht="15" customHeight="1">
      <c r="A911" t="inlineStr">
        <is>
          <t>A 3631-2023</t>
        </is>
      </c>
      <c r="B911" s="1" t="n">
        <v>44950</v>
      </c>
      <c r="C911" s="1" t="n">
        <v>46065</v>
      </c>
      <c r="D911" t="inlineStr">
        <is>
          <t>VÄSTERNORRLANDS LÄN</t>
        </is>
      </c>
      <c r="E911" t="inlineStr">
        <is>
          <t>ÅNGE</t>
        </is>
      </c>
      <c r="G911" t="n">
        <v>0.8</v>
      </c>
      <c r="H911" t="n">
        <v>0</v>
      </c>
      <c r="I911" t="n">
        <v>0</v>
      </c>
      <c r="J911" t="n">
        <v>0</v>
      </c>
      <c r="K911" t="n">
        <v>0</v>
      </c>
      <c r="L911" t="n">
        <v>0</v>
      </c>
      <c r="M911" t="n">
        <v>0</v>
      </c>
      <c r="N911" t="n">
        <v>0</v>
      </c>
      <c r="O911" t="n">
        <v>0</v>
      </c>
      <c r="P911" t="n">
        <v>0</v>
      </c>
      <c r="Q911" t="n">
        <v>0</v>
      </c>
      <c r="R911" s="2" t="inlineStr"/>
    </row>
    <row r="912" ht="15" customHeight="1">
      <c r="A912" t="inlineStr">
        <is>
          <t>A 31177-2024</t>
        </is>
      </c>
      <c r="B912" s="1" t="n">
        <v>45503</v>
      </c>
      <c r="C912" s="1" t="n">
        <v>46065</v>
      </c>
      <c r="D912" t="inlineStr">
        <is>
          <t>VÄSTERNORRLANDS LÄN</t>
        </is>
      </c>
      <c r="E912" t="inlineStr">
        <is>
          <t>ÅNGE</t>
        </is>
      </c>
      <c r="G912" t="n">
        <v>10.2</v>
      </c>
      <c r="H912" t="n">
        <v>0</v>
      </c>
      <c r="I912" t="n">
        <v>0</v>
      </c>
      <c r="J912" t="n">
        <v>0</v>
      </c>
      <c r="K912" t="n">
        <v>0</v>
      </c>
      <c r="L912" t="n">
        <v>0</v>
      </c>
      <c r="M912" t="n">
        <v>0</v>
      </c>
      <c r="N912" t="n">
        <v>0</v>
      </c>
      <c r="O912" t="n">
        <v>0</v>
      </c>
      <c r="P912" t="n">
        <v>0</v>
      </c>
      <c r="Q912" t="n">
        <v>0</v>
      </c>
      <c r="R912" s="2" t="inlineStr"/>
    </row>
    <row r="913" ht="15" customHeight="1">
      <c r="A913" t="inlineStr">
        <is>
          <t>A 36491-2025</t>
        </is>
      </c>
      <c r="B913" s="1" t="n">
        <v>45869.53173611111</v>
      </c>
      <c r="C913" s="1" t="n">
        <v>46065</v>
      </c>
      <c r="D913" t="inlineStr">
        <is>
          <t>VÄSTERNORRLANDS LÄN</t>
        </is>
      </c>
      <c r="E913" t="inlineStr">
        <is>
          <t>ÅNGE</t>
        </is>
      </c>
      <c r="F913" t="inlineStr">
        <is>
          <t>SCA</t>
        </is>
      </c>
      <c r="G913" t="n">
        <v>4.2</v>
      </c>
      <c r="H913" t="n">
        <v>0</v>
      </c>
      <c r="I913" t="n">
        <v>0</v>
      </c>
      <c r="J913" t="n">
        <v>0</v>
      </c>
      <c r="K913" t="n">
        <v>0</v>
      </c>
      <c r="L913" t="n">
        <v>0</v>
      </c>
      <c r="M913" t="n">
        <v>0</v>
      </c>
      <c r="N913" t="n">
        <v>0</v>
      </c>
      <c r="O913" t="n">
        <v>0</v>
      </c>
      <c r="P913" t="n">
        <v>0</v>
      </c>
      <c r="Q913" t="n">
        <v>0</v>
      </c>
      <c r="R913" s="2" t="inlineStr"/>
    </row>
    <row r="914" ht="15" customHeight="1">
      <c r="A914" t="inlineStr">
        <is>
          <t>A 5999-2025</t>
        </is>
      </c>
      <c r="B914" s="1" t="n">
        <v>45695</v>
      </c>
      <c r="C914" s="1" t="n">
        <v>46065</v>
      </c>
      <c r="D914" t="inlineStr">
        <is>
          <t>VÄSTERNORRLANDS LÄN</t>
        </is>
      </c>
      <c r="E914" t="inlineStr">
        <is>
          <t>ÅNGE</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36873-2025</t>
        </is>
      </c>
      <c r="B915" s="1" t="n">
        <v>45874.42935185185</v>
      </c>
      <c r="C915" s="1" t="n">
        <v>46065</v>
      </c>
      <c r="D915" t="inlineStr">
        <is>
          <t>VÄSTERNORRLANDS LÄN</t>
        </is>
      </c>
      <c r="E915" t="inlineStr">
        <is>
          <t>ÅNGE</t>
        </is>
      </c>
      <c r="F915" t="inlineStr">
        <is>
          <t>SCA</t>
        </is>
      </c>
      <c r="G915" t="n">
        <v>16.9</v>
      </c>
      <c r="H915" t="n">
        <v>0</v>
      </c>
      <c r="I915" t="n">
        <v>0</v>
      </c>
      <c r="J915" t="n">
        <v>0</v>
      </c>
      <c r="K915" t="n">
        <v>0</v>
      </c>
      <c r="L915" t="n">
        <v>0</v>
      </c>
      <c r="M915" t="n">
        <v>0</v>
      </c>
      <c r="N915" t="n">
        <v>0</v>
      </c>
      <c r="O915" t="n">
        <v>0</v>
      </c>
      <c r="P915" t="n">
        <v>0</v>
      </c>
      <c r="Q915" t="n">
        <v>0</v>
      </c>
      <c r="R915" s="2" t="inlineStr"/>
    </row>
    <row r="916" ht="15" customHeight="1">
      <c r="A916" t="inlineStr">
        <is>
          <t>A 41370-2023</t>
        </is>
      </c>
      <c r="B916" s="1" t="n">
        <v>45174.85951388889</v>
      </c>
      <c r="C916" s="1" t="n">
        <v>46065</v>
      </c>
      <c r="D916" t="inlineStr">
        <is>
          <t>VÄSTERNORRLANDS LÄN</t>
        </is>
      </c>
      <c r="E916" t="inlineStr">
        <is>
          <t>ÅNGE</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14927-2025</t>
        </is>
      </c>
      <c r="B917" s="1" t="n">
        <v>45743</v>
      </c>
      <c r="C917" s="1" t="n">
        <v>46065</v>
      </c>
      <c r="D917" t="inlineStr">
        <is>
          <t>VÄSTERNORRLANDS LÄN</t>
        </is>
      </c>
      <c r="E917" t="inlineStr">
        <is>
          <t>ÅNGE</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38284-2022</t>
        </is>
      </c>
      <c r="B918" s="1" t="n">
        <v>44812.55149305556</v>
      </c>
      <c r="C918" s="1" t="n">
        <v>46065</v>
      </c>
      <c r="D918" t="inlineStr">
        <is>
          <t>VÄSTERNORRLANDS LÄN</t>
        </is>
      </c>
      <c r="E918" t="inlineStr">
        <is>
          <t>ÅNGE</t>
        </is>
      </c>
      <c r="G918" t="n">
        <v>2.4</v>
      </c>
      <c r="H918" t="n">
        <v>0</v>
      </c>
      <c r="I918" t="n">
        <v>0</v>
      </c>
      <c r="J918" t="n">
        <v>0</v>
      </c>
      <c r="K918" t="n">
        <v>0</v>
      </c>
      <c r="L918" t="n">
        <v>0</v>
      </c>
      <c r="M918" t="n">
        <v>0</v>
      </c>
      <c r="N918" t="n">
        <v>0</v>
      </c>
      <c r="O918" t="n">
        <v>0</v>
      </c>
      <c r="P918" t="n">
        <v>0</v>
      </c>
      <c r="Q918" t="n">
        <v>0</v>
      </c>
      <c r="R918" s="2" t="inlineStr"/>
    </row>
    <row r="919" ht="15" customHeight="1">
      <c r="A919" t="inlineStr">
        <is>
          <t>A 26015-2024</t>
        </is>
      </c>
      <c r="B919" s="1" t="n">
        <v>45467.95872685185</v>
      </c>
      <c r="C919" s="1" t="n">
        <v>46065</v>
      </c>
      <c r="D919" t="inlineStr">
        <is>
          <t>VÄSTERNORRLANDS LÄN</t>
        </is>
      </c>
      <c r="E919" t="inlineStr">
        <is>
          <t>ÅNGE</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26010-2024</t>
        </is>
      </c>
      <c r="B920" s="1" t="n">
        <v>45467.95819444444</v>
      </c>
      <c r="C920" s="1" t="n">
        <v>46065</v>
      </c>
      <c r="D920" t="inlineStr">
        <is>
          <t>VÄSTERNORRLANDS LÄN</t>
        </is>
      </c>
      <c r="E920" t="inlineStr">
        <is>
          <t>ÅNGE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30353-2024</t>
        </is>
      </c>
      <c r="B921" s="1" t="n">
        <v>45490.95567129629</v>
      </c>
      <c r="C921" s="1" t="n">
        <v>46065</v>
      </c>
      <c r="D921" t="inlineStr">
        <is>
          <t>VÄSTERNORRLANDS LÄN</t>
        </is>
      </c>
      <c r="E921" t="inlineStr">
        <is>
          <t>ÅNGE</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60365-2024</t>
        </is>
      </c>
      <c r="B922" s="1" t="n">
        <v>45643</v>
      </c>
      <c r="C922" s="1" t="n">
        <v>46065</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11871-2025</t>
        </is>
      </c>
      <c r="B923" s="1" t="n">
        <v>45728.42740740741</v>
      </c>
      <c r="C923" s="1" t="n">
        <v>46065</v>
      </c>
      <c r="D923" t="inlineStr">
        <is>
          <t>VÄSTERNORRLANDS LÄN</t>
        </is>
      </c>
      <c r="E923" t="inlineStr">
        <is>
          <t>ÅNGE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36740-2025</t>
        </is>
      </c>
      <c r="B924" s="1" t="n">
        <v>45873.53237268519</v>
      </c>
      <c r="C924" s="1" t="n">
        <v>46065</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15799-2025</t>
        </is>
      </c>
      <c r="B925" s="1" t="n">
        <v>45748.64768518518</v>
      </c>
      <c r="C925" s="1" t="n">
        <v>46065</v>
      </c>
      <c r="D925" t="inlineStr">
        <is>
          <t>VÄSTERNORRLANDS LÄN</t>
        </is>
      </c>
      <c r="E925" t="inlineStr">
        <is>
          <t>ÅNGE</t>
        </is>
      </c>
      <c r="G925" t="n">
        <v>2.3</v>
      </c>
      <c r="H925" t="n">
        <v>0</v>
      </c>
      <c r="I925" t="n">
        <v>0</v>
      </c>
      <c r="J925" t="n">
        <v>0</v>
      </c>
      <c r="K925" t="n">
        <v>0</v>
      </c>
      <c r="L925" t="n">
        <v>0</v>
      </c>
      <c r="M925" t="n">
        <v>0</v>
      </c>
      <c r="N925" t="n">
        <v>0</v>
      </c>
      <c r="O925" t="n">
        <v>0</v>
      </c>
      <c r="P925" t="n">
        <v>0</v>
      </c>
      <c r="Q925" t="n">
        <v>0</v>
      </c>
      <c r="R925" s="2" t="inlineStr"/>
    </row>
    <row r="926" ht="15" customHeight="1">
      <c r="A926" t="inlineStr">
        <is>
          <t>A 47488-2023</t>
        </is>
      </c>
      <c r="B926" s="1" t="n">
        <v>45202.94168981481</v>
      </c>
      <c r="C926" s="1" t="n">
        <v>46065</v>
      </c>
      <c r="D926" t="inlineStr">
        <is>
          <t>VÄSTERNORRLANDS LÄN</t>
        </is>
      </c>
      <c r="E926" t="inlineStr">
        <is>
          <t>ÅNGE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36249-2025</t>
        </is>
      </c>
      <c r="B927" s="1" t="n">
        <v>45867</v>
      </c>
      <c r="C927" s="1" t="n">
        <v>46065</v>
      </c>
      <c r="D927" t="inlineStr">
        <is>
          <t>VÄSTERNORRLANDS LÄN</t>
        </is>
      </c>
      <c r="E927" t="inlineStr">
        <is>
          <t>ÅNGE</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16606-2023</t>
        </is>
      </c>
      <c r="B928" s="1" t="n">
        <v>45030.3990625</v>
      </c>
      <c r="C928" s="1" t="n">
        <v>46065</v>
      </c>
      <c r="D928" t="inlineStr">
        <is>
          <t>VÄSTERNORRLANDS LÄN</t>
        </is>
      </c>
      <c r="E928" t="inlineStr">
        <is>
          <t>ÅNGE</t>
        </is>
      </c>
      <c r="G928" t="n">
        <v>0.9</v>
      </c>
      <c r="H928" t="n">
        <v>0</v>
      </c>
      <c r="I928" t="n">
        <v>0</v>
      </c>
      <c r="J928" t="n">
        <v>0</v>
      </c>
      <c r="K928" t="n">
        <v>0</v>
      </c>
      <c r="L928" t="n">
        <v>0</v>
      </c>
      <c r="M928" t="n">
        <v>0</v>
      </c>
      <c r="N928" t="n">
        <v>0</v>
      </c>
      <c r="O928" t="n">
        <v>0</v>
      </c>
      <c r="P928" t="n">
        <v>0</v>
      </c>
      <c r="Q928" t="n">
        <v>0</v>
      </c>
      <c r="R928" s="2" t="inlineStr"/>
    </row>
    <row r="929" ht="15" customHeight="1">
      <c r="A929" t="inlineStr">
        <is>
          <t>A 54982-2023</t>
        </is>
      </c>
      <c r="B929" s="1" t="n">
        <v>45236</v>
      </c>
      <c r="C929" s="1" t="n">
        <v>46065</v>
      </c>
      <c r="D929" t="inlineStr">
        <is>
          <t>VÄSTERNORRLANDS LÄN</t>
        </is>
      </c>
      <c r="E929" t="inlineStr">
        <is>
          <t>ÅNGE</t>
        </is>
      </c>
      <c r="F929" t="inlineStr">
        <is>
          <t>SCA</t>
        </is>
      </c>
      <c r="G929" t="n">
        <v>26.2</v>
      </c>
      <c r="H929" t="n">
        <v>0</v>
      </c>
      <c r="I929" t="n">
        <v>0</v>
      </c>
      <c r="J929" t="n">
        <v>0</v>
      </c>
      <c r="K929" t="n">
        <v>0</v>
      </c>
      <c r="L929" t="n">
        <v>0</v>
      </c>
      <c r="M929" t="n">
        <v>0</v>
      </c>
      <c r="N929" t="n">
        <v>0</v>
      </c>
      <c r="O929" t="n">
        <v>0</v>
      </c>
      <c r="P929" t="n">
        <v>0</v>
      </c>
      <c r="Q929" t="n">
        <v>0</v>
      </c>
      <c r="R929" s="2" t="inlineStr"/>
    </row>
    <row r="930" ht="15" customHeight="1">
      <c r="A930" t="inlineStr">
        <is>
          <t>A 50179-2024</t>
        </is>
      </c>
      <c r="B930" s="1" t="n">
        <v>45600</v>
      </c>
      <c r="C930" s="1" t="n">
        <v>46065</v>
      </c>
      <c r="D930" t="inlineStr">
        <is>
          <t>VÄSTERNORRLANDS LÄN</t>
        </is>
      </c>
      <c r="E930" t="inlineStr">
        <is>
          <t>ÅNGE</t>
        </is>
      </c>
      <c r="G930" t="n">
        <v>3.6</v>
      </c>
      <c r="H930" t="n">
        <v>0</v>
      </c>
      <c r="I930" t="n">
        <v>0</v>
      </c>
      <c r="J930" t="n">
        <v>0</v>
      </c>
      <c r="K930" t="n">
        <v>0</v>
      </c>
      <c r="L930" t="n">
        <v>0</v>
      </c>
      <c r="M930" t="n">
        <v>0</v>
      </c>
      <c r="N930" t="n">
        <v>0</v>
      </c>
      <c r="O930" t="n">
        <v>0</v>
      </c>
      <c r="P930" t="n">
        <v>0</v>
      </c>
      <c r="Q930" t="n">
        <v>0</v>
      </c>
      <c r="R930" s="2" t="inlineStr"/>
    </row>
    <row r="931" ht="15" customHeight="1">
      <c r="A931" t="inlineStr">
        <is>
          <t>A 2140-2023</t>
        </is>
      </c>
      <c r="B931" s="1" t="n">
        <v>44940</v>
      </c>
      <c r="C931" s="1" t="n">
        <v>46065</v>
      </c>
      <c r="D931" t="inlineStr">
        <is>
          <t>VÄSTERNORRLANDS LÄN</t>
        </is>
      </c>
      <c r="E931" t="inlineStr">
        <is>
          <t>ÅNGE</t>
        </is>
      </c>
      <c r="G931" t="n">
        <v>2.9</v>
      </c>
      <c r="H931" t="n">
        <v>0</v>
      </c>
      <c r="I931" t="n">
        <v>0</v>
      </c>
      <c r="J931" t="n">
        <v>0</v>
      </c>
      <c r="K931" t="n">
        <v>0</v>
      </c>
      <c r="L931" t="n">
        <v>0</v>
      </c>
      <c r="M931" t="n">
        <v>0</v>
      </c>
      <c r="N931" t="n">
        <v>0</v>
      </c>
      <c r="O931" t="n">
        <v>0</v>
      </c>
      <c r="P931" t="n">
        <v>0</v>
      </c>
      <c r="Q931" t="n">
        <v>0</v>
      </c>
      <c r="R931" s="2" t="inlineStr"/>
    </row>
    <row r="932" ht="15" customHeight="1">
      <c r="A932" t="inlineStr">
        <is>
          <t>A 36723-2025</t>
        </is>
      </c>
      <c r="B932" s="1" t="n">
        <v>45873.47770833333</v>
      </c>
      <c r="C932" s="1" t="n">
        <v>46065</v>
      </c>
      <c r="D932" t="inlineStr">
        <is>
          <t>VÄSTERNORRLANDS LÄN</t>
        </is>
      </c>
      <c r="E932" t="inlineStr">
        <is>
          <t>ÅNGE</t>
        </is>
      </c>
      <c r="G932" t="n">
        <v>2.8</v>
      </c>
      <c r="H932" t="n">
        <v>0</v>
      </c>
      <c r="I932" t="n">
        <v>0</v>
      </c>
      <c r="J932" t="n">
        <v>0</v>
      </c>
      <c r="K932" t="n">
        <v>0</v>
      </c>
      <c r="L932" t="n">
        <v>0</v>
      </c>
      <c r="M932" t="n">
        <v>0</v>
      </c>
      <c r="N932" t="n">
        <v>0</v>
      </c>
      <c r="O932" t="n">
        <v>0</v>
      </c>
      <c r="P932" t="n">
        <v>0</v>
      </c>
      <c r="Q932" t="n">
        <v>0</v>
      </c>
      <c r="R932" s="2" t="inlineStr"/>
    </row>
    <row r="933" ht="15" customHeight="1">
      <c r="A933" t="inlineStr">
        <is>
          <t>A 25047-2023</t>
        </is>
      </c>
      <c r="B933" s="1" t="n">
        <v>45085.94569444445</v>
      </c>
      <c r="C933" s="1" t="n">
        <v>46065</v>
      </c>
      <c r="D933" t="inlineStr">
        <is>
          <t>VÄSTERNORRLANDS LÄN</t>
        </is>
      </c>
      <c r="E933" t="inlineStr">
        <is>
          <t>ÅNGE</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57560-2023</t>
        </is>
      </c>
      <c r="B934" s="1" t="n">
        <v>45243</v>
      </c>
      <c r="C934" s="1" t="n">
        <v>46065</v>
      </c>
      <c r="D934" t="inlineStr">
        <is>
          <t>VÄSTERNORRLANDS LÄN</t>
        </is>
      </c>
      <c r="E934" t="inlineStr">
        <is>
          <t>ÅNGE</t>
        </is>
      </c>
      <c r="G934" t="n">
        <v>7.4</v>
      </c>
      <c r="H934" t="n">
        <v>0</v>
      </c>
      <c r="I934" t="n">
        <v>0</v>
      </c>
      <c r="J934" t="n">
        <v>0</v>
      </c>
      <c r="K934" t="n">
        <v>0</v>
      </c>
      <c r="L934" t="n">
        <v>0</v>
      </c>
      <c r="M934" t="n">
        <v>0</v>
      </c>
      <c r="N934" t="n">
        <v>0</v>
      </c>
      <c r="O934" t="n">
        <v>0</v>
      </c>
      <c r="P934" t="n">
        <v>0</v>
      </c>
      <c r="Q934" t="n">
        <v>0</v>
      </c>
      <c r="R934" s="2" t="inlineStr"/>
    </row>
    <row r="935" ht="15" customHeight="1">
      <c r="A935" t="inlineStr">
        <is>
          <t>A 36674-2025</t>
        </is>
      </c>
      <c r="B935" s="1" t="n">
        <v>45873.3930787037</v>
      </c>
      <c r="C935" s="1" t="n">
        <v>46065</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57568-2023</t>
        </is>
      </c>
      <c r="B936" s="1" t="n">
        <v>45246.50484953704</v>
      </c>
      <c r="C936" s="1" t="n">
        <v>46065</v>
      </c>
      <c r="D936" t="inlineStr">
        <is>
          <t>VÄSTERNORRLANDS LÄN</t>
        </is>
      </c>
      <c r="E936" t="inlineStr">
        <is>
          <t>ÅNGE</t>
        </is>
      </c>
      <c r="G936" t="n">
        <v>1.7</v>
      </c>
      <c r="H936" t="n">
        <v>0</v>
      </c>
      <c r="I936" t="n">
        <v>0</v>
      </c>
      <c r="J936" t="n">
        <v>0</v>
      </c>
      <c r="K936" t="n">
        <v>0</v>
      </c>
      <c r="L936" t="n">
        <v>0</v>
      </c>
      <c r="M936" t="n">
        <v>0</v>
      </c>
      <c r="N936" t="n">
        <v>0</v>
      </c>
      <c r="O936" t="n">
        <v>0</v>
      </c>
      <c r="P936" t="n">
        <v>0</v>
      </c>
      <c r="Q936" t="n">
        <v>0</v>
      </c>
      <c r="R936" s="2" t="inlineStr"/>
    </row>
    <row r="937" ht="15" customHeight="1">
      <c r="A937" t="inlineStr">
        <is>
          <t>A 58613-2023</t>
        </is>
      </c>
      <c r="B937" s="1" t="n">
        <v>45251.50709490741</v>
      </c>
      <c r="C937" s="1" t="n">
        <v>46065</v>
      </c>
      <c r="D937" t="inlineStr">
        <is>
          <t>VÄSTERNORRLANDS LÄN</t>
        </is>
      </c>
      <c r="E937" t="inlineStr">
        <is>
          <t>ÅNGE</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30347-2024</t>
        </is>
      </c>
      <c r="B938" s="1" t="n">
        <v>45490.95515046296</v>
      </c>
      <c r="C938" s="1" t="n">
        <v>46065</v>
      </c>
      <c r="D938" t="inlineStr">
        <is>
          <t>VÄSTERNORRLANDS LÄN</t>
        </is>
      </c>
      <c r="E938" t="inlineStr">
        <is>
          <t>ÅNGE</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15791-2025</t>
        </is>
      </c>
      <c r="B939" s="1" t="n">
        <v>45748.631875</v>
      </c>
      <c r="C939" s="1" t="n">
        <v>46065</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37045-2025</t>
        </is>
      </c>
      <c r="B940" s="1" t="n">
        <v>45875.34451388889</v>
      </c>
      <c r="C940" s="1" t="n">
        <v>46065</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37047-2025</t>
        </is>
      </c>
      <c r="B941" s="1" t="n">
        <v>45875.34489583333</v>
      </c>
      <c r="C941" s="1" t="n">
        <v>46065</v>
      </c>
      <c r="D941" t="inlineStr">
        <is>
          <t>VÄSTERNORRLANDS LÄN</t>
        </is>
      </c>
      <c r="E941" t="inlineStr">
        <is>
          <t>ÅNGE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37275-2025</t>
        </is>
      </c>
      <c r="B942" s="1" t="n">
        <v>45876.49003472222</v>
      </c>
      <c r="C942" s="1" t="n">
        <v>46065</v>
      </c>
      <c r="D942" t="inlineStr">
        <is>
          <t>VÄSTERNORRLANDS LÄN</t>
        </is>
      </c>
      <c r="E942" t="inlineStr">
        <is>
          <t>ÅNGE</t>
        </is>
      </c>
      <c r="G942" t="n">
        <v>3.5</v>
      </c>
      <c r="H942" t="n">
        <v>0</v>
      </c>
      <c r="I942" t="n">
        <v>0</v>
      </c>
      <c r="J942" t="n">
        <v>0</v>
      </c>
      <c r="K942" t="n">
        <v>0</v>
      </c>
      <c r="L942" t="n">
        <v>0</v>
      </c>
      <c r="M942" t="n">
        <v>0</v>
      </c>
      <c r="N942" t="n">
        <v>0</v>
      </c>
      <c r="O942" t="n">
        <v>0</v>
      </c>
      <c r="P942" t="n">
        <v>0</v>
      </c>
      <c r="Q942" t="n">
        <v>0</v>
      </c>
      <c r="R942" s="2" t="inlineStr"/>
    </row>
    <row r="943" ht="15" customHeight="1">
      <c r="A943" t="inlineStr">
        <is>
          <t>A 37303-2025</t>
        </is>
      </c>
      <c r="B943" s="1" t="n">
        <v>45876.59445601852</v>
      </c>
      <c r="C943" s="1" t="n">
        <v>46065</v>
      </c>
      <c r="D943" t="inlineStr">
        <is>
          <t>VÄSTERNORRLANDS LÄN</t>
        </is>
      </c>
      <c r="E943" t="inlineStr">
        <is>
          <t>ÅNGE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37233-2025</t>
        </is>
      </c>
      <c r="B944" s="1" t="n">
        <v>45876.34474537037</v>
      </c>
      <c r="C944" s="1" t="n">
        <v>46065</v>
      </c>
      <c r="D944" t="inlineStr">
        <is>
          <t>VÄSTERNORRLANDS LÄN</t>
        </is>
      </c>
      <c r="E944" t="inlineStr">
        <is>
          <t>ÅNGE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55007-2022</t>
        </is>
      </c>
      <c r="B945" s="1" t="n">
        <v>44881</v>
      </c>
      <c r="C945" s="1" t="n">
        <v>46065</v>
      </c>
      <c r="D945" t="inlineStr">
        <is>
          <t>VÄSTERNORRLANDS LÄN</t>
        </is>
      </c>
      <c r="E945" t="inlineStr">
        <is>
          <t>ÅNGE</t>
        </is>
      </c>
      <c r="G945" t="n">
        <v>2</v>
      </c>
      <c r="H945" t="n">
        <v>0</v>
      </c>
      <c r="I945" t="n">
        <v>0</v>
      </c>
      <c r="J945" t="n">
        <v>0</v>
      </c>
      <c r="K945" t="n">
        <v>0</v>
      </c>
      <c r="L945" t="n">
        <v>0</v>
      </c>
      <c r="M945" t="n">
        <v>0</v>
      </c>
      <c r="N945" t="n">
        <v>0</v>
      </c>
      <c r="O945" t="n">
        <v>0</v>
      </c>
      <c r="P945" t="n">
        <v>0</v>
      </c>
      <c r="Q945" t="n">
        <v>0</v>
      </c>
      <c r="R945" s="2" t="inlineStr"/>
    </row>
    <row r="946" ht="15" customHeight="1">
      <c r="A946" t="inlineStr">
        <is>
          <t>A 37108-2025</t>
        </is>
      </c>
      <c r="B946" s="1" t="n">
        <v>45875</v>
      </c>
      <c r="C946" s="1" t="n">
        <v>46065</v>
      </c>
      <c r="D946" t="inlineStr">
        <is>
          <t>VÄSTERNORRLANDS LÄN</t>
        </is>
      </c>
      <c r="E946" t="inlineStr">
        <is>
          <t>ÅNGE</t>
        </is>
      </c>
      <c r="G946" t="n">
        <v>4</v>
      </c>
      <c r="H946" t="n">
        <v>0</v>
      </c>
      <c r="I946" t="n">
        <v>0</v>
      </c>
      <c r="J946" t="n">
        <v>0</v>
      </c>
      <c r="K946" t="n">
        <v>0</v>
      </c>
      <c r="L946" t="n">
        <v>0</v>
      </c>
      <c r="M946" t="n">
        <v>0</v>
      </c>
      <c r="N946" t="n">
        <v>0</v>
      </c>
      <c r="O946" t="n">
        <v>0</v>
      </c>
      <c r="P946" t="n">
        <v>0</v>
      </c>
      <c r="Q946" t="n">
        <v>0</v>
      </c>
      <c r="R946" s="2" t="inlineStr"/>
    </row>
    <row r="947" ht="15" customHeight="1">
      <c r="A947" t="inlineStr">
        <is>
          <t>A 37177-2025</t>
        </is>
      </c>
      <c r="B947" s="1" t="n">
        <v>45875.61539351852</v>
      </c>
      <c r="C947" s="1" t="n">
        <v>46065</v>
      </c>
      <c r="D947" t="inlineStr">
        <is>
          <t>VÄSTERNORRLANDS LÄN</t>
        </is>
      </c>
      <c r="E947" t="inlineStr">
        <is>
          <t>ÅNGE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16281-2023</t>
        </is>
      </c>
      <c r="B948" s="1" t="n">
        <v>45028</v>
      </c>
      <c r="C948" s="1" t="n">
        <v>46065</v>
      </c>
      <c r="D948" t="inlineStr">
        <is>
          <t>VÄSTERNORRLANDS LÄN</t>
        </is>
      </c>
      <c r="E948" t="inlineStr">
        <is>
          <t>ÅNGE</t>
        </is>
      </c>
      <c r="G948" t="n">
        <v>1.6</v>
      </c>
      <c r="H948" t="n">
        <v>0</v>
      </c>
      <c r="I948" t="n">
        <v>0</v>
      </c>
      <c r="J948" t="n">
        <v>0</v>
      </c>
      <c r="K948" t="n">
        <v>0</v>
      </c>
      <c r="L948" t="n">
        <v>0</v>
      </c>
      <c r="M948" t="n">
        <v>0</v>
      </c>
      <c r="N948" t="n">
        <v>0</v>
      </c>
      <c r="O948" t="n">
        <v>0</v>
      </c>
      <c r="P948" t="n">
        <v>0</v>
      </c>
      <c r="Q948" t="n">
        <v>0</v>
      </c>
      <c r="R948" s="2" t="inlineStr"/>
    </row>
    <row r="949" ht="15" customHeight="1">
      <c r="A949" t="inlineStr">
        <is>
          <t>A 45459-2022</t>
        </is>
      </c>
      <c r="B949" s="1" t="n">
        <v>44845</v>
      </c>
      <c r="C949" s="1" t="n">
        <v>46065</v>
      </c>
      <c r="D949" t="inlineStr">
        <is>
          <t>VÄSTERNORRLANDS LÄN</t>
        </is>
      </c>
      <c r="E949" t="inlineStr">
        <is>
          <t>ÅNGE</t>
        </is>
      </c>
      <c r="G949" t="n">
        <v>0.9</v>
      </c>
      <c r="H949" t="n">
        <v>0</v>
      </c>
      <c r="I949" t="n">
        <v>0</v>
      </c>
      <c r="J949" t="n">
        <v>0</v>
      </c>
      <c r="K949" t="n">
        <v>0</v>
      </c>
      <c r="L949" t="n">
        <v>0</v>
      </c>
      <c r="M949" t="n">
        <v>0</v>
      </c>
      <c r="N949" t="n">
        <v>0</v>
      </c>
      <c r="O949" t="n">
        <v>0</v>
      </c>
      <c r="P949" t="n">
        <v>0</v>
      </c>
      <c r="Q949" t="n">
        <v>0</v>
      </c>
      <c r="R949" s="2" t="inlineStr"/>
    </row>
    <row r="950" ht="15" customHeight="1">
      <c r="A950" t="inlineStr">
        <is>
          <t>A 37371-2025</t>
        </is>
      </c>
      <c r="B950" s="1" t="n">
        <v>45877.34472222222</v>
      </c>
      <c r="C950" s="1" t="n">
        <v>46065</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2984-2025</t>
        </is>
      </c>
      <c r="B951" s="1" t="n">
        <v>45678.51094907407</v>
      </c>
      <c r="C951" s="1" t="n">
        <v>46065</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37384-2025</t>
        </is>
      </c>
      <c r="B952" s="1" t="n">
        <v>45877.3859837963</v>
      </c>
      <c r="C952" s="1" t="n">
        <v>46065</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37663-2025</t>
        </is>
      </c>
      <c r="B953" s="1" t="n">
        <v>45880.51079861111</v>
      </c>
      <c r="C953" s="1" t="n">
        <v>46065</v>
      </c>
      <c r="D953" t="inlineStr">
        <is>
          <t>VÄSTERNORRLANDS LÄN</t>
        </is>
      </c>
      <c r="E953" t="inlineStr">
        <is>
          <t>ÅNGE</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55177-2024</t>
        </is>
      </c>
      <c r="B954" s="1" t="n">
        <v>45621.53179398148</v>
      </c>
      <c r="C954" s="1" t="n">
        <v>46065</v>
      </c>
      <c r="D954" t="inlineStr">
        <is>
          <t>VÄSTERNORRLANDS LÄN</t>
        </is>
      </c>
      <c r="E954" t="inlineStr">
        <is>
          <t>ÅNGE</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37723-2025</t>
        </is>
      </c>
      <c r="B955" s="1" t="n">
        <v>45880.61528935185</v>
      </c>
      <c r="C955" s="1" t="n">
        <v>46065</v>
      </c>
      <c r="D955" t="inlineStr">
        <is>
          <t>VÄSTERNORRLANDS LÄN</t>
        </is>
      </c>
      <c r="E955" t="inlineStr">
        <is>
          <t>ÅNGE</t>
        </is>
      </c>
      <c r="G955" t="n">
        <v>3</v>
      </c>
      <c r="H955" t="n">
        <v>0</v>
      </c>
      <c r="I955" t="n">
        <v>0</v>
      </c>
      <c r="J955" t="n">
        <v>0</v>
      </c>
      <c r="K955" t="n">
        <v>0</v>
      </c>
      <c r="L955" t="n">
        <v>0</v>
      </c>
      <c r="M955" t="n">
        <v>0</v>
      </c>
      <c r="N955" t="n">
        <v>0</v>
      </c>
      <c r="O955" t="n">
        <v>0</v>
      </c>
      <c r="P955" t="n">
        <v>0</v>
      </c>
      <c r="Q955" t="n">
        <v>0</v>
      </c>
      <c r="R955" s="2" t="inlineStr"/>
    </row>
    <row r="956" ht="15" customHeight="1">
      <c r="A956" t="inlineStr">
        <is>
          <t>A 10017-2025</t>
        </is>
      </c>
      <c r="B956" s="1" t="n">
        <v>45719.46957175926</v>
      </c>
      <c r="C956" s="1" t="n">
        <v>46065</v>
      </c>
      <c r="D956" t="inlineStr">
        <is>
          <t>VÄSTERNORRLANDS LÄN</t>
        </is>
      </c>
      <c r="E956" t="inlineStr">
        <is>
          <t>ÅNGE</t>
        </is>
      </c>
      <c r="F956" t="inlineStr">
        <is>
          <t>SCA</t>
        </is>
      </c>
      <c r="G956" t="n">
        <v>9.9</v>
      </c>
      <c r="H956" t="n">
        <v>0</v>
      </c>
      <c r="I956" t="n">
        <v>0</v>
      </c>
      <c r="J956" t="n">
        <v>0</v>
      </c>
      <c r="K956" t="n">
        <v>0</v>
      </c>
      <c r="L956" t="n">
        <v>0</v>
      </c>
      <c r="M956" t="n">
        <v>0</v>
      </c>
      <c r="N956" t="n">
        <v>0</v>
      </c>
      <c r="O956" t="n">
        <v>0</v>
      </c>
      <c r="P956" t="n">
        <v>0</v>
      </c>
      <c r="Q956" t="n">
        <v>0</v>
      </c>
      <c r="R956" s="2" t="inlineStr"/>
    </row>
    <row r="957" ht="15" customHeight="1">
      <c r="A957" t="inlineStr">
        <is>
          <t>A 37383-2025</t>
        </is>
      </c>
      <c r="B957" s="1" t="n">
        <v>45877.38581018519</v>
      </c>
      <c r="C957" s="1" t="n">
        <v>46065</v>
      </c>
      <c r="D957" t="inlineStr">
        <is>
          <t>VÄSTERNORRLANDS LÄN</t>
        </is>
      </c>
      <c r="E957" t="inlineStr">
        <is>
          <t>ÅNGE</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37719-2025</t>
        </is>
      </c>
      <c r="B958" s="1" t="n">
        <v>45880.61505787037</v>
      </c>
      <c r="C958" s="1" t="n">
        <v>46065</v>
      </c>
      <c r="D958" t="inlineStr">
        <is>
          <t>VÄSTERNORRLANDS LÄN</t>
        </is>
      </c>
      <c r="E958" t="inlineStr">
        <is>
          <t>ÅNGE</t>
        </is>
      </c>
      <c r="G958" t="n">
        <v>1.7</v>
      </c>
      <c r="H958" t="n">
        <v>0</v>
      </c>
      <c r="I958" t="n">
        <v>0</v>
      </c>
      <c r="J958" t="n">
        <v>0</v>
      </c>
      <c r="K958" t="n">
        <v>0</v>
      </c>
      <c r="L958" t="n">
        <v>0</v>
      </c>
      <c r="M958" t="n">
        <v>0</v>
      </c>
      <c r="N958" t="n">
        <v>0</v>
      </c>
      <c r="O958" t="n">
        <v>0</v>
      </c>
      <c r="P958" t="n">
        <v>0</v>
      </c>
      <c r="Q958" t="n">
        <v>0</v>
      </c>
      <c r="R958" s="2" t="inlineStr"/>
    </row>
    <row r="959" ht="15" customHeight="1">
      <c r="A959" t="inlineStr">
        <is>
          <t>A 29270-2024</t>
        </is>
      </c>
      <c r="B959" s="1" t="n">
        <v>45482.94979166667</v>
      </c>
      <c r="C959" s="1" t="n">
        <v>46065</v>
      </c>
      <c r="D959" t="inlineStr">
        <is>
          <t>VÄSTERNORRLANDS LÄN</t>
        </is>
      </c>
      <c r="E959" t="inlineStr">
        <is>
          <t>ÅNGE</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29696-2024</t>
        </is>
      </c>
      <c r="B960" s="1" t="n">
        <v>45484.94524305555</v>
      </c>
      <c r="C960" s="1" t="n">
        <v>46065</v>
      </c>
      <c r="D960" t="inlineStr">
        <is>
          <t>VÄSTERNORRLANDS LÄN</t>
        </is>
      </c>
      <c r="E960" t="inlineStr">
        <is>
          <t>ÅNGE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33062-2022</t>
        </is>
      </c>
      <c r="B961" s="1" t="n">
        <v>44785</v>
      </c>
      <c r="C961" s="1" t="n">
        <v>46065</v>
      </c>
      <c r="D961" t="inlineStr">
        <is>
          <t>VÄSTERNORRLANDS LÄN</t>
        </is>
      </c>
      <c r="E961" t="inlineStr">
        <is>
          <t>ÅNGE</t>
        </is>
      </c>
      <c r="G961" t="n">
        <v>0.5</v>
      </c>
      <c r="H961" t="n">
        <v>0</v>
      </c>
      <c r="I961" t="n">
        <v>0</v>
      </c>
      <c r="J961" t="n">
        <v>0</v>
      </c>
      <c r="K961" t="n">
        <v>0</v>
      </c>
      <c r="L961" t="n">
        <v>0</v>
      </c>
      <c r="M961" t="n">
        <v>0</v>
      </c>
      <c r="N961" t="n">
        <v>0</v>
      </c>
      <c r="O961" t="n">
        <v>0</v>
      </c>
      <c r="P961" t="n">
        <v>0</v>
      </c>
      <c r="Q961" t="n">
        <v>0</v>
      </c>
      <c r="R961" s="2" t="inlineStr"/>
    </row>
    <row r="962" ht="15" customHeight="1">
      <c r="A962" t="inlineStr">
        <is>
          <t>A 63530-2023</t>
        </is>
      </c>
      <c r="B962" s="1" t="n">
        <v>45274</v>
      </c>
      <c r="C962" s="1" t="n">
        <v>46065</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20110-2023</t>
        </is>
      </c>
      <c r="B963" s="1" t="n">
        <v>45051</v>
      </c>
      <c r="C963" s="1" t="n">
        <v>46065</v>
      </c>
      <c r="D963" t="inlineStr">
        <is>
          <t>VÄSTERNORRLANDS LÄN</t>
        </is>
      </c>
      <c r="E963" t="inlineStr">
        <is>
          <t>ÅNGE</t>
        </is>
      </c>
      <c r="G963" t="n">
        <v>2.5</v>
      </c>
      <c r="H963" t="n">
        <v>0</v>
      </c>
      <c r="I963" t="n">
        <v>0</v>
      </c>
      <c r="J963" t="n">
        <v>0</v>
      </c>
      <c r="K963" t="n">
        <v>0</v>
      </c>
      <c r="L963" t="n">
        <v>0</v>
      </c>
      <c r="M963" t="n">
        <v>0</v>
      </c>
      <c r="N963" t="n">
        <v>0</v>
      </c>
      <c r="O963" t="n">
        <v>0</v>
      </c>
      <c r="P963" t="n">
        <v>0</v>
      </c>
      <c r="Q963" t="n">
        <v>0</v>
      </c>
      <c r="R963" s="2" t="inlineStr"/>
    </row>
    <row r="964" ht="15" customHeight="1">
      <c r="A964" t="inlineStr">
        <is>
          <t>A 34726-2024</t>
        </is>
      </c>
      <c r="B964" s="1" t="n">
        <v>45526.5733912037</v>
      </c>
      <c r="C964" s="1" t="n">
        <v>46065</v>
      </c>
      <c r="D964" t="inlineStr">
        <is>
          <t>VÄSTERNORRLANDS LÄN</t>
        </is>
      </c>
      <c r="E964" t="inlineStr">
        <is>
          <t>ÅNGE</t>
        </is>
      </c>
      <c r="G964" t="n">
        <v>1.9</v>
      </c>
      <c r="H964" t="n">
        <v>0</v>
      </c>
      <c r="I964" t="n">
        <v>0</v>
      </c>
      <c r="J964" t="n">
        <v>0</v>
      </c>
      <c r="K964" t="n">
        <v>0</v>
      </c>
      <c r="L964" t="n">
        <v>0</v>
      </c>
      <c r="M964" t="n">
        <v>0</v>
      </c>
      <c r="N964" t="n">
        <v>0</v>
      </c>
      <c r="O964" t="n">
        <v>0</v>
      </c>
      <c r="P964" t="n">
        <v>0</v>
      </c>
      <c r="Q964" t="n">
        <v>0</v>
      </c>
      <c r="R964" s="2" t="inlineStr"/>
    </row>
    <row r="965" ht="15" customHeight="1">
      <c r="A965" t="inlineStr">
        <is>
          <t>A 3253-2024</t>
        </is>
      </c>
      <c r="B965" s="1" t="n">
        <v>45316</v>
      </c>
      <c r="C965" s="1" t="n">
        <v>46065</v>
      </c>
      <c r="D965" t="inlineStr">
        <is>
          <t>VÄSTERNORRLANDS LÄN</t>
        </is>
      </c>
      <c r="E965" t="inlineStr">
        <is>
          <t>ÅNGE</t>
        </is>
      </c>
      <c r="G965" t="n">
        <v>1.2</v>
      </c>
      <c r="H965" t="n">
        <v>0</v>
      </c>
      <c r="I965" t="n">
        <v>0</v>
      </c>
      <c r="J965" t="n">
        <v>0</v>
      </c>
      <c r="K965" t="n">
        <v>0</v>
      </c>
      <c r="L965" t="n">
        <v>0</v>
      </c>
      <c r="M965" t="n">
        <v>0</v>
      </c>
      <c r="N965" t="n">
        <v>0</v>
      </c>
      <c r="O965" t="n">
        <v>0</v>
      </c>
      <c r="P965" t="n">
        <v>0</v>
      </c>
      <c r="Q965" t="n">
        <v>0</v>
      </c>
      <c r="R965" s="2" t="inlineStr"/>
    </row>
    <row r="966" ht="15" customHeight="1">
      <c r="A966" t="inlineStr">
        <is>
          <t>A 49945-2023</t>
        </is>
      </c>
      <c r="B966" s="1" t="n">
        <v>45215.3625462963</v>
      </c>
      <c r="C966" s="1" t="n">
        <v>46065</v>
      </c>
      <c r="D966" t="inlineStr">
        <is>
          <t>VÄSTERNORRLANDS LÄN</t>
        </is>
      </c>
      <c r="E966" t="inlineStr">
        <is>
          <t>ÅNGE</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27002-2023</t>
        </is>
      </c>
      <c r="B967" s="1" t="n">
        <v>45093</v>
      </c>
      <c r="C967" s="1" t="n">
        <v>46065</v>
      </c>
      <c r="D967" t="inlineStr">
        <is>
          <t>VÄSTERNORRLANDS LÄN</t>
        </is>
      </c>
      <c r="E967" t="inlineStr">
        <is>
          <t>ÅNGE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25903-2022</t>
        </is>
      </c>
      <c r="B968" s="1" t="n">
        <v>44733</v>
      </c>
      <c r="C968" s="1" t="n">
        <v>46065</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19709-2025</t>
        </is>
      </c>
      <c r="B969" s="1" t="n">
        <v>45771.34263888889</v>
      </c>
      <c r="C969" s="1" t="n">
        <v>46065</v>
      </c>
      <c r="D969" t="inlineStr">
        <is>
          <t>VÄSTERNORRLANDS LÄN</t>
        </is>
      </c>
      <c r="E969" t="inlineStr">
        <is>
          <t>ÅNGE</t>
        </is>
      </c>
      <c r="G969" t="n">
        <v>3.8</v>
      </c>
      <c r="H969" t="n">
        <v>0</v>
      </c>
      <c r="I969" t="n">
        <v>0</v>
      </c>
      <c r="J969" t="n">
        <v>0</v>
      </c>
      <c r="K969" t="n">
        <v>0</v>
      </c>
      <c r="L969" t="n">
        <v>0</v>
      </c>
      <c r="M969" t="n">
        <v>0</v>
      </c>
      <c r="N969" t="n">
        <v>0</v>
      </c>
      <c r="O969" t="n">
        <v>0</v>
      </c>
      <c r="P969" t="n">
        <v>0</v>
      </c>
      <c r="Q969" t="n">
        <v>0</v>
      </c>
      <c r="R969" s="2" t="inlineStr"/>
    </row>
    <row r="970" ht="15" customHeight="1">
      <c r="A970" t="inlineStr">
        <is>
          <t>A 63170-2023</t>
        </is>
      </c>
      <c r="B970" s="1" t="n">
        <v>45273.57087962963</v>
      </c>
      <c r="C970" s="1" t="n">
        <v>46065</v>
      </c>
      <c r="D970" t="inlineStr">
        <is>
          <t>VÄSTERNORRLANDS LÄN</t>
        </is>
      </c>
      <c r="E970" t="inlineStr">
        <is>
          <t>ÅNGE</t>
        </is>
      </c>
      <c r="F970" t="inlineStr">
        <is>
          <t>Holmen skog AB</t>
        </is>
      </c>
      <c r="G970" t="n">
        <v>4.1</v>
      </c>
      <c r="H970" t="n">
        <v>0</v>
      </c>
      <c r="I970" t="n">
        <v>0</v>
      </c>
      <c r="J970" t="n">
        <v>0</v>
      </c>
      <c r="K970" t="n">
        <v>0</v>
      </c>
      <c r="L970" t="n">
        <v>0</v>
      </c>
      <c r="M970" t="n">
        <v>0</v>
      </c>
      <c r="N970" t="n">
        <v>0</v>
      </c>
      <c r="O970" t="n">
        <v>0</v>
      </c>
      <c r="P970" t="n">
        <v>0</v>
      </c>
      <c r="Q970" t="n">
        <v>0</v>
      </c>
      <c r="R970" s="2" t="inlineStr"/>
    </row>
    <row r="971" ht="15" customHeight="1">
      <c r="A971" t="inlineStr">
        <is>
          <t>A 30273-2023</t>
        </is>
      </c>
      <c r="B971" s="1" t="n">
        <v>45099</v>
      </c>
      <c r="C971" s="1" t="n">
        <v>46065</v>
      </c>
      <c r="D971" t="inlineStr">
        <is>
          <t>VÄSTERNORRLANDS LÄN</t>
        </is>
      </c>
      <c r="E971" t="inlineStr">
        <is>
          <t>ÅNGE</t>
        </is>
      </c>
      <c r="G971" t="n">
        <v>3.9</v>
      </c>
      <c r="H971" t="n">
        <v>0</v>
      </c>
      <c r="I971" t="n">
        <v>0</v>
      </c>
      <c r="J971" t="n">
        <v>0</v>
      </c>
      <c r="K971" t="n">
        <v>0</v>
      </c>
      <c r="L971" t="n">
        <v>0</v>
      </c>
      <c r="M971" t="n">
        <v>0</v>
      </c>
      <c r="N971" t="n">
        <v>0</v>
      </c>
      <c r="O971" t="n">
        <v>0</v>
      </c>
      <c r="P971" t="n">
        <v>0</v>
      </c>
      <c r="Q971" t="n">
        <v>0</v>
      </c>
      <c r="R971" s="2" t="inlineStr"/>
    </row>
    <row r="972" ht="15" customHeight="1">
      <c r="A972" t="inlineStr">
        <is>
          <t>A 60368-2024</t>
        </is>
      </c>
      <c r="B972" s="1" t="n">
        <v>45643</v>
      </c>
      <c r="C972" s="1" t="n">
        <v>46065</v>
      </c>
      <c r="D972" t="inlineStr">
        <is>
          <t>VÄSTERNORRLANDS LÄN</t>
        </is>
      </c>
      <c r="E972" t="inlineStr">
        <is>
          <t>ÅNGE</t>
        </is>
      </c>
      <c r="G972" t="n">
        <v>1.8</v>
      </c>
      <c r="H972" t="n">
        <v>0</v>
      </c>
      <c r="I972" t="n">
        <v>0</v>
      </c>
      <c r="J972" t="n">
        <v>0</v>
      </c>
      <c r="K972" t="n">
        <v>0</v>
      </c>
      <c r="L972" t="n">
        <v>0</v>
      </c>
      <c r="M972" t="n">
        <v>0</v>
      </c>
      <c r="N972" t="n">
        <v>0</v>
      </c>
      <c r="O972" t="n">
        <v>0</v>
      </c>
      <c r="P972" t="n">
        <v>0</v>
      </c>
      <c r="Q972" t="n">
        <v>0</v>
      </c>
      <c r="R972" s="2" t="inlineStr"/>
    </row>
    <row r="973" ht="15" customHeight="1">
      <c r="A973" t="inlineStr">
        <is>
          <t>A 38078-2025</t>
        </is>
      </c>
      <c r="B973" s="1" t="n">
        <v>45882.46918981482</v>
      </c>
      <c r="C973" s="1" t="n">
        <v>46065</v>
      </c>
      <c r="D973" t="inlineStr">
        <is>
          <t>VÄSTERNORRLANDS LÄN</t>
        </is>
      </c>
      <c r="E973" t="inlineStr">
        <is>
          <t>ÅNGE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31729-2024</t>
        </is>
      </c>
      <c r="B974" s="1" t="n">
        <v>45509.35844907408</v>
      </c>
      <c r="C974" s="1" t="n">
        <v>46065</v>
      </c>
      <c r="D974" t="inlineStr">
        <is>
          <t>VÄSTERNORRLANDS LÄN</t>
        </is>
      </c>
      <c r="E974" t="inlineStr">
        <is>
          <t>ÅNGE</t>
        </is>
      </c>
      <c r="G974" t="n">
        <v>1.9</v>
      </c>
      <c r="H974" t="n">
        <v>0</v>
      </c>
      <c r="I974" t="n">
        <v>0</v>
      </c>
      <c r="J974" t="n">
        <v>0</v>
      </c>
      <c r="K974" t="n">
        <v>0</v>
      </c>
      <c r="L974" t="n">
        <v>0</v>
      </c>
      <c r="M974" t="n">
        <v>0</v>
      </c>
      <c r="N974" t="n">
        <v>0</v>
      </c>
      <c r="O974" t="n">
        <v>0</v>
      </c>
      <c r="P974" t="n">
        <v>0</v>
      </c>
      <c r="Q974" t="n">
        <v>0</v>
      </c>
      <c r="R974" s="2" t="inlineStr"/>
    </row>
    <row r="975" ht="15" customHeight="1">
      <c r="A975" t="inlineStr">
        <is>
          <t>A 37919-2025</t>
        </is>
      </c>
      <c r="B975" s="1" t="n">
        <v>45881.57478009259</v>
      </c>
      <c r="C975" s="1" t="n">
        <v>46065</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37802-2025</t>
        </is>
      </c>
      <c r="B976" s="1" t="n">
        <v>45881.34447916667</v>
      </c>
      <c r="C976" s="1" t="n">
        <v>46065</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24324-2022</t>
        </is>
      </c>
      <c r="B977" s="1" t="n">
        <v>44725.945</v>
      </c>
      <c r="C977" s="1" t="n">
        <v>46065</v>
      </c>
      <c r="D977" t="inlineStr">
        <is>
          <t>VÄSTERNORRLANDS LÄN</t>
        </is>
      </c>
      <c r="E977" t="inlineStr">
        <is>
          <t>ÅNGE</t>
        </is>
      </c>
      <c r="G977" t="n">
        <v>1</v>
      </c>
      <c r="H977" t="n">
        <v>0</v>
      </c>
      <c r="I977" t="n">
        <v>0</v>
      </c>
      <c r="J977" t="n">
        <v>0</v>
      </c>
      <c r="K977" t="n">
        <v>0</v>
      </c>
      <c r="L977" t="n">
        <v>0</v>
      </c>
      <c r="M977" t="n">
        <v>0</v>
      </c>
      <c r="N977" t="n">
        <v>0</v>
      </c>
      <c r="O977" t="n">
        <v>0</v>
      </c>
      <c r="P977" t="n">
        <v>0</v>
      </c>
      <c r="Q977" t="n">
        <v>0</v>
      </c>
      <c r="R977" s="2" t="inlineStr"/>
    </row>
    <row r="978" ht="15" customHeight="1">
      <c r="A978" t="inlineStr">
        <is>
          <t>A 24325-2022</t>
        </is>
      </c>
      <c r="B978" s="1" t="n">
        <v>44725.94506944445</v>
      </c>
      <c r="C978" s="1" t="n">
        <v>46065</v>
      </c>
      <c r="D978" t="inlineStr">
        <is>
          <t>VÄSTERNORRLANDS LÄN</t>
        </is>
      </c>
      <c r="E978" t="inlineStr">
        <is>
          <t>ÅNGE</t>
        </is>
      </c>
      <c r="G978" t="n">
        <v>1.6</v>
      </c>
      <c r="H978" t="n">
        <v>0</v>
      </c>
      <c r="I978" t="n">
        <v>0</v>
      </c>
      <c r="J978" t="n">
        <v>0</v>
      </c>
      <c r="K978" t="n">
        <v>0</v>
      </c>
      <c r="L978" t="n">
        <v>0</v>
      </c>
      <c r="M978" t="n">
        <v>0</v>
      </c>
      <c r="N978" t="n">
        <v>0</v>
      </c>
      <c r="O978" t="n">
        <v>0</v>
      </c>
      <c r="P978" t="n">
        <v>0</v>
      </c>
      <c r="Q978" t="n">
        <v>0</v>
      </c>
      <c r="R978" s="2" t="inlineStr"/>
    </row>
    <row r="979" ht="15" customHeight="1">
      <c r="A979" t="inlineStr">
        <is>
          <t>A 34783-2021</t>
        </is>
      </c>
      <c r="B979" s="1" t="n">
        <v>44382</v>
      </c>
      <c r="C979" s="1" t="n">
        <v>46065</v>
      </c>
      <c r="D979" t="inlineStr">
        <is>
          <t>VÄSTERNORRLANDS LÄN</t>
        </is>
      </c>
      <c r="E979" t="inlineStr">
        <is>
          <t>ÅNGE</t>
        </is>
      </c>
      <c r="F979" t="inlineStr">
        <is>
          <t>SCA</t>
        </is>
      </c>
      <c r="G979" t="n">
        <v>8.5</v>
      </c>
      <c r="H979" t="n">
        <v>0</v>
      </c>
      <c r="I979" t="n">
        <v>0</v>
      </c>
      <c r="J979" t="n">
        <v>0</v>
      </c>
      <c r="K979" t="n">
        <v>0</v>
      </c>
      <c r="L979" t="n">
        <v>0</v>
      </c>
      <c r="M979" t="n">
        <v>0</v>
      </c>
      <c r="N979" t="n">
        <v>0</v>
      </c>
      <c r="O979" t="n">
        <v>0</v>
      </c>
      <c r="P979" t="n">
        <v>0</v>
      </c>
      <c r="Q979" t="n">
        <v>0</v>
      </c>
      <c r="R979" s="2" t="inlineStr"/>
    </row>
    <row r="980" ht="15" customHeight="1">
      <c r="A980" t="inlineStr">
        <is>
          <t>A 30803-2022</t>
        </is>
      </c>
      <c r="B980" s="1" t="n">
        <v>44764</v>
      </c>
      <c r="C980" s="1" t="n">
        <v>46065</v>
      </c>
      <c r="D980" t="inlineStr">
        <is>
          <t>VÄSTERNORRLANDS LÄN</t>
        </is>
      </c>
      <c r="E980" t="inlineStr">
        <is>
          <t>ÅNGE</t>
        </is>
      </c>
      <c r="G980" t="n">
        <v>1.1</v>
      </c>
      <c r="H980" t="n">
        <v>0</v>
      </c>
      <c r="I980" t="n">
        <v>0</v>
      </c>
      <c r="J980" t="n">
        <v>0</v>
      </c>
      <c r="K980" t="n">
        <v>0</v>
      </c>
      <c r="L980" t="n">
        <v>0</v>
      </c>
      <c r="M980" t="n">
        <v>0</v>
      </c>
      <c r="N980" t="n">
        <v>0</v>
      </c>
      <c r="O980" t="n">
        <v>0</v>
      </c>
      <c r="P980" t="n">
        <v>0</v>
      </c>
      <c r="Q980" t="n">
        <v>0</v>
      </c>
      <c r="R980" s="2" t="inlineStr"/>
    </row>
    <row r="981" ht="15" customHeight="1">
      <c r="A981" t="inlineStr">
        <is>
          <t>A 17744-2025</t>
        </is>
      </c>
      <c r="B981" s="1" t="n">
        <v>45758</v>
      </c>
      <c r="C981" s="1" t="n">
        <v>46065</v>
      </c>
      <c r="D981" t="inlineStr">
        <is>
          <t>VÄSTERNORRLANDS LÄN</t>
        </is>
      </c>
      <c r="E981" t="inlineStr">
        <is>
          <t>ÅNGE</t>
        </is>
      </c>
      <c r="G981" t="n">
        <v>5</v>
      </c>
      <c r="H981" t="n">
        <v>0</v>
      </c>
      <c r="I981" t="n">
        <v>0</v>
      </c>
      <c r="J981" t="n">
        <v>0</v>
      </c>
      <c r="K981" t="n">
        <v>0</v>
      </c>
      <c r="L981" t="n">
        <v>0</v>
      </c>
      <c r="M981" t="n">
        <v>0</v>
      </c>
      <c r="N981" t="n">
        <v>0</v>
      </c>
      <c r="O981" t="n">
        <v>0</v>
      </c>
      <c r="P981" t="n">
        <v>0</v>
      </c>
      <c r="Q981" t="n">
        <v>0</v>
      </c>
      <c r="R981" s="2" t="inlineStr"/>
    </row>
    <row r="982" ht="15" customHeight="1">
      <c r="A982" t="inlineStr">
        <is>
          <t>A 43096-2023</t>
        </is>
      </c>
      <c r="B982" s="1" t="n">
        <v>45182</v>
      </c>
      <c r="C982" s="1" t="n">
        <v>46065</v>
      </c>
      <c r="D982" t="inlineStr">
        <is>
          <t>VÄSTERNORRLANDS LÄN</t>
        </is>
      </c>
      <c r="E982" t="inlineStr">
        <is>
          <t>ÅNGE</t>
        </is>
      </c>
      <c r="G982" t="n">
        <v>0.4</v>
      </c>
      <c r="H982" t="n">
        <v>0</v>
      </c>
      <c r="I982" t="n">
        <v>0</v>
      </c>
      <c r="J982" t="n">
        <v>0</v>
      </c>
      <c r="K982" t="n">
        <v>0</v>
      </c>
      <c r="L982" t="n">
        <v>0</v>
      </c>
      <c r="M982" t="n">
        <v>0</v>
      </c>
      <c r="N982" t="n">
        <v>0</v>
      </c>
      <c r="O982" t="n">
        <v>0</v>
      </c>
      <c r="P982" t="n">
        <v>0</v>
      </c>
      <c r="Q982" t="n">
        <v>0</v>
      </c>
      <c r="R982" s="2" t="inlineStr"/>
    </row>
    <row r="983" ht="15" customHeight="1">
      <c r="A983" t="inlineStr">
        <is>
          <t>A 2433-2024</t>
        </is>
      </c>
      <c r="B983" s="1" t="n">
        <v>45310</v>
      </c>
      <c r="C983" s="1" t="n">
        <v>46065</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4187-2025</t>
        </is>
      </c>
      <c r="B984" s="1" t="n">
        <v>45685.44842592593</v>
      </c>
      <c r="C984" s="1" t="n">
        <v>46065</v>
      </c>
      <c r="D984" t="inlineStr">
        <is>
          <t>VÄSTERNORRLANDS LÄN</t>
        </is>
      </c>
      <c r="E984" t="inlineStr">
        <is>
          <t>ÅNGE</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56615-2023</t>
        </is>
      </c>
      <c r="B985" s="1" t="n">
        <v>45243</v>
      </c>
      <c r="C985" s="1" t="n">
        <v>46065</v>
      </c>
      <c r="D985" t="inlineStr">
        <is>
          <t>VÄSTERNORRLANDS LÄN</t>
        </is>
      </c>
      <c r="E985" t="inlineStr">
        <is>
          <t>ÅNGE</t>
        </is>
      </c>
      <c r="G985" t="n">
        <v>7.4</v>
      </c>
      <c r="H985" t="n">
        <v>0</v>
      </c>
      <c r="I985" t="n">
        <v>0</v>
      </c>
      <c r="J985" t="n">
        <v>0</v>
      </c>
      <c r="K985" t="n">
        <v>0</v>
      </c>
      <c r="L985" t="n">
        <v>0</v>
      </c>
      <c r="M985" t="n">
        <v>0</v>
      </c>
      <c r="N985" t="n">
        <v>0</v>
      </c>
      <c r="O985" t="n">
        <v>0</v>
      </c>
      <c r="P985" t="n">
        <v>0</v>
      </c>
      <c r="Q985" t="n">
        <v>0</v>
      </c>
      <c r="R985" s="2" t="inlineStr"/>
    </row>
    <row r="986" ht="15" customHeight="1">
      <c r="A986" t="inlineStr">
        <is>
          <t>A 61461-2023</t>
        </is>
      </c>
      <c r="B986" s="1" t="n">
        <v>45264.9261574074</v>
      </c>
      <c r="C986" s="1" t="n">
        <v>46065</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3322-2025</t>
        </is>
      </c>
      <c r="B987" s="1" t="n">
        <v>45679.6989699074</v>
      </c>
      <c r="C987" s="1" t="n">
        <v>46065</v>
      </c>
      <c r="D987" t="inlineStr">
        <is>
          <t>VÄSTERNORRLANDS LÄN</t>
        </is>
      </c>
      <c r="E987" t="inlineStr">
        <is>
          <t>ÅNGE</t>
        </is>
      </c>
      <c r="F987" t="inlineStr">
        <is>
          <t>SCA</t>
        </is>
      </c>
      <c r="G987" t="n">
        <v>11.1</v>
      </c>
      <c r="H987" t="n">
        <v>0</v>
      </c>
      <c r="I987" t="n">
        <v>0</v>
      </c>
      <c r="J987" t="n">
        <v>0</v>
      </c>
      <c r="K987" t="n">
        <v>0</v>
      </c>
      <c r="L987" t="n">
        <v>0</v>
      </c>
      <c r="M987" t="n">
        <v>0</v>
      </c>
      <c r="N987" t="n">
        <v>0</v>
      </c>
      <c r="O987" t="n">
        <v>0</v>
      </c>
      <c r="P987" t="n">
        <v>0</v>
      </c>
      <c r="Q987" t="n">
        <v>0</v>
      </c>
      <c r="R987" s="2" t="inlineStr"/>
    </row>
    <row r="988" ht="15" customHeight="1">
      <c r="A988" t="inlineStr">
        <is>
          <t>A 3327-2025</t>
        </is>
      </c>
      <c r="B988" s="1" t="n">
        <v>45679.69967592593</v>
      </c>
      <c r="C988" s="1" t="n">
        <v>46065</v>
      </c>
      <c r="D988" t="inlineStr">
        <is>
          <t>VÄSTERNORRLANDS LÄN</t>
        </is>
      </c>
      <c r="E988" t="inlineStr">
        <is>
          <t>ÅNGE</t>
        </is>
      </c>
      <c r="F988" t="inlineStr">
        <is>
          <t>SCA</t>
        </is>
      </c>
      <c r="G988" t="n">
        <v>12.9</v>
      </c>
      <c r="H988" t="n">
        <v>0</v>
      </c>
      <c r="I988" t="n">
        <v>0</v>
      </c>
      <c r="J988" t="n">
        <v>0</v>
      </c>
      <c r="K988" t="n">
        <v>0</v>
      </c>
      <c r="L988" t="n">
        <v>0</v>
      </c>
      <c r="M988" t="n">
        <v>0</v>
      </c>
      <c r="N988" t="n">
        <v>0</v>
      </c>
      <c r="O988" t="n">
        <v>0</v>
      </c>
      <c r="P988" t="n">
        <v>0</v>
      </c>
      <c r="Q988" t="n">
        <v>0</v>
      </c>
      <c r="R988" s="2" t="inlineStr"/>
    </row>
    <row r="989" ht="15" customHeight="1">
      <c r="A989" t="inlineStr">
        <is>
          <t>A 27661-2024</t>
        </is>
      </c>
      <c r="B989" s="1" t="n">
        <v>45474.95365740741</v>
      </c>
      <c r="C989" s="1" t="n">
        <v>46065</v>
      </c>
      <c r="D989" t="inlineStr">
        <is>
          <t>VÄSTERNORRLANDS LÄN</t>
        </is>
      </c>
      <c r="E989" t="inlineStr">
        <is>
          <t>ÅNGE</t>
        </is>
      </c>
      <c r="F989" t="inlineStr">
        <is>
          <t>SCA</t>
        </is>
      </c>
      <c r="G989" t="n">
        <v>19.1</v>
      </c>
      <c r="H989" t="n">
        <v>0</v>
      </c>
      <c r="I989" t="n">
        <v>0</v>
      </c>
      <c r="J989" t="n">
        <v>0</v>
      </c>
      <c r="K989" t="n">
        <v>0</v>
      </c>
      <c r="L989" t="n">
        <v>0</v>
      </c>
      <c r="M989" t="n">
        <v>0</v>
      </c>
      <c r="N989" t="n">
        <v>0</v>
      </c>
      <c r="O989" t="n">
        <v>0</v>
      </c>
      <c r="P989" t="n">
        <v>0</v>
      </c>
      <c r="Q989" t="n">
        <v>0</v>
      </c>
      <c r="R989" s="2" t="inlineStr"/>
    </row>
    <row r="990" ht="15" customHeight="1">
      <c r="A990" t="inlineStr">
        <is>
          <t>A 45890-2021</t>
        </is>
      </c>
      <c r="B990" s="1" t="n">
        <v>44441</v>
      </c>
      <c r="C990" s="1" t="n">
        <v>46065</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3947-2025</t>
        </is>
      </c>
      <c r="B991" s="1" t="n">
        <v>45684.49001157407</v>
      </c>
      <c r="C991" s="1" t="n">
        <v>46065</v>
      </c>
      <c r="D991" t="inlineStr">
        <is>
          <t>VÄSTERNORRLANDS LÄN</t>
        </is>
      </c>
      <c r="E991" t="inlineStr">
        <is>
          <t>ÅNGE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12807-2025</t>
        </is>
      </c>
      <c r="B992" s="1" t="n">
        <v>45733.61537037037</v>
      </c>
      <c r="C992" s="1" t="n">
        <v>46065</v>
      </c>
      <c r="D992" t="inlineStr">
        <is>
          <t>VÄSTERNORRLANDS LÄN</t>
        </is>
      </c>
      <c r="E992" t="inlineStr">
        <is>
          <t>ÅNGE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60003-2023</t>
        </is>
      </c>
      <c r="B993" s="1" t="n">
        <v>45257</v>
      </c>
      <c r="C993" s="1" t="n">
        <v>46065</v>
      </c>
      <c r="D993" t="inlineStr">
        <is>
          <t>VÄSTERNORRLANDS LÄN</t>
        </is>
      </c>
      <c r="E993" t="inlineStr">
        <is>
          <t>ÅNGE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18668-2023</t>
        </is>
      </c>
      <c r="B994" s="1" t="n">
        <v>45043.57108796296</v>
      </c>
      <c r="C994" s="1" t="n">
        <v>46065</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213-2024</t>
        </is>
      </c>
      <c r="B995" s="1" t="n">
        <v>45293</v>
      </c>
      <c r="C995" s="1" t="n">
        <v>46065</v>
      </c>
      <c r="D995" t="inlineStr">
        <is>
          <t>VÄSTERNORRLANDS LÄN</t>
        </is>
      </c>
      <c r="E995" t="inlineStr">
        <is>
          <t>ÅNGE</t>
        </is>
      </c>
      <c r="G995" t="n">
        <v>1</v>
      </c>
      <c r="H995" t="n">
        <v>0</v>
      </c>
      <c r="I995" t="n">
        <v>0</v>
      </c>
      <c r="J995" t="n">
        <v>0</v>
      </c>
      <c r="K995" t="n">
        <v>0</v>
      </c>
      <c r="L995" t="n">
        <v>0</v>
      </c>
      <c r="M995" t="n">
        <v>0</v>
      </c>
      <c r="N995" t="n">
        <v>0</v>
      </c>
      <c r="O995" t="n">
        <v>0</v>
      </c>
      <c r="P995" t="n">
        <v>0</v>
      </c>
      <c r="Q995" t="n">
        <v>0</v>
      </c>
      <c r="R995" s="2" t="inlineStr"/>
    </row>
    <row r="996" ht="15" customHeight="1">
      <c r="A996" t="inlineStr">
        <is>
          <t>A 40788-2024</t>
        </is>
      </c>
      <c r="B996" s="1" t="n">
        <v>45558.50974537037</v>
      </c>
      <c r="C996" s="1" t="n">
        <v>46065</v>
      </c>
      <c r="D996" t="inlineStr">
        <is>
          <t>VÄSTERNORRLANDS LÄN</t>
        </is>
      </c>
      <c r="E996" t="inlineStr">
        <is>
          <t>ÅNGE</t>
        </is>
      </c>
      <c r="G996" t="n">
        <v>4.2</v>
      </c>
      <c r="H996" t="n">
        <v>0</v>
      </c>
      <c r="I996" t="n">
        <v>0</v>
      </c>
      <c r="J996" t="n">
        <v>0</v>
      </c>
      <c r="K996" t="n">
        <v>0</v>
      </c>
      <c r="L996" t="n">
        <v>0</v>
      </c>
      <c r="M996" t="n">
        <v>0</v>
      </c>
      <c r="N996" t="n">
        <v>0</v>
      </c>
      <c r="O996" t="n">
        <v>0</v>
      </c>
      <c r="P996" t="n">
        <v>0</v>
      </c>
      <c r="Q996" t="n">
        <v>0</v>
      </c>
      <c r="R996" s="2" t="inlineStr"/>
    </row>
    <row r="997" ht="15" customHeight="1">
      <c r="A997" t="inlineStr">
        <is>
          <t>A 62261-2022</t>
        </is>
      </c>
      <c r="B997" s="1" t="n">
        <v>44922.94378472222</v>
      </c>
      <c r="C997" s="1" t="n">
        <v>46065</v>
      </c>
      <c r="D997" t="inlineStr">
        <is>
          <t>VÄSTERNORRLANDS LÄN</t>
        </is>
      </c>
      <c r="E997" t="inlineStr">
        <is>
          <t>ÅNGE</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16524-2025</t>
        </is>
      </c>
      <c r="B998" s="1" t="n">
        <v>45751.64310185185</v>
      </c>
      <c r="C998" s="1" t="n">
        <v>46065</v>
      </c>
      <c r="D998" t="inlineStr">
        <is>
          <t>VÄSTERNORRLANDS LÄN</t>
        </is>
      </c>
      <c r="E998" t="inlineStr">
        <is>
          <t>ÅNGE</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15603-2024</t>
        </is>
      </c>
      <c r="B999" s="1" t="n">
        <v>45401.92501157407</v>
      </c>
      <c r="C999" s="1" t="n">
        <v>46065</v>
      </c>
      <c r="D999" t="inlineStr">
        <is>
          <t>VÄSTERNORRLANDS LÄN</t>
        </is>
      </c>
      <c r="E999" t="inlineStr">
        <is>
          <t>ÅNGE</t>
        </is>
      </c>
      <c r="G999" t="n">
        <v>0.8</v>
      </c>
      <c r="H999" t="n">
        <v>0</v>
      </c>
      <c r="I999" t="n">
        <v>0</v>
      </c>
      <c r="J999" t="n">
        <v>0</v>
      </c>
      <c r="K999" t="n">
        <v>0</v>
      </c>
      <c r="L999" t="n">
        <v>0</v>
      </c>
      <c r="M999" t="n">
        <v>0</v>
      </c>
      <c r="N999" t="n">
        <v>0</v>
      </c>
      <c r="O999" t="n">
        <v>0</v>
      </c>
      <c r="P999" t="n">
        <v>0</v>
      </c>
      <c r="Q999" t="n">
        <v>0</v>
      </c>
      <c r="R999" s="2" t="inlineStr"/>
    </row>
    <row r="1000" ht="15" customHeight="1">
      <c r="A1000" t="inlineStr">
        <is>
          <t>A 38686-2025</t>
        </is>
      </c>
      <c r="B1000" s="1" t="n">
        <v>45884.65658564815</v>
      </c>
      <c r="C1000" s="1" t="n">
        <v>46065</v>
      </c>
      <c r="D1000" t="inlineStr">
        <is>
          <t>VÄSTERNORRLANDS LÄN</t>
        </is>
      </c>
      <c r="E1000" t="inlineStr">
        <is>
          <t>ÅNGE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741-2024</t>
        </is>
      </c>
      <c r="B1001" s="1" t="n">
        <v>45300.46591435185</v>
      </c>
      <c r="C1001" s="1" t="n">
        <v>46065</v>
      </c>
      <c r="D1001" t="inlineStr">
        <is>
          <t>VÄSTERNORRLANDS LÄN</t>
        </is>
      </c>
      <c r="E1001" t="inlineStr">
        <is>
          <t>ÅNGE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47779-2023</t>
        </is>
      </c>
      <c r="B1002" s="1" t="n">
        <v>45203.92232638889</v>
      </c>
      <c r="C1002" s="1" t="n">
        <v>46065</v>
      </c>
      <c r="D1002" t="inlineStr">
        <is>
          <t>VÄSTERNORRLANDS LÄN</t>
        </is>
      </c>
      <c r="E1002" t="inlineStr">
        <is>
          <t>ÅNGE</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54611-2023</t>
        </is>
      </c>
      <c r="B1003" s="1" t="n">
        <v>45233</v>
      </c>
      <c r="C1003" s="1" t="n">
        <v>46065</v>
      </c>
      <c r="D1003" t="inlineStr">
        <is>
          <t>VÄSTERNORRLANDS LÄN</t>
        </is>
      </c>
      <c r="E1003" t="inlineStr">
        <is>
          <t>ÅNGE</t>
        </is>
      </c>
      <c r="F1003" t="inlineStr">
        <is>
          <t>SCA</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49502-2022</t>
        </is>
      </c>
      <c r="B1004" s="1" t="n">
        <v>44861.92613425926</v>
      </c>
      <c r="C1004" s="1" t="n">
        <v>46065</v>
      </c>
      <c r="D1004" t="inlineStr">
        <is>
          <t>VÄSTERNORRLANDS LÄN</t>
        </is>
      </c>
      <c r="E1004" t="inlineStr">
        <is>
          <t>ÅNGE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14673-2025</t>
        </is>
      </c>
      <c r="B1005" s="1" t="n">
        <v>45742.55309027778</v>
      </c>
      <c r="C1005" s="1" t="n">
        <v>46065</v>
      </c>
      <c r="D1005" t="inlineStr">
        <is>
          <t>VÄSTERNORRLANDS LÄN</t>
        </is>
      </c>
      <c r="E1005" t="inlineStr">
        <is>
          <t>ÅNGE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41825-2022</t>
        </is>
      </c>
      <c r="B1006" s="1" t="n">
        <v>44827</v>
      </c>
      <c r="C1006" s="1" t="n">
        <v>46065</v>
      </c>
      <c r="D1006" t="inlineStr">
        <is>
          <t>VÄSTERNORRLANDS LÄN</t>
        </is>
      </c>
      <c r="E1006" t="inlineStr">
        <is>
          <t>ÅNGE</t>
        </is>
      </c>
      <c r="F1006" t="inlineStr">
        <is>
          <t>SCA</t>
        </is>
      </c>
      <c r="G1006" t="n">
        <v>3.3</v>
      </c>
      <c r="H1006" t="n">
        <v>0</v>
      </c>
      <c r="I1006" t="n">
        <v>0</v>
      </c>
      <c r="J1006" t="n">
        <v>0</v>
      </c>
      <c r="K1006" t="n">
        <v>0</v>
      </c>
      <c r="L1006" t="n">
        <v>0</v>
      </c>
      <c r="M1006" t="n">
        <v>0</v>
      </c>
      <c r="N1006" t="n">
        <v>0</v>
      </c>
      <c r="O1006" t="n">
        <v>0</v>
      </c>
      <c r="P1006" t="n">
        <v>0</v>
      </c>
      <c r="Q1006" t="n">
        <v>0</v>
      </c>
      <c r="R1006" s="2" t="inlineStr"/>
      <c r="U1006">
        <f>HYPERLINK("https://klasma.github.io/Logging_2260/knärot/A 41825-2022 karta knärot.png", "A 41825-2022")</f>
        <v/>
      </c>
      <c r="V1006">
        <f>HYPERLINK("https://klasma.github.io/Logging_2260/klagomål/A 41825-2022 FSC-klagomål.docx", "A 41825-2022")</f>
        <v/>
      </c>
      <c r="W1006">
        <f>HYPERLINK("https://klasma.github.io/Logging_2260/klagomålsmail/A 41825-2022 FSC-klagomål mail.docx", "A 41825-2022")</f>
        <v/>
      </c>
      <c r="X1006">
        <f>HYPERLINK("https://klasma.github.io/Logging_2260/tillsyn/A 41825-2022 tillsynsbegäran.docx", "A 41825-2022")</f>
        <v/>
      </c>
      <c r="Y1006">
        <f>HYPERLINK("https://klasma.github.io/Logging_2260/tillsynsmail/A 41825-2022 tillsynsbegäran mail.docx", "A 41825-2022")</f>
        <v/>
      </c>
    </row>
    <row r="1007" ht="15" customHeight="1">
      <c r="A1007" t="inlineStr">
        <is>
          <t>A 52804-2024</t>
        </is>
      </c>
      <c r="B1007" s="1" t="n">
        <v>45610.57322916666</v>
      </c>
      <c r="C1007" s="1" t="n">
        <v>46065</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15032-2025</t>
        </is>
      </c>
      <c r="B1008" s="1" t="n">
        <v>45743.67748842593</v>
      </c>
      <c r="C1008" s="1" t="n">
        <v>46065</v>
      </c>
      <c r="D1008" t="inlineStr">
        <is>
          <t>VÄSTERNORRLANDS LÄN</t>
        </is>
      </c>
      <c r="E1008" t="inlineStr">
        <is>
          <t>ÅNGE</t>
        </is>
      </c>
      <c r="F1008" t="inlineStr">
        <is>
          <t>SCA</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21151-2024</t>
        </is>
      </c>
      <c r="B1009" s="1" t="n">
        <v>45440</v>
      </c>
      <c r="C1009" s="1" t="n">
        <v>46065</v>
      </c>
      <c r="D1009" t="inlineStr">
        <is>
          <t>VÄSTERNORRLANDS LÄN</t>
        </is>
      </c>
      <c r="E1009" t="inlineStr">
        <is>
          <t>ÅNGE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38693-2025</t>
        </is>
      </c>
      <c r="B1010" s="1" t="n">
        <v>45884.69829861111</v>
      </c>
      <c r="C1010" s="1" t="n">
        <v>46065</v>
      </c>
      <c r="D1010" t="inlineStr">
        <is>
          <t>VÄSTERNORRLANDS LÄN</t>
        </is>
      </c>
      <c r="E1010" t="inlineStr">
        <is>
          <t>ÅNGE</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7692-2024</t>
        </is>
      </c>
      <c r="B1011" s="1" t="n">
        <v>45349</v>
      </c>
      <c r="C1011" s="1" t="n">
        <v>46065</v>
      </c>
      <c r="D1011" t="inlineStr">
        <is>
          <t>VÄSTERNORRLANDS LÄN</t>
        </is>
      </c>
      <c r="E1011" t="inlineStr">
        <is>
          <t>ÅNGE</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42958-2024</t>
        </is>
      </c>
      <c r="B1012" s="1" t="n">
        <v>45567.37131944444</v>
      </c>
      <c r="C1012" s="1" t="n">
        <v>46065</v>
      </c>
      <c r="D1012" t="inlineStr">
        <is>
          <t>VÄSTERNORRLANDS LÄN</t>
        </is>
      </c>
      <c r="E1012" t="inlineStr">
        <is>
          <t>ÅNGE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29673-2024</t>
        </is>
      </c>
      <c r="B1013" s="1" t="n">
        <v>45484.94210648148</v>
      </c>
      <c r="C1013" s="1" t="n">
        <v>46065</v>
      </c>
      <c r="D1013" t="inlineStr">
        <is>
          <t>VÄSTERNORRLANDS LÄN</t>
        </is>
      </c>
      <c r="E1013" t="inlineStr">
        <is>
          <t>ÅNGE</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5602-2025</t>
        </is>
      </c>
      <c r="B1014" s="1" t="n">
        <v>45693</v>
      </c>
      <c r="C1014" s="1" t="n">
        <v>46065</v>
      </c>
      <c r="D1014" t="inlineStr">
        <is>
          <t>VÄSTERNORRLANDS LÄN</t>
        </is>
      </c>
      <c r="E1014" t="inlineStr">
        <is>
          <t>ÅNGE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34861-2024</t>
        </is>
      </c>
      <c r="B1015" s="1" t="n">
        <v>45527.339375</v>
      </c>
      <c r="C1015" s="1" t="n">
        <v>46065</v>
      </c>
      <c r="D1015" t="inlineStr">
        <is>
          <t>VÄSTERNORRLANDS LÄN</t>
        </is>
      </c>
      <c r="E1015" t="inlineStr">
        <is>
          <t>ÅNGE</t>
        </is>
      </c>
      <c r="F1015" t="inlineStr">
        <is>
          <t>SCA</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30751-2024</t>
        </is>
      </c>
      <c r="B1016" s="1" t="n">
        <v>45496.69339120371</v>
      </c>
      <c r="C1016" s="1" t="n">
        <v>46065</v>
      </c>
      <c r="D1016" t="inlineStr">
        <is>
          <t>VÄSTERNORRLANDS LÄN</t>
        </is>
      </c>
      <c r="E1016" t="inlineStr">
        <is>
          <t>ÅNGE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17601-2024</t>
        </is>
      </c>
      <c r="B1017" s="1" t="n">
        <v>45415</v>
      </c>
      <c r="C1017" s="1" t="n">
        <v>46065</v>
      </c>
      <c r="D1017" t="inlineStr">
        <is>
          <t>VÄSTERNORRLANDS LÄN</t>
        </is>
      </c>
      <c r="E1017" t="inlineStr">
        <is>
          <t>ÅNGE</t>
        </is>
      </c>
      <c r="F1017" t="inlineStr">
        <is>
          <t>SCA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38099-2024</t>
        </is>
      </c>
      <c r="B1018" s="1" t="n">
        <v>45545.35920138889</v>
      </c>
      <c r="C1018" s="1" t="n">
        <v>46065</v>
      </c>
      <c r="D1018" t="inlineStr">
        <is>
          <t>VÄSTERNORRLANDS LÄN</t>
        </is>
      </c>
      <c r="E1018" t="inlineStr">
        <is>
          <t>ÅNGE</t>
        </is>
      </c>
      <c r="F1018" t="inlineStr">
        <is>
          <t>Holmen skog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44636-2024</t>
        </is>
      </c>
      <c r="B1019" s="1" t="n">
        <v>45574.51491898148</v>
      </c>
      <c r="C1019" s="1" t="n">
        <v>46065</v>
      </c>
      <c r="D1019" t="inlineStr">
        <is>
          <t>VÄSTERNORRLANDS LÄN</t>
        </is>
      </c>
      <c r="E1019" t="inlineStr">
        <is>
          <t>ÅNGE</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38386-2025</t>
        </is>
      </c>
      <c r="B1020" s="1" t="n">
        <v>45883.57430555556</v>
      </c>
      <c r="C1020" s="1" t="n">
        <v>46065</v>
      </c>
      <c r="D1020" t="inlineStr">
        <is>
          <t>VÄSTERNORRLANDS LÄN</t>
        </is>
      </c>
      <c r="E1020" t="inlineStr">
        <is>
          <t>ÅNGE</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38273-2025</t>
        </is>
      </c>
      <c r="B1021" s="1" t="n">
        <v>45883.40740740741</v>
      </c>
      <c r="C1021" s="1" t="n">
        <v>46065</v>
      </c>
      <c r="D1021" t="inlineStr">
        <is>
          <t>VÄSTERNORRLANDS LÄN</t>
        </is>
      </c>
      <c r="E1021" t="inlineStr">
        <is>
          <t>ÅNGE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57846-2022</t>
        </is>
      </c>
      <c r="B1022" s="1" t="n">
        <v>44897.95008101852</v>
      </c>
      <c r="C1022" s="1" t="n">
        <v>46065</v>
      </c>
      <c r="D1022" t="inlineStr">
        <is>
          <t>VÄSTERNORRLANDS LÄN</t>
        </is>
      </c>
      <c r="E1022" t="inlineStr">
        <is>
          <t>ÅNGE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64375-2023</t>
        </is>
      </c>
      <c r="B1023" s="1" t="n">
        <v>45280</v>
      </c>
      <c r="C1023" s="1" t="n">
        <v>46065</v>
      </c>
      <c r="D1023" t="inlineStr">
        <is>
          <t>VÄSTERNORRLANDS LÄN</t>
        </is>
      </c>
      <c r="E1023" t="inlineStr">
        <is>
          <t>ÅNGE</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36342-2024</t>
        </is>
      </c>
      <c r="B1024" s="1" t="n">
        <v>45534.64315972223</v>
      </c>
      <c r="C1024" s="1" t="n">
        <v>46065</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13706-2023</t>
        </is>
      </c>
      <c r="B1025" s="1" t="n">
        <v>45006</v>
      </c>
      <c r="C1025" s="1" t="n">
        <v>46065</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54771-2023</t>
        </is>
      </c>
      <c r="B1026" s="1" t="n">
        <v>45229</v>
      </c>
      <c r="C1026" s="1" t="n">
        <v>46065</v>
      </c>
      <c r="D1026" t="inlineStr">
        <is>
          <t>VÄSTERNORRLANDS LÄN</t>
        </is>
      </c>
      <c r="E1026" t="inlineStr">
        <is>
          <t>ÅNGE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32922-2024</t>
        </is>
      </c>
      <c r="B1027" s="1" t="n">
        <v>45516.95263888889</v>
      </c>
      <c r="C1027" s="1" t="n">
        <v>46065</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60296-2021</t>
        </is>
      </c>
      <c r="B1028" s="1" t="n">
        <v>44495</v>
      </c>
      <c r="C1028" s="1" t="n">
        <v>46065</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63556-2021</t>
        </is>
      </c>
      <c r="B1029" s="1" t="n">
        <v>44508.70231481481</v>
      </c>
      <c r="C1029" s="1" t="n">
        <v>46065</v>
      </c>
      <c r="D1029" t="inlineStr">
        <is>
          <t>VÄSTERNORRLANDS LÄN</t>
        </is>
      </c>
      <c r="E1029" t="inlineStr">
        <is>
          <t>ÅNGE</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10922-2024</t>
        </is>
      </c>
      <c r="B1030" s="1" t="n">
        <v>45370</v>
      </c>
      <c r="C1030" s="1" t="n">
        <v>46065</v>
      </c>
      <c r="D1030" t="inlineStr">
        <is>
          <t>VÄSTERNORRLANDS LÄN</t>
        </is>
      </c>
      <c r="E1030" t="inlineStr">
        <is>
          <t>ÅNGE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38283-2025</t>
        </is>
      </c>
      <c r="B1031" s="1" t="n">
        <v>45883.42740740741</v>
      </c>
      <c r="C1031" s="1" t="n">
        <v>46065</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21089-2024</t>
        </is>
      </c>
      <c r="B1032" s="1" t="n">
        <v>45439.94987268518</v>
      </c>
      <c r="C1032" s="1" t="n">
        <v>46065</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64950-2023</t>
        </is>
      </c>
      <c r="B1033" s="1" t="n">
        <v>45282</v>
      </c>
      <c r="C1033" s="1" t="n">
        <v>46065</v>
      </c>
      <c r="D1033" t="inlineStr">
        <is>
          <t>VÄSTERNORRLANDS LÄN</t>
        </is>
      </c>
      <c r="E1033" t="inlineStr">
        <is>
          <t>ÅNGE</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6462-2024</t>
        </is>
      </c>
      <c r="B1034" s="1" t="n">
        <v>45338</v>
      </c>
      <c r="C1034" s="1" t="n">
        <v>46065</v>
      </c>
      <c r="D1034" t="inlineStr">
        <is>
          <t>VÄSTERNORRLANDS LÄN</t>
        </is>
      </c>
      <c r="E1034" t="inlineStr">
        <is>
          <t>ÅNGE</t>
        </is>
      </c>
      <c r="F1034" t="inlineStr">
        <is>
          <t>Kyrkan</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20393-2022</t>
        </is>
      </c>
      <c r="B1035" s="1" t="n">
        <v>44699</v>
      </c>
      <c r="C1035" s="1" t="n">
        <v>46065</v>
      </c>
      <c r="D1035" t="inlineStr">
        <is>
          <t>VÄSTERNORRLANDS LÄN</t>
        </is>
      </c>
      <c r="E1035" t="inlineStr">
        <is>
          <t>ÅNGE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4727-2023</t>
        </is>
      </c>
      <c r="B1036" s="1" t="n">
        <v>44953</v>
      </c>
      <c r="C1036" s="1" t="n">
        <v>46065</v>
      </c>
      <c r="D1036" t="inlineStr">
        <is>
          <t>VÄSTERNORRLANDS LÄN</t>
        </is>
      </c>
      <c r="E1036" t="inlineStr">
        <is>
          <t>ÅNGE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35650-2024</t>
        </is>
      </c>
      <c r="B1037" s="1" t="n">
        <v>45532.34123842593</v>
      </c>
      <c r="C1037" s="1" t="n">
        <v>46065</v>
      </c>
      <c r="D1037" t="inlineStr">
        <is>
          <t>VÄSTERNORRLANDS LÄN</t>
        </is>
      </c>
      <c r="E1037" t="inlineStr">
        <is>
          <t>ÅNGE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3357-2024</t>
        </is>
      </c>
      <c r="B1038" s="1" t="n">
        <v>45317</v>
      </c>
      <c r="C1038" s="1" t="n">
        <v>46065</v>
      </c>
      <c r="D1038" t="inlineStr">
        <is>
          <t>VÄSTERNORRLANDS LÄN</t>
        </is>
      </c>
      <c r="E1038" t="inlineStr">
        <is>
          <t>ÅNGE</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46332-2023</t>
        </is>
      </c>
      <c r="B1039" s="1" t="n">
        <v>45196</v>
      </c>
      <c r="C1039" s="1" t="n">
        <v>46065</v>
      </c>
      <c r="D1039" t="inlineStr">
        <is>
          <t>VÄSTERNORRLANDS LÄN</t>
        </is>
      </c>
      <c r="E1039" t="inlineStr">
        <is>
          <t>ÅNGE</t>
        </is>
      </c>
      <c r="F1039" t="inlineStr">
        <is>
          <t>SCA</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20338-2025</t>
        </is>
      </c>
      <c r="B1040" s="1" t="n">
        <v>45775</v>
      </c>
      <c r="C1040" s="1" t="n">
        <v>46065</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36457-2021</t>
        </is>
      </c>
      <c r="B1041" s="1" t="n">
        <v>44390.93858796296</v>
      </c>
      <c r="C1041" s="1" t="n">
        <v>46065</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38332-2025</t>
        </is>
      </c>
      <c r="B1042" s="1" t="n">
        <v>45883.49151620371</v>
      </c>
      <c r="C1042" s="1" t="n">
        <v>46065</v>
      </c>
      <c r="D1042" t="inlineStr">
        <is>
          <t>VÄSTERNORRLANDS LÄN</t>
        </is>
      </c>
      <c r="E1042" t="inlineStr">
        <is>
          <t>ÅNGE</t>
        </is>
      </c>
      <c r="F1042" t="inlineStr">
        <is>
          <t>SCA</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56699-2023</t>
        </is>
      </c>
      <c r="B1043" s="1" t="n">
        <v>45243</v>
      </c>
      <c r="C1043" s="1" t="n">
        <v>46065</v>
      </c>
      <c r="D1043" t="inlineStr">
        <is>
          <t>VÄSTERNORRLANDS LÄN</t>
        </is>
      </c>
      <c r="E1043" t="inlineStr">
        <is>
          <t>ÅNGE</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61928-2021</t>
        </is>
      </c>
      <c r="B1044" s="1" t="n">
        <v>44502.38475694445</v>
      </c>
      <c r="C1044" s="1" t="n">
        <v>46065</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26490-2024</t>
        </is>
      </c>
      <c r="B1045" s="1" t="n">
        <v>45469</v>
      </c>
      <c r="C1045" s="1" t="n">
        <v>46065</v>
      </c>
      <c r="D1045" t="inlineStr">
        <is>
          <t>VÄSTERNORRLANDS LÄN</t>
        </is>
      </c>
      <c r="E1045" t="inlineStr">
        <is>
          <t>ÅNGE</t>
        </is>
      </c>
      <c r="F1045" t="inlineStr">
        <is>
          <t>Sveaskog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16303-2025</t>
        </is>
      </c>
      <c r="B1046" s="1" t="n">
        <v>45751.3462037037</v>
      </c>
      <c r="C1046" s="1" t="n">
        <v>46065</v>
      </c>
      <c r="D1046" t="inlineStr">
        <is>
          <t>VÄSTERNORRLANDS LÄN</t>
        </is>
      </c>
      <c r="E1046" t="inlineStr">
        <is>
          <t>ÅNGE</t>
        </is>
      </c>
      <c r="F1046" t="inlineStr">
        <is>
          <t>SCA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37051-2021</t>
        </is>
      </c>
      <c r="B1047" s="1" t="n">
        <v>44393</v>
      </c>
      <c r="C1047" s="1" t="n">
        <v>46065</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64945-2023</t>
        </is>
      </c>
      <c r="B1048" s="1" t="n">
        <v>45282.94668981482</v>
      </c>
      <c r="C1048" s="1" t="n">
        <v>46065</v>
      </c>
      <c r="D1048" t="inlineStr">
        <is>
          <t>VÄSTERNORRLANDS LÄN</t>
        </is>
      </c>
      <c r="E1048" t="inlineStr">
        <is>
          <t>ÅNGE</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56908-2021</t>
        </is>
      </c>
      <c r="B1049" s="1" t="n">
        <v>44481.93844907408</v>
      </c>
      <c r="C1049" s="1" t="n">
        <v>46065</v>
      </c>
      <c r="D1049" t="inlineStr">
        <is>
          <t>VÄSTERNORRLANDS LÄN</t>
        </is>
      </c>
      <c r="E1049" t="inlineStr">
        <is>
          <t>ÅNGE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732-2023</t>
        </is>
      </c>
      <c r="B1050" s="1" t="n">
        <v>44931.29981481482</v>
      </c>
      <c r="C1050" s="1" t="n">
        <v>46065</v>
      </c>
      <c r="D1050" t="inlineStr">
        <is>
          <t>VÄSTERNORRLANDS LÄN</t>
        </is>
      </c>
      <c r="E1050" t="inlineStr">
        <is>
          <t>ÅNGE</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5520-2022</t>
        </is>
      </c>
      <c r="B1051" s="1" t="n">
        <v>44595</v>
      </c>
      <c r="C1051" s="1" t="n">
        <v>46065</v>
      </c>
      <c r="D1051" t="inlineStr">
        <is>
          <t>VÄSTERNORRLANDS LÄN</t>
        </is>
      </c>
      <c r="E1051" t="inlineStr">
        <is>
          <t>ÅNGE</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23018-2021</t>
        </is>
      </c>
      <c r="B1052" s="1" t="n">
        <v>44328</v>
      </c>
      <c r="C1052" s="1" t="n">
        <v>46065</v>
      </c>
      <c r="D1052" t="inlineStr">
        <is>
          <t>VÄSTERNORRLANDS LÄN</t>
        </is>
      </c>
      <c r="E1052" t="inlineStr">
        <is>
          <t>ÅNGE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31866-2024</t>
        </is>
      </c>
      <c r="B1053" s="1" t="n">
        <v>45509</v>
      </c>
      <c r="C1053" s="1" t="n">
        <v>46065</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31867-2024</t>
        </is>
      </c>
      <c r="B1054" s="1" t="n">
        <v>45509</v>
      </c>
      <c r="C1054" s="1" t="n">
        <v>46065</v>
      </c>
      <c r="D1054" t="inlineStr">
        <is>
          <t>VÄSTERNORRLANDS LÄN</t>
        </is>
      </c>
      <c r="E1054" t="inlineStr">
        <is>
          <t>ÅNGE</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39178-2024</t>
        </is>
      </c>
      <c r="B1055" s="1" t="n">
        <v>45548.65692129629</v>
      </c>
      <c r="C1055" s="1" t="n">
        <v>46065</v>
      </c>
      <c r="D1055" t="inlineStr">
        <is>
          <t>VÄSTERNORRLANDS LÄN</t>
        </is>
      </c>
      <c r="E1055" t="inlineStr">
        <is>
          <t>ÅNGE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36786-2024</t>
        </is>
      </c>
      <c r="B1056" s="1" t="n">
        <v>45538</v>
      </c>
      <c r="C1056" s="1" t="n">
        <v>46065</v>
      </c>
      <c r="D1056" t="inlineStr">
        <is>
          <t>VÄSTERNORRLANDS LÄN</t>
        </is>
      </c>
      <c r="E1056" t="inlineStr">
        <is>
          <t>ÅNGE</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53663-2022</t>
        </is>
      </c>
      <c r="B1057" s="1" t="n">
        <v>44879</v>
      </c>
      <c r="C1057" s="1" t="n">
        <v>46065</v>
      </c>
      <c r="D1057" t="inlineStr">
        <is>
          <t>VÄSTERNORRLANDS LÄN</t>
        </is>
      </c>
      <c r="E1057" t="inlineStr">
        <is>
          <t>ÅNGE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33747-2024</t>
        </is>
      </c>
      <c r="B1058" s="1" t="n">
        <v>45520</v>
      </c>
      <c r="C1058" s="1" t="n">
        <v>46065</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34754-2024</t>
        </is>
      </c>
      <c r="B1059" s="1" t="n">
        <v>45526</v>
      </c>
      <c r="C1059" s="1" t="n">
        <v>46065</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29193-2024</t>
        </is>
      </c>
      <c r="B1060" s="1" t="n">
        <v>45482.56510416666</v>
      </c>
      <c r="C1060" s="1" t="n">
        <v>46065</v>
      </c>
      <c r="D1060" t="inlineStr">
        <is>
          <t>VÄSTERNORRLANDS LÄN</t>
        </is>
      </c>
      <c r="E1060" t="inlineStr">
        <is>
          <t>ÅNGE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22411-2023</t>
        </is>
      </c>
      <c r="B1061" s="1" t="n">
        <v>45070</v>
      </c>
      <c r="C1061" s="1" t="n">
        <v>46065</v>
      </c>
      <c r="D1061" t="inlineStr">
        <is>
          <t>VÄSTERNORRLANDS LÄN</t>
        </is>
      </c>
      <c r="E1061" t="inlineStr">
        <is>
          <t>ÅNGE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42040-2024</t>
        </is>
      </c>
      <c r="B1062" s="1" t="n">
        <v>45561.80983796297</v>
      </c>
      <c r="C1062" s="1" t="n">
        <v>46065</v>
      </c>
      <c r="D1062" t="inlineStr">
        <is>
          <t>VÄSTERNORRLANDS LÄN</t>
        </is>
      </c>
      <c r="E1062" t="inlineStr">
        <is>
          <t>ÅNGE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34691-2024</t>
        </is>
      </c>
      <c r="B1063" s="1" t="n">
        <v>45526.54516203704</v>
      </c>
      <c r="C1063" s="1" t="n">
        <v>46065</v>
      </c>
      <c r="D1063" t="inlineStr">
        <is>
          <t>VÄSTERNORRLANDS LÄN</t>
        </is>
      </c>
      <c r="E1063" t="inlineStr">
        <is>
          <t>ÅNGE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54210-2024</t>
        </is>
      </c>
      <c r="B1064" s="1" t="n">
        <v>45616.65662037037</v>
      </c>
      <c r="C1064" s="1" t="n">
        <v>46065</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4071-2025</t>
        </is>
      </c>
      <c r="B1065" s="1" t="n">
        <v>45684.63579861111</v>
      </c>
      <c r="C1065" s="1" t="n">
        <v>46065</v>
      </c>
      <c r="D1065" t="inlineStr">
        <is>
          <t>VÄSTERNORRLANDS LÄN</t>
        </is>
      </c>
      <c r="E1065" t="inlineStr">
        <is>
          <t>ÅNGE</t>
        </is>
      </c>
      <c r="F1065" t="inlineStr">
        <is>
          <t>SCA</t>
        </is>
      </c>
      <c r="G1065" t="n">
        <v>13.7</v>
      </c>
      <c r="H1065" t="n">
        <v>0</v>
      </c>
      <c r="I1065" t="n">
        <v>0</v>
      </c>
      <c r="J1065" t="n">
        <v>0</v>
      </c>
      <c r="K1065" t="n">
        <v>0</v>
      </c>
      <c r="L1065" t="n">
        <v>0</v>
      </c>
      <c r="M1065" t="n">
        <v>0</v>
      </c>
      <c r="N1065" t="n">
        <v>0</v>
      </c>
      <c r="O1065" t="n">
        <v>0</v>
      </c>
      <c r="P1065" t="n">
        <v>0</v>
      </c>
      <c r="Q1065" t="n">
        <v>0</v>
      </c>
      <c r="R1065" s="2" t="inlineStr"/>
    </row>
    <row r="1066" ht="15" customHeight="1">
      <c r="A1066" t="inlineStr">
        <is>
          <t>A 6619-2025</t>
        </is>
      </c>
      <c r="B1066" s="1" t="n">
        <v>45700.36541666667</v>
      </c>
      <c r="C1066" s="1" t="n">
        <v>46065</v>
      </c>
      <c r="D1066" t="inlineStr">
        <is>
          <t>VÄSTERNORRLANDS LÄN</t>
        </is>
      </c>
      <c r="E1066" t="inlineStr">
        <is>
          <t>ÅNGE</t>
        </is>
      </c>
      <c r="F1066" t="inlineStr">
        <is>
          <t>SCA</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52805-2024</t>
        </is>
      </c>
      <c r="B1067" s="1" t="n">
        <v>45610.57344907407</v>
      </c>
      <c r="C1067" s="1" t="n">
        <v>46065</v>
      </c>
      <c r="D1067" t="inlineStr">
        <is>
          <t>VÄSTERNORRLANDS LÄN</t>
        </is>
      </c>
      <c r="E1067" t="inlineStr">
        <is>
          <t>ÅNGE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61577-2023</t>
        </is>
      </c>
      <c r="B1068" s="1" t="n">
        <v>45265.47366898148</v>
      </c>
      <c r="C1068" s="1" t="n">
        <v>46065</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1735-2025</t>
        </is>
      </c>
      <c r="B1069" s="1" t="n">
        <v>45671.38594907407</v>
      </c>
      <c r="C1069" s="1" t="n">
        <v>46065</v>
      </c>
      <c r="D1069" t="inlineStr">
        <is>
          <t>VÄSTERNORRLANDS LÄN</t>
        </is>
      </c>
      <c r="E1069" t="inlineStr">
        <is>
          <t>ÅNGE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45939-2023</t>
        </is>
      </c>
      <c r="B1070" s="1" t="n">
        <v>45195.94578703704</v>
      </c>
      <c r="C1070" s="1" t="n">
        <v>46065</v>
      </c>
      <c r="D1070" t="inlineStr">
        <is>
          <t>VÄSTERNORRLANDS LÄN</t>
        </is>
      </c>
      <c r="E1070" t="inlineStr">
        <is>
          <t>ÅNGE</t>
        </is>
      </c>
      <c r="F1070" t="inlineStr">
        <is>
          <t>SCA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61585-2022</t>
        </is>
      </c>
      <c r="B1071" s="1" t="n">
        <v>44916.63380787037</v>
      </c>
      <c r="C1071" s="1" t="n">
        <v>46065</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3574-2025</t>
        </is>
      </c>
      <c r="B1072" s="1" t="n">
        <v>45680.71916666667</v>
      </c>
      <c r="C1072" s="1" t="n">
        <v>46065</v>
      </c>
      <c r="D1072" t="inlineStr">
        <is>
          <t>VÄSTERNORRLANDS LÄN</t>
        </is>
      </c>
      <c r="E1072" t="inlineStr">
        <is>
          <t>ÅNGE</t>
        </is>
      </c>
      <c r="F1072" t="inlineStr">
        <is>
          <t>SCA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8070-2022</t>
        </is>
      </c>
      <c r="B1073" s="1" t="n">
        <v>44609.48665509259</v>
      </c>
      <c r="C1073" s="1" t="n">
        <v>46065</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29048-2021</t>
        </is>
      </c>
      <c r="B1074" s="1" t="n">
        <v>44358</v>
      </c>
      <c r="C1074" s="1" t="n">
        <v>46065</v>
      </c>
      <c r="D1074" t="inlineStr">
        <is>
          <t>VÄSTERNORRLANDS LÄN</t>
        </is>
      </c>
      <c r="E1074" t="inlineStr">
        <is>
          <t>ÅNGE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3022-2023</t>
        </is>
      </c>
      <c r="B1075" s="1" t="n">
        <v>44945</v>
      </c>
      <c r="C1075" s="1" t="n">
        <v>46065</v>
      </c>
      <c r="D1075" t="inlineStr">
        <is>
          <t>VÄSTERNORRLANDS LÄN</t>
        </is>
      </c>
      <c r="E1075" t="inlineStr">
        <is>
          <t>ÅNGE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39021-2024</t>
        </is>
      </c>
      <c r="B1076" s="1" t="n">
        <v>45548</v>
      </c>
      <c r="C1076" s="1" t="n">
        <v>46065</v>
      </c>
      <c r="D1076" t="inlineStr">
        <is>
          <t>VÄSTERNORRLANDS LÄN</t>
        </is>
      </c>
      <c r="E1076" t="inlineStr">
        <is>
          <t>ÅNGE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13875-2022</t>
        </is>
      </c>
      <c r="B1077" s="1" t="n">
        <v>44649</v>
      </c>
      <c r="C1077" s="1" t="n">
        <v>46065</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38703-2025</t>
        </is>
      </c>
      <c r="B1078" s="1" t="n">
        <v>45885.34440972222</v>
      </c>
      <c r="C1078" s="1" t="n">
        <v>46065</v>
      </c>
      <c r="D1078" t="inlineStr">
        <is>
          <t>VÄSTERNORRLANDS LÄN</t>
        </is>
      </c>
      <c r="E1078" t="inlineStr">
        <is>
          <t>ÅNGE</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32051-2025</t>
        </is>
      </c>
      <c r="B1079" s="1" t="n">
        <v>45835.44185185185</v>
      </c>
      <c r="C1079" s="1" t="n">
        <v>46065</v>
      </c>
      <c r="D1079" t="inlineStr">
        <is>
          <t>VÄSTERNORRLANDS LÄN</t>
        </is>
      </c>
      <c r="E1079" t="inlineStr">
        <is>
          <t>ÅNGE</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20716-2025</t>
        </is>
      </c>
      <c r="B1080" s="1" t="n">
        <v>45776.49026620371</v>
      </c>
      <c r="C1080" s="1" t="n">
        <v>46065</v>
      </c>
      <c r="D1080" t="inlineStr">
        <is>
          <t>VÄSTERNORRLANDS LÄN</t>
        </is>
      </c>
      <c r="E1080" t="inlineStr">
        <is>
          <t>ÅNGE</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14097-2022</t>
        </is>
      </c>
      <c r="B1081" s="1" t="n">
        <v>44651</v>
      </c>
      <c r="C1081" s="1" t="n">
        <v>46065</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29667-2024</t>
        </is>
      </c>
      <c r="B1082" s="1" t="n">
        <v>45484.94041666666</v>
      </c>
      <c r="C1082" s="1" t="n">
        <v>46065</v>
      </c>
      <c r="D1082" t="inlineStr">
        <is>
          <t>VÄSTERNORRLANDS LÄN</t>
        </is>
      </c>
      <c r="E1082" t="inlineStr">
        <is>
          <t>ÅNGE</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39975-2023</t>
        </is>
      </c>
      <c r="B1083" s="1" t="n">
        <v>45168.58844907407</v>
      </c>
      <c r="C1083" s="1" t="n">
        <v>46065</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4876-2023</t>
        </is>
      </c>
      <c r="B1084" s="1" t="n">
        <v>44957.94023148148</v>
      </c>
      <c r="C1084" s="1" t="n">
        <v>46065</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32776-2022</t>
        </is>
      </c>
      <c r="B1085" s="1" t="n">
        <v>44783.94607638889</v>
      </c>
      <c r="C1085" s="1" t="n">
        <v>46065</v>
      </c>
      <c r="D1085" t="inlineStr">
        <is>
          <t>VÄSTERNORRLANDS LÄN</t>
        </is>
      </c>
      <c r="E1085" t="inlineStr">
        <is>
          <t>ÅNGE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11032-2025</t>
        </is>
      </c>
      <c r="B1086" s="1" t="n">
        <v>45723.47601851852</v>
      </c>
      <c r="C1086" s="1" t="n">
        <v>46065</v>
      </c>
      <c r="D1086" t="inlineStr">
        <is>
          <t>VÄSTERNORRLANDS LÄN</t>
        </is>
      </c>
      <c r="E1086" t="inlineStr">
        <is>
          <t>ÅNGE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3362-2023</t>
        </is>
      </c>
      <c r="B1087" s="1" t="n">
        <v>44945</v>
      </c>
      <c r="C1087" s="1" t="n">
        <v>46065</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44415-2021</t>
        </is>
      </c>
      <c r="B1088" s="1" t="n">
        <v>44435</v>
      </c>
      <c r="C1088" s="1" t="n">
        <v>46065</v>
      </c>
      <c r="D1088" t="inlineStr">
        <is>
          <t>VÄSTERNORRLANDS LÄN</t>
        </is>
      </c>
      <c r="E1088" t="inlineStr">
        <is>
          <t>ÅNGE</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56874-2024</t>
        </is>
      </c>
      <c r="B1089" s="1" t="n">
        <v>45628</v>
      </c>
      <c r="C1089" s="1" t="n">
        <v>46065</v>
      </c>
      <c r="D1089" t="inlineStr">
        <is>
          <t>VÄSTERNORRLANDS LÄN</t>
        </is>
      </c>
      <c r="E1089" t="inlineStr">
        <is>
          <t>ÅNGE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38711-2025</t>
        </is>
      </c>
      <c r="B1090" s="1" t="n">
        <v>45886.34450231482</v>
      </c>
      <c r="C1090" s="1" t="n">
        <v>46065</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38715-2025</t>
        </is>
      </c>
      <c r="B1091" s="1" t="n">
        <v>45886.34501157407</v>
      </c>
      <c r="C1091" s="1" t="n">
        <v>46065</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16657-2025</t>
        </is>
      </c>
      <c r="B1092" s="1" t="n">
        <v>45754.40700231482</v>
      </c>
      <c r="C1092" s="1" t="n">
        <v>46065</v>
      </c>
      <c r="D1092" t="inlineStr">
        <is>
          <t>VÄSTERNORRLANDS LÄN</t>
        </is>
      </c>
      <c r="E1092" t="inlineStr">
        <is>
          <t>ÅNGE</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6608-2025</t>
        </is>
      </c>
      <c r="B1093" s="1" t="n">
        <v>45700.34415509259</v>
      </c>
      <c r="C1093" s="1" t="n">
        <v>46065</v>
      </c>
      <c r="D1093" t="inlineStr">
        <is>
          <t>VÄSTERNORRLANDS LÄN</t>
        </is>
      </c>
      <c r="E1093" t="inlineStr">
        <is>
          <t>ÅNGE</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5455-2023</t>
        </is>
      </c>
      <c r="B1094" s="1" t="n">
        <v>44959.93983796296</v>
      </c>
      <c r="C1094" s="1" t="n">
        <v>46065</v>
      </c>
      <c r="D1094" t="inlineStr">
        <is>
          <t>VÄSTERNORRLANDS LÄN</t>
        </is>
      </c>
      <c r="E1094" t="inlineStr">
        <is>
          <t>ÅNGE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51871-2024</t>
        </is>
      </c>
      <c r="B1095" s="1" t="n">
        <v>45607</v>
      </c>
      <c r="C1095" s="1" t="n">
        <v>46065</v>
      </c>
      <c r="D1095" t="inlineStr">
        <is>
          <t>VÄSTERNORRLANDS LÄN</t>
        </is>
      </c>
      <c r="E1095" t="inlineStr">
        <is>
          <t>ÅNGE</t>
        </is>
      </c>
      <c r="F1095" t="inlineStr">
        <is>
          <t>SCA</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59986-2021</t>
        </is>
      </c>
      <c r="B1096" s="1" t="n">
        <v>44494</v>
      </c>
      <c r="C1096" s="1" t="n">
        <v>46065</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19065-2025</t>
        </is>
      </c>
      <c r="B1097" s="1" t="n">
        <v>45765</v>
      </c>
      <c r="C1097" s="1" t="n">
        <v>46065</v>
      </c>
      <c r="D1097" t="inlineStr">
        <is>
          <t>VÄSTERNORRLANDS LÄN</t>
        </is>
      </c>
      <c r="E1097" t="inlineStr">
        <is>
          <t>ÅNGE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36290-2023</t>
        </is>
      </c>
      <c r="B1098" s="1" t="n">
        <v>45152.35467592593</v>
      </c>
      <c r="C1098" s="1" t="n">
        <v>46065</v>
      </c>
      <c r="D1098" t="inlineStr">
        <is>
          <t>VÄSTERNORRLANDS LÄN</t>
        </is>
      </c>
      <c r="E1098" t="inlineStr">
        <is>
          <t>ÅNGE</t>
        </is>
      </c>
      <c r="F1098" t="inlineStr">
        <is>
          <t>Övriga Aktiebolag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48369-2024</t>
        </is>
      </c>
      <c r="B1099" s="1" t="n">
        <v>45590.57960648148</v>
      </c>
      <c r="C1099" s="1" t="n">
        <v>46065</v>
      </c>
      <c r="D1099" t="inlineStr">
        <is>
          <t>VÄSTERNORRLANDS LÄN</t>
        </is>
      </c>
      <c r="E1099" t="inlineStr">
        <is>
          <t>ÅNGE</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1714-2025</t>
        </is>
      </c>
      <c r="B1100" s="1" t="n">
        <v>45671.32474537037</v>
      </c>
      <c r="C1100" s="1" t="n">
        <v>46065</v>
      </c>
      <c r="D1100" t="inlineStr">
        <is>
          <t>VÄSTERNORRLANDS LÄN</t>
        </is>
      </c>
      <c r="E1100" t="inlineStr">
        <is>
          <t>ÅNGE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39444-2025</t>
        </is>
      </c>
      <c r="B1101" s="1" t="n">
        <v>45889.69826388889</v>
      </c>
      <c r="C1101" s="1" t="n">
        <v>46065</v>
      </c>
      <c r="D1101" t="inlineStr">
        <is>
          <t>VÄSTERNORRLANDS LÄN</t>
        </is>
      </c>
      <c r="E1101" t="inlineStr">
        <is>
          <t>ÅNGE</t>
        </is>
      </c>
      <c r="F1101" t="inlineStr">
        <is>
          <t>SCA</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50235-2021</t>
        </is>
      </c>
      <c r="B1102" s="1" t="n">
        <v>44457</v>
      </c>
      <c r="C1102" s="1" t="n">
        <v>46065</v>
      </c>
      <c r="D1102" t="inlineStr">
        <is>
          <t>VÄSTERNORRLANDS LÄN</t>
        </is>
      </c>
      <c r="E1102" t="inlineStr">
        <is>
          <t>ÅNGE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39434-2025</t>
        </is>
      </c>
      <c r="B1103" s="1" t="n">
        <v>45889.67811342593</v>
      </c>
      <c r="C1103" s="1" t="n">
        <v>46065</v>
      </c>
      <c r="D1103" t="inlineStr">
        <is>
          <t>VÄSTERNORRLANDS LÄN</t>
        </is>
      </c>
      <c r="E1103" t="inlineStr">
        <is>
          <t>ÅNGE</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11529-2023</t>
        </is>
      </c>
      <c r="B1104" s="1" t="n">
        <v>44993</v>
      </c>
      <c r="C1104" s="1" t="n">
        <v>46065</v>
      </c>
      <c r="D1104" t="inlineStr">
        <is>
          <t>VÄSTERNORRLANDS LÄN</t>
        </is>
      </c>
      <c r="E1104" t="inlineStr">
        <is>
          <t>ÅNGE</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47950-2024</t>
        </is>
      </c>
      <c r="B1105" s="1" t="n">
        <v>45589.36511574074</v>
      </c>
      <c r="C1105" s="1" t="n">
        <v>46065</v>
      </c>
      <c r="D1105" t="inlineStr">
        <is>
          <t>VÄSTERNORRLANDS LÄN</t>
        </is>
      </c>
      <c r="E1105" t="inlineStr">
        <is>
          <t>ÅNGE</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11299-2023</t>
        </is>
      </c>
      <c r="B1106" s="1" t="n">
        <v>44993.01074074074</v>
      </c>
      <c r="C1106" s="1" t="n">
        <v>46065</v>
      </c>
      <c r="D1106" t="inlineStr">
        <is>
          <t>VÄSTERNORRLANDS LÄN</t>
        </is>
      </c>
      <c r="E1106" t="inlineStr">
        <is>
          <t>ÅNGE</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11309-2023</t>
        </is>
      </c>
      <c r="B1107" s="1" t="n">
        <v>44993.0118287037</v>
      </c>
      <c r="C1107" s="1" t="n">
        <v>46065</v>
      </c>
      <c r="D1107" t="inlineStr">
        <is>
          <t>VÄSTERNORRLANDS LÄN</t>
        </is>
      </c>
      <c r="E1107" t="inlineStr">
        <is>
          <t>ÅNGE</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62834-2021</t>
        </is>
      </c>
      <c r="B1108" s="1" t="n">
        <v>44503</v>
      </c>
      <c r="C1108" s="1" t="n">
        <v>46065</v>
      </c>
      <c r="D1108" t="inlineStr">
        <is>
          <t>VÄSTERNORRLANDS LÄN</t>
        </is>
      </c>
      <c r="E1108" t="inlineStr">
        <is>
          <t>ÅNGE</t>
        </is>
      </c>
      <c r="F1108" t="inlineStr">
        <is>
          <t>Övriga statliga verk och myndigheter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10557-2023</t>
        </is>
      </c>
      <c r="B1109" s="1" t="n">
        <v>44987</v>
      </c>
      <c r="C1109" s="1" t="n">
        <v>46065</v>
      </c>
      <c r="D1109" t="inlineStr">
        <is>
          <t>VÄSTERNORRLANDS LÄN</t>
        </is>
      </c>
      <c r="E1109" t="inlineStr">
        <is>
          <t>ÅNGE</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31182-2024</t>
        </is>
      </c>
      <c r="B1110" s="1" t="n">
        <v>45503</v>
      </c>
      <c r="C1110" s="1" t="n">
        <v>46065</v>
      </c>
      <c r="D1110" t="inlineStr">
        <is>
          <t>VÄSTERNORRLANDS LÄN</t>
        </is>
      </c>
      <c r="E1110" t="inlineStr">
        <is>
          <t>ÅNGE</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35578-2025</t>
        </is>
      </c>
      <c r="B1111" s="1" t="n">
        <v>45856.67797453704</v>
      </c>
      <c r="C1111" s="1" t="n">
        <v>46065</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39768-2025</t>
        </is>
      </c>
      <c r="B1112" s="1" t="n">
        <v>45891.44842592593</v>
      </c>
      <c r="C1112" s="1" t="n">
        <v>46065</v>
      </c>
      <c r="D1112" t="inlineStr">
        <is>
          <t>VÄSTERNORRLANDS LÄN</t>
        </is>
      </c>
      <c r="E1112" t="inlineStr">
        <is>
          <t>ÅNGE</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33720-2025</t>
        </is>
      </c>
      <c r="B1113" s="1" t="n">
        <v>45841.90605324074</v>
      </c>
      <c r="C1113" s="1" t="n">
        <v>46065</v>
      </c>
      <c r="D1113" t="inlineStr">
        <is>
          <t>VÄSTERNORRLANDS LÄN</t>
        </is>
      </c>
      <c r="E1113" t="inlineStr">
        <is>
          <t>ÅNGE</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39729-2025</t>
        </is>
      </c>
      <c r="B1114" s="1" t="n">
        <v>45891</v>
      </c>
      <c r="C1114" s="1" t="n">
        <v>46065</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16450-2025</t>
        </is>
      </c>
      <c r="B1115" s="1" t="n">
        <v>45751.51081018519</v>
      </c>
      <c r="C1115" s="1" t="n">
        <v>46065</v>
      </c>
      <c r="D1115" t="inlineStr">
        <is>
          <t>VÄSTERNORRLANDS LÄN</t>
        </is>
      </c>
      <c r="E1115" t="inlineStr">
        <is>
          <t>ÅNGE</t>
        </is>
      </c>
      <c r="F1115" t="inlineStr">
        <is>
          <t>SCA</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41758-2024</t>
        </is>
      </c>
      <c r="B1116" s="1" t="n">
        <v>45561.34478009259</v>
      </c>
      <c r="C1116" s="1" t="n">
        <v>46065</v>
      </c>
      <c r="D1116" t="inlineStr">
        <is>
          <t>VÄSTERNORRLANDS LÄN</t>
        </is>
      </c>
      <c r="E1116" t="inlineStr">
        <is>
          <t>ÅNGE</t>
        </is>
      </c>
      <c r="F1116" t="inlineStr">
        <is>
          <t>SCA</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5433-2024</t>
        </is>
      </c>
      <c r="B1117" s="1" t="n">
        <v>45331</v>
      </c>
      <c r="C1117" s="1" t="n">
        <v>46065</v>
      </c>
      <c r="D1117" t="inlineStr">
        <is>
          <t>VÄSTERNORRLANDS LÄN</t>
        </is>
      </c>
      <c r="E1117" t="inlineStr">
        <is>
          <t>ÅNGE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19926-2025</t>
        </is>
      </c>
      <c r="B1118" s="1" t="n">
        <v>45771.6357175926</v>
      </c>
      <c r="C1118" s="1" t="n">
        <v>46065</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51055-2023</t>
        </is>
      </c>
      <c r="B1119" s="1" t="n">
        <v>45218</v>
      </c>
      <c r="C1119" s="1" t="n">
        <v>46065</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6684-2024</t>
        </is>
      </c>
      <c r="B1120" s="1" t="n">
        <v>45341.92555555556</v>
      </c>
      <c r="C1120" s="1" t="n">
        <v>46065</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40665-2025</t>
        </is>
      </c>
      <c r="B1121" s="1" t="n">
        <v>45896.65663194445</v>
      </c>
      <c r="C1121" s="1" t="n">
        <v>46065</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113-2025</t>
        </is>
      </c>
      <c r="B1122" s="1" t="n">
        <v>45659.5106712963</v>
      </c>
      <c r="C1122" s="1" t="n">
        <v>46065</v>
      </c>
      <c r="D1122" t="inlineStr">
        <is>
          <t>VÄSTERNORRLANDS LÄN</t>
        </is>
      </c>
      <c r="E1122" t="inlineStr">
        <is>
          <t>ÅNGE</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1403-2025</t>
        </is>
      </c>
      <c r="B1123" s="1" t="n">
        <v>45667.70548611111</v>
      </c>
      <c r="C1123" s="1" t="n">
        <v>46065</v>
      </c>
      <c r="D1123" t="inlineStr">
        <is>
          <t>VÄSTERNORRLANDS LÄN</t>
        </is>
      </c>
      <c r="E1123" t="inlineStr">
        <is>
          <t>ÅNGE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39619-2024</t>
        </is>
      </c>
      <c r="B1124" s="1" t="n">
        <v>45552</v>
      </c>
      <c r="C1124" s="1" t="n">
        <v>46065</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41179-2025</t>
        </is>
      </c>
      <c r="B1125" s="1" t="n">
        <v>45898.55277777778</v>
      </c>
      <c r="C1125" s="1" t="n">
        <v>46065</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41173-2025</t>
        </is>
      </c>
      <c r="B1126" s="1" t="n">
        <v>45898</v>
      </c>
      <c r="C1126" s="1" t="n">
        <v>46065</v>
      </c>
      <c r="D1126" t="inlineStr">
        <is>
          <t>VÄSTERNORRLANDS LÄN</t>
        </is>
      </c>
      <c r="E1126" t="inlineStr">
        <is>
          <t>ÅNGE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40898-2025</t>
        </is>
      </c>
      <c r="B1127" s="1" t="n">
        <v>45897.61503472222</v>
      </c>
      <c r="C1127" s="1" t="n">
        <v>46065</v>
      </c>
      <c r="D1127" t="inlineStr">
        <is>
          <t>VÄSTERNORRLANDS LÄN</t>
        </is>
      </c>
      <c r="E1127" t="inlineStr">
        <is>
          <t>ÅNGE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40899-2025</t>
        </is>
      </c>
      <c r="B1128" s="1" t="n">
        <v>45897.61528935185</v>
      </c>
      <c r="C1128" s="1" t="n">
        <v>46065</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58774-2023</t>
        </is>
      </c>
      <c r="B1129" s="1" t="n">
        <v>45251</v>
      </c>
      <c r="C1129" s="1" t="n">
        <v>46065</v>
      </c>
      <c r="D1129" t="inlineStr">
        <is>
          <t>VÄSTERNORRLANDS LÄN</t>
        </is>
      </c>
      <c r="E1129" t="inlineStr">
        <is>
          <t>ÅNGE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4359-2025</t>
        </is>
      </c>
      <c r="B1130" s="1" t="n">
        <v>45686.33072916666</v>
      </c>
      <c r="C1130" s="1" t="n">
        <v>46065</v>
      </c>
      <c r="D1130" t="inlineStr">
        <is>
          <t>VÄSTERNORRLANDS LÄN</t>
        </is>
      </c>
      <c r="E1130" t="inlineStr">
        <is>
          <t>ÅNGE</t>
        </is>
      </c>
      <c r="F1130" t="inlineStr">
        <is>
          <t>Holmen skog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40872-2025</t>
        </is>
      </c>
      <c r="B1131" s="1" t="n">
        <v>45897.574375</v>
      </c>
      <c r="C1131" s="1" t="n">
        <v>46065</v>
      </c>
      <c r="D1131" t="inlineStr">
        <is>
          <t>VÄSTERNORRLANDS LÄN</t>
        </is>
      </c>
      <c r="E1131" t="inlineStr">
        <is>
          <t>ÅNGE</t>
        </is>
      </c>
      <c r="F1131" t="inlineStr">
        <is>
          <t>SCA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40818-2025</t>
        </is>
      </c>
      <c r="B1132" s="1" t="n">
        <v>45897.48881944444</v>
      </c>
      <c r="C1132" s="1" t="n">
        <v>46065</v>
      </c>
      <c r="D1132" t="inlineStr">
        <is>
          <t>VÄSTERNORRLANDS LÄN</t>
        </is>
      </c>
      <c r="E1132" t="inlineStr">
        <is>
          <t>ÅNGE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40830-2025</t>
        </is>
      </c>
      <c r="B1133" s="1" t="n">
        <v>45897.51079861111</v>
      </c>
      <c r="C1133" s="1" t="n">
        <v>46065</v>
      </c>
      <c r="D1133" t="inlineStr">
        <is>
          <t>VÄSTERNORRLANDS LÄN</t>
        </is>
      </c>
      <c r="E1133" t="inlineStr">
        <is>
          <t>ÅNGE</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11399-2025</t>
        </is>
      </c>
      <c r="B1134" s="1" t="n">
        <v>45726.57364583333</v>
      </c>
      <c r="C1134" s="1" t="n">
        <v>46065</v>
      </c>
      <c r="D1134" t="inlineStr">
        <is>
          <t>VÄSTERNORRLANDS LÄN</t>
        </is>
      </c>
      <c r="E1134" t="inlineStr">
        <is>
          <t>ÅNGE</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15822-2025</t>
        </is>
      </c>
      <c r="B1135" s="1" t="n">
        <v>45748.70172453704</v>
      </c>
      <c r="C1135" s="1" t="n">
        <v>46065</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57591-2022</t>
        </is>
      </c>
      <c r="B1136" s="1" t="n">
        <v>44896.97834490741</v>
      </c>
      <c r="C1136" s="1" t="n">
        <v>46065</v>
      </c>
      <c r="D1136" t="inlineStr">
        <is>
          <t>VÄSTERNORRLANDS LÄN</t>
        </is>
      </c>
      <c r="E1136" t="inlineStr">
        <is>
          <t>ÅNGE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17044-2023</t>
        </is>
      </c>
      <c r="B1137" s="1" t="n">
        <v>45034</v>
      </c>
      <c r="C1137" s="1" t="n">
        <v>46065</v>
      </c>
      <c r="D1137" t="inlineStr">
        <is>
          <t>VÄSTERNORRLANDS LÄN</t>
        </is>
      </c>
      <c r="E1137" t="inlineStr">
        <is>
          <t>ÅNGE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41355-2025</t>
        </is>
      </c>
      <c r="B1138" s="1" t="n">
        <v>45900.34425925926</v>
      </c>
      <c r="C1138" s="1" t="n">
        <v>46065</v>
      </c>
      <c r="D1138" t="inlineStr">
        <is>
          <t>VÄSTERNORRLANDS LÄN</t>
        </is>
      </c>
      <c r="E1138" t="inlineStr">
        <is>
          <t>ÅNGE</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60812-2024</t>
        </is>
      </c>
      <c r="B1139" s="1" t="n">
        <v>45644</v>
      </c>
      <c r="C1139" s="1" t="n">
        <v>46065</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58943-2022</t>
        </is>
      </c>
      <c r="B1140" s="1" t="n">
        <v>44903.64400462963</v>
      </c>
      <c r="C1140" s="1" t="n">
        <v>46065</v>
      </c>
      <c r="D1140" t="inlineStr">
        <is>
          <t>VÄSTERNORRLANDS LÄN</t>
        </is>
      </c>
      <c r="E1140" t="inlineStr">
        <is>
          <t>ÅNGE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1103-2023</t>
        </is>
      </c>
      <c r="B1141" s="1" t="n">
        <v>44929</v>
      </c>
      <c r="C1141" s="1" t="n">
        <v>46065</v>
      </c>
      <c r="D1141" t="inlineStr">
        <is>
          <t>VÄSTERNORRLANDS LÄN</t>
        </is>
      </c>
      <c r="E1141" t="inlineStr">
        <is>
          <t>ÅNGE</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41870-2025</t>
        </is>
      </c>
      <c r="B1142" s="1" t="n">
        <v>45903.3446412037</v>
      </c>
      <c r="C1142" s="1" t="n">
        <v>46065</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41872-2025</t>
        </is>
      </c>
      <c r="B1143" s="1" t="n">
        <v>45903.34497685185</v>
      </c>
      <c r="C1143" s="1" t="n">
        <v>46065</v>
      </c>
      <c r="D1143" t="inlineStr">
        <is>
          <t>VÄSTERNORRLANDS LÄN</t>
        </is>
      </c>
      <c r="E1143" t="inlineStr">
        <is>
          <t>ÅNGE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57526-2024</t>
        </is>
      </c>
      <c r="B1144" s="1" t="n">
        <v>45630</v>
      </c>
      <c r="C1144" s="1" t="n">
        <v>46065</v>
      </c>
      <c r="D1144" t="inlineStr">
        <is>
          <t>VÄSTERNORRLANDS LÄN</t>
        </is>
      </c>
      <c r="E1144" t="inlineStr">
        <is>
          <t>ÅNGE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42889-2025</t>
        </is>
      </c>
      <c r="B1145" s="1" t="n">
        <v>45908.65546296296</v>
      </c>
      <c r="C1145" s="1" t="n">
        <v>46065</v>
      </c>
      <c r="D1145" t="inlineStr">
        <is>
          <t>VÄSTERNORRLANDS LÄN</t>
        </is>
      </c>
      <c r="E1145" t="inlineStr">
        <is>
          <t>ÅNGE</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42786-2025</t>
        </is>
      </c>
      <c r="B1146" s="1" t="n">
        <v>45908.51097222222</v>
      </c>
      <c r="C1146" s="1" t="n">
        <v>46065</v>
      </c>
      <c r="D1146" t="inlineStr">
        <is>
          <t>VÄSTERNORRLANDS LÄN</t>
        </is>
      </c>
      <c r="E1146" t="inlineStr">
        <is>
          <t>ÅNGE</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18456-2024</t>
        </is>
      </c>
      <c r="B1147" s="1" t="n">
        <v>45425.46831018518</v>
      </c>
      <c r="C1147" s="1" t="n">
        <v>46065</v>
      </c>
      <c r="D1147" t="inlineStr">
        <is>
          <t>VÄSTERNORRLANDS LÄN</t>
        </is>
      </c>
      <c r="E1147" t="inlineStr">
        <is>
          <t>ÅNGE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5035-2025</t>
        </is>
      </c>
      <c r="B1148" s="1" t="n">
        <v>45691</v>
      </c>
      <c r="C1148" s="1" t="n">
        <v>46065</v>
      </c>
      <c r="D1148" t="inlineStr">
        <is>
          <t>VÄSTERNORRLANDS LÄN</t>
        </is>
      </c>
      <c r="E1148" t="inlineStr">
        <is>
          <t>ÅNGE</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42863-2025</t>
        </is>
      </c>
      <c r="B1149" s="1" t="n">
        <v>45908.61527777778</v>
      </c>
      <c r="C1149" s="1" t="n">
        <v>46065</v>
      </c>
      <c r="D1149" t="inlineStr">
        <is>
          <t>VÄSTERNORRLANDS LÄN</t>
        </is>
      </c>
      <c r="E1149" t="inlineStr">
        <is>
          <t>ÅNGE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42731-2025</t>
        </is>
      </c>
      <c r="B1150" s="1" t="n">
        <v>45908.40686342592</v>
      </c>
      <c r="C1150" s="1" t="n">
        <v>46065</v>
      </c>
      <c r="D1150" t="inlineStr">
        <is>
          <t>VÄSTERNORRLANDS LÄN</t>
        </is>
      </c>
      <c r="E1150" t="inlineStr">
        <is>
          <t>ÅNGE</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42785-2025</t>
        </is>
      </c>
      <c r="B1151" s="1" t="n">
        <v>45908.51083333333</v>
      </c>
      <c r="C1151" s="1" t="n">
        <v>46065</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21456-2025</t>
        </is>
      </c>
      <c r="B1152" s="1" t="n">
        <v>45782.55342592593</v>
      </c>
      <c r="C1152" s="1" t="n">
        <v>46065</v>
      </c>
      <c r="D1152" t="inlineStr">
        <is>
          <t>VÄSTERNORRLANDS LÄN</t>
        </is>
      </c>
      <c r="E1152" t="inlineStr">
        <is>
          <t>ÅNGE</t>
        </is>
      </c>
      <c r="F1152" t="inlineStr">
        <is>
          <t>SCA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3-2025</t>
        </is>
      </c>
      <c r="B1153" s="1" t="n">
        <v>45658.49819444444</v>
      </c>
      <c r="C1153" s="1" t="n">
        <v>46065</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9619-2021</t>
        </is>
      </c>
      <c r="B1154" s="1" t="n">
        <v>44251</v>
      </c>
      <c r="C1154" s="1" t="n">
        <v>46065</v>
      </c>
      <c r="D1154" t="inlineStr">
        <is>
          <t>VÄSTERNORRLANDS LÄN</t>
        </is>
      </c>
      <c r="E1154" t="inlineStr">
        <is>
          <t>ÅNGE</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42730-2025</t>
        </is>
      </c>
      <c r="B1155" s="1" t="n">
        <v>45908.40666666667</v>
      </c>
      <c r="C1155" s="1" t="n">
        <v>46065</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42589-2025</t>
        </is>
      </c>
      <c r="B1156" s="1" t="n">
        <v>45905.63585648148</v>
      </c>
      <c r="C1156" s="1" t="n">
        <v>46065</v>
      </c>
      <c r="D1156" t="inlineStr">
        <is>
          <t>VÄSTERNORRLANDS LÄN</t>
        </is>
      </c>
      <c r="E1156" t="inlineStr">
        <is>
          <t>ÅNGE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42764-2025</t>
        </is>
      </c>
      <c r="B1157" s="1" t="n">
        <v>45908.46943287037</v>
      </c>
      <c r="C1157" s="1" t="n">
        <v>46065</v>
      </c>
      <c r="D1157" t="inlineStr">
        <is>
          <t>VÄSTERNORRLANDS LÄN</t>
        </is>
      </c>
      <c r="E1157" t="inlineStr">
        <is>
          <t>ÅNGE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44180-2023</t>
        </is>
      </c>
      <c r="B1158" s="1" t="n">
        <v>45183</v>
      </c>
      <c r="C1158" s="1" t="n">
        <v>46065</v>
      </c>
      <c r="D1158" t="inlineStr">
        <is>
          <t>VÄSTERNORRLANDS LÄN</t>
        </is>
      </c>
      <c r="E1158" t="inlineStr">
        <is>
          <t>ÅNGE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42880-2025</t>
        </is>
      </c>
      <c r="B1159" s="1" t="n">
        <v>45908.63599537037</v>
      </c>
      <c r="C1159" s="1" t="n">
        <v>46065</v>
      </c>
      <c r="D1159" t="inlineStr">
        <is>
          <t>VÄSTERNORRLANDS LÄN</t>
        </is>
      </c>
      <c r="E1159" t="inlineStr">
        <is>
          <t>ÅNGE</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43237-2025</t>
        </is>
      </c>
      <c r="B1160" s="1" t="n">
        <v>45910.51670138889</v>
      </c>
      <c r="C1160" s="1" t="n">
        <v>46065</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43250-2025</t>
        </is>
      </c>
      <c r="B1161" s="1" t="n">
        <v>45910.5525462963</v>
      </c>
      <c r="C1161" s="1" t="n">
        <v>46065</v>
      </c>
      <c r="D1161" t="inlineStr">
        <is>
          <t>VÄSTERNORRLANDS LÄN</t>
        </is>
      </c>
      <c r="E1161" t="inlineStr">
        <is>
          <t>ÅNGE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53858-2024</t>
        </is>
      </c>
      <c r="B1162" s="1" t="n">
        <v>45615</v>
      </c>
      <c r="C1162" s="1" t="n">
        <v>46065</v>
      </c>
      <c r="D1162" t="inlineStr">
        <is>
          <t>VÄSTERNORRLANDS LÄN</t>
        </is>
      </c>
      <c r="E1162" t="inlineStr">
        <is>
          <t>ÅNGE</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43221-2025</t>
        </is>
      </c>
      <c r="B1163" s="1" t="n">
        <v>45910.47981481482</v>
      </c>
      <c r="C1163" s="1" t="n">
        <v>46065</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43265-2025</t>
        </is>
      </c>
      <c r="B1164" s="1" t="n">
        <v>45910.57377314815</v>
      </c>
      <c r="C1164" s="1" t="n">
        <v>46065</v>
      </c>
      <c r="D1164" t="inlineStr">
        <is>
          <t>VÄSTERNORRLANDS LÄN</t>
        </is>
      </c>
      <c r="E1164" t="inlineStr">
        <is>
          <t>ÅNGE</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5197-2025</t>
        </is>
      </c>
      <c r="B1165" s="1" t="n">
        <v>45691.65701388889</v>
      </c>
      <c r="C1165" s="1" t="n">
        <v>46065</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43252-2025</t>
        </is>
      </c>
      <c r="B1166" s="1" t="n">
        <v>45910.55292824074</v>
      </c>
      <c r="C1166" s="1" t="n">
        <v>46065</v>
      </c>
      <c r="D1166" t="inlineStr">
        <is>
          <t>VÄSTERNORRLANDS LÄN</t>
        </is>
      </c>
      <c r="E1166" t="inlineStr">
        <is>
          <t>ÅNGE</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5246-2025</t>
        </is>
      </c>
      <c r="B1167" s="1" t="n">
        <v>45692.34427083333</v>
      </c>
      <c r="C1167" s="1" t="n">
        <v>46065</v>
      </c>
      <c r="D1167" t="inlineStr">
        <is>
          <t>VÄSTERNORRLANDS LÄN</t>
        </is>
      </c>
      <c r="E1167" t="inlineStr">
        <is>
          <t>ÅNGE</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43091-2025</t>
        </is>
      </c>
      <c r="B1168" s="1" t="n">
        <v>45909.62511574074</v>
      </c>
      <c r="C1168" s="1" t="n">
        <v>46065</v>
      </c>
      <c r="D1168" t="inlineStr">
        <is>
          <t>VÄSTERNORRLANDS LÄN</t>
        </is>
      </c>
      <c r="E1168" t="inlineStr">
        <is>
          <t>ÅNGE</t>
        </is>
      </c>
      <c r="F1168" t="inlineStr">
        <is>
          <t>Kyrkan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41829-2021</t>
        </is>
      </c>
      <c r="B1169" s="1" t="n">
        <v>44425.92202546296</v>
      </c>
      <c r="C1169" s="1" t="n">
        <v>46065</v>
      </c>
      <c r="D1169" t="inlineStr">
        <is>
          <t>VÄSTERNORRLANDS LÄN</t>
        </is>
      </c>
      <c r="E1169" t="inlineStr">
        <is>
          <t>ÅNGE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43077-2025</t>
        </is>
      </c>
      <c r="B1170" s="1" t="n">
        <v>45909.6046412037</v>
      </c>
      <c r="C1170" s="1" t="n">
        <v>46065</v>
      </c>
      <c r="D1170" t="inlineStr">
        <is>
          <t>VÄSTERNORRLANDS LÄN</t>
        </is>
      </c>
      <c r="E1170" t="inlineStr">
        <is>
          <t>ÅNGE</t>
        </is>
      </c>
      <c r="F1170" t="inlineStr">
        <is>
          <t>Kyrkan</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43385-2025</t>
        </is>
      </c>
      <c r="B1171" s="1" t="n">
        <v>45911.36508101852</v>
      </c>
      <c r="C1171" s="1" t="n">
        <v>46065</v>
      </c>
      <c r="D1171" t="inlineStr">
        <is>
          <t>VÄSTERNORRLANDS LÄN</t>
        </is>
      </c>
      <c r="E1171" t="inlineStr">
        <is>
          <t>ÅNGE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43707-2025</t>
        </is>
      </c>
      <c r="B1172" s="1" t="n">
        <v>45912.40668981482</v>
      </c>
      <c r="C1172" s="1" t="n">
        <v>46065</v>
      </c>
      <c r="D1172" t="inlineStr">
        <is>
          <t>VÄSTERNORRLANDS LÄN</t>
        </is>
      </c>
      <c r="E1172" t="inlineStr">
        <is>
          <t>ÅNGE</t>
        </is>
      </c>
      <c r="F1172" t="inlineStr">
        <is>
          <t>SCA</t>
        </is>
      </c>
      <c r="G1172" t="n">
        <v>12.5</v>
      </c>
      <c r="H1172" t="n">
        <v>0</v>
      </c>
      <c r="I1172" t="n">
        <v>0</v>
      </c>
      <c r="J1172" t="n">
        <v>0</v>
      </c>
      <c r="K1172" t="n">
        <v>0</v>
      </c>
      <c r="L1172" t="n">
        <v>0</v>
      </c>
      <c r="M1172" t="n">
        <v>0</v>
      </c>
      <c r="N1172" t="n">
        <v>0</v>
      </c>
      <c r="O1172" t="n">
        <v>0</v>
      </c>
      <c r="P1172" t="n">
        <v>0</v>
      </c>
      <c r="Q1172" t="n">
        <v>0</v>
      </c>
      <c r="R1172" s="2" t="inlineStr"/>
      <c r="U1172">
        <f>HYPERLINK("https://klasma.github.io/Logging_2260/knärot/A 43707-2025 karta knärot.png", "A 43707-2025")</f>
        <v/>
      </c>
      <c r="V1172">
        <f>HYPERLINK("https://klasma.github.io/Logging_2260/klagomål/A 43707-2025 FSC-klagomål.docx", "A 43707-2025")</f>
        <v/>
      </c>
      <c r="W1172">
        <f>HYPERLINK("https://klasma.github.io/Logging_2260/klagomålsmail/A 43707-2025 FSC-klagomål mail.docx", "A 43707-2025")</f>
        <v/>
      </c>
      <c r="X1172">
        <f>HYPERLINK("https://klasma.github.io/Logging_2260/tillsyn/A 43707-2025 tillsynsbegäran.docx", "A 43707-2025")</f>
        <v/>
      </c>
      <c r="Y1172">
        <f>HYPERLINK("https://klasma.github.io/Logging_2260/tillsynsmail/A 43707-2025 tillsynsbegäran mail.docx", "A 43707-2025")</f>
        <v/>
      </c>
    </row>
    <row r="1173" ht="15" customHeight="1">
      <c r="A1173" t="inlineStr">
        <is>
          <t>A 43415-2025</t>
        </is>
      </c>
      <c r="B1173" s="1" t="n">
        <v>45911.40662037037</v>
      </c>
      <c r="C1173" s="1" t="n">
        <v>46065</v>
      </c>
      <c r="D1173" t="inlineStr">
        <is>
          <t>VÄSTERNORRLANDS LÄN</t>
        </is>
      </c>
      <c r="E1173" t="inlineStr">
        <is>
          <t>ÅNGE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50612-2024</t>
        </is>
      </c>
      <c r="B1174" s="1" t="n">
        <v>45601</v>
      </c>
      <c r="C1174" s="1" t="n">
        <v>46065</v>
      </c>
      <c r="D1174" t="inlineStr">
        <is>
          <t>VÄSTERNORRLANDS LÄN</t>
        </is>
      </c>
      <c r="E1174" t="inlineStr">
        <is>
          <t>ÅNGE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43389-2025</t>
        </is>
      </c>
      <c r="B1175" s="1" t="n">
        <v>45911.36560185185</v>
      </c>
      <c r="C1175" s="1" t="n">
        <v>46065</v>
      </c>
      <c r="D1175" t="inlineStr">
        <is>
          <t>VÄSTERNORRLANDS LÄN</t>
        </is>
      </c>
      <c r="E1175" t="inlineStr">
        <is>
          <t>ÅNGE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43546-2025</t>
        </is>
      </c>
      <c r="B1176" s="1" t="n">
        <v>45911.6153125</v>
      </c>
      <c r="C1176" s="1" t="n">
        <v>46065</v>
      </c>
      <c r="D1176" t="inlineStr">
        <is>
          <t>VÄSTERNORRLANDS LÄN</t>
        </is>
      </c>
      <c r="E1176" t="inlineStr">
        <is>
          <t>ÅNGE</t>
        </is>
      </c>
      <c r="F1176" t="inlineStr">
        <is>
          <t>SCA</t>
        </is>
      </c>
      <c r="G1176" t="n">
        <v>9.6</v>
      </c>
      <c r="H1176" t="n">
        <v>0</v>
      </c>
      <c r="I1176" t="n">
        <v>0</v>
      </c>
      <c r="J1176" t="n">
        <v>0</v>
      </c>
      <c r="K1176" t="n">
        <v>0</v>
      </c>
      <c r="L1176" t="n">
        <v>0</v>
      </c>
      <c r="M1176" t="n">
        <v>0</v>
      </c>
      <c r="N1176" t="n">
        <v>0</v>
      </c>
      <c r="O1176" t="n">
        <v>0</v>
      </c>
      <c r="P1176" t="n">
        <v>0</v>
      </c>
      <c r="Q1176" t="n">
        <v>0</v>
      </c>
      <c r="R1176" s="2" t="inlineStr"/>
    </row>
    <row r="1177" ht="15" customHeight="1">
      <c r="A1177" t="inlineStr">
        <is>
          <t>A 13491-2023</t>
        </is>
      </c>
      <c r="B1177" s="1" t="n">
        <v>45005.93929398148</v>
      </c>
      <c r="C1177" s="1" t="n">
        <v>46065</v>
      </c>
      <c r="D1177" t="inlineStr">
        <is>
          <t>VÄSTERNORRLANDS LÄN</t>
        </is>
      </c>
      <c r="E1177" t="inlineStr">
        <is>
          <t>ÅNGE</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43386-2025</t>
        </is>
      </c>
      <c r="B1178" s="1" t="n">
        <v>45911.36520833334</v>
      </c>
      <c r="C1178" s="1" t="n">
        <v>46065</v>
      </c>
      <c r="D1178" t="inlineStr">
        <is>
          <t>VÄSTERNORRLANDS LÄN</t>
        </is>
      </c>
      <c r="E1178" t="inlineStr">
        <is>
          <t>ÅNGE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47243-2024</t>
        </is>
      </c>
      <c r="B1179" s="1" t="n">
        <v>45586.6987962963</v>
      </c>
      <c r="C1179" s="1" t="n">
        <v>46065</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51054-2024</t>
        </is>
      </c>
      <c r="B1180" s="1" t="n">
        <v>45603</v>
      </c>
      <c r="C1180" s="1" t="n">
        <v>46065</v>
      </c>
      <c r="D1180" t="inlineStr">
        <is>
          <t>VÄSTERNORRLANDS LÄN</t>
        </is>
      </c>
      <c r="E1180" t="inlineStr">
        <is>
          <t>ÅNGE</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37540-2024</t>
        </is>
      </c>
      <c r="B1181" s="1" t="n">
        <v>45541.42111111111</v>
      </c>
      <c r="C1181" s="1" t="n">
        <v>46065</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42948-2024</t>
        </is>
      </c>
      <c r="B1182" s="1" t="n">
        <v>45567.36628472222</v>
      </c>
      <c r="C1182" s="1" t="n">
        <v>46065</v>
      </c>
      <c r="D1182" t="inlineStr">
        <is>
          <t>VÄSTERNORRLANDS LÄN</t>
        </is>
      </c>
      <c r="E1182" t="inlineStr">
        <is>
          <t>ÅNGE</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51059-2024</t>
        </is>
      </c>
      <c r="B1183" s="1" t="n">
        <v>45603</v>
      </c>
      <c r="C1183" s="1" t="n">
        <v>46065</v>
      </c>
      <c r="D1183" t="inlineStr">
        <is>
          <t>VÄSTERNORRLANDS LÄN</t>
        </is>
      </c>
      <c r="E1183" t="inlineStr">
        <is>
          <t>ÅNGE</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53856-2024</t>
        </is>
      </c>
      <c r="B1184" s="1" t="n">
        <v>45615</v>
      </c>
      <c r="C1184" s="1" t="n">
        <v>46065</v>
      </c>
      <c r="D1184" t="inlineStr">
        <is>
          <t>VÄSTERNORRLANDS LÄN</t>
        </is>
      </c>
      <c r="E1184" t="inlineStr">
        <is>
          <t>ÅNGE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54585-2024</t>
        </is>
      </c>
      <c r="B1185" s="1" t="n">
        <v>45617.65762731482</v>
      </c>
      <c r="C1185" s="1" t="n">
        <v>46065</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15404-2025</t>
        </is>
      </c>
      <c r="B1186" s="1" t="n">
        <v>45747.44665509259</v>
      </c>
      <c r="C1186" s="1" t="n">
        <v>46065</v>
      </c>
      <c r="D1186" t="inlineStr">
        <is>
          <t>VÄSTERNORRLANDS LÄN</t>
        </is>
      </c>
      <c r="E1186" t="inlineStr">
        <is>
          <t>ÅNGE</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17703-2025</t>
        </is>
      </c>
      <c r="B1187" s="1" t="n">
        <v>45758.4275462963</v>
      </c>
      <c r="C1187" s="1" t="n">
        <v>46065</v>
      </c>
      <c r="D1187" t="inlineStr">
        <is>
          <t>VÄSTERNORRLANDS LÄN</t>
        </is>
      </c>
      <c r="E1187" t="inlineStr">
        <is>
          <t>ÅNGE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44165-2025</t>
        </is>
      </c>
      <c r="B1188" s="1" t="n">
        <v>45915.59840277778</v>
      </c>
      <c r="C1188" s="1" t="n">
        <v>46065</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42529-2024</t>
        </is>
      </c>
      <c r="B1189" s="1" t="n">
        <v>45565.57324074074</v>
      </c>
      <c r="C1189" s="1" t="n">
        <v>46065</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3966-2025</t>
        </is>
      </c>
      <c r="B1190" s="1" t="n">
        <v>45684.51072916666</v>
      </c>
      <c r="C1190" s="1" t="n">
        <v>46065</v>
      </c>
      <c r="D1190" t="inlineStr">
        <is>
          <t>VÄSTERNORRLANDS LÄN</t>
        </is>
      </c>
      <c r="E1190" t="inlineStr">
        <is>
          <t>ÅNGE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44919-2025</t>
        </is>
      </c>
      <c r="B1191" s="1" t="n">
        <v>45918.55246527777</v>
      </c>
      <c r="C1191" s="1" t="n">
        <v>46065</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44935-2025</t>
        </is>
      </c>
      <c r="B1192" s="1" t="n">
        <v>45918.57392361111</v>
      </c>
      <c r="C1192" s="1" t="n">
        <v>46065</v>
      </c>
      <c r="D1192" t="inlineStr">
        <is>
          <t>VÄSTERNORRLANDS LÄN</t>
        </is>
      </c>
      <c r="E1192" t="inlineStr">
        <is>
          <t>ÅNGE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54316-2024</t>
        </is>
      </c>
      <c r="B1193" s="1" t="n">
        <v>45617.34443287037</v>
      </c>
      <c r="C1193" s="1" t="n">
        <v>46065</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24552-2023</t>
        </is>
      </c>
      <c r="B1194" s="1" t="n">
        <v>45082.94226851852</v>
      </c>
      <c r="C1194" s="1" t="n">
        <v>46065</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4186-2025</t>
        </is>
      </c>
      <c r="B1195" s="1" t="n">
        <v>45685.44827546296</v>
      </c>
      <c r="C1195" s="1" t="n">
        <v>46065</v>
      </c>
      <c r="D1195" t="inlineStr">
        <is>
          <t>VÄSTERNORRLANDS LÄN</t>
        </is>
      </c>
      <c r="E1195" t="inlineStr">
        <is>
          <t>ÅNGE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53209-2024</t>
        </is>
      </c>
      <c r="B1196" s="1" t="n">
        <v>45612.51079861111</v>
      </c>
      <c r="C1196" s="1" t="n">
        <v>46065</v>
      </c>
      <c r="D1196" t="inlineStr">
        <is>
          <t>VÄSTERNORRLANDS LÄN</t>
        </is>
      </c>
      <c r="E1196" t="inlineStr">
        <is>
          <t>ÅNGE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45403-2025</t>
        </is>
      </c>
      <c r="B1197" s="1" t="n">
        <v>45922.42803240741</v>
      </c>
      <c r="C1197" s="1" t="n">
        <v>46065</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45404-2025</t>
        </is>
      </c>
      <c r="B1198" s="1" t="n">
        <v>45922.42820601852</v>
      </c>
      <c r="C1198" s="1" t="n">
        <v>46065</v>
      </c>
      <c r="D1198" t="inlineStr">
        <is>
          <t>VÄSTERNORRLANDS LÄN</t>
        </is>
      </c>
      <c r="E1198" t="inlineStr">
        <is>
          <t>ÅNGE</t>
        </is>
      </c>
      <c r="F1198" t="inlineStr">
        <is>
          <t>SCA</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15778-2025</t>
        </is>
      </c>
      <c r="B1199" s="1" t="n">
        <v>45748.60030092593</v>
      </c>
      <c r="C1199" s="1" t="n">
        <v>46065</v>
      </c>
      <c r="D1199" t="inlineStr">
        <is>
          <t>VÄSTERNORRLANDS LÄN</t>
        </is>
      </c>
      <c r="E1199" t="inlineStr">
        <is>
          <t>ÅNGE</t>
        </is>
      </c>
      <c r="F1199" t="inlineStr">
        <is>
          <t>SCA</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17718-2025</t>
        </is>
      </c>
      <c r="B1200" s="1" t="n">
        <v>45758.44815972223</v>
      </c>
      <c r="C1200" s="1" t="n">
        <v>46065</v>
      </c>
      <c r="D1200" t="inlineStr">
        <is>
          <t>VÄSTERNORRLANDS LÄN</t>
        </is>
      </c>
      <c r="E1200" t="inlineStr">
        <is>
          <t>ÅNGE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45401-2025</t>
        </is>
      </c>
      <c r="B1201" s="1" t="n">
        <v>45922.42767361111</v>
      </c>
      <c r="C1201" s="1" t="n">
        <v>46065</v>
      </c>
      <c r="D1201" t="inlineStr">
        <is>
          <t>VÄSTERNORRLANDS LÄN</t>
        </is>
      </c>
      <c r="E1201" t="inlineStr">
        <is>
          <t>ÅNGE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38246-2024</t>
        </is>
      </c>
      <c r="B1202" s="1" t="n">
        <v>45545.57327546296</v>
      </c>
      <c r="C1202" s="1" t="n">
        <v>46065</v>
      </c>
      <c r="D1202" t="inlineStr">
        <is>
          <t>VÄSTERNORRLANDS LÄN</t>
        </is>
      </c>
      <c r="E1202" t="inlineStr">
        <is>
          <t>ÅNGE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26943-2024</t>
        </is>
      </c>
      <c r="B1203" s="1" t="n">
        <v>45470</v>
      </c>
      <c r="C1203" s="1" t="n">
        <v>46065</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53512-2023</t>
        </is>
      </c>
      <c r="B1204" s="1" t="n">
        <v>45230</v>
      </c>
      <c r="C1204" s="1" t="n">
        <v>46065</v>
      </c>
      <c r="D1204" t="inlineStr">
        <is>
          <t>VÄSTERNORRLANDS LÄN</t>
        </is>
      </c>
      <c r="E1204" t="inlineStr">
        <is>
          <t>ÅNGE</t>
        </is>
      </c>
      <c r="F1204" t="inlineStr">
        <is>
          <t>Holmen skog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45875-2025</t>
        </is>
      </c>
      <c r="B1205" s="1" t="n">
        <v>45923.65690972222</v>
      </c>
      <c r="C1205" s="1" t="n">
        <v>46065</v>
      </c>
      <c r="D1205" t="inlineStr">
        <is>
          <t>VÄSTERNORRLANDS LÄN</t>
        </is>
      </c>
      <c r="E1205" t="inlineStr">
        <is>
          <t>ÅNGE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45660-2025</t>
        </is>
      </c>
      <c r="B1206" s="1" t="n">
        <v>45923.34494212963</v>
      </c>
      <c r="C1206" s="1" t="n">
        <v>46065</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46111-2025</t>
        </is>
      </c>
      <c r="B1207" s="1" t="n">
        <v>45924.56684027778</v>
      </c>
      <c r="C1207" s="1" t="n">
        <v>46065</v>
      </c>
      <c r="D1207" t="inlineStr">
        <is>
          <t>VÄSTERNORRLANDS LÄN</t>
        </is>
      </c>
      <c r="E1207" t="inlineStr">
        <is>
          <t>ÅNGE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46109-2025</t>
        </is>
      </c>
      <c r="B1208" s="1" t="n">
        <v>45924.5596412037</v>
      </c>
      <c r="C1208" s="1" t="n">
        <v>46065</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20776-2025</t>
        </is>
      </c>
      <c r="B1209" s="1" t="n">
        <v>45776.59410879629</v>
      </c>
      <c r="C1209" s="1" t="n">
        <v>46065</v>
      </c>
      <c r="D1209" t="inlineStr">
        <is>
          <t>VÄSTERNORRLANDS LÄN</t>
        </is>
      </c>
      <c r="E1209" t="inlineStr">
        <is>
          <t>ÅNGE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20718-2025</t>
        </is>
      </c>
      <c r="B1210" s="1" t="n">
        <v>45776.49047453704</v>
      </c>
      <c r="C1210" s="1" t="n">
        <v>46065</v>
      </c>
      <c r="D1210" t="inlineStr">
        <is>
          <t>VÄSTERNORRLANDS LÄN</t>
        </is>
      </c>
      <c r="E1210" t="inlineStr">
        <is>
          <t>ÅNGE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45659-2025</t>
        </is>
      </c>
      <c r="B1211" s="1" t="n">
        <v>45923.34471064815</v>
      </c>
      <c r="C1211" s="1" t="n">
        <v>46065</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20864-2025</t>
        </is>
      </c>
      <c r="B1212" s="1" t="n">
        <v>45777.34417824074</v>
      </c>
      <c r="C1212" s="1" t="n">
        <v>46065</v>
      </c>
      <c r="D1212" t="inlineStr">
        <is>
          <t>VÄSTERNORRLANDS LÄN</t>
        </is>
      </c>
      <c r="E1212" t="inlineStr">
        <is>
          <t>ÅNGE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45970-2025</t>
        </is>
      </c>
      <c r="B1213" s="1" t="n">
        <v>45924.36519675926</v>
      </c>
      <c r="C1213" s="1" t="n">
        <v>46065</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46267-2025</t>
        </is>
      </c>
      <c r="B1214" s="1" t="n">
        <v>45925.36578703704</v>
      </c>
      <c r="C1214" s="1" t="n">
        <v>46065</v>
      </c>
      <c r="D1214" t="inlineStr">
        <is>
          <t>VÄSTERNORRLANDS LÄN</t>
        </is>
      </c>
      <c r="E1214" t="inlineStr">
        <is>
          <t>ÅNGE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21068-2025</t>
        </is>
      </c>
      <c r="B1215" s="1" t="n">
        <v>45777.59413194445</v>
      </c>
      <c r="C1215" s="1" t="n">
        <v>46065</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20868-2025</t>
        </is>
      </c>
      <c r="B1216" s="1" t="n">
        <v>45777.34483796296</v>
      </c>
      <c r="C1216" s="1" t="n">
        <v>46065</v>
      </c>
      <c r="D1216" t="inlineStr">
        <is>
          <t>VÄSTERNORRLANDS LÄN</t>
        </is>
      </c>
      <c r="E1216" t="inlineStr">
        <is>
          <t>ÅNGE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21176-2025</t>
        </is>
      </c>
      <c r="B1217" s="1" t="n">
        <v>45779.42798611111</v>
      </c>
      <c r="C1217" s="1" t="n">
        <v>46065</v>
      </c>
      <c r="D1217" t="inlineStr">
        <is>
          <t>VÄSTERNORRLANDS LÄN</t>
        </is>
      </c>
      <c r="E1217" t="inlineStr">
        <is>
          <t>ÅNGE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46419-2025</t>
        </is>
      </c>
      <c r="B1218" s="1" t="n">
        <v>45925.5949537037</v>
      </c>
      <c r="C1218" s="1" t="n">
        <v>46065</v>
      </c>
      <c r="D1218" t="inlineStr">
        <is>
          <t>VÄSTERNORRLANDS LÄN</t>
        </is>
      </c>
      <c r="E1218" t="inlineStr">
        <is>
          <t>ÅNGE</t>
        </is>
      </c>
      <c r="F1218" t="inlineStr">
        <is>
          <t>SCA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46416-2025</t>
        </is>
      </c>
      <c r="B1219" s="1" t="n">
        <v>45925.594375</v>
      </c>
      <c r="C1219" s="1" t="n">
        <v>46065</v>
      </c>
      <c r="D1219" t="inlineStr">
        <is>
          <t>VÄSTERNORRLANDS LÄN</t>
        </is>
      </c>
      <c r="E1219" t="inlineStr">
        <is>
          <t>ÅNGE</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21197-2025</t>
        </is>
      </c>
      <c r="B1220" s="1" t="n">
        <v>45779.46949074074</v>
      </c>
      <c r="C1220" s="1" t="n">
        <v>46065</v>
      </c>
      <c r="D1220" t="inlineStr">
        <is>
          <t>VÄSTERNORRLANDS LÄN</t>
        </is>
      </c>
      <c r="E1220" t="inlineStr">
        <is>
          <t>ÅNGE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21563-2025</t>
        </is>
      </c>
      <c r="B1221" s="1" t="n">
        <v>45782.69822916666</v>
      </c>
      <c r="C1221" s="1" t="n">
        <v>46065</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45030-2024</t>
        </is>
      </c>
      <c r="B1222" s="1" t="n">
        <v>45575.52089120371</v>
      </c>
      <c r="C1222" s="1" t="n">
        <v>46065</v>
      </c>
      <c r="D1222" t="inlineStr">
        <is>
          <t>VÄSTERNORRLANDS LÄN</t>
        </is>
      </c>
      <c r="E1222" t="inlineStr">
        <is>
          <t>ÅNGE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21263-2025</t>
        </is>
      </c>
      <c r="B1223" s="1" t="n">
        <v>45779.61233796296</v>
      </c>
      <c r="C1223" s="1" t="n">
        <v>46065</v>
      </c>
      <c r="D1223" t="inlineStr">
        <is>
          <t>VÄSTERNORRLANDS LÄN</t>
        </is>
      </c>
      <c r="E1223" t="inlineStr">
        <is>
          <t>ÅNGE</t>
        </is>
      </c>
      <c r="F1223" t="inlineStr">
        <is>
          <t>Sveaskog</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21174-2025</t>
        </is>
      </c>
      <c r="B1224" s="1" t="n">
        <v>45779.42746527777</v>
      </c>
      <c r="C1224" s="1" t="n">
        <v>46065</v>
      </c>
      <c r="D1224" t="inlineStr">
        <is>
          <t>VÄSTERNORRLANDS LÄN</t>
        </is>
      </c>
      <c r="E1224" t="inlineStr">
        <is>
          <t>ÅNGE</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21251-2025</t>
        </is>
      </c>
      <c r="B1225" s="1" t="n">
        <v>45779.57417824074</v>
      </c>
      <c r="C1225" s="1" t="n">
        <v>46065</v>
      </c>
      <c r="D1225" t="inlineStr">
        <is>
          <t>VÄSTERNORRLANDS LÄN</t>
        </is>
      </c>
      <c r="E1225" t="inlineStr">
        <is>
          <t>ÅNGE</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47440-2025</t>
        </is>
      </c>
      <c r="B1226" s="1" t="n">
        <v>45930.63766203704</v>
      </c>
      <c r="C1226" s="1" t="n">
        <v>46065</v>
      </c>
      <c r="D1226" t="inlineStr">
        <is>
          <t>VÄSTERNORRLANDS LÄN</t>
        </is>
      </c>
      <c r="E1226" t="inlineStr">
        <is>
          <t>ÅNGE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21712-2025</t>
        </is>
      </c>
      <c r="B1227" s="1" t="n">
        <v>45783.53210648148</v>
      </c>
      <c r="C1227" s="1" t="n">
        <v>46065</v>
      </c>
      <c r="D1227" t="inlineStr">
        <is>
          <t>VÄSTERNORRLANDS LÄN</t>
        </is>
      </c>
      <c r="E1227" t="inlineStr">
        <is>
          <t>ÅNGE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2539-2025</t>
        </is>
      </c>
      <c r="B1228" s="1" t="n">
        <v>45674.61581018518</v>
      </c>
      <c r="C1228" s="1" t="n">
        <v>46065</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22187-2024</t>
        </is>
      </c>
      <c r="B1229" s="1" t="n">
        <v>45446.35222222222</v>
      </c>
      <c r="C1229" s="1" t="n">
        <v>46065</v>
      </c>
      <c r="D1229" t="inlineStr">
        <is>
          <t>VÄSTERNORRLANDS LÄN</t>
        </is>
      </c>
      <c r="E1229" t="inlineStr">
        <is>
          <t>ÅNGE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21883-2025</t>
        </is>
      </c>
      <c r="B1230" s="1" t="n">
        <v>45784.41361111111</v>
      </c>
      <c r="C1230" s="1" t="n">
        <v>46065</v>
      </c>
      <c r="D1230" t="inlineStr">
        <is>
          <t>VÄSTERNORRLANDS LÄN</t>
        </is>
      </c>
      <c r="E1230" t="inlineStr">
        <is>
          <t>ÅNGE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47118-2025</t>
        </is>
      </c>
      <c r="B1231" s="1" t="n">
        <v>45929.67770833334</v>
      </c>
      <c r="C1231" s="1" t="n">
        <v>46065</v>
      </c>
      <c r="D1231" t="inlineStr">
        <is>
          <t>VÄSTERNORRLANDS LÄN</t>
        </is>
      </c>
      <c r="E1231" t="inlineStr">
        <is>
          <t>ÅNGE</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47196-2025</t>
        </is>
      </c>
      <c r="B1232" s="1" t="n">
        <v>45930.34520833333</v>
      </c>
      <c r="C1232" s="1" t="n">
        <v>46065</v>
      </c>
      <c r="D1232" t="inlineStr">
        <is>
          <t>VÄSTERNORRLANDS LÄN</t>
        </is>
      </c>
      <c r="E1232" t="inlineStr">
        <is>
          <t>ÅNGE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21597-2025</t>
        </is>
      </c>
      <c r="B1233" s="1" t="n">
        <v>45783.34493055556</v>
      </c>
      <c r="C1233" s="1" t="n">
        <v>46065</v>
      </c>
      <c r="D1233" t="inlineStr">
        <is>
          <t>VÄSTERNORRLANDS LÄN</t>
        </is>
      </c>
      <c r="E1233" t="inlineStr">
        <is>
          <t>ÅNGE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25867-2024</t>
        </is>
      </c>
      <c r="B1234" s="1" t="n">
        <v>45463</v>
      </c>
      <c r="C1234" s="1" t="n">
        <v>46065</v>
      </c>
      <c r="D1234" t="inlineStr">
        <is>
          <t>VÄSTERNORRLANDS LÄN</t>
        </is>
      </c>
      <c r="E1234" t="inlineStr">
        <is>
          <t>ÅNGE</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17669-2023</t>
        </is>
      </c>
      <c r="B1235" s="1" t="n">
        <v>45036.94457175926</v>
      </c>
      <c r="C1235" s="1" t="n">
        <v>46065</v>
      </c>
      <c r="D1235" t="inlineStr">
        <is>
          <t>VÄSTERNORRLANDS LÄN</t>
        </is>
      </c>
      <c r="E1235" t="inlineStr">
        <is>
          <t>ÅNGE</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29395-2023</t>
        </is>
      </c>
      <c r="B1236" s="1" t="n">
        <v>45106.4359837963</v>
      </c>
      <c r="C1236" s="1" t="n">
        <v>46065</v>
      </c>
      <c r="D1236" t="inlineStr">
        <is>
          <t>VÄSTERNORRLANDS LÄN</t>
        </is>
      </c>
      <c r="E1236" t="inlineStr">
        <is>
          <t>ÅNGE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21862-2025</t>
        </is>
      </c>
      <c r="B1237" s="1" t="n">
        <v>45784.36519675926</v>
      </c>
      <c r="C1237" s="1" t="n">
        <v>46065</v>
      </c>
      <c r="D1237" t="inlineStr">
        <is>
          <t>VÄSTERNORRLANDS LÄN</t>
        </is>
      </c>
      <c r="E1237" t="inlineStr">
        <is>
          <t>ÅNGE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46829-2025</t>
        </is>
      </c>
      <c r="B1238" s="1" t="n">
        <v>45927.34513888889</v>
      </c>
      <c r="C1238" s="1" t="n">
        <v>46065</v>
      </c>
      <c r="D1238" t="inlineStr">
        <is>
          <t>VÄSTERNORRLANDS LÄN</t>
        </is>
      </c>
      <c r="E1238" t="inlineStr">
        <is>
          <t>ÅNGE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47488-2025</t>
        </is>
      </c>
      <c r="B1239" s="1" t="n">
        <v>45930.69890046296</v>
      </c>
      <c r="C1239" s="1" t="n">
        <v>46065</v>
      </c>
      <c r="D1239" t="inlineStr">
        <is>
          <t>VÄSTERNORRLANDS LÄN</t>
        </is>
      </c>
      <c r="E1239" t="inlineStr">
        <is>
          <t>ÅNGE</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21982-2025</t>
        </is>
      </c>
      <c r="B1240" s="1" t="n">
        <v>45784.65660879629</v>
      </c>
      <c r="C1240" s="1" t="n">
        <v>46065</v>
      </c>
      <c r="D1240" t="inlineStr">
        <is>
          <t>VÄSTERNORRLANDS LÄN</t>
        </is>
      </c>
      <c r="E1240" t="inlineStr">
        <is>
          <t>ÅNGE</t>
        </is>
      </c>
      <c r="F1240" t="inlineStr">
        <is>
          <t>SCA</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46897-2025</t>
        </is>
      </c>
      <c r="B1241" s="1" t="n">
        <v>45929.38597222222</v>
      </c>
      <c r="C1241" s="1" t="n">
        <v>46065</v>
      </c>
      <c r="D1241" t="inlineStr">
        <is>
          <t>VÄSTERNORRLANDS LÄN</t>
        </is>
      </c>
      <c r="E1241" t="inlineStr">
        <is>
          <t>ÅNGE</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54295-2024</t>
        </is>
      </c>
      <c r="B1242" s="1" t="n">
        <v>45617</v>
      </c>
      <c r="C1242" s="1" t="n">
        <v>46065</v>
      </c>
      <c r="D1242" t="inlineStr">
        <is>
          <t>VÄSTERNORRLANDS LÄN</t>
        </is>
      </c>
      <c r="E1242" t="inlineStr">
        <is>
          <t>ÅNGE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47377-2025</t>
        </is>
      </c>
      <c r="B1243" s="1" t="n">
        <v>45930.59469907408</v>
      </c>
      <c r="C1243" s="1" t="n">
        <v>46065</v>
      </c>
      <c r="D1243" t="inlineStr">
        <is>
          <t>VÄSTERNORRLANDS LÄN</t>
        </is>
      </c>
      <c r="E1243" t="inlineStr">
        <is>
          <t>ÅNGE</t>
        </is>
      </c>
      <c r="F1243" t="inlineStr">
        <is>
          <t>SCA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21686-2025</t>
        </is>
      </c>
      <c r="B1244" s="1" t="n">
        <v>45783.490625</v>
      </c>
      <c r="C1244" s="1" t="n">
        <v>46065</v>
      </c>
      <c r="D1244" t="inlineStr">
        <is>
          <t>VÄSTERNORRLANDS LÄN</t>
        </is>
      </c>
      <c r="E1244" t="inlineStr">
        <is>
          <t>ÅNGE</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47305-2025</t>
        </is>
      </c>
      <c r="B1245" s="1" t="n">
        <v>45930</v>
      </c>
      <c r="C1245" s="1" t="n">
        <v>46065</v>
      </c>
      <c r="D1245" t="inlineStr">
        <is>
          <t>VÄSTERNORRLANDS LÄN</t>
        </is>
      </c>
      <c r="E1245" t="inlineStr">
        <is>
          <t>ÅNGE</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21741-2025</t>
        </is>
      </c>
      <c r="B1246" s="1" t="n">
        <v>45783.59415509259</v>
      </c>
      <c r="C1246" s="1" t="n">
        <v>46065</v>
      </c>
      <c r="D1246" t="inlineStr">
        <is>
          <t>VÄSTERNORRLANDS LÄN</t>
        </is>
      </c>
      <c r="E1246" t="inlineStr">
        <is>
          <t>ÅNGE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46933-2025</t>
        </is>
      </c>
      <c r="B1247" s="1" t="n">
        <v>45929.44645833333</v>
      </c>
      <c r="C1247" s="1" t="n">
        <v>46065</v>
      </c>
      <c r="D1247" t="inlineStr">
        <is>
          <t>VÄSTERNORRLANDS LÄN</t>
        </is>
      </c>
      <c r="E1247" t="inlineStr">
        <is>
          <t>ÅNGE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47752-2025</t>
        </is>
      </c>
      <c r="B1248" s="1" t="n">
        <v>45931.66358796296</v>
      </c>
      <c r="C1248" s="1" t="n">
        <v>46065</v>
      </c>
      <c r="D1248" t="inlineStr">
        <is>
          <t>VÄSTERNORRLANDS LÄN</t>
        </is>
      </c>
      <c r="E1248" t="inlineStr">
        <is>
          <t>ÅNGE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39119-2024</t>
        </is>
      </c>
      <c r="B1249" s="1" t="n">
        <v>45548.58939814815</v>
      </c>
      <c r="C1249" s="1" t="n">
        <v>46065</v>
      </c>
      <c r="D1249" t="inlineStr">
        <is>
          <t>VÄSTERNORRLANDS LÄN</t>
        </is>
      </c>
      <c r="E1249" t="inlineStr">
        <is>
          <t>ÅNGE</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21685-2025</t>
        </is>
      </c>
      <c r="B1250" s="1" t="n">
        <v>45783.49050925926</v>
      </c>
      <c r="C1250" s="1" t="n">
        <v>46065</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32257-2024</t>
        </is>
      </c>
      <c r="B1251" s="1" t="n">
        <v>45511</v>
      </c>
      <c r="C1251" s="1" t="n">
        <v>46065</v>
      </c>
      <c r="D1251" t="inlineStr">
        <is>
          <t>VÄSTERNORRLANDS LÄN</t>
        </is>
      </c>
      <c r="E1251" t="inlineStr">
        <is>
          <t>ÅNGE</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48055-2025</t>
        </is>
      </c>
      <c r="B1252" s="1" t="n">
        <v>45932.67922453704</v>
      </c>
      <c r="C1252" s="1" t="n">
        <v>46065</v>
      </c>
      <c r="D1252" t="inlineStr">
        <is>
          <t>VÄSTERNORRLANDS LÄN</t>
        </is>
      </c>
      <c r="E1252" t="inlineStr">
        <is>
          <t>ÅNGE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48069-2025</t>
        </is>
      </c>
      <c r="B1253" s="1" t="n">
        <v>45932.69865740741</v>
      </c>
      <c r="C1253" s="1" t="n">
        <v>46065</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31492-2024</t>
        </is>
      </c>
      <c r="B1254" s="1" t="n">
        <v>45505</v>
      </c>
      <c r="C1254" s="1" t="n">
        <v>46065</v>
      </c>
      <c r="D1254" t="inlineStr">
        <is>
          <t>VÄSTERNORRLANDS LÄN</t>
        </is>
      </c>
      <c r="E1254" t="inlineStr">
        <is>
          <t>ÅNGE</t>
        </is>
      </c>
      <c r="F1254" t="inlineStr">
        <is>
          <t>SCA</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38800-2024</t>
        </is>
      </c>
      <c r="B1255" s="1" t="n">
        <v>45547</v>
      </c>
      <c r="C1255" s="1" t="n">
        <v>46065</v>
      </c>
      <c r="D1255" t="inlineStr">
        <is>
          <t>VÄSTERNORRLANDS LÄN</t>
        </is>
      </c>
      <c r="E1255" t="inlineStr">
        <is>
          <t>ÅNGE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48234-2025</t>
        </is>
      </c>
      <c r="B1256" s="1" t="n">
        <v>45933.53211805555</v>
      </c>
      <c r="C1256" s="1" t="n">
        <v>46065</v>
      </c>
      <c r="D1256" t="inlineStr">
        <is>
          <t>VÄSTERNORRLANDS LÄN</t>
        </is>
      </c>
      <c r="E1256" t="inlineStr">
        <is>
          <t>ÅNGE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48235-2025</t>
        </is>
      </c>
      <c r="B1257" s="1" t="n">
        <v>45933.5321412037</v>
      </c>
      <c r="C1257" s="1" t="n">
        <v>46065</v>
      </c>
      <c r="D1257" t="inlineStr">
        <is>
          <t>VÄSTERNORRLANDS LÄN</t>
        </is>
      </c>
      <c r="E1257" t="inlineStr">
        <is>
          <t>ÅNGE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20880-2025</t>
        </is>
      </c>
      <c r="B1258" s="1" t="n">
        <v>45777</v>
      </c>
      <c r="C1258" s="1" t="n">
        <v>46065</v>
      </c>
      <c r="D1258" t="inlineStr">
        <is>
          <t>VÄSTERNORRLANDS LÄN</t>
        </is>
      </c>
      <c r="E1258" t="inlineStr">
        <is>
          <t>ÅNGE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48679-2025</t>
        </is>
      </c>
      <c r="B1259" s="1" t="n">
        <v>45936.59196759259</v>
      </c>
      <c r="C1259" s="1" t="n">
        <v>46065</v>
      </c>
      <c r="D1259" t="inlineStr">
        <is>
          <t>VÄSTERNORRLANDS LÄN</t>
        </is>
      </c>
      <c r="E1259" t="inlineStr">
        <is>
          <t>ÅNGE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22219-2025</t>
        </is>
      </c>
      <c r="B1260" s="1" t="n">
        <v>45785.65849537037</v>
      </c>
      <c r="C1260" s="1" t="n">
        <v>46065</v>
      </c>
      <c r="D1260" t="inlineStr">
        <is>
          <t>VÄSTERNORRLANDS LÄN</t>
        </is>
      </c>
      <c r="E1260" t="inlineStr">
        <is>
          <t>ÅNGE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22206-2025</t>
        </is>
      </c>
      <c r="B1261" s="1" t="n">
        <v>45785.65699074074</v>
      </c>
      <c r="C1261" s="1" t="n">
        <v>46065</v>
      </c>
      <c r="D1261" t="inlineStr">
        <is>
          <t>VÄSTERNORRLANDS LÄN</t>
        </is>
      </c>
      <c r="E1261" t="inlineStr">
        <is>
          <t>ÅNGE</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26640-2024</t>
        </is>
      </c>
      <c r="B1262" s="1" t="n">
        <v>45469.92831018518</v>
      </c>
      <c r="C1262" s="1" t="n">
        <v>46065</v>
      </c>
      <c r="D1262" t="inlineStr">
        <is>
          <t>VÄSTERNORRLANDS LÄN</t>
        </is>
      </c>
      <c r="E1262" t="inlineStr">
        <is>
          <t>ÅNGE</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18112-2025</t>
        </is>
      </c>
      <c r="B1263" s="1" t="n">
        <v>45761.57350694444</v>
      </c>
      <c r="C1263" s="1" t="n">
        <v>46065</v>
      </c>
      <c r="D1263" t="inlineStr">
        <is>
          <t>VÄSTERNORRLANDS LÄN</t>
        </is>
      </c>
      <c r="E1263" t="inlineStr">
        <is>
          <t>ÅNGE</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49377-2025</t>
        </is>
      </c>
      <c r="B1264" s="1" t="n">
        <v>45938.63626157407</v>
      </c>
      <c r="C1264" s="1" t="n">
        <v>46065</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49156-2025</t>
        </is>
      </c>
      <c r="B1265" s="1" t="n">
        <v>45938.3458912037</v>
      </c>
      <c r="C1265" s="1" t="n">
        <v>46065</v>
      </c>
      <c r="D1265" t="inlineStr">
        <is>
          <t>VÄSTERNORRLANDS LÄN</t>
        </is>
      </c>
      <c r="E1265" t="inlineStr">
        <is>
          <t>ÅNGE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49179-2025</t>
        </is>
      </c>
      <c r="B1266" s="1" t="n">
        <v>45938.38579861111</v>
      </c>
      <c r="C1266" s="1" t="n">
        <v>46065</v>
      </c>
      <c r="D1266" t="inlineStr">
        <is>
          <t>VÄSTERNORRLANDS LÄN</t>
        </is>
      </c>
      <c r="E1266" t="inlineStr">
        <is>
          <t>ÅNGE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22489-2025</t>
        </is>
      </c>
      <c r="B1267" s="1" t="n">
        <v>45786.64946759259</v>
      </c>
      <c r="C1267" s="1" t="n">
        <v>46065</v>
      </c>
      <c r="D1267" t="inlineStr">
        <is>
          <t>VÄSTERNORRLANDS LÄN</t>
        </is>
      </c>
      <c r="E1267" t="inlineStr">
        <is>
          <t>ÅNGE</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49381-2025</t>
        </is>
      </c>
      <c r="B1268" s="1" t="n">
        <v>45938.63694444444</v>
      </c>
      <c r="C1268" s="1" t="n">
        <v>46065</v>
      </c>
      <c r="D1268" t="inlineStr">
        <is>
          <t>VÄSTERNORRLANDS LÄN</t>
        </is>
      </c>
      <c r="E1268" t="inlineStr">
        <is>
          <t>ÅNGE</t>
        </is>
      </c>
      <c r="F1268" t="inlineStr">
        <is>
          <t>SCA</t>
        </is>
      </c>
      <c r="G1268" t="n">
        <v>20.6</v>
      </c>
      <c r="H1268" t="n">
        <v>0</v>
      </c>
      <c r="I1268" t="n">
        <v>0</v>
      </c>
      <c r="J1268" t="n">
        <v>0</v>
      </c>
      <c r="K1268" t="n">
        <v>0</v>
      </c>
      <c r="L1268" t="n">
        <v>0</v>
      </c>
      <c r="M1268" t="n">
        <v>0</v>
      </c>
      <c r="N1268" t="n">
        <v>0</v>
      </c>
      <c r="O1268" t="n">
        <v>0</v>
      </c>
      <c r="P1268" t="n">
        <v>0</v>
      </c>
      <c r="Q1268" t="n">
        <v>0</v>
      </c>
      <c r="R1268" s="2" t="inlineStr"/>
    </row>
    <row r="1269" ht="15" customHeight="1">
      <c r="A1269" t="inlineStr">
        <is>
          <t>A 22549-2025</t>
        </is>
      </c>
      <c r="B1269" s="1" t="n">
        <v>45788.48113425926</v>
      </c>
      <c r="C1269" s="1" t="n">
        <v>46065</v>
      </c>
      <c r="D1269" t="inlineStr">
        <is>
          <t>VÄSTERNORRLANDS LÄN</t>
        </is>
      </c>
      <c r="E1269" t="inlineStr">
        <is>
          <t>ÅNGE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22926-2025</t>
        </is>
      </c>
      <c r="B1270" s="1" t="n">
        <v>45790</v>
      </c>
      <c r="C1270" s="1" t="n">
        <v>46065</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22928-2025</t>
        </is>
      </c>
      <c r="B1271" s="1" t="n">
        <v>45790.44825231482</v>
      </c>
      <c r="C1271" s="1" t="n">
        <v>46065</v>
      </c>
      <c r="D1271" t="inlineStr">
        <is>
          <t>VÄSTERNORRLANDS LÄN</t>
        </is>
      </c>
      <c r="E1271" t="inlineStr">
        <is>
          <t>ÅNGE</t>
        </is>
      </c>
      <c r="F1271" t="inlineStr">
        <is>
          <t>SCA</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49562-2025</t>
        </is>
      </c>
      <c r="B1272" s="1" t="n">
        <v>45939.46524305556</v>
      </c>
      <c r="C1272" s="1" t="n">
        <v>46065</v>
      </c>
      <c r="D1272" t="inlineStr">
        <is>
          <t>VÄSTERNORRLANDS LÄN</t>
        </is>
      </c>
      <c r="E1272" t="inlineStr">
        <is>
          <t>ÅNGE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49476-2025</t>
        </is>
      </c>
      <c r="B1273" s="1" t="n">
        <v>45939.34506944445</v>
      </c>
      <c r="C1273" s="1" t="n">
        <v>46065</v>
      </c>
      <c r="D1273" t="inlineStr">
        <is>
          <t>VÄSTERNORRLANDS LÄN</t>
        </is>
      </c>
      <c r="E1273" t="inlineStr">
        <is>
          <t>ÅNGE</t>
        </is>
      </c>
      <c r="F1273" t="inlineStr">
        <is>
          <t>SCA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22791-2025</t>
        </is>
      </c>
      <c r="B1274" s="1" t="n">
        <v>45789.65663194445</v>
      </c>
      <c r="C1274" s="1" t="n">
        <v>46065</v>
      </c>
      <c r="D1274" t="inlineStr">
        <is>
          <t>VÄSTERNORRLANDS LÄN</t>
        </is>
      </c>
      <c r="E1274" t="inlineStr">
        <is>
          <t>ÅNGE</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49603-2025</t>
        </is>
      </c>
      <c r="B1275" s="1" t="n">
        <v>45939.5484375</v>
      </c>
      <c r="C1275" s="1" t="n">
        <v>46065</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49600-2025</t>
        </is>
      </c>
      <c r="B1276" s="1" t="n">
        <v>45939.54434027777</v>
      </c>
      <c r="C1276" s="1" t="n">
        <v>46065</v>
      </c>
      <c r="D1276" t="inlineStr">
        <is>
          <t>VÄSTERNORRLANDS LÄN</t>
        </is>
      </c>
      <c r="E1276" t="inlineStr">
        <is>
          <t>ÅNGE</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49566-2025</t>
        </is>
      </c>
      <c r="B1277" s="1" t="n">
        <v>45939.46939814815</v>
      </c>
      <c r="C1277" s="1" t="n">
        <v>46065</v>
      </c>
      <c r="D1277" t="inlineStr">
        <is>
          <t>VÄSTERNORRLANDS LÄN</t>
        </is>
      </c>
      <c r="E1277" t="inlineStr">
        <is>
          <t>ÅNGE</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50210-2025</t>
        </is>
      </c>
      <c r="B1278" s="1" t="n">
        <v>45943.67379629629</v>
      </c>
      <c r="C1278" s="1" t="n">
        <v>46065</v>
      </c>
      <c r="D1278" t="inlineStr">
        <is>
          <t>VÄSTERNORRLANDS LÄN</t>
        </is>
      </c>
      <c r="E1278" t="inlineStr">
        <is>
          <t>ÅNGE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50001-2025</t>
        </is>
      </c>
      <c r="B1279" s="1" t="n">
        <v>45943.34421296296</v>
      </c>
      <c r="C1279" s="1" t="n">
        <v>46065</v>
      </c>
      <c r="D1279" t="inlineStr">
        <is>
          <t>VÄSTERNORRLANDS LÄN</t>
        </is>
      </c>
      <c r="E1279" t="inlineStr">
        <is>
          <t>ÅNGE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23091-2025</t>
        </is>
      </c>
      <c r="B1280" s="1" t="n">
        <v>45791.34456018519</v>
      </c>
      <c r="C1280" s="1" t="n">
        <v>46065</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50009-2025</t>
        </is>
      </c>
      <c r="B1281" s="1" t="n">
        <v>45943.34527777778</v>
      </c>
      <c r="C1281" s="1" t="n">
        <v>46065</v>
      </c>
      <c r="D1281" t="inlineStr">
        <is>
          <t>VÄSTERNORRLANDS LÄN</t>
        </is>
      </c>
      <c r="E1281" t="inlineStr">
        <is>
          <t>ÅNGE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50008-2025</t>
        </is>
      </c>
      <c r="B1282" s="1" t="n">
        <v>45943.34515046296</v>
      </c>
      <c r="C1282" s="1" t="n">
        <v>46065</v>
      </c>
      <c r="D1282" t="inlineStr">
        <is>
          <t>VÄSTERNORRLANDS LÄN</t>
        </is>
      </c>
      <c r="E1282" t="inlineStr">
        <is>
          <t>ÅNGE</t>
        </is>
      </c>
      <c r="G1282" t="n">
        <v>13.9</v>
      </c>
      <c r="H1282" t="n">
        <v>0</v>
      </c>
      <c r="I1282" t="n">
        <v>0</v>
      </c>
      <c r="J1282" t="n">
        <v>0</v>
      </c>
      <c r="K1282" t="n">
        <v>0</v>
      </c>
      <c r="L1282" t="n">
        <v>0</v>
      </c>
      <c r="M1282" t="n">
        <v>0</v>
      </c>
      <c r="N1282" t="n">
        <v>0</v>
      </c>
      <c r="O1282" t="n">
        <v>0</v>
      </c>
      <c r="P1282" t="n">
        <v>0</v>
      </c>
      <c r="Q1282" t="n">
        <v>0</v>
      </c>
      <c r="R1282" s="2" t="inlineStr"/>
    </row>
    <row r="1283" ht="15" customHeight="1">
      <c r="A1283" t="inlineStr">
        <is>
          <t>A 23580-2025</t>
        </is>
      </c>
      <c r="B1283" s="1" t="n">
        <v>45792.62555555555</v>
      </c>
      <c r="C1283" s="1" t="n">
        <v>46065</v>
      </c>
      <c r="D1283" t="inlineStr">
        <is>
          <t>VÄSTERNORRLANDS LÄN</t>
        </is>
      </c>
      <c r="E1283" t="inlineStr">
        <is>
          <t>ÅNGE</t>
        </is>
      </c>
      <c r="F1283" t="inlineStr">
        <is>
          <t>Kyrkan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23343-2025</t>
        </is>
      </c>
      <c r="B1284" s="1" t="n">
        <v>45791.65702546296</v>
      </c>
      <c r="C1284" s="1" t="n">
        <v>46065</v>
      </c>
      <c r="D1284" t="inlineStr">
        <is>
          <t>VÄSTERNORRLANDS LÄN</t>
        </is>
      </c>
      <c r="E1284" t="inlineStr">
        <is>
          <t>ÅNGE</t>
        </is>
      </c>
      <c r="F1284" t="inlineStr">
        <is>
          <t>SCA</t>
        </is>
      </c>
      <c r="G1284" t="n">
        <v>12.6</v>
      </c>
      <c r="H1284" t="n">
        <v>0</v>
      </c>
      <c r="I1284" t="n">
        <v>0</v>
      </c>
      <c r="J1284" t="n">
        <v>0</v>
      </c>
      <c r="K1284" t="n">
        <v>0</v>
      </c>
      <c r="L1284" t="n">
        <v>0</v>
      </c>
      <c r="M1284" t="n">
        <v>0</v>
      </c>
      <c r="N1284" t="n">
        <v>0</v>
      </c>
      <c r="O1284" t="n">
        <v>0</v>
      </c>
      <c r="P1284" t="n">
        <v>0</v>
      </c>
      <c r="Q1284" t="n">
        <v>0</v>
      </c>
      <c r="R1284" s="2" t="inlineStr"/>
    </row>
    <row r="1285" ht="15" customHeight="1">
      <c r="A1285" t="inlineStr">
        <is>
          <t>A 50291-2025</t>
        </is>
      </c>
      <c r="B1285" s="1" t="n">
        <v>45944.40677083333</v>
      </c>
      <c r="C1285" s="1" t="n">
        <v>46065</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23573-2025</t>
        </is>
      </c>
      <c r="B1286" s="1" t="n">
        <v>45792.61497685185</v>
      </c>
      <c r="C1286" s="1" t="n">
        <v>46065</v>
      </c>
      <c r="D1286" t="inlineStr">
        <is>
          <t>VÄSTERNORRLANDS LÄN</t>
        </is>
      </c>
      <c r="E1286" t="inlineStr">
        <is>
          <t>ÅNGE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23590-2025</t>
        </is>
      </c>
      <c r="B1287" s="1" t="n">
        <v>45792.63627314815</v>
      </c>
      <c r="C1287" s="1" t="n">
        <v>46065</v>
      </c>
      <c r="D1287" t="inlineStr">
        <is>
          <t>VÄSTERNORRLANDS LÄN</t>
        </is>
      </c>
      <c r="E1287" t="inlineStr">
        <is>
          <t>ÅNGE</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50767-2025</t>
        </is>
      </c>
      <c r="B1288" s="1" t="n">
        <v>45946</v>
      </c>
      <c r="C1288" s="1" t="n">
        <v>46065</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50769-2025</t>
        </is>
      </c>
      <c r="B1289" s="1" t="n">
        <v>45946.44864583333</v>
      </c>
      <c r="C1289" s="1" t="n">
        <v>46065</v>
      </c>
      <c r="D1289" t="inlineStr">
        <is>
          <t>VÄSTERNORRLANDS LÄN</t>
        </is>
      </c>
      <c r="E1289" t="inlineStr">
        <is>
          <t>ÅNGE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23495-2025</t>
        </is>
      </c>
      <c r="B1290" s="1" t="n">
        <v>45792.46967592592</v>
      </c>
      <c r="C1290" s="1" t="n">
        <v>46065</v>
      </c>
      <c r="D1290" t="inlineStr">
        <is>
          <t>VÄSTERNORRLANDS LÄN</t>
        </is>
      </c>
      <c r="E1290" t="inlineStr">
        <is>
          <t>ÅNGE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23589-2025</t>
        </is>
      </c>
      <c r="B1291" s="1" t="n">
        <v>45792.63618055556</v>
      </c>
      <c r="C1291" s="1" t="n">
        <v>46065</v>
      </c>
      <c r="D1291" t="inlineStr">
        <is>
          <t>VÄSTERNORRLANDS LÄN</t>
        </is>
      </c>
      <c r="E1291" t="inlineStr">
        <is>
          <t>ÅNGE</t>
        </is>
      </c>
      <c r="F1291" t="inlineStr">
        <is>
          <t>SCA</t>
        </is>
      </c>
      <c r="G1291" t="n">
        <v>10.7</v>
      </c>
      <c r="H1291" t="n">
        <v>0</v>
      </c>
      <c r="I1291" t="n">
        <v>0</v>
      </c>
      <c r="J1291" t="n">
        <v>0</v>
      </c>
      <c r="K1291" t="n">
        <v>0</v>
      </c>
      <c r="L1291" t="n">
        <v>0</v>
      </c>
      <c r="M1291" t="n">
        <v>0</v>
      </c>
      <c r="N1291" t="n">
        <v>0</v>
      </c>
      <c r="O1291" t="n">
        <v>0</v>
      </c>
      <c r="P1291" t="n">
        <v>0</v>
      </c>
      <c r="Q1291" t="n">
        <v>0</v>
      </c>
      <c r="R1291" s="2" t="inlineStr"/>
    </row>
    <row r="1292" ht="15" customHeight="1">
      <c r="A1292" t="inlineStr">
        <is>
          <t>A 50460-2025</t>
        </is>
      </c>
      <c r="B1292" s="1" t="n">
        <v>45945.345</v>
      </c>
      <c r="C1292" s="1" t="n">
        <v>46065</v>
      </c>
      <c r="D1292" t="inlineStr">
        <is>
          <t>VÄSTERNORRLANDS LÄN</t>
        </is>
      </c>
      <c r="E1292" t="inlineStr">
        <is>
          <t>ÅNGE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50571-2025</t>
        </is>
      </c>
      <c r="B1293" s="1" t="n">
        <v>45945.57443287037</v>
      </c>
      <c r="C1293" s="1" t="n">
        <v>46065</v>
      </c>
      <c r="D1293" t="inlineStr">
        <is>
          <t>VÄSTERNORRLANDS LÄN</t>
        </is>
      </c>
      <c r="E1293" t="inlineStr">
        <is>
          <t>ÅNGE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51382-2025</t>
        </is>
      </c>
      <c r="B1294" s="1" t="n">
        <v>45950.46019675926</v>
      </c>
      <c r="C1294" s="1" t="n">
        <v>46065</v>
      </c>
      <c r="D1294" t="inlineStr">
        <is>
          <t>VÄSTERNORRLANDS LÄN</t>
        </is>
      </c>
      <c r="E1294" t="inlineStr">
        <is>
          <t>ÅNGE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51109-2025</t>
        </is>
      </c>
      <c r="B1295" s="1" t="n">
        <v>45947.50263888889</v>
      </c>
      <c r="C1295" s="1" t="n">
        <v>46065</v>
      </c>
      <c r="D1295" t="inlineStr">
        <is>
          <t>VÄSTERNORRLANDS LÄN</t>
        </is>
      </c>
      <c r="E1295" t="inlineStr">
        <is>
          <t>ÅNGE</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23252-2025</t>
        </is>
      </c>
      <c r="B1296" s="1" t="n">
        <v>45791.53157407408</v>
      </c>
      <c r="C1296" s="1" t="n">
        <v>46065</v>
      </c>
      <c r="D1296" t="inlineStr">
        <is>
          <t>VÄSTERNORRLANDS LÄN</t>
        </is>
      </c>
      <c r="E1296" t="inlineStr">
        <is>
          <t>ÅNGE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23529-2025</t>
        </is>
      </c>
      <c r="B1297" s="1" t="n">
        <v>45792.53158564815</v>
      </c>
      <c r="C1297" s="1" t="n">
        <v>46065</v>
      </c>
      <c r="D1297" t="inlineStr">
        <is>
          <t>VÄSTERNORRLANDS LÄN</t>
        </is>
      </c>
      <c r="E1297" t="inlineStr">
        <is>
          <t>ÅNGE</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23552-2025</t>
        </is>
      </c>
      <c r="B1298" s="1" t="n">
        <v>45792.5738425926</v>
      </c>
      <c r="C1298" s="1" t="n">
        <v>46065</v>
      </c>
      <c r="D1298" t="inlineStr">
        <is>
          <t>VÄSTERNORRLANDS LÄN</t>
        </is>
      </c>
      <c r="E1298" t="inlineStr">
        <is>
          <t>ÅNGE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51389-2025</t>
        </is>
      </c>
      <c r="B1299" s="1" t="n">
        <v>45950.46767361111</v>
      </c>
      <c r="C1299" s="1" t="n">
        <v>46065</v>
      </c>
      <c r="D1299" t="inlineStr">
        <is>
          <t>VÄSTERNORRLANDS LÄN</t>
        </is>
      </c>
      <c r="E1299" t="inlineStr">
        <is>
          <t>ÅNGE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51416-2025</t>
        </is>
      </c>
      <c r="B1300" s="1" t="n">
        <v>45950.51097222222</v>
      </c>
      <c r="C1300" s="1" t="n">
        <v>46065</v>
      </c>
      <c r="D1300" t="inlineStr">
        <is>
          <t>VÄSTERNORRLANDS LÄN</t>
        </is>
      </c>
      <c r="E1300" t="inlineStr">
        <is>
          <t>ÅNGE</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51370-2025</t>
        </is>
      </c>
      <c r="B1301" s="1" t="n">
        <v>45950.44818287037</v>
      </c>
      <c r="C1301" s="1" t="n">
        <v>46065</v>
      </c>
      <c r="D1301" t="inlineStr">
        <is>
          <t>VÄSTERNORRLANDS LÄN</t>
        </is>
      </c>
      <c r="E1301" t="inlineStr">
        <is>
          <t>ÅNGE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52121-2025</t>
        </is>
      </c>
      <c r="B1302" s="1" t="n">
        <v>45952.71921296296</v>
      </c>
      <c r="C1302" s="1" t="n">
        <v>46065</v>
      </c>
      <c r="D1302" t="inlineStr">
        <is>
          <t>VÄSTERNORRLANDS LÄN</t>
        </is>
      </c>
      <c r="E1302" t="inlineStr">
        <is>
          <t>ÅNGE</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51857-2025</t>
        </is>
      </c>
      <c r="B1303" s="1" t="n">
        <v>45952.36506944444</v>
      </c>
      <c r="C1303" s="1" t="n">
        <v>46065</v>
      </c>
      <c r="D1303" t="inlineStr">
        <is>
          <t>VÄSTERNORRLANDS LÄN</t>
        </is>
      </c>
      <c r="E1303" t="inlineStr">
        <is>
          <t>ÅNGE</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52060-2025</t>
        </is>
      </c>
      <c r="B1304" s="1" t="n">
        <v>45952.63641203703</v>
      </c>
      <c r="C1304" s="1" t="n">
        <v>46065</v>
      </c>
      <c r="D1304" t="inlineStr">
        <is>
          <t>VÄSTERNORRLANDS LÄN</t>
        </is>
      </c>
      <c r="E1304" t="inlineStr">
        <is>
          <t>ÅNGE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51813-2025</t>
        </is>
      </c>
      <c r="B1305" s="1" t="n">
        <v>45951.83082175926</v>
      </c>
      <c r="C1305" s="1" t="n">
        <v>46065</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23748-2025</t>
        </is>
      </c>
      <c r="B1306" s="1" t="n">
        <v>45793.44755787037</v>
      </c>
      <c r="C1306" s="1" t="n">
        <v>46065</v>
      </c>
      <c r="D1306" t="inlineStr">
        <is>
          <t>VÄSTERNORRLANDS LÄN</t>
        </is>
      </c>
      <c r="E1306" t="inlineStr">
        <is>
          <t>ÅNGE</t>
        </is>
      </c>
      <c r="F1306" t="inlineStr">
        <is>
          <t>Sveaskog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52392-2025</t>
        </is>
      </c>
      <c r="B1307" s="1" t="n">
        <v>45954.34424768519</v>
      </c>
      <c r="C1307" s="1" t="n">
        <v>46065</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52335-2025</t>
        </is>
      </c>
      <c r="B1308" s="1" t="n">
        <v>45953.68591435185</v>
      </c>
      <c r="C1308" s="1" t="n">
        <v>46065</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43145-2024</t>
        </is>
      </c>
      <c r="B1309" s="1" t="n">
        <v>45567.63030092593</v>
      </c>
      <c r="C1309" s="1" t="n">
        <v>46065</v>
      </c>
      <c r="D1309" t="inlineStr">
        <is>
          <t>VÄSTERNORRLANDS LÄN</t>
        </is>
      </c>
      <c r="E1309" t="inlineStr">
        <is>
          <t>ÅNGE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23899-2025</t>
        </is>
      </c>
      <c r="B1310" s="1" t="n">
        <v>45794.34414351852</v>
      </c>
      <c r="C1310" s="1" t="n">
        <v>46065</v>
      </c>
      <c r="D1310" t="inlineStr">
        <is>
          <t>VÄSTERNORRLANDS LÄN</t>
        </is>
      </c>
      <c r="E1310" t="inlineStr">
        <is>
          <t>ÅNGE</t>
        </is>
      </c>
      <c r="F1310" t="inlineStr">
        <is>
          <t>SCA</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23917-2025</t>
        </is>
      </c>
      <c r="B1311" s="1" t="n">
        <v>45795.34481481482</v>
      </c>
      <c r="C1311" s="1" t="n">
        <v>46065</v>
      </c>
      <c r="D1311" t="inlineStr">
        <is>
          <t>VÄSTERNORRLANDS LÄN</t>
        </is>
      </c>
      <c r="E1311" t="inlineStr">
        <is>
          <t>ÅNGE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56188-2024</t>
        </is>
      </c>
      <c r="B1312" s="1" t="n">
        <v>45624.57800925926</v>
      </c>
      <c r="C1312" s="1" t="n">
        <v>46065</v>
      </c>
      <c r="D1312" t="inlineStr">
        <is>
          <t>VÄSTERNORRLANDS LÄN</t>
        </is>
      </c>
      <c r="E1312" t="inlineStr">
        <is>
          <t>ÅNGE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52283-2025</t>
        </is>
      </c>
      <c r="B1313" s="1" t="n">
        <v>45953.57346064815</v>
      </c>
      <c r="C1313" s="1" t="n">
        <v>46065</v>
      </c>
      <c r="D1313" t="inlineStr">
        <is>
          <t>VÄSTERNORRLANDS LÄN</t>
        </is>
      </c>
      <c r="E1313" t="inlineStr">
        <is>
          <t>ÅNGE</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52411-2025</t>
        </is>
      </c>
      <c r="B1314" s="1" t="n">
        <v>45954.36518518518</v>
      </c>
      <c r="C1314" s="1" t="n">
        <v>46065</v>
      </c>
      <c r="D1314" t="inlineStr">
        <is>
          <t>VÄSTERNORRLANDS LÄN</t>
        </is>
      </c>
      <c r="E1314" t="inlineStr">
        <is>
          <t>ÅNGE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52306-2025</t>
        </is>
      </c>
      <c r="B1315" s="1" t="n">
        <v>45953.63600694444</v>
      </c>
      <c r="C1315" s="1" t="n">
        <v>46065</v>
      </c>
      <c r="D1315" t="inlineStr">
        <is>
          <t>VÄSTERNORRLANDS LÄN</t>
        </is>
      </c>
      <c r="E1315" t="inlineStr">
        <is>
          <t>ÅNGE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39843-2023</t>
        </is>
      </c>
      <c r="B1316" s="1" t="n">
        <v>45168</v>
      </c>
      <c r="C1316" s="1" t="n">
        <v>46065</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23975-2025</t>
        </is>
      </c>
      <c r="B1317" s="1" t="n">
        <v>45796.38614583333</v>
      </c>
      <c r="C1317" s="1" t="n">
        <v>46065</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23976-2025</t>
        </is>
      </c>
      <c r="B1318" s="1" t="n">
        <v>45796.38625</v>
      </c>
      <c r="C1318" s="1" t="n">
        <v>46065</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23921-2025</t>
        </is>
      </c>
      <c r="B1319" s="1" t="n">
        <v>45795.34513888889</v>
      </c>
      <c r="C1319" s="1" t="n">
        <v>46065</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54079-2023</t>
        </is>
      </c>
      <c r="B1320" s="1" t="n">
        <v>45231</v>
      </c>
      <c r="C1320" s="1" t="n">
        <v>46065</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52642-2025</t>
        </is>
      </c>
      <c r="B1321" s="1" t="n">
        <v>45955.34576388889</v>
      </c>
      <c r="C1321" s="1" t="n">
        <v>46065</v>
      </c>
      <c r="D1321" t="inlineStr">
        <is>
          <t>VÄSTERNORRLANDS LÄN</t>
        </is>
      </c>
      <c r="E1321" t="inlineStr">
        <is>
          <t>ÅNGE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29702-2024</t>
        </is>
      </c>
      <c r="B1322" s="1" t="n">
        <v>45485.31525462963</v>
      </c>
      <c r="C1322" s="1" t="n">
        <v>46065</v>
      </c>
      <c r="D1322" t="inlineStr">
        <is>
          <t>VÄSTERNORRLANDS LÄN</t>
        </is>
      </c>
      <c r="E1322" t="inlineStr">
        <is>
          <t>ÅNGE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26641-2024</t>
        </is>
      </c>
      <c r="B1323" s="1" t="n">
        <v>45469.92836805555</v>
      </c>
      <c r="C1323" s="1" t="n">
        <v>46065</v>
      </c>
      <c r="D1323" t="inlineStr">
        <is>
          <t>VÄSTERNORRLANDS LÄN</t>
        </is>
      </c>
      <c r="E1323" t="inlineStr">
        <is>
          <t>ÅNGE</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41741-2023</t>
        </is>
      </c>
      <c r="B1324" s="1" t="n">
        <v>45176.42164351852</v>
      </c>
      <c r="C1324" s="1" t="n">
        <v>46065</v>
      </c>
      <c r="D1324" t="inlineStr">
        <is>
          <t>VÄSTERNORRLANDS LÄN</t>
        </is>
      </c>
      <c r="E1324" t="inlineStr">
        <is>
          <t>ÅNGE</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52858-2025</t>
        </is>
      </c>
      <c r="B1325" s="1" t="n">
        <v>45957.50284722223</v>
      </c>
      <c r="C1325" s="1" t="n">
        <v>46065</v>
      </c>
      <c r="D1325" t="inlineStr">
        <is>
          <t>VÄSTERNORRLANDS LÄN</t>
        </is>
      </c>
      <c r="E1325" t="inlineStr">
        <is>
          <t>ÅNGE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37992-2024</t>
        </is>
      </c>
      <c r="B1326" s="1" t="n">
        <v>45544.59524305556</v>
      </c>
      <c r="C1326" s="1" t="n">
        <v>46065</v>
      </c>
      <c r="D1326" t="inlineStr">
        <is>
          <t>VÄSTERNORRLANDS LÄN</t>
        </is>
      </c>
      <c r="E1326" t="inlineStr">
        <is>
          <t>ÅNGE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57516-2023</t>
        </is>
      </c>
      <c r="B1327" s="1" t="n">
        <v>45246.44665509259</v>
      </c>
      <c r="C1327" s="1" t="n">
        <v>46065</v>
      </c>
      <c r="D1327" t="inlineStr">
        <is>
          <t>VÄSTERNORRLANDS LÄN</t>
        </is>
      </c>
      <c r="E1327" t="inlineStr">
        <is>
          <t>ÅNGE</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53012-2025</t>
        </is>
      </c>
      <c r="B1328" s="1" t="n">
        <v>45957.80320601852</v>
      </c>
      <c r="C1328" s="1" t="n">
        <v>46065</v>
      </c>
      <c r="D1328" t="inlineStr">
        <is>
          <t>VÄSTERNORRLANDS LÄN</t>
        </is>
      </c>
      <c r="E1328" t="inlineStr">
        <is>
          <t>ÅNGE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23069-2024</t>
        </is>
      </c>
      <c r="B1329" s="1" t="n">
        <v>45450</v>
      </c>
      <c r="C1329" s="1" t="n">
        <v>46065</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41575-2024</t>
        </is>
      </c>
      <c r="B1330" s="1" t="n">
        <v>45560.55106481481</v>
      </c>
      <c r="C1330" s="1" t="n">
        <v>46065</v>
      </c>
      <c r="D1330" t="inlineStr">
        <is>
          <t>VÄSTERNORRLANDS LÄN</t>
        </is>
      </c>
      <c r="E1330" t="inlineStr">
        <is>
          <t>ÅNGE</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24008-2025</t>
        </is>
      </c>
      <c r="B1331" s="1" t="n">
        <v>45796.43841435185</v>
      </c>
      <c r="C1331" s="1" t="n">
        <v>46065</v>
      </c>
      <c r="D1331" t="inlineStr">
        <is>
          <t>VÄSTERNORRLANDS LÄN</t>
        </is>
      </c>
      <c r="E1331" t="inlineStr">
        <is>
          <t>ÅNGE</t>
        </is>
      </c>
      <c r="G1331" t="n">
        <v>8.300000000000001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53013-2025</t>
        </is>
      </c>
      <c r="B1332" s="1" t="n">
        <v>45957.81732638889</v>
      </c>
      <c r="C1332" s="1" t="n">
        <v>46065</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19007-2025</t>
        </is>
      </c>
      <c r="B1333" s="1" t="n">
        <v>45764.58515046296</v>
      </c>
      <c r="C1333" s="1" t="n">
        <v>46065</v>
      </c>
      <c r="D1333" t="inlineStr">
        <is>
          <t>VÄSTERNORRLANDS LÄN</t>
        </is>
      </c>
      <c r="E1333" t="inlineStr">
        <is>
          <t>ÅNGE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53221-2025</t>
        </is>
      </c>
      <c r="B1334" s="1" t="n">
        <v>45958.60331018519</v>
      </c>
      <c r="C1334" s="1" t="n">
        <v>46065</v>
      </c>
      <c r="D1334" t="inlineStr">
        <is>
          <t>VÄSTERNORRLANDS LÄN</t>
        </is>
      </c>
      <c r="E1334" t="inlineStr">
        <is>
          <t>ÅNGE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60004-2023</t>
        </is>
      </c>
      <c r="B1335" s="1" t="n">
        <v>45257</v>
      </c>
      <c r="C1335" s="1" t="n">
        <v>46065</v>
      </c>
      <c r="D1335" t="inlineStr">
        <is>
          <t>VÄSTERNORRLANDS LÄN</t>
        </is>
      </c>
      <c r="E1335" t="inlineStr">
        <is>
          <t>ÅNGE</t>
        </is>
      </c>
      <c r="F1335" t="inlineStr">
        <is>
          <t>SCA</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53033-2025</t>
        </is>
      </c>
      <c r="B1336" s="1" t="n">
        <v>45958.34479166667</v>
      </c>
      <c r="C1336" s="1" t="n">
        <v>46065</v>
      </c>
      <c r="D1336" t="inlineStr">
        <is>
          <t>VÄSTERNORRLANDS LÄN</t>
        </is>
      </c>
      <c r="E1336" t="inlineStr">
        <is>
          <t>ÅNGE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43622-2023</t>
        </is>
      </c>
      <c r="B1337" s="1" t="n">
        <v>45184.70777777778</v>
      </c>
      <c r="C1337" s="1" t="n">
        <v>46065</v>
      </c>
      <c r="D1337" t="inlineStr">
        <is>
          <t>VÄSTERNORRLANDS LÄN</t>
        </is>
      </c>
      <c r="E1337" t="inlineStr">
        <is>
          <t>ÅNGE</t>
        </is>
      </c>
      <c r="F1337" t="inlineStr">
        <is>
          <t>Holmen skog AB</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24458-2025</t>
        </is>
      </c>
      <c r="B1338" s="1" t="n">
        <v>45798.34476851852</v>
      </c>
      <c r="C1338" s="1" t="n">
        <v>46065</v>
      </c>
      <c r="D1338" t="inlineStr">
        <is>
          <t>VÄSTERNORRLANDS LÄN</t>
        </is>
      </c>
      <c r="E1338" t="inlineStr">
        <is>
          <t>ÅNGE</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29390-2021</t>
        </is>
      </c>
      <c r="B1339" s="1" t="n">
        <v>44361</v>
      </c>
      <c r="C1339" s="1" t="n">
        <v>46065</v>
      </c>
      <c r="D1339" t="inlineStr">
        <is>
          <t>VÄSTERNORRLANDS LÄN</t>
        </is>
      </c>
      <c r="E1339" t="inlineStr">
        <is>
          <t>ÅNGE</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30054-2024</t>
        </is>
      </c>
      <c r="B1340" s="1" t="n">
        <v>45488.94758101852</v>
      </c>
      <c r="C1340" s="1" t="n">
        <v>46065</v>
      </c>
      <c r="D1340" t="inlineStr">
        <is>
          <t>VÄSTERNORRLANDS LÄN</t>
        </is>
      </c>
      <c r="E1340" t="inlineStr">
        <is>
          <t>ÅNGE</t>
        </is>
      </c>
      <c r="F1340" t="inlineStr">
        <is>
          <t>SCA</t>
        </is>
      </c>
      <c r="G1340" t="n">
        <v>11.7</v>
      </c>
      <c r="H1340" t="n">
        <v>0</v>
      </c>
      <c r="I1340" t="n">
        <v>0</v>
      </c>
      <c r="J1340" t="n">
        <v>0</v>
      </c>
      <c r="K1340" t="n">
        <v>0</v>
      </c>
      <c r="L1340" t="n">
        <v>0</v>
      </c>
      <c r="M1340" t="n">
        <v>0</v>
      </c>
      <c r="N1340" t="n">
        <v>0</v>
      </c>
      <c r="O1340" t="n">
        <v>0</v>
      </c>
      <c r="P1340" t="n">
        <v>0</v>
      </c>
      <c r="Q1340" t="n">
        <v>0</v>
      </c>
      <c r="R1340" s="2" t="inlineStr"/>
    </row>
    <row r="1341" ht="15" customHeight="1">
      <c r="A1341" t="inlineStr">
        <is>
          <t>A 24357-2025</t>
        </is>
      </c>
      <c r="B1341" s="1" t="n">
        <v>45797.59467592592</v>
      </c>
      <c r="C1341" s="1" t="n">
        <v>46065</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53509-2025</t>
        </is>
      </c>
      <c r="B1342" s="1" t="n">
        <v>45960.34506944445</v>
      </c>
      <c r="C1342" s="1" t="n">
        <v>46065</v>
      </c>
      <c r="D1342" t="inlineStr">
        <is>
          <t>VÄSTERNORRLANDS LÄN</t>
        </is>
      </c>
      <c r="E1342" t="inlineStr">
        <is>
          <t>ÅNGE</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24207-2025</t>
        </is>
      </c>
      <c r="B1343" s="1" t="n">
        <v>45797.34439814815</v>
      </c>
      <c r="C1343" s="1" t="n">
        <v>46065</v>
      </c>
      <c r="D1343" t="inlineStr">
        <is>
          <t>VÄSTERNORRLANDS LÄN</t>
        </is>
      </c>
      <c r="E1343" t="inlineStr">
        <is>
          <t>ÅNGE</t>
        </is>
      </c>
      <c r="F1343" t="inlineStr">
        <is>
          <t>SCA</t>
        </is>
      </c>
      <c r="G1343" t="n">
        <v>10.3</v>
      </c>
      <c r="H1343" t="n">
        <v>0</v>
      </c>
      <c r="I1343" t="n">
        <v>0</v>
      </c>
      <c r="J1343" t="n">
        <v>0</v>
      </c>
      <c r="K1343" t="n">
        <v>0</v>
      </c>
      <c r="L1343" t="n">
        <v>0</v>
      </c>
      <c r="M1343" t="n">
        <v>0</v>
      </c>
      <c r="N1343" t="n">
        <v>0</v>
      </c>
      <c r="O1343" t="n">
        <v>0</v>
      </c>
      <c r="P1343" t="n">
        <v>0</v>
      </c>
      <c r="Q1343" t="n">
        <v>0</v>
      </c>
      <c r="R1343" s="2" t="inlineStr"/>
    </row>
    <row r="1344" ht="15" customHeight="1">
      <c r="A1344" t="inlineStr">
        <is>
          <t>A 24292-2025</t>
        </is>
      </c>
      <c r="B1344" s="1" t="n">
        <v>45797.46657407407</v>
      </c>
      <c r="C1344" s="1" t="n">
        <v>46065</v>
      </c>
      <c r="D1344" t="inlineStr">
        <is>
          <t>VÄSTERNORRLANDS LÄN</t>
        </is>
      </c>
      <c r="E1344" t="inlineStr">
        <is>
          <t>ÅNGE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53381-2025</t>
        </is>
      </c>
      <c r="B1345" s="1" t="n">
        <v>45959.53690972222</v>
      </c>
      <c r="C1345" s="1" t="n">
        <v>46065</v>
      </c>
      <c r="D1345" t="inlineStr">
        <is>
          <t>VÄSTERNORRLANDS LÄN</t>
        </is>
      </c>
      <c r="E1345" t="inlineStr">
        <is>
          <t>ÅNGE</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53713-2025</t>
        </is>
      </c>
      <c r="B1346" s="1" t="n">
        <v>45960.61568287037</v>
      </c>
      <c r="C1346" s="1" t="n">
        <v>46065</v>
      </c>
      <c r="D1346" t="inlineStr">
        <is>
          <t>VÄSTERNORRLANDS LÄN</t>
        </is>
      </c>
      <c r="E1346" t="inlineStr">
        <is>
          <t>ÅNGE</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4142-2024</t>
        </is>
      </c>
      <c r="B1347" s="1" t="n">
        <v>45323</v>
      </c>
      <c r="C1347" s="1" t="n">
        <v>46065</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27853-2024</t>
        </is>
      </c>
      <c r="B1348" s="1" t="n">
        <v>45475</v>
      </c>
      <c r="C1348" s="1" t="n">
        <v>46065</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10781-2024</t>
        </is>
      </c>
      <c r="B1349" s="1" t="n">
        <v>45369.59635416666</v>
      </c>
      <c r="C1349" s="1" t="n">
        <v>46065</v>
      </c>
      <c r="D1349" t="inlineStr">
        <is>
          <t>VÄSTERNORRLANDS LÄN</t>
        </is>
      </c>
      <c r="E1349" t="inlineStr">
        <is>
          <t>ÅNGE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53984-2025</t>
        </is>
      </c>
      <c r="B1350" s="1" t="n">
        <v>45961.5734837963</v>
      </c>
      <c r="C1350" s="1" t="n">
        <v>46065</v>
      </c>
      <c r="D1350" t="inlineStr">
        <is>
          <t>VÄSTERNORRLANDS LÄN</t>
        </is>
      </c>
      <c r="E1350" t="inlineStr">
        <is>
          <t>ÅNGE</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24627-2025</t>
        </is>
      </c>
      <c r="B1351" s="1" t="n">
        <v>45798.59471064815</v>
      </c>
      <c r="C1351" s="1" t="n">
        <v>46065</v>
      </c>
      <c r="D1351" t="inlineStr">
        <is>
          <t>VÄSTERNORRLANDS LÄN</t>
        </is>
      </c>
      <c r="E1351" t="inlineStr">
        <is>
          <t>ÅNGE</t>
        </is>
      </c>
      <c r="F1351" t="inlineStr">
        <is>
          <t>SCA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24209-2025</t>
        </is>
      </c>
      <c r="B1352" s="1" t="n">
        <v>45797.3446875</v>
      </c>
      <c r="C1352" s="1" t="n">
        <v>46065</v>
      </c>
      <c r="D1352" t="inlineStr">
        <is>
          <t>VÄSTERNORRLANDS LÄN</t>
        </is>
      </c>
      <c r="E1352" t="inlineStr">
        <is>
          <t>ÅNGE</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24232-2025</t>
        </is>
      </c>
      <c r="B1353" s="1" t="n">
        <v>45797.37846064815</v>
      </c>
      <c r="C1353" s="1" t="n">
        <v>46065</v>
      </c>
      <c r="D1353" t="inlineStr">
        <is>
          <t>VÄSTERNORRLANDS LÄN</t>
        </is>
      </c>
      <c r="E1353" t="inlineStr">
        <is>
          <t>ÅNGE</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53985-2025</t>
        </is>
      </c>
      <c r="B1354" s="1" t="n">
        <v>45961.57366898148</v>
      </c>
      <c r="C1354" s="1" t="n">
        <v>46065</v>
      </c>
      <c r="D1354" t="inlineStr">
        <is>
          <t>VÄSTERNORRLANDS LÄN</t>
        </is>
      </c>
      <c r="E1354" t="inlineStr">
        <is>
          <t>ÅNGE</t>
        </is>
      </c>
      <c r="F1354" t="inlineStr">
        <is>
          <t>SCA</t>
        </is>
      </c>
      <c r="G1354" t="n">
        <v>14.2</v>
      </c>
      <c r="H1354" t="n">
        <v>0</v>
      </c>
      <c r="I1354" t="n">
        <v>0</v>
      </c>
      <c r="J1354" t="n">
        <v>0</v>
      </c>
      <c r="K1354" t="n">
        <v>0</v>
      </c>
      <c r="L1354" t="n">
        <v>0</v>
      </c>
      <c r="M1354" t="n">
        <v>0</v>
      </c>
      <c r="N1354" t="n">
        <v>0</v>
      </c>
      <c r="O1354" t="n">
        <v>0</v>
      </c>
      <c r="P1354" t="n">
        <v>0</v>
      </c>
      <c r="Q1354" t="n">
        <v>0</v>
      </c>
      <c r="R1354" s="2" t="inlineStr"/>
    </row>
    <row r="1355" ht="15" customHeight="1">
      <c r="A1355" t="inlineStr">
        <is>
          <t>A 25340-2025</t>
        </is>
      </c>
      <c r="B1355" s="1" t="n">
        <v>45800.60074074074</v>
      </c>
      <c r="C1355" s="1" t="n">
        <v>46065</v>
      </c>
      <c r="D1355" t="inlineStr">
        <is>
          <t>VÄSTERNORRLANDS LÄN</t>
        </is>
      </c>
      <c r="E1355" t="inlineStr">
        <is>
          <t>ÅNGE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25273-2025</t>
        </is>
      </c>
      <c r="B1356" s="1" t="n">
        <v>45800.55253472222</v>
      </c>
      <c r="C1356" s="1" t="n">
        <v>46065</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25352-2025</t>
        </is>
      </c>
      <c r="B1357" s="1" t="n">
        <v>45800.61552083334</v>
      </c>
      <c r="C1357" s="1" t="n">
        <v>46065</v>
      </c>
      <c r="D1357" t="inlineStr">
        <is>
          <t>VÄSTERNORRLANDS LÄN</t>
        </is>
      </c>
      <c r="E1357" t="inlineStr">
        <is>
          <t>ÅNGE</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25017-2025</t>
        </is>
      </c>
      <c r="B1358" s="1" t="n">
        <v>45799.63791666667</v>
      </c>
      <c r="C1358" s="1" t="n">
        <v>46065</v>
      </c>
      <c r="D1358" t="inlineStr">
        <is>
          <t>VÄSTERNORRLANDS LÄN</t>
        </is>
      </c>
      <c r="E1358" t="inlineStr">
        <is>
          <t>ÅNGE</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25241-2025</t>
        </is>
      </c>
      <c r="B1359" s="1" t="n">
        <v>45800.49053240741</v>
      </c>
      <c r="C1359" s="1" t="n">
        <v>46065</v>
      </c>
      <c r="D1359" t="inlineStr">
        <is>
          <t>VÄSTERNORRLANDS LÄN</t>
        </is>
      </c>
      <c r="E1359" t="inlineStr">
        <is>
          <t>ÅNGE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53999-2025</t>
        </is>
      </c>
      <c r="B1360" s="1" t="n">
        <v>45961</v>
      </c>
      <c r="C1360" s="1" t="n">
        <v>46065</v>
      </c>
      <c r="D1360" t="inlineStr">
        <is>
          <t>VÄSTERNORRLANDS LÄN</t>
        </is>
      </c>
      <c r="E1360" t="inlineStr">
        <is>
          <t>ÅNGE</t>
        </is>
      </c>
      <c r="F1360" t="inlineStr">
        <is>
          <t>SCA</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25274-2025</t>
        </is>
      </c>
      <c r="B1361" s="1" t="n">
        <v>45800.55276620371</v>
      </c>
      <c r="C1361" s="1" t="n">
        <v>46065</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54197-2025</t>
        </is>
      </c>
      <c r="B1362" s="1" t="n">
        <v>45964</v>
      </c>
      <c r="C1362" s="1" t="n">
        <v>46065</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54702-2025</t>
        </is>
      </c>
      <c r="B1363" s="1" t="n">
        <v>45966.4828587963</v>
      </c>
      <c r="C1363" s="1" t="n">
        <v>46065</v>
      </c>
      <c r="D1363" t="inlineStr">
        <is>
          <t>VÄSTERNORRLANDS LÄN</t>
        </is>
      </c>
      <c r="E1363" t="inlineStr">
        <is>
          <t>ÅNGE</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54357-2025</t>
        </is>
      </c>
      <c r="B1364" s="1" t="n">
        <v>45965.3858912037</v>
      </c>
      <c r="C1364" s="1" t="n">
        <v>46065</v>
      </c>
      <c r="D1364" t="inlineStr">
        <is>
          <t>VÄSTERNORRLANDS LÄN</t>
        </is>
      </c>
      <c r="E1364" t="inlineStr">
        <is>
          <t>ÅNGE</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24852-2025</t>
        </is>
      </c>
      <c r="B1365" s="1" t="n">
        <v>45799.46975694445</v>
      </c>
      <c r="C1365" s="1" t="n">
        <v>46065</v>
      </c>
      <c r="D1365" t="inlineStr">
        <is>
          <t>VÄSTERNORRLANDS LÄN</t>
        </is>
      </c>
      <c r="E1365" t="inlineStr">
        <is>
          <t>ÅNGE</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54713-2025</t>
        </is>
      </c>
      <c r="B1366" s="1" t="n">
        <v>45966.50446759259</v>
      </c>
      <c r="C1366" s="1" t="n">
        <v>46065</v>
      </c>
      <c r="D1366" t="inlineStr">
        <is>
          <t>VÄSTERNORRLANDS LÄN</t>
        </is>
      </c>
      <c r="E1366" t="inlineStr">
        <is>
          <t>ÅNGE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54680-2025</t>
        </is>
      </c>
      <c r="B1367" s="1" t="n">
        <v>45966.42751157407</v>
      </c>
      <c r="C1367" s="1" t="n">
        <v>46065</v>
      </c>
      <c r="D1367" t="inlineStr">
        <is>
          <t>VÄSTERNORRLANDS LÄN</t>
        </is>
      </c>
      <c r="E1367" t="inlineStr">
        <is>
          <t>ÅNGE</t>
        </is>
      </c>
      <c r="F1367" t="inlineStr">
        <is>
          <t>SCA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24847-2025</t>
        </is>
      </c>
      <c r="B1368" s="1" t="n">
        <v>45799.46907407408</v>
      </c>
      <c r="C1368" s="1" t="n">
        <v>46065</v>
      </c>
      <c r="D1368" t="inlineStr">
        <is>
          <t>VÄSTERNORRLANDS LÄN</t>
        </is>
      </c>
      <c r="E1368" t="inlineStr">
        <is>
          <t>ÅNGE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54705-2025</t>
        </is>
      </c>
      <c r="B1369" s="1" t="n">
        <v>45966.4853125</v>
      </c>
      <c r="C1369" s="1" t="n">
        <v>46065</v>
      </c>
      <c r="D1369" t="inlineStr">
        <is>
          <t>VÄSTERNORRLANDS LÄN</t>
        </is>
      </c>
      <c r="E1369" t="inlineStr">
        <is>
          <t>ÅNGE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25067-2025</t>
        </is>
      </c>
      <c r="B1370" s="1" t="n">
        <v>45799.71908564815</v>
      </c>
      <c r="C1370" s="1" t="n">
        <v>46065</v>
      </c>
      <c r="D1370" t="inlineStr">
        <is>
          <t>VÄSTERNORRLANDS LÄN</t>
        </is>
      </c>
      <c r="E1370" t="inlineStr">
        <is>
          <t>ÅNGE</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54707-2025</t>
        </is>
      </c>
      <c r="B1371" s="1" t="n">
        <v>45966</v>
      </c>
      <c r="C1371" s="1" t="n">
        <v>46065</v>
      </c>
      <c r="D1371" t="inlineStr">
        <is>
          <t>VÄSTERNORRLANDS LÄN</t>
        </is>
      </c>
      <c r="E1371" t="inlineStr">
        <is>
          <t>ÅNGE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54710-2025</t>
        </is>
      </c>
      <c r="B1372" s="1" t="n">
        <v>45966.49515046296</v>
      </c>
      <c r="C1372" s="1" t="n">
        <v>46065</v>
      </c>
      <c r="D1372" t="inlineStr">
        <is>
          <t>VÄSTERNORRLANDS LÄN</t>
        </is>
      </c>
      <c r="E1372" t="inlineStr">
        <is>
          <t>ÅNGE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54819-2025</t>
        </is>
      </c>
      <c r="B1373" s="1" t="n">
        <v>45966.65709490741</v>
      </c>
      <c r="C1373" s="1" t="n">
        <v>46065</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54715-2025</t>
        </is>
      </c>
      <c r="B1374" s="1" t="n">
        <v>45966.50961805556</v>
      </c>
      <c r="C1374" s="1" t="n">
        <v>46065</v>
      </c>
      <c r="D1374" t="inlineStr">
        <is>
          <t>VÄSTERNORRLANDS LÄN</t>
        </is>
      </c>
      <c r="E1374" t="inlineStr">
        <is>
          <t>ÅNGE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25532-2025</t>
        </is>
      </c>
      <c r="B1375" s="1" t="n">
        <v>45803.4065162037</v>
      </c>
      <c r="C1375" s="1" t="n">
        <v>46065</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25810-2025</t>
        </is>
      </c>
      <c r="B1376" s="1" t="n">
        <v>45804.42083333333</v>
      </c>
      <c r="C1376" s="1" t="n">
        <v>46065</v>
      </c>
      <c r="D1376" t="inlineStr">
        <is>
          <t>VÄSTERNORRLANDS LÄN</t>
        </is>
      </c>
      <c r="E1376" t="inlineStr">
        <is>
          <t>ÅNGE</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54346-2025</t>
        </is>
      </c>
      <c r="B1377" s="1" t="n">
        <v>45965.36525462963</v>
      </c>
      <c r="C1377" s="1" t="n">
        <v>46065</v>
      </c>
      <c r="D1377" t="inlineStr">
        <is>
          <t>VÄSTERNORRLANDS LÄN</t>
        </is>
      </c>
      <c r="E1377" t="inlineStr">
        <is>
          <t>ÅNGE</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31863-2024</t>
        </is>
      </c>
      <c r="B1378" s="1" t="n">
        <v>45509.74121527778</v>
      </c>
      <c r="C1378" s="1" t="n">
        <v>46065</v>
      </c>
      <c r="D1378" t="inlineStr">
        <is>
          <t>VÄSTERNORRLANDS LÄN</t>
        </is>
      </c>
      <c r="E1378" t="inlineStr">
        <is>
          <t>ÅNGE</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53651-2023</t>
        </is>
      </c>
      <c r="B1379" s="1" t="n">
        <v>45230.60815972222</v>
      </c>
      <c r="C1379" s="1" t="n">
        <v>46065</v>
      </c>
      <c r="D1379" t="inlineStr">
        <is>
          <t>VÄSTERNORRLANDS LÄN</t>
        </is>
      </c>
      <c r="E1379" t="inlineStr">
        <is>
          <t>ÅNGE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55160-2025</t>
        </is>
      </c>
      <c r="B1380" s="1" t="n">
        <v>45968.46930555555</v>
      </c>
      <c r="C1380" s="1" t="n">
        <v>46065</v>
      </c>
      <c r="D1380" t="inlineStr">
        <is>
          <t>VÄSTERNORRLANDS LÄN</t>
        </is>
      </c>
      <c r="E1380" t="inlineStr">
        <is>
          <t>ÅNGE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54925-2025</t>
        </is>
      </c>
      <c r="B1381" s="1" t="n">
        <v>45967.40699074074</v>
      </c>
      <c r="C1381" s="1" t="n">
        <v>46065</v>
      </c>
      <c r="D1381" t="inlineStr">
        <is>
          <t>VÄSTERNORRLANDS LÄN</t>
        </is>
      </c>
      <c r="E1381" t="inlineStr">
        <is>
          <t>ÅNGE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36877-2024</t>
        </is>
      </c>
      <c r="B1382" s="1" t="n">
        <v>45538.59418981482</v>
      </c>
      <c r="C1382" s="1" t="n">
        <v>46065</v>
      </c>
      <c r="D1382" t="inlineStr">
        <is>
          <t>VÄSTERNORRLANDS LÄN</t>
        </is>
      </c>
      <c r="E1382" t="inlineStr">
        <is>
          <t>ÅNGE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25499-2025</t>
        </is>
      </c>
      <c r="B1383" s="1" t="n">
        <v>45803.344375</v>
      </c>
      <c r="C1383" s="1" t="n">
        <v>46065</v>
      </c>
      <c r="D1383" t="inlineStr">
        <is>
          <t>VÄSTERNORRLANDS LÄN</t>
        </is>
      </c>
      <c r="E1383" t="inlineStr">
        <is>
          <t>ÅNGE</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25772-2025</t>
        </is>
      </c>
      <c r="B1384" s="1" t="n">
        <v>45804.34520833333</v>
      </c>
      <c r="C1384" s="1" t="n">
        <v>46065</v>
      </c>
      <c r="D1384" t="inlineStr">
        <is>
          <t>VÄSTERNORRLANDS LÄN</t>
        </is>
      </c>
      <c r="E1384" t="inlineStr">
        <is>
          <t>ÅNGE</t>
        </is>
      </c>
      <c r="F1384" t="inlineStr">
        <is>
          <t>SCA</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54926-2025</t>
        </is>
      </c>
      <c r="B1385" s="1" t="n">
        <v>45967.40707175926</v>
      </c>
      <c r="C1385" s="1" t="n">
        <v>46065</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55038-2025</t>
        </is>
      </c>
      <c r="B1386" s="1" t="n">
        <v>45967.65527777778</v>
      </c>
      <c r="C1386" s="1" t="n">
        <v>46065</v>
      </c>
      <c r="D1386" t="inlineStr">
        <is>
          <t>VÄSTERNORRLANDS LÄN</t>
        </is>
      </c>
      <c r="E1386" t="inlineStr">
        <is>
          <t>ÅNGE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55045-2025</t>
        </is>
      </c>
      <c r="B1387" s="1" t="n">
        <v>45967.66068287037</v>
      </c>
      <c r="C1387" s="1" t="n">
        <v>46065</v>
      </c>
      <c r="D1387" t="inlineStr">
        <is>
          <t>VÄSTERNORRLANDS LÄN</t>
        </is>
      </c>
      <c r="E1387" t="inlineStr">
        <is>
          <t>ÅNGE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55049-2025</t>
        </is>
      </c>
      <c r="B1388" s="1" t="n">
        <v>45967.66614583333</v>
      </c>
      <c r="C1388" s="1" t="n">
        <v>46065</v>
      </c>
      <c r="D1388" t="inlineStr">
        <is>
          <t>VÄSTERNORRLANDS LÄN</t>
        </is>
      </c>
      <c r="E1388" t="inlineStr">
        <is>
          <t>ÅNGE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55556-2025</t>
        </is>
      </c>
      <c r="B1389" s="1" t="n">
        <v>45971.64694444444</v>
      </c>
      <c r="C1389" s="1" t="n">
        <v>46065</v>
      </c>
      <c r="D1389" t="inlineStr">
        <is>
          <t>VÄSTERNORRLANDS LÄN</t>
        </is>
      </c>
      <c r="E1389" t="inlineStr">
        <is>
          <t>ÅNGE</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56077-2025</t>
        </is>
      </c>
      <c r="B1390" s="1" t="n">
        <v>45973.65759259259</v>
      </c>
      <c r="C1390" s="1" t="n">
        <v>46065</v>
      </c>
      <c r="D1390" t="inlineStr">
        <is>
          <t>VÄSTERNORRLANDS LÄN</t>
        </is>
      </c>
      <c r="E1390" t="inlineStr">
        <is>
          <t>ÅNGE</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55816-2025</t>
        </is>
      </c>
      <c r="B1391" s="1" t="n">
        <v>45972.69851851852</v>
      </c>
      <c r="C1391" s="1" t="n">
        <v>46065</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56423-2025</t>
        </is>
      </c>
      <c r="B1392" s="1" t="n">
        <v>45975.34528935186</v>
      </c>
      <c r="C1392" s="1" t="n">
        <v>46065</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c r="U1392">
        <f>HYPERLINK("https://klasma.github.io/Logging_2260/knärot/A 56423-2025 karta knärot.png", "A 56423-2025")</f>
        <v/>
      </c>
      <c r="V1392">
        <f>HYPERLINK("https://klasma.github.io/Logging_2260/klagomål/A 56423-2025 FSC-klagomål.docx", "A 56423-2025")</f>
        <v/>
      </c>
      <c r="W1392">
        <f>HYPERLINK("https://klasma.github.io/Logging_2260/klagomålsmail/A 56423-2025 FSC-klagomål mail.docx", "A 56423-2025")</f>
        <v/>
      </c>
      <c r="X1392">
        <f>HYPERLINK("https://klasma.github.io/Logging_2260/tillsyn/A 56423-2025 tillsynsbegäran.docx", "A 56423-2025")</f>
        <v/>
      </c>
      <c r="Y1392">
        <f>HYPERLINK("https://klasma.github.io/Logging_2260/tillsynsmail/A 56423-2025 tillsynsbegäran mail.docx", "A 56423-2025")</f>
        <v/>
      </c>
    </row>
    <row r="1393" ht="15" customHeight="1">
      <c r="A1393" t="inlineStr">
        <is>
          <t>A 56849-2025</t>
        </is>
      </c>
      <c r="B1393" s="1" t="n">
        <v>45978.48989583334</v>
      </c>
      <c r="C1393" s="1" t="n">
        <v>46065</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56419-2025</t>
        </is>
      </c>
      <c r="B1394" s="1" t="n">
        <v>45975.34445601852</v>
      </c>
      <c r="C1394" s="1" t="n">
        <v>46065</v>
      </c>
      <c r="D1394" t="inlineStr">
        <is>
          <t>VÄSTERNORRLANDS LÄN</t>
        </is>
      </c>
      <c r="E1394" t="inlineStr">
        <is>
          <t>ÅNGE</t>
        </is>
      </c>
      <c r="F1394" t="inlineStr">
        <is>
          <t>SCA</t>
        </is>
      </c>
      <c r="G1394" t="n">
        <v>21.4</v>
      </c>
      <c r="H1394" t="n">
        <v>0</v>
      </c>
      <c r="I1394" t="n">
        <v>0</v>
      </c>
      <c r="J1394" t="n">
        <v>0</v>
      </c>
      <c r="K1394" t="n">
        <v>0</v>
      </c>
      <c r="L1394" t="n">
        <v>0</v>
      </c>
      <c r="M1394" t="n">
        <v>0</v>
      </c>
      <c r="N1394" t="n">
        <v>0</v>
      </c>
      <c r="O1394" t="n">
        <v>0</v>
      </c>
      <c r="P1394" t="n">
        <v>0</v>
      </c>
      <c r="Q1394" t="n">
        <v>0</v>
      </c>
      <c r="R1394" s="2" t="inlineStr"/>
    </row>
    <row r="1395" ht="15" customHeight="1">
      <c r="A1395" t="inlineStr">
        <is>
          <t>A 56666-2025</t>
        </is>
      </c>
      <c r="B1395" s="1" t="n">
        <v>45975.67747685185</v>
      </c>
      <c r="C1395" s="1" t="n">
        <v>46065</v>
      </c>
      <c r="D1395" t="inlineStr">
        <is>
          <t>VÄSTERNORRLANDS LÄN</t>
        </is>
      </c>
      <c r="E1395" t="inlineStr">
        <is>
          <t>ÅNGE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56741-2025</t>
        </is>
      </c>
      <c r="B1396" s="1" t="n">
        <v>45978.34726851852</v>
      </c>
      <c r="C1396" s="1" t="n">
        <v>46065</v>
      </c>
      <c r="D1396" t="inlineStr">
        <is>
          <t>VÄSTERNORRLANDS LÄN</t>
        </is>
      </c>
      <c r="E1396" t="inlineStr">
        <is>
          <t>ÅNGE</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57022-2025</t>
        </is>
      </c>
      <c r="B1397" s="1" t="n">
        <v>45978.88921296296</v>
      </c>
      <c r="C1397" s="1" t="n">
        <v>46065</v>
      </c>
      <c r="D1397" t="inlineStr">
        <is>
          <t>VÄSTERNORRLANDS LÄN</t>
        </is>
      </c>
      <c r="E1397" t="inlineStr">
        <is>
          <t>ÅNGE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57283-2025</t>
        </is>
      </c>
      <c r="B1398" s="1" t="n">
        <v>45979.71918981482</v>
      </c>
      <c r="C1398" s="1" t="n">
        <v>46065</v>
      </c>
      <c r="D1398" t="inlineStr">
        <is>
          <t>VÄSTERNORRLANDS LÄN</t>
        </is>
      </c>
      <c r="E1398" t="inlineStr">
        <is>
          <t>ÅNGE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57457-2025</t>
        </is>
      </c>
      <c r="B1399" s="1" t="n">
        <v>45980.53001157408</v>
      </c>
      <c r="C1399" s="1" t="n">
        <v>46065</v>
      </c>
      <c r="D1399" t="inlineStr">
        <is>
          <t>VÄSTERNORRLANDS LÄN</t>
        </is>
      </c>
      <c r="E1399" t="inlineStr">
        <is>
          <t>ÅNGE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57302-2025</t>
        </is>
      </c>
      <c r="B1400" s="1" t="n">
        <v>45979.87184027778</v>
      </c>
      <c r="C1400" s="1" t="n">
        <v>46065</v>
      </c>
      <c r="D1400" t="inlineStr">
        <is>
          <t>VÄSTERNORRLANDS LÄN</t>
        </is>
      </c>
      <c r="E1400" t="inlineStr">
        <is>
          <t>ÅNGE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57081-2025</t>
        </is>
      </c>
      <c r="B1401" s="1" t="n">
        <v>45979.40826388889</v>
      </c>
      <c r="C1401" s="1" t="n">
        <v>46065</v>
      </c>
      <c r="D1401" t="inlineStr">
        <is>
          <t>VÄSTERNORRLANDS LÄN</t>
        </is>
      </c>
      <c r="E1401" t="inlineStr">
        <is>
          <t>ÅNGE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57371-2025</t>
        </is>
      </c>
      <c r="B1402" s="1" t="n">
        <v>45980.38586805556</v>
      </c>
      <c r="C1402" s="1" t="n">
        <v>46065</v>
      </c>
      <c r="D1402" t="inlineStr">
        <is>
          <t>VÄSTERNORRLANDS LÄN</t>
        </is>
      </c>
      <c r="E1402" t="inlineStr">
        <is>
          <t>ÅNGE</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57961-2025</t>
        </is>
      </c>
      <c r="B1403" s="1" t="n">
        <v>45982.36502314815</v>
      </c>
      <c r="C1403" s="1" t="n">
        <v>46065</v>
      </c>
      <c r="D1403" t="inlineStr">
        <is>
          <t>VÄSTERNORRLANDS LÄN</t>
        </is>
      </c>
      <c r="E1403" t="inlineStr">
        <is>
          <t>ÅNGE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58048-2025</t>
        </is>
      </c>
      <c r="B1404" s="1" t="n">
        <v>45982.5109837963</v>
      </c>
      <c r="C1404" s="1" t="n">
        <v>46065</v>
      </c>
      <c r="D1404" t="inlineStr">
        <is>
          <t>VÄSTERNORRLANDS LÄN</t>
        </is>
      </c>
      <c r="E1404" t="inlineStr">
        <is>
          <t>ÅNGE</t>
        </is>
      </c>
      <c r="F1404" t="inlineStr">
        <is>
          <t>SCA</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57615-2025</t>
        </is>
      </c>
      <c r="B1405" s="1" t="n">
        <v>45981.34431712963</v>
      </c>
      <c r="C1405" s="1" t="n">
        <v>46065</v>
      </c>
      <c r="D1405" t="inlineStr">
        <is>
          <t>VÄSTERNORRLANDS LÄN</t>
        </is>
      </c>
      <c r="E1405" t="inlineStr">
        <is>
          <t>ÅNGE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57991-2025</t>
        </is>
      </c>
      <c r="B1406" s="1" t="n">
        <v>45982.42438657407</v>
      </c>
      <c r="C1406" s="1" t="n">
        <v>46065</v>
      </c>
      <c r="D1406" t="inlineStr">
        <is>
          <t>VÄSTERNORRLANDS LÄN</t>
        </is>
      </c>
      <c r="E1406" t="inlineStr">
        <is>
          <t>ÅNGE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57950-2025</t>
        </is>
      </c>
      <c r="B1407" s="1" t="n">
        <v>45982.34473379629</v>
      </c>
      <c r="C1407" s="1" t="n">
        <v>46065</v>
      </c>
      <c r="D1407" t="inlineStr">
        <is>
          <t>VÄSTERNORRLANDS LÄN</t>
        </is>
      </c>
      <c r="E1407" t="inlineStr">
        <is>
          <t>ÅNGE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57960-2025</t>
        </is>
      </c>
      <c r="B1408" s="1" t="n">
        <v>45982.36494212963</v>
      </c>
      <c r="C1408" s="1" t="n">
        <v>46065</v>
      </c>
      <c r="D1408" t="inlineStr">
        <is>
          <t>VÄSTERNORRLANDS LÄN</t>
        </is>
      </c>
      <c r="E1408" t="inlineStr">
        <is>
          <t>ÅNGE</t>
        </is>
      </c>
      <c r="F1408" t="inlineStr">
        <is>
          <t>SCA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58750-2025</t>
        </is>
      </c>
      <c r="B1409" s="1" t="n">
        <v>45986.64064814815</v>
      </c>
      <c r="C1409" s="1" t="n">
        <v>46065</v>
      </c>
      <c r="D1409" t="inlineStr">
        <is>
          <t>VÄSTERNORRLANDS LÄN</t>
        </is>
      </c>
      <c r="E1409" t="inlineStr">
        <is>
          <t>ÅNGE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58536-2025</t>
        </is>
      </c>
      <c r="B1410" s="1" t="n">
        <v>45985.83274305556</v>
      </c>
      <c r="C1410" s="1" t="n">
        <v>46065</v>
      </c>
      <c r="D1410" t="inlineStr">
        <is>
          <t>VÄSTERNORRLANDS LÄN</t>
        </is>
      </c>
      <c r="E1410" t="inlineStr">
        <is>
          <t>ÅNGE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58388-2025</t>
        </is>
      </c>
      <c r="B1411" s="1" t="n">
        <v>45985.54685185185</v>
      </c>
      <c r="C1411" s="1" t="n">
        <v>46065</v>
      </c>
      <c r="D1411" t="inlineStr">
        <is>
          <t>VÄSTERNORRLANDS LÄN</t>
        </is>
      </c>
      <c r="E1411" t="inlineStr">
        <is>
          <t>ÅNGE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58366-2025</t>
        </is>
      </c>
      <c r="B1412" s="1" t="n">
        <v>45985.52600694444</v>
      </c>
      <c r="C1412" s="1" t="n">
        <v>46065</v>
      </c>
      <c r="D1412" t="inlineStr">
        <is>
          <t>VÄSTERNORRLANDS LÄN</t>
        </is>
      </c>
      <c r="E1412" t="inlineStr">
        <is>
          <t>ÅNGE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58268-2025</t>
        </is>
      </c>
      <c r="B1413" s="1" t="n">
        <v>45985.42450231482</v>
      </c>
      <c r="C1413" s="1" t="n">
        <v>46065</v>
      </c>
      <c r="D1413" t="inlineStr">
        <is>
          <t>VÄSTERNORRLANDS LÄN</t>
        </is>
      </c>
      <c r="E1413" t="inlineStr">
        <is>
          <t>ÅNGE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58588-2025</t>
        </is>
      </c>
      <c r="B1414" s="1" t="n">
        <v>45986.4065625</v>
      </c>
      <c r="C1414" s="1" t="n">
        <v>46065</v>
      </c>
      <c r="D1414" t="inlineStr">
        <is>
          <t>VÄSTERNORRLANDS LÄN</t>
        </is>
      </c>
      <c r="E1414" t="inlineStr">
        <is>
          <t>ÅNGE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58605-2025</t>
        </is>
      </c>
      <c r="B1415" s="1" t="n">
        <v>45986</v>
      </c>
      <c r="C1415" s="1" t="n">
        <v>46065</v>
      </c>
      <c r="D1415" t="inlineStr">
        <is>
          <t>VÄSTERNORRLANDS LÄN</t>
        </is>
      </c>
      <c r="E1415" t="inlineStr">
        <is>
          <t>ÅNGE</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58585-2025</t>
        </is>
      </c>
      <c r="B1416" s="1" t="n">
        <v>45986.39733796296</v>
      </c>
      <c r="C1416" s="1" t="n">
        <v>46065</v>
      </c>
      <c r="D1416" t="inlineStr">
        <is>
          <t>VÄSTERNORRLANDS LÄN</t>
        </is>
      </c>
      <c r="E1416" t="inlineStr">
        <is>
          <t>ÅNGE</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353-2026</t>
        </is>
      </c>
      <c r="B1417" s="1" t="n">
        <v>46027.63585648148</v>
      </c>
      <c r="C1417" s="1" t="n">
        <v>46065</v>
      </c>
      <c r="D1417" t="inlineStr">
        <is>
          <t>VÄSTERNORRLANDS LÄN</t>
        </is>
      </c>
      <c r="E1417" t="inlineStr">
        <is>
          <t>ÅNGE</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58486-2025</t>
        </is>
      </c>
      <c r="B1418" s="1" t="n">
        <v>45985.65660879629</v>
      </c>
      <c r="C1418" s="1" t="n">
        <v>46065</v>
      </c>
      <c r="D1418" t="inlineStr">
        <is>
          <t>VÄSTERNORRLANDS LÄN</t>
        </is>
      </c>
      <c r="E1418" t="inlineStr">
        <is>
          <t>ÅNGE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345-2026</t>
        </is>
      </c>
      <c r="B1419" s="1" t="n">
        <v>46027.61515046296</v>
      </c>
      <c r="C1419" s="1" t="n">
        <v>46065</v>
      </c>
      <c r="D1419" t="inlineStr">
        <is>
          <t>VÄSTERNORRLANDS LÄN</t>
        </is>
      </c>
      <c r="E1419" t="inlineStr">
        <is>
          <t>ÅNGE</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58242-2025</t>
        </is>
      </c>
      <c r="B1420" s="1" t="n">
        <v>45985.38802083334</v>
      </c>
      <c r="C1420" s="1" t="n">
        <v>46065</v>
      </c>
      <c r="D1420" t="inlineStr">
        <is>
          <t>VÄSTERNORRLANDS LÄN</t>
        </is>
      </c>
      <c r="E1420" t="inlineStr">
        <is>
          <t>ÅNGE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232-2026</t>
        </is>
      </c>
      <c r="B1421" s="1" t="n">
        <v>46027.34425925926</v>
      </c>
      <c r="C1421" s="1" t="n">
        <v>46065</v>
      </c>
      <c r="D1421" t="inlineStr">
        <is>
          <t>VÄSTERNORRLANDS LÄN</t>
        </is>
      </c>
      <c r="E1421" t="inlineStr">
        <is>
          <t>ÅNGE</t>
        </is>
      </c>
      <c r="F1421" t="inlineStr">
        <is>
          <t>SCA</t>
        </is>
      </c>
      <c r="G1421" t="n">
        <v>37.7</v>
      </c>
      <c r="H1421" t="n">
        <v>0</v>
      </c>
      <c r="I1421" t="n">
        <v>0</v>
      </c>
      <c r="J1421" t="n">
        <v>0</v>
      </c>
      <c r="K1421" t="n">
        <v>0</v>
      </c>
      <c r="L1421" t="n">
        <v>0</v>
      </c>
      <c r="M1421" t="n">
        <v>0</v>
      </c>
      <c r="N1421" t="n">
        <v>0</v>
      </c>
      <c r="O1421" t="n">
        <v>0</v>
      </c>
      <c r="P1421" t="n">
        <v>0</v>
      </c>
      <c r="Q1421" t="n">
        <v>0</v>
      </c>
      <c r="R1421" s="2" t="inlineStr"/>
    </row>
    <row r="1422" ht="15" customHeight="1">
      <c r="A1422" t="inlineStr">
        <is>
          <t>A 58439-2025</t>
        </is>
      </c>
      <c r="B1422" s="1" t="n">
        <v>45985.61518518518</v>
      </c>
      <c r="C1422" s="1" t="n">
        <v>46065</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58524-2025</t>
        </is>
      </c>
      <c r="B1423" s="1" t="n">
        <v>45985.7190162037</v>
      </c>
      <c r="C1423" s="1" t="n">
        <v>46065</v>
      </c>
      <c r="D1423" t="inlineStr">
        <is>
          <t>VÄSTERNORRLANDS LÄN</t>
        </is>
      </c>
      <c r="E1423" t="inlineStr">
        <is>
          <t>ÅNGE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58639-2025</t>
        </is>
      </c>
      <c r="B1424" s="1" t="n">
        <v>45986.49042824074</v>
      </c>
      <c r="C1424" s="1" t="n">
        <v>46065</v>
      </c>
      <c r="D1424" t="inlineStr">
        <is>
          <t>VÄSTERNORRLANDS LÄN</t>
        </is>
      </c>
      <c r="E1424" t="inlineStr">
        <is>
          <t>ÅNGE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58599-2025</t>
        </is>
      </c>
      <c r="B1425" s="1" t="n">
        <v>45986.42644675926</v>
      </c>
      <c r="C1425" s="1" t="n">
        <v>46065</v>
      </c>
      <c r="D1425" t="inlineStr">
        <is>
          <t>VÄSTERNORRLANDS LÄN</t>
        </is>
      </c>
      <c r="E1425" t="inlineStr">
        <is>
          <t>ÅNGE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58406-2025</t>
        </is>
      </c>
      <c r="B1426" s="1" t="n">
        <v>45985.56913194444</v>
      </c>
      <c r="C1426" s="1" t="n">
        <v>46065</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58240-2025</t>
        </is>
      </c>
      <c r="B1427" s="1" t="n">
        <v>45985.38796296297</v>
      </c>
      <c r="C1427" s="1" t="n">
        <v>46065</v>
      </c>
      <c r="D1427" t="inlineStr">
        <is>
          <t>VÄSTERNORRLANDS LÄN</t>
        </is>
      </c>
      <c r="E1427" t="inlineStr">
        <is>
          <t>ÅNGE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58270-2025</t>
        </is>
      </c>
      <c r="B1428" s="1" t="n">
        <v>45985.42633101852</v>
      </c>
      <c r="C1428" s="1" t="n">
        <v>46065</v>
      </c>
      <c r="D1428" t="inlineStr">
        <is>
          <t>VÄSTERNORRLANDS LÄN</t>
        </is>
      </c>
      <c r="E1428" t="inlineStr">
        <is>
          <t>ÅNGE</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58890-2025</t>
        </is>
      </c>
      <c r="B1429" s="1" t="n">
        <v>45987.49006944444</v>
      </c>
      <c r="C1429" s="1" t="n">
        <v>46065</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59062-2025</t>
        </is>
      </c>
      <c r="B1430" s="1" t="n">
        <v>45988.40723379629</v>
      </c>
      <c r="C1430" s="1" t="n">
        <v>46065</v>
      </c>
      <c r="D1430" t="inlineStr">
        <is>
          <t>VÄSTERNORRLANDS LÄN</t>
        </is>
      </c>
      <c r="E1430" t="inlineStr">
        <is>
          <t>ÅNGE</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59064-2025</t>
        </is>
      </c>
      <c r="B1431" s="1" t="n">
        <v>45988.40768518519</v>
      </c>
      <c r="C1431" s="1" t="n">
        <v>46065</v>
      </c>
      <c r="D1431" t="inlineStr">
        <is>
          <t>VÄSTERNORRLANDS LÄN</t>
        </is>
      </c>
      <c r="E1431" t="inlineStr">
        <is>
          <t>ÅNGE</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59023-2025</t>
        </is>
      </c>
      <c r="B1432" s="1" t="n">
        <v>45988</v>
      </c>
      <c r="C1432" s="1" t="n">
        <v>46065</v>
      </c>
      <c r="D1432" t="inlineStr">
        <is>
          <t>VÄSTERNORRLANDS LÄN</t>
        </is>
      </c>
      <c r="E1432" t="inlineStr">
        <is>
          <t>ÅNGE</t>
        </is>
      </c>
      <c r="F1432" t="inlineStr">
        <is>
          <t>SCA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59022-2025</t>
        </is>
      </c>
      <c r="B1433" s="1" t="n">
        <v>45988</v>
      </c>
      <c r="C1433" s="1" t="n">
        <v>46065</v>
      </c>
      <c r="D1433" t="inlineStr">
        <is>
          <t>VÄSTERNORRLANDS LÄN</t>
        </is>
      </c>
      <c r="E1433" t="inlineStr">
        <is>
          <t>ÅNGE</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59063-2025</t>
        </is>
      </c>
      <c r="B1434" s="1" t="n">
        <v>45988.40734953704</v>
      </c>
      <c r="C1434" s="1" t="n">
        <v>46065</v>
      </c>
      <c r="D1434" t="inlineStr">
        <is>
          <t>VÄSTERNORRLANDS LÄN</t>
        </is>
      </c>
      <c r="E1434" t="inlineStr">
        <is>
          <t>ÅNGE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58892-2025</t>
        </is>
      </c>
      <c r="B1435" s="1" t="n">
        <v>45987.49056712963</v>
      </c>
      <c r="C1435" s="1" t="n">
        <v>46065</v>
      </c>
      <c r="D1435" t="inlineStr">
        <is>
          <t>VÄSTERNORRLANDS LÄN</t>
        </is>
      </c>
      <c r="E1435" t="inlineStr">
        <is>
          <t>ÅNGE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58823-2025</t>
        </is>
      </c>
      <c r="B1436" s="1" t="n">
        <v>45987.3453125</v>
      </c>
      <c r="C1436" s="1" t="n">
        <v>46065</v>
      </c>
      <c r="D1436" t="inlineStr">
        <is>
          <t>VÄSTERNORRLANDS LÄN</t>
        </is>
      </c>
      <c r="E1436" t="inlineStr">
        <is>
          <t>ÅNGE</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703-2026</t>
        </is>
      </c>
      <c r="B1437" s="1" t="n">
        <v>46029.61604166667</v>
      </c>
      <c r="C1437" s="1" t="n">
        <v>46065</v>
      </c>
      <c r="D1437" t="inlineStr">
        <is>
          <t>VÄSTERNORRLANDS LÄN</t>
        </is>
      </c>
      <c r="E1437" t="inlineStr">
        <is>
          <t>ÅNGE</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58906-2025</t>
        </is>
      </c>
      <c r="B1438" s="1" t="n">
        <v>45987.51087962963</v>
      </c>
      <c r="C1438" s="1" t="n">
        <v>46065</v>
      </c>
      <c r="D1438" t="inlineStr">
        <is>
          <t>VÄSTERNORRLANDS LÄN</t>
        </is>
      </c>
      <c r="E1438" t="inlineStr">
        <is>
          <t>ÅNGE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58907-2025</t>
        </is>
      </c>
      <c r="B1439" s="1" t="n">
        <v>45987.51108796296</v>
      </c>
      <c r="C1439" s="1" t="n">
        <v>46065</v>
      </c>
      <c r="D1439" t="inlineStr">
        <is>
          <t>VÄSTERNORRLANDS LÄN</t>
        </is>
      </c>
      <c r="E1439" t="inlineStr">
        <is>
          <t>ÅNGE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59065-2025</t>
        </is>
      </c>
      <c r="B1440" s="1" t="n">
        <v>45988.40780092592</v>
      </c>
      <c r="C1440" s="1" t="n">
        <v>46065</v>
      </c>
      <c r="D1440" t="inlineStr">
        <is>
          <t>VÄSTERNORRLANDS LÄN</t>
        </is>
      </c>
      <c r="E1440" t="inlineStr">
        <is>
          <t>ÅNGE</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627-2026</t>
        </is>
      </c>
      <c r="B1441" s="1" t="n">
        <v>46029.55262731481</v>
      </c>
      <c r="C1441" s="1" t="n">
        <v>46065</v>
      </c>
      <c r="D1441" t="inlineStr">
        <is>
          <t>VÄSTERNORRLANDS LÄN</t>
        </is>
      </c>
      <c r="E1441" t="inlineStr">
        <is>
          <t>ÅNGE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59259-2025</t>
        </is>
      </c>
      <c r="B1442" s="1" t="n">
        <v>45988.65748842592</v>
      </c>
      <c r="C1442" s="1" t="n">
        <v>46065</v>
      </c>
      <c r="D1442" t="inlineStr">
        <is>
          <t>VÄSTERNORRLANDS LÄN</t>
        </is>
      </c>
      <c r="E1442" t="inlineStr">
        <is>
          <t>ÅNGE</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1280-2026</t>
        </is>
      </c>
      <c r="B1443" s="1" t="n">
        <v>46031.47851851852</v>
      </c>
      <c r="C1443" s="1" t="n">
        <v>46065</v>
      </c>
      <c r="D1443" t="inlineStr">
        <is>
          <t>VÄSTERNORRLANDS LÄN</t>
        </is>
      </c>
      <c r="E1443" t="inlineStr">
        <is>
          <t>ÅNGE</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59641-2025</t>
        </is>
      </c>
      <c r="B1444" s="1" t="n">
        <v>45992.4175925926</v>
      </c>
      <c r="C1444" s="1" t="n">
        <v>46065</v>
      </c>
      <c r="D1444" t="inlineStr">
        <is>
          <t>VÄSTERNORRLANDS LÄN</t>
        </is>
      </c>
      <c r="E1444" t="inlineStr">
        <is>
          <t>ÅNGE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59319-2025</t>
        </is>
      </c>
      <c r="B1445" s="1" t="n">
        <v>45989.33283564815</v>
      </c>
      <c r="C1445" s="1" t="n">
        <v>46065</v>
      </c>
      <c r="D1445" t="inlineStr">
        <is>
          <t>VÄSTERNORRLANDS LÄN</t>
        </is>
      </c>
      <c r="E1445" t="inlineStr">
        <is>
          <t>ÅNGE</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59331-2025</t>
        </is>
      </c>
      <c r="B1446" s="1" t="n">
        <v>45989.35978009259</v>
      </c>
      <c r="C1446" s="1" t="n">
        <v>46065</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1654-2026</t>
        </is>
      </c>
      <c r="B1447" s="1" t="n">
        <v>46034.53197916667</v>
      </c>
      <c r="C1447" s="1" t="n">
        <v>46065</v>
      </c>
      <c r="D1447" t="inlineStr">
        <is>
          <t>VÄSTERNORRLANDS LÄN</t>
        </is>
      </c>
      <c r="E1447" t="inlineStr">
        <is>
          <t>ÅNGE</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1544-2026</t>
        </is>
      </c>
      <c r="B1448" s="1" t="n">
        <v>46034.38653935185</v>
      </c>
      <c r="C1448" s="1" t="n">
        <v>46065</v>
      </c>
      <c r="D1448" t="inlineStr">
        <is>
          <t>VÄSTERNORRLANDS LÄN</t>
        </is>
      </c>
      <c r="E1448" t="inlineStr">
        <is>
          <t>ÅNGE</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1266-2026</t>
        </is>
      </c>
      <c r="B1449" s="1" t="n">
        <v>46031.46269675926</v>
      </c>
      <c r="C1449" s="1" t="n">
        <v>46065</v>
      </c>
      <c r="D1449" t="inlineStr">
        <is>
          <t>VÄSTERNORRLANDS LÄN</t>
        </is>
      </c>
      <c r="E1449" t="inlineStr">
        <is>
          <t>ÅNGE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1543-2026</t>
        </is>
      </c>
      <c r="B1450" s="1" t="n">
        <v>46034.38636574074</v>
      </c>
      <c r="C1450" s="1" t="n">
        <v>46065</v>
      </c>
      <c r="D1450" t="inlineStr">
        <is>
          <t>VÄSTERNORRLANDS LÄN</t>
        </is>
      </c>
      <c r="E1450" t="inlineStr">
        <is>
          <t>ÅNGE</t>
        </is>
      </c>
      <c r="F1450" t="inlineStr">
        <is>
          <t>SCA</t>
        </is>
      </c>
      <c r="G1450" t="n">
        <v>17.3</v>
      </c>
      <c r="H1450" t="n">
        <v>0</v>
      </c>
      <c r="I1450" t="n">
        <v>0</v>
      </c>
      <c r="J1450" t="n">
        <v>0</v>
      </c>
      <c r="K1450" t="n">
        <v>0</v>
      </c>
      <c r="L1450" t="n">
        <v>0</v>
      </c>
      <c r="M1450" t="n">
        <v>0</v>
      </c>
      <c r="N1450" t="n">
        <v>0</v>
      </c>
      <c r="O1450" t="n">
        <v>0</v>
      </c>
      <c r="P1450" t="n">
        <v>0</v>
      </c>
      <c r="Q1450" t="n">
        <v>0</v>
      </c>
      <c r="R1450" s="2" t="inlineStr"/>
    </row>
    <row r="1451" ht="15" customHeight="1">
      <c r="A1451" t="inlineStr">
        <is>
          <t>A 1547-2026</t>
        </is>
      </c>
      <c r="B1451" s="1" t="n">
        <v>46034.38689814815</v>
      </c>
      <c r="C1451" s="1" t="n">
        <v>46065</v>
      </c>
      <c r="D1451" t="inlineStr">
        <is>
          <t>VÄSTERNORRLANDS LÄN</t>
        </is>
      </c>
      <c r="E1451" t="inlineStr">
        <is>
          <t>ÅNGE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59815-2025</t>
        </is>
      </c>
      <c r="B1452" s="1" t="n">
        <v>45992.6359837963</v>
      </c>
      <c r="C1452" s="1" t="n">
        <v>46065</v>
      </c>
      <c r="D1452" t="inlineStr">
        <is>
          <t>VÄSTERNORRLANDS LÄN</t>
        </is>
      </c>
      <c r="E1452" t="inlineStr">
        <is>
          <t>ÅNGE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1270-2026</t>
        </is>
      </c>
      <c r="B1453" s="1" t="n">
        <v>46031.46538194444</v>
      </c>
      <c r="C1453" s="1" t="n">
        <v>46065</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1541-2026</t>
        </is>
      </c>
      <c r="B1454" s="1" t="n">
        <v>46034.38606481482</v>
      </c>
      <c r="C1454" s="1" t="n">
        <v>46065</v>
      </c>
      <c r="D1454" t="inlineStr">
        <is>
          <t>VÄSTERNORRLANDS LÄN</t>
        </is>
      </c>
      <c r="E1454" t="inlineStr">
        <is>
          <t>ÅNGE</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1375-2026</t>
        </is>
      </c>
      <c r="B1455" s="1" t="n">
        <v>46031.61520833334</v>
      </c>
      <c r="C1455" s="1" t="n">
        <v>46065</v>
      </c>
      <c r="D1455" t="inlineStr">
        <is>
          <t>VÄSTERNORRLANDS LÄN</t>
        </is>
      </c>
      <c r="E1455" t="inlineStr">
        <is>
          <t>ÅNGE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60278-2025</t>
        </is>
      </c>
      <c r="B1456" s="1" t="n">
        <v>45994.63739583334</v>
      </c>
      <c r="C1456" s="1" t="n">
        <v>46065</v>
      </c>
      <c r="D1456" t="inlineStr">
        <is>
          <t>VÄSTERNORRLANDS LÄN</t>
        </is>
      </c>
      <c r="E1456" t="inlineStr">
        <is>
          <t>ÅNGE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58-2026</t>
        </is>
      </c>
      <c r="B1457" s="1" t="n">
        <v>46024</v>
      </c>
      <c r="C1457" s="1" t="n">
        <v>46065</v>
      </c>
      <c r="D1457" t="inlineStr">
        <is>
          <t>VÄSTERNORRLANDS LÄN</t>
        </is>
      </c>
      <c r="E1457" t="inlineStr">
        <is>
          <t>ÅNGE</t>
        </is>
      </c>
      <c r="F1457" t="inlineStr">
        <is>
          <t>Kyrkan</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60286-2025</t>
        </is>
      </c>
      <c r="B1458" s="1" t="n">
        <v>45994.64612268518</v>
      </c>
      <c r="C1458" s="1" t="n">
        <v>46065</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60296-2025</t>
        </is>
      </c>
      <c r="B1459" s="1" t="n">
        <v>45994.6568287037</v>
      </c>
      <c r="C1459" s="1" t="n">
        <v>46065</v>
      </c>
      <c r="D1459" t="inlineStr">
        <is>
          <t>VÄSTERNORRLANDS LÄN</t>
        </is>
      </c>
      <c r="E1459" t="inlineStr">
        <is>
          <t>ÅNGE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1971-2026</t>
        </is>
      </c>
      <c r="B1460" s="1" t="n">
        <v>46035.64133101852</v>
      </c>
      <c r="C1460" s="1" t="n">
        <v>46065</v>
      </c>
      <c r="D1460" t="inlineStr">
        <is>
          <t>VÄSTERNORRLANDS LÄN</t>
        </is>
      </c>
      <c r="E1460" t="inlineStr">
        <is>
          <t>ÅNGE</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60582-2025</t>
        </is>
      </c>
      <c r="B1461" s="1" t="n">
        <v>45994</v>
      </c>
      <c r="C1461" s="1" t="n">
        <v>46065</v>
      </c>
      <c r="D1461" t="inlineStr">
        <is>
          <t>VÄSTERNORRLANDS LÄN</t>
        </is>
      </c>
      <c r="E1461" t="inlineStr">
        <is>
          <t>ÅNGE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60599-2025</t>
        </is>
      </c>
      <c r="B1462" s="1" t="n">
        <v>45994</v>
      </c>
      <c r="C1462" s="1" t="n">
        <v>46065</v>
      </c>
      <c r="D1462" t="inlineStr">
        <is>
          <t>VÄSTERNORRLANDS LÄN</t>
        </is>
      </c>
      <c r="E1462" t="inlineStr">
        <is>
          <t>ÅNGE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60079-2025</t>
        </is>
      </c>
      <c r="B1463" s="1" t="n">
        <v>45993.6834375</v>
      </c>
      <c r="C1463" s="1" t="n">
        <v>46065</v>
      </c>
      <c r="D1463" t="inlineStr">
        <is>
          <t>VÄSTERNORRLANDS LÄN</t>
        </is>
      </c>
      <c r="E1463" t="inlineStr">
        <is>
          <t>ÅNGE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1969-2026</t>
        </is>
      </c>
      <c r="B1464" s="1" t="n">
        <v>46035.64024305555</v>
      </c>
      <c r="C1464" s="1" t="n">
        <v>46065</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60590-2025</t>
        </is>
      </c>
      <c r="B1465" s="1" t="n">
        <v>45994</v>
      </c>
      <c r="C1465" s="1" t="n">
        <v>46065</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60061-2025</t>
        </is>
      </c>
      <c r="B1466" s="1" t="n">
        <v>45993.65673611111</v>
      </c>
      <c r="C1466" s="1" t="n">
        <v>46065</v>
      </c>
      <c r="D1466" t="inlineStr">
        <is>
          <t>VÄSTERNORRLANDS LÄN</t>
        </is>
      </c>
      <c r="E1466" t="inlineStr">
        <is>
          <t>ÅNGE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60118-2025</t>
        </is>
      </c>
      <c r="B1467" s="1" t="n">
        <v>45994.3242824074</v>
      </c>
      <c r="C1467" s="1" t="n">
        <v>46065</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60119-2025</t>
        </is>
      </c>
      <c r="B1468" s="1" t="n">
        <v>45994.33081018519</v>
      </c>
      <c r="C1468" s="1" t="n">
        <v>46065</v>
      </c>
      <c r="D1468" t="inlineStr">
        <is>
          <t>VÄSTERNORRLANDS LÄN</t>
        </is>
      </c>
      <c r="E1468" t="inlineStr">
        <is>
          <t>ÅNGE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60342-2025</t>
        </is>
      </c>
      <c r="B1469" s="1" t="n">
        <v>45994.86804398148</v>
      </c>
      <c r="C1469" s="1" t="n">
        <v>46065</v>
      </c>
      <c r="D1469" t="inlineStr">
        <is>
          <t>VÄSTERNORRLANDS LÄN</t>
        </is>
      </c>
      <c r="E1469" t="inlineStr">
        <is>
          <t>ÅNGE</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60402-2025</t>
        </is>
      </c>
      <c r="B1470" s="1" t="n">
        <v>45995.4262962963</v>
      </c>
      <c r="C1470" s="1" t="n">
        <v>46065</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60422-2025</t>
        </is>
      </c>
      <c r="B1471" s="1" t="n">
        <v>45995.46922453704</v>
      </c>
      <c r="C1471" s="1" t="n">
        <v>46065</v>
      </c>
      <c r="D1471" t="inlineStr">
        <is>
          <t>VÄSTERNORRLANDS LÄN</t>
        </is>
      </c>
      <c r="E1471" t="inlineStr">
        <is>
          <t>ÅNGE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60520-2025</t>
        </is>
      </c>
      <c r="B1472" s="1" t="n">
        <v>45995.63694444444</v>
      </c>
      <c r="C1472" s="1" t="n">
        <v>46065</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60124-2025</t>
        </is>
      </c>
      <c r="B1473" s="1" t="n">
        <v>45994.33722222222</v>
      </c>
      <c r="C1473" s="1" t="n">
        <v>46065</v>
      </c>
      <c r="D1473" t="inlineStr">
        <is>
          <t>VÄSTERNORRLANDS LÄN</t>
        </is>
      </c>
      <c r="E1473" t="inlineStr">
        <is>
          <t>ÅNGE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60134-2025</t>
        </is>
      </c>
      <c r="B1474" s="1" t="n">
        <v>45994.34793981481</v>
      </c>
      <c r="C1474" s="1" t="n">
        <v>46065</v>
      </c>
      <c r="D1474" t="inlineStr">
        <is>
          <t>VÄSTERNORRLANDS LÄN</t>
        </is>
      </c>
      <c r="E1474" t="inlineStr">
        <is>
          <t>ÅNGE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60604-2025</t>
        </is>
      </c>
      <c r="B1475" s="1" t="n">
        <v>45995</v>
      </c>
      <c r="C1475" s="1" t="n">
        <v>46065</v>
      </c>
      <c r="D1475" t="inlineStr">
        <is>
          <t>VÄSTERNORRLANDS LÄN</t>
        </is>
      </c>
      <c r="E1475" t="inlineStr">
        <is>
          <t>ÅNGE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2485-2026</t>
        </is>
      </c>
      <c r="B1476" s="1" t="n">
        <v>46037.38591435185</v>
      </c>
      <c r="C1476" s="1" t="n">
        <v>46065</v>
      </c>
      <c r="D1476" t="inlineStr">
        <is>
          <t>VÄSTERNORRLANDS LÄN</t>
        </is>
      </c>
      <c r="E1476" t="inlineStr">
        <is>
          <t>ÅNGE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60403-2025</t>
        </is>
      </c>
      <c r="B1477" s="1" t="n">
        <v>45995.42762731481</v>
      </c>
      <c r="C1477" s="1" t="n">
        <v>46065</v>
      </c>
      <c r="D1477" t="inlineStr">
        <is>
          <t>VÄSTERNORRLANDS LÄN</t>
        </is>
      </c>
      <c r="E1477" t="inlineStr">
        <is>
          <t>ÅNGE</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61200-2025</t>
        </is>
      </c>
      <c r="B1478" s="1" t="n">
        <v>46000.60918981482</v>
      </c>
      <c r="C1478" s="1" t="n">
        <v>46065</v>
      </c>
      <c r="D1478" t="inlineStr">
        <is>
          <t>VÄSTERNORRLANDS LÄN</t>
        </is>
      </c>
      <c r="E1478" t="inlineStr">
        <is>
          <t>ÅNGE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61203-2025</t>
        </is>
      </c>
      <c r="B1479" s="1" t="n">
        <v>46000.61237268519</v>
      </c>
      <c r="C1479" s="1" t="n">
        <v>46065</v>
      </c>
      <c r="D1479" t="inlineStr">
        <is>
          <t>VÄSTERNORRLANDS LÄN</t>
        </is>
      </c>
      <c r="E1479" t="inlineStr">
        <is>
          <t>ÅNGE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3289-2026</t>
        </is>
      </c>
      <c r="B1480" s="1" t="n">
        <v>46041.63581018519</v>
      </c>
      <c r="C1480" s="1" t="n">
        <v>46065</v>
      </c>
      <c r="D1480" t="inlineStr">
        <is>
          <t>VÄSTERNORRLANDS LÄN</t>
        </is>
      </c>
      <c r="E1480" t="inlineStr">
        <is>
          <t>ÅNGE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61075-2025</t>
        </is>
      </c>
      <c r="B1481" s="1" t="n">
        <v>46000.3959837963</v>
      </c>
      <c r="C1481" s="1" t="n">
        <v>46065</v>
      </c>
      <c r="D1481" t="inlineStr">
        <is>
          <t>VÄSTERNORRLANDS LÄN</t>
        </is>
      </c>
      <c r="E1481" t="inlineStr">
        <is>
          <t>ÅNGE</t>
        </is>
      </c>
      <c r="F1481" t="inlineStr">
        <is>
          <t>Holmen skog AB</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60864-2025</t>
        </is>
      </c>
      <c r="B1482" s="1" t="n">
        <v>45999.53170138889</v>
      </c>
      <c r="C1482" s="1" t="n">
        <v>46065</v>
      </c>
      <c r="D1482" t="inlineStr">
        <is>
          <t>VÄSTERNORRLANDS LÄN</t>
        </is>
      </c>
      <c r="E1482" t="inlineStr">
        <is>
          <t>ÅNGE</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3290-2026</t>
        </is>
      </c>
      <c r="B1483" s="1" t="n">
        <v>46041</v>
      </c>
      <c r="C1483" s="1" t="n">
        <v>46065</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3534-2026</t>
        </is>
      </c>
      <c r="B1484" s="1" t="n">
        <v>46042.62432870371</v>
      </c>
      <c r="C1484" s="1" t="n">
        <v>46065</v>
      </c>
      <c r="D1484" t="inlineStr">
        <is>
          <t>VÄSTERNORRLANDS LÄN</t>
        </is>
      </c>
      <c r="E1484" t="inlineStr">
        <is>
          <t>ÅNGE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61308-2025</t>
        </is>
      </c>
      <c r="B1485" s="1" t="n">
        <v>46000.81952546296</v>
      </c>
      <c r="C1485" s="1" t="n">
        <v>46065</v>
      </c>
      <c r="D1485" t="inlineStr">
        <is>
          <t>VÄSTERNORRLANDS LÄN</t>
        </is>
      </c>
      <c r="E1485" t="inlineStr">
        <is>
          <t>ÅNGE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61321-2025</t>
        </is>
      </c>
      <c r="B1486" s="1" t="n">
        <v>46000.96894675926</v>
      </c>
      <c r="C1486" s="1" t="n">
        <v>46065</v>
      </c>
      <c r="D1486" t="inlineStr">
        <is>
          <t>VÄSTERNORRLANDS LÄN</t>
        </is>
      </c>
      <c r="E1486" t="inlineStr">
        <is>
          <t>ÅNGE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61349-2025</t>
        </is>
      </c>
      <c r="B1487" s="1" t="n">
        <v>46001.3866087963</v>
      </c>
      <c r="C1487" s="1" t="n">
        <v>46065</v>
      </c>
      <c r="D1487" t="inlineStr">
        <is>
          <t>VÄSTERNORRLANDS LÄN</t>
        </is>
      </c>
      <c r="E1487" t="inlineStr">
        <is>
          <t>ÅNGE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3882-2026</t>
        </is>
      </c>
      <c r="B1488" s="1" t="n">
        <v>46043.65693287037</v>
      </c>
      <c r="C1488" s="1" t="n">
        <v>46065</v>
      </c>
      <c r="D1488" t="inlineStr">
        <is>
          <t>VÄSTERNORRLANDS LÄN</t>
        </is>
      </c>
      <c r="E1488" t="inlineStr">
        <is>
          <t>ÅNGE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3889-2026</t>
        </is>
      </c>
      <c r="B1489" s="1" t="n">
        <v>46043.67015046296</v>
      </c>
      <c r="C1489" s="1" t="n">
        <v>46065</v>
      </c>
      <c r="D1489" t="inlineStr">
        <is>
          <t>VÄSTERNORRLANDS LÄN</t>
        </is>
      </c>
      <c r="E1489" t="inlineStr">
        <is>
          <t>ÅNGE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61332-2025</t>
        </is>
      </c>
      <c r="B1490" s="1" t="n">
        <v>46001.34416666667</v>
      </c>
      <c r="C1490" s="1" t="n">
        <v>46065</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8778-2025</t>
        </is>
      </c>
      <c r="B1491" s="1" t="n">
        <v>45712.61539351852</v>
      </c>
      <c r="C1491" s="1" t="n">
        <v>46065</v>
      </c>
      <c r="D1491" t="inlineStr">
        <is>
          <t>VÄSTERNORRLANDS LÄN</t>
        </is>
      </c>
      <c r="E1491" t="inlineStr">
        <is>
          <t>ÅNGE</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61486-2025</t>
        </is>
      </c>
      <c r="B1492" s="1" t="n">
        <v>46001.63607638889</v>
      </c>
      <c r="C1492" s="1" t="n">
        <v>46065</v>
      </c>
      <c r="D1492" t="inlineStr">
        <is>
          <t>VÄSTERNORRLANDS LÄN</t>
        </is>
      </c>
      <c r="E1492" t="inlineStr">
        <is>
          <t>ÅNGE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3970-2026</t>
        </is>
      </c>
      <c r="B1493" s="1" t="n">
        <v>46044.3521875</v>
      </c>
      <c r="C1493" s="1" t="n">
        <v>46065</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10687-2022</t>
        </is>
      </c>
      <c r="B1494" s="1" t="n">
        <v>44624.92684027777</v>
      </c>
      <c r="C1494" s="1" t="n">
        <v>46065</v>
      </c>
      <c r="D1494" t="inlineStr">
        <is>
          <t>VÄSTERNORRLANDS LÄN</t>
        </is>
      </c>
      <c r="E1494" t="inlineStr">
        <is>
          <t>ÅNGE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61279-2025</t>
        </is>
      </c>
      <c r="B1495" s="1" t="n">
        <v>46000.69841435185</v>
      </c>
      <c r="C1495" s="1" t="n">
        <v>46065</v>
      </c>
      <c r="D1495" t="inlineStr">
        <is>
          <t>VÄSTERNORRLANDS LÄN</t>
        </is>
      </c>
      <c r="E1495" t="inlineStr">
        <is>
          <t>ÅNGE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61439-2025</t>
        </is>
      </c>
      <c r="B1496" s="1" t="n">
        <v>46001.57010416667</v>
      </c>
      <c r="C1496" s="1" t="n">
        <v>46065</v>
      </c>
      <c r="D1496" t="inlineStr">
        <is>
          <t>VÄSTERNORRLANDS LÄN</t>
        </is>
      </c>
      <c r="E1496" t="inlineStr">
        <is>
          <t>ÅNGE</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4209-2026</t>
        </is>
      </c>
      <c r="B1497" s="1" t="n">
        <v>46044.72609953704</v>
      </c>
      <c r="C1497" s="1" t="n">
        <v>46065</v>
      </c>
      <c r="D1497" t="inlineStr">
        <is>
          <t>VÄSTERNORRLANDS LÄN</t>
        </is>
      </c>
      <c r="E1497" t="inlineStr">
        <is>
          <t>ÅNGE</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3800-2026</t>
        </is>
      </c>
      <c r="B1498" s="1" t="n">
        <v>46043.58267361111</v>
      </c>
      <c r="C1498" s="1" t="n">
        <v>46065</v>
      </c>
      <c r="D1498" t="inlineStr">
        <is>
          <t>VÄSTERNORRLANDS LÄN</t>
        </is>
      </c>
      <c r="E1498" t="inlineStr">
        <is>
          <t>ÅNGE</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3872-2026</t>
        </is>
      </c>
      <c r="B1499" s="1" t="n">
        <v>46043.64314814815</v>
      </c>
      <c r="C1499" s="1" t="n">
        <v>46065</v>
      </c>
      <c r="D1499" t="inlineStr">
        <is>
          <t>VÄSTERNORRLANDS LÄN</t>
        </is>
      </c>
      <c r="E1499" t="inlineStr">
        <is>
          <t>ÅNGE</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61656-2025</t>
        </is>
      </c>
      <c r="B1500" s="1" t="n">
        <v>46002.44873842593</v>
      </c>
      <c r="C1500" s="1" t="n">
        <v>46065</v>
      </c>
      <c r="D1500" t="inlineStr">
        <is>
          <t>VÄSTERNORRLANDS LÄN</t>
        </is>
      </c>
      <c r="E1500" t="inlineStr">
        <is>
          <t>ÅNGE</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61500-2025</t>
        </is>
      </c>
      <c r="B1501" s="1" t="n">
        <v>46001.65667824074</v>
      </c>
      <c r="C1501" s="1" t="n">
        <v>46065</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3801-2026</t>
        </is>
      </c>
      <c r="B1502" s="1" t="n">
        <v>46043.58273148148</v>
      </c>
      <c r="C1502" s="1" t="n">
        <v>46065</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62084-2025</t>
        </is>
      </c>
      <c r="B1503" s="1" t="n">
        <v>46006.37449074074</v>
      </c>
      <c r="C1503" s="1" t="n">
        <v>46065</v>
      </c>
      <c r="D1503" t="inlineStr">
        <is>
          <t>VÄSTERNORRLANDS LÄN</t>
        </is>
      </c>
      <c r="E1503" t="inlineStr">
        <is>
          <t>ÅNGE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4262-2026</t>
        </is>
      </c>
      <c r="B1504" s="1" t="n">
        <v>46045.34431712963</v>
      </c>
      <c r="C1504" s="1" t="n">
        <v>46065</v>
      </c>
      <c r="D1504" t="inlineStr">
        <is>
          <t>VÄSTERNORRLANDS LÄN</t>
        </is>
      </c>
      <c r="E1504" t="inlineStr">
        <is>
          <t>ÅNGE</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4263-2026</t>
        </is>
      </c>
      <c r="B1505" s="1" t="n">
        <v>46045.34451388889</v>
      </c>
      <c r="C1505" s="1" t="n">
        <v>46065</v>
      </c>
      <c r="D1505" t="inlineStr">
        <is>
          <t>VÄSTERNORRLANDS LÄN</t>
        </is>
      </c>
      <c r="E1505" t="inlineStr">
        <is>
          <t>ÅNGE</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4328-2026</t>
        </is>
      </c>
      <c r="B1506" s="1" t="n">
        <v>46045.46940972222</v>
      </c>
      <c r="C1506" s="1" t="n">
        <v>46065</v>
      </c>
      <c r="D1506" t="inlineStr">
        <is>
          <t>VÄSTERNORRLANDS LÄN</t>
        </is>
      </c>
      <c r="E1506" t="inlineStr">
        <is>
          <t>ÅNGE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62160-2025</t>
        </is>
      </c>
      <c r="B1507" s="1" t="n">
        <v>46006.49094907408</v>
      </c>
      <c r="C1507" s="1" t="n">
        <v>46065</v>
      </c>
      <c r="D1507" t="inlineStr">
        <is>
          <t>VÄSTERNORRLANDS LÄN</t>
        </is>
      </c>
      <c r="E1507" t="inlineStr">
        <is>
          <t>ÅNGE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4441-2026</t>
        </is>
      </c>
      <c r="B1508" s="1" t="n">
        <v>46045.63600694444</v>
      </c>
      <c r="C1508" s="1" t="n">
        <v>46065</v>
      </c>
      <c r="D1508" t="inlineStr">
        <is>
          <t>VÄSTERNORRLANDS LÄN</t>
        </is>
      </c>
      <c r="E1508" t="inlineStr">
        <is>
          <t>ÅNGE</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4442-2026</t>
        </is>
      </c>
      <c r="B1509" s="1" t="n">
        <v>46045.63625</v>
      </c>
      <c r="C1509" s="1" t="n">
        <v>46065</v>
      </c>
      <c r="D1509" t="inlineStr">
        <is>
          <t>VÄSTERNORRLANDS LÄN</t>
        </is>
      </c>
      <c r="E1509" t="inlineStr">
        <is>
          <t>ÅNGE</t>
        </is>
      </c>
      <c r="F1509" t="inlineStr">
        <is>
          <t>SCA</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4591-2026</t>
        </is>
      </c>
      <c r="B1510" s="1" t="n">
        <v>46048.34443287037</v>
      </c>
      <c r="C1510" s="1" t="n">
        <v>46065</v>
      </c>
      <c r="D1510" t="inlineStr">
        <is>
          <t>VÄSTERNORRLANDS LÄN</t>
        </is>
      </c>
      <c r="E1510" t="inlineStr">
        <is>
          <t>ÅNGE</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4593-2026</t>
        </is>
      </c>
      <c r="B1511" s="1" t="n">
        <v>46048.3446412037</v>
      </c>
      <c r="C1511" s="1" t="n">
        <v>46065</v>
      </c>
      <c r="D1511" t="inlineStr">
        <is>
          <t>VÄSTERNORRLANDS LÄN</t>
        </is>
      </c>
      <c r="E1511" t="inlineStr">
        <is>
          <t>ÅNGE</t>
        </is>
      </c>
      <c r="F1511" t="inlineStr">
        <is>
          <t>SCA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54627-2025</t>
        </is>
      </c>
      <c r="B1512" s="1" t="n">
        <v>45966.34565972222</v>
      </c>
      <c r="C1512" s="1" t="n">
        <v>46065</v>
      </c>
      <c r="D1512" t="inlineStr">
        <is>
          <t>VÄSTERNORRLANDS LÄN</t>
        </is>
      </c>
      <c r="E1512" t="inlineStr">
        <is>
          <t>ÅNGE</t>
        </is>
      </c>
      <c r="F1512" t="inlineStr">
        <is>
          <t>SCA</t>
        </is>
      </c>
      <c r="G1512" t="n">
        <v>18.5</v>
      </c>
      <c r="H1512" t="n">
        <v>0</v>
      </c>
      <c r="I1512" t="n">
        <v>0</v>
      </c>
      <c r="J1512" t="n">
        <v>0</v>
      </c>
      <c r="K1512" t="n">
        <v>0</v>
      </c>
      <c r="L1512" t="n">
        <v>0</v>
      </c>
      <c r="M1512" t="n">
        <v>0</v>
      </c>
      <c r="N1512" t="n">
        <v>0</v>
      </c>
      <c r="O1512" t="n">
        <v>0</v>
      </c>
      <c r="P1512" t="n">
        <v>0</v>
      </c>
      <c r="Q1512" t="n">
        <v>0</v>
      </c>
      <c r="R1512" s="2" t="inlineStr"/>
    </row>
    <row r="1513" ht="15" customHeight="1">
      <c r="A1513" t="inlineStr">
        <is>
          <t>A 4592-2026</t>
        </is>
      </c>
      <c r="B1513" s="1" t="n">
        <v>46048.34451388889</v>
      </c>
      <c r="C1513" s="1" t="n">
        <v>46065</v>
      </c>
      <c r="D1513" t="inlineStr">
        <is>
          <t>VÄSTERNORRLANDS LÄN</t>
        </is>
      </c>
      <c r="E1513" t="inlineStr">
        <is>
          <t>ÅNGE</t>
        </is>
      </c>
      <c r="F1513" t="inlineStr">
        <is>
          <t>SCA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62101-2025</t>
        </is>
      </c>
      <c r="B1514" s="1" t="n">
        <v>46006.40664351852</v>
      </c>
      <c r="C1514" s="1" t="n">
        <v>46065</v>
      </c>
      <c r="D1514" t="inlineStr">
        <is>
          <t>VÄSTERNORRLANDS LÄN</t>
        </is>
      </c>
      <c r="E1514" t="inlineStr">
        <is>
          <t>ÅNGE</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62257-2025</t>
        </is>
      </c>
      <c r="B1515" s="1" t="n">
        <v>46006.61524305555</v>
      </c>
      <c r="C1515" s="1" t="n">
        <v>46065</v>
      </c>
      <c r="D1515" t="inlineStr">
        <is>
          <t>VÄSTERNORRLANDS LÄN</t>
        </is>
      </c>
      <c r="E1515" t="inlineStr">
        <is>
          <t>ÅNGE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34629-2025</t>
        </is>
      </c>
      <c r="B1516" s="1" t="n">
        <v>45847.93006944445</v>
      </c>
      <c r="C1516" s="1" t="n">
        <v>46065</v>
      </c>
      <c r="D1516" t="inlineStr">
        <is>
          <t>VÄSTERNORRLANDS LÄN</t>
        </is>
      </c>
      <c r="E1516" t="inlineStr">
        <is>
          <t>ÅNGE</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61857-2025</t>
        </is>
      </c>
      <c r="B1517" s="1" t="n">
        <v>46003.3862962963</v>
      </c>
      <c r="C1517" s="1" t="n">
        <v>46065</v>
      </c>
      <c r="D1517" t="inlineStr">
        <is>
          <t>VÄSTERNORRLANDS LÄN</t>
        </is>
      </c>
      <c r="E1517" t="inlineStr">
        <is>
          <t>ÅNGE</t>
        </is>
      </c>
      <c r="F1517" t="inlineStr">
        <is>
          <t>SCA</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4376-2026</t>
        </is>
      </c>
      <c r="B1518" s="1" t="n">
        <v>46045.55318287037</v>
      </c>
      <c r="C1518" s="1" t="n">
        <v>46065</v>
      </c>
      <c r="D1518" t="inlineStr">
        <is>
          <t>VÄSTERNORRLANDS LÄN</t>
        </is>
      </c>
      <c r="E1518" t="inlineStr">
        <is>
          <t>ÅNGE</t>
        </is>
      </c>
      <c r="F1518" t="inlineStr">
        <is>
          <t>SCA</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4327-2026</t>
        </is>
      </c>
      <c r="B1519" s="1" t="n">
        <v>46045.46930555555</v>
      </c>
      <c r="C1519" s="1" t="n">
        <v>46065</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4586-2026</t>
        </is>
      </c>
      <c r="B1520" s="1" t="n">
        <v>46048.33769675926</v>
      </c>
      <c r="C1520" s="1" t="n">
        <v>46065</v>
      </c>
      <c r="D1520" t="inlineStr">
        <is>
          <t>VÄSTERNORRLANDS LÄN</t>
        </is>
      </c>
      <c r="E1520" t="inlineStr">
        <is>
          <t>ÅNGE</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4612-2026</t>
        </is>
      </c>
      <c r="B1521" s="1" t="n">
        <v>46048.36509259259</v>
      </c>
      <c r="C1521" s="1" t="n">
        <v>46065</v>
      </c>
      <c r="D1521" t="inlineStr">
        <is>
          <t>VÄSTERNORRLANDS LÄN</t>
        </is>
      </c>
      <c r="E1521" t="inlineStr">
        <is>
          <t>ÅNGE</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62661-2025</t>
        </is>
      </c>
      <c r="B1522" s="1" t="n">
        <v>46008.42761574074</v>
      </c>
      <c r="C1522" s="1" t="n">
        <v>46065</v>
      </c>
      <c r="D1522" t="inlineStr">
        <is>
          <t>VÄSTERNORRLANDS LÄN</t>
        </is>
      </c>
      <c r="E1522" t="inlineStr">
        <is>
          <t>ÅNGE</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62793-2025</t>
        </is>
      </c>
      <c r="B1523" s="1" t="n">
        <v>46008.63625</v>
      </c>
      <c r="C1523" s="1" t="n">
        <v>46065</v>
      </c>
      <c r="D1523" t="inlineStr">
        <is>
          <t>VÄSTERNORRLANDS LÄN</t>
        </is>
      </c>
      <c r="E1523" t="inlineStr">
        <is>
          <t>ÅNGE</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62763-2025</t>
        </is>
      </c>
      <c r="B1524" s="1" t="n">
        <v>46008.59434027778</v>
      </c>
      <c r="C1524" s="1" t="n">
        <v>46065</v>
      </c>
      <c r="D1524" t="inlineStr">
        <is>
          <t>VÄSTERNORRLANDS LÄN</t>
        </is>
      </c>
      <c r="E1524" t="inlineStr">
        <is>
          <t>ÅNGE</t>
        </is>
      </c>
      <c r="F1524" t="inlineStr">
        <is>
          <t>SCA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5478-2026</t>
        </is>
      </c>
      <c r="B1525" s="1" t="n">
        <v>46050.60172453704</v>
      </c>
      <c r="C1525" s="1" t="n">
        <v>46065</v>
      </c>
      <c r="D1525" t="inlineStr">
        <is>
          <t>VÄSTERNORRLANDS LÄN</t>
        </is>
      </c>
      <c r="E1525" t="inlineStr">
        <is>
          <t>ÅNGE</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5470-2026</t>
        </is>
      </c>
      <c r="B1526" s="1" t="n">
        <v>46050.59548611111</v>
      </c>
      <c r="C1526" s="1" t="n">
        <v>46065</v>
      </c>
      <c r="D1526" t="inlineStr">
        <is>
          <t>VÄSTERNORRLANDS LÄN</t>
        </is>
      </c>
      <c r="E1526" t="inlineStr">
        <is>
          <t>ÅNGE</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5136-2026</t>
        </is>
      </c>
      <c r="B1527" s="1" t="n">
        <v>46049.59420138889</v>
      </c>
      <c r="C1527" s="1" t="n">
        <v>46065</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5391-2026</t>
        </is>
      </c>
      <c r="B1528" s="1" t="n">
        <v>46050.47145833333</v>
      </c>
      <c r="C1528" s="1" t="n">
        <v>46065</v>
      </c>
      <c r="D1528" t="inlineStr">
        <is>
          <t>VÄSTERNORRLANDS LÄN</t>
        </is>
      </c>
      <c r="E1528" t="inlineStr">
        <is>
          <t>ÅNGE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5223-2026</t>
        </is>
      </c>
      <c r="B1529" s="1" t="n">
        <v>46049.79012731482</v>
      </c>
      <c r="C1529" s="1" t="n">
        <v>46065</v>
      </c>
      <c r="D1529" t="inlineStr">
        <is>
          <t>VÄSTERNORRLANDS LÄN</t>
        </is>
      </c>
      <c r="E1529" t="inlineStr">
        <is>
          <t>ÅNGE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5135-2026</t>
        </is>
      </c>
      <c r="B1530" s="1" t="n">
        <v>46049.59417824074</v>
      </c>
      <c r="C1530" s="1" t="n">
        <v>46065</v>
      </c>
      <c r="D1530" t="inlineStr">
        <is>
          <t>VÄSTERNORRLANDS LÄN</t>
        </is>
      </c>
      <c r="E1530" t="inlineStr">
        <is>
          <t>ÅNGE</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5388-2026</t>
        </is>
      </c>
      <c r="B1531" s="1" t="n">
        <v>46050.46769675926</v>
      </c>
      <c r="C1531" s="1" t="n">
        <v>46065</v>
      </c>
      <c r="D1531" t="inlineStr">
        <is>
          <t>VÄSTERNORRLANDS LÄN</t>
        </is>
      </c>
      <c r="E1531" t="inlineStr">
        <is>
          <t>ÅNGE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63092-2025</t>
        </is>
      </c>
      <c r="B1532" s="1" t="n">
        <v>46009.67795138889</v>
      </c>
      <c r="C1532" s="1" t="n">
        <v>46065</v>
      </c>
      <c r="D1532" t="inlineStr">
        <is>
          <t>VÄSTERNORRLANDS LÄN</t>
        </is>
      </c>
      <c r="E1532" t="inlineStr">
        <is>
          <t>ÅNGE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5673-2026</t>
        </is>
      </c>
      <c r="B1533" s="1" t="n">
        <v>46051.4699537037</v>
      </c>
      <c r="C1533" s="1" t="n">
        <v>46065</v>
      </c>
      <c r="D1533" t="inlineStr">
        <is>
          <t>VÄSTERNORRLANDS LÄN</t>
        </is>
      </c>
      <c r="E1533" t="inlineStr">
        <is>
          <t>ÅNGE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5670-2026</t>
        </is>
      </c>
      <c r="B1534" s="1" t="n">
        <v>46051.46958333333</v>
      </c>
      <c r="C1534" s="1" t="n">
        <v>46065</v>
      </c>
      <c r="D1534" t="inlineStr">
        <is>
          <t>VÄSTERNORRLANDS LÄN</t>
        </is>
      </c>
      <c r="E1534" t="inlineStr">
        <is>
          <t>ÅNGE</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5672-2026</t>
        </is>
      </c>
      <c r="B1535" s="1" t="n">
        <v>46051.46989583333</v>
      </c>
      <c r="C1535" s="1" t="n">
        <v>46065</v>
      </c>
      <c r="D1535" t="inlineStr">
        <is>
          <t>VÄSTERNORRLANDS LÄN</t>
        </is>
      </c>
      <c r="E1535" t="inlineStr">
        <is>
          <t>ÅNGE</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1826-2026</t>
        </is>
      </c>
      <c r="B1536" s="1" t="n">
        <v>46035</v>
      </c>
      <c r="C1536" s="1" t="n">
        <v>46065</v>
      </c>
      <c r="D1536" t="inlineStr">
        <is>
          <t>VÄSTERNORRLANDS LÄN</t>
        </is>
      </c>
      <c r="E1536" t="inlineStr">
        <is>
          <t>ÅNGE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63173-2025</t>
        </is>
      </c>
      <c r="B1537" s="1" t="n">
        <v>46010.40679398148</v>
      </c>
      <c r="C1537" s="1" t="n">
        <v>46065</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5671-2026</t>
        </is>
      </c>
      <c r="B1538" s="1" t="n">
        <v>46051.46965277778</v>
      </c>
      <c r="C1538" s="1" t="n">
        <v>46065</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5882-2026</t>
        </is>
      </c>
      <c r="B1539" s="1" t="n">
        <v>46052.39703703704</v>
      </c>
      <c r="C1539" s="1" t="n">
        <v>46065</v>
      </c>
      <c r="D1539" t="inlineStr">
        <is>
          <t>VÄSTERNORRLANDS LÄN</t>
        </is>
      </c>
      <c r="E1539" t="inlineStr">
        <is>
          <t>ÅNGE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3811-2026</t>
        </is>
      </c>
      <c r="B1540" s="1" t="n">
        <v>46043</v>
      </c>
      <c r="C1540" s="1" t="n">
        <v>46065</v>
      </c>
      <c r="D1540" t="inlineStr">
        <is>
          <t>VÄSTERNORRLANDS LÄN</t>
        </is>
      </c>
      <c r="E1540" t="inlineStr">
        <is>
          <t>ÅNGE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4095-2023</t>
        </is>
      </c>
      <c r="B1541" s="1" t="n">
        <v>44952</v>
      </c>
      <c r="C1541" s="1" t="n">
        <v>46065</v>
      </c>
      <c r="D1541" t="inlineStr">
        <is>
          <t>VÄSTERNORRLANDS LÄN</t>
        </is>
      </c>
      <c r="E1541" t="inlineStr">
        <is>
          <t>ÅNGE</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60950-2025</t>
        </is>
      </c>
      <c r="B1542" s="1" t="n">
        <v>45999</v>
      </c>
      <c r="C1542" s="1" t="n">
        <v>46065</v>
      </c>
      <c r="D1542" t="inlineStr">
        <is>
          <t>VÄSTERNORRLANDS LÄN</t>
        </is>
      </c>
      <c r="E1542" t="inlineStr">
        <is>
          <t>ÅNGE</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62336-2025</t>
        </is>
      </c>
      <c r="B1543" s="1" t="n">
        <v>46006</v>
      </c>
      <c r="C1543" s="1" t="n">
        <v>46065</v>
      </c>
      <c r="D1543" t="inlineStr">
        <is>
          <t>VÄSTERNORRLANDS LÄN</t>
        </is>
      </c>
      <c r="E1543" t="inlineStr">
        <is>
          <t>ÅNGE</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63686-2025</t>
        </is>
      </c>
      <c r="B1544" s="1" t="n">
        <v>46014.53172453704</v>
      </c>
      <c r="C1544" s="1" t="n">
        <v>46065</v>
      </c>
      <c r="D1544" t="inlineStr">
        <is>
          <t>VÄSTERNORRLANDS LÄN</t>
        </is>
      </c>
      <c r="E1544" t="inlineStr">
        <is>
          <t>ÅNGE</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6692-2026</t>
        </is>
      </c>
      <c r="B1545" s="1" t="n">
        <v>46056.63623842593</v>
      </c>
      <c r="C1545" s="1" t="n">
        <v>46065</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63652-2025</t>
        </is>
      </c>
      <c r="B1546" s="1" t="n">
        <v>46014.43987268519</v>
      </c>
      <c r="C1546" s="1" t="n">
        <v>46065</v>
      </c>
      <c r="D1546" t="inlineStr">
        <is>
          <t>VÄSTERNORRLANDS LÄN</t>
        </is>
      </c>
      <c r="E1546" t="inlineStr">
        <is>
          <t>ÅNGE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6542-2026</t>
        </is>
      </c>
      <c r="B1547" s="1" t="n">
        <v>46056.42770833334</v>
      </c>
      <c r="C1547" s="1" t="n">
        <v>46065</v>
      </c>
      <c r="D1547" t="inlineStr">
        <is>
          <t>VÄSTERNORRLANDS LÄN</t>
        </is>
      </c>
      <c r="E1547" t="inlineStr">
        <is>
          <t>ÅNGE</t>
        </is>
      </c>
      <c r="F1547" t="inlineStr">
        <is>
          <t>SCA</t>
        </is>
      </c>
      <c r="G1547" t="n">
        <v>28.5</v>
      </c>
      <c r="H1547" t="n">
        <v>0</v>
      </c>
      <c r="I1547" t="n">
        <v>0</v>
      </c>
      <c r="J1547" t="n">
        <v>0</v>
      </c>
      <c r="K1547" t="n">
        <v>0</v>
      </c>
      <c r="L1547" t="n">
        <v>0</v>
      </c>
      <c r="M1547" t="n">
        <v>0</v>
      </c>
      <c r="N1547" t="n">
        <v>0</v>
      </c>
      <c r="O1547" t="n">
        <v>0</v>
      </c>
      <c r="P1547" t="n">
        <v>0</v>
      </c>
      <c r="Q1547" t="n">
        <v>0</v>
      </c>
      <c r="R1547" s="2" t="inlineStr"/>
    </row>
    <row r="1548" ht="15" customHeight="1">
      <c r="A1548" t="inlineStr">
        <is>
          <t>A 6547-2026</t>
        </is>
      </c>
      <c r="B1548" s="1" t="n">
        <v>46056.42825231481</v>
      </c>
      <c r="C1548" s="1" t="n">
        <v>46065</v>
      </c>
      <c r="D1548" t="inlineStr">
        <is>
          <t>VÄSTERNORRLANDS LÄN</t>
        </is>
      </c>
      <c r="E1548" t="inlineStr">
        <is>
          <t>ÅNGE</t>
        </is>
      </c>
      <c r="F1548" t="inlineStr">
        <is>
          <t>SCA</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5492-2026</t>
        </is>
      </c>
      <c r="B1549" s="1" t="n">
        <v>46050</v>
      </c>
      <c r="C1549" s="1" t="n">
        <v>46065</v>
      </c>
      <c r="D1549" t="inlineStr">
        <is>
          <t>VÄSTERNORRLANDS LÄN</t>
        </is>
      </c>
      <c r="E1549" t="inlineStr">
        <is>
          <t>ÅNGE</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7184-2026</t>
        </is>
      </c>
      <c r="B1550" s="1" t="n">
        <v>46058.49020833334</v>
      </c>
      <c r="C1550" s="1" t="n">
        <v>46065</v>
      </c>
      <c r="D1550" t="inlineStr">
        <is>
          <t>VÄSTERNORRLANDS LÄN</t>
        </is>
      </c>
      <c r="E1550" t="inlineStr">
        <is>
          <t>ÅNGE</t>
        </is>
      </c>
      <c r="F1550" t="inlineStr">
        <is>
          <t>SCA</t>
        </is>
      </c>
      <c r="G1550" t="n">
        <v>19.3</v>
      </c>
      <c r="H1550" t="n">
        <v>0</v>
      </c>
      <c r="I1550" t="n">
        <v>0</v>
      </c>
      <c r="J1550" t="n">
        <v>0</v>
      </c>
      <c r="K1550" t="n">
        <v>0</v>
      </c>
      <c r="L1550" t="n">
        <v>0</v>
      </c>
      <c r="M1550" t="n">
        <v>0</v>
      </c>
      <c r="N1550" t="n">
        <v>0</v>
      </c>
      <c r="O1550" t="n">
        <v>0</v>
      </c>
      <c r="P1550" t="n">
        <v>0</v>
      </c>
      <c r="Q1550" t="n">
        <v>0</v>
      </c>
      <c r="R1550" s="2" t="inlineStr"/>
    </row>
    <row r="1551" ht="15" customHeight="1">
      <c r="A1551" t="inlineStr">
        <is>
          <t>A 60960-2025</t>
        </is>
      </c>
      <c r="B1551" s="1" t="n">
        <v>45999</v>
      </c>
      <c r="C1551" s="1" t="n">
        <v>46065</v>
      </c>
      <c r="D1551" t="inlineStr">
        <is>
          <t>VÄSTERNORRLANDS LÄN</t>
        </is>
      </c>
      <c r="E1551" t="inlineStr">
        <is>
          <t>ÅNGE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6918-2026</t>
        </is>
      </c>
      <c r="B1552" s="1" t="n">
        <v>46057.53289351852</v>
      </c>
      <c r="C1552" s="1" t="n">
        <v>46065</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6932-2026</t>
        </is>
      </c>
      <c r="B1553" s="1" t="n">
        <v>46057.55331018518</v>
      </c>
      <c r="C1553" s="1" t="n">
        <v>46065</v>
      </c>
      <c r="D1553" t="inlineStr">
        <is>
          <t>VÄSTERNORRLANDS LÄN</t>
        </is>
      </c>
      <c r="E1553" t="inlineStr">
        <is>
          <t>ÅNGE</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7016-2026</t>
        </is>
      </c>
      <c r="B1554" s="1" t="n">
        <v>46057.64766203704</v>
      </c>
      <c r="C1554" s="1" t="n">
        <v>46065</v>
      </c>
      <c r="D1554" t="inlineStr">
        <is>
          <t>VÄSTERNORRLANDS LÄN</t>
        </is>
      </c>
      <c r="E1554" t="inlineStr">
        <is>
          <t>ÅNGE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62091-2025</t>
        </is>
      </c>
      <c r="B1555" s="1" t="n">
        <v>46006.3859375</v>
      </c>
      <c r="C1555" s="1" t="n">
        <v>46065</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49669-2025</t>
        </is>
      </c>
      <c r="B1556" s="1" t="n">
        <v>45939.63710648148</v>
      </c>
      <c r="C1556" s="1" t="n">
        <v>46065</v>
      </c>
      <c r="D1556" t="inlineStr">
        <is>
          <t>VÄSTERNORRLANDS LÄN</t>
        </is>
      </c>
      <c r="E1556" t="inlineStr">
        <is>
          <t>ÅNGE</t>
        </is>
      </c>
      <c r="F1556" t="inlineStr">
        <is>
          <t>SCA</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62092-2025</t>
        </is>
      </c>
      <c r="B1557" s="1" t="n">
        <v>46006.38613425926</v>
      </c>
      <c r="C1557" s="1" t="n">
        <v>46065</v>
      </c>
      <c r="D1557" t="inlineStr">
        <is>
          <t>VÄSTERNORRLANDS LÄN</t>
        </is>
      </c>
      <c r="E1557" t="inlineStr">
        <is>
          <t>ÅNGE</t>
        </is>
      </c>
      <c r="F1557" t="inlineStr">
        <is>
          <t>SCA</t>
        </is>
      </c>
      <c r="G1557" t="n">
        <v>16.3</v>
      </c>
      <c r="H1557" t="n">
        <v>0</v>
      </c>
      <c r="I1557" t="n">
        <v>0</v>
      </c>
      <c r="J1557" t="n">
        <v>0</v>
      </c>
      <c r="K1557" t="n">
        <v>0</v>
      </c>
      <c r="L1557" t="n">
        <v>0</v>
      </c>
      <c r="M1557" t="n">
        <v>0</v>
      </c>
      <c r="N1557" t="n">
        <v>0</v>
      </c>
      <c r="O1557" t="n">
        <v>0</v>
      </c>
      <c r="P1557" t="n">
        <v>0</v>
      </c>
      <c r="Q1557" t="n">
        <v>0</v>
      </c>
      <c r="R1557" s="2" t="inlineStr"/>
    </row>
    <row r="1558" ht="15" customHeight="1">
      <c r="A1558" t="inlineStr">
        <is>
          <t>A 63642-2025</t>
        </is>
      </c>
      <c r="B1558" s="1" t="n">
        <v>46014.41258101852</v>
      </c>
      <c r="C1558" s="1" t="n">
        <v>46065</v>
      </c>
      <c r="D1558" t="inlineStr">
        <is>
          <t>VÄSTERNORRLANDS LÄN</t>
        </is>
      </c>
      <c r="E1558" t="inlineStr">
        <is>
          <t>ÅNGE</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6883-2026</t>
        </is>
      </c>
      <c r="B1559" s="1" t="n">
        <v>46057.46607638889</v>
      </c>
      <c r="C1559" s="1" t="n">
        <v>46065</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6901-2026</t>
        </is>
      </c>
      <c r="B1560" s="1" t="n">
        <v>46057.4903587963</v>
      </c>
      <c r="C1560" s="1" t="n">
        <v>46065</v>
      </c>
      <c r="D1560" t="inlineStr">
        <is>
          <t>VÄSTERNORRLANDS LÄN</t>
        </is>
      </c>
      <c r="E1560" t="inlineStr">
        <is>
          <t>ÅNGE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63673-2025</t>
        </is>
      </c>
      <c r="B1561" s="1" t="n">
        <v>46014.47594907408</v>
      </c>
      <c r="C1561" s="1" t="n">
        <v>46065</v>
      </c>
      <c r="D1561" t="inlineStr">
        <is>
          <t>VÄSTERNORRLANDS LÄN</t>
        </is>
      </c>
      <c r="E1561" t="inlineStr">
        <is>
          <t>ÅNGE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7005-2026</t>
        </is>
      </c>
      <c r="B1562" s="1" t="n">
        <v>46057.63594907407</v>
      </c>
      <c r="C1562" s="1" t="n">
        <v>46065</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7026-2026</t>
        </is>
      </c>
      <c r="B1563" s="1" t="n">
        <v>46057.67420138889</v>
      </c>
      <c r="C1563" s="1" t="n">
        <v>46065</v>
      </c>
      <c r="D1563" t="inlineStr">
        <is>
          <t>VÄSTERNORRLANDS LÄN</t>
        </is>
      </c>
      <c r="E1563" t="inlineStr">
        <is>
          <t>ÅNGE</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7284-2026</t>
        </is>
      </c>
      <c r="B1564" s="1" t="n">
        <v>46058.63614583333</v>
      </c>
      <c r="C1564" s="1" t="n">
        <v>46065</v>
      </c>
      <c r="D1564" t="inlineStr">
        <is>
          <t>VÄSTERNORRLANDS LÄN</t>
        </is>
      </c>
      <c r="E1564" t="inlineStr">
        <is>
          <t>ÅNGE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7283-2026</t>
        </is>
      </c>
      <c r="B1565" s="1" t="n">
        <v>46058.63606481482</v>
      </c>
      <c r="C1565" s="1" t="n">
        <v>46065</v>
      </c>
      <c r="D1565" t="inlineStr">
        <is>
          <t>VÄSTERNORRLANDS LÄN</t>
        </is>
      </c>
      <c r="E1565" t="inlineStr">
        <is>
          <t>ÅNGE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6795-2026</t>
        </is>
      </c>
      <c r="B1566" s="1" t="n">
        <v>46057.34429398148</v>
      </c>
      <c r="C1566" s="1" t="n">
        <v>46065</v>
      </c>
      <c r="D1566" t="inlineStr">
        <is>
          <t>VÄSTERNORRLANDS LÄN</t>
        </is>
      </c>
      <c r="E1566" t="inlineStr">
        <is>
          <t>ÅNGE</t>
        </is>
      </c>
      <c r="F1566" t="inlineStr">
        <is>
          <t>SCA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6797-2026</t>
        </is>
      </c>
      <c r="B1567" s="1" t="n">
        <v>46057.34459490741</v>
      </c>
      <c r="C1567" s="1" t="n">
        <v>46065</v>
      </c>
      <c r="D1567" t="inlineStr">
        <is>
          <t>VÄSTERNORRLANDS LÄN</t>
        </is>
      </c>
      <c r="E1567" t="inlineStr">
        <is>
          <t>ÅNGE</t>
        </is>
      </c>
      <c r="F1567" t="inlineStr">
        <is>
          <t>SCA</t>
        </is>
      </c>
      <c r="G1567" t="n">
        <v>10.7</v>
      </c>
      <c r="H1567" t="n">
        <v>0</v>
      </c>
      <c r="I1567" t="n">
        <v>0</v>
      </c>
      <c r="J1567" t="n">
        <v>0</v>
      </c>
      <c r="K1567" t="n">
        <v>0</v>
      </c>
      <c r="L1567" t="n">
        <v>0</v>
      </c>
      <c r="M1567" t="n">
        <v>0</v>
      </c>
      <c r="N1567" t="n">
        <v>0</v>
      </c>
      <c r="O1567" t="n">
        <v>0</v>
      </c>
      <c r="P1567" t="n">
        <v>0</v>
      </c>
      <c r="Q1567" t="n">
        <v>0</v>
      </c>
      <c r="R1567" s="2" t="inlineStr"/>
    </row>
    <row r="1568" ht="15" customHeight="1">
      <c r="A1568" t="inlineStr">
        <is>
          <t>A 6975-2026</t>
        </is>
      </c>
      <c r="B1568" s="1" t="n">
        <v>46057.59436342592</v>
      </c>
      <c r="C1568" s="1" t="n">
        <v>46065</v>
      </c>
      <c r="D1568" t="inlineStr">
        <is>
          <t>VÄSTERNORRLANDS LÄN</t>
        </is>
      </c>
      <c r="E1568" t="inlineStr">
        <is>
          <t>ÅNGE</t>
        </is>
      </c>
      <c r="F1568" t="inlineStr">
        <is>
          <t>SCA</t>
        </is>
      </c>
      <c r="G1568" t="n">
        <v>20.7</v>
      </c>
      <c r="H1568" t="n">
        <v>0</v>
      </c>
      <c r="I1568" t="n">
        <v>0</v>
      </c>
      <c r="J1568" t="n">
        <v>0</v>
      </c>
      <c r="K1568" t="n">
        <v>0</v>
      </c>
      <c r="L1568" t="n">
        <v>0</v>
      </c>
      <c r="M1568" t="n">
        <v>0</v>
      </c>
      <c r="N1568" t="n">
        <v>0</v>
      </c>
      <c r="O1568" t="n">
        <v>0</v>
      </c>
      <c r="P1568" t="n">
        <v>0</v>
      </c>
      <c r="Q1568" t="n">
        <v>0</v>
      </c>
      <c r="R1568" s="2" t="inlineStr"/>
    </row>
    <row r="1569" ht="15" customHeight="1">
      <c r="A1569" t="inlineStr">
        <is>
          <t>A 5669-2026</t>
        </is>
      </c>
      <c r="B1569" s="1" t="n">
        <v>46051.46931712963</v>
      </c>
      <c r="C1569" s="1" t="n">
        <v>46065</v>
      </c>
      <c r="D1569" t="inlineStr">
        <is>
          <t>VÄSTERNORRLANDS LÄN</t>
        </is>
      </c>
      <c r="E1569" t="inlineStr">
        <is>
          <t>ÅNGE</t>
        </is>
      </c>
      <c r="F1569" t="inlineStr">
        <is>
          <t>SCA</t>
        </is>
      </c>
      <c r="G1569" t="n">
        <v>13.6</v>
      </c>
      <c r="H1569" t="n">
        <v>0</v>
      </c>
      <c r="I1569" t="n">
        <v>0</v>
      </c>
      <c r="J1569" t="n">
        <v>0</v>
      </c>
      <c r="K1569" t="n">
        <v>0</v>
      </c>
      <c r="L1569" t="n">
        <v>0</v>
      </c>
      <c r="M1569" t="n">
        <v>0</v>
      </c>
      <c r="N1569" t="n">
        <v>0</v>
      </c>
      <c r="O1569" t="n">
        <v>0</v>
      </c>
      <c r="P1569" t="n">
        <v>0</v>
      </c>
      <c r="Q1569" t="n">
        <v>0</v>
      </c>
      <c r="R1569" s="2" t="inlineStr"/>
    </row>
    <row r="1570" ht="15" customHeight="1">
      <c r="A1570" t="inlineStr">
        <is>
          <t>A 7548-2026</t>
        </is>
      </c>
      <c r="B1570" s="1" t="n">
        <v>46059.67776620371</v>
      </c>
      <c r="C1570" s="1" t="n">
        <v>46065</v>
      </c>
      <c r="D1570" t="inlineStr">
        <is>
          <t>VÄSTERNORRLANDS LÄN</t>
        </is>
      </c>
      <c r="E1570" t="inlineStr">
        <is>
          <t>ÅNGE</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7547-2026</t>
        </is>
      </c>
      <c r="B1571" s="1" t="n">
        <v>46059.67755787037</v>
      </c>
      <c r="C1571" s="1" t="n">
        <v>46065</v>
      </c>
      <c r="D1571" t="inlineStr">
        <is>
          <t>VÄSTERNORRLANDS LÄN</t>
        </is>
      </c>
      <c r="E1571" t="inlineStr">
        <is>
          <t>ÅNGE</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7826-2026</t>
        </is>
      </c>
      <c r="B1572" s="1" t="n">
        <v>46062.6387962963</v>
      </c>
      <c r="C1572" s="1" t="n">
        <v>46065</v>
      </c>
      <c r="D1572" t="inlineStr">
        <is>
          <t>VÄSTERNORRLANDS LÄN</t>
        </is>
      </c>
      <c r="E1572" t="inlineStr">
        <is>
          <t>ÅNGE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7480-2026</t>
        </is>
      </c>
      <c r="B1573" s="1" t="n">
        <v>46059.51086805556</v>
      </c>
      <c r="C1573" s="1" t="n">
        <v>46065</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7634-2026</t>
        </is>
      </c>
      <c r="B1574" s="1" t="n">
        <v>46062.36506944444</v>
      </c>
      <c r="C1574" s="1" t="n">
        <v>46065</v>
      </c>
      <c r="D1574" t="inlineStr">
        <is>
          <t>VÄSTERNORRLANDS LÄN</t>
        </is>
      </c>
      <c r="E1574" t="inlineStr">
        <is>
          <t>ÅNGE</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7946-2026</t>
        </is>
      </c>
      <c r="B1575" s="1" t="n">
        <v>46062</v>
      </c>
      <c r="C1575" s="1" t="n">
        <v>46065</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5637-2026</t>
        </is>
      </c>
      <c r="B1576" s="1" t="n">
        <v>46051</v>
      </c>
      <c r="C1576" s="1" t="n">
        <v>46065</v>
      </c>
      <c r="D1576" t="inlineStr">
        <is>
          <t>VÄSTERNORRLANDS LÄN</t>
        </is>
      </c>
      <c r="E1576" t="inlineStr">
        <is>
          <t>ÅNGE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63978-2025</t>
        </is>
      </c>
      <c r="B1577" s="1" t="n">
        <v>46021.34421296296</v>
      </c>
      <c r="C1577" s="1" t="n">
        <v>46065</v>
      </c>
      <c r="D1577" t="inlineStr">
        <is>
          <t>VÄSTERNORRLANDS LÄN</t>
        </is>
      </c>
      <c r="E1577" t="inlineStr">
        <is>
          <t>ÅNGE</t>
        </is>
      </c>
      <c r="F1577" t="inlineStr">
        <is>
          <t>SCA</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4374-2026</t>
        </is>
      </c>
      <c r="B1578" s="1" t="n">
        <v>46045</v>
      </c>
      <c r="C1578" s="1" t="n">
        <v>46065</v>
      </c>
      <c r="D1578" t="inlineStr">
        <is>
          <t>VÄSTERNORRLANDS LÄN</t>
        </is>
      </c>
      <c r="E1578" t="inlineStr">
        <is>
          <t>ÅNGE</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8035-2026</t>
        </is>
      </c>
      <c r="B1579" s="1" t="n">
        <v>46063.59454861111</v>
      </c>
      <c r="C1579" s="1" t="n">
        <v>46065</v>
      </c>
      <c r="D1579" t="inlineStr">
        <is>
          <t>VÄSTERNORRLANDS LÄN</t>
        </is>
      </c>
      <c r="E1579" t="inlineStr">
        <is>
          <t>ÅNGE</t>
        </is>
      </c>
      <c r="F1579" t="inlineStr">
        <is>
          <t>SCA</t>
        </is>
      </c>
      <c r="G1579" t="n">
        <v>51.4</v>
      </c>
      <c r="H1579" t="n">
        <v>0</v>
      </c>
      <c r="I1579" t="n">
        <v>0</v>
      </c>
      <c r="J1579" t="n">
        <v>0</v>
      </c>
      <c r="K1579" t="n">
        <v>0</v>
      </c>
      <c r="L1579" t="n">
        <v>0</v>
      </c>
      <c r="M1579" t="n">
        <v>0</v>
      </c>
      <c r="N1579" t="n">
        <v>0</v>
      </c>
      <c r="O1579" t="n">
        <v>0</v>
      </c>
      <c r="P1579" t="n">
        <v>0</v>
      </c>
      <c r="Q1579" t="n">
        <v>0</v>
      </c>
      <c r="R1579" s="2" t="inlineStr"/>
    </row>
    <row r="1580" ht="15" customHeight="1">
      <c r="A1580" t="inlineStr">
        <is>
          <t>A 8284-2026</t>
        </is>
      </c>
      <c r="B1580" s="1" t="n">
        <v>46064.56364583333</v>
      </c>
      <c r="C1580" s="1" t="n">
        <v>46065</v>
      </c>
      <c r="D1580" t="inlineStr">
        <is>
          <t>VÄSTERNORRLANDS LÄN</t>
        </is>
      </c>
      <c r="E1580" t="inlineStr">
        <is>
          <t>ÅNGE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8358-2026</t>
        </is>
      </c>
      <c r="B1581" s="1" t="n">
        <v>46064.65677083333</v>
      </c>
      <c r="C1581" s="1" t="n">
        <v>46065</v>
      </c>
      <c r="D1581" t="inlineStr">
        <is>
          <t>VÄSTERNORRLANDS LÄN</t>
        </is>
      </c>
      <c r="E1581" t="inlineStr">
        <is>
          <t>ÅNGE</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64080-2025</t>
        </is>
      </c>
      <c r="B1582" s="1" t="n">
        <v>46021.67752314815</v>
      </c>
      <c r="C1582" s="1" t="n">
        <v>46065</v>
      </c>
      <c r="D1582" t="inlineStr">
        <is>
          <t>VÄSTERNORRLANDS LÄN</t>
        </is>
      </c>
      <c r="E1582" t="inlineStr">
        <is>
          <t>ÅNGE</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63965-2025</t>
        </is>
      </c>
      <c r="B1583" s="1" t="n">
        <v>46020.93445601852</v>
      </c>
      <c r="C1583" s="1" t="n">
        <v>46065</v>
      </c>
      <c r="D1583" t="inlineStr">
        <is>
          <t>VÄSTERNORRLANDS LÄN</t>
        </is>
      </c>
      <c r="E1583" t="inlineStr">
        <is>
          <t>ÅNGE</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8143-2026</t>
        </is>
      </c>
      <c r="B1584" s="1" t="n">
        <v>46064.34438657408</v>
      </c>
      <c r="C1584" s="1" t="n">
        <v>46065</v>
      </c>
      <c r="D1584" t="inlineStr">
        <is>
          <t>VÄSTERNORRLANDS LÄN</t>
        </is>
      </c>
      <c r="E1584" t="inlineStr">
        <is>
          <t>ÅNGE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1846-2026</t>
        </is>
      </c>
      <c r="B1585" s="1" t="n">
        <v>46035</v>
      </c>
      <c r="C1585" s="1" t="n">
        <v>46065</v>
      </c>
      <c r="D1585" t="inlineStr">
        <is>
          <t>VÄSTERNORRLANDS LÄN</t>
        </is>
      </c>
      <c r="E1585" t="inlineStr">
        <is>
          <t>ÅNGE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8145-2026</t>
        </is>
      </c>
      <c r="B1586" s="1" t="n">
        <v>46064.34459490741</v>
      </c>
      <c r="C1586" s="1" t="n">
        <v>46065</v>
      </c>
      <c r="D1586" t="inlineStr">
        <is>
          <t>VÄSTERNORRLANDS LÄN</t>
        </is>
      </c>
      <c r="E1586" t="inlineStr">
        <is>
          <t>ÅNGE</t>
        </is>
      </c>
      <c r="F1586" t="inlineStr">
        <is>
          <t>SCA</t>
        </is>
      </c>
      <c r="G1586" t="n">
        <v>11.6</v>
      </c>
      <c r="H1586" t="n">
        <v>0</v>
      </c>
      <c r="I1586" t="n">
        <v>0</v>
      </c>
      <c r="J1586" t="n">
        <v>0</v>
      </c>
      <c r="K1586" t="n">
        <v>0</v>
      </c>
      <c r="L1586" t="n">
        <v>0</v>
      </c>
      <c r="M1586" t="n">
        <v>0</v>
      </c>
      <c r="N1586" t="n">
        <v>0</v>
      </c>
      <c r="O1586" t="n">
        <v>0</v>
      </c>
      <c r="P1586" t="n">
        <v>0</v>
      </c>
      <c r="Q1586" t="n">
        <v>0</v>
      </c>
      <c r="R1586" s="2" t="inlineStr"/>
    </row>
    <row r="1587">
      <c r="A1587" t="inlineStr">
        <is>
          <t>A 1897-2026</t>
        </is>
      </c>
      <c r="B1587" s="1" t="n">
        <v>46035</v>
      </c>
      <c r="C1587" s="1" t="n">
        <v>46065</v>
      </c>
      <c r="D1587" t="inlineStr">
        <is>
          <t>VÄSTERNORRLANDS LÄN</t>
        </is>
      </c>
      <c r="E1587" t="inlineStr">
        <is>
          <t>ÅNGE</t>
        </is>
      </c>
      <c r="G1587" t="n">
        <v>4.1</v>
      </c>
      <c r="H1587" t="n">
        <v>0</v>
      </c>
      <c r="I1587" t="n">
        <v>0</v>
      </c>
      <c r="J1587" t="n">
        <v>0</v>
      </c>
      <c r="K1587" t="n">
        <v>0</v>
      </c>
      <c r="L1587" t="n">
        <v>0</v>
      </c>
      <c r="M1587" t="n">
        <v>0</v>
      </c>
      <c r="N1587" t="n">
        <v>0</v>
      </c>
      <c r="O1587" t="n">
        <v>0</v>
      </c>
      <c r="P1587" t="n">
        <v>0</v>
      </c>
      <c r="Q1587" t="n">
        <v>0</v>
      </c>
      <c r="R1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2026-02-12T11:03:45Z</dcterms:created>
  <dcterms:modified xmlns:dcterms="http://purl.org/dc/terms/" xmlns:xsi="http://www.w3.org/2001/XMLSchema-instance" xsi:type="dcterms:W3CDTF">2026-02-12T11:03:47Z</dcterms:modified>
</cp:coreProperties>
</file>