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45579</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45579</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45579</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45579</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45579</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45579</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45579</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45579</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45579</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45579</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45579</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45579</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45579</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45579</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45579</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45579</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45579</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45579</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45579</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45579</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45579</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45579</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45579</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45579</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45579</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45579</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45579</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45579</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45579</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45579</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45579</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45579</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45579</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45579</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45579</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45579</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45579</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45579</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45579</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45579</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45579</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45579</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45579</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45579</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45579</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45579</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45579</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45579</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45579</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45579</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45579</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45579</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45579</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45579</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45579</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45579</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45579</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45579</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45579</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45579</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45579</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45579</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45579</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45579</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45579</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45579</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45579</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45579</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45579</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45579</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45579</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45579</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45579</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45579</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45579</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45579</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45579</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45579</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45579</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45579</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45579</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45579</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45579</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45579</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45579</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45579</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45579</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45579</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45579</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45579</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45579</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45579</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45579</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45579</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45579</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45579</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45579</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45579</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45579</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45579</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45579</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45579</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45579</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45579</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45579</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45579</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45579</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45579</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45579</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45579</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45579</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45579</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45579</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45579</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45579</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45579</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45579</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45579</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45579</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45579</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45579</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45579</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45579</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45579</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45579</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45579</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45579</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45579</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45579</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45579</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45579</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45579</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45579</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45579</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45579</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45579</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45579</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45579</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45579</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45579</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45579</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45579</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45579</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39182-2024</t>
        </is>
      </c>
      <c r="B152" s="1" t="n">
        <v>45548</v>
      </c>
      <c r="C152" s="1" t="n">
        <v>45579</v>
      </c>
      <c r="D152" t="inlineStr">
        <is>
          <t>VÄSTERNORRLANDS LÄN</t>
        </is>
      </c>
      <c r="E152" t="inlineStr">
        <is>
          <t>ÅNGE</t>
        </is>
      </c>
      <c r="F152" t="inlineStr">
        <is>
          <t>SCA</t>
        </is>
      </c>
      <c r="G152" t="n">
        <v>9.4</v>
      </c>
      <c r="H152" t="n">
        <v>0</v>
      </c>
      <c r="I152" t="n">
        <v>0</v>
      </c>
      <c r="J152" t="n">
        <v>3</v>
      </c>
      <c r="K152" t="n">
        <v>0</v>
      </c>
      <c r="L152" t="n">
        <v>0</v>
      </c>
      <c r="M152" t="n">
        <v>0</v>
      </c>
      <c r="N152" t="n">
        <v>0</v>
      </c>
      <c r="O152" t="n">
        <v>3</v>
      </c>
      <c r="P152" t="n">
        <v>0</v>
      </c>
      <c r="Q152" t="n">
        <v>3</v>
      </c>
      <c r="R152" s="2" t="inlineStr">
        <is>
          <t>Garnlav
Gul taggsvamp
Vedtrappmossa</t>
        </is>
      </c>
      <c r="S152">
        <f>HYPERLINK("https://klasma.github.io/Logging_2260/artfynd/A 39182-2024 artfynd.xlsx", "A 39182-2024")</f>
        <v/>
      </c>
      <c r="T152">
        <f>HYPERLINK("https://klasma.github.io/Logging_2260/kartor/A 39182-2024 karta.png", "A 39182-2024")</f>
        <v/>
      </c>
      <c r="V152">
        <f>HYPERLINK("https://klasma.github.io/Logging_2260/klagomål/A 39182-2024 FSC-klagomål.docx", "A 39182-2024")</f>
        <v/>
      </c>
      <c r="W152">
        <f>HYPERLINK("https://klasma.github.io/Logging_2260/klagomålsmail/A 39182-2024 FSC-klagomål mail.docx", "A 39182-2024")</f>
        <v/>
      </c>
      <c r="X152">
        <f>HYPERLINK("https://klasma.github.io/Logging_2260/tillsyn/A 39182-2024 tillsynsbegäran.docx", "A 39182-2024")</f>
        <v/>
      </c>
      <c r="Y152">
        <f>HYPERLINK("https://klasma.github.io/Logging_2260/tillsynsmail/A 39182-2024 tillsynsbegäran mail.docx", "A 39182-2024")</f>
        <v/>
      </c>
    </row>
    <row r="153" ht="15" customHeight="1">
      <c r="A153" t="inlineStr">
        <is>
          <t>A 39181-2024</t>
        </is>
      </c>
      <c r="B153" s="1" t="n">
        <v>45548</v>
      </c>
      <c r="C153" s="1" t="n">
        <v>45579</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39179-2024</t>
        </is>
      </c>
      <c r="B154" s="1" t="n">
        <v>45548</v>
      </c>
      <c r="C154" s="1" t="n">
        <v>45579</v>
      </c>
      <c r="D154" t="inlineStr">
        <is>
          <t>VÄSTERNORRLANDS LÄN</t>
        </is>
      </c>
      <c r="E154" t="inlineStr">
        <is>
          <t>ÅNGE</t>
        </is>
      </c>
      <c r="F154" t="inlineStr">
        <is>
          <t>SCA</t>
        </is>
      </c>
      <c r="G154" t="n">
        <v>4.2</v>
      </c>
      <c r="H154" t="n">
        <v>1</v>
      </c>
      <c r="I154" t="n">
        <v>2</v>
      </c>
      <c r="J154" t="n">
        <v>1</v>
      </c>
      <c r="K154" t="n">
        <v>0</v>
      </c>
      <c r="L154" t="n">
        <v>0</v>
      </c>
      <c r="M154" t="n">
        <v>0</v>
      </c>
      <c r="N154" t="n">
        <v>0</v>
      </c>
      <c r="O154" t="n">
        <v>1</v>
      </c>
      <c r="P154" t="n">
        <v>0</v>
      </c>
      <c r="Q154" t="n">
        <v>3</v>
      </c>
      <c r="R154" s="2" t="inlineStr">
        <is>
          <t>Rosenticka
Fjällig taggsvamp s.str.
Spindelblomster</t>
        </is>
      </c>
      <c r="S154">
        <f>HYPERLINK("https://klasma.github.io/Logging_2260/artfynd/A 39179-2024 artfynd.xlsx", "A 39179-2024")</f>
        <v/>
      </c>
      <c r="T154">
        <f>HYPERLINK("https://klasma.github.io/Logging_2260/kartor/A 39179-2024 karta.png", "A 39179-2024")</f>
        <v/>
      </c>
      <c r="V154">
        <f>HYPERLINK("https://klasma.github.io/Logging_2260/klagomål/A 39179-2024 FSC-klagomål.docx", "A 39179-2024")</f>
        <v/>
      </c>
      <c r="W154">
        <f>HYPERLINK("https://klasma.github.io/Logging_2260/klagomålsmail/A 39179-2024 FSC-klagomål mail.docx", "A 39179-2024")</f>
        <v/>
      </c>
      <c r="X154">
        <f>HYPERLINK("https://klasma.github.io/Logging_2260/tillsyn/A 39179-2024 tillsynsbegäran.docx", "A 39179-2024")</f>
        <v/>
      </c>
      <c r="Y154">
        <f>HYPERLINK("https://klasma.github.io/Logging_2260/tillsynsmail/A 39179-2024 tillsynsbegäran mail.docx", "A 39179-2024")</f>
        <v/>
      </c>
    </row>
    <row r="155" ht="15" customHeight="1">
      <c r="A155" t="inlineStr">
        <is>
          <t>A 39708-2024</t>
        </is>
      </c>
      <c r="B155" s="1" t="n">
        <v>45552</v>
      </c>
      <c r="C155" s="1" t="n">
        <v>45579</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45579</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45579</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45579</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45579</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45579</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45579</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45579</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45579</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45579</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45579</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45579</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45579</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45579</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45579</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45579</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45579</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45579</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45579</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45579</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45579</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45579</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45579</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45579</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45579</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45579</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45579</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45579</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45579</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45579</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45579</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45579</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45579</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45579</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45579</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45579</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45579</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45579</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45579</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45579</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45579</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45579</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45579</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45579</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45579</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45579</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45579</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45579</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45579</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45579</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45579</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45579</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45579</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45579</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45579</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45579</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45579</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45579</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45579</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45579</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45579</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45579</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45579</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45579</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45579</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45579</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45579</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45579</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45579</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45579</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45579</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45579</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45579</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45579</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45579</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45579</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45579</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45579</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45579</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45579</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45579</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45579</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45579</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45579</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45579</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45579</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45579</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45579</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45579</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45579</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45579</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45579</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45579</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45579</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45579</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45579</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45579</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45579</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45579</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45579</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45579</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45579</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45579</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45579</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45579</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45579</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45579</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45579</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45579</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38606-2024</t>
        </is>
      </c>
      <c r="B264" s="1" t="n">
        <v>45546</v>
      </c>
      <c r="C264" s="1" t="n">
        <v>45579</v>
      </c>
      <c r="D264" t="inlineStr">
        <is>
          <t>VÄSTERNORRLANDS LÄN</t>
        </is>
      </c>
      <c r="E264" t="inlineStr">
        <is>
          <t>ÅNGE</t>
        </is>
      </c>
      <c r="F264" t="inlineStr">
        <is>
          <t>SCA</t>
        </is>
      </c>
      <c r="G264" t="n">
        <v>2.4</v>
      </c>
      <c r="H264" t="n">
        <v>0</v>
      </c>
      <c r="I264" t="n">
        <v>0</v>
      </c>
      <c r="J264" t="n">
        <v>1</v>
      </c>
      <c r="K264" t="n">
        <v>0</v>
      </c>
      <c r="L264" t="n">
        <v>0</v>
      </c>
      <c r="M264" t="n">
        <v>0</v>
      </c>
      <c r="N264" t="n">
        <v>0</v>
      </c>
      <c r="O264" t="n">
        <v>1</v>
      </c>
      <c r="P264" t="n">
        <v>0</v>
      </c>
      <c r="Q264" t="n">
        <v>1</v>
      </c>
      <c r="R264" s="2" t="inlineStr">
        <is>
          <t>Ullticka</t>
        </is>
      </c>
      <c r="S264">
        <f>HYPERLINK("https://klasma.github.io/Logging_2260/artfynd/A 38606-2024 artfynd.xlsx", "A 38606-2024")</f>
        <v/>
      </c>
      <c r="T264">
        <f>HYPERLINK("https://klasma.github.io/Logging_2260/kartor/A 38606-2024 karta.png", "A 38606-2024")</f>
        <v/>
      </c>
      <c r="V264">
        <f>HYPERLINK("https://klasma.github.io/Logging_2260/klagomål/A 38606-2024 FSC-klagomål.docx", "A 38606-2024")</f>
        <v/>
      </c>
      <c r="W264">
        <f>HYPERLINK("https://klasma.github.io/Logging_2260/klagomålsmail/A 38606-2024 FSC-klagomål mail.docx", "A 38606-2024")</f>
        <v/>
      </c>
      <c r="X264">
        <f>HYPERLINK("https://klasma.github.io/Logging_2260/tillsyn/A 38606-2024 tillsynsbegäran.docx", "A 38606-2024")</f>
        <v/>
      </c>
      <c r="Y264">
        <f>HYPERLINK("https://klasma.github.io/Logging_2260/tillsynsmail/A 38606-2024 tillsynsbegäran mail.docx", "A 38606-2024")</f>
        <v/>
      </c>
    </row>
    <row r="265" ht="15" customHeight="1">
      <c r="A265" t="inlineStr">
        <is>
          <t>A 38603-2024</t>
        </is>
      </c>
      <c r="B265" s="1" t="n">
        <v>45546</v>
      </c>
      <c r="C265" s="1" t="n">
        <v>45579</v>
      </c>
      <c r="D265" t="inlineStr">
        <is>
          <t>VÄSTERNORRLANDS LÄN</t>
        </is>
      </c>
      <c r="E265" t="inlineStr">
        <is>
          <t>ÅNGE</t>
        </is>
      </c>
      <c r="F265" t="inlineStr">
        <is>
          <t>SCA</t>
        </is>
      </c>
      <c r="G265" t="n">
        <v>5.6</v>
      </c>
      <c r="H265" t="n">
        <v>0</v>
      </c>
      <c r="I265" t="n">
        <v>0</v>
      </c>
      <c r="J265" t="n">
        <v>0</v>
      </c>
      <c r="K265" t="n">
        <v>1</v>
      </c>
      <c r="L265" t="n">
        <v>0</v>
      </c>
      <c r="M265" t="n">
        <v>0</v>
      </c>
      <c r="N265" t="n">
        <v>0</v>
      </c>
      <c r="O265" t="n">
        <v>1</v>
      </c>
      <c r="P265" t="n">
        <v>1</v>
      </c>
      <c r="Q265" t="n">
        <v>1</v>
      </c>
      <c r="R265" s="2" t="inlineStr">
        <is>
          <t>Rynkskinn</t>
        </is>
      </c>
      <c r="S265">
        <f>HYPERLINK("https://klasma.github.io/Logging_2260/artfynd/A 38603-2024 artfynd.xlsx", "A 38603-2024")</f>
        <v/>
      </c>
      <c r="T265">
        <f>HYPERLINK("https://klasma.github.io/Logging_2260/kartor/A 38603-2024 karta.png", "A 38603-2024")</f>
        <v/>
      </c>
      <c r="V265">
        <f>HYPERLINK("https://klasma.github.io/Logging_2260/klagomål/A 38603-2024 FSC-klagomål.docx", "A 38603-2024")</f>
        <v/>
      </c>
      <c r="W265">
        <f>HYPERLINK("https://klasma.github.io/Logging_2260/klagomålsmail/A 38603-2024 FSC-klagomål mail.docx", "A 38603-2024")</f>
        <v/>
      </c>
      <c r="X265">
        <f>HYPERLINK("https://klasma.github.io/Logging_2260/tillsyn/A 38603-2024 tillsynsbegäran.docx", "A 38603-2024")</f>
        <v/>
      </c>
      <c r="Y265">
        <f>HYPERLINK("https://klasma.github.io/Logging_2260/tillsynsmail/A 38603-2024 tillsynsbegäran mail.docx", "A 38603-2024")</f>
        <v/>
      </c>
    </row>
    <row r="266" ht="15" customHeight="1">
      <c r="A266" t="inlineStr">
        <is>
          <t>A 39180-2024</t>
        </is>
      </c>
      <c r="B266" s="1" t="n">
        <v>45548</v>
      </c>
      <c r="C266" s="1" t="n">
        <v>45579</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39688-2024</t>
        </is>
      </c>
      <c r="B267" s="1" t="n">
        <v>45552</v>
      </c>
      <c r="C267" s="1" t="n">
        <v>45579</v>
      </c>
      <c r="D267" t="inlineStr">
        <is>
          <t>VÄSTERNORRLANDS LÄN</t>
        </is>
      </c>
      <c r="E267" t="inlineStr">
        <is>
          <t>ÅNGE</t>
        </is>
      </c>
      <c r="G267" t="n">
        <v>5.7</v>
      </c>
      <c r="H267" t="n">
        <v>1</v>
      </c>
      <c r="I267" t="n">
        <v>0</v>
      </c>
      <c r="J267" t="n">
        <v>0</v>
      </c>
      <c r="K267" t="n">
        <v>0</v>
      </c>
      <c r="L267" t="n">
        <v>0</v>
      </c>
      <c r="M267" t="n">
        <v>0</v>
      </c>
      <c r="N267" t="n">
        <v>0</v>
      </c>
      <c r="O267" t="n">
        <v>0</v>
      </c>
      <c r="P267" t="n">
        <v>0</v>
      </c>
      <c r="Q267" t="n">
        <v>1</v>
      </c>
      <c r="R267" s="2" t="inlineStr">
        <is>
          <t>Revlummer</t>
        </is>
      </c>
      <c r="S267">
        <f>HYPERLINK("https://klasma.github.io/Logging_2260/artfynd/A 39688-2024 artfynd.xlsx", "A 39688-2024")</f>
        <v/>
      </c>
      <c r="T267">
        <f>HYPERLINK("https://klasma.github.io/Logging_2260/kartor/A 39688-2024 karta.png", "A 39688-2024")</f>
        <v/>
      </c>
      <c r="V267">
        <f>HYPERLINK("https://klasma.github.io/Logging_2260/klagomål/A 39688-2024 FSC-klagomål.docx", "A 39688-2024")</f>
        <v/>
      </c>
      <c r="W267">
        <f>HYPERLINK("https://klasma.github.io/Logging_2260/klagomålsmail/A 39688-2024 FSC-klagomål mail.docx", "A 39688-2024")</f>
        <v/>
      </c>
      <c r="X267">
        <f>HYPERLINK("https://klasma.github.io/Logging_2260/tillsyn/A 39688-2024 tillsynsbegäran.docx", "A 39688-2024")</f>
        <v/>
      </c>
      <c r="Y267">
        <f>HYPERLINK("https://klasma.github.io/Logging_2260/tillsynsmail/A 39688-2024 tillsynsbegäran mail.docx", "A 39688-2024")</f>
        <v/>
      </c>
    </row>
    <row r="268" ht="15" customHeight="1">
      <c r="A268" t="inlineStr">
        <is>
          <t>A 39638-2024</t>
        </is>
      </c>
      <c r="B268" s="1" t="n">
        <v>45552</v>
      </c>
      <c r="C268" s="1" t="n">
        <v>45579</v>
      </c>
      <c r="D268" t="inlineStr">
        <is>
          <t>VÄSTERNORRLANDS LÄN</t>
        </is>
      </c>
      <c r="E268" t="inlineStr">
        <is>
          <t>ÅNGE</t>
        </is>
      </c>
      <c r="G268" t="n">
        <v>3</v>
      </c>
      <c r="H268" t="n">
        <v>1</v>
      </c>
      <c r="I268" t="n">
        <v>0</v>
      </c>
      <c r="J268" t="n">
        <v>0</v>
      </c>
      <c r="K268" t="n">
        <v>0</v>
      </c>
      <c r="L268" t="n">
        <v>0</v>
      </c>
      <c r="M268" t="n">
        <v>0</v>
      </c>
      <c r="N268" t="n">
        <v>0</v>
      </c>
      <c r="O268" t="n">
        <v>0</v>
      </c>
      <c r="P268" t="n">
        <v>0</v>
      </c>
      <c r="Q268" t="n">
        <v>1</v>
      </c>
      <c r="R268" s="2" t="inlineStr">
        <is>
          <t>Tjäder</t>
        </is>
      </c>
      <c r="S268">
        <f>HYPERLINK("https://klasma.github.io/Logging_2260/artfynd/A 39638-2024 artfynd.xlsx", "A 39638-2024")</f>
        <v/>
      </c>
      <c r="T268">
        <f>HYPERLINK("https://klasma.github.io/Logging_2260/kartor/A 39638-2024 karta.png", "A 39638-2024")</f>
        <v/>
      </c>
      <c r="V268">
        <f>HYPERLINK("https://klasma.github.io/Logging_2260/klagomål/A 39638-2024 FSC-klagomål.docx", "A 39638-2024")</f>
        <v/>
      </c>
      <c r="W268">
        <f>HYPERLINK("https://klasma.github.io/Logging_2260/klagomålsmail/A 39638-2024 FSC-klagomål mail.docx", "A 39638-2024")</f>
        <v/>
      </c>
      <c r="X268">
        <f>HYPERLINK("https://klasma.github.io/Logging_2260/tillsyn/A 39638-2024 tillsynsbegäran.docx", "A 39638-2024")</f>
        <v/>
      </c>
      <c r="Y268">
        <f>HYPERLINK("https://klasma.github.io/Logging_2260/tillsynsmail/A 39638-2024 tillsynsbegäran mail.docx", "A 39638-2024")</f>
        <v/>
      </c>
      <c r="Z268">
        <f>HYPERLINK("https://klasma.github.io/Logging_2260/fåglar/A 39638-2024 prioriterade fågelarter.docx", "A 39638-2024")</f>
        <v/>
      </c>
    </row>
    <row r="269" ht="15" customHeight="1">
      <c r="A269" t="inlineStr">
        <is>
          <t>A 40214-2024</t>
        </is>
      </c>
      <c r="B269" s="1" t="n">
        <v>45554</v>
      </c>
      <c r="C269" s="1" t="n">
        <v>45579</v>
      </c>
      <c r="D269" t="inlineStr">
        <is>
          <t>VÄSTERNORRLANDS LÄN</t>
        </is>
      </c>
      <c r="E269" t="inlineStr">
        <is>
          <t>ÅNGE</t>
        </is>
      </c>
      <c r="F269" t="inlineStr">
        <is>
          <t>SCA</t>
        </is>
      </c>
      <c r="G269" t="n">
        <v>7.7</v>
      </c>
      <c r="H269" t="n">
        <v>0</v>
      </c>
      <c r="I269" t="n">
        <v>0</v>
      </c>
      <c r="J269" t="n">
        <v>1</v>
      </c>
      <c r="K269" t="n">
        <v>0</v>
      </c>
      <c r="L269" t="n">
        <v>0</v>
      </c>
      <c r="M269" t="n">
        <v>0</v>
      </c>
      <c r="N269" t="n">
        <v>0</v>
      </c>
      <c r="O269" t="n">
        <v>1</v>
      </c>
      <c r="P269" t="n">
        <v>0</v>
      </c>
      <c r="Q269" t="n">
        <v>1</v>
      </c>
      <c r="R269" s="2" t="inlineStr">
        <is>
          <t>Lunglav</t>
        </is>
      </c>
      <c r="S269">
        <f>HYPERLINK("https://klasma.github.io/Logging_2260/artfynd/A 40214-2024 artfynd.xlsx", "A 40214-2024")</f>
        <v/>
      </c>
      <c r="T269">
        <f>HYPERLINK("https://klasma.github.io/Logging_2260/kartor/A 40214-2024 karta.png", "A 40214-2024")</f>
        <v/>
      </c>
      <c r="V269">
        <f>HYPERLINK("https://klasma.github.io/Logging_2260/klagomål/A 40214-2024 FSC-klagomål.docx", "A 40214-2024")</f>
        <v/>
      </c>
      <c r="W269">
        <f>HYPERLINK("https://klasma.github.io/Logging_2260/klagomålsmail/A 40214-2024 FSC-klagomål mail.docx", "A 40214-2024")</f>
        <v/>
      </c>
      <c r="X269">
        <f>HYPERLINK("https://klasma.github.io/Logging_2260/tillsyn/A 40214-2024 tillsynsbegäran.docx", "A 40214-2024")</f>
        <v/>
      </c>
      <c r="Y269">
        <f>HYPERLINK("https://klasma.github.io/Logging_2260/tillsynsmail/A 40214-2024 tillsynsbegäran mail.docx", "A 40214-2024")</f>
        <v/>
      </c>
    </row>
    <row r="270" ht="15" customHeight="1">
      <c r="A270" t="inlineStr">
        <is>
          <t>A 40110-2024</t>
        </is>
      </c>
      <c r="B270" s="1" t="n">
        <v>45554</v>
      </c>
      <c r="C270" s="1" t="n">
        <v>45579</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43171-2024</t>
        </is>
      </c>
      <c r="B271" s="1" t="n">
        <v>45567</v>
      </c>
      <c r="C271" s="1" t="n">
        <v>45579</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17854-2019</t>
        </is>
      </c>
      <c r="B272" s="1" t="n">
        <v>43556</v>
      </c>
      <c r="C272" s="1" t="n">
        <v>45579</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17857-2019</t>
        </is>
      </c>
      <c r="B273" s="1" t="n">
        <v>43556</v>
      </c>
      <c r="C273" s="1" t="n">
        <v>45579</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17764-2019</t>
        </is>
      </c>
      <c r="B274" s="1" t="n">
        <v>43556</v>
      </c>
      <c r="C274" s="1" t="n">
        <v>45579</v>
      </c>
      <c r="D274" t="inlineStr">
        <is>
          <t>VÄSTERNORRLANDS LÄN</t>
        </is>
      </c>
      <c r="E274" t="inlineStr">
        <is>
          <t>ÅNGE</t>
        </is>
      </c>
      <c r="F274" t="inlineStr">
        <is>
          <t>Kyrkan</t>
        </is>
      </c>
      <c r="G274" t="n">
        <v>20.7</v>
      </c>
      <c r="H274" t="n">
        <v>0</v>
      </c>
      <c r="I274" t="n">
        <v>0</v>
      </c>
      <c r="J274" t="n">
        <v>0</v>
      </c>
      <c r="K274" t="n">
        <v>0</v>
      </c>
      <c r="L274" t="n">
        <v>0</v>
      </c>
      <c r="M274" t="n">
        <v>0</v>
      </c>
      <c r="N274" t="n">
        <v>0</v>
      </c>
      <c r="O274" t="n">
        <v>0</v>
      </c>
      <c r="P274" t="n">
        <v>0</v>
      </c>
      <c r="Q274" t="n">
        <v>0</v>
      </c>
      <c r="R274" s="2" t="inlineStr"/>
    </row>
    <row r="275" ht="15" customHeight="1">
      <c r="A275" t="inlineStr">
        <is>
          <t>A 18069-2019</t>
        </is>
      </c>
      <c r="B275" s="1" t="n">
        <v>43557</v>
      </c>
      <c r="C275" s="1" t="n">
        <v>45579</v>
      </c>
      <c r="D275" t="inlineStr">
        <is>
          <t>VÄSTERNORRLANDS LÄN</t>
        </is>
      </c>
      <c r="E275" t="inlineStr">
        <is>
          <t>ÅNGE</t>
        </is>
      </c>
      <c r="F275" t="inlineStr">
        <is>
          <t>SCA</t>
        </is>
      </c>
      <c r="G275" t="n">
        <v>21.2</v>
      </c>
      <c r="H275" t="n">
        <v>0</v>
      </c>
      <c r="I275" t="n">
        <v>0</v>
      </c>
      <c r="J275" t="n">
        <v>0</v>
      </c>
      <c r="K275" t="n">
        <v>0</v>
      </c>
      <c r="L275" t="n">
        <v>0</v>
      </c>
      <c r="M275" t="n">
        <v>0</v>
      </c>
      <c r="N275" t="n">
        <v>0</v>
      </c>
      <c r="O275" t="n">
        <v>0</v>
      </c>
      <c r="P275" t="n">
        <v>0</v>
      </c>
      <c r="Q275" t="n">
        <v>0</v>
      </c>
      <c r="R275" s="2" t="inlineStr"/>
    </row>
    <row r="276" ht="15" customHeight="1">
      <c r="A276" t="inlineStr">
        <is>
          <t>A 18304-2019</t>
        </is>
      </c>
      <c r="B276" s="1" t="n">
        <v>43558</v>
      </c>
      <c r="C276" s="1" t="n">
        <v>45579</v>
      </c>
      <c r="D276" t="inlineStr">
        <is>
          <t>VÄSTERNORRLANDS LÄN</t>
        </is>
      </c>
      <c r="E276" t="inlineStr">
        <is>
          <t>ÅNGE</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19008-2019</t>
        </is>
      </c>
      <c r="B277" s="1" t="n">
        <v>43563</v>
      </c>
      <c r="C277" s="1" t="n">
        <v>45579</v>
      </c>
      <c r="D277" t="inlineStr">
        <is>
          <t>VÄSTERNORRLANDS LÄN</t>
        </is>
      </c>
      <c r="E277" t="inlineStr">
        <is>
          <t>ÅNGE</t>
        </is>
      </c>
      <c r="G277" t="n">
        <v>5.7</v>
      </c>
      <c r="H277" t="n">
        <v>0</v>
      </c>
      <c r="I277" t="n">
        <v>0</v>
      </c>
      <c r="J277" t="n">
        <v>0</v>
      </c>
      <c r="K277" t="n">
        <v>0</v>
      </c>
      <c r="L277" t="n">
        <v>0</v>
      </c>
      <c r="M277" t="n">
        <v>0</v>
      </c>
      <c r="N277" t="n">
        <v>0</v>
      </c>
      <c r="O277" t="n">
        <v>0</v>
      </c>
      <c r="P277" t="n">
        <v>0</v>
      </c>
      <c r="Q277" t="n">
        <v>0</v>
      </c>
      <c r="R277" s="2" t="inlineStr"/>
    </row>
    <row r="278" ht="15" customHeight="1">
      <c r="A278" t="inlineStr">
        <is>
          <t>A 19273-2019</t>
        </is>
      </c>
      <c r="B278" s="1" t="n">
        <v>43564</v>
      </c>
      <c r="C278" s="1" t="n">
        <v>45579</v>
      </c>
      <c r="D278" t="inlineStr">
        <is>
          <t>VÄSTERNORRLANDS LÄN</t>
        </is>
      </c>
      <c r="E278" t="inlineStr">
        <is>
          <t>ÅNGE</t>
        </is>
      </c>
      <c r="G278" t="n">
        <v>5.3</v>
      </c>
      <c r="H278" t="n">
        <v>0</v>
      </c>
      <c r="I278" t="n">
        <v>0</v>
      </c>
      <c r="J278" t="n">
        <v>0</v>
      </c>
      <c r="K278" t="n">
        <v>0</v>
      </c>
      <c r="L278" t="n">
        <v>0</v>
      </c>
      <c r="M278" t="n">
        <v>0</v>
      </c>
      <c r="N278" t="n">
        <v>0</v>
      </c>
      <c r="O278" t="n">
        <v>0</v>
      </c>
      <c r="P278" t="n">
        <v>0</v>
      </c>
      <c r="Q278" t="n">
        <v>0</v>
      </c>
      <c r="R278" s="2" t="inlineStr"/>
    </row>
    <row r="279" ht="15" customHeight="1">
      <c r="A279" t="inlineStr">
        <is>
          <t>A 19274-2019</t>
        </is>
      </c>
      <c r="B279" s="1" t="n">
        <v>43564</v>
      </c>
      <c r="C279" s="1" t="n">
        <v>45579</v>
      </c>
      <c r="D279" t="inlineStr">
        <is>
          <t>VÄSTERNORRLANDS LÄN</t>
        </is>
      </c>
      <c r="E279" t="inlineStr">
        <is>
          <t>ÅNGE</t>
        </is>
      </c>
      <c r="G279" t="n">
        <v>2.1</v>
      </c>
      <c r="H279" t="n">
        <v>0</v>
      </c>
      <c r="I279" t="n">
        <v>0</v>
      </c>
      <c r="J279" t="n">
        <v>0</v>
      </c>
      <c r="K279" t="n">
        <v>0</v>
      </c>
      <c r="L279" t="n">
        <v>0</v>
      </c>
      <c r="M279" t="n">
        <v>0</v>
      </c>
      <c r="N279" t="n">
        <v>0</v>
      </c>
      <c r="O279" t="n">
        <v>0</v>
      </c>
      <c r="P279" t="n">
        <v>0</v>
      </c>
      <c r="Q279" t="n">
        <v>0</v>
      </c>
      <c r="R279" s="2" t="inlineStr"/>
    </row>
    <row r="280" ht="15" customHeight="1">
      <c r="A280" t="inlineStr">
        <is>
          <t>A 19266-2019</t>
        </is>
      </c>
      <c r="B280" s="1" t="n">
        <v>43564</v>
      </c>
      <c r="C280" s="1" t="n">
        <v>45579</v>
      </c>
      <c r="D280" t="inlineStr">
        <is>
          <t>VÄSTERNORRLANDS LÄN</t>
        </is>
      </c>
      <c r="E280" t="inlineStr">
        <is>
          <t>ÅNGE</t>
        </is>
      </c>
      <c r="G280" t="n">
        <v>4</v>
      </c>
      <c r="H280" t="n">
        <v>0</v>
      </c>
      <c r="I280" t="n">
        <v>0</v>
      </c>
      <c r="J280" t="n">
        <v>0</v>
      </c>
      <c r="K280" t="n">
        <v>0</v>
      </c>
      <c r="L280" t="n">
        <v>0</v>
      </c>
      <c r="M280" t="n">
        <v>0</v>
      </c>
      <c r="N280" t="n">
        <v>0</v>
      </c>
      <c r="O280" t="n">
        <v>0</v>
      </c>
      <c r="P280" t="n">
        <v>0</v>
      </c>
      <c r="Q280" t="n">
        <v>0</v>
      </c>
      <c r="R280" s="2" t="inlineStr"/>
    </row>
    <row r="281" ht="15" customHeight="1">
      <c r="A281" t="inlineStr">
        <is>
          <t>A 19270-2019</t>
        </is>
      </c>
      <c r="B281" s="1" t="n">
        <v>43564</v>
      </c>
      <c r="C281" s="1" t="n">
        <v>45579</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19310-2019</t>
        </is>
      </c>
      <c r="B282" s="1" t="n">
        <v>43565</v>
      </c>
      <c r="C282" s="1" t="n">
        <v>45579</v>
      </c>
      <c r="D282" t="inlineStr">
        <is>
          <t>VÄSTERNORRLANDS LÄN</t>
        </is>
      </c>
      <c r="E282" t="inlineStr">
        <is>
          <t>ÅNGE</t>
        </is>
      </c>
      <c r="G282" t="n">
        <v>1.4</v>
      </c>
      <c r="H282" t="n">
        <v>0</v>
      </c>
      <c r="I282" t="n">
        <v>0</v>
      </c>
      <c r="J282" t="n">
        <v>0</v>
      </c>
      <c r="K282" t="n">
        <v>0</v>
      </c>
      <c r="L282" t="n">
        <v>0</v>
      </c>
      <c r="M282" t="n">
        <v>0</v>
      </c>
      <c r="N282" t="n">
        <v>0</v>
      </c>
      <c r="O282" t="n">
        <v>0</v>
      </c>
      <c r="P282" t="n">
        <v>0</v>
      </c>
      <c r="Q282" t="n">
        <v>0</v>
      </c>
      <c r="R282" s="2" t="inlineStr"/>
    </row>
    <row r="283" ht="15" customHeight="1">
      <c r="A283" t="inlineStr">
        <is>
          <t>A 20062-2019</t>
        </is>
      </c>
      <c r="B283" s="1" t="n">
        <v>43570</v>
      </c>
      <c r="C283" s="1" t="n">
        <v>45579</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20102-2019</t>
        </is>
      </c>
      <c r="B284" s="1" t="n">
        <v>43570</v>
      </c>
      <c r="C284" s="1" t="n">
        <v>45579</v>
      </c>
      <c r="D284" t="inlineStr">
        <is>
          <t>VÄSTERNORRLANDS LÄN</t>
        </is>
      </c>
      <c r="E284" t="inlineStr">
        <is>
          <t>ÅNGE</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20397-2019</t>
        </is>
      </c>
      <c r="B285" s="1" t="n">
        <v>43571</v>
      </c>
      <c r="C285" s="1" t="n">
        <v>45579</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20400-2019</t>
        </is>
      </c>
      <c r="B286" s="1" t="n">
        <v>43571</v>
      </c>
      <c r="C286" s="1" t="n">
        <v>45579</v>
      </c>
      <c r="D286" t="inlineStr">
        <is>
          <t>VÄSTERNORRLANDS LÄN</t>
        </is>
      </c>
      <c r="E286" t="inlineStr">
        <is>
          <t>ÅNGE</t>
        </is>
      </c>
      <c r="G286" t="n">
        <v>0.2</v>
      </c>
      <c r="H286" t="n">
        <v>0</v>
      </c>
      <c r="I286" t="n">
        <v>0</v>
      </c>
      <c r="J286" t="n">
        <v>0</v>
      </c>
      <c r="K286" t="n">
        <v>0</v>
      </c>
      <c r="L286" t="n">
        <v>0</v>
      </c>
      <c r="M286" t="n">
        <v>0</v>
      </c>
      <c r="N286" t="n">
        <v>0</v>
      </c>
      <c r="O286" t="n">
        <v>0</v>
      </c>
      <c r="P286" t="n">
        <v>0</v>
      </c>
      <c r="Q286" t="n">
        <v>0</v>
      </c>
      <c r="R286" s="2" t="inlineStr"/>
    </row>
    <row r="287" ht="15" customHeight="1">
      <c r="A287" t="inlineStr">
        <is>
          <t>A 20600-2019</t>
        </is>
      </c>
      <c r="B287" s="1" t="n">
        <v>43572</v>
      </c>
      <c r="C287" s="1" t="n">
        <v>45579</v>
      </c>
      <c r="D287" t="inlineStr">
        <is>
          <t>VÄSTERNORRLANDS LÄN</t>
        </is>
      </c>
      <c r="E287" t="inlineStr">
        <is>
          <t>ÅNGE</t>
        </is>
      </c>
      <c r="G287" t="n">
        <v>3.9</v>
      </c>
      <c r="H287" t="n">
        <v>0</v>
      </c>
      <c r="I287" t="n">
        <v>0</v>
      </c>
      <c r="J287" t="n">
        <v>0</v>
      </c>
      <c r="K287" t="n">
        <v>0</v>
      </c>
      <c r="L287" t="n">
        <v>0</v>
      </c>
      <c r="M287" t="n">
        <v>0</v>
      </c>
      <c r="N287" t="n">
        <v>0</v>
      </c>
      <c r="O287" t="n">
        <v>0</v>
      </c>
      <c r="P287" t="n">
        <v>0</v>
      </c>
      <c r="Q287" t="n">
        <v>0</v>
      </c>
      <c r="R287" s="2" t="inlineStr"/>
    </row>
    <row r="288" ht="15" customHeight="1">
      <c r="A288" t="inlineStr">
        <is>
          <t>A 21375-2019</t>
        </is>
      </c>
      <c r="B288" s="1" t="n">
        <v>43579</v>
      </c>
      <c r="C288" s="1" t="n">
        <v>45579</v>
      </c>
      <c r="D288" t="inlineStr">
        <is>
          <t>VÄSTERNORRLANDS LÄN</t>
        </is>
      </c>
      <c r="E288" t="inlineStr">
        <is>
          <t>ÅNGE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21715-2019</t>
        </is>
      </c>
      <c r="B289" s="1" t="n">
        <v>43581</v>
      </c>
      <c r="C289" s="1" t="n">
        <v>45579</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21726-2019</t>
        </is>
      </c>
      <c r="B290" s="1" t="n">
        <v>43581</v>
      </c>
      <c r="C290" s="1" t="n">
        <v>45579</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21795-2019</t>
        </is>
      </c>
      <c r="B291" s="1" t="n">
        <v>43581</v>
      </c>
      <c r="C291" s="1" t="n">
        <v>45579</v>
      </c>
      <c r="D291" t="inlineStr">
        <is>
          <t>VÄSTERNORRLANDS LÄN</t>
        </is>
      </c>
      <c r="E291" t="inlineStr">
        <is>
          <t>ÅNGE</t>
        </is>
      </c>
      <c r="F291" t="inlineStr">
        <is>
          <t>SCA</t>
        </is>
      </c>
      <c r="G291" t="n">
        <v>7.2</v>
      </c>
      <c r="H291" t="n">
        <v>0</v>
      </c>
      <c r="I291" t="n">
        <v>0</v>
      </c>
      <c r="J291" t="n">
        <v>0</v>
      </c>
      <c r="K291" t="n">
        <v>0</v>
      </c>
      <c r="L291" t="n">
        <v>0</v>
      </c>
      <c r="M291" t="n">
        <v>0</v>
      </c>
      <c r="N291" t="n">
        <v>0</v>
      </c>
      <c r="O291" t="n">
        <v>0</v>
      </c>
      <c r="P291" t="n">
        <v>0</v>
      </c>
      <c r="Q291" t="n">
        <v>0</v>
      </c>
      <c r="R291" s="2" t="inlineStr"/>
    </row>
    <row r="292" ht="15" customHeight="1">
      <c r="A292" t="inlineStr">
        <is>
          <t>A 21633-2019</t>
        </is>
      </c>
      <c r="B292" s="1" t="n">
        <v>43581</v>
      </c>
      <c r="C292" s="1" t="n">
        <v>45579</v>
      </c>
      <c r="D292" t="inlineStr">
        <is>
          <t>VÄSTERNORRLANDS LÄN</t>
        </is>
      </c>
      <c r="E292" t="inlineStr">
        <is>
          <t>ÅNGE</t>
        </is>
      </c>
      <c r="G292" t="n">
        <v>7.1</v>
      </c>
      <c r="H292" t="n">
        <v>0</v>
      </c>
      <c r="I292" t="n">
        <v>0</v>
      </c>
      <c r="J292" t="n">
        <v>0</v>
      </c>
      <c r="K292" t="n">
        <v>0</v>
      </c>
      <c r="L292" t="n">
        <v>0</v>
      </c>
      <c r="M292" t="n">
        <v>0</v>
      </c>
      <c r="N292" t="n">
        <v>0</v>
      </c>
      <c r="O292" t="n">
        <v>0</v>
      </c>
      <c r="P292" t="n">
        <v>0</v>
      </c>
      <c r="Q292" t="n">
        <v>0</v>
      </c>
      <c r="R292" s="2" t="inlineStr"/>
    </row>
    <row r="293" ht="15" customHeight="1">
      <c r="A293" t="inlineStr">
        <is>
          <t>A 22202-2019</t>
        </is>
      </c>
      <c r="B293" s="1" t="n">
        <v>43585</v>
      </c>
      <c r="C293" s="1" t="n">
        <v>45579</v>
      </c>
      <c r="D293" t="inlineStr">
        <is>
          <t>VÄSTERNORRLANDS LÄN</t>
        </is>
      </c>
      <c r="E293" t="inlineStr">
        <is>
          <t>ÅNGE</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23403-2019</t>
        </is>
      </c>
      <c r="B294" s="1" t="n">
        <v>43592</v>
      </c>
      <c r="C294" s="1" t="n">
        <v>45579</v>
      </c>
      <c r="D294" t="inlineStr">
        <is>
          <t>VÄSTERNORRLANDS LÄN</t>
        </is>
      </c>
      <c r="E294" t="inlineStr">
        <is>
          <t>ÅNGE</t>
        </is>
      </c>
      <c r="G294" t="n">
        <v>2.2</v>
      </c>
      <c r="H294" t="n">
        <v>0</v>
      </c>
      <c r="I294" t="n">
        <v>0</v>
      </c>
      <c r="J294" t="n">
        <v>0</v>
      </c>
      <c r="K294" t="n">
        <v>0</v>
      </c>
      <c r="L294" t="n">
        <v>0</v>
      </c>
      <c r="M294" t="n">
        <v>0</v>
      </c>
      <c r="N294" t="n">
        <v>0</v>
      </c>
      <c r="O294" t="n">
        <v>0</v>
      </c>
      <c r="P294" t="n">
        <v>0</v>
      </c>
      <c r="Q294" t="n">
        <v>0</v>
      </c>
      <c r="R294" s="2" t="inlineStr"/>
    </row>
    <row r="295" ht="15" customHeight="1">
      <c r="A295" t="inlineStr">
        <is>
          <t>A 23288-2019</t>
        </is>
      </c>
      <c r="B295" s="1" t="n">
        <v>43593</v>
      </c>
      <c r="C295" s="1" t="n">
        <v>45579</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24567-2019</t>
        </is>
      </c>
      <c r="B296" s="1" t="n">
        <v>43600</v>
      </c>
      <c r="C296" s="1" t="n">
        <v>45579</v>
      </c>
      <c r="D296" t="inlineStr">
        <is>
          <t>VÄSTERNORRLANDS LÄN</t>
        </is>
      </c>
      <c r="E296" t="inlineStr">
        <is>
          <t>ÅNGE</t>
        </is>
      </c>
      <c r="G296" t="n">
        <v>2.7</v>
      </c>
      <c r="H296" t="n">
        <v>0</v>
      </c>
      <c r="I296" t="n">
        <v>0</v>
      </c>
      <c r="J296" t="n">
        <v>0</v>
      </c>
      <c r="K296" t="n">
        <v>0</v>
      </c>
      <c r="L296" t="n">
        <v>0</v>
      </c>
      <c r="M296" t="n">
        <v>0</v>
      </c>
      <c r="N296" t="n">
        <v>0</v>
      </c>
      <c r="O296" t="n">
        <v>0</v>
      </c>
      <c r="P296" t="n">
        <v>0</v>
      </c>
      <c r="Q296" t="n">
        <v>0</v>
      </c>
      <c r="R296" s="2" t="inlineStr"/>
    </row>
    <row r="297" ht="15" customHeight="1">
      <c r="A297" t="inlineStr">
        <is>
          <t>A 24568-2019</t>
        </is>
      </c>
      <c r="B297" s="1" t="n">
        <v>43600</v>
      </c>
      <c r="C297" s="1" t="n">
        <v>45579</v>
      </c>
      <c r="D297" t="inlineStr">
        <is>
          <t>VÄSTERNORRLANDS LÄN</t>
        </is>
      </c>
      <c r="E297" t="inlineStr">
        <is>
          <t>ÅNGE</t>
        </is>
      </c>
      <c r="G297" t="n">
        <v>3.2</v>
      </c>
      <c r="H297" t="n">
        <v>0</v>
      </c>
      <c r="I297" t="n">
        <v>0</v>
      </c>
      <c r="J297" t="n">
        <v>0</v>
      </c>
      <c r="K297" t="n">
        <v>0</v>
      </c>
      <c r="L297" t="n">
        <v>0</v>
      </c>
      <c r="M297" t="n">
        <v>0</v>
      </c>
      <c r="N297" t="n">
        <v>0</v>
      </c>
      <c r="O297" t="n">
        <v>0</v>
      </c>
      <c r="P297" t="n">
        <v>0</v>
      </c>
      <c r="Q297" t="n">
        <v>0</v>
      </c>
      <c r="R297" s="2" t="inlineStr"/>
    </row>
    <row r="298" ht="15" customHeight="1">
      <c r="A298" t="inlineStr">
        <is>
          <t>A 24569-2019</t>
        </is>
      </c>
      <c r="B298" s="1" t="n">
        <v>43600</v>
      </c>
      <c r="C298" s="1" t="n">
        <v>45579</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24781-2019</t>
        </is>
      </c>
      <c r="B299" s="1" t="n">
        <v>43601</v>
      </c>
      <c r="C299" s="1" t="n">
        <v>45579</v>
      </c>
      <c r="D299" t="inlineStr">
        <is>
          <t>VÄSTERNORRLANDS LÄN</t>
        </is>
      </c>
      <c r="E299" t="inlineStr">
        <is>
          <t>ÅNGE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25453-2019</t>
        </is>
      </c>
      <c r="B300" s="1" t="n">
        <v>43606</v>
      </c>
      <c r="C300" s="1" t="n">
        <v>45579</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25549-2019</t>
        </is>
      </c>
      <c r="B301" s="1" t="n">
        <v>43607</v>
      </c>
      <c r="C301" s="1" t="n">
        <v>45579</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26545-2019</t>
        </is>
      </c>
      <c r="B302" s="1" t="n">
        <v>43612</v>
      </c>
      <c r="C302" s="1" t="n">
        <v>45579</v>
      </c>
      <c r="D302" t="inlineStr">
        <is>
          <t>VÄSTERNORRLANDS LÄN</t>
        </is>
      </c>
      <c r="E302" t="inlineStr">
        <is>
          <t>ÅNGE</t>
        </is>
      </c>
      <c r="G302" t="n">
        <v>1</v>
      </c>
      <c r="H302" t="n">
        <v>0</v>
      </c>
      <c r="I302" t="n">
        <v>0</v>
      </c>
      <c r="J302" t="n">
        <v>0</v>
      </c>
      <c r="K302" t="n">
        <v>0</v>
      </c>
      <c r="L302" t="n">
        <v>0</v>
      </c>
      <c r="M302" t="n">
        <v>0</v>
      </c>
      <c r="N302" t="n">
        <v>0</v>
      </c>
      <c r="O302" t="n">
        <v>0</v>
      </c>
      <c r="P302" t="n">
        <v>0</v>
      </c>
      <c r="Q302" t="n">
        <v>0</v>
      </c>
      <c r="R302" s="2" t="inlineStr"/>
    </row>
    <row r="303" ht="15" customHeight="1">
      <c r="A303" t="inlineStr">
        <is>
          <t>A 27211-2019</t>
        </is>
      </c>
      <c r="B303" s="1" t="n">
        <v>43614</v>
      </c>
      <c r="C303" s="1" t="n">
        <v>45579</v>
      </c>
      <c r="D303" t="inlineStr">
        <is>
          <t>VÄSTERNORRLANDS LÄN</t>
        </is>
      </c>
      <c r="E303" t="inlineStr">
        <is>
          <t>ÅNGE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27759-2019</t>
        </is>
      </c>
      <c r="B304" s="1" t="n">
        <v>43619</v>
      </c>
      <c r="C304" s="1" t="n">
        <v>45579</v>
      </c>
      <c r="D304" t="inlineStr">
        <is>
          <t>VÄSTERNORRLANDS LÄN</t>
        </is>
      </c>
      <c r="E304" t="inlineStr">
        <is>
          <t>ÅNGE</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28856-2019</t>
        </is>
      </c>
      <c r="B305" s="1" t="n">
        <v>43627</v>
      </c>
      <c r="C305" s="1" t="n">
        <v>45579</v>
      </c>
      <c r="D305" t="inlineStr">
        <is>
          <t>VÄSTERNORRLANDS LÄN</t>
        </is>
      </c>
      <c r="E305" t="inlineStr">
        <is>
          <t>ÅNGE</t>
        </is>
      </c>
      <c r="G305" t="n">
        <v>6.9</v>
      </c>
      <c r="H305" t="n">
        <v>0</v>
      </c>
      <c r="I305" t="n">
        <v>0</v>
      </c>
      <c r="J305" t="n">
        <v>0</v>
      </c>
      <c r="K305" t="n">
        <v>0</v>
      </c>
      <c r="L305" t="n">
        <v>0</v>
      </c>
      <c r="M305" t="n">
        <v>0</v>
      </c>
      <c r="N305" t="n">
        <v>0</v>
      </c>
      <c r="O305" t="n">
        <v>0</v>
      </c>
      <c r="P305" t="n">
        <v>0</v>
      </c>
      <c r="Q305" t="n">
        <v>0</v>
      </c>
      <c r="R305" s="2" t="inlineStr"/>
    </row>
    <row r="306" ht="15" customHeight="1">
      <c r="A306" t="inlineStr">
        <is>
          <t>A 28858-2019</t>
        </is>
      </c>
      <c r="B306" s="1" t="n">
        <v>43627</v>
      </c>
      <c r="C306" s="1" t="n">
        <v>45579</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28857-2019</t>
        </is>
      </c>
      <c r="B307" s="1" t="n">
        <v>43627</v>
      </c>
      <c r="C307" s="1" t="n">
        <v>45579</v>
      </c>
      <c r="D307" t="inlineStr">
        <is>
          <t>VÄSTERNORRLANDS LÄN</t>
        </is>
      </c>
      <c r="E307" t="inlineStr">
        <is>
          <t>ÅNGE</t>
        </is>
      </c>
      <c r="G307" t="n">
        <v>4.1</v>
      </c>
      <c r="H307" t="n">
        <v>0</v>
      </c>
      <c r="I307" t="n">
        <v>0</v>
      </c>
      <c r="J307" t="n">
        <v>0</v>
      </c>
      <c r="K307" t="n">
        <v>0</v>
      </c>
      <c r="L307" t="n">
        <v>0</v>
      </c>
      <c r="M307" t="n">
        <v>0</v>
      </c>
      <c r="N307" t="n">
        <v>0</v>
      </c>
      <c r="O307" t="n">
        <v>0</v>
      </c>
      <c r="P307" t="n">
        <v>0</v>
      </c>
      <c r="Q307" t="n">
        <v>0</v>
      </c>
      <c r="R307" s="2" t="inlineStr"/>
    </row>
    <row r="308" ht="15" customHeight="1">
      <c r="A308" t="inlineStr">
        <is>
          <t>A 28855-2019</t>
        </is>
      </c>
      <c r="B308" s="1" t="n">
        <v>43627</v>
      </c>
      <c r="C308" s="1" t="n">
        <v>45579</v>
      </c>
      <c r="D308" t="inlineStr">
        <is>
          <t>VÄSTERNORRLANDS LÄN</t>
        </is>
      </c>
      <c r="E308" t="inlineStr">
        <is>
          <t>ÅNGE</t>
        </is>
      </c>
      <c r="G308" t="n">
        <v>8.6</v>
      </c>
      <c r="H308" t="n">
        <v>0</v>
      </c>
      <c r="I308" t="n">
        <v>0</v>
      </c>
      <c r="J308" t="n">
        <v>0</v>
      </c>
      <c r="K308" t="n">
        <v>0</v>
      </c>
      <c r="L308" t="n">
        <v>0</v>
      </c>
      <c r="M308" t="n">
        <v>0</v>
      </c>
      <c r="N308" t="n">
        <v>0</v>
      </c>
      <c r="O308" t="n">
        <v>0</v>
      </c>
      <c r="P308" t="n">
        <v>0</v>
      </c>
      <c r="Q308" t="n">
        <v>0</v>
      </c>
      <c r="R308" s="2" t="inlineStr"/>
    </row>
    <row r="309" ht="15" customHeight="1">
      <c r="A309" t="inlineStr">
        <is>
          <t>A 29141-2019</t>
        </is>
      </c>
      <c r="B309" s="1" t="n">
        <v>43628</v>
      </c>
      <c r="C309" s="1" t="n">
        <v>45579</v>
      </c>
      <c r="D309" t="inlineStr">
        <is>
          <t>VÄSTERNORRLANDS LÄN</t>
        </is>
      </c>
      <c r="E309" t="inlineStr">
        <is>
          <t>ÅNGE</t>
        </is>
      </c>
      <c r="G309" t="n">
        <v>0.2</v>
      </c>
      <c r="H309" t="n">
        <v>0</v>
      </c>
      <c r="I309" t="n">
        <v>0</v>
      </c>
      <c r="J309" t="n">
        <v>0</v>
      </c>
      <c r="K309" t="n">
        <v>0</v>
      </c>
      <c r="L309" t="n">
        <v>0</v>
      </c>
      <c r="M309" t="n">
        <v>0</v>
      </c>
      <c r="N309" t="n">
        <v>0</v>
      </c>
      <c r="O309" t="n">
        <v>0</v>
      </c>
      <c r="P309" t="n">
        <v>0</v>
      </c>
      <c r="Q309" t="n">
        <v>0</v>
      </c>
      <c r="R309" s="2" t="inlineStr"/>
    </row>
    <row r="310" ht="15" customHeight="1">
      <c r="A310" t="inlineStr">
        <is>
          <t>A 29794-2019</t>
        </is>
      </c>
      <c r="B310" s="1" t="n">
        <v>43633</v>
      </c>
      <c r="C310" s="1" t="n">
        <v>45579</v>
      </c>
      <c r="D310" t="inlineStr">
        <is>
          <t>VÄSTERNORRLANDS LÄN</t>
        </is>
      </c>
      <c r="E310" t="inlineStr">
        <is>
          <t>ÅNGE</t>
        </is>
      </c>
      <c r="G310" t="n">
        <v>0.8</v>
      </c>
      <c r="H310" t="n">
        <v>0</v>
      </c>
      <c r="I310" t="n">
        <v>0</v>
      </c>
      <c r="J310" t="n">
        <v>0</v>
      </c>
      <c r="K310" t="n">
        <v>0</v>
      </c>
      <c r="L310" t="n">
        <v>0</v>
      </c>
      <c r="M310" t="n">
        <v>0</v>
      </c>
      <c r="N310" t="n">
        <v>0</v>
      </c>
      <c r="O310" t="n">
        <v>0</v>
      </c>
      <c r="P310" t="n">
        <v>0</v>
      </c>
      <c r="Q310" t="n">
        <v>0</v>
      </c>
      <c r="R310" s="2" t="inlineStr"/>
    </row>
    <row r="311" ht="15" customHeight="1">
      <c r="A311" t="inlineStr">
        <is>
          <t>A 29786-2019</t>
        </is>
      </c>
      <c r="B311" s="1" t="n">
        <v>43633</v>
      </c>
      <c r="C311" s="1" t="n">
        <v>45579</v>
      </c>
      <c r="D311" t="inlineStr">
        <is>
          <t>VÄSTERNORRLANDS LÄN</t>
        </is>
      </c>
      <c r="E311" t="inlineStr">
        <is>
          <t>ÅNGE</t>
        </is>
      </c>
      <c r="G311" t="n">
        <v>1.8</v>
      </c>
      <c r="H311" t="n">
        <v>0</v>
      </c>
      <c r="I311" t="n">
        <v>0</v>
      </c>
      <c r="J311" t="n">
        <v>0</v>
      </c>
      <c r="K311" t="n">
        <v>0</v>
      </c>
      <c r="L311" t="n">
        <v>0</v>
      </c>
      <c r="M311" t="n">
        <v>0</v>
      </c>
      <c r="N311" t="n">
        <v>0</v>
      </c>
      <c r="O311" t="n">
        <v>0</v>
      </c>
      <c r="P311" t="n">
        <v>0</v>
      </c>
      <c r="Q311" t="n">
        <v>0</v>
      </c>
      <c r="R311" s="2" t="inlineStr"/>
    </row>
    <row r="312" ht="15" customHeight="1">
      <c r="A312" t="inlineStr">
        <is>
          <t>A 31001-2019</t>
        </is>
      </c>
      <c r="B312" s="1" t="n">
        <v>43640</v>
      </c>
      <c r="C312" s="1" t="n">
        <v>45579</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31804-2019</t>
        </is>
      </c>
      <c r="B313" s="1" t="n">
        <v>43642</v>
      </c>
      <c r="C313" s="1" t="n">
        <v>45579</v>
      </c>
      <c r="D313" t="inlineStr">
        <is>
          <t>VÄSTERNORRLANDS LÄN</t>
        </is>
      </c>
      <c r="E313" t="inlineStr">
        <is>
          <t>ÅNGE</t>
        </is>
      </c>
      <c r="G313" t="n">
        <v>10.3</v>
      </c>
      <c r="H313" t="n">
        <v>0</v>
      </c>
      <c r="I313" t="n">
        <v>0</v>
      </c>
      <c r="J313" t="n">
        <v>0</v>
      </c>
      <c r="K313" t="n">
        <v>0</v>
      </c>
      <c r="L313" t="n">
        <v>0</v>
      </c>
      <c r="M313" t="n">
        <v>0</v>
      </c>
      <c r="N313" t="n">
        <v>0</v>
      </c>
      <c r="O313" t="n">
        <v>0</v>
      </c>
      <c r="P313" t="n">
        <v>0</v>
      </c>
      <c r="Q313" t="n">
        <v>0</v>
      </c>
      <c r="R313" s="2" t="inlineStr"/>
    </row>
    <row r="314" ht="15" customHeight="1">
      <c r="A314" t="inlineStr">
        <is>
          <t>A 32740-2019</t>
        </is>
      </c>
      <c r="B314" s="1" t="n">
        <v>43647</v>
      </c>
      <c r="C314" s="1" t="n">
        <v>45579</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33471-2019</t>
        </is>
      </c>
      <c r="B315" s="1" t="n">
        <v>43650</v>
      </c>
      <c r="C315" s="1" t="n">
        <v>45579</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33470-2019</t>
        </is>
      </c>
      <c r="B316" s="1" t="n">
        <v>43650</v>
      </c>
      <c r="C316" s="1" t="n">
        <v>45579</v>
      </c>
      <c r="D316" t="inlineStr">
        <is>
          <t>VÄSTERNORRLANDS LÄN</t>
        </is>
      </c>
      <c r="E316" t="inlineStr">
        <is>
          <t>ÅNGE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34135-2019</t>
        </is>
      </c>
      <c r="B317" s="1" t="n">
        <v>43654</v>
      </c>
      <c r="C317" s="1" t="n">
        <v>45579</v>
      </c>
      <c r="D317" t="inlineStr">
        <is>
          <t>VÄSTERNORRLANDS LÄN</t>
        </is>
      </c>
      <c r="E317" t="inlineStr">
        <is>
          <t>ÅNGE</t>
        </is>
      </c>
      <c r="G317" t="n">
        <v>0.3</v>
      </c>
      <c r="H317" t="n">
        <v>0</v>
      </c>
      <c r="I317" t="n">
        <v>0</v>
      </c>
      <c r="J317" t="n">
        <v>0</v>
      </c>
      <c r="K317" t="n">
        <v>0</v>
      </c>
      <c r="L317" t="n">
        <v>0</v>
      </c>
      <c r="M317" t="n">
        <v>0</v>
      </c>
      <c r="N317" t="n">
        <v>0</v>
      </c>
      <c r="O317" t="n">
        <v>0</v>
      </c>
      <c r="P317" t="n">
        <v>0</v>
      </c>
      <c r="Q317" t="n">
        <v>0</v>
      </c>
      <c r="R317" s="2" t="inlineStr"/>
      <c r="U317">
        <f>HYPERLINK("https://klasma.github.io/Logging_2260/knärot/A 34135-2019 karta knärot.png", "A 34135-2019")</f>
        <v/>
      </c>
      <c r="V317">
        <f>HYPERLINK("https://klasma.github.io/Logging_2260/klagomål/A 34135-2019 FSC-klagomål.docx", "A 34135-2019")</f>
        <v/>
      </c>
      <c r="W317">
        <f>HYPERLINK("https://klasma.github.io/Logging_2260/klagomålsmail/A 34135-2019 FSC-klagomål mail.docx", "A 34135-2019")</f>
        <v/>
      </c>
      <c r="X317">
        <f>HYPERLINK("https://klasma.github.io/Logging_2260/tillsyn/A 34135-2019 tillsynsbegäran.docx", "A 34135-2019")</f>
        <v/>
      </c>
      <c r="Y317">
        <f>HYPERLINK("https://klasma.github.io/Logging_2260/tillsynsmail/A 34135-2019 tillsynsbegäran mail.docx", "A 34135-2019")</f>
        <v/>
      </c>
    </row>
    <row r="318" ht="15" customHeight="1">
      <c r="A318" t="inlineStr">
        <is>
          <t>A 36438-2019</t>
        </is>
      </c>
      <c r="B318" s="1" t="n">
        <v>43664</v>
      </c>
      <c r="C318" s="1" t="n">
        <v>45579</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36311-2019</t>
        </is>
      </c>
      <c r="B319" s="1" t="n">
        <v>43670</v>
      </c>
      <c r="C319" s="1" t="n">
        <v>45579</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37745-2019</t>
        </is>
      </c>
      <c r="B320" s="1" t="n">
        <v>43679</v>
      </c>
      <c r="C320" s="1" t="n">
        <v>45579</v>
      </c>
      <c r="D320" t="inlineStr">
        <is>
          <t>VÄSTERNORRLANDS LÄN</t>
        </is>
      </c>
      <c r="E320" t="inlineStr">
        <is>
          <t>ÅNGE</t>
        </is>
      </c>
      <c r="G320" t="n">
        <v>11.4</v>
      </c>
      <c r="H320" t="n">
        <v>0</v>
      </c>
      <c r="I320" t="n">
        <v>0</v>
      </c>
      <c r="J320" t="n">
        <v>0</v>
      </c>
      <c r="K320" t="n">
        <v>0</v>
      </c>
      <c r="L320" t="n">
        <v>0</v>
      </c>
      <c r="M320" t="n">
        <v>0</v>
      </c>
      <c r="N320" t="n">
        <v>0</v>
      </c>
      <c r="O320" t="n">
        <v>0</v>
      </c>
      <c r="P320" t="n">
        <v>0</v>
      </c>
      <c r="Q320" t="n">
        <v>0</v>
      </c>
      <c r="R320" s="2" t="inlineStr"/>
    </row>
    <row r="321" ht="15" customHeight="1">
      <c r="A321" t="inlineStr">
        <is>
          <t>A 37887-2019</t>
        </is>
      </c>
      <c r="B321" s="1" t="n">
        <v>43682</v>
      </c>
      <c r="C321" s="1" t="n">
        <v>45579</v>
      </c>
      <c r="D321" t="inlineStr">
        <is>
          <t>VÄSTERNORRLANDS LÄN</t>
        </is>
      </c>
      <c r="E321" t="inlineStr">
        <is>
          <t>ÅNGE</t>
        </is>
      </c>
      <c r="G321" t="n">
        <v>3</v>
      </c>
      <c r="H321" t="n">
        <v>0</v>
      </c>
      <c r="I321" t="n">
        <v>0</v>
      </c>
      <c r="J321" t="n">
        <v>0</v>
      </c>
      <c r="K321" t="n">
        <v>0</v>
      </c>
      <c r="L321" t="n">
        <v>0</v>
      </c>
      <c r="M321" t="n">
        <v>0</v>
      </c>
      <c r="N321" t="n">
        <v>0</v>
      </c>
      <c r="O321" t="n">
        <v>0</v>
      </c>
      <c r="P321" t="n">
        <v>0</v>
      </c>
      <c r="Q321" t="n">
        <v>0</v>
      </c>
      <c r="R321" s="2" t="inlineStr"/>
    </row>
    <row r="322" ht="15" customHeight="1">
      <c r="A322" t="inlineStr">
        <is>
          <t>A 37954-2019</t>
        </is>
      </c>
      <c r="B322" s="1" t="n">
        <v>43683</v>
      </c>
      <c r="C322" s="1" t="n">
        <v>45579</v>
      </c>
      <c r="D322" t="inlineStr">
        <is>
          <t>VÄSTERNORRLANDS LÄN</t>
        </is>
      </c>
      <c r="E322" t="inlineStr">
        <is>
          <t>ÅNGE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38222-2019</t>
        </is>
      </c>
      <c r="B323" s="1" t="n">
        <v>43684</v>
      </c>
      <c r="C323" s="1" t="n">
        <v>45579</v>
      </c>
      <c r="D323" t="inlineStr">
        <is>
          <t>VÄSTERNORRLANDS LÄN</t>
        </is>
      </c>
      <c r="E323" t="inlineStr">
        <is>
          <t>ÅNGE</t>
        </is>
      </c>
      <c r="G323" t="n">
        <v>4.4</v>
      </c>
      <c r="H323" t="n">
        <v>0</v>
      </c>
      <c r="I323" t="n">
        <v>0</v>
      </c>
      <c r="J323" t="n">
        <v>0</v>
      </c>
      <c r="K323" t="n">
        <v>0</v>
      </c>
      <c r="L323" t="n">
        <v>0</v>
      </c>
      <c r="M323" t="n">
        <v>0</v>
      </c>
      <c r="N323" t="n">
        <v>0</v>
      </c>
      <c r="O323" t="n">
        <v>0</v>
      </c>
      <c r="P323" t="n">
        <v>0</v>
      </c>
      <c r="Q323" t="n">
        <v>0</v>
      </c>
      <c r="R323" s="2" t="inlineStr"/>
    </row>
    <row r="324" ht="15" customHeight="1">
      <c r="A324" t="inlineStr">
        <is>
          <t>A 38215-2019</t>
        </is>
      </c>
      <c r="B324" s="1" t="n">
        <v>43684</v>
      </c>
      <c r="C324" s="1" t="n">
        <v>45579</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38310-2019</t>
        </is>
      </c>
      <c r="B325" s="1" t="n">
        <v>43684</v>
      </c>
      <c r="C325" s="1" t="n">
        <v>45579</v>
      </c>
      <c r="D325" t="inlineStr">
        <is>
          <t>VÄSTERNORRLANDS LÄN</t>
        </is>
      </c>
      <c r="E325" t="inlineStr">
        <is>
          <t>ÅNGE</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38573-2019</t>
        </is>
      </c>
      <c r="B326" s="1" t="n">
        <v>43685</v>
      </c>
      <c r="C326" s="1" t="n">
        <v>45579</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39403-2019</t>
        </is>
      </c>
      <c r="B327" s="1" t="n">
        <v>43690</v>
      </c>
      <c r="C327" s="1" t="n">
        <v>45579</v>
      </c>
      <c r="D327" t="inlineStr">
        <is>
          <t>VÄSTERNORRLANDS LÄN</t>
        </is>
      </c>
      <c r="E327" t="inlineStr">
        <is>
          <t>ÅNGE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41510-2019</t>
        </is>
      </c>
      <c r="B328" s="1" t="n">
        <v>43696</v>
      </c>
      <c r="C328" s="1" t="n">
        <v>45579</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41018-2019</t>
        </is>
      </c>
      <c r="B329" s="1" t="n">
        <v>43697</v>
      </c>
      <c r="C329" s="1" t="n">
        <v>45579</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42066-2019</t>
        </is>
      </c>
      <c r="B330" s="1" t="n">
        <v>43700</v>
      </c>
      <c r="C330" s="1" t="n">
        <v>45579</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43240-2019</t>
        </is>
      </c>
      <c r="B331" s="1" t="n">
        <v>43706</v>
      </c>
      <c r="C331" s="1" t="n">
        <v>45579</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43250-2019</t>
        </is>
      </c>
      <c r="B332" s="1" t="n">
        <v>43706</v>
      </c>
      <c r="C332" s="1" t="n">
        <v>45579</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43236-2019</t>
        </is>
      </c>
      <c r="B333" s="1" t="n">
        <v>43706</v>
      </c>
      <c r="C333" s="1" t="n">
        <v>45579</v>
      </c>
      <c r="D333" t="inlineStr">
        <is>
          <t>VÄSTERNORRLANDS LÄN</t>
        </is>
      </c>
      <c r="E333" t="inlineStr">
        <is>
          <t>ÅNGE</t>
        </is>
      </c>
      <c r="G333" t="n">
        <v>33.1</v>
      </c>
      <c r="H333" t="n">
        <v>0</v>
      </c>
      <c r="I333" t="n">
        <v>0</v>
      </c>
      <c r="J333" t="n">
        <v>0</v>
      </c>
      <c r="K333" t="n">
        <v>0</v>
      </c>
      <c r="L333" t="n">
        <v>0</v>
      </c>
      <c r="M333" t="n">
        <v>0</v>
      </c>
      <c r="N333" t="n">
        <v>0</v>
      </c>
      <c r="O333" t="n">
        <v>0</v>
      </c>
      <c r="P333" t="n">
        <v>0</v>
      </c>
      <c r="Q333" t="n">
        <v>0</v>
      </c>
      <c r="R333" s="2" t="inlineStr"/>
    </row>
    <row r="334" ht="15" customHeight="1">
      <c r="A334" t="inlineStr">
        <is>
          <t>A 43248-2019</t>
        </is>
      </c>
      <c r="B334" s="1" t="n">
        <v>43706</v>
      </c>
      <c r="C334" s="1" t="n">
        <v>45579</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43241-2019</t>
        </is>
      </c>
      <c r="B335" s="1" t="n">
        <v>43706</v>
      </c>
      <c r="C335" s="1" t="n">
        <v>45579</v>
      </c>
      <c r="D335" t="inlineStr">
        <is>
          <t>VÄSTERNORRLANDS LÄN</t>
        </is>
      </c>
      <c r="E335" t="inlineStr">
        <is>
          <t>ÅNGE</t>
        </is>
      </c>
      <c r="G335" t="n">
        <v>8.1</v>
      </c>
      <c r="H335" t="n">
        <v>0</v>
      </c>
      <c r="I335" t="n">
        <v>0</v>
      </c>
      <c r="J335" t="n">
        <v>0</v>
      </c>
      <c r="K335" t="n">
        <v>0</v>
      </c>
      <c r="L335" t="n">
        <v>0</v>
      </c>
      <c r="M335" t="n">
        <v>0</v>
      </c>
      <c r="N335" t="n">
        <v>0</v>
      </c>
      <c r="O335" t="n">
        <v>0</v>
      </c>
      <c r="P335" t="n">
        <v>0</v>
      </c>
      <c r="Q335" t="n">
        <v>0</v>
      </c>
      <c r="R335" s="2" t="inlineStr"/>
    </row>
    <row r="336" ht="15" customHeight="1">
      <c r="A336" t="inlineStr">
        <is>
          <t>A 43254-2019</t>
        </is>
      </c>
      <c r="B336" s="1" t="n">
        <v>43706</v>
      </c>
      <c r="C336" s="1" t="n">
        <v>45579</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43509-2019</t>
        </is>
      </c>
      <c r="B337" s="1" t="n">
        <v>43706</v>
      </c>
      <c r="C337" s="1" t="n">
        <v>45579</v>
      </c>
      <c r="D337" t="inlineStr">
        <is>
          <t>VÄSTERNORRLANDS LÄN</t>
        </is>
      </c>
      <c r="E337" t="inlineStr">
        <is>
          <t>ÅNGE</t>
        </is>
      </c>
      <c r="G337" t="n">
        <v>4.2</v>
      </c>
      <c r="H337" t="n">
        <v>0</v>
      </c>
      <c r="I337" t="n">
        <v>0</v>
      </c>
      <c r="J337" t="n">
        <v>0</v>
      </c>
      <c r="K337" t="n">
        <v>0</v>
      </c>
      <c r="L337" t="n">
        <v>0</v>
      </c>
      <c r="M337" t="n">
        <v>0</v>
      </c>
      <c r="N337" t="n">
        <v>0</v>
      </c>
      <c r="O337" t="n">
        <v>0</v>
      </c>
      <c r="P337" t="n">
        <v>0</v>
      </c>
      <c r="Q337" t="n">
        <v>0</v>
      </c>
      <c r="R337" s="2" t="inlineStr"/>
    </row>
    <row r="338" ht="15" customHeight="1">
      <c r="A338" t="inlineStr">
        <is>
          <t>A 43517-2019</t>
        </is>
      </c>
      <c r="B338" s="1" t="n">
        <v>43706</v>
      </c>
      <c r="C338" s="1" t="n">
        <v>45579</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43895-2019</t>
        </is>
      </c>
      <c r="B339" s="1" t="n">
        <v>43707</v>
      </c>
      <c r="C339" s="1" t="n">
        <v>45579</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44313-2019</t>
        </is>
      </c>
      <c r="B340" s="1" t="n">
        <v>43710</v>
      </c>
      <c r="C340" s="1" t="n">
        <v>45579</v>
      </c>
      <c r="D340" t="inlineStr">
        <is>
          <t>VÄSTERNORRLANDS LÄN</t>
        </is>
      </c>
      <c r="E340" t="inlineStr">
        <is>
          <t>ÅNGE</t>
        </is>
      </c>
      <c r="F340" t="inlineStr">
        <is>
          <t>SCA</t>
        </is>
      </c>
      <c r="G340" t="n">
        <v>8.9</v>
      </c>
      <c r="H340" t="n">
        <v>0</v>
      </c>
      <c r="I340" t="n">
        <v>0</v>
      </c>
      <c r="J340" t="n">
        <v>0</v>
      </c>
      <c r="K340" t="n">
        <v>0</v>
      </c>
      <c r="L340" t="n">
        <v>0</v>
      </c>
      <c r="M340" t="n">
        <v>0</v>
      </c>
      <c r="N340" t="n">
        <v>0</v>
      </c>
      <c r="O340" t="n">
        <v>0</v>
      </c>
      <c r="P340" t="n">
        <v>0</v>
      </c>
      <c r="Q340" t="n">
        <v>0</v>
      </c>
      <c r="R340" s="2" t="inlineStr"/>
    </row>
    <row r="341" ht="15" customHeight="1">
      <c r="A341" t="inlineStr">
        <is>
          <t>A 45274-2019</t>
        </is>
      </c>
      <c r="B341" s="1" t="n">
        <v>43713</v>
      </c>
      <c r="C341" s="1" t="n">
        <v>45579</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48958-2019</t>
        </is>
      </c>
      <c r="B342" s="1" t="n">
        <v>43728</v>
      </c>
      <c r="C342" s="1" t="n">
        <v>45579</v>
      </c>
      <c r="D342" t="inlineStr">
        <is>
          <t>VÄSTERNORRLANDS LÄN</t>
        </is>
      </c>
      <c r="E342" t="inlineStr">
        <is>
          <t>ÅNGE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50278-2019</t>
        </is>
      </c>
      <c r="B343" s="1" t="n">
        <v>43734</v>
      </c>
      <c r="C343" s="1" t="n">
        <v>45579</v>
      </c>
      <c r="D343" t="inlineStr">
        <is>
          <t>VÄSTERNORRLANDS LÄN</t>
        </is>
      </c>
      <c r="E343" t="inlineStr">
        <is>
          <t>ÅNGE</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50280-2019</t>
        </is>
      </c>
      <c r="B344" s="1" t="n">
        <v>43734</v>
      </c>
      <c r="C344" s="1" t="n">
        <v>45579</v>
      </c>
      <c r="D344" t="inlineStr">
        <is>
          <t>VÄSTERNORRLANDS LÄN</t>
        </is>
      </c>
      <c r="E344" t="inlineStr">
        <is>
          <t>ÅNGE</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50352-2019</t>
        </is>
      </c>
      <c r="B345" s="1" t="n">
        <v>43735</v>
      </c>
      <c r="C345" s="1" t="n">
        <v>45579</v>
      </c>
      <c r="D345" t="inlineStr">
        <is>
          <t>VÄSTERNORRLANDS LÄN</t>
        </is>
      </c>
      <c r="E345" t="inlineStr">
        <is>
          <t>ÅNGE</t>
        </is>
      </c>
      <c r="G345" t="n">
        <v>1.3</v>
      </c>
      <c r="H345" t="n">
        <v>0</v>
      </c>
      <c r="I345" t="n">
        <v>0</v>
      </c>
      <c r="J345" t="n">
        <v>0</v>
      </c>
      <c r="K345" t="n">
        <v>0</v>
      </c>
      <c r="L345" t="n">
        <v>0</v>
      </c>
      <c r="M345" t="n">
        <v>0</v>
      </c>
      <c r="N345" t="n">
        <v>0</v>
      </c>
      <c r="O345" t="n">
        <v>0</v>
      </c>
      <c r="P345" t="n">
        <v>0</v>
      </c>
      <c r="Q345" t="n">
        <v>0</v>
      </c>
      <c r="R345" s="2" t="inlineStr"/>
    </row>
    <row r="346" ht="15" customHeight="1">
      <c r="A346" t="inlineStr">
        <is>
          <t>A 50997-2019</t>
        </is>
      </c>
      <c r="B346" s="1" t="n">
        <v>43738</v>
      </c>
      <c r="C346" s="1" t="n">
        <v>45579</v>
      </c>
      <c r="D346" t="inlineStr">
        <is>
          <t>VÄSTERNORRLANDS LÄN</t>
        </is>
      </c>
      <c r="E346" t="inlineStr">
        <is>
          <t>ÅNGE</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52505-2019</t>
        </is>
      </c>
      <c r="B347" s="1" t="n">
        <v>43738</v>
      </c>
      <c r="C347" s="1" t="n">
        <v>45579</v>
      </c>
      <c r="D347" t="inlineStr">
        <is>
          <t>VÄSTERNORRLANDS LÄN</t>
        </is>
      </c>
      <c r="E347" t="inlineStr">
        <is>
          <t>ÅNGE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51321-2019</t>
        </is>
      </c>
      <c r="B348" s="1" t="n">
        <v>43739</v>
      </c>
      <c r="C348" s="1" t="n">
        <v>45579</v>
      </c>
      <c r="D348" t="inlineStr">
        <is>
          <t>VÄSTERNORRLANDS LÄN</t>
        </is>
      </c>
      <c r="E348" t="inlineStr">
        <is>
          <t>ÅNGE</t>
        </is>
      </c>
      <c r="G348" t="n">
        <v>9.4</v>
      </c>
      <c r="H348" t="n">
        <v>0</v>
      </c>
      <c r="I348" t="n">
        <v>0</v>
      </c>
      <c r="J348" t="n">
        <v>0</v>
      </c>
      <c r="K348" t="n">
        <v>0</v>
      </c>
      <c r="L348" t="n">
        <v>0</v>
      </c>
      <c r="M348" t="n">
        <v>0</v>
      </c>
      <c r="N348" t="n">
        <v>0</v>
      </c>
      <c r="O348" t="n">
        <v>0</v>
      </c>
      <c r="P348" t="n">
        <v>0</v>
      </c>
      <c r="Q348" t="n">
        <v>0</v>
      </c>
      <c r="R348" s="2" t="inlineStr"/>
    </row>
    <row r="349" ht="15" customHeight="1">
      <c r="A349" t="inlineStr">
        <is>
          <t>A 51947-2019</t>
        </is>
      </c>
      <c r="B349" s="1" t="n">
        <v>43741</v>
      </c>
      <c r="C349" s="1" t="n">
        <v>45579</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51946-2019</t>
        </is>
      </c>
      <c r="B350" s="1" t="n">
        <v>43741</v>
      </c>
      <c r="C350" s="1" t="n">
        <v>45579</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52171-2019</t>
        </is>
      </c>
      <c r="B351" s="1" t="n">
        <v>43742</v>
      </c>
      <c r="C351" s="1" t="n">
        <v>45579</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52684-2019</t>
        </is>
      </c>
      <c r="B352" s="1" t="n">
        <v>43746</v>
      </c>
      <c r="C352" s="1" t="n">
        <v>45579</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52660-2019</t>
        </is>
      </c>
      <c r="B353" s="1" t="n">
        <v>43746</v>
      </c>
      <c r="C353" s="1" t="n">
        <v>45579</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53107-2019</t>
        </is>
      </c>
      <c r="B354" s="1" t="n">
        <v>43747</v>
      </c>
      <c r="C354" s="1" t="n">
        <v>45579</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53579-2019</t>
        </is>
      </c>
      <c r="B355" s="1" t="n">
        <v>43749</v>
      </c>
      <c r="C355" s="1" t="n">
        <v>45579</v>
      </c>
      <c r="D355" t="inlineStr">
        <is>
          <t>VÄSTERNORRLANDS LÄN</t>
        </is>
      </c>
      <c r="E355" t="inlineStr">
        <is>
          <t>ÅNGE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54025-2019</t>
        </is>
      </c>
      <c r="B356" s="1" t="n">
        <v>43752</v>
      </c>
      <c r="C356" s="1" t="n">
        <v>45579</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54027-2019</t>
        </is>
      </c>
      <c r="B357" s="1" t="n">
        <v>43752</v>
      </c>
      <c r="C357" s="1" t="n">
        <v>45579</v>
      </c>
      <c r="D357" t="inlineStr">
        <is>
          <t>VÄSTERNORRLANDS LÄN</t>
        </is>
      </c>
      <c r="E357" t="inlineStr">
        <is>
          <t>ÅNGE</t>
        </is>
      </c>
      <c r="G357" t="n">
        <v>3.8</v>
      </c>
      <c r="H357" t="n">
        <v>0</v>
      </c>
      <c r="I357" t="n">
        <v>0</v>
      </c>
      <c r="J357" t="n">
        <v>0</v>
      </c>
      <c r="K357" t="n">
        <v>0</v>
      </c>
      <c r="L357" t="n">
        <v>0</v>
      </c>
      <c r="M357" t="n">
        <v>0</v>
      </c>
      <c r="N357" t="n">
        <v>0</v>
      </c>
      <c r="O357" t="n">
        <v>0</v>
      </c>
      <c r="P357" t="n">
        <v>0</v>
      </c>
      <c r="Q357" t="n">
        <v>0</v>
      </c>
      <c r="R357" s="2" t="inlineStr"/>
    </row>
    <row r="358" ht="15" customHeight="1">
      <c r="A358" t="inlineStr">
        <is>
          <t>A 55352-2019</t>
        </is>
      </c>
      <c r="B358" s="1" t="n">
        <v>43756</v>
      </c>
      <c r="C358" s="1" t="n">
        <v>45579</v>
      </c>
      <c r="D358" t="inlineStr">
        <is>
          <t>VÄSTERNORRLANDS LÄN</t>
        </is>
      </c>
      <c r="E358" t="inlineStr">
        <is>
          <t>ÅNGE</t>
        </is>
      </c>
      <c r="G358" t="n">
        <v>10.9</v>
      </c>
      <c r="H358" t="n">
        <v>0</v>
      </c>
      <c r="I358" t="n">
        <v>0</v>
      </c>
      <c r="J358" t="n">
        <v>0</v>
      </c>
      <c r="K358" t="n">
        <v>0</v>
      </c>
      <c r="L358" t="n">
        <v>0</v>
      </c>
      <c r="M358" t="n">
        <v>0</v>
      </c>
      <c r="N358" t="n">
        <v>0</v>
      </c>
      <c r="O358" t="n">
        <v>0</v>
      </c>
      <c r="P358" t="n">
        <v>0</v>
      </c>
      <c r="Q358" t="n">
        <v>0</v>
      </c>
      <c r="R358" s="2" t="inlineStr"/>
    </row>
    <row r="359" ht="15" customHeight="1">
      <c r="A359" t="inlineStr">
        <is>
          <t>A 55637-2019</t>
        </is>
      </c>
      <c r="B359" s="1" t="n">
        <v>43760</v>
      </c>
      <c r="C359" s="1" t="n">
        <v>45579</v>
      </c>
      <c r="D359" t="inlineStr">
        <is>
          <t>VÄSTERNORRLANDS LÄN</t>
        </is>
      </c>
      <c r="E359" t="inlineStr">
        <is>
          <t>ÅNGE</t>
        </is>
      </c>
      <c r="G359" t="n">
        <v>0.1</v>
      </c>
      <c r="H359" t="n">
        <v>0</v>
      </c>
      <c r="I359" t="n">
        <v>0</v>
      </c>
      <c r="J359" t="n">
        <v>0</v>
      </c>
      <c r="K359" t="n">
        <v>0</v>
      </c>
      <c r="L359" t="n">
        <v>0</v>
      </c>
      <c r="M359" t="n">
        <v>0</v>
      </c>
      <c r="N359" t="n">
        <v>0</v>
      </c>
      <c r="O359" t="n">
        <v>0</v>
      </c>
      <c r="P359" t="n">
        <v>0</v>
      </c>
      <c r="Q359" t="n">
        <v>0</v>
      </c>
      <c r="R359" s="2" t="inlineStr"/>
    </row>
    <row r="360" ht="15" customHeight="1">
      <c r="A360" t="inlineStr">
        <is>
          <t>A 55634-2019</t>
        </is>
      </c>
      <c r="B360" s="1" t="n">
        <v>43760</v>
      </c>
      <c r="C360" s="1" t="n">
        <v>45579</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55730-2019</t>
        </is>
      </c>
      <c r="B361" s="1" t="n">
        <v>43760</v>
      </c>
      <c r="C361" s="1" t="n">
        <v>45579</v>
      </c>
      <c r="D361" t="inlineStr">
        <is>
          <t>VÄSTERNORRLANDS LÄN</t>
        </is>
      </c>
      <c r="E361" t="inlineStr">
        <is>
          <t>ÅNGE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55729-2019</t>
        </is>
      </c>
      <c r="B362" s="1" t="n">
        <v>43760</v>
      </c>
      <c r="C362" s="1" t="n">
        <v>45579</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56137-2019</t>
        </is>
      </c>
      <c r="B363" s="1" t="n">
        <v>43761</v>
      </c>
      <c r="C363" s="1" t="n">
        <v>45579</v>
      </c>
      <c r="D363" t="inlineStr">
        <is>
          <t>VÄSTERNORRLANDS LÄN</t>
        </is>
      </c>
      <c r="E363" t="inlineStr">
        <is>
          <t>ÅNGE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56171-2019</t>
        </is>
      </c>
      <c r="B364" s="1" t="n">
        <v>43761</v>
      </c>
      <c r="C364" s="1" t="n">
        <v>45579</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56186-2019</t>
        </is>
      </c>
      <c r="B365" s="1" t="n">
        <v>43761</v>
      </c>
      <c r="C365" s="1" t="n">
        <v>45579</v>
      </c>
      <c r="D365" t="inlineStr">
        <is>
          <t>VÄSTERNORRLANDS LÄN</t>
        </is>
      </c>
      <c r="E365" t="inlineStr">
        <is>
          <t>ÅNGE</t>
        </is>
      </c>
      <c r="F365" t="inlineStr">
        <is>
          <t>SCA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56490-2019</t>
        </is>
      </c>
      <c r="B366" s="1" t="n">
        <v>43762</v>
      </c>
      <c r="C366" s="1" t="n">
        <v>45579</v>
      </c>
      <c r="D366" t="inlineStr">
        <is>
          <t>VÄSTERNORRLANDS LÄN</t>
        </is>
      </c>
      <c r="E366" t="inlineStr">
        <is>
          <t>ÅNGE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57184-2019</t>
        </is>
      </c>
      <c r="B367" s="1" t="n">
        <v>43766</v>
      </c>
      <c r="C367" s="1" t="n">
        <v>45579</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57183-2019</t>
        </is>
      </c>
      <c r="B368" s="1" t="n">
        <v>43766</v>
      </c>
      <c r="C368" s="1" t="n">
        <v>45579</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58720-2019</t>
        </is>
      </c>
      <c r="B369" s="1" t="n">
        <v>43773</v>
      </c>
      <c r="C369" s="1" t="n">
        <v>45579</v>
      </c>
      <c r="D369" t="inlineStr">
        <is>
          <t>VÄSTERNORRLANDS LÄN</t>
        </is>
      </c>
      <c r="E369" t="inlineStr">
        <is>
          <t>ÅNGE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58790-2019</t>
        </is>
      </c>
      <c r="B370" s="1" t="n">
        <v>43773</v>
      </c>
      <c r="C370" s="1" t="n">
        <v>45579</v>
      </c>
      <c r="D370" t="inlineStr">
        <is>
          <t>VÄSTERNORRLANDS LÄN</t>
        </is>
      </c>
      <c r="E370" t="inlineStr">
        <is>
          <t>ÅNGE</t>
        </is>
      </c>
      <c r="G370" t="n">
        <v>0.1</v>
      </c>
      <c r="H370" t="n">
        <v>0</v>
      </c>
      <c r="I370" t="n">
        <v>0</v>
      </c>
      <c r="J370" t="n">
        <v>0</v>
      </c>
      <c r="K370" t="n">
        <v>0</v>
      </c>
      <c r="L370" t="n">
        <v>0</v>
      </c>
      <c r="M370" t="n">
        <v>0</v>
      </c>
      <c r="N370" t="n">
        <v>0</v>
      </c>
      <c r="O370" t="n">
        <v>0</v>
      </c>
      <c r="P370" t="n">
        <v>0</v>
      </c>
      <c r="Q370" t="n">
        <v>0</v>
      </c>
      <c r="R370" s="2" t="inlineStr"/>
    </row>
    <row r="371" ht="15" customHeight="1">
      <c r="A371" t="inlineStr">
        <is>
          <t>A 58941-2019</t>
        </is>
      </c>
      <c r="B371" s="1" t="n">
        <v>43774</v>
      </c>
      <c r="C371" s="1" t="n">
        <v>45579</v>
      </c>
      <c r="D371" t="inlineStr">
        <is>
          <t>VÄSTERNORRLANDS LÄN</t>
        </is>
      </c>
      <c r="E371" t="inlineStr">
        <is>
          <t>ÅNGE</t>
        </is>
      </c>
      <c r="G371" t="n">
        <v>4</v>
      </c>
      <c r="H371" t="n">
        <v>0</v>
      </c>
      <c r="I371" t="n">
        <v>0</v>
      </c>
      <c r="J371" t="n">
        <v>0</v>
      </c>
      <c r="K371" t="n">
        <v>0</v>
      </c>
      <c r="L371" t="n">
        <v>0</v>
      </c>
      <c r="M371" t="n">
        <v>0</v>
      </c>
      <c r="N371" t="n">
        <v>0</v>
      </c>
      <c r="O371" t="n">
        <v>0</v>
      </c>
      <c r="P371" t="n">
        <v>0</v>
      </c>
      <c r="Q371" t="n">
        <v>0</v>
      </c>
      <c r="R371" s="2" t="inlineStr"/>
    </row>
    <row r="372" ht="15" customHeight="1">
      <c r="A372" t="inlineStr">
        <is>
          <t>A 58932-2019</t>
        </is>
      </c>
      <c r="B372" s="1" t="n">
        <v>43774</v>
      </c>
      <c r="C372" s="1" t="n">
        <v>45579</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58951-2019</t>
        </is>
      </c>
      <c r="B373" s="1" t="n">
        <v>43774</v>
      </c>
      <c r="C373" s="1" t="n">
        <v>45579</v>
      </c>
      <c r="D373" t="inlineStr">
        <is>
          <t>VÄSTERNORRLANDS LÄN</t>
        </is>
      </c>
      <c r="E373" t="inlineStr">
        <is>
          <t>ÅNGE</t>
        </is>
      </c>
      <c r="G373" t="n">
        <v>6.9</v>
      </c>
      <c r="H373" t="n">
        <v>0</v>
      </c>
      <c r="I373" t="n">
        <v>0</v>
      </c>
      <c r="J373" t="n">
        <v>0</v>
      </c>
      <c r="K373" t="n">
        <v>0</v>
      </c>
      <c r="L373" t="n">
        <v>0</v>
      </c>
      <c r="M373" t="n">
        <v>0</v>
      </c>
      <c r="N373" t="n">
        <v>0</v>
      </c>
      <c r="O373" t="n">
        <v>0</v>
      </c>
      <c r="P373" t="n">
        <v>0</v>
      </c>
      <c r="Q373" t="n">
        <v>0</v>
      </c>
      <c r="R373" s="2" t="inlineStr"/>
    </row>
    <row r="374" ht="15" customHeight="1">
      <c r="A374" t="inlineStr">
        <is>
          <t>A 60577-2019</t>
        </is>
      </c>
      <c r="B374" s="1" t="n">
        <v>43781</v>
      </c>
      <c r="C374" s="1" t="n">
        <v>45579</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60687-2019</t>
        </is>
      </c>
      <c r="B375" s="1" t="n">
        <v>43781</v>
      </c>
      <c r="C375" s="1" t="n">
        <v>45579</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60868-2019</t>
        </is>
      </c>
      <c r="B376" s="1" t="n">
        <v>43781</v>
      </c>
      <c r="C376" s="1" t="n">
        <v>45579</v>
      </c>
      <c r="D376" t="inlineStr">
        <is>
          <t>VÄSTERNORRLANDS LÄN</t>
        </is>
      </c>
      <c r="E376" t="inlineStr">
        <is>
          <t>ÅNGE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61521-2019</t>
        </is>
      </c>
      <c r="B377" s="1" t="n">
        <v>43783</v>
      </c>
      <c r="C377" s="1" t="n">
        <v>45579</v>
      </c>
      <c r="D377" t="inlineStr">
        <is>
          <t>VÄSTERNORRLANDS LÄN</t>
        </is>
      </c>
      <c r="E377" t="inlineStr">
        <is>
          <t>ÅNGE</t>
        </is>
      </c>
      <c r="F377" t="inlineStr">
        <is>
          <t>SCA</t>
        </is>
      </c>
      <c r="G377" t="n">
        <v>40.5</v>
      </c>
      <c r="H377" t="n">
        <v>0</v>
      </c>
      <c r="I377" t="n">
        <v>0</v>
      </c>
      <c r="J377" t="n">
        <v>0</v>
      </c>
      <c r="K377" t="n">
        <v>0</v>
      </c>
      <c r="L377" t="n">
        <v>0</v>
      </c>
      <c r="M377" t="n">
        <v>0</v>
      </c>
      <c r="N377" t="n">
        <v>0</v>
      </c>
      <c r="O377" t="n">
        <v>0</v>
      </c>
      <c r="P377" t="n">
        <v>0</v>
      </c>
      <c r="Q377" t="n">
        <v>0</v>
      </c>
      <c r="R377" s="2" t="inlineStr"/>
    </row>
    <row r="378" ht="15" customHeight="1">
      <c r="A378" t="inlineStr">
        <is>
          <t>A 61520-2019</t>
        </is>
      </c>
      <c r="B378" s="1" t="n">
        <v>43783</v>
      </c>
      <c r="C378" s="1" t="n">
        <v>45579</v>
      </c>
      <c r="D378" t="inlineStr">
        <is>
          <t>VÄSTERNORRLANDS LÄN</t>
        </is>
      </c>
      <c r="E378" t="inlineStr">
        <is>
          <t>ÅNGE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61918-2019</t>
        </is>
      </c>
      <c r="B379" s="1" t="n">
        <v>43787</v>
      </c>
      <c r="C379" s="1" t="n">
        <v>45579</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61862-2019</t>
        </is>
      </c>
      <c r="B380" s="1" t="n">
        <v>43787</v>
      </c>
      <c r="C380" s="1" t="n">
        <v>45579</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62222-2019</t>
        </is>
      </c>
      <c r="B381" s="1" t="n">
        <v>43788</v>
      </c>
      <c r="C381" s="1" t="n">
        <v>45579</v>
      </c>
      <c r="D381" t="inlineStr">
        <is>
          <t>VÄSTERNORRLANDS LÄN</t>
        </is>
      </c>
      <c r="E381" t="inlineStr">
        <is>
          <t>ÅNGE</t>
        </is>
      </c>
      <c r="G381" t="n">
        <v>2.9</v>
      </c>
      <c r="H381" t="n">
        <v>0</v>
      </c>
      <c r="I381" t="n">
        <v>0</v>
      </c>
      <c r="J381" t="n">
        <v>0</v>
      </c>
      <c r="K381" t="n">
        <v>0</v>
      </c>
      <c r="L381" t="n">
        <v>0</v>
      </c>
      <c r="M381" t="n">
        <v>0</v>
      </c>
      <c r="N381" t="n">
        <v>0</v>
      </c>
      <c r="O381" t="n">
        <v>0</v>
      </c>
      <c r="P381" t="n">
        <v>0</v>
      </c>
      <c r="Q381" t="n">
        <v>0</v>
      </c>
      <c r="R381" s="2" t="inlineStr"/>
    </row>
    <row r="382" ht="15" customHeight="1">
      <c r="A382" t="inlineStr">
        <is>
          <t>A 62547-2019</t>
        </is>
      </c>
      <c r="B382" s="1" t="n">
        <v>43789</v>
      </c>
      <c r="C382" s="1" t="n">
        <v>45579</v>
      </c>
      <c r="D382" t="inlineStr">
        <is>
          <t>VÄSTERNORRLANDS LÄN</t>
        </is>
      </c>
      <c r="E382" t="inlineStr">
        <is>
          <t>ÅNGE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62925-2019</t>
        </is>
      </c>
      <c r="B383" s="1" t="n">
        <v>43790</v>
      </c>
      <c r="C383" s="1" t="n">
        <v>45579</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63300-2019</t>
        </is>
      </c>
      <c r="B384" s="1" t="n">
        <v>43794</v>
      </c>
      <c r="C384" s="1" t="n">
        <v>45579</v>
      </c>
      <c r="D384" t="inlineStr">
        <is>
          <t>VÄSTERNORRLANDS LÄN</t>
        </is>
      </c>
      <c r="E384" t="inlineStr">
        <is>
          <t>ÅNGE</t>
        </is>
      </c>
      <c r="G384" t="n">
        <v>3</v>
      </c>
      <c r="H384" t="n">
        <v>0</v>
      </c>
      <c r="I384" t="n">
        <v>0</v>
      </c>
      <c r="J384" t="n">
        <v>0</v>
      </c>
      <c r="K384" t="n">
        <v>0</v>
      </c>
      <c r="L384" t="n">
        <v>0</v>
      </c>
      <c r="M384" t="n">
        <v>0</v>
      </c>
      <c r="N384" t="n">
        <v>0</v>
      </c>
      <c r="O384" t="n">
        <v>0</v>
      </c>
      <c r="P384" t="n">
        <v>0</v>
      </c>
      <c r="Q384" t="n">
        <v>0</v>
      </c>
      <c r="R384" s="2" t="inlineStr"/>
    </row>
    <row r="385" ht="15" customHeight="1">
      <c r="A385" t="inlineStr">
        <is>
          <t>A 63329-2019</t>
        </is>
      </c>
      <c r="B385" s="1" t="n">
        <v>43794</v>
      </c>
      <c r="C385" s="1" t="n">
        <v>45579</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63453-2019</t>
        </is>
      </c>
      <c r="B386" s="1" t="n">
        <v>43794</v>
      </c>
      <c r="C386" s="1" t="n">
        <v>45579</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63324-2019</t>
        </is>
      </c>
      <c r="B387" s="1" t="n">
        <v>43794</v>
      </c>
      <c r="C387" s="1" t="n">
        <v>45579</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63549-2019</t>
        </is>
      </c>
      <c r="B388" s="1" t="n">
        <v>43794</v>
      </c>
      <c r="C388" s="1" t="n">
        <v>45579</v>
      </c>
      <c r="D388" t="inlineStr">
        <is>
          <t>VÄSTERNORRLANDS LÄN</t>
        </is>
      </c>
      <c r="E388" t="inlineStr">
        <is>
          <t>ÅNGE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63454-2019</t>
        </is>
      </c>
      <c r="B389" s="1" t="n">
        <v>43794</v>
      </c>
      <c r="C389" s="1" t="n">
        <v>45579</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63679-2019</t>
        </is>
      </c>
      <c r="B390" s="1" t="n">
        <v>43795</v>
      </c>
      <c r="C390" s="1" t="n">
        <v>45579</v>
      </c>
      <c r="D390" t="inlineStr">
        <is>
          <t>VÄSTERNORRLANDS LÄN</t>
        </is>
      </c>
      <c r="E390" t="inlineStr">
        <is>
          <t>ÅNGE</t>
        </is>
      </c>
      <c r="G390" t="n">
        <v>3.7</v>
      </c>
      <c r="H390" t="n">
        <v>0</v>
      </c>
      <c r="I390" t="n">
        <v>0</v>
      </c>
      <c r="J390" t="n">
        <v>0</v>
      </c>
      <c r="K390" t="n">
        <v>0</v>
      </c>
      <c r="L390" t="n">
        <v>0</v>
      </c>
      <c r="M390" t="n">
        <v>0</v>
      </c>
      <c r="N390" t="n">
        <v>0</v>
      </c>
      <c r="O390" t="n">
        <v>0</v>
      </c>
      <c r="P390" t="n">
        <v>0</v>
      </c>
      <c r="Q390" t="n">
        <v>0</v>
      </c>
      <c r="R390" s="2" t="inlineStr"/>
    </row>
    <row r="391" ht="15" customHeight="1">
      <c r="A391" t="inlineStr">
        <is>
          <t>A 63677-2019</t>
        </is>
      </c>
      <c r="B391" s="1" t="n">
        <v>43795</v>
      </c>
      <c r="C391" s="1" t="n">
        <v>45579</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63683-2019</t>
        </is>
      </c>
      <c r="B392" s="1" t="n">
        <v>43795</v>
      </c>
      <c r="C392" s="1" t="n">
        <v>45579</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65050-2019</t>
        </is>
      </c>
      <c r="B393" s="1" t="n">
        <v>43801</v>
      </c>
      <c r="C393" s="1" t="n">
        <v>45579</v>
      </c>
      <c r="D393" t="inlineStr">
        <is>
          <t>VÄSTERNORRLANDS LÄN</t>
        </is>
      </c>
      <c r="E393" t="inlineStr">
        <is>
          <t>ÅNGE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65046-2019</t>
        </is>
      </c>
      <c r="B394" s="1" t="n">
        <v>43801</v>
      </c>
      <c r="C394" s="1" t="n">
        <v>45579</v>
      </c>
      <c r="D394" t="inlineStr">
        <is>
          <t>VÄSTERNORRLANDS LÄN</t>
        </is>
      </c>
      <c r="E394" t="inlineStr">
        <is>
          <t>ÅNGE</t>
        </is>
      </c>
      <c r="G394" t="n">
        <v>17.3</v>
      </c>
      <c r="H394" t="n">
        <v>0</v>
      </c>
      <c r="I394" t="n">
        <v>0</v>
      </c>
      <c r="J394" t="n">
        <v>0</v>
      </c>
      <c r="K394" t="n">
        <v>0</v>
      </c>
      <c r="L394" t="n">
        <v>0</v>
      </c>
      <c r="M394" t="n">
        <v>0</v>
      </c>
      <c r="N394" t="n">
        <v>0</v>
      </c>
      <c r="O394" t="n">
        <v>0</v>
      </c>
      <c r="P394" t="n">
        <v>0</v>
      </c>
      <c r="Q394" t="n">
        <v>0</v>
      </c>
      <c r="R394" s="2" t="inlineStr"/>
    </row>
    <row r="395" ht="15" customHeight="1">
      <c r="A395" t="inlineStr">
        <is>
          <t>A 65049-2019</t>
        </is>
      </c>
      <c r="B395" s="1" t="n">
        <v>43801</v>
      </c>
      <c r="C395" s="1" t="n">
        <v>45579</v>
      </c>
      <c r="D395" t="inlineStr">
        <is>
          <t>VÄSTERNORRLANDS LÄN</t>
        </is>
      </c>
      <c r="E395" t="inlineStr">
        <is>
          <t>ÅNGE</t>
        </is>
      </c>
      <c r="G395" t="n">
        <v>3.3</v>
      </c>
      <c r="H395" t="n">
        <v>0</v>
      </c>
      <c r="I395" t="n">
        <v>0</v>
      </c>
      <c r="J395" t="n">
        <v>0</v>
      </c>
      <c r="K395" t="n">
        <v>0</v>
      </c>
      <c r="L395" t="n">
        <v>0</v>
      </c>
      <c r="M395" t="n">
        <v>0</v>
      </c>
      <c r="N395" t="n">
        <v>0</v>
      </c>
      <c r="O395" t="n">
        <v>0</v>
      </c>
      <c r="P395" t="n">
        <v>0</v>
      </c>
      <c r="Q395" t="n">
        <v>0</v>
      </c>
      <c r="R395" s="2" t="inlineStr"/>
    </row>
    <row r="396" ht="15" customHeight="1">
      <c r="A396" t="inlineStr">
        <is>
          <t>A 65048-2019</t>
        </is>
      </c>
      <c r="B396" s="1" t="n">
        <v>43801</v>
      </c>
      <c r="C396" s="1" t="n">
        <v>45579</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65951-2019</t>
        </is>
      </c>
      <c r="B397" s="1" t="n">
        <v>43805</v>
      </c>
      <c r="C397" s="1" t="n">
        <v>45579</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65909-2019</t>
        </is>
      </c>
      <c r="B398" s="1" t="n">
        <v>43805</v>
      </c>
      <c r="C398" s="1" t="n">
        <v>45579</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66048-2019</t>
        </is>
      </c>
      <c r="B399" s="1" t="n">
        <v>43805</v>
      </c>
      <c r="C399" s="1" t="n">
        <v>45579</v>
      </c>
      <c r="D399" t="inlineStr">
        <is>
          <t>VÄSTERNORRLANDS LÄN</t>
        </is>
      </c>
      <c r="E399" t="inlineStr">
        <is>
          <t>ÅNGE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66017-2019</t>
        </is>
      </c>
      <c r="B400" s="1" t="n">
        <v>43805</v>
      </c>
      <c r="C400" s="1" t="n">
        <v>45579</v>
      </c>
      <c r="D400" t="inlineStr">
        <is>
          <t>VÄSTERNORRLANDS LÄN</t>
        </is>
      </c>
      <c r="E400" t="inlineStr">
        <is>
          <t>ÅNGE</t>
        </is>
      </c>
      <c r="G400" t="n">
        <v>2.4</v>
      </c>
      <c r="H400" t="n">
        <v>0</v>
      </c>
      <c r="I400" t="n">
        <v>0</v>
      </c>
      <c r="J400" t="n">
        <v>0</v>
      </c>
      <c r="K400" t="n">
        <v>0</v>
      </c>
      <c r="L400" t="n">
        <v>0</v>
      </c>
      <c r="M400" t="n">
        <v>0</v>
      </c>
      <c r="N400" t="n">
        <v>0</v>
      </c>
      <c r="O400" t="n">
        <v>0</v>
      </c>
      <c r="P400" t="n">
        <v>0</v>
      </c>
      <c r="Q400" t="n">
        <v>0</v>
      </c>
      <c r="R400" s="2" t="inlineStr"/>
    </row>
    <row r="401" ht="15" customHeight="1">
      <c r="A401" t="inlineStr">
        <is>
          <t>A 66013-2019</t>
        </is>
      </c>
      <c r="B401" s="1" t="n">
        <v>43805</v>
      </c>
      <c r="C401" s="1" t="n">
        <v>45579</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68809-2019</t>
        </is>
      </c>
      <c r="B402" s="1" t="n">
        <v>43815</v>
      </c>
      <c r="C402" s="1" t="n">
        <v>45579</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714-2020</t>
        </is>
      </c>
      <c r="B403" s="1" t="n">
        <v>43818</v>
      </c>
      <c r="C403" s="1" t="n">
        <v>45579</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68807-2019</t>
        </is>
      </c>
      <c r="B404" s="1" t="n">
        <v>43819</v>
      </c>
      <c r="C404" s="1" t="n">
        <v>45579</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69169-2019</t>
        </is>
      </c>
      <c r="B405" s="1" t="n">
        <v>43830</v>
      </c>
      <c r="C405" s="1" t="n">
        <v>45579</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69171-2019</t>
        </is>
      </c>
      <c r="B406" s="1" t="n">
        <v>43830</v>
      </c>
      <c r="C406" s="1" t="n">
        <v>45579</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114-2020</t>
        </is>
      </c>
      <c r="B407" s="1" t="n">
        <v>43832</v>
      </c>
      <c r="C407" s="1" t="n">
        <v>45579</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531-2020</t>
        </is>
      </c>
      <c r="B408" s="1" t="n">
        <v>43837</v>
      </c>
      <c r="C408" s="1" t="n">
        <v>45579</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664-2020</t>
        </is>
      </c>
      <c r="B409" s="1" t="n">
        <v>43838</v>
      </c>
      <c r="C409" s="1" t="n">
        <v>45579</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2650-2020</t>
        </is>
      </c>
      <c r="B410" s="1" t="n">
        <v>43847</v>
      </c>
      <c r="C410" s="1" t="n">
        <v>45579</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3658-2020</t>
        </is>
      </c>
      <c r="B411" s="1" t="n">
        <v>43853</v>
      </c>
      <c r="C411" s="1" t="n">
        <v>45579</v>
      </c>
      <c r="D411" t="inlineStr">
        <is>
          <t>VÄSTERNORRLANDS LÄN</t>
        </is>
      </c>
      <c r="E411" t="inlineStr">
        <is>
          <t>ÅNGE</t>
        </is>
      </c>
      <c r="G411" t="n">
        <v>4.4</v>
      </c>
      <c r="H411" t="n">
        <v>0</v>
      </c>
      <c r="I411" t="n">
        <v>0</v>
      </c>
      <c r="J411" t="n">
        <v>0</v>
      </c>
      <c r="K411" t="n">
        <v>0</v>
      </c>
      <c r="L411" t="n">
        <v>0</v>
      </c>
      <c r="M411" t="n">
        <v>0</v>
      </c>
      <c r="N411" t="n">
        <v>0</v>
      </c>
      <c r="O411" t="n">
        <v>0</v>
      </c>
      <c r="P411" t="n">
        <v>0</v>
      </c>
      <c r="Q411" t="n">
        <v>0</v>
      </c>
      <c r="R411" s="2" t="inlineStr"/>
    </row>
    <row r="412" ht="15" customHeight="1">
      <c r="A412" t="inlineStr">
        <is>
          <t>A 3664-2020</t>
        </is>
      </c>
      <c r="B412" s="1" t="n">
        <v>43853</v>
      </c>
      <c r="C412" s="1" t="n">
        <v>45579</v>
      </c>
      <c r="D412" t="inlineStr">
        <is>
          <t>VÄSTERNORRLANDS LÄN</t>
        </is>
      </c>
      <c r="E412" t="inlineStr">
        <is>
          <t>ÅNGE</t>
        </is>
      </c>
      <c r="G412" t="n">
        <v>10.8</v>
      </c>
      <c r="H412" t="n">
        <v>0</v>
      </c>
      <c r="I412" t="n">
        <v>0</v>
      </c>
      <c r="J412" t="n">
        <v>0</v>
      </c>
      <c r="K412" t="n">
        <v>0</v>
      </c>
      <c r="L412" t="n">
        <v>0</v>
      </c>
      <c r="M412" t="n">
        <v>0</v>
      </c>
      <c r="N412" t="n">
        <v>0</v>
      </c>
      <c r="O412" t="n">
        <v>0</v>
      </c>
      <c r="P412" t="n">
        <v>0</v>
      </c>
      <c r="Q412" t="n">
        <v>0</v>
      </c>
      <c r="R412" s="2" t="inlineStr"/>
    </row>
    <row r="413" ht="15" customHeight="1">
      <c r="A413" t="inlineStr">
        <is>
          <t>A 3993-2020</t>
        </is>
      </c>
      <c r="B413" s="1" t="n">
        <v>43856</v>
      </c>
      <c r="C413" s="1" t="n">
        <v>45579</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4365-2020</t>
        </is>
      </c>
      <c r="B414" s="1" t="n">
        <v>43857</v>
      </c>
      <c r="C414" s="1" t="n">
        <v>45579</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4458-2020</t>
        </is>
      </c>
      <c r="B415" s="1" t="n">
        <v>43858</v>
      </c>
      <c r="C415" s="1" t="n">
        <v>45579</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5102-2020</t>
        </is>
      </c>
      <c r="B416" s="1" t="n">
        <v>43859</v>
      </c>
      <c r="C416" s="1" t="n">
        <v>45579</v>
      </c>
      <c r="D416" t="inlineStr">
        <is>
          <t>VÄSTERNORRLANDS LÄN</t>
        </is>
      </c>
      <c r="E416" t="inlineStr">
        <is>
          <t>ÅNGE</t>
        </is>
      </c>
      <c r="G416" t="n">
        <v>3.2</v>
      </c>
      <c r="H416" t="n">
        <v>0</v>
      </c>
      <c r="I416" t="n">
        <v>0</v>
      </c>
      <c r="J416" t="n">
        <v>0</v>
      </c>
      <c r="K416" t="n">
        <v>0</v>
      </c>
      <c r="L416" t="n">
        <v>0</v>
      </c>
      <c r="M416" t="n">
        <v>0</v>
      </c>
      <c r="N416" t="n">
        <v>0</v>
      </c>
      <c r="O416" t="n">
        <v>0</v>
      </c>
      <c r="P416" t="n">
        <v>0</v>
      </c>
      <c r="Q416" t="n">
        <v>0</v>
      </c>
      <c r="R416" s="2" t="inlineStr"/>
    </row>
    <row r="417" ht="15" customHeight="1">
      <c r="A417" t="inlineStr">
        <is>
          <t>A 5975-2020</t>
        </is>
      </c>
      <c r="B417" s="1" t="n">
        <v>43864</v>
      </c>
      <c r="C417" s="1" t="n">
        <v>45579</v>
      </c>
      <c r="D417" t="inlineStr">
        <is>
          <t>VÄSTERNORRLANDS LÄN</t>
        </is>
      </c>
      <c r="E417" t="inlineStr">
        <is>
          <t>ÅNGE</t>
        </is>
      </c>
      <c r="G417" t="n">
        <v>6.5</v>
      </c>
      <c r="H417" t="n">
        <v>0</v>
      </c>
      <c r="I417" t="n">
        <v>0</v>
      </c>
      <c r="J417" t="n">
        <v>0</v>
      </c>
      <c r="K417" t="n">
        <v>0</v>
      </c>
      <c r="L417" t="n">
        <v>0</v>
      </c>
      <c r="M417" t="n">
        <v>0</v>
      </c>
      <c r="N417" t="n">
        <v>0</v>
      </c>
      <c r="O417" t="n">
        <v>0</v>
      </c>
      <c r="P417" t="n">
        <v>0</v>
      </c>
      <c r="Q417" t="n">
        <v>0</v>
      </c>
      <c r="R417" s="2" t="inlineStr"/>
    </row>
    <row r="418" ht="15" customHeight="1">
      <c r="A418" t="inlineStr">
        <is>
          <t>A 6393-2020</t>
        </is>
      </c>
      <c r="B418" s="1" t="n">
        <v>43866</v>
      </c>
      <c r="C418" s="1" t="n">
        <v>45579</v>
      </c>
      <c r="D418" t="inlineStr">
        <is>
          <t>VÄSTERNORRLANDS LÄN</t>
        </is>
      </c>
      <c r="E418" t="inlineStr">
        <is>
          <t>ÅNGE</t>
        </is>
      </c>
      <c r="G418" t="n">
        <v>3.4</v>
      </c>
      <c r="H418" t="n">
        <v>0</v>
      </c>
      <c r="I418" t="n">
        <v>0</v>
      </c>
      <c r="J418" t="n">
        <v>0</v>
      </c>
      <c r="K418" t="n">
        <v>0</v>
      </c>
      <c r="L418" t="n">
        <v>0</v>
      </c>
      <c r="M418" t="n">
        <v>0</v>
      </c>
      <c r="N418" t="n">
        <v>0</v>
      </c>
      <c r="O418" t="n">
        <v>0</v>
      </c>
      <c r="P418" t="n">
        <v>0</v>
      </c>
      <c r="Q418" t="n">
        <v>0</v>
      </c>
      <c r="R418" s="2" t="inlineStr"/>
    </row>
    <row r="419" ht="15" customHeight="1">
      <c r="A419" t="inlineStr">
        <is>
          <t>A 6557-2020</t>
        </is>
      </c>
      <c r="B419" s="1" t="n">
        <v>43867</v>
      </c>
      <c r="C419" s="1" t="n">
        <v>45579</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6551-2020</t>
        </is>
      </c>
      <c r="B420" s="1" t="n">
        <v>43867</v>
      </c>
      <c r="C420" s="1" t="n">
        <v>45579</v>
      </c>
      <c r="D420" t="inlineStr">
        <is>
          <t>VÄSTERNORRLANDS LÄN</t>
        </is>
      </c>
      <c r="E420" t="inlineStr">
        <is>
          <t>ÅNGE</t>
        </is>
      </c>
      <c r="G420" t="n">
        <v>12.5</v>
      </c>
      <c r="H420" t="n">
        <v>0</v>
      </c>
      <c r="I420" t="n">
        <v>0</v>
      </c>
      <c r="J420" t="n">
        <v>0</v>
      </c>
      <c r="K420" t="n">
        <v>0</v>
      </c>
      <c r="L420" t="n">
        <v>0</v>
      </c>
      <c r="M420" t="n">
        <v>0</v>
      </c>
      <c r="N420" t="n">
        <v>0</v>
      </c>
      <c r="O420" t="n">
        <v>0</v>
      </c>
      <c r="P420" t="n">
        <v>0</v>
      </c>
      <c r="Q420" t="n">
        <v>0</v>
      </c>
      <c r="R420" s="2" t="inlineStr"/>
    </row>
    <row r="421" ht="15" customHeight="1">
      <c r="A421" t="inlineStr">
        <is>
          <t>A 6563-2020</t>
        </is>
      </c>
      <c r="B421" s="1" t="n">
        <v>43867</v>
      </c>
      <c r="C421" s="1" t="n">
        <v>45579</v>
      </c>
      <c r="D421" t="inlineStr">
        <is>
          <t>VÄSTERNORRLANDS LÄN</t>
        </is>
      </c>
      <c r="E421" t="inlineStr">
        <is>
          <t>ÅNGE</t>
        </is>
      </c>
      <c r="G421" t="n">
        <v>6.7</v>
      </c>
      <c r="H421" t="n">
        <v>0</v>
      </c>
      <c r="I421" t="n">
        <v>0</v>
      </c>
      <c r="J421" t="n">
        <v>0</v>
      </c>
      <c r="K421" t="n">
        <v>0</v>
      </c>
      <c r="L421" t="n">
        <v>0</v>
      </c>
      <c r="M421" t="n">
        <v>0</v>
      </c>
      <c r="N421" t="n">
        <v>0</v>
      </c>
      <c r="O421" t="n">
        <v>0</v>
      </c>
      <c r="P421" t="n">
        <v>0</v>
      </c>
      <c r="Q421" t="n">
        <v>0</v>
      </c>
      <c r="R421" s="2" t="inlineStr"/>
    </row>
    <row r="422" ht="15" customHeight="1">
      <c r="A422" t="inlineStr">
        <is>
          <t>A 6555-2020</t>
        </is>
      </c>
      <c r="B422" s="1" t="n">
        <v>43867</v>
      </c>
      <c r="C422" s="1" t="n">
        <v>45579</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6562-2020</t>
        </is>
      </c>
      <c r="B423" s="1" t="n">
        <v>43867</v>
      </c>
      <c r="C423" s="1" t="n">
        <v>45579</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6565-2020</t>
        </is>
      </c>
      <c r="B424" s="1" t="n">
        <v>43867</v>
      </c>
      <c r="C424" s="1" t="n">
        <v>45579</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7787-2020</t>
        </is>
      </c>
      <c r="B425" s="1" t="n">
        <v>43872</v>
      </c>
      <c r="C425" s="1" t="n">
        <v>45579</v>
      </c>
      <c r="D425" t="inlineStr">
        <is>
          <t>VÄSTERNORRLANDS LÄN</t>
        </is>
      </c>
      <c r="E425" t="inlineStr">
        <is>
          <t>ÅNGE</t>
        </is>
      </c>
      <c r="F425" t="inlineStr">
        <is>
          <t>SCA</t>
        </is>
      </c>
      <c r="G425" t="n">
        <v>22.8</v>
      </c>
      <c r="H425" t="n">
        <v>0</v>
      </c>
      <c r="I425" t="n">
        <v>0</v>
      </c>
      <c r="J425" t="n">
        <v>0</v>
      </c>
      <c r="K425" t="n">
        <v>0</v>
      </c>
      <c r="L425" t="n">
        <v>0</v>
      </c>
      <c r="M425" t="n">
        <v>0</v>
      </c>
      <c r="N425" t="n">
        <v>0</v>
      </c>
      <c r="O425" t="n">
        <v>0</v>
      </c>
      <c r="P425" t="n">
        <v>0</v>
      </c>
      <c r="Q425" t="n">
        <v>0</v>
      </c>
      <c r="R425" s="2" t="inlineStr"/>
    </row>
    <row r="426" ht="15" customHeight="1">
      <c r="A426" t="inlineStr">
        <is>
          <t>A 8533-2020</t>
        </is>
      </c>
      <c r="B426" s="1" t="n">
        <v>43875</v>
      </c>
      <c r="C426" s="1" t="n">
        <v>45579</v>
      </c>
      <c r="D426" t="inlineStr">
        <is>
          <t>VÄSTERNORRLANDS LÄN</t>
        </is>
      </c>
      <c r="E426" t="inlineStr">
        <is>
          <t>ÅNGE</t>
        </is>
      </c>
      <c r="F426" t="inlineStr">
        <is>
          <t>SCA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8534-2020</t>
        </is>
      </c>
      <c r="B427" s="1" t="n">
        <v>43875</v>
      </c>
      <c r="C427" s="1" t="n">
        <v>45579</v>
      </c>
      <c r="D427" t="inlineStr">
        <is>
          <t>VÄSTERNORRLANDS LÄN</t>
        </is>
      </c>
      <c r="E427" t="inlineStr">
        <is>
          <t>ÅNGE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10144-2020</t>
        </is>
      </c>
      <c r="B428" s="1" t="n">
        <v>43886</v>
      </c>
      <c r="C428" s="1" t="n">
        <v>45579</v>
      </c>
      <c r="D428" t="inlineStr">
        <is>
          <t>VÄSTERNORRLANDS LÄN</t>
        </is>
      </c>
      <c r="E428" t="inlineStr">
        <is>
          <t>ÅNGE</t>
        </is>
      </c>
      <c r="F428" t="inlineStr">
        <is>
          <t>SCA</t>
        </is>
      </c>
      <c r="G428" t="n">
        <v>21.7</v>
      </c>
      <c r="H428" t="n">
        <v>0</v>
      </c>
      <c r="I428" t="n">
        <v>0</v>
      </c>
      <c r="J428" t="n">
        <v>0</v>
      </c>
      <c r="K428" t="n">
        <v>0</v>
      </c>
      <c r="L428" t="n">
        <v>0</v>
      </c>
      <c r="M428" t="n">
        <v>0</v>
      </c>
      <c r="N428" t="n">
        <v>0</v>
      </c>
      <c r="O428" t="n">
        <v>0</v>
      </c>
      <c r="P428" t="n">
        <v>0</v>
      </c>
      <c r="Q428" t="n">
        <v>0</v>
      </c>
      <c r="R428" s="2" t="inlineStr"/>
    </row>
    <row r="429" ht="15" customHeight="1">
      <c r="A429" t="inlineStr">
        <is>
          <t>A 10145-2020</t>
        </is>
      </c>
      <c r="B429" s="1" t="n">
        <v>43886</v>
      </c>
      <c r="C429" s="1" t="n">
        <v>45579</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11101-2020</t>
        </is>
      </c>
      <c r="B430" s="1" t="n">
        <v>43889</v>
      </c>
      <c r="C430" s="1" t="n">
        <v>45579</v>
      </c>
      <c r="D430" t="inlineStr">
        <is>
          <t>VÄSTERNORRLANDS LÄN</t>
        </is>
      </c>
      <c r="E430" t="inlineStr">
        <is>
          <t>ÅNGE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12866-2020</t>
        </is>
      </c>
      <c r="B431" s="1" t="n">
        <v>43899</v>
      </c>
      <c r="C431" s="1" t="n">
        <v>45579</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12868-2020</t>
        </is>
      </c>
      <c r="B432" s="1" t="n">
        <v>43899</v>
      </c>
      <c r="C432" s="1" t="n">
        <v>45579</v>
      </c>
      <c r="D432" t="inlineStr">
        <is>
          <t>VÄSTERNORRLANDS LÄN</t>
        </is>
      </c>
      <c r="E432" t="inlineStr">
        <is>
          <t>ÅNGE</t>
        </is>
      </c>
      <c r="G432" t="n">
        <v>9.6</v>
      </c>
      <c r="H432" t="n">
        <v>0</v>
      </c>
      <c r="I432" t="n">
        <v>0</v>
      </c>
      <c r="J432" t="n">
        <v>0</v>
      </c>
      <c r="K432" t="n">
        <v>0</v>
      </c>
      <c r="L432" t="n">
        <v>0</v>
      </c>
      <c r="M432" t="n">
        <v>0</v>
      </c>
      <c r="N432" t="n">
        <v>0</v>
      </c>
      <c r="O432" t="n">
        <v>0</v>
      </c>
      <c r="P432" t="n">
        <v>0</v>
      </c>
      <c r="Q432" t="n">
        <v>0</v>
      </c>
      <c r="R432" s="2" t="inlineStr"/>
    </row>
    <row r="433" ht="15" customHeight="1">
      <c r="A433" t="inlineStr">
        <is>
          <t>A 13559-2020</t>
        </is>
      </c>
      <c r="B433" s="1" t="n">
        <v>43902</v>
      </c>
      <c r="C433" s="1" t="n">
        <v>45579</v>
      </c>
      <c r="D433" t="inlineStr">
        <is>
          <t>VÄSTERNORRLANDS LÄN</t>
        </is>
      </c>
      <c r="E433" t="inlineStr">
        <is>
          <t>ÅNGE</t>
        </is>
      </c>
      <c r="F433" t="inlineStr">
        <is>
          <t>SCA</t>
        </is>
      </c>
      <c r="G433" t="n">
        <v>24.5</v>
      </c>
      <c r="H433" t="n">
        <v>0</v>
      </c>
      <c r="I433" t="n">
        <v>0</v>
      </c>
      <c r="J433" t="n">
        <v>0</v>
      </c>
      <c r="K433" t="n">
        <v>0</v>
      </c>
      <c r="L433" t="n">
        <v>0</v>
      </c>
      <c r="M433" t="n">
        <v>0</v>
      </c>
      <c r="N433" t="n">
        <v>0</v>
      </c>
      <c r="O433" t="n">
        <v>0</v>
      </c>
      <c r="P433" t="n">
        <v>0</v>
      </c>
      <c r="Q433" t="n">
        <v>0</v>
      </c>
      <c r="R433" s="2" t="inlineStr"/>
    </row>
    <row r="434" ht="15" customHeight="1">
      <c r="A434" t="inlineStr">
        <is>
          <t>A 14586-2020</t>
        </is>
      </c>
      <c r="B434" s="1" t="n">
        <v>43908</v>
      </c>
      <c r="C434" s="1" t="n">
        <v>45579</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17101-2020</t>
        </is>
      </c>
      <c r="B435" s="1" t="n">
        <v>43914</v>
      </c>
      <c r="C435" s="1" t="n">
        <v>45579</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17098-2020</t>
        </is>
      </c>
      <c r="B436" s="1" t="n">
        <v>43914</v>
      </c>
      <c r="C436" s="1" t="n">
        <v>45579</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17007-2020</t>
        </is>
      </c>
      <c r="B437" s="1" t="n">
        <v>43921</v>
      </c>
      <c r="C437" s="1" t="n">
        <v>45579</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17069-2020</t>
        </is>
      </c>
      <c r="B438" s="1" t="n">
        <v>43921</v>
      </c>
      <c r="C438" s="1" t="n">
        <v>45579</v>
      </c>
      <c r="D438" t="inlineStr">
        <is>
          <t>VÄSTERNORRLANDS LÄN</t>
        </is>
      </c>
      <c r="E438" t="inlineStr">
        <is>
          <t>ÅNGE</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19125-2020</t>
        </is>
      </c>
      <c r="B439" s="1" t="n">
        <v>43936</v>
      </c>
      <c r="C439" s="1" t="n">
        <v>45579</v>
      </c>
      <c r="D439" t="inlineStr">
        <is>
          <t>VÄSTERNORRLANDS LÄN</t>
        </is>
      </c>
      <c r="E439" t="inlineStr">
        <is>
          <t>ÅNGE</t>
        </is>
      </c>
      <c r="G439" t="n">
        <v>1.9</v>
      </c>
      <c r="H439" t="n">
        <v>0</v>
      </c>
      <c r="I439" t="n">
        <v>0</v>
      </c>
      <c r="J439" t="n">
        <v>0</v>
      </c>
      <c r="K439" t="n">
        <v>0</v>
      </c>
      <c r="L439" t="n">
        <v>0</v>
      </c>
      <c r="M439" t="n">
        <v>0</v>
      </c>
      <c r="N439" t="n">
        <v>0</v>
      </c>
      <c r="O439" t="n">
        <v>0</v>
      </c>
      <c r="P439" t="n">
        <v>0</v>
      </c>
      <c r="Q439" t="n">
        <v>0</v>
      </c>
      <c r="R439" s="2" t="inlineStr"/>
    </row>
    <row r="440" ht="15" customHeight="1">
      <c r="A440" t="inlineStr">
        <is>
          <t>A 19619-2020</t>
        </is>
      </c>
      <c r="B440" s="1" t="n">
        <v>43941</v>
      </c>
      <c r="C440" s="1" t="n">
        <v>45579</v>
      </c>
      <c r="D440" t="inlineStr">
        <is>
          <t>VÄSTERNORRLANDS LÄN</t>
        </is>
      </c>
      <c r="E440" t="inlineStr">
        <is>
          <t>ÅNGE</t>
        </is>
      </c>
      <c r="G440" t="n">
        <v>4.6</v>
      </c>
      <c r="H440" t="n">
        <v>0</v>
      </c>
      <c r="I440" t="n">
        <v>0</v>
      </c>
      <c r="J440" t="n">
        <v>0</v>
      </c>
      <c r="K440" t="n">
        <v>0</v>
      </c>
      <c r="L440" t="n">
        <v>0</v>
      </c>
      <c r="M440" t="n">
        <v>0</v>
      </c>
      <c r="N440" t="n">
        <v>0</v>
      </c>
      <c r="O440" t="n">
        <v>0</v>
      </c>
      <c r="P440" t="n">
        <v>0</v>
      </c>
      <c r="Q440" t="n">
        <v>0</v>
      </c>
      <c r="R440" s="2" t="inlineStr"/>
    </row>
    <row r="441" ht="15" customHeight="1">
      <c r="A441" t="inlineStr">
        <is>
          <t>A 20079-2020</t>
        </is>
      </c>
      <c r="B441" s="1" t="n">
        <v>43943</v>
      </c>
      <c r="C441" s="1" t="n">
        <v>45579</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20211-2020</t>
        </is>
      </c>
      <c r="B442" s="1" t="n">
        <v>43944</v>
      </c>
      <c r="C442" s="1" t="n">
        <v>45579</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20192-2020</t>
        </is>
      </c>
      <c r="B443" s="1" t="n">
        <v>43944</v>
      </c>
      <c r="C443" s="1" t="n">
        <v>45579</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20820-2020</t>
        </is>
      </c>
      <c r="B444" s="1" t="n">
        <v>43949</v>
      </c>
      <c r="C444" s="1" t="n">
        <v>45579</v>
      </c>
      <c r="D444" t="inlineStr">
        <is>
          <t>VÄSTERNORRLANDS LÄN</t>
        </is>
      </c>
      <c r="E444" t="inlineStr">
        <is>
          <t>ÅNGE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21207-2020</t>
        </is>
      </c>
      <c r="B445" s="1" t="n">
        <v>43951</v>
      </c>
      <c r="C445" s="1" t="n">
        <v>45579</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21763-2020</t>
        </is>
      </c>
      <c r="B446" s="1" t="n">
        <v>43957</v>
      </c>
      <c r="C446" s="1" t="n">
        <v>45579</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22041-2020</t>
        </is>
      </c>
      <c r="B447" s="1" t="n">
        <v>43959</v>
      </c>
      <c r="C447" s="1" t="n">
        <v>45579</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22039-2020</t>
        </is>
      </c>
      <c r="B448" s="1" t="n">
        <v>43959</v>
      </c>
      <c r="C448" s="1" t="n">
        <v>45579</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22552-2020</t>
        </is>
      </c>
      <c r="B449" s="1" t="n">
        <v>43963</v>
      </c>
      <c r="C449" s="1" t="n">
        <v>45579</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22690-2020</t>
        </is>
      </c>
      <c r="B450" s="1" t="n">
        <v>43963</v>
      </c>
      <c r="C450" s="1" t="n">
        <v>45579</v>
      </c>
      <c r="D450" t="inlineStr">
        <is>
          <t>VÄSTERNORRLANDS LÄN</t>
        </is>
      </c>
      <c r="E450" t="inlineStr">
        <is>
          <t>ÅNGE</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22911-2020</t>
        </is>
      </c>
      <c r="B451" s="1" t="n">
        <v>43964</v>
      </c>
      <c r="C451" s="1" t="n">
        <v>45579</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22907-2020</t>
        </is>
      </c>
      <c r="B452" s="1" t="n">
        <v>43964</v>
      </c>
      <c r="C452" s="1" t="n">
        <v>45579</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22909-2020</t>
        </is>
      </c>
      <c r="B453" s="1" t="n">
        <v>43964</v>
      </c>
      <c r="C453" s="1" t="n">
        <v>45579</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23352-2020</t>
        </is>
      </c>
      <c r="B454" s="1" t="n">
        <v>43966</v>
      </c>
      <c r="C454" s="1" t="n">
        <v>45579</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23660-2020</t>
        </is>
      </c>
      <c r="B455" s="1" t="n">
        <v>43969</v>
      </c>
      <c r="C455" s="1" t="n">
        <v>45579</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24353-2020</t>
        </is>
      </c>
      <c r="B456" s="1" t="n">
        <v>43976</v>
      </c>
      <c r="C456" s="1" t="n">
        <v>45579</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24411-2020</t>
        </is>
      </c>
      <c r="B457" s="1" t="n">
        <v>43976</v>
      </c>
      <c r="C457" s="1" t="n">
        <v>45579</v>
      </c>
      <c r="D457" t="inlineStr">
        <is>
          <t>VÄSTERNORRLANDS LÄN</t>
        </is>
      </c>
      <c r="E457" t="inlineStr">
        <is>
          <t>ÅNGE</t>
        </is>
      </c>
      <c r="G457" t="n">
        <v>5.6</v>
      </c>
      <c r="H457" t="n">
        <v>0</v>
      </c>
      <c r="I457" t="n">
        <v>0</v>
      </c>
      <c r="J457" t="n">
        <v>0</v>
      </c>
      <c r="K457" t="n">
        <v>0</v>
      </c>
      <c r="L457" t="n">
        <v>0</v>
      </c>
      <c r="M457" t="n">
        <v>0</v>
      </c>
      <c r="N457" t="n">
        <v>0</v>
      </c>
      <c r="O457" t="n">
        <v>0</v>
      </c>
      <c r="P457" t="n">
        <v>0</v>
      </c>
      <c r="Q457" t="n">
        <v>0</v>
      </c>
      <c r="R457" s="2" t="inlineStr"/>
    </row>
    <row r="458" ht="15" customHeight="1">
      <c r="A458" t="inlineStr">
        <is>
          <t>A 24361-2020</t>
        </is>
      </c>
      <c r="B458" s="1" t="n">
        <v>43976</v>
      </c>
      <c r="C458" s="1" t="n">
        <v>45579</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24696-2020</t>
        </is>
      </c>
      <c r="B459" s="1" t="n">
        <v>43978</v>
      </c>
      <c r="C459" s="1" t="n">
        <v>45579</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24857-2020</t>
        </is>
      </c>
      <c r="B460" s="1" t="n">
        <v>43978</v>
      </c>
      <c r="C460" s="1" t="n">
        <v>45579</v>
      </c>
      <c r="D460" t="inlineStr">
        <is>
          <t>VÄSTERNORRLANDS LÄN</t>
        </is>
      </c>
      <c r="E460" t="inlineStr">
        <is>
          <t>ÅNGE</t>
        </is>
      </c>
      <c r="G460" t="n">
        <v>5</v>
      </c>
      <c r="H460" t="n">
        <v>0</v>
      </c>
      <c r="I460" t="n">
        <v>0</v>
      </c>
      <c r="J460" t="n">
        <v>0</v>
      </c>
      <c r="K460" t="n">
        <v>0</v>
      </c>
      <c r="L460" t="n">
        <v>0</v>
      </c>
      <c r="M460" t="n">
        <v>0</v>
      </c>
      <c r="N460" t="n">
        <v>0</v>
      </c>
      <c r="O460" t="n">
        <v>0</v>
      </c>
      <c r="P460" t="n">
        <v>0</v>
      </c>
      <c r="Q460" t="n">
        <v>0</v>
      </c>
      <c r="R460" s="2" t="inlineStr"/>
    </row>
    <row r="461" ht="15" customHeight="1">
      <c r="A461" t="inlineStr">
        <is>
          <t>A 24859-2020</t>
        </is>
      </c>
      <c r="B461" s="1" t="n">
        <v>43978</v>
      </c>
      <c r="C461" s="1" t="n">
        <v>45579</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25370-2020</t>
        </is>
      </c>
      <c r="B462" s="1" t="n">
        <v>43980</v>
      </c>
      <c r="C462" s="1" t="n">
        <v>45579</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26447-2020</t>
        </is>
      </c>
      <c r="B463" s="1" t="n">
        <v>43987</v>
      </c>
      <c r="C463" s="1" t="n">
        <v>45579</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27773-2020</t>
        </is>
      </c>
      <c r="B464" s="1" t="n">
        <v>43992</v>
      </c>
      <c r="C464" s="1" t="n">
        <v>45579</v>
      </c>
      <c r="D464" t="inlineStr">
        <is>
          <t>VÄSTERNORRLANDS LÄN</t>
        </is>
      </c>
      <c r="E464" t="inlineStr">
        <is>
          <t>ÅNGE</t>
        </is>
      </c>
      <c r="G464" t="n">
        <v>7.2</v>
      </c>
      <c r="H464" t="n">
        <v>0</v>
      </c>
      <c r="I464" t="n">
        <v>0</v>
      </c>
      <c r="J464" t="n">
        <v>0</v>
      </c>
      <c r="K464" t="n">
        <v>0</v>
      </c>
      <c r="L464" t="n">
        <v>0</v>
      </c>
      <c r="M464" t="n">
        <v>0</v>
      </c>
      <c r="N464" t="n">
        <v>0</v>
      </c>
      <c r="O464" t="n">
        <v>0</v>
      </c>
      <c r="P464" t="n">
        <v>0</v>
      </c>
      <c r="Q464" t="n">
        <v>0</v>
      </c>
      <c r="R464" s="2" t="inlineStr"/>
    </row>
    <row r="465" ht="15" customHeight="1">
      <c r="A465" t="inlineStr">
        <is>
          <t>A 28064-2020</t>
        </is>
      </c>
      <c r="B465" s="1" t="n">
        <v>43997</v>
      </c>
      <c r="C465" s="1" t="n">
        <v>45579</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28890-2020</t>
        </is>
      </c>
      <c r="B466" s="1" t="n">
        <v>44000</v>
      </c>
      <c r="C466" s="1" t="n">
        <v>45579</v>
      </c>
      <c r="D466" t="inlineStr">
        <is>
          <t>VÄSTERNORRLANDS LÄN</t>
        </is>
      </c>
      <c r="E466" t="inlineStr">
        <is>
          <t>ÅNGE</t>
        </is>
      </c>
      <c r="G466" t="n">
        <v>15.2</v>
      </c>
      <c r="H466" t="n">
        <v>0</v>
      </c>
      <c r="I466" t="n">
        <v>0</v>
      </c>
      <c r="J466" t="n">
        <v>0</v>
      </c>
      <c r="K466" t="n">
        <v>0</v>
      </c>
      <c r="L466" t="n">
        <v>0</v>
      </c>
      <c r="M466" t="n">
        <v>0</v>
      </c>
      <c r="N466" t="n">
        <v>0</v>
      </c>
      <c r="O466" t="n">
        <v>0</v>
      </c>
      <c r="P466" t="n">
        <v>0</v>
      </c>
      <c r="Q466" t="n">
        <v>0</v>
      </c>
      <c r="R466" s="2" t="inlineStr"/>
    </row>
    <row r="467" ht="15" customHeight="1">
      <c r="A467" t="inlineStr">
        <is>
          <t>A 28832-2020</t>
        </is>
      </c>
      <c r="B467" s="1" t="n">
        <v>44000</v>
      </c>
      <c r="C467" s="1" t="n">
        <v>45579</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29950-2020</t>
        </is>
      </c>
      <c r="B468" s="1" t="n">
        <v>44006</v>
      </c>
      <c r="C468" s="1" t="n">
        <v>45579</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31079-2020</t>
        </is>
      </c>
      <c r="B469" s="1" t="n">
        <v>44011</v>
      </c>
      <c r="C469" s="1" t="n">
        <v>45579</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31643-2020</t>
        </is>
      </c>
      <c r="B470" s="1" t="n">
        <v>44013</v>
      </c>
      <c r="C470" s="1" t="n">
        <v>45579</v>
      </c>
      <c r="D470" t="inlineStr">
        <is>
          <t>VÄSTERNORRLANDS LÄN</t>
        </is>
      </c>
      <c r="E470" t="inlineStr">
        <is>
          <t>ÅNGE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31867-2020</t>
        </is>
      </c>
      <c r="B471" s="1" t="n">
        <v>44014</v>
      </c>
      <c r="C471" s="1" t="n">
        <v>45579</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31926-2020</t>
        </is>
      </c>
      <c r="B472" s="1" t="n">
        <v>44014</v>
      </c>
      <c r="C472" s="1" t="n">
        <v>45579</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32299-2020</t>
        </is>
      </c>
      <c r="B473" s="1" t="n">
        <v>44015</v>
      </c>
      <c r="C473" s="1" t="n">
        <v>45579</v>
      </c>
      <c r="D473" t="inlineStr">
        <is>
          <t>VÄSTERNORRLANDS LÄN</t>
        </is>
      </c>
      <c r="E473" t="inlineStr">
        <is>
          <t>ÅNGE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32303-2020</t>
        </is>
      </c>
      <c r="B474" s="1" t="n">
        <v>44015</v>
      </c>
      <c r="C474" s="1" t="n">
        <v>45579</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32760-2020</t>
        </is>
      </c>
      <c r="B475" s="1" t="n">
        <v>44019</v>
      </c>
      <c r="C475" s="1" t="n">
        <v>45579</v>
      </c>
      <c r="D475" t="inlineStr">
        <is>
          <t>VÄSTERNORRLANDS LÄN</t>
        </is>
      </c>
      <c r="E475" t="inlineStr">
        <is>
          <t>ÅNGE</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33442-2020</t>
        </is>
      </c>
      <c r="B476" s="1" t="n">
        <v>44023</v>
      </c>
      <c r="C476" s="1" t="n">
        <v>45579</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33619-2020</t>
        </is>
      </c>
      <c r="B477" s="1" t="n">
        <v>44026</v>
      </c>
      <c r="C477" s="1" t="n">
        <v>45579</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33524-2020</t>
        </is>
      </c>
      <c r="B478" s="1" t="n">
        <v>44025</v>
      </c>
      <c r="C478" s="1" t="n">
        <v>45579</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34175-2020</t>
        </is>
      </c>
      <c r="B479" s="1" t="n">
        <v>44029</v>
      </c>
      <c r="C479" s="1" t="n">
        <v>45579</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34237-2020</t>
        </is>
      </c>
      <c r="B480" s="1" t="n">
        <v>44029</v>
      </c>
      <c r="C480" s="1" t="n">
        <v>45579</v>
      </c>
      <c r="D480" t="inlineStr">
        <is>
          <t>VÄSTERNORRLANDS LÄN</t>
        </is>
      </c>
      <c r="E480" t="inlineStr">
        <is>
          <t>ÅNGE</t>
        </is>
      </c>
      <c r="G480" t="n">
        <v>5.3</v>
      </c>
      <c r="H480" t="n">
        <v>0</v>
      </c>
      <c r="I480" t="n">
        <v>0</v>
      </c>
      <c r="J480" t="n">
        <v>0</v>
      </c>
      <c r="K480" t="n">
        <v>0</v>
      </c>
      <c r="L480" t="n">
        <v>0</v>
      </c>
      <c r="M480" t="n">
        <v>0</v>
      </c>
      <c r="N480" t="n">
        <v>0</v>
      </c>
      <c r="O480" t="n">
        <v>0</v>
      </c>
      <c r="P480" t="n">
        <v>0</v>
      </c>
      <c r="Q480" t="n">
        <v>0</v>
      </c>
      <c r="R480" s="2" t="inlineStr"/>
    </row>
    <row r="481" ht="15" customHeight="1">
      <c r="A481" t="inlineStr">
        <is>
          <t>A 34420-2020</t>
        </is>
      </c>
      <c r="B481" s="1" t="n">
        <v>44032</v>
      </c>
      <c r="C481" s="1" t="n">
        <v>45579</v>
      </c>
      <c r="D481" t="inlineStr">
        <is>
          <t>VÄSTERNORRLANDS LÄN</t>
        </is>
      </c>
      <c r="E481" t="inlineStr">
        <is>
          <t>ÅNGE</t>
        </is>
      </c>
      <c r="G481" t="n">
        <v>13.9</v>
      </c>
      <c r="H481" t="n">
        <v>0</v>
      </c>
      <c r="I481" t="n">
        <v>0</v>
      </c>
      <c r="J481" t="n">
        <v>0</v>
      </c>
      <c r="K481" t="n">
        <v>0</v>
      </c>
      <c r="L481" t="n">
        <v>0</v>
      </c>
      <c r="M481" t="n">
        <v>0</v>
      </c>
      <c r="N481" t="n">
        <v>0</v>
      </c>
      <c r="O481" t="n">
        <v>0</v>
      </c>
      <c r="P481" t="n">
        <v>0</v>
      </c>
      <c r="Q481" t="n">
        <v>0</v>
      </c>
      <c r="R481" s="2" t="inlineStr"/>
    </row>
    <row r="482" ht="15" customHeight="1">
      <c r="A482" t="inlineStr">
        <is>
          <t>A 34400-2020</t>
        </is>
      </c>
      <c r="B482" s="1" t="n">
        <v>44032</v>
      </c>
      <c r="C482" s="1" t="n">
        <v>45579</v>
      </c>
      <c r="D482" t="inlineStr">
        <is>
          <t>VÄSTERNORRLANDS LÄN</t>
        </is>
      </c>
      <c r="E482" t="inlineStr">
        <is>
          <t>ÅNGE</t>
        </is>
      </c>
      <c r="G482" t="n">
        <v>3.8</v>
      </c>
      <c r="H482" t="n">
        <v>0</v>
      </c>
      <c r="I482" t="n">
        <v>0</v>
      </c>
      <c r="J482" t="n">
        <v>0</v>
      </c>
      <c r="K482" t="n">
        <v>0</v>
      </c>
      <c r="L482" t="n">
        <v>0</v>
      </c>
      <c r="M482" t="n">
        <v>0</v>
      </c>
      <c r="N482" t="n">
        <v>0</v>
      </c>
      <c r="O482" t="n">
        <v>0</v>
      </c>
      <c r="P482" t="n">
        <v>0</v>
      </c>
      <c r="Q482" t="n">
        <v>0</v>
      </c>
      <c r="R482" s="2" t="inlineStr"/>
    </row>
    <row r="483" ht="15" customHeight="1">
      <c r="A483" t="inlineStr">
        <is>
          <t>A 34677-2020</t>
        </is>
      </c>
      <c r="B483" s="1" t="n">
        <v>44035</v>
      </c>
      <c r="C483" s="1" t="n">
        <v>45579</v>
      </c>
      <c r="D483" t="inlineStr">
        <is>
          <t>VÄSTERNORRLANDS LÄN</t>
        </is>
      </c>
      <c r="E483" t="inlineStr">
        <is>
          <t>ÅNGE</t>
        </is>
      </c>
      <c r="G483" t="n">
        <v>6.5</v>
      </c>
      <c r="H483" t="n">
        <v>0</v>
      </c>
      <c r="I483" t="n">
        <v>0</v>
      </c>
      <c r="J483" t="n">
        <v>0</v>
      </c>
      <c r="K483" t="n">
        <v>0</v>
      </c>
      <c r="L483" t="n">
        <v>0</v>
      </c>
      <c r="M483" t="n">
        <v>0</v>
      </c>
      <c r="N483" t="n">
        <v>0</v>
      </c>
      <c r="O483" t="n">
        <v>0</v>
      </c>
      <c r="P483" t="n">
        <v>0</v>
      </c>
      <c r="Q483" t="n">
        <v>0</v>
      </c>
      <c r="R483" s="2" t="inlineStr"/>
    </row>
    <row r="484" ht="15" customHeight="1">
      <c r="A484" t="inlineStr">
        <is>
          <t>A 34777-2020</t>
        </is>
      </c>
      <c r="B484" s="1" t="n">
        <v>44035</v>
      </c>
      <c r="C484" s="1" t="n">
        <v>45579</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34928-2020</t>
        </is>
      </c>
      <c r="B485" s="1" t="n">
        <v>44036</v>
      </c>
      <c r="C485" s="1" t="n">
        <v>45579</v>
      </c>
      <c r="D485" t="inlineStr">
        <is>
          <t>VÄSTERNORRLANDS LÄN</t>
        </is>
      </c>
      <c r="E485" t="inlineStr">
        <is>
          <t>ÅNGE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34974-2020</t>
        </is>
      </c>
      <c r="B486" s="1" t="n">
        <v>44039</v>
      </c>
      <c r="C486" s="1" t="n">
        <v>45579</v>
      </c>
      <c r="D486" t="inlineStr">
        <is>
          <t>VÄSTERNORRLANDS LÄN</t>
        </is>
      </c>
      <c r="E486" t="inlineStr">
        <is>
          <t>ÅNGE</t>
        </is>
      </c>
      <c r="G486" t="n">
        <v>3.4</v>
      </c>
      <c r="H486" t="n">
        <v>0</v>
      </c>
      <c r="I486" t="n">
        <v>0</v>
      </c>
      <c r="J486" t="n">
        <v>0</v>
      </c>
      <c r="K486" t="n">
        <v>0</v>
      </c>
      <c r="L486" t="n">
        <v>0</v>
      </c>
      <c r="M486" t="n">
        <v>0</v>
      </c>
      <c r="N486" t="n">
        <v>0</v>
      </c>
      <c r="O486" t="n">
        <v>0</v>
      </c>
      <c r="P486" t="n">
        <v>0</v>
      </c>
      <c r="Q486" t="n">
        <v>0</v>
      </c>
      <c r="R486" s="2" t="inlineStr"/>
    </row>
    <row r="487" ht="15" customHeight="1">
      <c r="A487" t="inlineStr">
        <is>
          <t>A 35419-2020</t>
        </is>
      </c>
      <c r="B487" s="1" t="n">
        <v>44042</v>
      </c>
      <c r="C487" s="1" t="n">
        <v>45579</v>
      </c>
      <c r="D487" t="inlineStr">
        <is>
          <t>VÄSTERNORRLANDS LÄN</t>
        </is>
      </c>
      <c r="E487" t="inlineStr">
        <is>
          <t>ÅNGE</t>
        </is>
      </c>
      <c r="F487" t="inlineStr">
        <is>
          <t>Holmen skog AB</t>
        </is>
      </c>
      <c r="G487" t="n">
        <v>7.8</v>
      </c>
      <c r="H487" t="n">
        <v>0</v>
      </c>
      <c r="I487" t="n">
        <v>0</v>
      </c>
      <c r="J487" t="n">
        <v>0</v>
      </c>
      <c r="K487" t="n">
        <v>0</v>
      </c>
      <c r="L487" t="n">
        <v>0</v>
      </c>
      <c r="M487" t="n">
        <v>0</v>
      </c>
      <c r="N487" t="n">
        <v>0</v>
      </c>
      <c r="O487" t="n">
        <v>0</v>
      </c>
      <c r="P487" t="n">
        <v>0</v>
      </c>
      <c r="Q487" t="n">
        <v>0</v>
      </c>
      <c r="R487" s="2" t="inlineStr"/>
    </row>
    <row r="488" ht="15" customHeight="1">
      <c r="A488" t="inlineStr">
        <is>
          <t>A 38871-2020</t>
        </is>
      </c>
      <c r="B488" s="1" t="n">
        <v>44062</v>
      </c>
      <c r="C488" s="1" t="n">
        <v>45579</v>
      </c>
      <c r="D488" t="inlineStr">
        <is>
          <t>VÄSTERNORRLANDS LÄN</t>
        </is>
      </c>
      <c r="E488" t="inlineStr">
        <is>
          <t>ÅNGE</t>
        </is>
      </c>
      <c r="G488" t="n">
        <v>1.7</v>
      </c>
      <c r="H488" t="n">
        <v>0</v>
      </c>
      <c r="I488" t="n">
        <v>0</v>
      </c>
      <c r="J488" t="n">
        <v>0</v>
      </c>
      <c r="K488" t="n">
        <v>0</v>
      </c>
      <c r="L488" t="n">
        <v>0</v>
      </c>
      <c r="M488" t="n">
        <v>0</v>
      </c>
      <c r="N488" t="n">
        <v>0</v>
      </c>
      <c r="O488" t="n">
        <v>0</v>
      </c>
      <c r="P488" t="n">
        <v>0</v>
      </c>
      <c r="Q488" t="n">
        <v>0</v>
      </c>
      <c r="R488" s="2" t="inlineStr"/>
    </row>
    <row r="489" ht="15" customHeight="1">
      <c r="A489" t="inlineStr">
        <is>
          <t>A 38894-2020</t>
        </is>
      </c>
      <c r="B489" s="1" t="n">
        <v>44062</v>
      </c>
      <c r="C489" s="1" t="n">
        <v>45579</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39919-2020</t>
        </is>
      </c>
      <c r="B490" s="1" t="n">
        <v>44063</v>
      </c>
      <c r="C490" s="1" t="n">
        <v>45579</v>
      </c>
      <c r="D490" t="inlineStr">
        <is>
          <t>VÄSTERNORRLANDS LÄN</t>
        </is>
      </c>
      <c r="E490" t="inlineStr">
        <is>
          <t>ÅNGE</t>
        </is>
      </c>
      <c r="G490" t="n">
        <v>4.9</v>
      </c>
      <c r="H490" t="n">
        <v>0</v>
      </c>
      <c r="I490" t="n">
        <v>0</v>
      </c>
      <c r="J490" t="n">
        <v>0</v>
      </c>
      <c r="K490" t="n">
        <v>0</v>
      </c>
      <c r="L490" t="n">
        <v>0</v>
      </c>
      <c r="M490" t="n">
        <v>0</v>
      </c>
      <c r="N490" t="n">
        <v>0</v>
      </c>
      <c r="O490" t="n">
        <v>0</v>
      </c>
      <c r="P490" t="n">
        <v>0</v>
      </c>
      <c r="Q490" t="n">
        <v>0</v>
      </c>
      <c r="R490" s="2" t="inlineStr"/>
    </row>
    <row r="491" ht="15" customHeight="1">
      <c r="A491" t="inlineStr">
        <is>
          <t>A 39561-2020</t>
        </is>
      </c>
      <c r="B491" s="1" t="n">
        <v>44064</v>
      </c>
      <c r="C491" s="1" t="n">
        <v>45579</v>
      </c>
      <c r="D491" t="inlineStr">
        <is>
          <t>VÄSTERNORRLANDS LÄN</t>
        </is>
      </c>
      <c r="E491" t="inlineStr">
        <is>
          <t>ÅNGE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41366-2020</t>
        </is>
      </c>
      <c r="B492" s="1" t="n">
        <v>44071</v>
      </c>
      <c r="C492" s="1" t="n">
        <v>45579</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42296-2020</t>
        </is>
      </c>
      <c r="B493" s="1" t="n">
        <v>44076</v>
      </c>
      <c r="C493" s="1" t="n">
        <v>45579</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42289-2020</t>
        </is>
      </c>
      <c r="B494" s="1" t="n">
        <v>44076</v>
      </c>
      <c r="C494" s="1" t="n">
        <v>45579</v>
      </c>
      <c r="D494" t="inlineStr">
        <is>
          <t>VÄSTERNORRLANDS LÄN</t>
        </is>
      </c>
      <c r="E494" t="inlineStr">
        <is>
          <t>ÅNGE</t>
        </is>
      </c>
      <c r="G494" t="n">
        <v>16.7</v>
      </c>
      <c r="H494" t="n">
        <v>0</v>
      </c>
      <c r="I494" t="n">
        <v>0</v>
      </c>
      <c r="J494" t="n">
        <v>0</v>
      </c>
      <c r="K494" t="n">
        <v>0</v>
      </c>
      <c r="L494" t="n">
        <v>0</v>
      </c>
      <c r="M494" t="n">
        <v>0</v>
      </c>
      <c r="N494" t="n">
        <v>0</v>
      </c>
      <c r="O494" t="n">
        <v>0</v>
      </c>
      <c r="P494" t="n">
        <v>0</v>
      </c>
      <c r="Q494" t="n">
        <v>0</v>
      </c>
      <c r="R494" s="2" t="inlineStr"/>
    </row>
    <row r="495" ht="15" customHeight="1">
      <c r="A495" t="inlineStr">
        <is>
          <t>A 42299-2020</t>
        </is>
      </c>
      <c r="B495" s="1" t="n">
        <v>44076</v>
      </c>
      <c r="C495" s="1" t="n">
        <v>45579</v>
      </c>
      <c r="D495" t="inlineStr">
        <is>
          <t>VÄSTERNORRLANDS LÄN</t>
        </is>
      </c>
      <c r="E495" t="inlineStr">
        <is>
          <t>ÅNGE</t>
        </is>
      </c>
      <c r="G495" t="n">
        <v>3.6</v>
      </c>
      <c r="H495" t="n">
        <v>0</v>
      </c>
      <c r="I495" t="n">
        <v>0</v>
      </c>
      <c r="J495" t="n">
        <v>0</v>
      </c>
      <c r="K495" t="n">
        <v>0</v>
      </c>
      <c r="L495" t="n">
        <v>0</v>
      </c>
      <c r="M495" t="n">
        <v>0</v>
      </c>
      <c r="N495" t="n">
        <v>0</v>
      </c>
      <c r="O495" t="n">
        <v>0</v>
      </c>
      <c r="P495" t="n">
        <v>0</v>
      </c>
      <c r="Q495" t="n">
        <v>0</v>
      </c>
      <c r="R495" s="2" t="inlineStr"/>
    </row>
    <row r="496" ht="15" customHeight="1">
      <c r="A496" t="inlineStr">
        <is>
          <t>A 42751-2020</t>
        </is>
      </c>
      <c r="B496" s="1" t="n">
        <v>44077</v>
      </c>
      <c r="C496" s="1" t="n">
        <v>45579</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43093-2020</t>
        </is>
      </c>
      <c r="B497" s="1" t="n">
        <v>44078</v>
      </c>
      <c r="C497" s="1" t="n">
        <v>45579</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45808-2020</t>
        </is>
      </c>
      <c r="B498" s="1" t="n">
        <v>44090</v>
      </c>
      <c r="C498" s="1" t="n">
        <v>45579</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45813-2020</t>
        </is>
      </c>
      <c r="B499" s="1" t="n">
        <v>44090</v>
      </c>
      <c r="C499" s="1" t="n">
        <v>45579</v>
      </c>
      <c r="D499" t="inlineStr">
        <is>
          <t>VÄSTERNORRLANDS LÄN</t>
        </is>
      </c>
      <c r="E499" t="inlineStr">
        <is>
          <t>ÅNGE</t>
        </is>
      </c>
      <c r="G499" t="n">
        <v>0.4</v>
      </c>
      <c r="H499" t="n">
        <v>0</v>
      </c>
      <c r="I499" t="n">
        <v>0</v>
      </c>
      <c r="J499" t="n">
        <v>0</v>
      </c>
      <c r="K499" t="n">
        <v>0</v>
      </c>
      <c r="L499" t="n">
        <v>0</v>
      </c>
      <c r="M499" t="n">
        <v>0</v>
      </c>
      <c r="N499" t="n">
        <v>0</v>
      </c>
      <c r="O499" t="n">
        <v>0</v>
      </c>
      <c r="P499" t="n">
        <v>0</v>
      </c>
      <c r="Q499" t="n">
        <v>0</v>
      </c>
      <c r="R499" s="2" t="inlineStr"/>
    </row>
    <row r="500" ht="15" customHeight="1">
      <c r="A500" t="inlineStr">
        <is>
          <t>A 45812-2020</t>
        </is>
      </c>
      <c r="B500" s="1" t="n">
        <v>44090</v>
      </c>
      <c r="C500" s="1" t="n">
        <v>45579</v>
      </c>
      <c r="D500" t="inlineStr">
        <is>
          <t>VÄSTERNORRLANDS LÄN</t>
        </is>
      </c>
      <c r="E500" t="inlineStr">
        <is>
          <t>ÅNGE</t>
        </is>
      </c>
      <c r="G500" t="n">
        <v>0.1</v>
      </c>
      <c r="H500" t="n">
        <v>0</v>
      </c>
      <c r="I500" t="n">
        <v>0</v>
      </c>
      <c r="J500" t="n">
        <v>0</v>
      </c>
      <c r="K500" t="n">
        <v>0</v>
      </c>
      <c r="L500" t="n">
        <v>0</v>
      </c>
      <c r="M500" t="n">
        <v>0</v>
      </c>
      <c r="N500" t="n">
        <v>0</v>
      </c>
      <c r="O500" t="n">
        <v>0</v>
      </c>
      <c r="P500" t="n">
        <v>0</v>
      </c>
      <c r="Q500" t="n">
        <v>0</v>
      </c>
      <c r="R500" s="2" t="inlineStr"/>
    </row>
    <row r="501" ht="15" customHeight="1">
      <c r="A501" t="inlineStr">
        <is>
          <t>A 45810-2020</t>
        </is>
      </c>
      <c r="B501" s="1" t="n">
        <v>44090</v>
      </c>
      <c r="C501" s="1" t="n">
        <v>45579</v>
      </c>
      <c r="D501" t="inlineStr">
        <is>
          <t>VÄSTERNORRLANDS LÄN</t>
        </is>
      </c>
      <c r="E501" t="inlineStr">
        <is>
          <t>ÅNGE</t>
        </is>
      </c>
      <c r="G501" t="n">
        <v>0.2</v>
      </c>
      <c r="H501" t="n">
        <v>0</v>
      </c>
      <c r="I501" t="n">
        <v>0</v>
      </c>
      <c r="J501" t="n">
        <v>0</v>
      </c>
      <c r="K501" t="n">
        <v>0</v>
      </c>
      <c r="L501" t="n">
        <v>0</v>
      </c>
      <c r="M501" t="n">
        <v>0</v>
      </c>
      <c r="N501" t="n">
        <v>0</v>
      </c>
      <c r="O501" t="n">
        <v>0</v>
      </c>
      <c r="P501" t="n">
        <v>0</v>
      </c>
      <c r="Q501" t="n">
        <v>0</v>
      </c>
      <c r="R501" s="2" t="inlineStr"/>
    </row>
    <row r="502" ht="15" customHeight="1">
      <c r="A502" t="inlineStr">
        <is>
          <t>A 47041-2020</t>
        </is>
      </c>
      <c r="B502" s="1" t="n">
        <v>44091</v>
      </c>
      <c r="C502" s="1" t="n">
        <v>45579</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46518-2020</t>
        </is>
      </c>
      <c r="B503" s="1" t="n">
        <v>44095</v>
      </c>
      <c r="C503" s="1" t="n">
        <v>45579</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47411-2020</t>
        </is>
      </c>
      <c r="B504" s="1" t="n">
        <v>44095</v>
      </c>
      <c r="C504" s="1" t="n">
        <v>45579</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47127-2020</t>
        </is>
      </c>
      <c r="B505" s="1" t="n">
        <v>44096</v>
      </c>
      <c r="C505" s="1" t="n">
        <v>45579</v>
      </c>
      <c r="D505" t="inlineStr">
        <is>
          <t>VÄSTERNORRLANDS LÄN</t>
        </is>
      </c>
      <c r="E505" t="inlineStr">
        <is>
          <t>ÅNGE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48238-2020</t>
        </is>
      </c>
      <c r="B506" s="1" t="n">
        <v>44097</v>
      </c>
      <c r="C506" s="1" t="n">
        <v>45579</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48810-2020</t>
        </is>
      </c>
      <c r="B507" s="1" t="n">
        <v>44103</v>
      </c>
      <c r="C507" s="1" t="n">
        <v>45579</v>
      </c>
      <c r="D507" t="inlineStr">
        <is>
          <t>VÄSTERNORRLANDS LÄN</t>
        </is>
      </c>
      <c r="E507" t="inlineStr">
        <is>
          <t>ÅNGE</t>
        </is>
      </c>
      <c r="F507" t="inlineStr">
        <is>
          <t>SCA</t>
        </is>
      </c>
      <c r="G507" t="n">
        <v>1.8</v>
      </c>
      <c r="H507" t="n">
        <v>0</v>
      </c>
      <c r="I507" t="n">
        <v>0</v>
      </c>
      <c r="J507" t="n">
        <v>0</v>
      </c>
      <c r="K507" t="n">
        <v>0</v>
      </c>
      <c r="L507" t="n">
        <v>0</v>
      </c>
      <c r="M507" t="n">
        <v>0</v>
      </c>
      <c r="N507" t="n">
        <v>0</v>
      </c>
      <c r="O507" t="n">
        <v>0</v>
      </c>
      <c r="P507" t="n">
        <v>0</v>
      </c>
      <c r="Q507" t="n">
        <v>0</v>
      </c>
      <c r="R507" s="2" t="inlineStr"/>
      <c r="U507">
        <f>HYPERLINK("https://klasma.github.io/Logging_2260/knärot/A 48810-2020 karta knärot.png", "A 48810-2020")</f>
        <v/>
      </c>
      <c r="V507">
        <f>HYPERLINK("https://klasma.github.io/Logging_2260/klagomål/A 48810-2020 FSC-klagomål.docx", "A 48810-2020")</f>
        <v/>
      </c>
      <c r="W507">
        <f>HYPERLINK("https://klasma.github.io/Logging_2260/klagomålsmail/A 48810-2020 FSC-klagomål mail.docx", "A 48810-2020")</f>
        <v/>
      </c>
      <c r="X507">
        <f>HYPERLINK("https://klasma.github.io/Logging_2260/tillsyn/A 48810-2020 tillsynsbegäran.docx", "A 48810-2020")</f>
        <v/>
      </c>
      <c r="Y507">
        <f>HYPERLINK("https://klasma.github.io/Logging_2260/tillsynsmail/A 48810-2020 tillsynsbegäran mail.docx", "A 48810-2020")</f>
        <v/>
      </c>
    </row>
    <row r="508" ht="15" customHeight="1">
      <c r="A508" t="inlineStr">
        <is>
          <t>A 49343-2020</t>
        </is>
      </c>
      <c r="B508" s="1" t="n">
        <v>44105</v>
      </c>
      <c r="C508" s="1" t="n">
        <v>45579</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49346-2020</t>
        </is>
      </c>
      <c r="B509" s="1" t="n">
        <v>44105</v>
      </c>
      <c r="C509" s="1" t="n">
        <v>45579</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49656-2020</t>
        </is>
      </c>
      <c r="B510" s="1" t="n">
        <v>44106</v>
      </c>
      <c r="C510" s="1" t="n">
        <v>45579</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49838-2020</t>
        </is>
      </c>
      <c r="B511" s="1" t="n">
        <v>44106</v>
      </c>
      <c r="C511" s="1" t="n">
        <v>45579</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50265-2020</t>
        </is>
      </c>
      <c r="B512" s="1" t="n">
        <v>44109</v>
      </c>
      <c r="C512" s="1" t="n">
        <v>45579</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50259-2020</t>
        </is>
      </c>
      <c r="B513" s="1" t="n">
        <v>44109</v>
      </c>
      <c r="C513" s="1" t="n">
        <v>45579</v>
      </c>
      <c r="D513" t="inlineStr">
        <is>
          <t>VÄSTERNORRLANDS LÄN</t>
        </is>
      </c>
      <c r="E513" t="inlineStr">
        <is>
          <t>ÅNGE</t>
        </is>
      </c>
      <c r="G513" t="n">
        <v>5.1</v>
      </c>
      <c r="H513" t="n">
        <v>0</v>
      </c>
      <c r="I513" t="n">
        <v>0</v>
      </c>
      <c r="J513" t="n">
        <v>0</v>
      </c>
      <c r="K513" t="n">
        <v>0</v>
      </c>
      <c r="L513" t="n">
        <v>0</v>
      </c>
      <c r="M513" t="n">
        <v>0</v>
      </c>
      <c r="N513" t="n">
        <v>0</v>
      </c>
      <c r="O513" t="n">
        <v>0</v>
      </c>
      <c r="P513" t="n">
        <v>0</v>
      </c>
      <c r="Q513" t="n">
        <v>0</v>
      </c>
      <c r="R513" s="2" t="inlineStr"/>
    </row>
    <row r="514" ht="15" customHeight="1">
      <c r="A514" t="inlineStr">
        <is>
          <t>A 50260-2020</t>
        </is>
      </c>
      <c r="B514" s="1" t="n">
        <v>44109</v>
      </c>
      <c r="C514" s="1" t="n">
        <v>45579</v>
      </c>
      <c r="D514" t="inlineStr">
        <is>
          <t>VÄSTERNORRLANDS LÄN</t>
        </is>
      </c>
      <c r="E514" t="inlineStr">
        <is>
          <t>ÅNGE</t>
        </is>
      </c>
      <c r="G514" t="n">
        <v>3.9</v>
      </c>
      <c r="H514" t="n">
        <v>0</v>
      </c>
      <c r="I514" t="n">
        <v>0</v>
      </c>
      <c r="J514" t="n">
        <v>0</v>
      </c>
      <c r="K514" t="n">
        <v>0</v>
      </c>
      <c r="L514" t="n">
        <v>0</v>
      </c>
      <c r="M514" t="n">
        <v>0</v>
      </c>
      <c r="N514" t="n">
        <v>0</v>
      </c>
      <c r="O514" t="n">
        <v>0</v>
      </c>
      <c r="P514" t="n">
        <v>0</v>
      </c>
      <c r="Q514" t="n">
        <v>0</v>
      </c>
      <c r="R514" s="2" t="inlineStr"/>
    </row>
    <row r="515" ht="15" customHeight="1">
      <c r="A515" t="inlineStr">
        <is>
          <t>A 50258-2020</t>
        </is>
      </c>
      <c r="B515" s="1" t="n">
        <v>44109</v>
      </c>
      <c r="C515" s="1" t="n">
        <v>45579</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50268-2020</t>
        </is>
      </c>
      <c r="B516" s="1" t="n">
        <v>44109</v>
      </c>
      <c r="C516" s="1" t="n">
        <v>45579</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52232-2020</t>
        </is>
      </c>
      <c r="B517" s="1" t="n">
        <v>44111</v>
      </c>
      <c r="C517" s="1" t="n">
        <v>45579</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51610-2020</t>
        </is>
      </c>
      <c r="B518" s="1" t="n">
        <v>44113</v>
      </c>
      <c r="C518" s="1" t="n">
        <v>45579</v>
      </c>
      <c r="D518" t="inlineStr">
        <is>
          <t>VÄSTERNORRLANDS LÄN</t>
        </is>
      </c>
      <c r="E518" t="inlineStr">
        <is>
          <t>ÅNGE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52504-2020</t>
        </is>
      </c>
      <c r="B519" s="1" t="n">
        <v>44113</v>
      </c>
      <c r="C519" s="1" t="n">
        <v>45579</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51755-2020</t>
        </is>
      </c>
      <c r="B520" s="1" t="n">
        <v>44114</v>
      </c>
      <c r="C520" s="1" t="n">
        <v>45579</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52637-2020</t>
        </is>
      </c>
      <c r="B521" s="1" t="n">
        <v>44118</v>
      </c>
      <c r="C521" s="1" t="n">
        <v>45579</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52629-2020</t>
        </is>
      </c>
      <c r="B522" s="1" t="n">
        <v>44118</v>
      </c>
      <c r="C522" s="1" t="n">
        <v>45579</v>
      </c>
      <c r="D522" t="inlineStr">
        <is>
          <t>VÄSTERNORRLANDS LÄN</t>
        </is>
      </c>
      <c r="E522" t="inlineStr">
        <is>
          <t>ÅNGE</t>
        </is>
      </c>
      <c r="G522" t="n">
        <v>2.4</v>
      </c>
      <c r="H522" t="n">
        <v>0</v>
      </c>
      <c r="I522" t="n">
        <v>0</v>
      </c>
      <c r="J522" t="n">
        <v>0</v>
      </c>
      <c r="K522" t="n">
        <v>0</v>
      </c>
      <c r="L522" t="n">
        <v>0</v>
      </c>
      <c r="M522" t="n">
        <v>0</v>
      </c>
      <c r="N522" t="n">
        <v>0</v>
      </c>
      <c r="O522" t="n">
        <v>0</v>
      </c>
      <c r="P522" t="n">
        <v>0</v>
      </c>
      <c r="Q522" t="n">
        <v>0</v>
      </c>
      <c r="R522" s="2" t="inlineStr"/>
    </row>
    <row r="523" ht="15" customHeight="1">
      <c r="A523" t="inlineStr">
        <is>
          <t>A 52633-2020</t>
        </is>
      </c>
      <c r="B523" s="1" t="n">
        <v>44118</v>
      </c>
      <c r="C523" s="1" t="n">
        <v>45579</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52627-2020</t>
        </is>
      </c>
      <c r="B524" s="1" t="n">
        <v>44118</v>
      </c>
      <c r="C524" s="1" t="n">
        <v>45579</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53171-2020</t>
        </is>
      </c>
      <c r="B525" s="1" t="n">
        <v>44120</v>
      </c>
      <c r="C525" s="1" t="n">
        <v>45579</v>
      </c>
      <c r="D525" t="inlineStr">
        <is>
          <t>VÄSTERNORRLANDS LÄN</t>
        </is>
      </c>
      <c r="E525" t="inlineStr">
        <is>
          <t>ÅNGE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53173-2020</t>
        </is>
      </c>
      <c r="B526" s="1" t="n">
        <v>44120</v>
      </c>
      <c r="C526" s="1" t="n">
        <v>45579</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53170-2020</t>
        </is>
      </c>
      <c r="B527" s="1" t="n">
        <v>44120</v>
      </c>
      <c r="C527" s="1" t="n">
        <v>45579</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53175-2020</t>
        </is>
      </c>
      <c r="B528" s="1" t="n">
        <v>44120</v>
      </c>
      <c r="C528" s="1" t="n">
        <v>45579</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53174-2020</t>
        </is>
      </c>
      <c r="B529" s="1" t="n">
        <v>44120</v>
      </c>
      <c r="C529" s="1" t="n">
        <v>45579</v>
      </c>
      <c r="D529" t="inlineStr">
        <is>
          <t>VÄSTERNORRLANDS LÄN</t>
        </is>
      </c>
      <c r="E529" t="inlineStr">
        <is>
          <t>ÅNGE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53474-2020</t>
        </is>
      </c>
      <c r="B530" s="1" t="n">
        <v>44123</v>
      </c>
      <c r="C530" s="1" t="n">
        <v>45579</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53660-2020</t>
        </is>
      </c>
      <c r="B531" s="1" t="n">
        <v>44124</v>
      </c>
      <c r="C531" s="1" t="n">
        <v>45579</v>
      </c>
      <c r="D531" t="inlineStr">
        <is>
          <t>VÄSTERNORRLANDS LÄN</t>
        </is>
      </c>
      <c r="E531" t="inlineStr">
        <is>
          <t>ÅNGE</t>
        </is>
      </c>
      <c r="G531" t="n">
        <v>5.4</v>
      </c>
      <c r="H531" t="n">
        <v>0</v>
      </c>
      <c r="I531" t="n">
        <v>0</v>
      </c>
      <c r="J531" t="n">
        <v>0</v>
      </c>
      <c r="K531" t="n">
        <v>0</v>
      </c>
      <c r="L531" t="n">
        <v>0</v>
      </c>
      <c r="M531" t="n">
        <v>0</v>
      </c>
      <c r="N531" t="n">
        <v>0</v>
      </c>
      <c r="O531" t="n">
        <v>0</v>
      </c>
      <c r="P531" t="n">
        <v>0</v>
      </c>
      <c r="Q531" t="n">
        <v>0</v>
      </c>
      <c r="R531" s="2" t="inlineStr"/>
    </row>
    <row r="532" ht="15" customHeight="1">
      <c r="A532" t="inlineStr">
        <is>
          <t>A 53661-2020</t>
        </is>
      </c>
      <c r="B532" s="1" t="n">
        <v>44124</v>
      </c>
      <c r="C532" s="1" t="n">
        <v>45579</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53962-2020</t>
        </is>
      </c>
      <c r="B533" s="1" t="n">
        <v>44125</v>
      </c>
      <c r="C533" s="1" t="n">
        <v>45579</v>
      </c>
      <c r="D533" t="inlineStr">
        <is>
          <t>VÄSTERNORRLANDS LÄN</t>
        </is>
      </c>
      <c r="E533" t="inlineStr">
        <is>
          <t>ÅNGE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54471-2020</t>
        </is>
      </c>
      <c r="B534" s="1" t="n">
        <v>44126</v>
      </c>
      <c r="C534" s="1" t="n">
        <v>45579</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45579</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55317-2020</t>
        </is>
      </c>
      <c r="B536" s="1" t="n">
        <v>44130</v>
      </c>
      <c r="C536" s="1" t="n">
        <v>45579</v>
      </c>
      <c r="D536" t="inlineStr">
        <is>
          <t>VÄSTERNORRLANDS LÄN</t>
        </is>
      </c>
      <c r="E536" t="inlineStr">
        <is>
          <t>ÅNGE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57111-2020</t>
        </is>
      </c>
      <c r="B537" s="1" t="n">
        <v>44139</v>
      </c>
      <c r="C537" s="1" t="n">
        <v>45579</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59222-2020</t>
        </is>
      </c>
      <c r="B538" s="1" t="n">
        <v>44147</v>
      </c>
      <c r="C538" s="1" t="n">
        <v>45579</v>
      </c>
      <c r="D538" t="inlineStr">
        <is>
          <t>VÄSTERNORRLANDS LÄN</t>
        </is>
      </c>
      <c r="E538" t="inlineStr">
        <is>
          <t>ÅNGE</t>
        </is>
      </c>
      <c r="G538" t="n">
        <v>7.6</v>
      </c>
      <c r="H538" t="n">
        <v>0</v>
      </c>
      <c r="I538" t="n">
        <v>0</v>
      </c>
      <c r="J538" t="n">
        <v>0</v>
      </c>
      <c r="K538" t="n">
        <v>0</v>
      </c>
      <c r="L538" t="n">
        <v>0</v>
      </c>
      <c r="M538" t="n">
        <v>0</v>
      </c>
      <c r="N538" t="n">
        <v>0</v>
      </c>
      <c r="O538" t="n">
        <v>0</v>
      </c>
      <c r="P538" t="n">
        <v>0</v>
      </c>
      <c r="Q538" t="n">
        <v>0</v>
      </c>
      <c r="R538" s="2" t="inlineStr"/>
    </row>
    <row r="539" ht="15" customHeight="1">
      <c r="A539" t="inlineStr">
        <is>
          <t>A 60064-2020</t>
        </is>
      </c>
      <c r="B539" s="1" t="n">
        <v>44151</v>
      </c>
      <c r="C539" s="1" t="n">
        <v>45579</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60401-2020</t>
        </is>
      </c>
      <c r="B540" s="1" t="n">
        <v>44152</v>
      </c>
      <c r="C540" s="1" t="n">
        <v>45579</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62640-2020</t>
        </is>
      </c>
      <c r="B541" s="1" t="n">
        <v>44161</v>
      </c>
      <c r="C541" s="1" t="n">
        <v>45579</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63497-2020</t>
        </is>
      </c>
      <c r="B542" s="1" t="n">
        <v>44161</v>
      </c>
      <c r="C542" s="1" t="n">
        <v>45579</v>
      </c>
      <c r="D542" t="inlineStr">
        <is>
          <t>VÄSTERNORRLANDS LÄN</t>
        </is>
      </c>
      <c r="E542" t="inlineStr">
        <is>
          <t>ÅNGE</t>
        </is>
      </c>
      <c r="G542" t="n">
        <v>6.9</v>
      </c>
      <c r="H542" t="n">
        <v>0</v>
      </c>
      <c r="I542" t="n">
        <v>0</v>
      </c>
      <c r="J542" t="n">
        <v>0</v>
      </c>
      <c r="K542" t="n">
        <v>0</v>
      </c>
      <c r="L542" t="n">
        <v>0</v>
      </c>
      <c r="M542" t="n">
        <v>0</v>
      </c>
      <c r="N542" t="n">
        <v>0</v>
      </c>
      <c r="O542" t="n">
        <v>0</v>
      </c>
      <c r="P542" t="n">
        <v>0</v>
      </c>
      <c r="Q542" t="n">
        <v>0</v>
      </c>
      <c r="R542" s="2" t="inlineStr"/>
    </row>
    <row r="543" ht="15" customHeight="1">
      <c r="A543" t="inlineStr">
        <is>
          <t>A 64612-2020</t>
        </is>
      </c>
      <c r="B543" s="1" t="n">
        <v>44169</v>
      </c>
      <c r="C543" s="1" t="n">
        <v>45579</v>
      </c>
      <c r="D543" t="inlineStr">
        <is>
          <t>VÄSTERNORRLANDS LÄN</t>
        </is>
      </c>
      <c r="E543" t="inlineStr">
        <is>
          <t>ÅNGE</t>
        </is>
      </c>
      <c r="G543" t="n">
        <v>2</v>
      </c>
      <c r="H543" t="n">
        <v>0</v>
      </c>
      <c r="I543" t="n">
        <v>0</v>
      </c>
      <c r="J543" t="n">
        <v>0</v>
      </c>
      <c r="K543" t="n">
        <v>0</v>
      </c>
      <c r="L543" t="n">
        <v>0</v>
      </c>
      <c r="M543" t="n">
        <v>0</v>
      </c>
      <c r="N543" t="n">
        <v>0</v>
      </c>
      <c r="O543" t="n">
        <v>0</v>
      </c>
      <c r="P543" t="n">
        <v>0</v>
      </c>
      <c r="Q543" t="n">
        <v>0</v>
      </c>
      <c r="R543" s="2" t="inlineStr"/>
    </row>
    <row r="544" ht="15" customHeight="1">
      <c r="A544" t="inlineStr">
        <is>
          <t>A 65277-2020</t>
        </is>
      </c>
      <c r="B544" s="1" t="n">
        <v>44172</v>
      </c>
      <c r="C544" s="1" t="n">
        <v>45579</v>
      </c>
      <c r="D544" t="inlineStr">
        <is>
          <t>VÄSTERNORRLANDS LÄN</t>
        </is>
      </c>
      <c r="E544" t="inlineStr">
        <is>
          <t>ÅNGE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65149-2020</t>
        </is>
      </c>
      <c r="B545" s="1" t="n">
        <v>44172</v>
      </c>
      <c r="C545" s="1" t="n">
        <v>45579</v>
      </c>
      <c r="D545" t="inlineStr">
        <is>
          <t>VÄSTERNORRLANDS LÄN</t>
        </is>
      </c>
      <c r="E545" t="inlineStr">
        <is>
          <t>ÅNGE</t>
        </is>
      </c>
      <c r="G545" t="n">
        <v>9.5</v>
      </c>
      <c r="H545" t="n">
        <v>0</v>
      </c>
      <c r="I545" t="n">
        <v>0</v>
      </c>
      <c r="J545" t="n">
        <v>0</v>
      </c>
      <c r="K545" t="n">
        <v>0</v>
      </c>
      <c r="L545" t="n">
        <v>0</v>
      </c>
      <c r="M545" t="n">
        <v>0</v>
      </c>
      <c r="N545" t="n">
        <v>0</v>
      </c>
      <c r="O545" t="n">
        <v>0</v>
      </c>
      <c r="P545" t="n">
        <v>0</v>
      </c>
      <c r="Q545" t="n">
        <v>0</v>
      </c>
      <c r="R545" s="2" t="inlineStr"/>
    </row>
    <row r="546" ht="15" customHeight="1">
      <c r="A546" t="inlineStr">
        <is>
          <t>A 65272-2020</t>
        </is>
      </c>
      <c r="B546" s="1" t="n">
        <v>44172</v>
      </c>
      <c r="C546" s="1" t="n">
        <v>45579</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65280-2020</t>
        </is>
      </c>
      <c r="B547" s="1" t="n">
        <v>44172</v>
      </c>
      <c r="C547" s="1" t="n">
        <v>45579</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65594-2020</t>
        </is>
      </c>
      <c r="B548" s="1" t="n">
        <v>44173</v>
      </c>
      <c r="C548" s="1" t="n">
        <v>45579</v>
      </c>
      <c r="D548" t="inlineStr">
        <is>
          <t>VÄSTERNORRLANDS LÄN</t>
        </is>
      </c>
      <c r="E548" t="inlineStr">
        <is>
          <t>ÅNGE</t>
        </is>
      </c>
      <c r="G548" t="n">
        <v>5.9</v>
      </c>
      <c r="H548" t="n">
        <v>0</v>
      </c>
      <c r="I548" t="n">
        <v>0</v>
      </c>
      <c r="J548" t="n">
        <v>0</v>
      </c>
      <c r="K548" t="n">
        <v>0</v>
      </c>
      <c r="L548" t="n">
        <v>0</v>
      </c>
      <c r="M548" t="n">
        <v>0</v>
      </c>
      <c r="N548" t="n">
        <v>0</v>
      </c>
      <c r="O548" t="n">
        <v>0</v>
      </c>
      <c r="P548" t="n">
        <v>0</v>
      </c>
      <c r="Q548" t="n">
        <v>0</v>
      </c>
      <c r="R548" s="2" t="inlineStr"/>
    </row>
    <row r="549" ht="15" customHeight="1">
      <c r="A549" t="inlineStr">
        <is>
          <t>A 65593-2020</t>
        </is>
      </c>
      <c r="B549" s="1" t="n">
        <v>44173</v>
      </c>
      <c r="C549" s="1" t="n">
        <v>45579</v>
      </c>
      <c r="D549" t="inlineStr">
        <is>
          <t>VÄSTERNORRLANDS LÄN</t>
        </is>
      </c>
      <c r="E549" t="inlineStr">
        <is>
          <t>ÅNGE</t>
        </is>
      </c>
      <c r="G549" t="n">
        <v>4</v>
      </c>
      <c r="H549" t="n">
        <v>0</v>
      </c>
      <c r="I549" t="n">
        <v>0</v>
      </c>
      <c r="J549" t="n">
        <v>0</v>
      </c>
      <c r="K549" t="n">
        <v>0</v>
      </c>
      <c r="L549" t="n">
        <v>0</v>
      </c>
      <c r="M549" t="n">
        <v>0</v>
      </c>
      <c r="N549" t="n">
        <v>0</v>
      </c>
      <c r="O549" t="n">
        <v>0</v>
      </c>
      <c r="P549" t="n">
        <v>0</v>
      </c>
      <c r="Q549" t="n">
        <v>0</v>
      </c>
      <c r="R549" s="2" t="inlineStr"/>
    </row>
    <row r="550" ht="15" customHeight="1">
      <c r="A550" t="inlineStr">
        <is>
          <t>A 65770-2020</t>
        </is>
      </c>
      <c r="B550" s="1" t="n">
        <v>44174</v>
      </c>
      <c r="C550" s="1" t="n">
        <v>45579</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66601-2020</t>
        </is>
      </c>
      <c r="B551" s="1" t="n">
        <v>44175</v>
      </c>
      <c r="C551" s="1" t="n">
        <v>45579</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68378-2020</t>
        </is>
      </c>
      <c r="B552" s="1" t="n">
        <v>44186</v>
      </c>
      <c r="C552" s="1" t="n">
        <v>45579</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68715-2020</t>
        </is>
      </c>
      <c r="B553" s="1" t="n">
        <v>44187</v>
      </c>
      <c r="C553" s="1" t="n">
        <v>45579</v>
      </c>
      <c r="D553" t="inlineStr">
        <is>
          <t>VÄSTERNORRLANDS LÄN</t>
        </is>
      </c>
      <c r="E553" t="inlineStr">
        <is>
          <t>ÅNGE</t>
        </is>
      </c>
      <c r="G553" t="n">
        <v>19.1</v>
      </c>
      <c r="H553" t="n">
        <v>0</v>
      </c>
      <c r="I553" t="n">
        <v>0</v>
      </c>
      <c r="J553" t="n">
        <v>0</v>
      </c>
      <c r="K553" t="n">
        <v>0</v>
      </c>
      <c r="L553" t="n">
        <v>0</v>
      </c>
      <c r="M553" t="n">
        <v>0</v>
      </c>
      <c r="N553" t="n">
        <v>0</v>
      </c>
      <c r="O553" t="n">
        <v>0</v>
      </c>
      <c r="P553" t="n">
        <v>0</v>
      </c>
      <c r="Q553" t="n">
        <v>0</v>
      </c>
      <c r="R553" s="2" t="inlineStr"/>
    </row>
    <row r="554" ht="15" customHeight="1">
      <c r="A554" t="inlineStr">
        <is>
          <t>A 68812-2020</t>
        </is>
      </c>
      <c r="B554" s="1" t="n">
        <v>44187</v>
      </c>
      <c r="C554" s="1" t="n">
        <v>45579</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69271-2020</t>
        </is>
      </c>
      <c r="B555" s="1" t="n">
        <v>44193</v>
      </c>
      <c r="C555" s="1" t="n">
        <v>45579</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2327-2021</t>
        </is>
      </c>
      <c r="B556" s="1" t="n">
        <v>44214</v>
      </c>
      <c r="C556" s="1" t="n">
        <v>45579</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3352-2021</t>
        </is>
      </c>
      <c r="B557" s="1" t="n">
        <v>44217</v>
      </c>
      <c r="C557" s="1" t="n">
        <v>45579</v>
      </c>
      <c r="D557" t="inlineStr">
        <is>
          <t>VÄSTERNORRLANDS LÄN</t>
        </is>
      </c>
      <c r="E557" t="inlineStr">
        <is>
          <t>ÅNGE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5822-2021</t>
        </is>
      </c>
      <c r="B558" s="1" t="n">
        <v>44230</v>
      </c>
      <c r="C558" s="1" t="n">
        <v>45579</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6487-2021</t>
        </is>
      </c>
      <c r="B559" s="1" t="n">
        <v>44235</v>
      </c>
      <c r="C559" s="1" t="n">
        <v>45579</v>
      </c>
      <c r="D559" t="inlineStr">
        <is>
          <t>VÄSTERNORRLANDS LÄN</t>
        </is>
      </c>
      <c r="E559" t="inlineStr">
        <is>
          <t>ÅNGE</t>
        </is>
      </c>
      <c r="G559" t="n">
        <v>2.1</v>
      </c>
      <c r="H559" t="n">
        <v>0</v>
      </c>
      <c r="I559" t="n">
        <v>0</v>
      </c>
      <c r="J559" t="n">
        <v>0</v>
      </c>
      <c r="K559" t="n">
        <v>0</v>
      </c>
      <c r="L559" t="n">
        <v>0</v>
      </c>
      <c r="M559" t="n">
        <v>0</v>
      </c>
      <c r="N559" t="n">
        <v>0</v>
      </c>
      <c r="O559" t="n">
        <v>0</v>
      </c>
      <c r="P559" t="n">
        <v>0</v>
      </c>
      <c r="Q559" t="n">
        <v>0</v>
      </c>
      <c r="R559" s="2" t="inlineStr"/>
    </row>
    <row r="560" ht="15" customHeight="1">
      <c r="A560" t="inlineStr">
        <is>
          <t>A 6805-2021</t>
        </is>
      </c>
      <c r="B560" s="1" t="n">
        <v>44236</v>
      </c>
      <c r="C560" s="1" t="n">
        <v>45579</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8057-2021</t>
        </is>
      </c>
      <c r="B561" s="1" t="n">
        <v>44238</v>
      </c>
      <c r="C561" s="1" t="n">
        <v>45579</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7857-2021</t>
        </is>
      </c>
      <c r="B562" s="1" t="n">
        <v>44242</v>
      </c>
      <c r="C562" s="1" t="n">
        <v>45579</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9619-2021</t>
        </is>
      </c>
      <c r="B563" s="1" t="n">
        <v>44251</v>
      </c>
      <c r="C563" s="1" t="n">
        <v>45579</v>
      </c>
      <c r="D563" t="inlineStr">
        <is>
          <t>VÄSTERNORRLANDS LÄN</t>
        </is>
      </c>
      <c r="E563" t="inlineStr">
        <is>
          <t>ÅNGE</t>
        </is>
      </c>
      <c r="G563" t="n">
        <v>10.4</v>
      </c>
      <c r="H563" t="n">
        <v>0</v>
      </c>
      <c r="I563" t="n">
        <v>0</v>
      </c>
      <c r="J563" t="n">
        <v>0</v>
      </c>
      <c r="K563" t="n">
        <v>0</v>
      </c>
      <c r="L563" t="n">
        <v>0</v>
      </c>
      <c r="M563" t="n">
        <v>0</v>
      </c>
      <c r="N563" t="n">
        <v>0</v>
      </c>
      <c r="O563" t="n">
        <v>0</v>
      </c>
      <c r="P563" t="n">
        <v>0</v>
      </c>
      <c r="Q563" t="n">
        <v>0</v>
      </c>
      <c r="R563" s="2" t="inlineStr"/>
    </row>
    <row r="564" ht="15" customHeight="1">
      <c r="A564" t="inlineStr">
        <is>
          <t>A 10342-2021</t>
        </is>
      </c>
      <c r="B564" s="1" t="n">
        <v>44257</v>
      </c>
      <c r="C564" s="1" t="n">
        <v>45579</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11763-2021</t>
        </is>
      </c>
      <c r="B565" s="1" t="n">
        <v>44265</v>
      </c>
      <c r="C565" s="1" t="n">
        <v>45579</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12799-2021</t>
        </is>
      </c>
      <c r="B566" s="1" t="n">
        <v>44270</v>
      </c>
      <c r="C566" s="1" t="n">
        <v>45579</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12800-2021</t>
        </is>
      </c>
      <c r="B567" s="1" t="n">
        <v>44270</v>
      </c>
      <c r="C567" s="1" t="n">
        <v>45579</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13149-2021</t>
        </is>
      </c>
      <c r="B568" s="1" t="n">
        <v>44272</v>
      </c>
      <c r="C568" s="1" t="n">
        <v>45579</v>
      </c>
      <c r="D568" t="inlineStr">
        <is>
          <t>VÄSTERNORRLANDS LÄN</t>
        </is>
      </c>
      <c r="E568" t="inlineStr">
        <is>
          <t>ÅNGE</t>
        </is>
      </c>
      <c r="G568" t="n">
        <v>3.4</v>
      </c>
      <c r="H568" t="n">
        <v>0</v>
      </c>
      <c r="I568" t="n">
        <v>0</v>
      </c>
      <c r="J568" t="n">
        <v>0</v>
      </c>
      <c r="K568" t="n">
        <v>0</v>
      </c>
      <c r="L568" t="n">
        <v>0</v>
      </c>
      <c r="M568" t="n">
        <v>0</v>
      </c>
      <c r="N568" t="n">
        <v>0</v>
      </c>
      <c r="O568" t="n">
        <v>0</v>
      </c>
      <c r="P568" t="n">
        <v>0</v>
      </c>
      <c r="Q568" t="n">
        <v>0</v>
      </c>
      <c r="R568" s="2" t="inlineStr"/>
    </row>
    <row r="569" ht="15" customHeight="1">
      <c r="A569" t="inlineStr">
        <is>
          <t>A 13501-2021</t>
        </is>
      </c>
      <c r="B569" s="1" t="n">
        <v>44273</v>
      </c>
      <c r="C569" s="1" t="n">
        <v>45579</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13510-2021</t>
        </is>
      </c>
      <c r="B570" s="1" t="n">
        <v>44273</v>
      </c>
      <c r="C570" s="1" t="n">
        <v>45579</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13522-2021</t>
        </is>
      </c>
      <c r="B571" s="1" t="n">
        <v>44273</v>
      </c>
      <c r="C571" s="1" t="n">
        <v>45579</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13479-2021</t>
        </is>
      </c>
      <c r="B572" s="1" t="n">
        <v>44273</v>
      </c>
      <c r="C572" s="1" t="n">
        <v>45579</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13792-2021</t>
        </is>
      </c>
      <c r="B573" s="1" t="n">
        <v>44274</v>
      </c>
      <c r="C573" s="1" t="n">
        <v>45579</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14587-2021</t>
        </is>
      </c>
      <c r="B574" s="1" t="n">
        <v>44279</v>
      </c>
      <c r="C574" s="1" t="n">
        <v>45579</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14812-2021</t>
        </is>
      </c>
      <c r="B575" s="1" t="n">
        <v>44280</v>
      </c>
      <c r="C575" s="1" t="n">
        <v>45579</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16389-2021</t>
        </is>
      </c>
      <c r="B576" s="1" t="n">
        <v>44293</v>
      </c>
      <c r="C576" s="1" t="n">
        <v>45579</v>
      </c>
      <c r="D576" t="inlineStr">
        <is>
          <t>VÄSTERNORRLANDS LÄN</t>
        </is>
      </c>
      <c r="E576" t="inlineStr">
        <is>
          <t>ÅNGE</t>
        </is>
      </c>
      <c r="G576" t="n">
        <v>16.9</v>
      </c>
      <c r="H576" t="n">
        <v>0</v>
      </c>
      <c r="I576" t="n">
        <v>0</v>
      </c>
      <c r="J576" t="n">
        <v>0</v>
      </c>
      <c r="K576" t="n">
        <v>0</v>
      </c>
      <c r="L576" t="n">
        <v>0</v>
      </c>
      <c r="M576" t="n">
        <v>0</v>
      </c>
      <c r="N576" t="n">
        <v>0</v>
      </c>
      <c r="O576" t="n">
        <v>0</v>
      </c>
      <c r="P576" t="n">
        <v>0</v>
      </c>
      <c r="Q576" t="n">
        <v>0</v>
      </c>
      <c r="R576" s="2" t="inlineStr"/>
    </row>
    <row r="577" ht="15" customHeight="1">
      <c r="A577" t="inlineStr">
        <is>
          <t>A 17594-2021</t>
        </is>
      </c>
      <c r="B577" s="1" t="n">
        <v>44299</v>
      </c>
      <c r="C577" s="1" t="n">
        <v>45579</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17844-2021</t>
        </is>
      </c>
      <c r="B578" s="1" t="n">
        <v>44301</v>
      </c>
      <c r="C578" s="1" t="n">
        <v>45579</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18368-2021</t>
        </is>
      </c>
      <c r="B579" s="1" t="n">
        <v>44305</v>
      </c>
      <c r="C579" s="1" t="n">
        <v>45579</v>
      </c>
      <c r="D579" t="inlineStr">
        <is>
          <t>VÄSTERNORRLANDS LÄN</t>
        </is>
      </c>
      <c r="E579" t="inlineStr">
        <is>
          <t>ÅNGE</t>
        </is>
      </c>
      <c r="G579" t="n">
        <v>7.8</v>
      </c>
      <c r="H579" t="n">
        <v>0</v>
      </c>
      <c r="I579" t="n">
        <v>0</v>
      </c>
      <c r="J579" t="n">
        <v>0</v>
      </c>
      <c r="K579" t="n">
        <v>0</v>
      </c>
      <c r="L579" t="n">
        <v>0</v>
      </c>
      <c r="M579" t="n">
        <v>0</v>
      </c>
      <c r="N579" t="n">
        <v>0</v>
      </c>
      <c r="O579" t="n">
        <v>0</v>
      </c>
      <c r="P579" t="n">
        <v>0</v>
      </c>
      <c r="Q579" t="n">
        <v>0</v>
      </c>
      <c r="R579" s="2" t="inlineStr"/>
    </row>
    <row r="580" ht="15" customHeight="1">
      <c r="A580" t="inlineStr">
        <is>
          <t>A 18379-2021</t>
        </is>
      </c>
      <c r="B580" s="1" t="n">
        <v>44305</v>
      </c>
      <c r="C580" s="1" t="n">
        <v>45579</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18422-2021</t>
        </is>
      </c>
      <c r="B581" s="1" t="n">
        <v>44305</v>
      </c>
      <c r="C581" s="1" t="n">
        <v>45579</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19102-2021</t>
        </is>
      </c>
      <c r="B582" s="1" t="n">
        <v>44308</v>
      </c>
      <c r="C582" s="1" t="n">
        <v>45579</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20354-2021</t>
        </is>
      </c>
      <c r="B583" s="1" t="n">
        <v>44312</v>
      </c>
      <c r="C583" s="1" t="n">
        <v>45579</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19970-2021</t>
        </is>
      </c>
      <c r="B584" s="1" t="n">
        <v>44313</v>
      </c>
      <c r="C584" s="1" t="n">
        <v>45579</v>
      </c>
      <c r="D584" t="inlineStr">
        <is>
          <t>VÄSTERNORRLANDS LÄN</t>
        </is>
      </c>
      <c r="E584" t="inlineStr">
        <is>
          <t>ÅNGE</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20576-2021</t>
        </is>
      </c>
      <c r="B585" s="1" t="n">
        <v>44316</v>
      </c>
      <c r="C585" s="1" t="n">
        <v>45579</v>
      </c>
      <c r="D585" t="inlineStr">
        <is>
          <t>VÄSTERNORRLANDS LÄN</t>
        </is>
      </c>
      <c r="E585" t="inlineStr">
        <is>
          <t>ÅNGE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20807-2021</t>
        </is>
      </c>
      <c r="B586" s="1" t="n">
        <v>44317</v>
      </c>
      <c r="C586" s="1" t="n">
        <v>45579</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21189-2021</t>
        </is>
      </c>
      <c r="B587" s="1" t="n">
        <v>44320</v>
      </c>
      <c r="C587" s="1" t="n">
        <v>45579</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21642-2021</t>
        </is>
      </c>
      <c r="B588" s="1" t="n">
        <v>44322</v>
      </c>
      <c r="C588" s="1" t="n">
        <v>45579</v>
      </c>
      <c r="D588" t="inlineStr">
        <is>
          <t>VÄSTERNORRLANDS LÄN</t>
        </is>
      </c>
      <c r="E588" t="inlineStr">
        <is>
          <t>ÅNGE</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21625-2021</t>
        </is>
      </c>
      <c r="B589" s="1" t="n">
        <v>44322</v>
      </c>
      <c r="C589" s="1" t="n">
        <v>45579</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21960-2021</t>
        </is>
      </c>
      <c r="B590" s="1" t="n">
        <v>44323</v>
      </c>
      <c r="C590" s="1" t="n">
        <v>45579</v>
      </c>
      <c r="D590" t="inlineStr">
        <is>
          <t>VÄSTERNORRLANDS LÄN</t>
        </is>
      </c>
      <c r="E590" t="inlineStr">
        <is>
          <t>ÅNGE</t>
        </is>
      </c>
      <c r="F590" t="inlineStr">
        <is>
          <t>Holmen skog AB</t>
        </is>
      </c>
      <c r="G590" t="n">
        <v>6.8</v>
      </c>
      <c r="H590" t="n">
        <v>0</v>
      </c>
      <c r="I590" t="n">
        <v>0</v>
      </c>
      <c r="J590" t="n">
        <v>0</v>
      </c>
      <c r="K590" t="n">
        <v>0</v>
      </c>
      <c r="L590" t="n">
        <v>0</v>
      </c>
      <c r="M590" t="n">
        <v>0</v>
      </c>
      <c r="N590" t="n">
        <v>0</v>
      </c>
      <c r="O590" t="n">
        <v>0</v>
      </c>
      <c r="P590" t="n">
        <v>0</v>
      </c>
      <c r="Q590" t="n">
        <v>0</v>
      </c>
      <c r="R590" s="2" t="inlineStr"/>
    </row>
    <row r="591" ht="15" customHeight="1">
      <c r="A591" t="inlineStr">
        <is>
          <t>A 22237-2021</t>
        </is>
      </c>
      <c r="B591" s="1" t="n">
        <v>44326</v>
      </c>
      <c r="C591" s="1" t="n">
        <v>45579</v>
      </c>
      <c r="D591" t="inlineStr">
        <is>
          <t>VÄSTERNORRLANDS LÄN</t>
        </is>
      </c>
      <c r="E591" t="inlineStr">
        <is>
          <t>ÅNGE</t>
        </is>
      </c>
      <c r="G591" t="n">
        <v>3.7</v>
      </c>
      <c r="H591" t="n">
        <v>0</v>
      </c>
      <c r="I591" t="n">
        <v>0</v>
      </c>
      <c r="J591" t="n">
        <v>0</v>
      </c>
      <c r="K591" t="n">
        <v>0</v>
      </c>
      <c r="L591" t="n">
        <v>0</v>
      </c>
      <c r="M591" t="n">
        <v>0</v>
      </c>
      <c r="N591" t="n">
        <v>0</v>
      </c>
      <c r="O591" t="n">
        <v>0</v>
      </c>
      <c r="P591" t="n">
        <v>0</v>
      </c>
      <c r="Q591" t="n">
        <v>0</v>
      </c>
      <c r="R591" s="2" t="inlineStr"/>
    </row>
    <row r="592" ht="15" customHeight="1">
      <c r="A592" t="inlineStr">
        <is>
          <t>A 22597-2021</t>
        </is>
      </c>
      <c r="B592" s="1" t="n">
        <v>44326</v>
      </c>
      <c r="C592" s="1" t="n">
        <v>45579</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23018-2021</t>
        </is>
      </c>
      <c r="B593" s="1" t="n">
        <v>44328</v>
      </c>
      <c r="C593" s="1" t="n">
        <v>45579</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23017-2021</t>
        </is>
      </c>
      <c r="B594" s="1" t="n">
        <v>44329</v>
      </c>
      <c r="C594" s="1" t="n">
        <v>45579</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23016-2021</t>
        </is>
      </c>
      <c r="B595" s="1" t="n">
        <v>44329</v>
      </c>
      <c r="C595" s="1" t="n">
        <v>45579</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24233-2021</t>
        </is>
      </c>
      <c r="B596" s="1" t="n">
        <v>44336</v>
      </c>
      <c r="C596" s="1" t="n">
        <v>45579</v>
      </c>
      <c r="D596" t="inlineStr">
        <is>
          <t>VÄSTERNORRLANDS LÄN</t>
        </is>
      </c>
      <c r="E596" t="inlineStr">
        <is>
          <t>ÅNGE</t>
        </is>
      </c>
      <c r="G596" t="n">
        <v>3.2</v>
      </c>
      <c r="H596" t="n">
        <v>0</v>
      </c>
      <c r="I596" t="n">
        <v>0</v>
      </c>
      <c r="J596" t="n">
        <v>0</v>
      </c>
      <c r="K596" t="n">
        <v>0</v>
      </c>
      <c r="L596" t="n">
        <v>0</v>
      </c>
      <c r="M596" t="n">
        <v>0</v>
      </c>
      <c r="N596" t="n">
        <v>0</v>
      </c>
      <c r="O596" t="n">
        <v>0</v>
      </c>
      <c r="P596" t="n">
        <v>0</v>
      </c>
      <c r="Q596" t="n">
        <v>0</v>
      </c>
      <c r="R596" s="2" t="inlineStr"/>
    </row>
    <row r="597" ht="15" customHeight="1">
      <c r="A597" t="inlineStr">
        <is>
          <t>A 24819-2021</t>
        </is>
      </c>
      <c r="B597" s="1" t="n">
        <v>44340</v>
      </c>
      <c r="C597" s="1" t="n">
        <v>45579</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24831-2021</t>
        </is>
      </c>
      <c r="B598" s="1" t="n">
        <v>44340</v>
      </c>
      <c r="C598" s="1" t="n">
        <v>45579</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25020-2021</t>
        </is>
      </c>
      <c r="B599" s="1" t="n">
        <v>44341</v>
      </c>
      <c r="C599" s="1" t="n">
        <v>45579</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24953-2021</t>
        </is>
      </c>
      <c r="B600" s="1" t="n">
        <v>44341</v>
      </c>
      <c r="C600" s="1" t="n">
        <v>45579</v>
      </c>
      <c r="D600" t="inlineStr">
        <is>
          <t>VÄSTERNORRLANDS LÄN</t>
        </is>
      </c>
      <c r="E600" t="inlineStr">
        <is>
          <t>ÅNGE</t>
        </is>
      </c>
      <c r="G600" t="n">
        <v>6.1</v>
      </c>
      <c r="H600" t="n">
        <v>0</v>
      </c>
      <c r="I600" t="n">
        <v>0</v>
      </c>
      <c r="J600" t="n">
        <v>0</v>
      </c>
      <c r="K600" t="n">
        <v>0</v>
      </c>
      <c r="L600" t="n">
        <v>0</v>
      </c>
      <c r="M600" t="n">
        <v>0</v>
      </c>
      <c r="N600" t="n">
        <v>0</v>
      </c>
      <c r="O600" t="n">
        <v>0</v>
      </c>
      <c r="P600" t="n">
        <v>0</v>
      </c>
      <c r="Q600" t="n">
        <v>0</v>
      </c>
      <c r="R600" s="2" t="inlineStr"/>
    </row>
    <row r="601" ht="15" customHeight="1">
      <c r="A601" t="inlineStr">
        <is>
          <t>A 24977-2021</t>
        </is>
      </c>
      <c r="B601" s="1" t="n">
        <v>44341</v>
      </c>
      <c r="C601" s="1" t="n">
        <v>45579</v>
      </c>
      <c r="D601" t="inlineStr">
        <is>
          <t>VÄSTERNORRLANDS LÄN</t>
        </is>
      </c>
      <c r="E601" t="inlineStr">
        <is>
          <t>ÅNGE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26088-2021</t>
        </is>
      </c>
      <c r="B602" s="1" t="n">
        <v>44345</v>
      </c>
      <c r="C602" s="1" t="n">
        <v>45579</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26193-2021</t>
        </is>
      </c>
      <c r="B603" s="1" t="n">
        <v>44347</v>
      </c>
      <c r="C603" s="1" t="n">
        <v>45579</v>
      </c>
      <c r="D603" t="inlineStr">
        <is>
          <t>VÄSTERNORRLANDS LÄN</t>
        </is>
      </c>
      <c r="E603" t="inlineStr">
        <is>
          <t>ÅNGE</t>
        </is>
      </c>
      <c r="G603" t="n">
        <v>1.2</v>
      </c>
      <c r="H603" t="n">
        <v>0</v>
      </c>
      <c r="I603" t="n">
        <v>0</v>
      </c>
      <c r="J603" t="n">
        <v>0</v>
      </c>
      <c r="K603" t="n">
        <v>0</v>
      </c>
      <c r="L603" t="n">
        <v>0</v>
      </c>
      <c r="M603" t="n">
        <v>0</v>
      </c>
      <c r="N603" t="n">
        <v>0</v>
      </c>
      <c r="O603" t="n">
        <v>0</v>
      </c>
      <c r="P603" t="n">
        <v>0</v>
      </c>
      <c r="Q603" t="n">
        <v>0</v>
      </c>
      <c r="R603" s="2" t="inlineStr"/>
    </row>
    <row r="604" ht="15" customHeight="1">
      <c r="A604" t="inlineStr">
        <is>
          <t>A 26966-2021</t>
        </is>
      </c>
      <c r="B604" s="1" t="n">
        <v>44350</v>
      </c>
      <c r="C604" s="1" t="n">
        <v>45579</v>
      </c>
      <c r="D604" t="inlineStr">
        <is>
          <t>VÄSTERNORRLANDS LÄN</t>
        </is>
      </c>
      <c r="E604" t="inlineStr">
        <is>
          <t>ÅNGE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26969-2021</t>
        </is>
      </c>
      <c r="B605" s="1" t="n">
        <v>44350</v>
      </c>
      <c r="C605" s="1" t="n">
        <v>45579</v>
      </c>
      <c r="D605" t="inlineStr">
        <is>
          <t>VÄSTERNORRLANDS LÄN</t>
        </is>
      </c>
      <c r="E605" t="inlineStr">
        <is>
          <t>ÅNGE</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27288-2021</t>
        </is>
      </c>
      <c r="B606" s="1" t="n">
        <v>44351</v>
      </c>
      <c r="C606" s="1" t="n">
        <v>45579</v>
      </c>
      <c r="D606" t="inlineStr">
        <is>
          <t>VÄSTERNORRLANDS LÄN</t>
        </is>
      </c>
      <c r="E606" t="inlineStr">
        <is>
          <t>ÅNGE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45579</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27953-2021</t>
        </is>
      </c>
      <c r="B608" s="1" t="n">
        <v>44355</v>
      </c>
      <c r="C608" s="1" t="n">
        <v>45579</v>
      </c>
      <c r="D608" t="inlineStr">
        <is>
          <t>VÄSTERNORRLANDS LÄN</t>
        </is>
      </c>
      <c r="E608" t="inlineStr">
        <is>
          <t>ÅNGE</t>
        </is>
      </c>
      <c r="G608" t="n">
        <v>2.9</v>
      </c>
      <c r="H608" t="n">
        <v>0</v>
      </c>
      <c r="I608" t="n">
        <v>0</v>
      </c>
      <c r="J608" t="n">
        <v>0</v>
      </c>
      <c r="K608" t="n">
        <v>0</v>
      </c>
      <c r="L608" t="n">
        <v>0</v>
      </c>
      <c r="M608" t="n">
        <v>0</v>
      </c>
      <c r="N608" t="n">
        <v>0</v>
      </c>
      <c r="O608" t="n">
        <v>0</v>
      </c>
      <c r="P608" t="n">
        <v>0</v>
      </c>
      <c r="Q608" t="n">
        <v>0</v>
      </c>
      <c r="R608" s="2" t="inlineStr"/>
    </row>
    <row r="609" ht="15" customHeight="1">
      <c r="A609" t="inlineStr">
        <is>
          <t>A 27957-2021</t>
        </is>
      </c>
      <c r="B609" s="1" t="n">
        <v>44354</v>
      </c>
      <c r="C609" s="1" t="n">
        <v>45579</v>
      </c>
      <c r="D609" t="inlineStr">
        <is>
          <t>VÄSTERNORRLANDS LÄN</t>
        </is>
      </c>
      <c r="E609" t="inlineStr">
        <is>
          <t>ÅNGE</t>
        </is>
      </c>
      <c r="G609" t="n">
        <v>13.5</v>
      </c>
      <c r="H609" t="n">
        <v>0</v>
      </c>
      <c r="I609" t="n">
        <v>0</v>
      </c>
      <c r="J609" t="n">
        <v>0</v>
      </c>
      <c r="K609" t="n">
        <v>0</v>
      </c>
      <c r="L609" t="n">
        <v>0</v>
      </c>
      <c r="M609" t="n">
        <v>0</v>
      </c>
      <c r="N609" t="n">
        <v>0</v>
      </c>
      <c r="O609" t="n">
        <v>0</v>
      </c>
      <c r="P609" t="n">
        <v>0</v>
      </c>
      <c r="Q609" t="n">
        <v>0</v>
      </c>
      <c r="R609" s="2" t="inlineStr"/>
    </row>
    <row r="610" ht="15" customHeight="1">
      <c r="A610" t="inlineStr">
        <is>
          <t>A 29048-2021</t>
        </is>
      </c>
      <c r="B610" s="1" t="n">
        <v>44358</v>
      </c>
      <c r="C610" s="1" t="n">
        <v>45579</v>
      </c>
      <c r="D610" t="inlineStr">
        <is>
          <t>VÄSTERNORRLANDS LÄN</t>
        </is>
      </c>
      <c r="E610" t="inlineStr">
        <is>
          <t>ÅNGE</t>
        </is>
      </c>
      <c r="G610" t="n">
        <v>2.5</v>
      </c>
      <c r="H610" t="n">
        <v>0</v>
      </c>
      <c r="I610" t="n">
        <v>0</v>
      </c>
      <c r="J610" t="n">
        <v>0</v>
      </c>
      <c r="K610" t="n">
        <v>0</v>
      </c>
      <c r="L610" t="n">
        <v>0</v>
      </c>
      <c r="M610" t="n">
        <v>0</v>
      </c>
      <c r="N610" t="n">
        <v>0</v>
      </c>
      <c r="O610" t="n">
        <v>0</v>
      </c>
      <c r="P610" t="n">
        <v>0</v>
      </c>
      <c r="Q610" t="n">
        <v>0</v>
      </c>
      <c r="R610" s="2" t="inlineStr"/>
    </row>
    <row r="611" ht="15" customHeight="1">
      <c r="A611" t="inlineStr">
        <is>
          <t>A 29180-2021</t>
        </is>
      </c>
      <c r="B611" s="1" t="n">
        <v>44358</v>
      </c>
      <c r="C611" s="1" t="n">
        <v>45579</v>
      </c>
      <c r="D611" t="inlineStr">
        <is>
          <t>VÄSTERNORRLANDS LÄN</t>
        </is>
      </c>
      <c r="E611" t="inlineStr">
        <is>
          <t>ÅNGE</t>
        </is>
      </c>
      <c r="G611" t="n">
        <v>5.3</v>
      </c>
      <c r="H611" t="n">
        <v>0</v>
      </c>
      <c r="I611" t="n">
        <v>0</v>
      </c>
      <c r="J611" t="n">
        <v>0</v>
      </c>
      <c r="K611" t="n">
        <v>0</v>
      </c>
      <c r="L611" t="n">
        <v>0</v>
      </c>
      <c r="M611" t="n">
        <v>0</v>
      </c>
      <c r="N611" t="n">
        <v>0</v>
      </c>
      <c r="O611" t="n">
        <v>0</v>
      </c>
      <c r="P611" t="n">
        <v>0</v>
      </c>
      <c r="Q611" t="n">
        <v>0</v>
      </c>
      <c r="R611" s="2" t="inlineStr"/>
    </row>
    <row r="612" ht="15" customHeight="1">
      <c r="A612" t="inlineStr">
        <is>
          <t>A 29187-2021</t>
        </is>
      </c>
      <c r="B612" s="1" t="n">
        <v>44358</v>
      </c>
      <c r="C612" s="1" t="n">
        <v>45579</v>
      </c>
      <c r="D612" t="inlineStr">
        <is>
          <t>VÄSTERNORRLANDS LÄN</t>
        </is>
      </c>
      <c r="E612" t="inlineStr">
        <is>
          <t>ÅNGE</t>
        </is>
      </c>
      <c r="G612" t="n">
        <v>0.3</v>
      </c>
      <c r="H612" t="n">
        <v>0</v>
      </c>
      <c r="I612" t="n">
        <v>0</v>
      </c>
      <c r="J612" t="n">
        <v>0</v>
      </c>
      <c r="K612" t="n">
        <v>0</v>
      </c>
      <c r="L612" t="n">
        <v>0</v>
      </c>
      <c r="M612" t="n">
        <v>0</v>
      </c>
      <c r="N612" t="n">
        <v>0</v>
      </c>
      <c r="O612" t="n">
        <v>0</v>
      </c>
      <c r="P612" t="n">
        <v>0</v>
      </c>
      <c r="Q612" t="n">
        <v>0</v>
      </c>
      <c r="R612" s="2" t="inlineStr"/>
    </row>
    <row r="613" ht="15" customHeight="1">
      <c r="A613" t="inlineStr">
        <is>
          <t>A 29191-2021</t>
        </is>
      </c>
      <c r="B613" s="1" t="n">
        <v>44358</v>
      </c>
      <c r="C613" s="1" t="n">
        <v>45579</v>
      </c>
      <c r="D613" t="inlineStr">
        <is>
          <t>VÄSTERNORRLANDS LÄN</t>
        </is>
      </c>
      <c r="E613" t="inlineStr">
        <is>
          <t>ÅNGE</t>
        </is>
      </c>
      <c r="G613" t="n">
        <v>1.7</v>
      </c>
      <c r="H613" t="n">
        <v>0</v>
      </c>
      <c r="I613" t="n">
        <v>0</v>
      </c>
      <c r="J613" t="n">
        <v>0</v>
      </c>
      <c r="K613" t="n">
        <v>0</v>
      </c>
      <c r="L613" t="n">
        <v>0</v>
      </c>
      <c r="M613" t="n">
        <v>0</v>
      </c>
      <c r="N613" t="n">
        <v>0</v>
      </c>
      <c r="O613" t="n">
        <v>0</v>
      </c>
      <c r="P613" t="n">
        <v>0</v>
      </c>
      <c r="Q613" t="n">
        <v>0</v>
      </c>
      <c r="R613" s="2" t="inlineStr"/>
    </row>
    <row r="614" ht="15" customHeight="1">
      <c r="A614" t="inlineStr">
        <is>
          <t>A 29390-2021</t>
        </is>
      </c>
      <c r="B614" s="1" t="n">
        <v>44361</v>
      </c>
      <c r="C614" s="1" t="n">
        <v>45579</v>
      </c>
      <c r="D614" t="inlineStr">
        <is>
          <t>VÄSTERNORRLANDS LÄN</t>
        </is>
      </c>
      <c r="E614" t="inlineStr">
        <is>
          <t>ÅNGE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29509-2021</t>
        </is>
      </c>
      <c r="B615" s="1" t="n">
        <v>44361</v>
      </c>
      <c r="C615" s="1" t="n">
        <v>45579</v>
      </c>
      <c r="D615" t="inlineStr">
        <is>
          <t>VÄSTERNORRLANDS LÄN</t>
        </is>
      </c>
      <c r="E615" t="inlineStr">
        <is>
          <t>ÅNGE</t>
        </is>
      </c>
      <c r="G615" t="n">
        <v>3.6</v>
      </c>
      <c r="H615" t="n">
        <v>0</v>
      </c>
      <c r="I615" t="n">
        <v>0</v>
      </c>
      <c r="J615" t="n">
        <v>0</v>
      </c>
      <c r="K615" t="n">
        <v>0</v>
      </c>
      <c r="L615" t="n">
        <v>0</v>
      </c>
      <c r="M615" t="n">
        <v>0</v>
      </c>
      <c r="N615" t="n">
        <v>0</v>
      </c>
      <c r="O615" t="n">
        <v>0</v>
      </c>
      <c r="P615" t="n">
        <v>0</v>
      </c>
      <c r="Q615" t="n">
        <v>0</v>
      </c>
      <c r="R615" s="2" t="inlineStr"/>
    </row>
    <row r="616" ht="15" customHeight="1">
      <c r="A616" t="inlineStr">
        <is>
          <t>A 30286-2021</t>
        </is>
      </c>
      <c r="B616" s="1" t="n">
        <v>44363</v>
      </c>
      <c r="C616" s="1" t="n">
        <v>45579</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30339-2021</t>
        </is>
      </c>
      <c r="B617" s="1" t="n">
        <v>44364</v>
      </c>
      <c r="C617" s="1" t="n">
        <v>45579</v>
      </c>
      <c r="D617" t="inlineStr">
        <is>
          <t>VÄSTERNORRLANDS LÄN</t>
        </is>
      </c>
      <c r="E617" t="inlineStr">
        <is>
          <t>ÅNGE</t>
        </is>
      </c>
      <c r="G617" t="n">
        <v>23.8</v>
      </c>
      <c r="H617" t="n">
        <v>0</v>
      </c>
      <c r="I617" t="n">
        <v>0</v>
      </c>
      <c r="J617" t="n">
        <v>0</v>
      </c>
      <c r="K617" t="n">
        <v>0</v>
      </c>
      <c r="L617" t="n">
        <v>0</v>
      </c>
      <c r="M617" t="n">
        <v>0</v>
      </c>
      <c r="N617" t="n">
        <v>0</v>
      </c>
      <c r="O617" t="n">
        <v>0</v>
      </c>
      <c r="P617" t="n">
        <v>0</v>
      </c>
      <c r="Q617" t="n">
        <v>0</v>
      </c>
      <c r="R617" s="2" t="inlineStr"/>
    </row>
    <row r="618" ht="15" customHeight="1">
      <c r="A618" t="inlineStr">
        <is>
          <t>A 30345-2021</t>
        </is>
      </c>
      <c r="B618" s="1" t="n">
        <v>44364</v>
      </c>
      <c r="C618" s="1" t="n">
        <v>45579</v>
      </c>
      <c r="D618" t="inlineStr">
        <is>
          <t>VÄSTERNORRLANDS LÄN</t>
        </is>
      </c>
      <c r="E618" t="inlineStr">
        <is>
          <t>ÅNGE</t>
        </is>
      </c>
      <c r="G618" t="n">
        <v>7.7</v>
      </c>
      <c r="H618" t="n">
        <v>0</v>
      </c>
      <c r="I618" t="n">
        <v>0</v>
      </c>
      <c r="J618" t="n">
        <v>0</v>
      </c>
      <c r="K618" t="n">
        <v>0</v>
      </c>
      <c r="L618" t="n">
        <v>0</v>
      </c>
      <c r="M618" t="n">
        <v>0</v>
      </c>
      <c r="N618" t="n">
        <v>0</v>
      </c>
      <c r="O618" t="n">
        <v>0</v>
      </c>
      <c r="P618" t="n">
        <v>0</v>
      </c>
      <c r="Q618" t="n">
        <v>0</v>
      </c>
      <c r="R618" s="2" t="inlineStr"/>
    </row>
    <row r="619" ht="15" customHeight="1">
      <c r="A619" t="inlineStr">
        <is>
          <t>A 30365-2021</t>
        </is>
      </c>
      <c r="B619" s="1" t="n">
        <v>44364</v>
      </c>
      <c r="C619" s="1" t="n">
        <v>45579</v>
      </c>
      <c r="D619" t="inlineStr">
        <is>
          <t>VÄSTERNORRLANDS LÄN</t>
        </is>
      </c>
      <c r="E619" t="inlineStr">
        <is>
          <t>ÅNGE</t>
        </is>
      </c>
      <c r="G619" t="n">
        <v>3.9</v>
      </c>
      <c r="H619" t="n">
        <v>0</v>
      </c>
      <c r="I619" t="n">
        <v>0</v>
      </c>
      <c r="J619" t="n">
        <v>0</v>
      </c>
      <c r="K619" t="n">
        <v>0</v>
      </c>
      <c r="L619" t="n">
        <v>0</v>
      </c>
      <c r="M619" t="n">
        <v>0</v>
      </c>
      <c r="N619" t="n">
        <v>0</v>
      </c>
      <c r="O619" t="n">
        <v>0</v>
      </c>
      <c r="P619" t="n">
        <v>0</v>
      </c>
      <c r="Q619" t="n">
        <v>0</v>
      </c>
      <c r="R619" s="2" t="inlineStr"/>
    </row>
    <row r="620" ht="15" customHeight="1">
      <c r="A620" t="inlineStr">
        <is>
          <t>A 31191-2021</t>
        </is>
      </c>
      <c r="B620" s="1" t="n">
        <v>44368</v>
      </c>
      <c r="C620" s="1" t="n">
        <v>45579</v>
      </c>
      <c r="D620" t="inlineStr">
        <is>
          <t>VÄSTERNORRLANDS LÄN</t>
        </is>
      </c>
      <c r="E620" t="inlineStr">
        <is>
          <t>ÅNGE</t>
        </is>
      </c>
      <c r="F620" t="inlineStr">
        <is>
          <t>Sveaskog</t>
        </is>
      </c>
      <c r="G620" t="n">
        <v>21.6</v>
      </c>
      <c r="H620" t="n">
        <v>0</v>
      </c>
      <c r="I620" t="n">
        <v>0</v>
      </c>
      <c r="J620" t="n">
        <v>0</v>
      </c>
      <c r="K620" t="n">
        <v>0</v>
      </c>
      <c r="L620" t="n">
        <v>0</v>
      </c>
      <c r="M620" t="n">
        <v>0</v>
      </c>
      <c r="N620" t="n">
        <v>0</v>
      </c>
      <c r="O620" t="n">
        <v>0</v>
      </c>
      <c r="P620" t="n">
        <v>0</v>
      </c>
      <c r="Q620" t="n">
        <v>0</v>
      </c>
      <c r="R620" s="2" t="inlineStr"/>
    </row>
    <row r="621" ht="15" customHeight="1">
      <c r="A621" t="inlineStr">
        <is>
          <t>A 31668-2021</t>
        </is>
      </c>
      <c r="B621" s="1" t="n">
        <v>44369</v>
      </c>
      <c r="C621" s="1" t="n">
        <v>45579</v>
      </c>
      <c r="D621" t="inlineStr">
        <is>
          <t>VÄSTERNORRLANDS LÄN</t>
        </is>
      </c>
      <c r="E621" t="inlineStr">
        <is>
          <t>ÅNGE</t>
        </is>
      </c>
      <c r="F621" t="inlineStr">
        <is>
          <t>Kyrkan</t>
        </is>
      </c>
      <c r="G621" t="n">
        <v>3.6</v>
      </c>
      <c r="H621" t="n">
        <v>0</v>
      </c>
      <c r="I621" t="n">
        <v>0</v>
      </c>
      <c r="J621" t="n">
        <v>0</v>
      </c>
      <c r="K621" t="n">
        <v>0</v>
      </c>
      <c r="L621" t="n">
        <v>0</v>
      </c>
      <c r="M621" t="n">
        <v>0</v>
      </c>
      <c r="N621" t="n">
        <v>0</v>
      </c>
      <c r="O621" t="n">
        <v>0</v>
      </c>
      <c r="P621" t="n">
        <v>0</v>
      </c>
      <c r="Q621" t="n">
        <v>0</v>
      </c>
      <c r="R621" s="2" t="inlineStr"/>
    </row>
    <row r="622" ht="15" customHeight="1">
      <c r="A622" t="inlineStr">
        <is>
          <t>A 32328-2021</t>
        </is>
      </c>
      <c r="B622" s="1" t="n">
        <v>44371</v>
      </c>
      <c r="C622" s="1" t="n">
        <v>45579</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33408-2021</t>
        </is>
      </c>
      <c r="B623" s="1" t="n">
        <v>44377</v>
      </c>
      <c r="C623" s="1" t="n">
        <v>45579</v>
      </c>
      <c r="D623" t="inlineStr">
        <is>
          <t>VÄSTERNORRLANDS LÄN</t>
        </is>
      </c>
      <c r="E623" t="inlineStr">
        <is>
          <t>ÅNGE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34315-2021</t>
        </is>
      </c>
      <c r="B624" s="1" t="n">
        <v>44379</v>
      </c>
      <c r="C624" s="1" t="n">
        <v>45579</v>
      </c>
      <c r="D624" t="inlineStr">
        <is>
          <t>VÄSTERNORRLANDS LÄN</t>
        </is>
      </c>
      <c r="E624" t="inlineStr">
        <is>
          <t>ÅNGE</t>
        </is>
      </c>
      <c r="G624" t="n">
        <v>16.4</v>
      </c>
      <c r="H624" t="n">
        <v>0</v>
      </c>
      <c r="I624" t="n">
        <v>0</v>
      </c>
      <c r="J624" t="n">
        <v>0</v>
      </c>
      <c r="K624" t="n">
        <v>0</v>
      </c>
      <c r="L624" t="n">
        <v>0</v>
      </c>
      <c r="M624" t="n">
        <v>0</v>
      </c>
      <c r="N624" t="n">
        <v>0</v>
      </c>
      <c r="O624" t="n">
        <v>0</v>
      </c>
      <c r="P624" t="n">
        <v>0</v>
      </c>
      <c r="Q624" t="n">
        <v>0</v>
      </c>
      <c r="R624" s="2" t="inlineStr"/>
    </row>
    <row r="625" ht="15" customHeight="1">
      <c r="A625" t="inlineStr">
        <is>
          <t>A 34320-2021</t>
        </is>
      </c>
      <c r="B625" s="1" t="n">
        <v>44379</v>
      </c>
      <c r="C625" s="1" t="n">
        <v>45579</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34783-2021</t>
        </is>
      </c>
      <c r="B626" s="1" t="n">
        <v>44382</v>
      </c>
      <c r="C626" s="1" t="n">
        <v>45579</v>
      </c>
      <c r="D626" t="inlineStr">
        <is>
          <t>VÄSTERNORRLANDS LÄN</t>
        </is>
      </c>
      <c r="E626" t="inlineStr">
        <is>
          <t>ÅNGE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35058-2021</t>
        </is>
      </c>
      <c r="B627" s="1" t="n">
        <v>44383</v>
      </c>
      <c r="C627" s="1" t="n">
        <v>45579</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35079-2021</t>
        </is>
      </c>
      <c r="B628" s="1" t="n">
        <v>44383</v>
      </c>
      <c r="C628" s="1" t="n">
        <v>45579</v>
      </c>
      <c r="D628" t="inlineStr">
        <is>
          <t>VÄSTERNORRLANDS LÄN</t>
        </is>
      </c>
      <c r="E628" t="inlineStr">
        <is>
          <t>ÅNGE</t>
        </is>
      </c>
      <c r="G628" t="n">
        <v>2.8</v>
      </c>
      <c r="H628" t="n">
        <v>0</v>
      </c>
      <c r="I628" t="n">
        <v>0</v>
      </c>
      <c r="J628" t="n">
        <v>0</v>
      </c>
      <c r="K628" t="n">
        <v>0</v>
      </c>
      <c r="L628" t="n">
        <v>0</v>
      </c>
      <c r="M628" t="n">
        <v>0</v>
      </c>
      <c r="N628" t="n">
        <v>0</v>
      </c>
      <c r="O628" t="n">
        <v>0</v>
      </c>
      <c r="P628" t="n">
        <v>0</v>
      </c>
      <c r="Q628" t="n">
        <v>0</v>
      </c>
      <c r="R628" s="2" t="inlineStr"/>
    </row>
    <row r="629" ht="15" customHeight="1">
      <c r="A629" t="inlineStr">
        <is>
          <t>A 35339-2021</t>
        </is>
      </c>
      <c r="B629" s="1" t="n">
        <v>44384</v>
      </c>
      <c r="C629" s="1" t="n">
        <v>45579</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35359-2021</t>
        </is>
      </c>
      <c r="B630" s="1" t="n">
        <v>44385</v>
      </c>
      <c r="C630" s="1" t="n">
        <v>45579</v>
      </c>
      <c r="D630" t="inlineStr">
        <is>
          <t>VÄSTERNORRLANDS LÄN</t>
        </is>
      </c>
      <c r="E630" t="inlineStr">
        <is>
          <t>ÅNGE</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36457-2021</t>
        </is>
      </c>
      <c r="B631" s="1" t="n">
        <v>44391</v>
      </c>
      <c r="C631" s="1" t="n">
        <v>45579</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37010-2021</t>
        </is>
      </c>
      <c r="B632" s="1" t="n">
        <v>44393</v>
      </c>
      <c r="C632" s="1" t="n">
        <v>45579</v>
      </c>
      <c r="D632" t="inlineStr">
        <is>
          <t>VÄSTERNORRLANDS LÄN</t>
        </is>
      </c>
      <c r="E632" t="inlineStr">
        <is>
          <t>ÅNGE</t>
        </is>
      </c>
      <c r="F632" t="inlineStr">
        <is>
          <t>Kyrkan</t>
        </is>
      </c>
      <c r="G632" t="n">
        <v>16.8</v>
      </c>
      <c r="H632" t="n">
        <v>0</v>
      </c>
      <c r="I632" t="n">
        <v>0</v>
      </c>
      <c r="J632" t="n">
        <v>0</v>
      </c>
      <c r="K632" t="n">
        <v>0</v>
      </c>
      <c r="L632" t="n">
        <v>0</v>
      </c>
      <c r="M632" t="n">
        <v>0</v>
      </c>
      <c r="N632" t="n">
        <v>0</v>
      </c>
      <c r="O632" t="n">
        <v>0</v>
      </c>
      <c r="P632" t="n">
        <v>0</v>
      </c>
      <c r="Q632" t="n">
        <v>0</v>
      </c>
      <c r="R632" s="2" t="inlineStr"/>
    </row>
    <row r="633" ht="15" customHeight="1">
      <c r="A633" t="inlineStr">
        <is>
          <t>A 37051-2021</t>
        </is>
      </c>
      <c r="B633" s="1" t="n">
        <v>44393</v>
      </c>
      <c r="C633" s="1" t="n">
        <v>45579</v>
      </c>
      <c r="D633" t="inlineStr">
        <is>
          <t>VÄSTERNORRLANDS LÄN</t>
        </is>
      </c>
      <c r="E633" t="inlineStr">
        <is>
          <t>ÅNGE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37013-2021</t>
        </is>
      </c>
      <c r="B634" s="1" t="n">
        <v>44393</v>
      </c>
      <c r="C634" s="1" t="n">
        <v>45579</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37382-2021</t>
        </is>
      </c>
      <c r="B635" s="1" t="n">
        <v>44397</v>
      </c>
      <c r="C635" s="1" t="n">
        <v>45579</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37605-2021</t>
        </is>
      </c>
      <c r="B636" s="1" t="n">
        <v>44399</v>
      </c>
      <c r="C636" s="1" t="n">
        <v>45579</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37620-2021</t>
        </is>
      </c>
      <c r="B637" s="1" t="n">
        <v>44399</v>
      </c>
      <c r="C637" s="1" t="n">
        <v>45579</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37624-2021</t>
        </is>
      </c>
      <c r="B638" s="1" t="n">
        <v>44399</v>
      </c>
      <c r="C638" s="1" t="n">
        <v>45579</v>
      </c>
      <c r="D638" t="inlineStr">
        <is>
          <t>VÄSTERNORRLANDS LÄN</t>
        </is>
      </c>
      <c r="E638" t="inlineStr">
        <is>
          <t>ÅNGE</t>
        </is>
      </c>
      <c r="G638" t="n">
        <v>4.1</v>
      </c>
      <c r="H638" t="n">
        <v>0</v>
      </c>
      <c r="I638" t="n">
        <v>0</v>
      </c>
      <c r="J638" t="n">
        <v>0</v>
      </c>
      <c r="K638" t="n">
        <v>0</v>
      </c>
      <c r="L638" t="n">
        <v>0</v>
      </c>
      <c r="M638" t="n">
        <v>0</v>
      </c>
      <c r="N638" t="n">
        <v>0</v>
      </c>
      <c r="O638" t="n">
        <v>0</v>
      </c>
      <c r="P638" t="n">
        <v>0</v>
      </c>
      <c r="Q638" t="n">
        <v>0</v>
      </c>
      <c r="R638" s="2" t="inlineStr"/>
    </row>
    <row r="639" ht="15" customHeight="1">
      <c r="A639" t="inlineStr">
        <is>
          <t>A 37621-2021</t>
        </is>
      </c>
      <c r="B639" s="1" t="n">
        <v>44399</v>
      </c>
      <c r="C639" s="1" t="n">
        <v>45579</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38237-2021</t>
        </is>
      </c>
      <c r="B640" s="1" t="n">
        <v>44405</v>
      </c>
      <c r="C640" s="1" t="n">
        <v>45579</v>
      </c>
      <c r="D640" t="inlineStr">
        <is>
          <t>VÄSTERNORRLANDS LÄN</t>
        </is>
      </c>
      <c r="E640" t="inlineStr">
        <is>
          <t>ÅNGE</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38369-2021</t>
        </is>
      </c>
      <c r="B641" s="1" t="n">
        <v>44406</v>
      </c>
      <c r="C641" s="1" t="n">
        <v>45579</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38432-2021</t>
        </is>
      </c>
      <c r="B642" s="1" t="n">
        <v>44406</v>
      </c>
      <c r="C642" s="1" t="n">
        <v>45579</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38960-2021</t>
        </is>
      </c>
      <c r="B643" s="1" t="n">
        <v>44411</v>
      </c>
      <c r="C643" s="1" t="n">
        <v>45579</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39729-2021</t>
        </is>
      </c>
      <c r="B644" s="1" t="n">
        <v>44417</v>
      </c>
      <c r="C644" s="1" t="n">
        <v>45579</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39744-2021</t>
        </is>
      </c>
      <c r="B645" s="1" t="n">
        <v>44417</v>
      </c>
      <c r="C645" s="1" t="n">
        <v>45579</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41070-2021</t>
        </is>
      </c>
      <c r="B646" s="1" t="n">
        <v>44422</v>
      </c>
      <c r="C646" s="1" t="n">
        <v>45579</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41831-2021</t>
        </is>
      </c>
      <c r="B647" s="1" t="n">
        <v>44426</v>
      </c>
      <c r="C647" s="1" t="n">
        <v>45579</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41829-2021</t>
        </is>
      </c>
      <c r="B648" s="1" t="n">
        <v>44426</v>
      </c>
      <c r="C648" s="1" t="n">
        <v>45579</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43076-2021</t>
        </is>
      </c>
      <c r="B649" s="1" t="n">
        <v>44431</v>
      </c>
      <c r="C649" s="1" t="n">
        <v>45579</v>
      </c>
      <c r="D649" t="inlineStr">
        <is>
          <t>VÄSTERNORRLANDS LÄN</t>
        </is>
      </c>
      <c r="E649" t="inlineStr">
        <is>
          <t>ÅNGE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42881-2021</t>
        </is>
      </c>
      <c r="B650" s="1" t="n">
        <v>44431</v>
      </c>
      <c r="C650" s="1" t="n">
        <v>45579</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43849-2021</t>
        </is>
      </c>
      <c r="B651" s="1" t="n">
        <v>44433</v>
      </c>
      <c r="C651" s="1" t="n">
        <v>45579</v>
      </c>
      <c r="D651" t="inlineStr">
        <is>
          <t>VÄSTERNORRLANDS LÄN</t>
        </is>
      </c>
      <c r="E651" t="inlineStr">
        <is>
          <t>ÅNGE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44415-2021</t>
        </is>
      </c>
      <c r="B652" s="1" t="n">
        <v>44435</v>
      </c>
      <c r="C652" s="1" t="n">
        <v>45579</v>
      </c>
      <c r="D652" t="inlineStr">
        <is>
          <t>VÄSTERNORRLANDS LÄN</t>
        </is>
      </c>
      <c r="E652" t="inlineStr">
        <is>
          <t>ÅNGE</t>
        </is>
      </c>
      <c r="G652" t="n">
        <v>5.2</v>
      </c>
      <c r="H652" t="n">
        <v>0</v>
      </c>
      <c r="I652" t="n">
        <v>0</v>
      </c>
      <c r="J652" t="n">
        <v>0</v>
      </c>
      <c r="K652" t="n">
        <v>0</v>
      </c>
      <c r="L652" t="n">
        <v>0</v>
      </c>
      <c r="M652" t="n">
        <v>0</v>
      </c>
      <c r="N652" t="n">
        <v>0</v>
      </c>
      <c r="O652" t="n">
        <v>0</v>
      </c>
      <c r="P652" t="n">
        <v>0</v>
      </c>
      <c r="Q652" t="n">
        <v>0</v>
      </c>
      <c r="R652" s="2" t="inlineStr"/>
    </row>
    <row r="653" ht="15" customHeight="1">
      <c r="A653" t="inlineStr">
        <is>
          <t>A 44608-2021</t>
        </is>
      </c>
      <c r="B653" s="1" t="n">
        <v>44436</v>
      </c>
      <c r="C653" s="1" t="n">
        <v>45579</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45145-2021</t>
        </is>
      </c>
      <c r="B654" s="1" t="n">
        <v>44439</v>
      </c>
      <c r="C654" s="1" t="n">
        <v>45579</v>
      </c>
      <c r="D654" t="inlineStr">
        <is>
          <t>VÄSTERNORRLANDS LÄN</t>
        </is>
      </c>
      <c r="E654" t="inlineStr">
        <is>
          <t>ÅNGE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45353-2021</t>
        </is>
      </c>
      <c r="B655" s="1" t="n">
        <v>44439</v>
      </c>
      <c r="C655" s="1" t="n">
        <v>45579</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45631-2021</t>
        </is>
      </c>
      <c r="B656" s="1" t="n">
        <v>44441</v>
      </c>
      <c r="C656" s="1" t="n">
        <v>45579</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45735-2021</t>
        </is>
      </c>
      <c r="B657" s="1" t="n">
        <v>44441</v>
      </c>
      <c r="C657" s="1" t="n">
        <v>45579</v>
      </c>
      <c r="D657" t="inlineStr">
        <is>
          <t>VÄSTERNORRLANDS LÄN</t>
        </is>
      </c>
      <c r="E657" t="inlineStr">
        <is>
          <t>ÅNGE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45890-2021</t>
        </is>
      </c>
      <c r="B658" s="1" t="n">
        <v>44441</v>
      </c>
      <c r="C658" s="1" t="n">
        <v>45579</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46053-2021</t>
        </is>
      </c>
      <c r="B659" s="1" t="n">
        <v>44441</v>
      </c>
      <c r="C659" s="1" t="n">
        <v>45579</v>
      </c>
      <c r="D659" t="inlineStr">
        <is>
          <t>VÄSTERNORRLANDS LÄN</t>
        </is>
      </c>
      <c r="E659" t="inlineStr">
        <is>
          <t>ÅNGE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46865-2021</t>
        </is>
      </c>
      <c r="B660" s="1" t="n">
        <v>44446</v>
      </c>
      <c r="C660" s="1" t="n">
        <v>45579</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46824-2021</t>
        </is>
      </c>
      <c r="B661" s="1" t="n">
        <v>44446</v>
      </c>
      <c r="C661" s="1" t="n">
        <v>45579</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48876-2021</t>
        </is>
      </c>
      <c r="B662" s="1" t="n">
        <v>44452</v>
      </c>
      <c r="C662" s="1" t="n">
        <v>45579</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48990-2021</t>
        </is>
      </c>
      <c r="B663" s="1" t="n">
        <v>44453</v>
      </c>
      <c r="C663" s="1" t="n">
        <v>45579</v>
      </c>
      <c r="D663" t="inlineStr">
        <is>
          <t>VÄSTERNORRLANDS LÄN</t>
        </is>
      </c>
      <c r="E663" t="inlineStr">
        <is>
          <t>ÅNGE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48988-2021</t>
        </is>
      </c>
      <c r="B664" s="1" t="n">
        <v>44453</v>
      </c>
      <c r="C664" s="1" t="n">
        <v>45579</v>
      </c>
      <c r="D664" t="inlineStr">
        <is>
          <t>VÄSTERNORRLANDS LÄN</t>
        </is>
      </c>
      <c r="E664" t="inlineStr">
        <is>
          <t>ÅNGE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49137-2021</t>
        </is>
      </c>
      <c r="B665" s="1" t="n">
        <v>44453</v>
      </c>
      <c r="C665" s="1" t="n">
        <v>45579</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50333-2021</t>
        </is>
      </c>
      <c r="B666" s="1" t="n">
        <v>44454</v>
      </c>
      <c r="C666" s="1" t="n">
        <v>45579</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50125-2021</t>
        </is>
      </c>
      <c r="B667" s="1" t="n">
        <v>44456</v>
      </c>
      <c r="C667" s="1" t="n">
        <v>45579</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50196-2021</t>
        </is>
      </c>
      <c r="B668" s="1" t="n">
        <v>44457</v>
      </c>
      <c r="C668" s="1" t="n">
        <v>45579</v>
      </c>
      <c r="D668" t="inlineStr">
        <is>
          <t>VÄSTERNORRLANDS LÄN</t>
        </is>
      </c>
      <c r="E668" t="inlineStr">
        <is>
          <t>ÅNGE</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50186-2021</t>
        </is>
      </c>
      <c r="B669" s="1" t="n">
        <v>44456</v>
      </c>
      <c r="C669" s="1" t="n">
        <v>45579</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50234-2021</t>
        </is>
      </c>
      <c r="B670" s="1" t="n">
        <v>44458</v>
      </c>
      <c r="C670" s="1" t="n">
        <v>45579</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50235-2021</t>
        </is>
      </c>
      <c r="B671" s="1" t="n">
        <v>44457</v>
      </c>
      <c r="C671" s="1" t="n">
        <v>45579</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50651-2021</t>
        </is>
      </c>
      <c r="B672" s="1" t="n">
        <v>44459</v>
      </c>
      <c r="C672" s="1" t="n">
        <v>45579</v>
      </c>
      <c r="D672" t="inlineStr">
        <is>
          <t>VÄSTERNORRLANDS LÄN</t>
        </is>
      </c>
      <c r="E672" t="inlineStr">
        <is>
          <t>ÅNGE</t>
        </is>
      </c>
      <c r="G672" t="n">
        <v>20.6</v>
      </c>
      <c r="H672" t="n">
        <v>0</v>
      </c>
      <c r="I672" t="n">
        <v>0</v>
      </c>
      <c r="J672" t="n">
        <v>0</v>
      </c>
      <c r="K672" t="n">
        <v>0</v>
      </c>
      <c r="L672" t="n">
        <v>0</v>
      </c>
      <c r="M672" t="n">
        <v>0</v>
      </c>
      <c r="N672" t="n">
        <v>0</v>
      </c>
      <c r="O672" t="n">
        <v>0</v>
      </c>
      <c r="P672" t="n">
        <v>0</v>
      </c>
      <c r="Q672" t="n">
        <v>0</v>
      </c>
      <c r="R672" s="2" t="inlineStr"/>
    </row>
    <row r="673" ht="15" customHeight="1">
      <c r="A673" t="inlineStr">
        <is>
          <t>A 50733-2021</t>
        </is>
      </c>
      <c r="B673" s="1" t="n">
        <v>44460</v>
      </c>
      <c r="C673" s="1" t="n">
        <v>45579</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50960-2021</t>
        </is>
      </c>
      <c r="B674" s="1" t="n">
        <v>44460</v>
      </c>
      <c r="C674" s="1" t="n">
        <v>45579</v>
      </c>
      <c r="D674" t="inlineStr">
        <is>
          <t>VÄSTERNORRLANDS LÄN</t>
        </is>
      </c>
      <c r="E674" t="inlineStr">
        <is>
          <t>ÅNGE</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51179-2021</t>
        </is>
      </c>
      <c r="B675" s="1" t="n">
        <v>44461</v>
      </c>
      <c r="C675" s="1" t="n">
        <v>45579</v>
      </c>
      <c r="D675" t="inlineStr">
        <is>
          <t>VÄSTERNORRLANDS LÄN</t>
        </is>
      </c>
      <c r="E675" t="inlineStr">
        <is>
          <t>ÅNGE</t>
        </is>
      </c>
      <c r="G675" t="n">
        <v>3.2</v>
      </c>
      <c r="H675" t="n">
        <v>0</v>
      </c>
      <c r="I675" t="n">
        <v>0</v>
      </c>
      <c r="J675" t="n">
        <v>0</v>
      </c>
      <c r="K675" t="n">
        <v>0</v>
      </c>
      <c r="L675" t="n">
        <v>0</v>
      </c>
      <c r="M675" t="n">
        <v>0</v>
      </c>
      <c r="N675" t="n">
        <v>0</v>
      </c>
      <c r="O675" t="n">
        <v>0</v>
      </c>
      <c r="P675" t="n">
        <v>0</v>
      </c>
      <c r="Q675" t="n">
        <v>0</v>
      </c>
      <c r="R675" s="2" t="inlineStr"/>
    </row>
    <row r="676" ht="15" customHeight="1">
      <c r="A676" t="inlineStr">
        <is>
          <t>A 51163-2021</t>
        </is>
      </c>
      <c r="B676" s="1" t="n">
        <v>44461</v>
      </c>
      <c r="C676" s="1" t="n">
        <v>45579</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51428-2021</t>
        </is>
      </c>
      <c r="B677" s="1" t="n">
        <v>44461</v>
      </c>
      <c r="C677" s="1" t="n">
        <v>45579</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51427-2021</t>
        </is>
      </c>
      <c r="B678" s="1" t="n">
        <v>44461</v>
      </c>
      <c r="C678" s="1" t="n">
        <v>45579</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52705-2021</t>
        </is>
      </c>
      <c r="B679" s="1" t="n">
        <v>44466</v>
      </c>
      <c r="C679" s="1" t="n">
        <v>45579</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52726-2021</t>
        </is>
      </c>
      <c r="B680" s="1" t="n">
        <v>44466</v>
      </c>
      <c r="C680" s="1" t="n">
        <v>45579</v>
      </c>
      <c r="D680" t="inlineStr">
        <is>
          <t>VÄSTERNORRLANDS LÄN</t>
        </is>
      </c>
      <c r="E680" t="inlineStr">
        <is>
          <t>ÅNGE</t>
        </is>
      </c>
      <c r="F680" t="inlineStr">
        <is>
          <t>SCA</t>
        </is>
      </c>
      <c r="G680" t="n">
        <v>9.5</v>
      </c>
      <c r="H680" t="n">
        <v>0</v>
      </c>
      <c r="I680" t="n">
        <v>0</v>
      </c>
      <c r="J680" t="n">
        <v>0</v>
      </c>
      <c r="K680" t="n">
        <v>0</v>
      </c>
      <c r="L680" t="n">
        <v>0</v>
      </c>
      <c r="M680" t="n">
        <v>0</v>
      </c>
      <c r="N680" t="n">
        <v>0</v>
      </c>
      <c r="O680" t="n">
        <v>0</v>
      </c>
      <c r="P680" t="n">
        <v>0</v>
      </c>
      <c r="Q680" t="n">
        <v>0</v>
      </c>
      <c r="R680" s="2" t="inlineStr"/>
    </row>
    <row r="681" ht="15" customHeight="1">
      <c r="A681" t="inlineStr">
        <is>
          <t>A 53970-2021</t>
        </is>
      </c>
      <c r="B681" s="1" t="n">
        <v>44469</v>
      </c>
      <c r="C681" s="1" t="n">
        <v>45579</v>
      </c>
      <c r="D681" t="inlineStr">
        <is>
          <t>VÄSTERNORRLANDS LÄN</t>
        </is>
      </c>
      <c r="E681" t="inlineStr">
        <is>
          <t>ÅNGE</t>
        </is>
      </c>
      <c r="G681" t="n">
        <v>3.4</v>
      </c>
      <c r="H681" t="n">
        <v>0</v>
      </c>
      <c r="I681" t="n">
        <v>0</v>
      </c>
      <c r="J681" t="n">
        <v>0</v>
      </c>
      <c r="K681" t="n">
        <v>0</v>
      </c>
      <c r="L681" t="n">
        <v>0</v>
      </c>
      <c r="M681" t="n">
        <v>0</v>
      </c>
      <c r="N681" t="n">
        <v>0</v>
      </c>
      <c r="O681" t="n">
        <v>0</v>
      </c>
      <c r="P681" t="n">
        <v>0</v>
      </c>
      <c r="Q681" t="n">
        <v>0</v>
      </c>
      <c r="R681" s="2" t="inlineStr"/>
    </row>
    <row r="682" ht="15" customHeight="1">
      <c r="A682" t="inlineStr">
        <is>
          <t>A 53969-2021</t>
        </is>
      </c>
      <c r="B682" s="1" t="n">
        <v>44469</v>
      </c>
      <c r="C682" s="1" t="n">
        <v>45579</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54750-2021</t>
        </is>
      </c>
      <c r="B683" s="1" t="n">
        <v>44473</v>
      </c>
      <c r="C683" s="1" t="n">
        <v>45579</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54800-2021</t>
        </is>
      </c>
      <c r="B684" s="1" t="n">
        <v>44474</v>
      </c>
      <c r="C684" s="1" t="n">
        <v>45579</v>
      </c>
      <c r="D684" t="inlineStr">
        <is>
          <t>VÄSTERNORRLANDS LÄN</t>
        </is>
      </c>
      <c r="E684" t="inlineStr">
        <is>
          <t>ÅNGE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54908-2021</t>
        </is>
      </c>
      <c r="B685" s="1" t="n">
        <v>44474</v>
      </c>
      <c r="C685" s="1" t="n">
        <v>45579</v>
      </c>
      <c r="D685" t="inlineStr">
        <is>
          <t>VÄSTERNORRLANDS LÄN</t>
        </is>
      </c>
      <c r="E685" t="inlineStr">
        <is>
          <t>ÅNGE</t>
        </is>
      </c>
      <c r="G685" t="n">
        <v>7.8</v>
      </c>
      <c r="H685" t="n">
        <v>0</v>
      </c>
      <c r="I685" t="n">
        <v>0</v>
      </c>
      <c r="J685" t="n">
        <v>0</v>
      </c>
      <c r="K685" t="n">
        <v>0</v>
      </c>
      <c r="L685" t="n">
        <v>0</v>
      </c>
      <c r="M685" t="n">
        <v>0</v>
      </c>
      <c r="N685" t="n">
        <v>0</v>
      </c>
      <c r="O685" t="n">
        <v>0</v>
      </c>
      <c r="P685" t="n">
        <v>0</v>
      </c>
      <c r="Q685" t="n">
        <v>0</v>
      </c>
      <c r="R685" s="2" t="inlineStr"/>
    </row>
    <row r="686" ht="15" customHeight="1">
      <c r="A686" t="inlineStr">
        <is>
          <t>A 54946-2021</t>
        </is>
      </c>
      <c r="B686" s="1" t="n">
        <v>44474</v>
      </c>
      <c r="C686" s="1" t="n">
        <v>45579</v>
      </c>
      <c r="D686" t="inlineStr">
        <is>
          <t>VÄSTERNORRLANDS LÄN</t>
        </is>
      </c>
      <c r="E686" t="inlineStr">
        <is>
          <t>ÅNGE</t>
        </is>
      </c>
      <c r="G686" t="n">
        <v>5.4</v>
      </c>
      <c r="H686" t="n">
        <v>0</v>
      </c>
      <c r="I686" t="n">
        <v>0</v>
      </c>
      <c r="J686" t="n">
        <v>0</v>
      </c>
      <c r="K686" t="n">
        <v>0</v>
      </c>
      <c r="L686" t="n">
        <v>0</v>
      </c>
      <c r="M686" t="n">
        <v>0</v>
      </c>
      <c r="N686" t="n">
        <v>0</v>
      </c>
      <c r="O686" t="n">
        <v>0</v>
      </c>
      <c r="P686" t="n">
        <v>0</v>
      </c>
      <c r="Q686" t="n">
        <v>0</v>
      </c>
      <c r="R686" s="2" t="inlineStr"/>
    </row>
    <row r="687" ht="15" customHeight="1">
      <c r="A687" t="inlineStr">
        <is>
          <t>A 55316-2021</t>
        </is>
      </c>
      <c r="B687" s="1" t="n">
        <v>44475</v>
      </c>
      <c r="C687" s="1" t="n">
        <v>45579</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55593-2021</t>
        </is>
      </c>
      <c r="B688" s="1" t="n">
        <v>44476</v>
      </c>
      <c r="C688" s="1" t="n">
        <v>45579</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55905-2021</t>
        </is>
      </c>
      <c r="B689" s="1" t="n">
        <v>44477</v>
      </c>
      <c r="C689" s="1" t="n">
        <v>45579</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55912-2021</t>
        </is>
      </c>
      <c r="B690" s="1" t="n">
        <v>44477</v>
      </c>
      <c r="C690" s="1" t="n">
        <v>45579</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56434-2021</t>
        </is>
      </c>
      <c r="B691" s="1" t="n">
        <v>44477</v>
      </c>
      <c r="C691" s="1" t="n">
        <v>45579</v>
      </c>
      <c r="D691" t="inlineStr">
        <is>
          <t>VÄSTERNORRLANDS LÄN</t>
        </is>
      </c>
      <c r="E691" t="inlineStr">
        <is>
          <t>ÅNGE</t>
        </is>
      </c>
      <c r="G691" t="n">
        <v>2.7</v>
      </c>
      <c r="H691" t="n">
        <v>0</v>
      </c>
      <c r="I691" t="n">
        <v>0</v>
      </c>
      <c r="J691" t="n">
        <v>0</v>
      </c>
      <c r="K691" t="n">
        <v>0</v>
      </c>
      <c r="L691" t="n">
        <v>0</v>
      </c>
      <c r="M691" t="n">
        <v>0</v>
      </c>
      <c r="N691" t="n">
        <v>0</v>
      </c>
      <c r="O691" t="n">
        <v>0</v>
      </c>
      <c r="P691" t="n">
        <v>0</v>
      </c>
      <c r="Q691" t="n">
        <v>0</v>
      </c>
      <c r="R691" s="2" t="inlineStr"/>
    </row>
    <row r="692" ht="15" customHeight="1">
      <c r="A692" t="inlineStr">
        <is>
          <t>A 56437-2021</t>
        </is>
      </c>
      <c r="B692" s="1" t="n">
        <v>44477</v>
      </c>
      <c r="C692" s="1" t="n">
        <v>45579</v>
      </c>
      <c r="D692" t="inlineStr">
        <is>
          <t>VÄSTERNORRLANDS LÄN</t>
        </is>
      </c>
      <c r="E692" t="inlineStr">
        <is>
          <t>ÅNGE</t>
        </is>
      </c>
      <c r="G692" t="n">
        <v>18.7</v>
      </c>
      <c r="H692" t="n">
        <v>0</v>
      </c>
      <c r="I692" t="n">
        <v>0</v>
      </c>
      <c r="J692" t="n">
        <v>0</v>
      </c>
      <c r="K692" t="n">
        <v>0</v>
      </c>
      <c r="L692" t="n">
        <v>0</v>
      </c>
      <c r="M692" t="n">
        <v>0</v>
      </c>
      <c r="N692" t="n">
        <v>0</v>
      </c>
      <c r="O692" t="n">
        <v>0</v>
      </c>
      <c r="P692" t="n">
        <v>0</v>
      </c>
      <c r="Q692" t="n">
        <v>0</v>
      </c>
      <c r="R692" s="2" t="inlineStr"/>
    </row>
    <row r="693" ht="15" customHeight="1">
      <c r="A693" t="inlineStr">
        <is>
          <t>A 56907-2021</t>
        </is>
      </c>
      <c r="B693" s="1" t="n">
        <v>44482</v>
      </c>
      <c r="C693" s="1" t="n">
        <v>45579</v>
      </c>
      <c r="D693" t="inlineStr">
        <is>
          <t>VÄSTERNORRLANDS LÄN</t>
        </is>
      </c>
      <c r="E693" t="inlineStr">
        <is>
          <t>ÅNGE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56908-2021</t>
        </is>
      </c>
      <c r="B694" s="1" t="n">
        <v>44482</v>
      </c>
      <c r="C694" s="1" t="n">
        <v>45579</v>
      </c>
      <c r="D694" t="inlineStr">
        <is>
          <t>VÄSTERNORRLANDS LÄN</t>
        </is>
      </c>
      <c r="E694" t="inlineStr">
        <is>
          <t>ÅNGE</t>
        </is>
      </c>
      <c r="G694" t="n">
        <v>12</v>
      </c>
      <c r="H694" t="n">
        <v>0</v>
      </c>
      <c r="I694" t="n">
        <v>0</v>
      </c>
      <c r="J694" t="n">
        <v>0</v>
      </c>
      <c r="K694" t="n">
        <v>0</v>
      </c>
      <c r="L694" t="n">
        <v>0</v>
      </c>
      <c r="M694" t="n">
        <v>0</v>
      </c>
      <c r="N694" t="n">
        <v>0</v>
      </c>
      <c r="O694" t="n">
        <v>0</v>
      </c>
      <c r="P694" t="n">
        <v>0</v>
      </c>
      <c r="Q694" t="n">
        <v>0</v>
      </c>
      <c r="R694" s="2" t="inlineStr"/>
    </row>
    <row r="695" ht="15" customHeight="1">
      <c r="A695" t="inlineStr">
        <is>
          <t>A 57162-2021</t>
        </is>
      </c>
      <c r="B695" s="1" t="n">
        <v>44482</v>
      </c>
      <c r="C695" s="1" t="n">
        <v>45579</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57418-2021</t>
        </is>
      </c>
      <c r="B696" s="1" t="n">
        <v>44483</v>
      </c>
      <c r="C696" s="1" t="n">
        <v>45579</v>
      </c>
      <c r="D696" t="inlineStr">
        <is>
          <t>VÄSTERNORRLANDS LÄN</t>
        </is>
      </c>
      <c r="E696" t="inlineStr">
        <is>
          <t>ÅNGE</t>
        </is>
      </c>
      <c r="G696" t="n">
        <v>4.4</v>
      </c>
      <c r="H696" t="n">
        <v>0</v>
      </c>
      <c r="I696" t="n">
        <v>0</v>
      </c>
      <c r="J696" t="n">
        <v>0</v>
      </c>
      <c r="K696" t="n">
        <v>0</v>
      </c>
      <c r="L696" t="n">
        <v>0</v>
      </c>
      <c r="M696" t="n">
        <v>0</v>
      </c>
      <c r="N696" t="n">
        <v>0</v>
      </c>
      <c r="O696" t="n">
        <v>0</v>
      </c>
      <c r="P696" t="n">
        <v>0</v>
      </c>
      <c r="Q696" t="n">
        <v>0</v>
      </c>
      <c r="R696" s="2" t="inlineStr"/>
    </row>
    <row r="697" ht="15" customHeight="1">
      <c r="A697" t="inlineStr">
        <is>
          <t>A 58939-2021</t>
        </is>
      </c>
      <c r="B697" s="1" t="n">
        <v>44489</v>
      </c>
      <c r="C697" s="1" t="n">
        <v>45579</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58941-2021</t>
        </is>
      </c>
      <c r="B698" s="1" t="n">
        <v>44490</v>
      </c>
      <c r="C698" s="1" t="n">
        <v>45579</v>
      </c>
      <c r="D698" t="inlineStr">
        <is>
          <t>VÄSTERNORRLANDS LÄN</t>
        </is>
      </c>
      <c r="E698" t="inlineStr">
        <is>
          <t>ÅNGE</t>
        </is>
      </c>
      <c r="G698" t="n">
        <v>6.7</v>
      </c>
      <c r="H698" t="n">
        <v>0</v>
      </c>
      <c r="I698" t="n">
        <v>0</v>
      </c>
      <c r="J698" t="n">
        <v>0</v>
      </c>
      <c r="K698" t="n">
        <v>0</v>
      </c>
      <c r="L698" t="n">
        <v>0</v>
      </c>
      <c r="M698" t="n">
        <v>0</v>
      </c>
      <c r="N698" t="n">
        <v>0</v>
      </c>
      <c r="O698" t="n">
        <v>0</v>
      </c>
      <c r="P698" t="n">
        <v>0</v>
      </c>
      <c r="Q698" t="n">
        <v>0</v>
      </c>
      <c r="R698" s="2" t="inlineStr"/>
    </row>
    <row r="699" ht="15" customHeight="1">
      <c r="A699" t="inlineStr">
        <is>
          <t>A 58942-2021</t>
        </is>
      </c>
      <c r="B699" s="1" t="n">
        <v>44490</v>
      </c>
      <c r="C699" s="1" t="n">
        <v>45579</v>
      </c>
      <c r="D699" t="inlineStr">
        <is>
          <t>VÄSTERNORRLANDS LÄN</t>
        </is>
      </c>
      <c r="E699" t="inlineStr">
        <is>
          <t>ÅNGE</t>
        </is>
      </c>
      <c r="G699" t="n">
        <v>5.6</v>
      </c>
      <c r="H699" t="n">
        <v>0</v>
      </c>
      <c r="I699" t="n">
        <v>0</v>
      </c>
      <c r="J699" t="n">
        <v>0</v>
      </c>
      <c r="K699" t="n">
        <v>0</v>
      </c>
      <c r="L699" t="n">
        <v>0</v>
      </c>
      <c r="M699" t="n">
        <v>0</v>
      </c>
      <c r="N699" t="n">
        <v>0</v>
      </c>
      <c r="O699" t="n">
        <v>0</v>
      </c>
      <c r="P699" t="n">
        <v>0</v>
      </c>
      <c r="Q699" t="n">
        <v>0</v>
      </c>
      <c r="R699" s="2" t="inlineStr"/>
    </row>
    <row r="700" ht="15" customHeight="1">
      <c r="A700" t="inlineStr">
        <is>
          <t>A 59982-2021</t>
        </is>
      </c>
      <c r="B700" s="1" t="n">
        <v>44495</v>
      </c>
      <c r="C700" s="1" t="n">
        <v>45579</v>
      </c>
      <c r="D700" t="inlineStr">
        <is>
          <t>VÄSTERNORRLANDS LÄN</t>
        </is>
      </c>
      <c r="E700" t="inlineStr">
        <is>
          <t>ÅNGE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59972-2021</t>
        </is>
      </c>
      <c r="B701" s="1" t="n">
        <v>44495</v>
      </c>
      <c r="C701" s="1" t="n">
        <v>45579</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59979-2021</t>
        </is>
      </c>
      <c r="B702" s="1" t="n">
        <v>44494</v>
      </c>
      <c r="C702" s="1" t="n">
        <v>45579</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59986-2021</t>
        </is>
      </c>
      <c r="B703" s="1" t="n">
        <v>44494</v>
      </c>
      <c r="C703" s="1" t="n">
        <v>45579</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60296-2021</t>
        </is>
      </c>
      <c r="B704" s="1" t="n">
        <v>44495</v>
      </c>
      <c r="C704" s="1" t="n">
        <v>45579</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61404-2021</t>
        </is>
      </c>
      <c r="B705" s="1" t="n">
        <v>44500</v>
      </c>
      <c r="C705" s="1" t="n">
        <v>45579</v>
      </c>
      <c r="D705" t="inlineStr">
        <is>
          <t>VÄSTERNORRLANDS LÄN</t>
        </is>
      </c>
      <c r="E705" t="inlineStr">
        <is>
          <t>ÅNGE</t>
        </is>
      </c>
      <c r="G705" t="n">
        <v>6.1</v>
      </c>
      <c r="H705" t="n">
        <v>0</v>
      </c>
      <c r="I705" t="n">
        <v>0</v>
      </c>
      <c r="J705" t="n">
        <v>0</v>
      </c>
      <c r="K705" t="n">
        <v>0</v>
      </c>
      <c r="L705" t="n">
        <v>0</v>
      </c>
      <c r="M705" t="n">
        <v>0</v>
      </c>
      <c r="N705" t="n">
        <v>0</v>
      </c>
      <c r="O705" t="n">
        <v>0</v>
      </c>
      <c r="P705" t="n">
        <v>0</v>
      </c>
      <c r="Q705" t="n">
        <v>0</v>
      </c>
      <c r="R705" s="2" t="inlineStr"/>
    </row>
    <row r="706" ht="15" customHeight="1">
      <c r="A706" t="inlineStr">
        <is>
          <t>A 61761-2021</t>
        </is>
      </c>
      <c r="B706" s="1" t="n">
        <v>44501</v>
      </c>
      <c r="C706" s="1" t="n">
        <v>45579</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61909-2021</t>
        </is>
      </c>
      <c r="B707" s="1" t="n">
        <v>44502</v>
      </c>
      <c r="C707" s="1" t="n">
        <v>45579</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61928-2021</t>
        </is>
      </c>
      <c r="B708" s="1" t="n">
        <v>44502</v>
      </c>
      <c r="C708" s="1" t="n">
        <v>45579</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62069-2021</t>
        </is>
      </c>
      <c r="B709" s="1" t="n">
        <v>44502</v>
      </c>
      <c r="C709" s="1" t="n">
        <v>45579</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62127-2021</t>
        </is>
      </c>
      <c r="B710" s="1" t="n">
        <v>44502</v>
      </c>
      <c r="C710" s="1" t="n">
        <v>45579</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62834-2021</t>
        </is>
      </c>
      <c r="B711" s="1" t="n">
        <v>44503</v>
      </c>
      <c r="C711" s="1" t="n">
        <v>45579</v>
      </c>
      <c r="D711" t="inlineStr">
        <is>
          <t>VÄSTERNORRLANDS LÄN</t>
        </is>
      </c>
      <c r="E711" t="inlineStr">
        <is>
          <t>ÅNGE</t>
        </is>
      </c>
      <c r="F711" t="inlineStr">
        <is>
          <t>Övriga statliga verk och myndigheter</t>
        </is>
      </c>
      <c r="G711" t="n">
        <v>2.6</v>
      </c>
      <c r="H711" t="n">
        <v>0</v>
      </c>
      <c r="I711" t="n">
        <v>0</v>
      </c>
      <c r="J711" t="n">
        <v>0</v>
      </c>
      <c r="K711" t="n">
        <v>0</v>
      </c>
      <c r="L711" t="n">
        <v>0</v>
      </c>
      <c r="M711" t="n">
        <v>0</v>
      </c>
      <c r="N711" t="n">
        <v>0</v>
      </c>
      <c r="O711" t="n">
        <v>0</v>
      </c>
      <c r="P711" t="n">
        <v>0</v>
      </c>
      <c r="Q711" t="n">
        <v>0</v>
      </c>
      <c r="R711" s="2" t="inlineStr"/>
    </row>
    <row r="712" ht="15" customHeight="1">
      <c r="A712" t="inlineStr">
        <is>
          <t>A 62870-2021</t>
        </is>
      </c>
      <c r="B712" s="1" t="n">
        <v>44503</v>
      </c>
      <c r="C712" s="1" t="n">
        <v>45579</v>
      </c>
      <c r="D712" t="inlineStr">
        <is>
          <t>VÄSTERNORRLANDS LÄN</t>
        </is>
      </c>
      <c r="E712" t="inlineStr">
        <is>
          <t>ÅNGE</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63148-2021</t>
        </is>
      </c>
      <c r="B713" s="1" t="n">
        <v>44505</v>
      </c>
      <c r="C713" s="1" t="n">
        <v>45579</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63550-2021</t>
        </is>
      </c>
      <c r="B714" s="1" t="n">
        <v>44508</v>
      </c>
      <c r="C714" s="1" t="n">
        <v>45579</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63597-2021</t>
        </is>
      </c>
      <c r="B715" s="1" t="n">
        <v>44508</v>
      </c>
      <c r="C715" s="1" t="n">
        <v>45579</v>
      </c>
      <c r="D715" t="inlineStr">
        <is>
          <t>VÄSTERNORRLANDS LÄN</t>
        </is>
      </c>
      <c r="E715" t="inlineStr">
        <is>
          <t>ÅNGE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63522-2021</t>
        </is>
      </c>
      <c r="B716" s="1" t="n">
        <v>44508</v>
      </c>
      <c r="C716" s="1" t="n">
        <v>45579</v>
      </c>
      <c r="D716" t="inlineStr">
        <is>
          <t>VÄSTERNORRLANDS LÄN</t>
        </is>
      </c>
      <c r="E716" t="inlineStr">
        <is>
          <t>ÅNGE</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63556-2021</t>
        </is>
      </c>
      <c r="B717" s="1" t="n">
        <v>44508</v>
      </c>
      <c r="C717" s="1" t="n">
        <v>45579</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63598-2021</t>
        </is>
      </c>
      <c r="B718" s="1" t="n">
        <v>44508</v>
      </c>
      <c r="C718" s="1" t="n">
        <v>45579</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63607-2021</t>
        </is>
      </c>
      <c r="B719" s="1" t="n">
        <v>44508</v>
      </c>
      <c r="C719" s="1" t="n">
        <v>45579</v>
      </c>
      <c r="D719" t="inlineStr">
        <is>
          <t>VÄSTERNORRLANDS LÄN</t>
        </is>
      </c>
      <c r="E719" t="inlineStr">
        <is>
          <t>ÅNGE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63599-2021</t>
        </is>
      </c>
      <c r="B720" s="1" t="n">
        <v>44508</v>
      </c>
      <c r="C720" s="1" t="n">
        <v>45579</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63608-2021</t>
        </is>
      </c>
      <c r="B721" s="1" t="n">
        <v>44508</v>
      </c>
      <c r="C721" s="1" t="n">
        <v>45579</v>
      </c>
      <c r="D721" t="inlineStr">
        <is>
          <t>VÄSTERNORRLANDS LÄN</t>
        </is>
      </c>
      <c r="E721" t="inlineStr">
        <is>
          <t>ÅNGE</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63609-2021</t>
        </is>
      </c>
      <c r="B722" s="1" t="n">
        <v>44508</v>
      </c>
      <c r="C722" s="1" t="n">
        <v>45579</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63836-2021</t>
        </is>
      </c>
      <c r="B723" s="1" t="n">
        <v>44509</v>
      </c>
      <c r="C723" s="1" t="n">
        <v>45579</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63897-2021</t>
        </is>
      </c>
      <c r="B724" s="1" t="n">
        <v>44509</v>
      </c>
      <c r="C724" s="1" t="n">
        <v>45579</v>
      </c>
      <c r="D724" t="inlineStr">
        <is>
          <t>VÄSTERNORRLANDS LÄN</t>
        </is>
      </c>
      <c r="E724" t="inlineStr">
        <is>
          <t>ÅNGE</t>
        </is>
      </c>
      <c r="G724" t="n">
        <v>4.1</v>
      </c>
      <c r="H724" t="n">
        <v>0</v>
      </c>
      <c r="I724" t="n">
        <v>0</v>
      </c>
      <c r="J724" t="n">
        <v>0</v>
      </c>
      <c r="K724" t="n">
        <v>0</v>
      </c>
      <c r="L724" t="n">
        <v>0</v>
      </c>
      <c r="M724" t="n">
        <v>0</v>
      </c>
      <c r="N724" t="n">
        <v>0</v>
      </c>
      <c r="O724" t="n">
        <v>0</v>
      </c>
      <c r="P724" t="n">
        <v>0</v>
      </c>
      <c r="Q724" t="n">
        <v>0</v>
      </c>
      <c r="R724" s="2" t="inlineStr"/>
    </row>
    <row r="725" ht="15" customHeight="1">
      <c r="A725" t="inlineStr">
        <is>
          <t>A 64121-2021</t>
        </is>
      </c>
      <c r="B725" s="1" t="n">
        <v>44510</v>
      </c>
      <c r="C725" s="1" t="n">
        <v>45579</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64962-2021</t>
        </is>
      </c>
      <c r="B726" s="1" t="n">
        <v>44512</v>
      </c>
      <c r="C726" s="1" t="n">
        <v>45579</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65229-2021</t>
        </is>
      </c>
      <c r="B727" s="1" t="n">
        <v>44515</v>
      </c>
      <c r="C727" s="1" t="n">
        <v>45579</v>
      </c>
      <c r="D727" t="inlineStr">
        <is>
          <t>VÄSTERNORRLANDS LÄN</t>
        </is>
      </c>
      <c r="E727" t="inlineStr">
        <is>
          <t>ÅNGE</t>
        </is>
      </c>
      <c r="G727" t="n">
        <v>12.1</v>
      </c>
      <c r="H727" t="n">
        <v>0</v>
      </c>
      <c r="I727" t="n">
        <v>0</v>
      </c>
      <c r="J727" t="n">
        <v>0</v>
      </c>
      <c r="K727" t="n">
        <v>0</v>
      </c>
      <c r="L727" t="n">
        <v>0</v>
      </c>
      <c r="M727" t="n">
        <v>0</v>
      </c>
      <c r="N727" t="n">
        <v>0</v>
      </c>
      <c r="O727" t="n">
        <v>0</v>
      </c>
      <c r="P727" t="n">
        <v>0</v>
      </c>
      <c r="Q727" t="n">
        <v>0</v>
      </c>
      <c r="R727" s="2" t="inlineStr"/>
    </row>
    <row r="728" ht="15" customHeight="1">
      <c r="A728" t="inlineStr">
        <is>
          <t>A 65425-2021</t>
        </is>
      </c>
      <c r="B728" s="1" t="n">
        <v>44515</v>
      </c>
      <c r="C728" s="1" t="n">
        <v>45579</v>
      </c>
      <c r="D728" t="inlineStr">
        <is>
          <t>VÄSTERNORRLANDS LÄN</t>
        </is>
      </c>
      <c r="E728" t="inlineStr">
        <is>
          <t>ÅNGE</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65435-2021</t>
        </is>
      </c>
      <c r="B729" s="1" t="n">
        <v>44515</v>
      </c>
      <c r="C729" s="1" t="n">
        <v>45579</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65437-2021</t>
        </is>
      </c>
      <c r="B730" s="1" t="n">
        <v>44515</v>
      </c>
      <c r="C730" s="1" t="n">
        <v>45579</v>
      </c>
      <c r="D730" t="inlineStr">
        <is>
          <t>VÄSTERNORRLANDS LÄN</t>
        </is>
      </c>
      <c r="E730" t="inlineStr">
        <is>
          <t>ÅNGE</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65633-2021</t>
        </is>
      </c>
      <c r="B731" s="1" t="n">
        <v>44516</v>
      </c>
      <c r="C731" s="1" t="n">
        <v>45579</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65790-2021</t>
        </is>
      </c>
      <c r="B732" s="1" t="n">
        <v>44516</v>
      </c>
      <c r="C732" s="1" t="n">
        <v>45579</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66229-2021</t>
        </is>
      </c>
      <c r="B733" s="1" t="n">
        <v>44518</v>
      </c>
      <c r="C733" s="1" t="n">
        <v>45579</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66233-2021</t>
        </is>
      </c>
      <c r="B734" s="1" t="n">
        <v>44518</v>
      </c>
      <c r="C734" s="1" t="n">
        <v>45579</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66262-2021</t>
        </is>
      </c>
      <c r="B735" s="1" t="n">
        <v>44518</v>
      </c>
      <c r="C735" s="1" t="n">
        <v>45579</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66265-2021</t>
        </is>
      </c>
      <c r="B736" s="1" t="n">
        <v>44518</v>
      </c>
      <c r="C736" s="1" t="n">
        <v>45579</v>
      </c>
      <c r="D736" t="inlineStr">
        <is>
          <t>VÄSTERNORRLANDS LÄN</t>
        </is>
      </c>
      <c r="E736" t="inlineStr">
        <is>
          <t>ÅNGE</t>
        </is>
      </c>
      <c r="G736" t="n">
        <v>6</v>
      </c>
      <c r="H736" t="n">
        <v>0</v>
      </c>
      <c r="I736" t="n">
        <v>0</v>
      </c>
      <c r="J736" t="n">
        <v>0</v>
      </c>
      <c r="K736" t="n">
        <v>0</v>
      </c>
      <c r="L736" t="n">
        <v>0</v>
      </c>
      <c r="M736" t="n">
        <v>0</v>
      </c>
      <c r="N736" t="n">
        <v>0</v>
      </c>
      <c r="O736" t="n">
        <v>0</v>
      </c>
      <c r="P736" t="n">
        <v>0</v>
      </c>
      <c r="Q736" t="n">
        <v>0</v>
      </c>
      <c r="R736" s="2" t="inlineStr"/>
    </row>
    <row r="737" ht="15" customHeight="1">
      <c r="A737" t="inlineStr">
        <is>
          <t>A 66560-2021</t>
        </is>
      </c>
      <c r="B737" s="1" t="n">
        <v>44519</v>
      </c>
      <c r="C737" s="1" t="n">
        <v>45579</v>
      </c>
      <c r="D737" t="inlineStr">
        <is>
          <t>VÄSTERNORRLANDS LÄN</t>
        </is>
      </c>
      <c r="E737" t="inlineStr">
        <is>
          <t>ÅNGE</t>
        </is>
      </c>
      <c r="G737" t="n">
        <v>2.6</v>
      </c>
      <c r="H737" t="n">
        <v>0</v>
      </c>
      <c r="I737" t="n">
        <v>0</v>
      </c>
      <c r="J737" t="n">
        <v>0</v>
      </c>
      <c r="K737" t="n">
        <v>0</v>
      </c>
      <c r="L737" t="n">
        <v>0</v>
      </c>
      <c r="M737" t="n">
        <v>0</v>
      </c>
      <c r="N737" t="n">
        <v>0</v>
      </c>
      <c r="O737" t="n">
        <v>0</v>
      </c>
      <c r="P737" t="n">
        <v>0</v>
      </c>
      <c r="Q737" t="n">
        <v>0</v>
      </c>
      <c r="R737" s="2" t="inlineStr"/>
    </row>
    <row r="738" ht="15" customHeight="1">
      <c r="A738" t="inlineStr">
        <is>
          <t>A 67396-2021</t>
        </is>
      </c>
      <c r="B738" s="1" t="n">
        <v>44523</v>
      </c>
      <c r="C738" s="1" t="n">
        <v>45579</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67546-2021</t>
        </is>
      </c>
      <c r="B739" s="1" t="n">
        <v>44524</v>
      </c>
      <c r="C739" s="1" t="n">
        <v>45579</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67708-2021</t>
        </is>
      </c>
      <c r="B740" s="1" t="n">
        <v>44524</v>
      </c>
      <c r="C740" s="1" t="n">
        <v>45579</v>
      </c>
      <c r="D740" t="inlineStr">
        <is>
          <t>VÄSTERNORRLANDS LÄN</t>
        </is>
      </c>
      <c r="E740" t="inlineStr">
        <is>
          <t>ÅNGE</t>
        </is>
      </c>
      <c r="G740" t="n">
        <v>4.4</v>
      </c>
      <c r="H740" t="n">
        <v>0</v>
      </c>
      <c r="I740" t="n">
        <v>0</v>
      </c>
      <c r="J740" t="n">
        <v>0</v>
      </c>
      <c r="K740" t="n">
        <v>0</v>
      </c>
      <c r="L740" t="n">
        <v>0</v>
      </c>
      <c r="M740" t="n">
        <v>0</v>
      </c>
      <c r="N740" t="n">
        <v>0</v>
      </c>
      <c r="O740" t="n">
        <v>0</v>
      </c>
      <c r="P740" t="n">
        <v>0</v>
      </c>
      <c r="Q740" t="n">
        <v>0</v>
      </c>
      <c r="R740" s="2" t="inlineStr"/>
    </row>
    <row r="741" ht="15" customHeight="1">
      <c r="A741" t="inlineStr">
        <is>
          <t>A 67712-2021</t>
        </is>
      </c>
      <c r="B741" s="1" t="n">
        <v>44524</v>
      </c>
      <c r="C741" s="1" t="n">
        <v>45579</v>
      </c>
      <c r="D741" t="inlineStr">
        <is>
          <t>VÄSTERNORRLANDS LÄN</t>
        </is>
      </c>
      <c r="E741" t="inlineStr">
        <is>
          <t>ÅNGE</t>
        </is>
      </c>
      <c r="G741" t="n">
        <v>3</v>
      </c>
      <c r="H741" t="n">
        <v>0</v>
      </c>
      <c r="I741" t="n">
        <v>0</v>
      </c>
      <c r="J741" t="n">
        <v>0</v>
      </c>
      <c r="K741" t="n">
        <v>0</v>
      </c>
      <c r="L741" t="n">
        <v>0</v>
      </c>
      <c r="M741" t="n">
        <v>0</v>
      </c>
      <c r="N741" t="n">
        <v>0</v>
      </c>
      <c r="O741" t="n">
        <v>0</v>
      </c>
      <c r="P741" t="n">
        <v>0</v>
      </c>
      <c r="Q741" t="n">
        <v>0</v>
      </c>
      <c r="R741" s="2" t="inlineStr"/>
    </row>
    <row r="742" ht="15" customHeight="1">
      <c r="A742" t="inlineStr">
        <is>
          <t>A 68743-2021</t>
        </is>
      </c>
      <c r="B742" s="1" t="n">
        <v>44529</v>
      </c>
      <c r="C742" s="1" t="n">
        <v>45579</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69736-2021</t>
        </is>
      </c>
      <c r="B743" s="1" t="n">
        <v>44532</v>
      </c>
      <c r="C743" s="1" t="n">
        <v>45579</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69790-2021</t>
        </is>
      </c>
      <c r="B744" s="1" t="n">
        <v>44532</v>
      </c>
      <c r="C744" s="1" t="n">
        <v>45579</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70809-2021</t>
        </is>
      </c>
      <c r="B745" s="1" t="n">
        <v>44537</v>
      </c>
      <c r="C745" s="1" t="n">
        <v>45579</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70899-2021</t>
        </is>
      </c>
      <c r="B746" s="1" t="n">
        <v>44537</v>
      </c>
      <c r="C746" s="1" t="n">
        <v>45579</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70893-2021</t>
        </is>
      </c>
      <c r="B747" s="1" t="n">
        <v>44538</v>
      </c>
      <c r="C747" s="1" t="n">
        <v>45579</v>
      </c>
      <c r="D747" t="inlineStr">
        <is>
          <t>VÄSTERNORRLANDS LÄN</t>
        </is>
      </c>
      <c r="E747" t="inlineStr">
        <is>
          <t>ÅNGE</t>
        </is>
      </c>
      <c r="G747" t="n">
        <v>6.2</v>
      </c>
      <c r="H747" t="n">
        <v>0</v>
      </c>
      <c r="I747" t="n">
        <v>0</v>
      </c>
      <c r="J747" t="n">
        <v>0</v>
      </c>
      <c r="K747" t="n">
        <v>0</v>
      </c>
      <c r="L747" t="n">
        <v>0</v>
      </c>
      <c r="M747" t="n">
        <v>0</v>
      </c>
      <c r="N747" t="n">
        <v>0</v>
      </c>
      <c r="O747" t="n">
        <v>0</v>
      </c>
      <c r="P747" t="n">
        <v>0</v>
      </c>
      <c r="Q747" t="n">
        <v>0</v>
      </c>
      <c r="R747" s="2" t="inlineStr"/>
    </row>
    <row r="748" ht="15" customHeight="1">
      <c r="A748" t="inlineStr">
        <is>
          <t>A 71651-2021</t>
        </is>
      </c>
      <c r="B748" s="1" t="n">
        <v>44538</v>
      </c>
      <c r="C748" s="1" t="n">
        <v>45579</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71669-2021</t>
        </is>
      </c>
      <c r="B749" s="1" t="n">
        <v>44538</v>
      </c>
      <c r="C749" s="1" t="n">
        <v>45579</v>
      </c>
      <c r="D749" t="inlineStr">
        <is>
          <t>VÄSTERNORRLANDS LÄN</t>
        </is>
      </c>
      <c r="E749" t="inlineStr">
        <is>
          <t>ÅNGE</t>
        </is>
      </c>
      <c r="G749" t="n">
        <v>2.1</v>
      </c>
      <c r="H749" t="n">
        <v>0</v>
      </c>
      <c r="I749" t="n">
        <v>0</v>
      </c>
      <c r="J749" t="n">
        <v>0</v>
      </c>
      <c r="K749" t="n">
        <v>0</v>
      </c>
      <c r="L749" t="n">
        <v>0</v>
      </c>
      <c r="M749" t="n">
        <v>0</v>
      </c>
      <c r="N749" t="n">
        <v>0</v>
      </c>
      <c r="O749" t="n">
        <v>0</v>
      </c>
      <c r="P749" t="n">
        <v>0</v>
      </c>
      <c r="Q749" t="n">
        <v>0</v>
      </c>
      <c r="R749" s="2" t="inlineStr"/>
    </row>
    <row r="750" ht="15" customHeight="1">
      <c r="A750" t="inlineStr">
        <is>
          <t>A 71302-2021</t>
        </is>
      </c>
      <c r="B750" s="1" t="n">
        <v>44539</v>
      </c>
      <c r="C750" s="1" t="n">
        <v>45579</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71357-2021</t>
        </is>
      </c>
      <c r="B751" s="1" t="n">
        <v>44539</v>
      </c>
      <c r="C751" s="1" t="n">
        <v>45579</v>
      </c>
      <c r="D751" t="inlineStr">
        <is>
          <t>VÄSTERNORRLANDS LÄN</t>
        </is>
      </c>
      <c r="E751" t="inlineStr">
        <is>
          <t>ÅNGE</t>
        </is>
      </c>
      <c r="G751" t="n">
        <v>5.4</v>
      </c>
      <c r="H751" t="n">
        <v>0</v>
      </c>
      <c r="I751" t="n">
        <v>0</v>
      </c>
      <c r="J751" t="n">
        <v>0</v>
      </c>
      <c r="K751" t="n">
        <v>0</v>
      </c>
      <c r="L751" t="n">
        <v>0</v>
      </c>
      <c r="M751" t="n">
        <v>0</v>
      </c>
      <c r="N751" t="n">
        <v>0</v>
      </c>
      <c r="O751" t="n">
        <v>0</v>
      </c>
      <c r="P751" t="n">
        <v>0</v>
      </c>
      <c r="Q751" t="n">
        <v>0</v>
      </c>
      <c r="R751" s="2" t="inlineStr"/>
    </row>
    <row r="752" ht="15" customHeight="1">
      <c r="A752" t="inlineStr">
        <is>
          <t>A 71396-2021</t>
        </is>
      </c>
      <c r="B752" s="1" t="n">
        <v>44540</v>
      </c>
      <c r="C752" s="1" t="n">
        <v>45579</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71449-2021</t>
        </is>
      </c>
      <c r="B753" s="1" t="n">
        <v>44540</v>
      </c>
      <c r="C753" s="1" t="n">
        <v>45579</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71965-2021</t>
        </is>
      </c>
      <c r="B754" s="1" t="n">
        <v>44544</v>
      </c>
      <c r="C754" s="1" t="n">
        <v>45579</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72239-2021</t>
        </is>
      </c>
      <c r="B755" s="1" t="n">
        <v>44544</v>
      </c>
      <c r="C755" s="1" t="n">
        <v>45579</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74088-2021</t>
        </is>
      </c>
      <c r="B756" s="1" t="n">
        <v>44557</v>
      </c>
      <c r="C756" s="1" t="n">
        <v>45579</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74109-2021</t>
        </is>
      </c>
      <c r="B757" s="1" t="n">
        <v>44557</v>
      </c>
      <c r="C757" s="1" t="n">
        <v>45579</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74194-2021</t>
        </is>
      </c>
      <c r="B758" s="1" t="n">
        <v>44558</v>
      </c>
      <c r="C758" s="1" t="n">
        <v>45579</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1081-2022</t>
        </is>
      </c>
      <c r="B759" s="1" t="n">
        <v>44571</v>
      </c>
      <c r="C759" s="1" t="n">
        <v>45579</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1297-2022</t>
        </is>
      </c>
      <c r="B760" s="1" t="n">
        <v>44572</v>
      </c>
      <c r="C760" s="1" t="n">
        <v>45579</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1869-2022</t>
        </is>
      </c>
      <c r="B761" s="1" t="n">
        <v>44574</v>
      </c>
      <c r="C761" s="1" t="n">
        <v>45579</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v>
      </c>
      <c r="C762" s="1" t="n">
        <v>45579</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45579</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4939-2022</t>
        </is>
      </c>
      <c r="B764" s="1" t="n">
        <v>44593</v>
      </c>
      <c r="C764" s="1" t="n">
        <v>45579</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5113-2022</t>
        </is>
      </c>
      <c r="B765" s="1" t="n">
        <v>44593</v>
      </c>
      <c r="C765" s="1" t="n">
        <v>45579</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5112-2022</t>
        </is>
      </c>
      <c r="B766" s="1" t="n">
        <v>44593</v>
      </c>
      <c r="C766" s="1" t="n">
        <v>45579</v>
      </c>
      <c r="D766" t="inlineStr">
        <is>
          <t>VÄSTERNORRLANDS LÄN</t>
        </is>
      </c>
      <c r="E766" t="inlineStr">
        <is>
          <t>ÅNGE</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5279-2022</t>
        </is>
      </c>
      <c r="B767" s="1" t="n">
        <v>44594</v>
      </c>
      <c r="C767" s="1" t="n">
        <v>45579</v>
      </c>
      <c r="D767" t="inlineStr">
        <is>
          <t>VÄSTERNORRLANDS LÄN</t>
        </is>
      </c>
      <c r="E767" t="inlineStr">
        <is>
          <t>ÅNGE</t>
        </is>
      </c>
      <c r="G767" t="n">
        <v>0.9</v>
      </c>
      <c r="H767" t="n">
        <v>0</v>
      </c>
      <c r="I767" t="n">
        <v>0</v>
      </c>
      <c r="J767" t="n">
        <v>0</v>
      </c>
      <c r="K767" t="n">
        <v>0</v>
      </c>
      <c r="L767" t="n">
        <v>0</v>
      </c>
      <c r="M767" t="n">
        <v>0</v>
      </c>
      <c r="N767" t="n">
        <v>0</v>
      </c>
      <c r="O767" t="n">
        <v>0</v>
      </c>
      <c r="P767" t="n">
        <v>0</v>
      </c>
      <c r="Q767" t="n">
        <v>0</v>
      </c>
      <c r="R767" s="2" t="inlineStr"/>
    </row>
    <row r="768" ht="15" customHeight="1">
      <c r="A768" t="inlineStr">
        <is>
          <t>A 5369-2022</t>
        </is>
      </c>
      <c r="B768" s="1" t="n">
        <v>44594</v>
      </c>
      <c r="C768" s="1" t="n">
        <v>45579</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5381-2022</t>
        </is>
      </c>
      <c r="B769" s="1" t="n">
        <v>44594</v>
      </c>
      <c r="C769" s="1" t="n">
        <v>45579</v>
      </c>
      <c r="D769" t="inlineStr">
        <is>
          <t>VÄSTERNORRLANDS LÄN</t>
        </is>
      </c>
      <c r="E769" t="inlineStr">
        <is>
          <t>ÅNGE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5367-2022</t>
        </is>
      </c>
      <c r="B770" s="1" t="n">
        <v>44594</v>
      </c>
      <c r="C770" s="1" t="n">
        <v>45579</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5366-2022</t>
        </is>
      </c>
      <c r="B771" s="1" t="n">
        <v>44594</v>
      </c>
      <c r="C771" s="1" t="n">
        <v>45579</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5520-2022</t>
        </is>
      </c>
      <c r="B772" s="1" t="n">
        <v>44595</v>
      </c>
      <c r="C772" s="1" t="n">
        <v>45579</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5552-2022</t>
        </is>
      </c>
      <c r="B773" s="1" t="n">
        <v>44595</v>
      </c>
      <c r="C773" s="1" t="n">
        <v>45579</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5565-2022</t>
        </is>
      </c>
      <c r="B774" s="1" t="n">
        <v>44595</v>
      </c>
      <c r="C774" s="1" t="n">
        <v>45579</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6113-2022</t>
        </is>
      </c>
      <c r="B775" s="1" t="n">
        <v>44599</v>
      </c>
      <c r="C775" s="1" t="n">
        <v>45579</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6112-2022</t>
        </is>
      </c>
      <c r="B776" s="1" t="n">
        <v>44599</v>
      </c>
      <c r="C776" s="1" t="n">
        <v>45579</v>
      </c>
      <c r="D776" t="inlineStr">
        <is>
          <t>VÄSTERNORRLANDS LÄN</t>
        </is>
      </c>
      <c r="E776" t="inlineStr">
        <is>
          <t>ÅNGE</t>
        </is>
      </c>
      <c r="G776" t="n">
        <v>5.6</v>
      </c>
      <c r="H776" t="n">
        <v>0</v>
      </c>
      <c r="I776" t="n">
        <v>0</v>
      </c>
      <c r="J776" t="n">
        <v>0</v>
      </c>
      <c r="K776" t="n">
        <v>0</v>
      </c>
      <c r="L776" t="n">
        <v>0</v>
      </c>
      <c r="M776" t="n">
        <v>0</v>
      </c>
      <c r="N776" t="n">
        <v>0</v>
      </c>
      <c r="O776" t="n">
        <v>0</v>
      </c>
      <c r="P776" t="n">
        <v>0</v>
      </c>
      <c r="Q776" t="n">
        <v>0</v>
      </c>
      <c r="R776" s="2" t="inlineStr"/>
    </row>
    <row r="777" ht="15" customHeight="1">
      <c r="A777" t="inlineStr">
        <is>
          <t>A 6115-2022</t>
        </is>
      </c>
      <c r="B777" s="1" t="n">
        <v>44599</v>
      </c>
      <c r="C777" s="1" t="n">
        <v>45579</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6263-2022</t>
        </is>
      </c>
      <c r="B778" s="1" t="n">
        <v>44600</v>
      </c>
      <c r="C778" s="1" t="n">
        <v>45579</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6443-2022</t>
        </is>
      </c>
      <c r="B779" s="1" t="n">
        <v>44601</v>
      </c>
      <c r="C779" s="1" t="n">
        <v>45579</v>
      </c>
      <c r="D779" t="inlineStr">
        <is>
          <t>VÄSTERNORRLANDS LÄN</t>
        </is>
      </c>
      <c r="E779" t="inlineStr">
        <is>
          <t>ÅNGE</t>
        </is>
      </c>
      <c r="G779" t="n">
        <v>3.3</v>
      </c>
      <c r="H779" t="n">
        <v>0</v>
      </c>
      <c r="I779" t="n">
        <v>0</v>
      </c>
      <c r="J779" t="n">
        <v>0</v>
      </c>
      <c r="K779" t="n">
        <v>0</v>
      </c>
      <c r="L779" t="n">
        <v>0</v>
      </c>
      <c r="M779" t="n">
        <v>0</v>
      </c>
      <c r="N779" t="n">
        <v>0</v>
      </c>
      <c r="O779" t="n">
        <v>0</v>
      </c>
      <c r="P779" t="n">
        <v>0</v>
      </c>
      <c r="Q779" t="n">
        <v>0</v>
      </c>
      <c r="R779" s="2" t="inlineStr"/>
    </row>
    <row r="780" ht="15" customHeight="1">
      <c r="A780" t="inlineStr">
        <is>
          <t>A 6677-2022</t>
        </is>
      </c>
      <c r="B780" s="1" t="n">
        <v>44602</v>
      </c>
      <c r="C780" s="1" t="n">
        <v>45579</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6732-2022</t>
        </is>
      </c>
      <c r="B781" s="1" t="n">
        <v>44602</v>
      </c>
      <c r="C781" s="1" t="n">
        <v>45579</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6899-2022</t>
        </is>
      </c>
      <c r="B782" s="1" t="n">
        <v>44602</v>
      </c>
      <c r="C782" s="1" t="n">
        <v>45579</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6898-2022</t>
        </is>
      </c>
      <c r="B783" s="1" t="n">
        <v>44602</v>
      </c>
      <c r="C783" s="1" t="n">
        <v>45579</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7158-2022</t>
        </is>
      </c>
      <c r="B784" s="1" t="n">
        <v>44604</v>
      </c>
      <c r="C784" s="1" t="n">
        <v>45579</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7205-2022</t>
        </is>
      </c>
      <c r="B785" s="1" t="n">
        <v>44606</v>
      </c>
      <c r="C785" s="1" t="n">
        <v>45579</v>
      </c>
      <c r="D785" t="inlineStr">
        <is>
          <t>VÄSTERNORRLANDS LÄN</t>
        </is>
      </c>
      <c r="E785" t="inlineStr">
        <is>
          <t>ÅNGE</t>
        </is>
      </c>
      <c r="G785" t="n">
        <v>20.5</v>
      </c>
      <c r="H785" t="n">
        <v>0</v>
      </c>
      <c r="I785" t="n">
        <v>0</v>
      </c>
      <c r="J785" t="n">
        <v>0</v>
      </c>
      <c r="K785" t="n">
        <v>0</v>
      </c>
      <c r="L785" t="n">
        <v>0</v>
      </c>
      <c r="M785" t="n">
        <v>0</v>
      </c>
      <c r="N785" t="n">
        <v>0</v>
      </c>
      <c r="O785" t="n">
        <v>0</v>
      </c>
      <c r="P785" t="n">
        <v>0</v>
      </c>
      <c r="Q785" t="n">
        <v>0</v>
      </c>
      <c r="R785" s="2" t="inlineStr"/>
    </row>
    <row r="786" ht="15" customHeight="1">
      <c r="A786" t="inlineStr">
        <is>
          <t>A 7298-2022</t>
        </is>
      </c>
      <c r="B786" s="1" t="n">
        <v>44606</v>
      </c>
      <c r="C786" s="1" t="n">
        <v>45579</v>
      </c>
      <c r="D786" t="inlineStr">
        <is>
          <t>VÄSTERNORRLANDS LÄN</t>
        </is>
      </c>
      <c r="E786" t="inlineStr">
        <is>
          <t>ÅNGE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7633-2022</t>
        </is>
      </c>
      <c r="B787" s="1" t="n">
        <v>44607</v>
      </c>
      <c r="C787" s="1" t="n">
        <v>45579</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7649-2022</t>
        </is>
      </c>
      <c r="B788" s="1" t="n">
        <v>44607</v>
      </c>
      <c r="C788" s="1" t="n">
        <v>45579</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8070-2022</t>
        </is>
      </c>
      <c r="B789" s="1" t="n">
        <v>44609</v>
      </c>
      <c r="C789" s="1" t="n">
        <v>45579</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8755-2022</t>
        </is>
      </c>
      <c r="B790" s="1" t="n">
        <v>44614</v>
      </c>
      <c r="C790" s="1" t="n">
        <v>45579</v>
      </c>
      <c r="D790" t="inlineStr">
        <is>
          <t>VÄSTERNORRLANDS LÄN</t>
        </is>
      </c>
      <c r="E790" t="inlineStr">
        <is>
          <t>ÅNGE</t>
        </is>
      </c>
      <c r="G790" t="n">
        <v>2</v>
      </c>
      <c r="H790" t="n">
        <v>0</v>
      </c>
      <c r="I790" t="n">
        <v>0</v>
      </c>
      <c r="J790" t="n">
        <v>0</v>
      </c>
      <c r="K790" t="n">
        <v>0</v>
      </c>
      <c r="L790" t="n">
        <v>0</v>
      </c>
      <c r="M790" t="n">
        <v>0</v>
      </c>
      <c r="N790" t="n">
        <v>0</v>
      </c>
      <c r="O790" t="n">
        <v>0</v>
      </c>
      <c r="P790" t="n">
        <v>0</v>
      </c>
      <c r="Q790" t="n">
        <v>0</v>
      </c>
      <c r="R790" s="2" t="inlineStr"/>
    </row>
    <row r="791" ht="15" customHeight="1">
      <c r="A791" t="inlineStr">
        <is>
          <t>A 8747-2022</t>
        </is>
      </c>
      <c r="B791" s="1" t="n">
        <v>44614</v>
      </c>
      <c r="C791" s="1" t="n">
        <v>45579</v>
      </c>
      <c r="D791" t="inlineStr">
        <is>
          <t>VÄSTERNORRLANDS LÄN</t>
        </is>
      </c>
      <c r="E791" t="inlineStr">
        <is>
          <t>ÅNGE</t>
        </is>
      </c>
      <c r="G791" t="n">
        <v>1.5</v>
      </c>
      <c r="H791" t="n">
        <v>0</v>
      </c>
      <c r="I791" t="n">
        <v>0</v>
      </c>
      <c r="J791" t="n">
        <v>0</v>
      </c>
      <c r="K791" t="n">
        <v>0</v>
      </c>
      <c r="L791" t="n">
        <v>0</v>
      </c>
      <c r="M791" t="n">
        <v>0</v>
      </c>
      <c r="N791" t="n">
        <v>0</v>
      </c>
      <c r="O791" t="n">
        <v>0</v>
      </c>
      <c r="P791" t="n">
        <v>0</v>
      </c>
      <c r="Q791" t="n">
        <v>0</v>
      </c>
      <c r="R791" s="2" t="inlineStr"/>
    </row>
    <row r="792" ht="15" customHeight="1">
      <c r="A792" t="inlineStr">
        <is>
          <t>A 9480-2022</t>
        </is>
      </c>
      <c r="B792" s="1" t="n">
        <v>44616</v>
      </c>
      <c r="C792" s="1" t="n">
        <v>45579</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9544-2022</t>
        </is>
      </c>
      <c r="B793" s="1" t="n">
        <v>44617</v>
      </c>
      <c r="C793" s="1" t="n">
        <v>45579</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9911-2022</t>
        </is>
      </c>
      <c r="B794" s="1" t="n">
        <v>44620</v>
      </c>
      <c r="C794" s="1" t="n">
        <v>45579</v>
      </c>
      <c r="D794" t="inlineStr">
        <is>
          <t>VÄSTERNORRLANDS LÄN</t>
        </is>
      </c>
      <c r="E794" t="inlineStr">
        <is>
          <t>ÅNGE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9998-2022</t>
        </is>
      </c>
      <c r="B795" s="1" t="n">
        <v>44621</v>
      </c>
      <c r="C795" s="1" t="n">
        <v>45579</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10113-2022</t>
        </is>
      </c>
      <c r="B796" s="1" t="n">
        <v>44621</v>
      </c>
      <c r="C796" s="1" t="n">
        <v>45579</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10313-2022</t>
        </is>
      </c>
      <c r="B797" s="1" t="n">
        <v>44622</v>
      </c>
      <c r="C797" s="1" t="n">
        <v>45579</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10331-2022</t>
        </is>
      </c>
      <c r="B798" s="1" t="n">
        <v>44622</v>
      </c>
      <c r="C798" s="1" t="n">
        <v>45579</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10680-2022</t>
        </is>
      </c>
      <c r="B799" s="1" t="n">
        <v>44624</v>
      </c>
      <c r="C799" s="1" t="n">
        <v>45579</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10686-2022</t>
        </is>
      </c>
      <c r="B800" s="1" t="n">
        <v>44624</v>
      </c>
      <c r="C800" s="1" t="n">
        <v>45579</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10687-2022</t>
        </is>
      </c>
      <c r="B801" s="1" t="n">
        <v>44624</v>
      </c>
      <c r="C801" s="1" t="n">
        <v>45579</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10933-2022</t>
        </is>
      </c>
      <c r="B802" s="1" t="n">
        <v>44627</v>
      </c>
      <c r="C802" s="1" t="n">
        <v>45579</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11098-2022</t>
        </is>
      </c>
      <c r="B803" s="1" t="n">
        <v>44628</v>
      </c>
      <c r="C803" s="1" t="n">
        <v>45579</v>
      </c>
      <c r="D803" t="inlineStr">
        <is>
          <t>VÄSTERNORRLANDS LÄN</t>
        </is>
      </c>
      <c r="E803" t="inlineStr">
        <is>
          <t>ÅNGE</t>
        </is>
      </c>
      <c r="G803" t="n">
        <v>8.9</v>
      </c>
      <c r="H803" t="n">
        <v>0</v>
      </c>
      <c r="I803" t="n">
        <v>0</v>
      </c>
      <c r="J803" t="n">
        <v>0</v>
      </c>
      <c r="K803" t="n">
        <v>0</v>
      </c>
      <c r="L803" t="n">
        <v>0</v>
      </c>
      <c r="M803" t="n">
        <v>0</v>
      </c>
      <c r="N803" t="n">
        <v>0</v>
      </c>
      <c r="O803" t="n">
        <v>0</v>
      </c>
      <c r="P803" t="n">
        <v>0</v>
      </c>
      <c r="Q803" t="n">
        <v>0</v>
      </c>
      <c r="R803" s="2" t="inlineStr"/>
    </row>
    <row r="804" ht="15" customHeight="1">
      <c r="A804" t="inlineStr">
        <is>
          <t>A 11306-2022</t>
        </is>
      </c>
      <c r="B804" s="1" t="n">
        <v>44629</v>
      </c>
      <c r="C804" s="1" t="n">
        <v>45579</v>
      </c>
      <c r="D804" t="inlineStr">
        <is>
          <t>VÄSTERNORRLANDS LÄN</t>
        </is>
      </c>
      <c r="E804" t="inlineStr">
        <is>
          <t>ÅNGE</t>
        </is>
      </c>
      <c r="F804" t="inlineStr">
        <is>
          <t>SCA</t>
        </is>
      </c>
      <c r="G804" t="n">
        <v>15.6</v>
      </c>
      <c r="H804" t="n">
        <v>0</v>
      </c>
      <c r="I804" t="n">
        <v>0</v>
      </c>
      <c r="J804" t="n">
        <v>0</v>
      </c>
      <c r="K804" t="n">
        <v>0</v>
      </c>
      <c r="L804" t="n">
        <v>0</v>
      </c>
      <c r="M804" t="n">
        <v>0</v>
      </c>
      <c r="N804" t="n">
        <v>0</v>
      </c>
      <c r="O804" t="n">
        <v>0</v>
      </c>
      <c r="P804" t="n">
        <v>0</v>
      </c>
      <c r="Q804" t="n">
        <v>0</v>
      </c>
      <c r="R804" s="2" t="inlineStr"/>
    </row>
    <row r="805" ht="15" customHeight="1">
      <c r="A805" t="inlineStr">
        <is>
          <t>A 11843-2022</t>
        </is>
      </c>
      <c r="B805" s="1" t="n">
        <v>44634</v>
      </c>
      <c r="C805" s="1" t="n">
        <v>45579</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12021-2022</t>
        </is>
      </c>
      <c r="B806" s="1" t="n">
        <v>44635</v>
      </c>
      <c r="C806" s="1" t="n">
        <v>45579</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12797-2022</t>
        </is>
      </c>
      <c r="B807" s="1" t="n">
        <v>44641</v>
      </c>
      <c r="C807" s="1" t="n">
        <v>45579</v>
      </c>
      <c r="D807" t="inlineStr">
        <is>
          <t>VÄSTERNORRLANDS LÄN</t>
        </is>
      </c>
      <c r="E807" t="inlineStr">
        <is>
          <t>ÅNGE</t>
        </is>
      </c>
      <c r="G807" t="n">
        <v>7.1</v>
      </c>
      <c r="H807" t="n">
        <v>0</v>
      </c>
      <c r="I807" t="n">
        <v>0</v>
      </c>
      <c r="J807" t="n">
        <v>0</v>
      </c>
      <c r="K807" t="n">
        <v>0</v>
      </c>
      <c r="L807" t="n">
        <v>0</v>
      </c>
      <c r="M807" t="n">
        <v>0</v>
      </c>
      <c r="N807" t="n">
        <v>0</v>
      </c>
      <c r="O807" t="n">
        <v>0</v>
      </c>
      <c r="P807" t="n">
        <v>0</v>
      </c>
      <c r="Q807" t="n">
        <v>0</v>
      </c>
      <c r="R807" s="2" t="inlineStr"/>
    </row>
    <row r="808" ht="15" customHeight="1">
      <c r="A808" t="inlineStr">
        <is>
          <t>A 12948-2022</t>
        </is>
      </c>
      <c r="B808" s="1" t="n">
        <v>44642</v>
      </c>
      <c r="C808" s="1" t="n">
        <v>45579</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13164-2022</t>
        </is>
      </c>
      <c r="B809" s="1" t="n">
        <v>44644</v>
      </c>
      <c r="C809" s="1" t="n">
        <v>45579</v>
      </c>
      <c r="D809" t="inlineStr">
        <is>
          <t>VÄSTERNORRLANDS LÄN</t>
        </is>
      </c>
      <c r="E809" t="inlineStr">
        <is>
          <t>ÅNGE</t>
        </is>
      </c>
      <c r="G809" t="n">
        <v>1.8</v>
      </c>
      <c r="H809" t="n">
        <v>0</v>
      </c>
      <c r="I809" t="n">
        <v>0</v>
      </c>
      <c r="J809" t="n">
        <v>0</v>
      </c>
      <c r="K809" t="n">
        <v>0</v>
      </c>
      <c r="L809" t="n">
        <v>0</v>
      </c>
      <c r="M809" t="n">
        <v>0</v>
      </c>
      <c r="N809" t="n">
        <v>0</v>
      </c>
      <c r="O809" t="n">
        <v>0</v>
      </c>
      <c r="P809" t="n">
        <v>0</v>
      </c>
      <c r="Q809" t="n">
        <v>0</v>
      </c>
      <c r="R809" s="2" t="inlineStr"/>
    </row>
    <row r="810" ht="15" customHeight="1">
      <c r="A810" t="inlineStr">
        <is>
          <t>A 13628-2022</t>
        </is>
      </c>
      <c r="B810" s="1" t="n">
        <v>44648</v>
      </c>
      <c r="C810" s="1" t="n">
        <v>45579</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13648-2022</t>
        </is>
      </c>
      <c r="B811" s="1" t="n">
        <v>44648</v>
      </c>
      <c r="C811" s="1" t="n">
        <v>45579</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13641-2022</t>
        </is>
      </c>
      <c r="B812" s="1" t="n">
        <v>44648</v>
      </c>
      <c r="C812" s="1" t="n">
        <v>45579</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13680-2022</t>
        </is>
      </c>
      <c r="B813" s="1" t="n">
        <v>44648</v>
      </c>
      <c r="C813" s="1" t="n">
        <v>45579</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13872-2022</t>
        </is>
      </c>
      <c r="B814" s="1" t="n">
        <v>44650</v>
      </c>
      <c r="C814" s="1" t="n">
        <v>45579</v>
      </c>
      <c r="D814" t="inlineStr">
        <is>
          <t>VÄSTERNORRLANDS LÄN</t>
        </is>
      </c>
      <c r="E814" t="inlineStr">
        <is>
          <t>ÅNGE</t>
        </is>
      </c>
      <c r="G814" t="n">
        <v>10.3</v>
      </c>
      <c r="H814" t="n">
        <v>0</v>
      </c>
      <c r="I814" t="n">
        <v>0</v>
      </c>
      <c r="J814" t="n">
        <v>0</v>
      </c>
      <c r="K814" t="n">
        <v>0</v>
      </c>
      <c r="L814" t="n">
        <v>0</v>
      </c>
      <c r="M814" t="n">
        <v>0</v>
      </c>
      <c r="N814" t="n">
        <v>0</v>
      </c>
      <c r="O814" t="n">
        <v>0</v>
      </c>
      <c r="P814" t="n">
        <v>0</v>
      </c>
      <c r="Q814" t="n">
        <v>0</v>
      </c>
      <c r="R814" s="2" t="inlineStr"/>
    </row>
    <row r="815" ht="15" customHeight="1">
      <c r="A815" t="inlineStr">
        <is>
          <t>A 13874-2022</t>
        </is>
      </c>
      <c r="B815" s="1" t="n">
        <v>44649</v>
      </c>
      <c r="C815" s="1" t="n">
        <v>45579</v>
      </c>
      <c r="D815" t="inlineStr">
        <is>
          <t>VÄSTERNORRLANDS LÄN</t>
        </is>
      </c>
      <c r="E815" t="inlineStr">
        <is>
          <t>ÅNGE</t>
        </is>
      </c>
      <c r="G815" t="n">
        <v>3.9</v>
      </c>
      <c r="H815" t="n">
        <v>0</v>
      </c>
      <c r="I815" t="n">
        <v>0</v>
      </c>
      <c r="J815" t="n">
        <v>0</v>
      </c>
      <c r="K815" t="n">
        <v>0</v>
      </c>
      <c r="L815" t="n">
        <v>0</v>
      </c>
      <c r="M815" t="n">
        <v>0</v>
      </c>
      <c r="N815" t="n">
        <v>0</v>
      </c>
      <c r="O815" t="n">
        <v>0</v>
      </c>
      <c r="P815" t="n">
        <v>0</v>
      </c>
      <c r="Q815" t="n">
        <v>0</v>
      </c>
      <c r="R815" s="2" t="inlineStr"/>
    </row>
    <row r="816" ht="15" customHeight="1">
      <c r="A816" t="inlineStr">
        <is>
          <t>A 13875-2022</t>
        </is>
      </c>
      <c r="B816" s="1" t="n">
        <v>44649</v>
      </c>
      <c r="C816" s="1" t="n">
        <v>45579</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14091-2022</t>
        </is>
      </c>
      <c r="B817" s="1" t="n">
        <v>44651</v>
      </c>
      <c r="C817" s="1" t="n">
        <v>45579</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14097-2022</t>
        </is>
      </c>
      <c r="B818" s="1" t="n">
        <v>44651</v>
      </c>
      <c r="C818" s="1" t="n">
        <v>45579</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14084-2022</t>
        </is>
      </c>
      <c r="B819" s="1" t="n">
        <v>44651</v>
      </c>
      <c r="C819" s="1" t="n">
        <v>45579</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14433-2022</t>
        </is>
      </c>
      <c r="B820" s="1" t="n">
        <v>44652</v>
      </c>
      <c r="C820" s="1" t="n">
        <v>45579</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14813-2022</t>
        </is>
      </c>
      <c r="B821" s="1" t="n">
        <v>44656</v>
      </c>
      <c r="C821" s="1" t="n">
        <v>45579</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14888-2022</t>
        </is>
      </c>
      <c r="B822" s="1" t="n">
        <v>44656</v>
      </c>
      <c r="C822" s="1" t="n">
        <v>45579</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14885-2022</t>
        </is>
      </c>
      <c r="B823" s="1" t="n">
        <v>44656</v>
      </c>
      <c r="C823" s="1" t="n">
        <v>45579</v>
      </c>
      <c r="D823" t="inlineStr">
        <is>
          <t>VÄSTERNORRLANDS LÄN</t>
        </is>
      </c>
      <c r="E823" t="inlineStr">
        <is>
          <t>ÅNGE</t>
        </is>
      </c>
      <c r="G823" t="n">
        <v>4</v>
      </c>
      <c r="H823" t="n">
        <v>0</v>
      </c>
      <c r="I823" t="n">
        <v>0</v>
      </c>
      <c r="J823" t="n">
        <v>0</v>
      </c>
      <c r="K823" t="n">
        <v>0</v>
      </c>
      <c r="L823" t="n">
        <v>0</v>
      </c>
      <c r="M823" t="n">
        <v>0</v>
      </c>
      <c r="N823" t="n">
        <v>0</v>
      </c>
      <c r="O823" t="n">
        <v>0</v>
      </c>
      <c r="P823" t="n">
        <v>0</v>
      </c>
      <c r="Q823" t="n">
        <v>0</v>
      </c>
      <c r="R823" s="2" t="inlineStr"/>
    </row>
    <row r="824" ht="15" customHeight="1">
      <c r="A824" t="inlineStr">
        <is>
          <t>A 14889-2022</t>
        </is>
      </c>
      <c r="B824" s="1" t="n">
        <v>44656</v>
      </c>
      <c r="C824" s="1" t="n">
        <v>45579</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14949-2022</t>
        </is>
      </c>
      <c r="B825" s="1" t="n">
        <v>44657</v>
      </c>
      <c r="C825" s="1" t="n">
        <v>45579</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15863-2022</t>
        </is>
      </c>
      <c r="B826" s="1" t="n">
        <v>44664</v>
      </c>
      <c r="C826" s="1" t="n">
        <v>45579</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16038-2022</t>
        </is>
      </c>
      <c r="B827" s="1" t="n">
        <v>44665</v>
      </c>
      <c r="C827" s="1" t="n">
        <v>45579</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16058-2022</t>
        </is>
      </c>
      <c r="B828" s="1" t="n">
        <v>44665</v>
      </c>
      <c r="C828" s="1" t="n">
        <v>45579</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17047-2022</t>
        </is>
      </c>
      <c r="B829" s="1" t="n">
        <v>44677</v>
      </c>
      <c r="C829" s="1" t="n">
        <v>45579</v>
      </c>
      <c r="D829" t="inlineStr">
        <is>
          <t>VÄSTERNORRLANDS LÄN</t>
        </is>
      </c>
      <c r="E829" t="inlineStr">
        <is>
          <t>ÅNGE</t>
        </is>
      </c>
      <c r="G829" t="n">
        <v>4.2</v>
      </c>
      <c r="H829" t="n">
        <v>0</v>
      </c>
      <c r="I829" t="n">
        <v>0</v>
      </c>
      <c r="J829" t="n">
        <v>0</v>
      </c>
      <c r="K829" t="n">
        <v>0</v>
      </c>
      <c r="L829" t="n">
        <v>0</v>
      </c>
      <c r="M829" t="n">
        <v>0</v>
      </c>
      <c r="N829" t="n">
        <v>0</v>
      </c>
      <c r="O829" t="n">
        <v>0</v>
      </c>
      <c r="P829" t="n">
        <v>0</v>
      </c>
      <c r="Q829" t="n">
        <v>0</v>
      </c>
      <c r="R829" s="2" t="inlineStr"/>
    </row>
    <row r="830" ht="15" customHeight="1">
      <c r="A830" t="inlineStr">
        <is>
          <t>A 17044-2022</t>
        </is>
      </c>
      <c r="B830" s="1" t="n">
        <v>44676</v>
      </c>
      <c r="C830" s="1" t="n">
        <v>45579</v>
      </c>
      <c r="D830" t="inlineStr">
        <is>
          <t>VÄSTERNORRLANDS LÄN</t>
        </is>
      </c>
      <c r="E830" t="inlineStr">
        <is>
          <t>ÅNGE</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17144-2022</t>
        </is>
      </c>
      <c r="B831" s="1" t="n">
        <v>44677</v>
      </c>
      <c r="C831" s="1" t="n">
        <v>45579</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44678</v>
      </c>
      <c r="C832" s="1" t="n">
        <v>45579</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17220-2022</t>
        </is>
      </c>
      <c r="B833" s="1" t="n">
        <v>44678</v>
      </c>
      <c r="C833" s="1" t="n">
        <v>45579</v>
      </c>
      <c r="D833" t="inlineStr">
        <is>
          <t>VÄSTERNORRLANDS LÄN</t>
        </is>
      </c>
      <c r="E833" t="inlineStr">
        <is>
          <t>ÅNGE</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17242-2022</t>
        </is>
      </c>
      <c r="B834" s="1" t="n">
        <v>44679</v>
      </c>
      <c r="C834" s="1" t="n">
        <v>45579</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17580-2022</t>
        </is>
      </c>
      <c r="B835" s="1" t="n">
        <v>44679</v>
      </c>
      <c r="C835" s="1" t="n">
        <v>45579</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18020-2022</t>
        </is>
      </c>
      <c r="B836" s="1" t="n">
        <v>44684</v>
      </c>
      <c r="C836" s="1" t="n">
        <v>45579</v>
      </c>
      <c r="D836" t="inlineStr">
        <is>
          <t>VÄSTERNORRLANDS LÄN</t>
        </is>
      </c>
      <c r="E836" t="inlineStr">
        <is>
          <t>ÅNGE</t>
        </is>
      </c>
      <c r="F836" t="inlineStr">
        <is>
          <t>SCA</t>
        </is>
      </c>
      <c r="G836" t="n">
        <v>28.8</v>
      </c>
      <c r="H836" t="n">
        <v>0</v>
      </c>
      <c r="I836" t="n">
        <v>0</v>
      </c>
      <c r="J836" t="n">
        <v>0</v>
      </c>
      <c r="K836" t="n">
        <v>0</v>
      </c>
      <c r="L836" t="n">
        <v>0</v>
      </c>
      <c r="M836" t="n">
        <v>0</v>
      </c>
      <c r="N836" t="n">
        <v>0</v>
      </c>
      <c r="O836" t="n">
        <v>0</v>
      </c>
      <c r="P836" t="n">
        <v>0</v>
      </c>
      <c r="Q836" t="n">
        <v>0</v>
      </c>
      <c r="R836" s="2" t="inlineStr"/>
    </row>
    <row r="837" ht="15" customHeight="1">
      <c r="A837" t="inlineStr">
        <is>
          <t>A 18024-2022</t>
        </is>
      </c>
      <c r="B837" s="1" t="n">
        <v>44684</v>
      </c>
      <c r="C837" s="1" t="n">
        <v>45579</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17963-2022</t>
        </is>
      </c>
      <c r="B838" s="1" t="n">
        <v>44683</v>
      </c>
      <c r="C838" s="1" t="n">
        <v>45579</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18562-2022</t>
        </is>
      </c>
      <c r="B839" s="1" t="n">
        <v>44686</v>
      </c>
      <c r="C839" s="1" t="n">
        <v>45579</v>
      </c>
      <c r="D839" t="inlineStr">
        <is>
          <t>VÄSTERNORRLANDS LÄN</t>
        </is>
      </c>
      <c r="E839" t="inlineStr">
        <is>
          <t>ÅNGE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45579</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18989-2022</t>
        </is>
      </c>
      <c r="B841" s="1" t="n">
        <v>44690</v>
      </c>
      <c r="C841" s="1" t="n">
        <v>45579</v>
      </c>
      <c r="D841" t="inlineStr">
        <is>
          <t>VÄSTERNORRLANDS LÄN</t>
        </is>
      </c>
      <c r="E841" t="inlineStr">
        <is>
          <t>ÅNGE</t>
        </is>
      </c>
      <c r="F841" t="inlineStr">
        <is>
          <t>SCA</t>
        </is>
      </c>
      <c r="G841" t="n">
        <v>37.8</v>
      </c>
      <c r="H841" t="n">
        <v>0</v>
      </c>
      <c r="I841" t="n">
        <v>0</v>
      </c>
      <c r="J841" t="n">
        <v>0</v>
      </c>
      <c r="K841" t="n">
        <v>0</v>
      </c>
      <c r="L841" t="n">
        <v>0</v>
      </c>
      <c r="M841" t="n">
        <v>0</v>
      </c>
      <c r="N841" t="n">
        <v>0</v>
      </c>
      <c r="O841" t="n">
        <v>0</v>
      </c>
      <c r="P841" t="n">
        <v>0</v>
      </c>
      <c r="Q841" t="n">
        <v>0</v>
      </c>
      <c r="R841" s="2" t="inlineStr"/>
      <c r="U841">
        <f>HYPERLINK("https://klasma.github.io/Logging_2260/knärot/A 18989-2022 karta knärot.png", "A 18989-2022")</f>
        <v/>
      </c>
      <c r="V841">
        <f>HYPERLINK("https://klasma.github.io/Logging_2260/klagomål/A 18989-2022 FSC-klagomål.docx", "A 18989-2022")</f>
        <v/>
      </c>
      <c r="W841">
        <f>HYPERLINK("https://klasma.github.io/Logging_2260/klagomålsmail/A 18989-2022 FSC-klagomål mail.docx", "A 18989-2022")</f>
        <v/>
      </c>
      <c r="X841">
        <f>HYPERLINK("https://klasma.github.io/Logging_2260/tillsyn/A 18989-2022 tillsynsbegäran.docx", "A 18989-2022")</f>
        <v/>
      </c>
      <c r="Y841">
        <f>HYPERLINK("https://klasma.github.io/Logging_2260/tillsynsmail/A 18989-2022 tillsynsbegäran mail.docx", "A 18989-2022")</f>
        <v/>
      </c>
    </row>
    <row r="842" ht="15" customHeight="1">
      <c r="A842" t="inlineStr">
        <is>
          <t>A 19166-2022</t>
        </is>
      </c>
      <c r="B842" s="1" t="n">
        <v>44691</v>
      </c>
      <c r="C842" s="1" t="n">
        <v>45579</v>
      </c>
      <c r="D842" t="inlineStr">
        <is>
          <t>VÄSTERNORRLANDS LÄN</t>
        </is>
      </c>
      <c r="E842" t="inlineStr">
        <is>
          <t>ÅNGE</t>
        </is>
      </c>
      <c r="F842" t="inlineStr">
        <is>
          <t>Holmen skog AB</t>
        </is>
      </c>
      <c r="G842" t="n">
        <v>5.4</v>
      </c>
      <c r="H842" t="n">
        <v>0</v>
      </c>
      <c r="I842" t="n">
        <v>0</v>
      </c>
      <c r="J842" t="n">
        <v>0</v>
      </c>
      <c r="K842" t="n">
        <v>0</v>
      </c>
      <c r="L842" t="n">
        <v>0</v>
      </c>
      <c r="M842" t="n">
        <v>0</v>
      </c>
      <c r="N842" t="n">
        <v>0</v>
      </c>
      <c r="O842" t="n">
        <v>0</v>
      </c>
      <c r="P842" t="n">
        <v>0</v>
      </c>
      <c r="Q842" t="n">
        <v>0</v>
      </c>
      <c r="R842" s="2" t="inlineStr"/>
    </row>
    <row r="843" ht="15" customHeight="1">
      <c r="A843" t="inlineStr">
        <is>
          <t>A 19035-2022</t>
        </is>
      </c>
      <c r="B843" s="1" t="n">
        <v>44691</v>
      </c>
      <c r="C843" s="1" t="n">
        <v>45579</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19236-2022</t>
        </is>
      </c>
      <c r="B844" s="1" t="n">
        <v>44692</v>
      </c>
      <c r="C844" s="1" t="n">
        <v>45579</v>
      </c>
      <c r="D844" t="inlineStr">
        <is>
          <t>VÄSTERNORRLANDS LÄN</t>
        </is>
      </c>
      <c r="E844" t="inlineStr">
        <is>
          <t>ÅNGE</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19592-2022</t>
        </is>
      </c>
      <c r="B845" s="1" t="n">
        <v>44694</v>
      </c>
      <c r="C845" s="1" t="n">
        <v>45579</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45579</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20229-2022</t>
        </is>
      </c>
      <c r="B847" s="1" t="n">
        <v>44698</v>
      </c>
      <c r="C847" s="1" t="n">
        <v>45579</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20369-2022</t>
        </is>
      </c>
      <c r="B848" s="1" t="n">
        <v>44699</v>
      </c>
      <c r="C848" s="1" t="n">
        <v>45579</v>
      </c>
      <c r="D848" t="inlineStr">
        <is>
          <t>VÄSTERNORRLANDS LÄN</t>
        </is>
      </c>
      <c r="E848" t="inlineStr">
        <is>
          <t>ÅNGE</t>
        </is>
      </c>
      <c r="G848" t="n">
        <v>5.5</v>
      </c>
      <c r="H848" t="n">
        <v>0</v>
      </c>
      <c r="I848" t="n">
        <v>0</v>
      </c>
      <c r="J848" t="n">
        <v>0</v>
      </c>
      <c r="K848" t="n">
        <v>0</v>
      </c>
      <c r="L848" t="n">
        <v>0</v>
      </c>
      <c r="M848" t="n">
        <v>0</v>
      </c>
      <c r="N848" t="n">
        <v>0</v>
      </c>
      <c r="O848" t="n">
        <v>0</v>
      </c>
      <c r="P848" t="n">
        <v>0</v>
      </c>
      <c r="Q848" t="n">
        <v>0</v>
      </c>
      <c r="R848" s="2" t="inlineStr"/>
    </row>
    <row r="849" ht="15" customHeight="1">
      <c r="A849" t="inlineStr">
        <is>
          <t>A 20393-2022</t>
        </is>
      </c>
      <c r="B849" s="1" t="n">
        <v>44699</v>
      </c>
      <c r="C849" s="1" t="n">
        <v>45579</v>
      </c>
      <c r="D849" t="inlineStr">
        <is>
          <t>VÄSTERNORRLANDS LÄN</t>
        </is>
      </c>
      <c r="E849" t="inlineStr">
        <is>
          <t>ÅNGE</t>
        </is>
      </c>
      <c r="G849" t="n">
        <v>6.9</v>
      </c>
      <c r="H849" t="n">
        <v>0</v>
      </c>
      <c r="I849" t="n">
        <v>0</v>
      </c>
      <c r="J849" t="n">
        <v>0</v>
      </c>
      <c r="K849" t="n">
        <v>0</v>
      </c>
      <c r="L849" t="n">
        <v>0</v>
      </c>
      <c r="M849" t="n">
        <v>0</v>
      </c>
      <c r="N849" t="n">
        <v>0</v>
      </c>
      <c r="O849" t="n">
        <v>0</v>
      </c>
      <c r="P849" t="n">
        <v>0</v>
      </c>
      <c r="Q849" t="n">
        <v>0</v>
      </c>
      <c r="R849" s="2" t="inlineStr"/>
    </row>
    <row r="850" ht="15" customHeight="1">
      <c r="A850" t="inlineStr">
        <is>
          <t>A 20943-2022</t>
        </is>
      </c>
      <c r="B850" s="1" t="n">
        <v>44701</v>
      </c>
      <c r="C850" s="1" t="n">
        <v>45579</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21412-2022</t>
        </is>
      </c>
      <c r="B851" s="1" t="n">
        <v>44705</v>
      </c>
      <c r="C851" s="1" t="n">
        <v>45579</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21406-2022</t>
        </is>
      </c>
      <c r="B852" s="1" t="n">
        <v>44706</v>
      </c>
      <c r="C852" s="1" t="n">
        <v>45579</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21409-2022</t>
        </is>
      </c>
      <c r="B853" s="1" t="n">
        <v>44706</v>
      </c>
      <c r="C853" s="1" t="n">
        <v>45579</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21740-2022</t>
        </is>
      </c>
      <c r="B854" s="1" t="n">
        <v>44708</v>
      </c>
      <c r="C854" s="1" t="n">
        <v>45579</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21744-2022</t>
        </is>
      </c>
      <c r="B855" s="1" t="n">
        <v>44708</v>
      </c>
      <c r="C855" s="1" t="n">
        <v>45579</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23999-2022</t>
        </is>
      </c>
      <c r="B856" s="1" t="n">
        <v>44723</v>
      </c>
      <c r="C856" s="1" t="n">
        <v>45579</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24324-2022</t>
        </is>
      </c>
      <c r="B857" s="1" t="n">
        <v>44726</v>
      </c>
      <c r="C857" s="1" t="n">
        <v>45579</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24325-2022</t>
        </is>
      </c>
      <c r="B858" s="1" t="n">
        <v>44726</v>
      </c>
      <c r="C858" s="1" t="n">
        <v>45579</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24355-2022</t>
        </is>
      </c>
      <c r="B859" s="1" t="n">
        <v>44726</v>
      </c>
      <c r="C859" s="1" t="n">
        <v>45579</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24353-2022</t>
        </is>
      </c>
      <c r="B860" s="1" t="n">
        <v>44726</v>
      </c>
      <c r="C860" s="1" t="n">
        <v>45579</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24527-2022</t>
        </is>
      </c>
      <c r="B861" s="1" t="n">
        <v>44726</v>
      </c>
      <c r="C861" s="1" t="n">
        <v>45579</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25023-2022</t>
        </is>
      </c>
      <c r="B862" s="1" t="n">
        <v>44728</v>
      </c>
      <c r="C862" s="1" t="n">
        <v>45579</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25903-2022</t>
        </is>
      </c>
      <c r="B863" s="1" t="n">
        <v>44733</v>
      </c>
      <c r="C863" s="1" t="n">
        <v>45579</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25900-2022</t>
        </is>
      </c>
      <c r="B864" s="1" t="n">
        <v>44734</v>
      </c>
      <c r="C864" s="1" t="n">
        <v>45579</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25973-2022</t>
        </is>
      </c>
      <c r="B865" s="1" t="n">
        <v>44734</v>
      </c>
      <c r="C865" s="1" t="n">
        <v>45579</v>
      </c>
      <c r="D865" t="inlineStr">
        <is>
          <t>VÄSTERNORRLANDS LÄN</t>
        </is>
      </c>
      <c r="E865" t="inlineStr">
        <is>
          <t>ÅNGE</t>
        </is>
      </c>
      <c r="G865" t="n">
        <v>4.1</v>
      </c>
      <c r="H865" t="n">
        <v>0</v>
      </c>
      <c r="I865" t="n">
        <v>0</v>
      </c>
      <c r="J865" t="n">
        <v>0</v>
      </c>
      <c r="K865" t="n">
        <v>0</v>
      </c>
      <c r="L865" t="n">
        <v>0</v>
      </c>
      <c r="M865" t="n">
        <v>0</v>
      </c>
      <c r="N865" t="n">
        <v>0</v>
      </c>
      <c r="O865" t="n">
        <v>0</v>
      </c>
      <c r="P865" t="n">
        <v>0</v>
      </c>
      <c r="Q865" t="n">
        <v>0</v>
      </c>
      <c r="R865" s="2" t="inlineStr"/>
    </row>
    <row r="866" ht="15" customHeight="1">
      <c r="A866" t="inlineStr">
        <is>
          <t>A 26489-2022</t>
        </is>
      </c>
      <c r="B866" s="1" t="n">
        <v>44739</v>
      </c>
      <c r="C866" s="1" t="n">
        <v>45579</v>
      </c>
      <c r="D866" t="inlineStr">
        <is>
          <t>VÄSTERNORRLANDS LÄN</t>
        </is>
      </c>
      <c r="E866" t="inlineStr">
        <is>
          <t>ÅNGE</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26676-2022</t>
        </is>
      </c>
      <c r="B867" s="1" t="n">
        <v>44739</v>
      </c>
      <c r="C867" s="1" t="n">
        <v>45579</v>
      </c>
      <c r="D867" t="inlineStr">
        <is>
          <t>VÄSTERNORRLANDS LÄN</t>
        </is>
      </c>
      <c r="E867" t="inlineStr">
        <is>
          <t>ÅNGE</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26498-2022</t>
        </is>
      </c>
      <c r="B868" s="1" t="n">
        <v>44739</v>
      </c>
      <c r="C868" s="1" t="n">
        <v>45579</v>
      </c>
      <c r="D868" t="inlineStr">
        <is>
          <t>VÄSTERNORRLANDS LÄN</t>
        </is>
      </c>
      <c r="E868" t="inlineStr">
        <is>
          <t>ÅNGE</t>
        </is>
      </c>
      <c r="F868" t="inlineStr">
        <is>
          <t>Sveaskog</t>
        </is>
      </c>
      <c r="G868" t="n">
        <v>6.9</v>
      </c>
      <c r="H868" t="n">
        <v>0</v>
      </c>
      <c r="I868" t="n">
        <v>0</v>
      </c>
      <c r="J868" t="n">
        <v>0</v>
      </c>
      <c r="K868" t="n">
        <v>0</v>
      </c>
      <c r="L868" t="n">
        <v>0</v>
      </c>
      <c r="M868" t="n">
        <v>0</v>
      </c>
      <c r="N868" t="n">
        <v>0</v>
      </c>
      <c r="O868" t="n">
        <v>0</v>
      </c>
      <c r="P868" t="n">
        <v>0</v>
      </c>
      <c r="Q868" t="n">
        <v>0</v>
      </c>
      <c r="R868" s="2" t="inlineStr"/>
    </row>
    <row r="869" ht="15" customHeight="1">
      <c r="A869" t="inlineStr">
        <is>
          <t>A 27357-2022</t>
        </is>
      </c>
      <c r="B869" s="1" t="n">
        <v>44742</v>
      </c>
      <c r="C869" s="1" t="n">
        <v>45579</v>
      </c>
      <c r="D869" t="inlineStr">
        <is>
          <t>VÄSTERNORRLANDS LÄN</t>
        </is>
      </c>
      <c r="E869" t="inlineStr">
        <is>
          <t>ÅNGE</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27588-2022</t>
        </is>
      </c>
      <c r="B870" s="1" t="n">
        <v>44743</v>
      </c>
      <c r="C870" s="1" t="n">
        <v>45579</v>
      </c>
      <c r="D870" t="inlineStr">
        <is>
          <t>VÄSTERNORRLANDS LÄN</t>
        </is>
      </c>
      <c r="E870" t="inlineStr">
        <is>
          <t>ÅNGE</t>
        </is>
      </c>
      <c r="F870" t="inlineStr">
        <is>
          <t>SCA</t>
        </is>
      </c>
      <c r="G870" t="n">
        <v>17.2</v>
      </c>
      <c r="H870" t="n">
        <v>0</v>
      </c>
      <c r="I870" t="n">
        <v>0</v>
      </c>
      <c r="J870" t="n">
        <v>0</v>
      </c>
      <c r="K870" t="n">
        <v>0</v>
      </c>
      <c r="L870" t="n">
        <v>0</v>
      </c>
      <c r="M870" t="n">
        <v>0</v>
      </c>
      <c r="N870" t="n">
        <v>0</v>
      </c>
      <c r="O870" t="n">
        <v>0</v>
      </c>
      <c r="P870" t="n">
        <v>0</v>
      </c>
      <c r="Q870" t="n">
        <v>0</v>
      </c>
      <c r="R870" s="2" t="inlineStr"/>
    </row>
    <row r="871" ht="15" customHeight="1">
      <c r="A871" t="inlineStr">
        <is>
          <t>A 29221-2022</t>
        </is>
      </c>
      <c r="B871" s="1" t="n">
        <v>44750</v>
      </c>
      <c r="C871" s="1" t="n">
        <v>45579</v>
      </c>
      <c r="D871" t="inlineStr">
        <is>
          <t>VÄSTERNORRLANDS LÄN</t>
        </is>
      </c>
      <c r="E871" t="inlineStr">
        <is>
          <t>ÅNGE</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29216-2022</t>
        </is>
      </c>
      <c r="B872" s="1" t="n">
        <v>44750</v>
      </c>
      <c r="C872" s="1" t="n">
        <v>45579</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29500-2022</t>
        </is>
      </c>
      <c r="B873" s="1" t="n">
        <v>44753</v>
      </c>
      <c r="C873" s="1" t="n">
        <v>45579</v>
      </c>
      <c r="D873" t="inlineStr">
        <is>
          <t>VÄSTERNORRLANDS LÄN</t>
        </is>
      </c>
      <c r="E873" t="inlineStr">
        <is>
          <t>ÅNGE</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29824-2022</t>
        </is>
      </c>
      <c r="B874" s="1" t="n">
        <v>44756</v>
      </c>
      <c r="C874" s="1" t="n">
        <v>45579</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29831-2022</t>
        </is>
      </c>
      <c r="B875" s="1" t="n">
        <v>44756</v>
      </c>
      <c r="C875" s="1" t="n">
        <v>45579</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29832-2022</t>
        </is>
      </c>
      <c r="B876" s="1" t="n">
        <v>44756</v>
      </c>
      <c r="C876" s="1" t="n">
        <v>45579</v>
      </c>
      <c r="D876" t="inlineStr">
        <is>
          <t>VÄSTERNORRLANDS LÄN</t>
        </is>
      </c>
      <c r="E876" t="inlineStr">
        <is>
          <t>ÅNGE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30221-2022</t>
        </is>
      </c>
      <c r="B877" s="1" t="n">
        <v>44757</v>
      </c>
      <c r="C877" s="1" t="n">
        <v>45579</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30358-2022</t>
        </is>
      </c>
      <c r="B878" s="1" t="n">
        <v>44760</v>
      </c>
      <c r="C878" s="1" t="n">
        <v>45579</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30495-2022</t>
        </is>
      </c>
      <c r="B879" s="1" t="n">
        <v>44762</v>
      </c>
      <c r="C879" s="1" t="n">
        <v>45579</v>
      </c>
      <c r="D879" t="inlineStr">
        <is>
          <t>VÄSTERNORRLANDS LÄN</t>
        </is>
      </c>
      <c r="E879" t="inlineStr">
        <is>
          <t>ÅNGE</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30768-2022</t>
        </is>
      </c>
      <c r="B880" s="1" t="n">
        <v>44764</v>
      </c>
      <c r="C880" s="1" t="n">
        <v>45579</v>
      </c>
      <c r="D880" t="inlineStr">
        <is>
          <t>VÄSTERNORRLANDS LÄN</t>
        </is>
      </c>
      <c r="E880" t="inlineStr">
        <is>
          <t>ÅNGE</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45579</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30804-2022</t>
        </is>
      </c>
      <c r="B882" s="1" t="n">
        <v>44765</v>
      </c>
      <c r="C882" s="1" t="n">
        <v>45579</v>
      </c>
      <c r="D882" t="inlineStr">
        <is>
          <t>VÄSTERNORRLANDS LÄN</t>
        </is>
      </c>
      <c r="E882" t="inlineStr">
        <is>
          <t>ÅNGE</t>
        </is>
      </c>
      <c r="G882" t="n">
        <v>2.3</v>
      </c>
      <c r="H882" t="n">
        <v>0</v>
      </c>
      <c r="I882" t="n">
        <v>0</v>
      </c>
      <c r="J882" t="n">
        <v>0</v>
      </c>
      <c r="K882" t="n">
        <v>0</v>
      </c>
      <c r="L882" t="n">
        <v>0</v>
      </c>
      <c r="M882" t="n">
        <v>0</v>
      </c>
      <c r="N882" t="n">
        <v>0</v>
      </c>
      <c r="O882" t="n">
        <v>0</v>
      </c>
      <c r="P882" t="n">
        <v>0</v>
      </c>
      <c r="Q882" t="n">
        <v>0</v>
      </c>
      <c r="R882" s="2" t="inlineStr"/>
    </row>
    <row r="883" ht="15" customHeight="1">
      <c r="A883" t="inlineStr">
        <is>
          <t>A 31136-2022</t>
        </is>
      </c>
      <c r="B883" s="1" t="n">
        <v>44770</v>
      </c>
      <c r="C883" s="1" t="n">
        <v>45579</v>
      </c>
      <c r="D883" t="inlineStr">
        <is>
          <t>VÄSTERNORRLANDS LÄN</t>
        </is>
      </c>
      <c r="E883" t="inlineStr">
        <is>
          <t>ÅNGE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31325-2022</t>
        </is>
      </c>
      <c r="B884" s="1" t="n">
        <v>44774</v>
      </c>
      <c r="C884" s="1" t="n">
        <v>45579</v>
      </c>
      <c r="D884" t="inlineStr">
        <is>
          <t>VÄSTERNORRLANDS LÄN</t>
        </is>
      </c>
      <c r="E884" t="inlineStr">
        <is>
          <t>ÅNGE</t>
        </is>
      </c>
      <c r="G884" t="n">
        <v>6.3</v>
      </c>
      <c r="H884" t="n">
        <v>0</v>
      </c>
      <c r="I884" t="n">
        <v>0</v>
      </c>
      <c r="J884" t="n">
        <v>0</v>
      </c>
      <c r="K884" t="n">
        <v>0</v>
      </c>
      <c r="L884" t="n">
        <v>0</v>
      </c>
      <c r="M884" t="n">
        <v>0</v>
      </c>
      <c r="N884" t="n">
        <v>0</v>
      </c>
      <c r="O884" t="n">
        <v>0</v>
      </c>
      <c r="P884" t="n">
        <v>0</v>
      </c>
      <c r="Q884" t="n">
        <v>0</v>
      </c>
      <c r="R884" s="2" t="inlineStr"/>
    </row>
    <row r="885" ht="15" customHeight="1">
      <c r="A885" t="inlineStr">
        <is>
          <t>A 31366-2022</t>
        </is>
      </c>
      <c r="B885" s="1" t="n">
        <v>44774</v>
      </c>
      <c r="C885" s="1" t="n">
        <v>45579</v>
      </c>
      <c r="D885" t="inlineStr">
        <is>
          <t>VÄSTERNORRLANDS LÄN</t>
        </is>
      </c>
      <c r="E885" t="inlineStr">
        <is>
          <t>ÅNGE</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31368-2022</t>
        </is>
      </c>
      <c r="B886" s="1" t="n">
        <v>44774</v>
      </c>
      <c r="C886" s="1" t="n">
        <v>45579</v>
      </c>
      <c r="D886" t="inlineStr">
        <is>
          <t>VÄSTERNORRLANDS LÄN</t>
        </is>
      </c>
      <c r="E886" t="inlineStr">
        <is>
          <t>ÅNGE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31647-2022</t>
        </is>
      </c>
      <c r="B887" s="1" t="n">
        <v>44776</v>
      </c>
      <c r="C887" s="1" t="n">
        <v>45579</v>
      </c>
      <c r="D887" t="inlineStr">
        <is>
          <t>VÄSTERNORRLANDS LÄN</t>
        </is>
      </c>
      <c r="E887" t="inlineStr">
        <is>
          <t>ÅNGE</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31649-2022</t>
        </is>
      </c>
      <c r="B888" s="1" t="n">
        <v>44776</v>
      </c>
      <c r="C888" s="1" t="n">
        <v>45579</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31696-2022</t>
        </is>
      </c>
      <c r="B889" s="1" t="n">
        <v>44776</v>
      </c>
      <c r="C889" s="1" t="n">
        <v>45579</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31845-2022</t>
        </is>
      </c>
      <c r="B890" s="1" t="n">
        <v>44777</v>
      </c>
      <c r="C890" s="1" t="n">
        <v>45579</v>
      </c>
      <c r="D890" t="inlineStr">
        <is>
          <t>VÄSTERNORRLANDS LÄN</t>
        </is>
      </c>
      <c r="E890" t="inlineStr">
        <is>
          <t>ÅNGE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32535-2022</t>
        </is>
      </c>
      <c r="B891" s="1" t="n">
        <v>44783</v>
      </c>
      <c r="C891" s="1" t="n">
        <v>45579</v>
      </c>
      <c r="D891" t="inlineStr">
        <is>
          <t>VÄSTERNORRLANDS LÄN</t>
        </is>
      </c>
      <c r="E891" t="inlineStr">
        <is>
          <t>ÅNGE</t>
        </is>
      </c>
      <c r="G891" t="n">
        <v>10.3</v>
      </c>
      <c r="H891" t="n">
        <v>0</v>
      </c>
      <c r="I891" t="n">
        <v>0</v>
      </c>
      <c r="J891" t="n">
        <v>0</v>
      </c>
      <c r="K891" t="n">
        <v>0</v>
      </c>
      <c r="L891" t="n">
        <v>0</v>
      </c>
      <c r="M891" t="n">
        <v>0</v>
      </c>
      <c r="N891" t="n">
        <v>0</v>
      </c>
      <c r="O891" t="n">
        <v>0</v>
      </c>
      <c r="P891" t="n">
        <v>0</v>
      </c>
      <c r="Q891" t="n">
        <v>0</v>
      </c>
      <c r="R891" s="2" t="inlineStr"/>
    </row>
    <row r="892" ht="15" customHeight="1">
      <c r="A892" t="inlineStr">
        <is>
          <t>A 32536-2022</t>
        </is>
      </c>
      <c r="B892" s="1" t="n">
        <v>44783</v>
      </c>
      <c r="C892" s="1" t="n">
        <v>45579</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32538-2022</t>
        </is>
      </c>
      <c r="B893" s="1" t="n">
        <v>44783</v>
      </c>
      <c r="C893" s="1" t="n">
        <v>45579</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32631-2022</t>
        </is>
      </c>
      <c r="B894" s="1" t="n">
        <v>44783</v>
      </c>
      <c r="C894" s="1" t="n">
        <v>45579</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32776-2022</t>
        </is>
      </c>
      <c r="B895" s="1" t="n">
        <v>44784</v>
      </c>
      <c r="C895" s="1" t="n">
        <v>45579</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33112-2022</t>
        </is>
      </c>
      <c r="B896" s="1" t="n">
        <v>44785</v>
      </c>
      <c r="C896" s="1" t="n">
        <v>45579</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33062-2022</t>
        </is>
      </c>
      <c r="B897" s="1" t="n">
        <v>44785</v>
      </c>
      <c r="C897" s="1" t="n">
        <v>45579</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33229-2022</t>
        </is>
      </c>
      <c r="B898" s="1" t="n">
        <v>44785</v>
      </c>
      <c r="C898" s="1" t="n">
        <v>45579</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33274-2022</t>
        </is>
      </c>
      <c r="B899" s="1" t="n">
        <v>44788</v>
      </c>
      <c r="C899" s="1" t="n">
        <v>45579</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34091-2022</t>
        </is>
      </c>
      <c r="B900" s="1" t="n">
        <v>44791</v>
      </c>
      <c r="C900" s="1" t="n">
        <v>45579</v>
      </c>
      <c r="D900" t="inlineStr">
        <is>
          <t>VÄSTERNORRLANDS LÄN</t>
        </is>
      </c>
      <c r="E900" t="inlineStr">
        <is>
          <t>ÅNGE</t>
        </is>
      </c>
      <c r="G900" t="n">
        <v>10.1</v>
      </c>
      <c r="H900" t="n">
        <v>0</v>
      </c>
      <c r="I900" t="n">
        <v>0</v>
      </c>
      <c r="J900" t="n">
        <v>0</v>
      </c>
      <c r="K900" t="n">
        <v>0</v>
      </c>
      <c r="L900" t="n">
        <v>0</v>
      </c>
      <c r="M900" t="n">
        <v>0</v>
      </c>
      <c r="N900" t="n">
        <v>0</v>
      </c>
      <c r="O900" t="n">
        <v>0</v>
      </c>
      <c r="P900" t="n">
        <v>0</v>
      </c>
      <c r="Q900" t="n">
        <v>0</v>
      </c>
      <c r="R900" s="2" t="inlineStr"/>
    </row>
    <row r="901" ht="15" customHeight="1">
      <c r="A901" t="inlineStr">
        <is>
          <t>A 35002-2022</t>
        </is>
      </c>
      <c r="B901" s="1" t="n">
        <v>44796</v>
      </c>
      <c r="C901" s="1" t="n">
        <v>45579</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35026-2022</t>
        </is>
      </c>
      <c r="B902" s="1" t="n">
        <v>44796</v>
      </c>
      <c r="C902" s="1" t="n">
        <v>45579</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35283-2022</t>
        </is>
      </c>
      <c r="B903" s="1" t="n">
        <v>44798</v>
      </c>
      <c r="C903" s="1" t="n">
        <v>45579</v>
      </c>
      <c r="D903" t="inlineStr">
        <is>
          <t>VÄSTERNORRLANDS LÄN</t>
        </is>
      </c>
      <c r="E903" t="inlineStr">
        <is>
          <t>ÅNGE</t>
        </is>
      </c>
      <c r="G903" t="n">
        <v>4.5</v>
      </c>
      <c r="H903" t="n">
        <v>0</v>
      </c>
      <c r="I903" t="n">
        <v>0</v>
      </c>
      <c r="J903" t="n">
        <v>0</v>
      </c>
      <c r="K903" t="n">
        <v>0</v>
      </c>
      <c r="L903" t="n">
        <v>0</v>
      </c>
      <c r="M903" t="n">
        <v>0</v>
      </c>
      <c r="N903" t="n">
        <v>0</v>
      </c>
      <c r="O903" t="n">
        <v>0</v>
      </c>
      <c r="P903" t="n">
        <v>0</v>
      </c>
      <c r="Q903" t="n">
        <v>0</v>
      </c>
      <c r="R903" s="2" t="inlineStr"/>
    </row>
    <row r="904" ht="15" customHeight="1">
      <c r="A904" t="inlineStr">
        <is>
          <t>A 35276-2022</t>
        </is>
      </c>
      <c r="B904" s="1" t="n">
        <v>44798</v>
      </c>
      <c r="C904" s="1" t="n">
        <v>45579</v>
      </c>
      <c r="D904" t="inlineStr">
        <is>
          <t>VÄSTERNORRLANDS LÄN</t>
        </is>
      </c>
      <c r="E904" t="inlineStr">
        <is>
          <t>ÅNGE</t>
        </is>
      </c>
      <c r="G904" t="n">
        <v>15.2</v>
      </c>
      <c r="H904" t="n">
        <v>0</v>
      </c>
      <c r="I904" t="n">
        <v>0</v>
      </c>
      <c r="J904" t="n">
        <v>0</v>
      </c>
      <c r="K904" t="n">
        <v>0</v>
      </c>
      <c r="L904" t="n">
        <v>0</v>
      </c>
      <c r="M904" t="n">
        <v>0</v>
      </c>
      <c r="N904" t="n">
        <v>0</v>
      </c>
      <c r="O904" t="n">
        <v>0</v>
      </c>
      <c r="P904" t="n">
        <v>0</v>
      </c>
      <c r="Q904" t="n">
        <v>0</v>
      </c>
      <c r="R904" s="2" t="inlineStr"/>
    </row>
    <row r="905" ht="15" customHeight="1">
      <c r="A905" t="inlineStr">
        <is>
          <t>A 35497-2022</t>
        </is>
      </c>
      <c r="B905" s="1" t="n">
        <v>44798</v>
      </c>
      <c r="C905" s="1" t="n">
        <v>45579</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35496-2022</t>
        </is>
      </c>
      <c r="B906" s="1" t="n">
        <v>44798</v>
      </c>
      <c r="C906" s="1" t="n">
        <v>45579</v>
      </c>
      <c r="D906" t="inlineStr">
        <is>
          <t>VÄSTERNORRLANDS LÄN</t>
        </is>
      </c>
      <c r="E906" t="inlineStr">
        <is>
          <t>ÅNGE</t>
        </is>
      </c>
      <c r="F906" t="inlineStr">
        <is>
          <t>SCA</t>
        </is>
      </c>
      <c r="G906" t="n">
        <v>15.6</v>
      </c>
      <c r="H906" t="n">
        <v>0</v>
      </c>
      <c r="I906" t="n">
        <v>0</v>
      </c>
      <c r="J906" t="n">
        <v>0</v>
      </c>
      <c r="K906" t="n">
        <v>0</v>
      </c>
      <c r="L906" t="n">
        <v>0</v>
      </c>
      <c r="M906" t="n">
        <v>0</v>
      </c>
      <c r="N906" t="n">
        <v>0</v>
      </c>
      <c r="O906" t="n">
        <v>0</v>
      </c>
      <c r="P906" t="n">
        <v>0</v>
      </c>
      <c r="Q906" t="n">
        <v>0</v>
      </c>
      <c r="R906" s="2" t="inlineStr"/>
    </row>
    <row r="907" ht="15" customHeight="1">
      <c r="A907" t="inlineStr">
        <is>
          <t>A 35509-2022</t>
        </is>
      </c>
      <c r="B907" s="1" t="n">
        <v>44798</v>
      </c>
      <c r="C907" s="1" t="n">
        <v>45579</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35507-2022</t>
        </is>
      </c>
      <c r="B908" s="1" t="n">
        <v>44798</v>
      </c>
      <c r="C908" s="1" t="n">
        <v>45579</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35498-2022</t>
        </is>
      </c>
      <c r="B909" s="1" t="n">
        <v>44799</v>
      </c>
      <c r="C909" s="1" t="n">
        <v>45579</v>
      </c>
      <c r="D909" t="inlineStr">
        <is>
          <t>VÄSTERNORRLANDS LÄN</t>
        </is>
      </c>
      <c r="E909" t="inlineStr">
        <is>
          <t>ÅNGE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35508-2022</t>
        </is>
      </c>
      <c r="B910" s="1" t="n">
        <v>44798</v>
      </c>
      <c r="C910" s="1" t="n">
        <v>45579</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36937-2022</t>
        </is>
      </c>
      <c r="B911" s="1" t="n">
        <v>44806</v>
      </c>
      <c r="C911" s="1" t="n">
        <v>45579</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36924-2022</t>
        </is>
      </c>
      <c r="B912" s="1" t="n">
        <v>44805</v>
      </c>
      <c r="C912" s="1" t="n">
        <v>45579</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36936-2022</t>
        </is>
      </c>
      <c r="B913" s="1" t="n">
        <v>44805</v>
      </c>
      <c r="C913" s="1" t="n">
        <v>45579</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38284-2022</t>
        </is>
      </c>
      <c r="B914" s="1" t="n">
        <v>44812</v>
      </c>
      <c r="C914" s="1" t="n">
        <v>45579</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38680-2022</t>
        </is>
      </c>
      <c r="B915" s="1" t="n">
        <v>44813</v>
      </c>
      <c r="C915" s="1" t="n">
        <v>45579</v>
      </c>
      <c r="D915" t="inlineStr">
        <is>
          <t>VÄSTERNORRLANDS LÄN</t>
        </is>
      </c>
      <c r="E915" t="inlineStr">
        <is>
          <t>ÅNGE</t>
        </is>
      </c>
      <c r="F915" t="inlineStr">
        <is>
          <t>SCA</t>
        </is>
      </c>
      <c r="G915" t="n">
        <v>12.3</v>
      </c>
      <c r="H915" t="n">
        <v>0</v>
      </c>
      <c r="I915" t="n">
        <v>0</v>
      </c>
      <c r="J915" t="n">
        <v>0</v>
      </c>
      <c r="K915" t="n">
        <v>0</v>
      </c>
      <c r="L915" t="n">
        <v>0</v>
      </c>
      <c r="M915" t="n">
        <v>0</v>
      </c>
      <c r="N915" t="n">
        <v>0</v>
      </c>
      <c r="O915" t="n">
        <v>0</v>
      </c>
      <c r="P915" t="n">
        <v>0</v>
      </c>
      <c r="Q915" t="n">
        <v>0</v>
      </c>
      <c r="R915" s="2" t="inlineStr"/>
    </row>
    <row r="916" ht="15" customHeight="1">
      <c r="A916" t="inlineStr">
        <is>
          <t>A 39374-2022</t>
        </is>
      </c>
      <c r="B916" s="1" t="n">
        <v>44817</v>
      </c>
      <c r="C916" s="1" t="n">
        <v>45579</v>
      </c>
      <c r="D916" t="inlineStr">
        <is>
          <t>VÄSTERNORRLANDS LÄN</t>
        </is>
      </c>
      <c r="E916" t="inlineStr">
        <is>
          <t>ÅNGE</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39594-2022</t>
        </is>
      </c>
      <c r="B917" s="1" t="n">
        <v>44818</v>
      </c>
      <c r="C917" s="1" t="n">
        <v>45579</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39681-2022</t>
        </is>
      </c>
      <c r="B918" s="1" t="n">
        <v>44818</v>
      </c>
      <c r="C918" s="1" t="n">
        <v>45579</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39589-2022</t>
        </is>
      </c>
      <c r="B919" s="1" t="n">
        <v>44818</v>
      </c>
      <c r="C919" s="1" t="n">
        <v>45579</v>
      </c>
      <c r="D919" t="inlineStr">
        <is>
          <t>VÄSTERNORRLANDS LÄN</t>
        </is>
      </c>
      <c r="E919" t="inlineStr">
        <is>
          <t>ÅNGE</t>
        </is>
      </c>
      <c r="G919" t="n">
        <v>4.8</v>
      </c>
      <c r="H919" t="n">
        <v>0</v>
      </c>
      <c r="I919" t="n">
        <v>0</v>
      </c>
      <c r="J919" t="n">
        <v>0</v>
      </c>
      <c r="K919" t="n">
        <v>0</v>
      </c>
      <c r="L919" t="n">
        <v>0</v>
      </c>
      <c r="M919" t="n">
        <v>0</v>
      </c>
      <c r="N919" t="n">
        <v>0</v>
      </c>
      <c r="O919" t="n">
        <v>0</v>
      </c>
      <c r="P919" t="n">
        <v>0</v>
      </c>
      <c r="Q919" t="n">
        <v>0</v>
      </c>
      <c r="R919" s="2" t="inlineStr"/>
    </row>
    <row r="920" ht="15" customHeight="1">
      <c r="A920" t="inlineStr">
        <is>
          <t>A 39685-2022</t>
        </is>
      </c>
      <c r="B920" s="1" t="n">
        <v>44818</v>
      </c>
      <c r="C920" s="1" t="n">
        <v>45579</v>
      </c>
      <c r="D920" t="inlineStr">
        <is>
          <t>VÄSTERNORRLANDS LÄN</t>
        </is>
      </c>
      <c r="E920" t="inlineStr">
        <is>
          <t>ÅNGE</t>
        </is>
      </c>
      <c r="F920" t="inlineStr">
        <is>
          <t>SCA</t>
        </is>
      </c>
      <c r="G920" t="n">
        <v>7.2</v>
      </c>
      <c r="H920" t="n">
        <v>0</v>
      </c>
      <c r="I920" t="n">
        <v>0</v>
      </c>
      <c r="J920" t="n">
        <v>0</v>
      </c>
      <c r="K920" t="n">
        <v>0</v>
      </c>
      <c r="L920" t="n">
        <v>0</v>
      </c>
      <c r="M920" t="n">
        <v>0</v>
      </c>
      <c r="N920" t="n">
        <v>0</v>
      </c>
      <c r="O920" t="n">
        <v>0</v>
      </c>
      <c r="P920" t="n">
        <v>0</v>
      </c>
      <c r="Q920" t="n">
        <v>0</v>
      </c>
      <c r="R920" s="2" t="inlineStr"/>
    </row>
    <row r="921" ht="15" customHeight="1">
      <c r="A921" t="inlineStr">
        <is>
          <t>A 40475-2022</t>
        </is>
      </c>
      <c r="B921" s="1" t="n">
        <v>44823</v>
      </c>
      <c r="C921" s="1" t="n">
        <v>45579</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40476-2022</t>
        </is>
      </c>
      <c r="B922" s="1" t="n">
        <v>44823</v>
      </c>
      <c r="C922" s="1" t="n">
        <v>45579</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41261-2022</t>
        </is>
      </c>
      <c r="B923" s="1" t="n">
        <v>44825</v>
      </c>
      <c r="C923" s="1" t="n">
        <v>45579</v>
      </c>
      <c r="D923" t="inlineStr">
        <is>
          <t>VÄSTERNORRLANDS LÄN</t>
        </is>
      </c>
      <c r="E923" t="inlineStr">
        <is>
          <t>ÅNGE</t>
        </is>
      </c>
      <c r="G923" t="n">
        <v>0.8</v>
      </c>
      <c r="H923" t="n">
        <v>0</v>
      </c>
      <c r="I923" t="n">
        <v>0</v>
      </c>
      <c r="J923" t="n">
        <v>0</v>
      </c>
      <c r="K923" t="n">
        <v>0</v>
      </c>
      <c r="L923" t="n">
        <v>0</v>
      </c>
      <c r="M923" t="n">
        <v>0</v>
      </c>
      <c r="N923" t="n">
        <v>0</v>
      </c>
      <c r="O923" t="n">
        <v>0</v>
      </c>
      <c r="P923" t="n">
        <v>0</v>
      </c>
      <c r="Q923" t="n">
        <v>0</v>
      </c>
      <c r="R923" s="2" t="inlineStr"/>
    </row>
    <row r="924" ht="15" customHeight="1">
      <c r="A924" t="inlineStr">
        <is>
          <t>A 41464-2022</t>
        </is>
      </c>
      <c r="B924" s="1" t="n">
        <v>44827</v>
      </c>
      <c r="C924" s="1" t="n">
        <v>45579</v>
      </c>
      <c r="D924" t="inlineStr">
        <is>
          <t>VÄSTERNORRLANDS LÄN</t>
        </is>
      </c>
      <c r="E924" t="inlineStr">
        <is>
          <t>ÅNGE</t>
        </is>
      </c>
      <c r="F924" t="inlineStr">
        <is>
          <t>SCA</t>
        </is>
      </c>
      <c r="G924" t="n">
        <v>32.2</v>
      </c>
      <c r="H924" t="n">
        <v>0</v>
      </c>
      <c r="I924" t="n">
        <v>0</v>
      </c>
      <c r="J924" t="n">
        <v>0</v>
      </c>
      <c r="K924" t="n">
        <v>0</v>
      </c>
      <c r="L924" t="n">
        <v>0</v>
      </c>
      <c r="M924" t="n">
        <v>0</v>
      </c>
      <c r="N924" t="n">
        <v>0</v>
      </c>
      <c r="O924" t="n">
        <v>0</v>
      </c>
      <c r="P924" t="n">
        <v>0</v>
      </c>
      <c r="Q924" t="n">
        <v>0</v>
      </c>
      <c r="R924" s="2" t="inlineStr"/>
    </row>
    <row r="925" ht="15" customHeight="1">
      <c r="A925" t="inlineStr">
        <is>
          <t>A 41825-2022</t>
        </is>
      </c>
      <c r="B925" s="1" t="n">
        <v>44827</v>
      </c>
      <c r="C925" s="1" t="n">
        <v>45579</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c r="U925">
        <f>HYPERLINK("https://klasma.github.io/Logging_2260/knärot/A 41825-2022 karta knärot.png", "A 41825-2022")</f>
        <v/>
      </c>
      <c r="V925">
        <f>HYPERLINK("https://klasma.github.io/Logging_2260/klagomål/A 41825-2022 FSC-klagomål.docx", "A 41825-2022")</f>
        <v/>
      </c>
      <c r="W925">
        <f>HYPERLINK("https://klasma.github.io/Logging_2260/klagomålsmail/A 41825-2022 FSC-klagomål mail.docx", "A 41825-2022")</f>
        <v/>
      </c>
      <c r="X925">
        <f>HYPERLINK("https://klasma.github.io/Logging_2260/tillsyn/A 41825-2022 tillsynsbegäran.docx", "A 41825-2022")</f>
        <v/>
      </c>
      <c r="Y925">
        <f>HYPERLINK("https://klasma.github.io/Logging_2260/tillsynsmail/A 41825-2022 tillsynsbegäran mail.docx", "A 41825-2022")</f>
        <v/>
      </c>
    </row>
    <row r="926" ht="15" customHeight="1">
      <c r="A926" t="inlineStr">
        <is>
          <t>A 42857-2022</t>
        </is>
      </c>
      <c r="B926" s="1" t="n">
        <v>44832</v>
      </c>
      <c r="C926" s="1" t="n">
        <v>45579</v>
      </c>
      <c r="D926" t="inlineStr">
        <is>
          <t>VÄSTERNORRLANDS LÄN</t>
        </is>
      </c>
      <c r="E926" t="inlineStr">
        <is>
          <t>ÅNGE</t>
        </is>
      </c>
      <c r="G926" t="n">
        <v>3.4</v>
      </c>
      <c r="H926" t="n">
        <v>0</v>
      </c>
      <c r="I926" t="n">
        <v>0</v>
      </c>
      <c r="J926" t="n">
        <v>0</v>
      </c>
      <c r="K926" t="n">
        <v>0</v>
      </c>
      <c r="L926" t="n">
        <v>0</v>
      </c>
      <c r="M926" t="n">
        <v>0</v>
      </c>
      <c r="N926" t="n">
        <v>0</v>
      </c>
      <c r="O926" t="n">
        <v>0</v>
      </c>
      <c r="P926" t="n">
        <v>0</v>
      </c>
      <c r="Q926" t="n">
        <v>0</v>
      </c>
      <c r="R926" s="2" t="inlineStr"/>
    </row>
    <row r="927" ht="15" customHeight="1">
      <c r="A927" t="inlineStr">
        <is>
          <t>A 43066-2022</t>
        </is>
      </c>
      <c r="B927" s="1" t="n">
        <v>44833</v>
      </c>
      <c r="C927" s="1" t="n">
        <v>45579</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43775-2022</t>
        </is>
      </c>
      <c r="B928" s="1" t="n">
        <v>44838</v>
      </c>
      <c r="C928" s="1" t="n">
        <v>45579</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43788-2022</t>
        </is>
      </c>
      <c r="B929" s="1" t="n">
        <v>44837</v>
      </c>
      <c r="C929" s="1" t="n">
        <v>45579</v>
      </c>
      <c r="D929" t="inlineStr">
        <is>
          <t>VÄSTERNORRLANDS LÄN</t>
        </is>
      </c>
      <c r="E929" t="inlineStr">
        <is>
          <t>ÅNGE</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44412-2022</t>
        </is>
      </c>
      <c r="B930" s="1" t="n">
        <v>44840</v>
      </c>
      <c r="C930" s="1" t="n">
        <v>45579</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44414-2022</t>
        </is>
      </c>
      <c r="B931" s="1" t="n">
        <v>44840</v>
      </c>
      <c r="C931" s="1" t="n">
        <v>45579</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44413-2022</t>
        </is>
      </c>
      <c r="B932" s="1" t="n">
        <v>44840</v>
      </c>
      <c r="C932" s="1" t="n">
        <v>45579</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45086-2022</t>
        </is>
      </c>
      <c r="B933" s="1" t="n">
        <v>44841</v>
      </c>
      <c r="C933" s="1" t="n">
        <v>45579</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45087-2022</t>
        </is>
      </c>
      <c r="B934" s="1" t="n">
        <v>44841</v>
      </c>
      <c r="C934" s="1" t="n">
        <v>45579</v>
      </c>
      <c r="D934" t="inlineStr">
        <is>
          <t>VÄSTERNORRLANDS LÄN</t>
        </is>
      </c>
      <c r="E934" t="inlineStr">
        <is>
          <t>ÅNGE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45128-2022</t>
        </is>
      </c>
      <c r="B935" s="1" t="n">
        <v>44844</v>
      </c>
      <c r="C935" s="1" t="n">
        <v>45579</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45432-2022</t>
        </is>
      </c>
      <c r="B936" s="1" t="n">
        <v>44844</v>
      </c>
      <c r="C936" s="1" t="n">
        <v>45579</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45459-2022</t>
        </is>
      </c>
      <c r="B937" s="1" t="n">
        <v>44845</v>
      </c>
      <c r="C937" s="1" t="n">
        <v>45579</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45703-2022</t>
        </is>
      </c>
      <c r="B938" s="1" t="n">
        <v>44845</v>
      </c>
      <c r="C938" s="1" t="n">
        <v>45579</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45931-2022</t>
        </is>
      </c>
      <c r="B939" s="1" t="n">
        <v>44846</v>
      </c>
      <c r="C939" s="1" t="n">
        <v>45579</v>
      </c>
      <c r="D939" t="inlineStr">
        <is>
          <t>VÄSTERNORRLANDS LÄN</t>
        </is>
      </c>
      <c r="E939" t="inlineStr">
        <is>
          <t>ÅNGE</t>
        </is>
      </c>
      <c r="G939" t="n">
        <v>27.6</v>
      </c>
      <c r="H939" t="n">
        <v>0</v>
      </c>
      <c r="I939" t="n">
        <v>0</v>
      </c>
      <c r="J939" t="n">
        <v>0</v>
      </c>
      <c r="K939" t="n">
        <v>0</v>
      </c>
      <c r="L939" t="n">
        <v>0</v>
      </c>
      <c r="M939" t="n">
        <v>0</v>
      </c>
      <c r="N939" t="n">
        <v>0</v>
      </c>
      <c r="O939" t="n">
        <v>0</v>
      </c>
      <c r="P939" t="n">
        <v>0</v>
      </c>
      <c r="Q939" t="n">
        <v>0</v>
      </c>
      <c r="R939" s="2" t="inlineStr"/>
    </row>
    <row r="940" ht="15" customHeight="1">
      <c r="A940" t="inlineStr">
        <is>
          <t>A 46334-2022</t>
        </is>
      </c>
      <c r="B940" s="1" t="n">
        <v>44848</v>
      </c>
      <c r="C940" s="1" t="n">
        <v>45579</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46352-2022</t>
        </is>
      </c>
      <c r="B941" s="1" t="n">
        <v>44848</v>
      </c>
      <c r="C941" s="1" t="n">
        <v>45579</v>
      </c>
      <c r="D941" t="inlineStr">
        <is>
          <t>VÄSTERNORRLANDS LÄN</t>
        </is>
      </c>
      <c r="E941" t="inlineStr">
        <is>
          <t>ÅNGE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46351-2022</t>
        </is>
      </c>
      <c r="B942" s="1" t="n">
        <v>44847</v>
      </c>
      <c r="C942" s="1" t="n">
        <v>45579</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46350-2022</t>
        </is>
      </c>
      <c r="B943" s="1" t="n">
        <v>44848</v>
      </c>
      <c r="C943" s="1" t="n">
        <v>45579</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47282-2022</t>
        </is>
      </c>
      <c r="B944" s="1" t="n">
        <v>44853</v>
      </c>
      <c r="C944" s="1" t="n">
        <v>45579</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47106-2022</t>
        </is>
      </c>
      <c r="B945" s="1" t="n">
        <v>44852</v>
      </c>
      <c r="C945" s="1" t="n">
        <v>45579</v>
      </c>
      <c r="D945" t="inlineStr">
        <is>
          <t>VÄSTERNORRLANDS LÄN</t>
        </is>
      </c>
      <c r="E945" t="inlineStr">
        <is>
          <t>ÅNGE</t>
        </is>
      </c>
      <c r="G945" t="n">
        <v>11.9</v>
      </c>
      <c r="H945" t="n">
        <v>0</v>
      </c>
      <c r="I945" t="n">
        <v>0</v>
      </c>
      <c r="J945" t="n">
        <v>0</v>
      </c>
      <c r="K945" t="n">
        <v>0</v>
      </c>
      <c r="L945" t="n">
        <v>0</v>
      </c>
      <c r="M945" t="n">
        <v>0</v>
      </c>
      <c r="N945" t="n">
        <v>0</v>
      </c>
      <c r="O945" t="n">
        <v>0</v>
      </c>
      <c r="P945" t="n">
        <v>0</v>
      </c>
      <c r="Q945" t="n">
        <v>0</v>
      </c>
      <c r="R945" s="2" t="inlineStr"/>
    </row>
    <row r="946" ht="15" customHeight="1">
      <c r="A946" t="inlineStr">
        <is>
          <t>A 47443-2022</t>
        </is>
      </c>
      <c r="B946" s="1" t="n">
        <v>44853</v>
      </c>
      <c r="C946" s="1" t="n">
        <v>45579</v>
      </c>
      <c r="D946" t="inlineStr">
        <is>
          <t>VÄSTERNORRLANDS LÄN</t>
        </is>
      </c>
      <c r="E946" t="inlineStr">
        <is>
          <t>ÅNGE</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47576-2022</t>
        </is>
      </c>
      <c r="B947" s="1" t="n">
        <v>44854</v>
      </c>
      <c r="C947" s="1" t="n">
        <v>45579</v>
      </c>
      <c r="D947" t="inlineStr">
        <is>
          <t>VÄSTERNORRLANDS LÄN</t>
        </is>
      </c>
      <c r="E947" t="inlineStr">
        <is>
          <t>ÅNGE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47605-2022</t>
        </is>
      </c>
      <c r="B948" s="1" t="n">
        <v>44854</v>
      </c>
      <c r="C948" s="1" t="n">
        <v>45579</v>
      </c>
      <c r="D948" t="inlineStr">
        <is>
          <t>VÄSTERNORRLANDS LÄN</t>
        </is>
      </c>
      <c r="E948" t="inlineStr">
        <is>
          <t>ÅNGE</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47660-2022</t>
        </is>
      </c>
      <c r="B949" s="1" t="n">
        <v>44854</v>
      </c>
      <c r="C949" s="1" t="n">
        <v>45579</v>
      </c>
      <c r="D949" t="inlineStr">
        <is>
          <t>VÄSTERNORRLANDS LÄN</t>
        </is>
      </c>
      <c r="E949" t="inlineStr">
        <is>
          <t>ÅNGE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47654-2022</t>
        </is>
      </c>
      <c r="B950" s="1" t="n">
        <v>44854</v>
      </c>
      <c r="C950" s="1" t="n">
        <v>45579</v>
      </c>
      <c r="D950" t="inlineStr">
        <is>
          <t>VÄSTERNORRLANDS LÄN</t>
        </is>
      </c>
      <c r="E950" t="inlineStr">
        <is>
          <t>ÅNGE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47785-2022</t>
        </is>
      </c>
      <c r="B951" s="1" t="n">
        <v>44855</v>
      </c>
      <c r="C951" s="1" t="n">
        <v>45579</v>
      </c>
      <c r="D951" t="inlineStr">
        <is>
          <t>VÄSTERNORRLANDS LÄN</t>
        </is>
      </c>
      <c r="E951" t="inlineStr">
        <is>
          <t>ÅNGE</t>
        </is>
      </c>
      <c r="F951" t="inlineStr">
        <is>
          <t>SCA</t>
        </is>
      </c>
      <c r="G951" t="n">
        <v>12.6</v>
      </c>
      <c r="H951" t="n">
        <v>0</v>
      </c>
      <c r="I951" t="n">
        <v>0</v>
      </c>
      <c r="J951" t="n">
        <v>0</v>
      </c>
      <c r="K951" t="n">
        <v>0</v>
      </c>
      <c r="L951" t="n">
        <v>0</v>
      </c>
      <c r="M951" t="n">
        <v>0</v>
      </c>
      <c r="N951" t="n">
        <v>0</v>
      </c>
      <c r="O951" t="n">
        <v>0</v>
      </c>
      <c r="P951" t="n">
        <v>0</v>
      </c>
      <c r="Q951" t="n">
        <v>0</v>
      </c>
      <c r="R951" s="2" t="inlineStr"/>
    </row>
    <row r="952" ht="15" customHeight="1">
      <c r="A952" t="inlineStr">
        <is>
          <t>A 47792-2022</t>
        </is>
      </c>
      <c r="B952" s="1" t="n">
        <v>44855</v>
      </c>
      <c r="C952" s="1" t="n">
        <v>45579</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47791-2022</t>
        </is>
      </c>
      <c r="B953" s="1" t="n">
        <v>44855</v>
      </c>
      <c r="C953" s="1" t="n">
        <v>45579</v>
      </c>
      <c r="D953" t="inlineStr">
        <is>
          <t>VÄSTERNORRLANDS LÄN</t>
        </is>
      </c>
      <c r="E953" t="inlineStr">
        <is>
          <t>ÅNGE</t>
        </is>
      </c>
      <c r="F953" t="inlineStr">
        <is>
          <t>SCA</t>
        </is>
      </c>
      <c r="G953" t="n">
        <v>15.2</v>
      </c>
      <c r="H953" t="n">
        <v>0</v>
      </c>
      <c r="I953" t="n">
        <v>0</v>
      </c>
      <c r="J953" t="n">
        <v>0</v>
      </c>
      <c r="K953" t="n">
        <v>0</v>
      </c>
      <c r="L953" t="n">
        <v>0</v>
      </c>
      <c r="M953" t="n">
        <v>0</v>
      </c>
      <c r="N953" t="n">
        <v>0</v>
      </c>
      <c r="O953" t="n">
        <v>0</v>
      </c>
      <c r="P953" t="n">
        <v>0</v>
      </c>
      <c r="Q953" t="n">
        <v>0</v>
      </c>
      <c r="R953" s="2" t="inlineStr"/>
    </row>
    <row r="954" ht="15" customHeight="1">
      <c r="A954" t="inlineStr">
        <is>
          <t>A 48521-2022</t>
        </is>
      </c>
      <c r="B954" s="1" t="n">
        <v>44858</v>
      </c>
      <c r="C954" s="1" t="n">
        <v>45579</v>
      </c>
      <c r="D954" t="inlineStr">
        <is>
          <t>VÄSTERNORRLANDS LÄN</t>
        </is>
      </c>
      <c r="E954" t="inlineStr">
        <is>
          <t>ÅNGE</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50357-2022</t>
        </is>
      </c>
      <c r="B955" s="1" t="n">
        <v>44860</v>
      </c>
      <c r="C955" s="1" t="n">
        <v>45579</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49503-2022</t>
        </is>
      </c>
      <c r="B956" s="1" t="n">
        <v>44862</v>
      </c>
      <c r="C956" s="1" t="n">
        <v>45579</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49502-2022</t>
        </is>
      </c>
      <c r="B957" s="1" t="n">
        <v>44862</v>
      </c>
      <c r="C957" s="1" t="n">
        <v>45579</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50419-2022</t>
        </is>
      </c>
      <c r="B958" s="1" t="n">
        <v>44861</v>
      </c>
      <c r="C958" s="1" t="n">
        <v>45579</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49865-2022</t>
        </is>
      </c>
      <c r="B959" s="1" t="n">
        <v>44863</v>
      </c>
      <c r="C959" s="1" t="n">
        <v>45579</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50332-2022</t>
        </is>
      </c>
      <c r="B960" s="1" t="n">
        <v>44865</v>
      </c>
      <c r="C960" s="1" t="n">
        <v>45579</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50643-2022</t>
        </is>
      </c>
      <c r="B961" s="1" t="n">
        <v>44866</v>
      </c>
      <c r="C961" s="1" t="n">
        <v>45579</v>
      </c>
      <c r="D961" t="inlineStr">
        <is>
          <t>VÄSTERNORRLANDS LÄN</t>
        </is>
      </c>
      <c r="E961" t="inlineStr">
        <is>
          <t>ÅNGE</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50640-2022</t>
        </is>
      </c>
      <c r="B962" s="1" t="n">
        <v>44866</v>
      </c>
      <c r="C962" s="1" t="n">
        <v>45579</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50665-2022</t>
        </is>
      </c>
      <c r="B963" s="1" t="n">
        <v>44866</v>
      </c>
      <c r="C963" s="1" t="n">
        <v>45579</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45579</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51131-2022</t>
        </is>
      </c>
      <c r="B965" s="1" t="n">
        <v>44868</v>
      </c>
      <c r="C965" s="1" t="n">
        <v>45579</v>
      </c>
      <c r="D965" t="inlineStr">
        <is>
          <t>VÄSTERNORRLANDS LÄN</t>
        </is>
      </c>
      <c r="E965" t="inlineStr">
        <is>
          <t>ÅNGE</t>
        </is>
      </c>
      <c r="G965" t="n">
        <v>11.1</v>
      </c>
      <c r="H965" t="n">
        <v>0</v>
      </c>
      <c r="I965" t="n">
        <v>0</v>
      </c>
      <c r="J965" t="n">
        <v>0</v>
      </c>
      <c r="K965" t="n">
        <v>0</v>
      </c>
      <c r="L965" t="n">
        <v>0</v>
      </c>
      <c r="M965" t="n">
        <v>0</v>
      </c>
      <c r="N965" t="n">
        <v>0</v>
      </c>
      <c r="O965" t="n">
        <v>0</v>
      </c>
      <c r="P965" t="n">
        <v>0</v>
      </c>
      <c r="Q965" t="n">
        <v>0</v>
      </c>
      <c r="R965" s="2" t="inlineStr"/>
    </row>
    <row r="966" ht="15" customHeight="1">
      <c r="A966" t="inlineStr">
        <is>
          <t>A 51263-2022</t>
        </is>
      </c>
      <c r="B966" s="1" t="n">
        <v>44868</v>
      </c>
      <c r="C966" s="1" t="n">
        <v>45579</v>
      </c>
      <c r="D966" t="inlineStr">
        <is>
          <t>VÄSTERNORRLANDS LÄN</t>
        </is>
      </c>
      <c r="E966" t="inlineStr">
        <is>
          <t>ÅNGE</t>
        </is>
      </c>
      <c r="F966" t="inlineStr">
        <is>
          <t>Holmen skog AB</t>
        </is>
      </c>
      <c r="G966" t="n">
        <v>12.1</v>
      </c>
      <c r="H966" t="n">
        <v>0</v>
      </c>
      <c r="I966" t="n">
        <v>0</v>
      </c>
      <c r="J966" t="n">
        <v>0</v>
      </c>
      <c r="K966" t="n">
        <v>0</v>
      </c>
      <c r="L966" t="n">
        <v>0</v>
      </c>
      <c r="M966" t="n">
        <v>0</v>
      </c>
      <c r="N966" t="n">
        <v>0</v>
      </c>
      <c r="O966" t="n">
        <v>0</v>
      </c>
      <c r="P966" t="n">
        <v>0</v>
      </c>
      <c r="Q966" t="n">
        <v>0</v>
      </c>
      <c r="R966" s="2" t="inlineStr"/>
    </row>
    <row r="967" ht="15" customHeight="1">
      <c r="A967" t="inlineStr">
        <is>
          <t>A 51311-2022</t>
        </is>
      </c>
      <c r="B967" s="1" t="n">
        <v>44868</v>
      </c>
      <c r="C967" s="1" t="n">
        <v>45579</v>
      </c>
      <c r="D967" t="inlineStr">
        <is>
          <t>VÄSTERNORRLANDS LÄN</t>
        </is>
      </c>
      <c r="E967" t="inlineStr">
        <is>
          <t>ÅNGE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51261-2022</t>
        </is>
      </c>
      <c r="B968" s="1" t="n">
        <v>44868</v>
      </c>
      <c r="C968" s="1" t="n">
        <v>45579</v>
      </c>
      <c r="D968" t="inlineStr">
        <is>
          <t>VÄSTERNORRLANDS LÄN</t>
        </is>
      </c>
      <c r="E968" t="inlineStr">
        <is>
          <t>ÅNGE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51313-2022</t>
        </is>
      </c>
      <c r="B969" s="1" t="n">
        <v>44868</v>
      </c>
      <c r="C969" s="1" t="n">
        <v>45579</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51393-2022</t>
        </is>
      </c>
      <c r="B970" s="1" t="n">
        <v>44869</v>
      </c>
      <c r="C970" s="1" t="n">
        <v>45579</v>
      </c>
      <c r="D970" t="inlineStr">
        <is>
          <t>VÄSTERNORRLANDS LÄN</t>
        </is>
      </c>
      <c r="E970" t="inlineStr">
        <is>
          <t>ÅNGE</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51542-2022</t>
        </is>
      </c>
      <c r="B971" s="1" t="n">
        <v>44869</v>
      </c>
      <c r="C971" s="1" t="n">
        <v>45579</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51555-2022</t>
        </is>
      </c>
      <c r="B972" s="1" t="n">
        <v>44869</v>
      </c>
      <c r="C972" s="1" t="n">
        <v>45579</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51494-2022</t>
        </is>
      </c>
      <c r="B973" s="1" t="n">
        <v>44869</v>
      </c>
      <c r="C973" s="1" t="n">
        <v>45579</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51997-2022</t>
        </is>
      </c>
      <c r="B974" s="1" t="n">
        <v>44872</v>
      </c>
      <c r="C974" s="1" t="n">
        <v>45579</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51996-2022</t>
        </is>
      </c>
      <c r="B975" s="1" t="n">
        <v>44872</v>
      </c>
      <c r="C975" s="1" t="n">
        <v>45579</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52015-2022</t>
        </is>
      </c>
      <c r="B976" s="1" t="n">
        <v>44872</v>
      </c>
      <c r="C976" s="1" t="n">
        <v>45579</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52182-2022</t>
        </is>
      </c>
      <c r="B977" s="1" t="n">
        <v>44873</v>
      </c>
      <c r="C977" s="1" t="n">
        <v>45579</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52179-2022</t>
        </is>
      </c>
      <c r="B978" s="1" t="n">
        <v>44873</v>
      </c>
      <c r="C978" s="1" t="n">
        <v>45579</v>
      </c>
      <c r="D978" t="inlineStr">
        <is>
          <t>VÄSTERNORRLANDS LÄN</t>
        </is>
      </c>
      <c r="E978" t="inlineStr">
        <is>
          <t>ÅNGE</t>
        </is>
      </c>
      <c r="G978" t="n">
        <v>5.8</v>
      </c>
      <c r="H978" t="n">
        <v>0</v>
      </c>
      <c r="I978" t="n">
        <v>0</v>
      </c>
      <c r="J978" t="n">
        <v>0</v>
      </c>
      <c r="K978" t="n">
        <v>0</v>
      </c>
      <c r="L978" t="n">
        <v>0</v>
      </c>
      <c r="M978" t="n">
        <v>0</v>
      </c>
      <c r="N978" t="n">
        <v>0</v>
      </c>
      <c r="O978" t="n">
        <v>0</v>
      </c>
      <c r="P978" t="n">
        <v>0</v>
      </c>
      <c r="Q978" t="n">
        <v>0</v>
      </c>
      <c r="R978" s="2" t="inlineStr"/>
    </row>
    <row r="979" ht="15" customHeight="1">
      <c r="A979" t="inlineStr">
        <is>
          <t>A 52347-2022</t>
        </is>
      </c>
      <c r="B979" s="1" t="n">
        <v>44873</v>
      </c>
      <c r="C979" s="1" t="n">
        <v>45579</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52346-2022</t>
        </is>
      </c>
      <c r="B980" s="1" t="n">
        <v>44873</v>
      </c>
      <c r="C980" s="1" t="n">
        <v>45579</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53010-2022</t>
        </is>
      </c>
      <c r="B981" s="1" t="n">
        <v>44875</v>
      </c>
      <c r="C981" s="1" t="n">
        <v>45579</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53304-2022</t>
        </is>
      </c>
      <c r="B982" s="1" t="n">
        <v>44878</v>
      </c>
      <c r="C982" s="1" t="n">
        <v>45579</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53439-2022</t>
        </is>
      </c>
      <c r="B983" s="1" t="n">
        <v>44879</v>
      </c>
      <c r="C983" s="1" t="n">
        <v>45579</v>
      </c>
      <c r="D983" t="inlineStr">
        <is>
          <t>VÄSTERNORRLANDS LÄN</t>
        </is>
      </c>
      <c r="E983" t="inlineStr">
        <is>
          <t>ÅNGE</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45579</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53664-2022</t>
        </is>
      </c>
      <c r="B985" s="1" t="n">
        <v>44879</v>
      </c>
      <c r="C985" s="1" t="n">
        <v>45579</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53854-2022</t>
        </is>
      </c>
      <c r="B986" s="1" t="n">
        <v>44880</v>
      </c>
      <c r="C986" s="1" t="n">
        <v>45579</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53950-2022</t>
        </is>
      </c>
      <c r="B987" s="1" t="n">
        <v>44880</v>
      </c>
      <c r="C987" s="1" t="n">
        <v>45579</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54027-2022</t>
        </is>
      </c>
      <c r="B988" s="1" t="n">
        <v>44881</v>
      </c>
      <c r="C988" s="1" t="n">
        <v>45579</v>
      </c>
      <c r="D988" t="inlineStr">
        <is>
          <t>VÄSTERNORRLANDS LÄN</t>
        </is>
      </c>
      <c r="E988" t="inlineStr">
        <is>
          <t>ÅNGE</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54250-2022</t>
        </is>
      </c>
      <c r="B989" s="1" t="n">
        <v>44881</v>
      </c>
      <c r="C989" s="1" t="n">
        <v>45579</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45579</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54453-2022</t>
        </is>
      </c>
      <c r="B991" s="1" t="n">
        <v>44882</v>
      </c>
      <c r="C991" s="1" t="n">
        <v>45579</v>
      </c>
      <c r="D991" t="inlineStr">
        <is>
          <t>VÄSTERNORRLANDS LÄN</t>
        </is>
      </c>
      <c r="E991" t="inlineStr">
        <is>
          <t>ÅNGE</t>
        </is>
      </c>
      <c r="G991" t="n">
        <v>22.3</v>
      </c>
      <c r="H991" t="n">
        <v>0</v>
      </c>
      <c r="I991" t="n">
        <v>0</v>
      </c>
      <c r="J991" t="n">
        <v>0</v>
      </c>
      <c r="K991" t="n">
        <v>0</v>
      </c>
      <c r="L991" t="n">
        <v>0</v>
      </c>
      <c r="M991" t="n">
        <v>0</v>
      </c>
      <c r="N991" t="n">
        <v>0</v>
      </c>
      <c r="O991" t="n">
        <v>0</v>
      </c>
      <c r="P991" t="n">
        <v>0</v>
      </c>
      <c r="Q991" t="n">
        <v>0</v>
      </c>
      <c r="R991" s="2" t="inlineStr"/>
    </row>
    <row r="992" ht="15" customHeight="1">
      <c r="A992" t="inlineStr">
        <is>
          <t>A 54575-2022</t>
        </is>
      </c>
      <c r="B992" s="1" t="n">
        <v>44882</v>
      </c>
      <c r="C992" s="1" t="n">
        <v>45579</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54579-2022</t>
        </is>
      </c>
      <c r="B993" s="1" t="n">
        <v>44882</v>
      </c>
      <c r="C993" s="1" t="n">
        <v>45579</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54821-2022</t>
        </is>
      </c>
      <c r="B994" s="1" t="n">
        <v>44883</v>
      </c>
      <c r="C994" s="1" t="n">
        <v>45579</v>
      </c>
      <c r="D994" t="inlineStr">
        <is>
          <t>VÄSTERNORRLANDS LÄN</t>
        </is>
      </c>
      <c r="E994" t="inlineStr">
        <is>
          <t>ÅNGE</t>
        </is>
      </c>
      <c r="G994" t="n">
        <v>7.4</v>
      </c>
      <c r="H994" t="n">
        <v>0</v>
      </c>
      <c r="I994" t="n">
        <v>0</v>
      </c>
      <c r="J994" t="n">
        <v>0</v>
      </c>
      <c r="K994" t="n">
        <v>0</v>
      </c>
      <c r="L994" t="n">
        <v>0</v>
      </c>
      <c r="M994" t="n">
        <v>0</v>
      </c>
      <c r="N994" t="n">
        <v>0</v>
      </c>
      <c r="O994" t="n">
        <v>0</v>
      </c>
      <c r="P994" t="n">
        <v>0</v>
      </c>
      <c r="Q994" t="n">
        <v>0</v>
      </c>
      <c r="R994" s="2" t="inlineStr"/>
    </row>
    <row r="995" ht="15" customHeight="1">
      <c r="A995" t="inlineStr">
        <is>
          <t>A 55197-2022</t>
        </is>
      </c>
      <c r="B995" s="1" t="n">
        <v>44886</v>
      </c>
      <c r="C995" s="1" t="n">
        <v>45579</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55112-2022</t>
        </is>
      </c>
      <c r="B996" s="1" t="n">
        <v>44886</v>
      </c>
      <c r="C996" s="1" t="n">
        <v>45579</v>
      </c>
      <c r="D996" t="inlineStr">
        <is>
          <t>VÄSTERNORRLANDS LÄN</t>
        </is>
      </c>
      <c r="E996" t="inlineStr">
        <is>
          <t>ÅNGE</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55213-2022</t>
        </is>
      </c>
      <c r="B997" s="1" t="n">
        <v>44887</v>
      </c>
      <c r="C997" s="1" t="n">
        <v>45579</v>
      </c>
      <c r="D997" t="inlineStr">
        <is>
          <t>VÄSTERNORRLANDS LÄN</t>
        </is>
      </c>
      <c r="E997" t="inlineStr">
        <is>
          <t>ÅNGE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55212-2022</t>
        </is>
      </c>
      <c r="B998" s="1" t="n">
        <v>44886</v>
      </c>
      <c r="C998" s="1" t="n">
        <v>45579</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55361-2022</t>
        </is>
      </c>
      <c r="B999" s="1" t="n">
        <v>44887</v>
      </c>
      <c r="C999" s="1" t="n">
        <v>45579</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55526-2022</t>
        </is>
      </c>
      <c r="B1000" s="1" t="n">
        <v>44887</v>
      </c>
      <c r="C1000" s="1" t="n">
        <v>45579</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55474-2022</t>
        </is>
      </c>
      <c r="B1001" s="1" t="n">
        <v>44887</v>
      </c>
      <c r="C1001" s="1" t="n">
        <v>45579</v>
      </c>
      <c r="D1001" t="inlineStr">
        <is>
          <t>VÄSTERNORRLANDS LÄN</t>
        </is>
      </c>
      <c r="E1001" t="inlineStr">
        <is>
          <t>ÅNGE</t>
        </is>
      </c>
      <c r="F1001" t="inlineStr">
        <is>
          <t>Holmen skog AB</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55527-2022</t>
        </is>
      </c>
      <c r="B1002" s="1" t="n">
        <v>44887</v>
      </c>
      <c r="C1002" s="1" t="n">
        <v>45579</v>
      </c>
      <c r="D1002" t="inlineStr">
        <is>
          <t>VÄSTERNORRLANDS LÄN</t>
        </is>
      </c>
      <c r="E1002" t="inlineStr">
        <is>
          <t>ÅNGE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55729-2022</t>
        </is>
      </c>
      <c r="B1003" s="1" t="n">
        <v>44888</v>
      </c>
      <c r="C1003" s="1" t="n">
        <v>45579</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55754-2022</t>
        </is>
      </c>
      <c r="B1004" s="1" t="n">
        <v>44888</v>
      </c>
      <c r="C1004" s="1" t="n">
        <v>45579</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55816-2022</t>
        </is>
      </c>
      <c r="B1005" s="1" t="n">
        <v>44888</v>
      </c>
      <c r="C1005" s="1" t="n">
        <v>45579</v>
      </c>
      <c r="D1005" t="inlineStr">
        <is>
          <t>VÄSTERNORRLANDS LÄN</t>
        </is>
      </c>
      <c r="E1005" t="inlineStr">
        <is>
          <t>ÅNGE</t>
        </is>
      </c>
      <c r="F1005" t="inlineStr">
        <is>
          <t>Holmen skog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55883-2022</t>
        </is>
      </c>
      <c r="B1006" s="1" t="n">
        <v>44888</v>
      </c>
      <c r="C1006" s="1" t="n">
        <v>45579</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55882-2022</t>
        </is>
      </c>
      <c r="B1007" s="1" t="n">
        <v>44888</v>
      </c>
      <c r="C1007" s="1" t="n">
        <v>45579</v>
      </c>
      <c r="D1007" t="inlineStr">
        <is>
          <t>VÄSTERNORRLANDS LÄN</t>
        </is>
      </c>
      <c r="E1007" t="inlineStr">
        <is>
          <t>ÅNGE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55907-2022</t>
        </is>
      </c>
      <c r="B1008" s="1" t="n">
        <v>44888</v>
      </c>
      <c r="C1008" s="1" t="n">
        <v>45579</v>
      </c>
      <c r="D1008" t="inlineStr">
        <is>
          <t>VÄSTERNORRLANDS LÄN</t>
        </is>
      </c>
      <c r="E1008" t="inlineStr">
        <is>
          <t>ÅNGE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55906-2022</t>
        </is>
      </c>
      <c r="B1009" s="1" t="n">
        <v>44888</v>
      </c>
      <c r="C1009" s="1" t="n">
        <v>45579</v>
      </c>
      <c r="D1009" t="inlineStr">
        <is>
          <t>VÄSTERNORRLANDS LÄN</t>
        </is>
      </c>
      <c r="E1009" t="inlineStr">
        <is>
          <t>ÅNGE</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56181-2022</t>
        </is>
      </c>
      <c r="B1010" s="1" t="n">
        <v>44889</v>
      </c>
      <c r="C1010" s="1" t="n">
        <v>45579</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55934-2022</t>
        </is>
      </c>
      <c r="B1011" s="1" t="n">
        <v>44889</v>
      </c>
      <c r="C1011" s="1" t="n">
        <v>45579</v>
      </c>
      <c r="D1011" t="inlineStr">
        <is>
          <t>VÄSTERNORRLANDS LÄN</t>
        </is>
      </c>
      <c r="E1011" t="inlineStr">
        <is>
          <t>ÅNGE</t>
        </is>
      </c>
      <c r="F1011" t="inlineStr">
        <is>
          <t>Holmen skog AB</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56399-2022</t>
        </is>
      </c>
      <c r="B1012" s="1" t="n">
        <v>44890</v>
      </c>
      <c r="C1012" s="1" t="n">
        <v>45579</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56403-2022</t>
        </is>
      </c>
      <c r="B1013" s="1" t="n">
        <v>44890</v>
      </c>
      <c r="C1013" s="1" t="n">
        <v>45579</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56400-2022</t>
        </is>
      </c>
      <c r="B1014" s="1" t="n">
        <v>44890</v>
      </c>
      <c r="C1014" s="1" t="n">
        <v>45579</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56401-2022</t>
        </is>
      </c>
      <c r="B1015" s="1" t="n">
        <v>44890</v>
      </c>
      <c r="C1015" s="1" t="n">
        <v>45579</v>
      </c>
      <c r="D1015" t="inlineStr">
        <is>
          <t>VÄSTERNORRLANDS LÄN</t>
        </is>
      </c>
      <c r="E1015" t="inlineStr">
        <is>
          <t>ÅNGE</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56591-2022</t>
        </is>
      </c>
      <c r="B1016" s="1" t="n">
        <v>44893</v>
      </c>
      <c r="C1016" s="1" t="n">
        <v>45579</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56666-2022</t>
        </is>
      </c>
      <c r="B1017" s="1" t="n">
        <v>44893</v>
      </c>
      <c r="C1017" s="1" t="n">
        <v>45579</v>
      </c>
      <c r="D1017" t="inlineStr">
        <is>
          <t>VÄSTERNORRLANDS LÄN</t>
        </is>
      </c>
      <c r="E1017" t="inlineStr">
        <is>
          <t>ÅNGE</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56731-2022</t>
        </is>
      </c>
      <c r="B1018" s="1" t="n">
        <v>44893</v>
      </c>
      <c r="C1018" s="1" t="n">
        <v>45579</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56775-2022</t>
        </is>
      </c>
      <c r="B1019" s="1" t="n">
        <v>44894</v>
      </c>
      <c r="C1019" s="1" t="n">
        <v>45579</v>
      </c>
      <c r="D1019" t="inlineStr">
        <is>
          <t>VÄSTERNORRLANDS LÄN</t>
        </is>
      </c>
      <c r="E1019" t="inlineStr">
        <is>
          <t>ÅNGE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56946-2022</t>
        </is>
      </c>
      <c r="B1020" s="1" t="n">
        <v>44894</v>
      </c>
      <c r="C1020" s="1" t="n">
        <v>45579</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56956-2022</t>
        </is>
      </c>
      <c r="B1021" s="1" t="n">
        <v>44894</v>
      </c>
      <c r="C1021" s="1" t="n">
        <v>45579</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57289-2022</t>
        </is>
      </c>
      <c r="B1022" s="1" t="n">
        <v>44895</v>
      </c>
      <c r="C1022" s="1" t="n">
        <v>45579</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57250-2022</t>
        </is>
      </c>
      <c r="B1023" s="1" t="n">
        <v>44895</v>
      </c>
      <c r="C1023" s="1" t="n">
        <v>45579</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57287-2022</t>
        </is>
      </c>
      <c r="B1024" s="1" t="n">
        <v>44895</v>
      </c>
      <c r="C1024" s="1" t="n">
        <v>45579</v>
      </c>
      <c r="D1024" t="inlineStr">
        <is>
          <t>VÄSTERNORRLANDS LÄN</t>
        </is>
      </c>
      <c r="E1024" t="inlineStr">
        <is>
          <t>ÅNGE</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v>
      </c>
      <c r="C1025" s="1" t="n">
        <v>45579</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57291-2022</t>
        </is>
      </c>
      <c r="B1026" s="1" t="n">
        <v>44895</v>
      </c>
      <c r="C1026" s="1" t="n">
        <v>45579</v>
      </c>
      <c r="D1026" t="inlineStr">
        <is>
          <t>VÄSTERNORRLANDS LÄN</t>
        </is>
      </c>
      <c r="E1026" t="inlineStr">
        <is>
          <t>ÅNGE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57288-2022</t>
        </is>
      </c>
      <c r="B1027" s="1" t="n">
        <v>44895</v>
      </c>
      <c r="C1027" s="1" t="n">
        <v>45579</v>
      </c>
      <c r="D1027" t="inlineStr">
        <is>
          <t>VÄSTERNORRLANDS LÄN</t>
        </is>
      </c>
      <c r="E1027" t="inlineStr">
        <is>
          <t>ÅNGE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57592-2022</t>
        </is>
      </c>
      <c r="B1028" s="1" t="n">
        <v>44897</v>
      </c>
      <c r="C1028" s="1" t="n">
        <v>45579</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57596-2022</t>
        </is>
      </c>
      <c r="B1029" s="1" t="n">
        <v>44897</v>
      </c>
      <c r="C1029" s="1" t="n">
        <v>45579</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57601-2022</t>
        </is>
      </c>
      <c r="B1030" s="1" t="n">
        <v>44896</v>
      </c>
      <c r="C1030" s="1" t="n">
        <v>45579</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57593-2022</t>
        </is>
      </c>
      <c r="B1031" s="1" t="n">
        <v>44897</v>
      </c>
      <c r="C1031" s="1" t="n">
        <v>45579</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57602-2022</t>
        </is>
      </c>
      <c r="B1032" s="1" t="n">
        <v>44896</v>
      </c>
      <c r="C1032" s="1" t="n">
        <v>45579</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57591-2022</t>
        </is>
      </c>
      <c r="B1033" s="1" t="n">
        <v>44897</v>
      </c>
      <c r="C1033" s="1" t="n">
        <v>45579</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57595-2022</t>
        </is>
      </c>
      <c r="B1034" s="1" t="n">
        <v>44897</v>
      </c>
      <c r="C1034" s="1" t="n">
        <v>45579</v>
      </c>
      <c r="D1034" t="inlineStr">
        <is>
          <t>VÄSTERNORRLANDS LÄN</t>
        </is>
      </c>
      <c r="E1034" t="inlineStr">
        <is>
          <t>ÅNGE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57598-2022</t>
        </is>
      </c>
      <c r="B1035" s="1" t="n">
        <v>44896</v>
      </c>
      <c r="C1035" s="1" t="n">
        <v>45579</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45579</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57846-2022</t>
        </is>
      </c>
      <c r="B1037" s="1" t="n">
        <v>44897</v>
      </c>
      <c r="C1037" s="1" t="n">
        <v>45579</v>
      </c>
      <c r="D1037" t="inlineStr">
        <is>
          <t>VÄSTERNORRLANDS LÄN</t>
        </is>
      </c>
      <c r="E1037" t="inlineStr">
        <is>
          <t>ÅNGE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58275-2022</t>
        </is>
      </c>
      <c r="B1038" s="1" t="n">
        <v>44901</v>
      </c>
      <c r="C1038" s="1" t="n">
        <v>45579</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58445-2022</t>
        </is>
      </c>
      <c r="B1039" s="1" t="n">
        <v>44901</v>
      </c>
      <c r="C1039" s="1" t="n">
        <v>45579</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58444-2022</t>
        </is>
      </c>
      <c r="B1040" s="1" t="n">
        <v>44901</v>
      </c>
      <c r="C1040" s="1" t="n">
        <v>45579</v>
      </c>
      <c r="D1040" t="inlineStr">
        <is>
          <t>VÄSTERNORRLANDS LÄN</t>
        </is>
      </c>
      <c r="E1040" t="inlineStr">
        <is>
          <t>ÅNGE</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58469-2022</t>
        </is>
      </c>
      <c r="B1041" s="1" t="n">
        <v>44902</v>
      </c>
      <c r="C1041" s="1" t="n">
        <v>45579</v>
      </c>
      <c r="D1041" t="inlineStr">
        <is>
          <t>VÄSTERNORRLANDS LÄN</t>
        </is>
      </c>
      <c r="E1041" t="inlineStr">
        <is>
          <t>ÅNGE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58943-2022</t>
        </is>
      </c>
      <c r="B1042" s="1" t="n">
        <v>44903</v>
      </c>
      <c r="C1042" s="1" t="n">
        <v>45579</v>
      </c>
      <c r="D1042" t="inlineStr">
        <is>
          <t>VÄSTERNORRLANDS LÄN</t>
        </is>
      </c>
      <c r="E1042" t="inlineStr">
        <is>
          <t>ÅNGE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59520-2022</t>
        </is>
      </c>
      <c r="B1043" s="1" t="n">
        <v>44907</v>
      </c>
      <c r="C1043" s="1" t="n">
        <v>45579</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59626-2022</t>
        </is>
      </c>
      <c r="B1044" s="1" t="n">
        <v>44907</v>
      </c>
      <c r="C1044" s="1" t="n">
        <v>45579</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60369-2022</t>
        </is>
      </c>
      <c r="B1045" s="1" t="n">
        <v>44910</v>
      </c>
      <c r="C1045" s="1" t="n">
        <v>45579</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60658-2022</t>
        </is>
      </c>
      <c r="B1046" s="1" t="n">
        <v>44911</v>
      </c>
      <c r="C1046" s="1" t="n">
        <v>45579</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60770-2022</t>
        </is>
      </c>
      <c r="B1047" s="1" t="n">
        <v>44914</v>
      </c>
      <c r="C1047" s="1" t="n">
        <v>45579</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60860-2022</t>
        </is>
      </c>
      <c r="B1048" s="1" t="n">
        <v>44914</v>
      </c>
      <c r="C1048" s="1" t="n">
        <v>45579</v>
      </c>
      <c r="D1048" t="inlineStr">
        <is>
          <t>VÄSTERNORRLANDS LÄN</t>
        </is>
      </c>
      <c r="E1048" t="inlineStr">
        <is>
          <t>ÅNGE</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61585-2022</t>
        </is>
      </c>
      <c r="B1049" s="1" t="n">
        <v>44916</v>
      </c>
      <c r="C1049" s="1" t="n">
        <v>45579</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62261-2022</t>
        </is>
      </c>
      <c r="B1050" s="1" t="n">
        <v>44922</v>
      </c>
      <c r="C1050" s="1" t="n">
        <v>45579</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62290-2022</t>
        </is>
      </c>
      <c r="B1051" s="1" t="n">
        <v>44923</v>
      </c>
      <c r="C1051" s="1" t="n">
        <v>45579</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62441-2022</t>
        </is>
      </c>
      <c r="B1052" s="1" t="n">
        <v>44924</v>
      </c>
      <c r="C1052" s="1" t="n">
        <v>45579</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62438-2022</t>
        </is>
      </c>
      <c r="B1053" s="1" t="n">
        <v>44924</v>
      </c>
      <c r="C1053" s="1" t="n">
        <v>45579</v>
      </c>
      <c r="D1053" t="inlineStr">
        <is>
          <t>VÄSTERNORRLANDS LÄN</t>
        </is>
      </c>
      <c r="E1053" t="inlineStr">
        <is>
          <t>ÅNGE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1116-2023</t>
        </is>
      </c>
      <c r="B1054" s="1" t="n">
        <v>44929</v>
      </c>
      <c r="C1054" s="1" t="n">
        <v>45579</v>
      </c>
      <c r="D1054" t="inlineStr">
        <is>
          <t>VÄSTERNORRLANDS LÄN</t>
        </is>
      </c>
      <c r="E1054" t="inlineStr">
        <is>
          <t>ÅNGE</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1103-2023</t>
        </is>
      </c>
      <c r="B1055" s="1" t="n">
        <v>44929</v>
      </c>
      <c r="C1055" s="1" t="n">
        <v>45579</v>
      </c>
      <c r="D1055" t="inlineStr">
        <is>
          <t>VÄSTERNORRLANDS LÄN</t>
        </is>
      </c>
      <c r="E1055" t="inlineStr">
        <is>
          <t>ÅNGE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1090-2023</t>
        </is>
      </c>
      <c r="B1056" s="1" t="n">
        <v>44929</v>
      </c>
      <c r="C1056" s="1" t="n">
        <v>45579</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482-2023</t>
        </is>
      </c>
      <c r="B1057" s="1" t="n">
        <v>44929</v>
      </c>
      <c r="C1057" s="1" t="n">
        <v>45579</v>
      </c>
      <c r="D1057" t="inlineStr">
        <is>
          <t>VÄSTERNORRLANDS LÄN</t>
        </is>
      </c>
      <c r="E1057" t="inlineStr">
        <is>
          <t>ÅNGE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1127-2023</t>
        </is>
      </c>
      <c r="B1058" s="1" t="n">
        <v>44929</v>
      </c>
      <c r="C1058" s="1" t="n">
        <v>45579</v>
      </c>
      <c r="D1058" t="inlineStr">
        <is>
          <t>VÄSTERNORRLANDS LÄN</t>
        </is>
      </c>
      <c r="E1058" t="inlineStr">
        <is>
          <t>ÅNGE</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1095-2023</t>
        </is>
      </c>
      <c r="B1059" s="1" t="n">
        <v>44929</v>
      </c>
      <c r="C1059" s="1" t="n">
        <v>45579</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723-2023</t>
        </is>
      </c>
      <c r="B1060" s="1" t="n">
        <v>44930</v>
      </c>
      <c r="C1060" s="1" t="n">
        <v>45579</v>
      </c>
      <c r="D1060" t="inlineStr">
        <is>
          <t>VÄSTERNORRLANDS LÄN</t>
        </is>
      </c>
      <c r="E1060" t="inlineStr">
        <is>
          <t>ÅNGE</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721-2023</t>
        </is>
      </c>
      <c r="B1061" s="1" t="n">
        <v>44930</v>
      </c>
      <c r="C1061" s="1" t="n">
        <v>45579</v>
      </c>
      <c r="D1061" t="inlineStr">
        <is>
          <t>VÄSTERNORRLANDS LÄN</t>
        </is>
      </c>
      <c r="E1061" t="inlineStr">
        <is>
          <t>ÅNGE</t>
        </is>
      </c>
      <c r="F1061" t="inlineStr">
        <is>
          <t>SCA</t>
        </is>
      </c>
      <c r="G1061" t="n">
        <v>23.6</v>
      </c>
      <c r="H1061" t="n">
        <v>0</v>
      </c>
      <c r="I1061" t="n">
        <v>0</v>
      </c>
      <c r="J1061" t="n">
        <v>0</v>
      </c>
      <c r="K1061" t="n">
        <v>0</v>
      </c>
      <c r="L1061" t="n">
        <v>0</v>
      </c>
      <c r="M1061" t="n">
        <v>0</v>
      </c>
      <c r="N1061" t="n">
        <v>0</v>
      </c>
      <c r="O1061" t="n">
        <v>0</v>
      </c>
      <c r="P1061" t="n">
        <v>0</v>
      </c>
      <c r="Q1061" t="n">
        <v>0</v>
      </c>
      <c r="R1061" s="2" t="inlineStr"/>
    </row>
    <row r="1062" ht="15" customHeight="1">
      <c r="A1062" t="inlineStr">
        <is>
          <t>A 722-2023</t>
        </is>
      </c>
      <c r="B1062" s="1" t="n">
        <v>44930</v>
      </c>
      <c r="C1062" s="1" t="n">
        <v>45579</v>
      </c>
      <c r="D1062" t="inlineStr">
        <is>
          <t>VÄSTERNORRLANDS LÄN</t>
        </is>
      </c>
      <c r="E1062" t="inlineStr">
        <is>
          <t>ÅNGE</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720-2023</t>
        </is>
      </c>
      <c r="B1063" s="1" t="n">
        <v>44930</v>
      </c>
      <c r="C1063" s="1" t="n">
        <v>45579</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732-2023</t>
        </is>
      </c>
      <c r="B1064" s="1" t="n">
        <v>44931</v>
      </c>
      <c r="C1064" s="1" t="n">
        <v>45579</v>
      </c>
      <c r="D1064" t="inlineStr">
        <is>
          <t>VÄSTERNORRLANDS LÄN</t>
        </is>
      </c>
      <c r="E1064" t="inlineStr">
        <is>
          <t>ÅNGE</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1235-2023</t>
        </is>
      </c>
      <c r="B1065" s="1" t="n">
        <v>44935</v>
      </c>
      <c r="C1065" s="1" t="n">
        <v>45579</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1412-2023</t>
        </is>
      </c>
      <c r="B1066" s="1" t="n">
        <v>44936</v>
      </c>
      <c r="C1066" s="1" t="n">
        <v>45579</v>
      </c>
      <c r="D1066" t="inlineStr">
        <is>
          <t>VÄSTERNORRLANDS LÄN</t>
        </is>
      </c>
      <c r="E1066" t="inlineStr">
        <is>
          <t>ÅNGE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1420-2023</t>
        </is>
      </c>
      <c r="B1067" s="1" t="n">
        <v>44936</v>
      </c>
      <c r="C1067" s="1" t="n">
        <v>45579</v>
      </c>
      <c r="D1067" t="inlineStr">
        <is>
          <t>VÄSTERNORRLANDS LÄN</t>
        </is>
      </c>
      <c r="E1067" t="inlineStr">
        <is>
          <t>ÅNGE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1769-2023</t>
        </is>
      </c>
      <c r="B1068" s="1" t="n">
        <v>44938</v>
      </c>
      <c r="C1068" s="1" t="n">
        <v>45579</v>
      </c>
      <c r="D1068" t="inlineStr">
        <is>
          <t>VÄSTERNORRLANDS LÄN</t>
        </is>
      </c>
      <c r="E1068" t="inlineStr">
        <is>
          <t>ÅNGE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1775-2023</t>
        </is>
      </c>
      <c r="B1069" s="1" t="n">
        <v>44938</v>
      </c>
      <c r="C1069" s="1" t="n">
        <v>45579</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2140-2023</t>
        </is>
      </c>
      <c r="B1070" s="1" t="n">
        <v>44940</v>
      </c>
      <c r="C1070" s="1" t="n">
        <v>45579</v>
      </c>
      <c r="D1070" t="inlineStr">
        <is>
          <t>VÄSTERNORRLANDS LÄN</t>
        </is>
      </c>
      <c r="E1070" t="inlineStr">
        <is>
          <t>ÅNGE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3022-2023</t>
        </is>
      </c>
      <c r="B1071" s="1" t="n">
        <v>44945</v>
      </c>
      <c r="C1071" s="1" t="n">
        <v>45579</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3023-2023</t>
        </is>
      </c>
      <c r="B1072" s="1" t="n">
        <v>44945</v>
      </c>
      <c r="C1072" s="1" t="n">
        <v>45579</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3025-2023</t>
        </is>
      </c>
      <c r="B1073" s="1" t="n">
        <v>44945</v>
      </c>
      <c r="C1073" s="1" t="n">
        <v>45579</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3323-2023</t>
        </is>
      </c>
      <c r="B1074" s="1" t="n">
        <v>44945</v>
      </c>
      <c r="C1074" s="1" t="n">
        <v>45579</v>
      </c>
      <c r="D1074" t="inlineStr">
        <is>
          <t>VÄSTERNORRLANDS LÄN</t>
        </is>
      </c>
      <c r="E1074" t="inlineStr">
        <is>
          <t>ÅNGE</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3362-2023</t>
        </is>
      </c>
      <c r="B1075" s="1" t="n">
        <v>44945</v>
      </c>
      <c r="C1075" s="1" t="n">
        <v>45579</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3631-2023</t>
        </is>
      </c>
      <c r="B1076" s="1" t="n">
        <v>44950</v>
      </c>
      <c r="C1076" s="1" t="n">
        <v>45579</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3629-2023</t>
        </is>
      </c>
      <c r="B1077" s="1" t="n">
        <v>44950</v>
      </c>
      <c r="C1077" s="1" t="n">
        <v>45579</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3686-2023</t>
        </is>
      </c>
      <c r="B1078" s="1" t="n">
        <v>44950</v>
      </c>
      <c r="C1078" s="1" t="n">
        <v>45579</v>
      </c>
      <c r="D1078" t="inlineStr">
        <is>
          <t>VÄSTERNORRLANDS LÄN</t>
        </is>
      </c>
      <c r="E1078" t="inlineStr">
        <is>
          <t>ÅNGE</t>
        </is>
      </c>
      <c r="F1078" t="inlineStr">
        <is>
          <t>SCA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4095-2023</t>
        </is>
      </c>
      <c r="B1079" s="1" t="n">
        <v>44952</v>
      </c>
      <c r="C1079" s="1" t="n">
        <v>45579</v>
      </c>
      <c r="D1079" t="inlineStr">
        <is>
          <t>VÄSTERNORRLANDS LÄN</t>
        </is>
      </c>
      <c r="E1079" t="inlineStr">
        <is>
          <t>ÅNGE</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4727-2023</t>
        </is>
      </c>
      <c r="B1080" s="1" t="n">
        <v>44953</v>
      </c>
      <c r="C1080" s="1" t="n">
        <v>45579</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4876-2023</t>
        </is>
      </c>
      <c r="B1081" s="1" t="n">
        <v>44957</v>
      </c>
      <c r="C1081" s="1" t="n">
        <v>45579</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4877-2023</t>
        </is>
      </c>
      <c r="B1082" s="1" t="n">
        <v>44957</v>
      </c>
      <c r="C1082" s="1" t="n">
        <v>45579</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4883-2023</t>
        </is>
      </c>
      <c r="B1083" s="1" t="n">
        <v>44957</v>
      </c>
      <c r="C1083" s="1" t="n">
        <v>45579</v>
      </c>
      <c r="D1083" t="inlineStr">
        <is>
          <t>VÄSTERNORRLANDS LÄN</t>
        </is>
      </c>
      <c r="E1083" t="inlineStr">
        <is>
          <t>ÅNGE</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5083-2023</t>
        </is>
      </c>
      <c r="B1084" s="1" t="n">
        <v>44958</v>
      </c>
      <c r="C1084" s="1" t="n">
        <v>45579</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5455-2023</t>
        </is>
      </c>
      <c r="B1085" s="1" t="n">
        <v>44959</v>
      </c>
      <c r="C1085" s="1" t="n">
        <v>45579</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5868-2023</t>
        </is>
      </c>
      <c r="B1086" s="1" t="n">
        <v>44963</v>
      </c>
      <c r="C1086" s="1" t="n">
        <v>45579</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6179-2023</t>
        </is>
      </c>
      <c r="B1087" s="1" t="n">
        <v>44964</v>
      </c>
      <c r="C1087" s="1" t="n">
        <v>45579</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6186-2023</t>
        </is>
      </c>
      <c r="B1088" s="1" t="n">
        <v>44964</v>
      </c>
      <c r="C1088" s="1" t="n">
        <v>45579</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6790-2023</t>
        </is>
      </c>
      <c r="B1089" s="1" t="n">
        <v>44966</v>
      </c>
      <c r="C1089" s="1" t="n">
        <v>45579</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6789-2023</t>
        </is>
      </c>
      <c r="B1090" s="1" t="n">
        <v>44966</v>
      </c>
      <c r="C1090" s="1" t="n">
        <v>45579</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6791-2023</t>
        </is>
      </c>
      <c r="B1091" s="1" t="n">
        <v>44966</v>
      </c>
      <c r="C1091" s="1" t="n">
        <v>45579</v>
      </c>
      <c r="D1091" t="inlineStr">
        <is>
          <t>VÄSTERNORRLANDS LÄN</t>
        </is>
      </c>
      <c r="E1091" t="inlineStr">
        <is>
          <t>ÅNGE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6799-2023</t>
        </is>
      </c>
      <c r="B1092" s="1" t="n">
        <v>44966</v>
      </c>
      <c r="C1092" s="1" t="n">
        <v>45579</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6787-2023</t>
        </is>
      </c>
      <c r="B1093" s="1" t="n">
        <v>44966</v>
      </c>
      <c r="C1093" s="1" t="n">
        <v>45579</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7025-2023</t>
        </is>
      </c>
      <c r="B1094" s="1" t="n">
        <v>44968</v>
      </c>
      <c r="C1094" s="1" t="n">
        <v>45579</v>
      </c>
      <c r="D1094" t="inlineStr">
        <is>
          <t>VÄSTERNORRLANDS LÄN</t>
        </is>
      </c>
      <c r="E1094" t="inlineStr">
        <is>
          <t>ÅNGE</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7528-2023</t>
        </is>
      </c>
      <c r="B1095" s="1" t="n">
        <v>44972</v>
      </c>
      <c r="C1095" s="1" t="n">
        <v>45579</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7529-2023</t>
        </is>
      </c>
      <c r="B1096" s="1" t="n">
        <v>44972</v>
      </c>
      <c r="C1096" s="1" t="n">
        <v>45579</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7527-2023</t>
        </is>
      </c>
      <c r="B1097" s="1" t="n">
        <v>44971</v>
      </c>
      <c r="C1097" s="1" t="n">
        <v>45579</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7535-2023</t>
        </is>
      </c>
      <c r="B1098" s="1" t="n">
        <v>44971</v>
      </c>
      <c r="C1098" s="1" t="n">
        <v>45579</v>
      </c>
      <c r="D1098" t="inlineStr">
        <is>
          <t>VÄSTERNORRLANDS LÄN</t>
        </is>
      </c>
      <c r="E1098" t="inlineStr">
        <is>
          <t>ÅNGE</t>
        </is>
      </c>
      <c r="F1098" t="inlineStr">
        <is>
          <t>SCA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7526-2023</t>
        </is>
      </c>
      <c r="B1099" s="1" t="n">
        <v>44972</v>
      </c>
      <c r="C1099" s="1" t="n">
        <v>45579</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8406-2023</t>
        </is>
      </c>
      <c r="B1100" s="1" t="n">
        <v>44971</v>
      </c>
      <c r="C1100" s="1" t="n">
        <v>45579</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8418-2023</t>
        </is>
      </c>
      <c r="B1101" s="1" t="n">
        <v>44971</v>
      </c>
      <c r="C1101" s="1" t="n">
        <v>45579</v>
      </c>
      <c r="D1101" t="inlineStr">
        <is>
          <t>VÄSTERNORRLANDS LÄN</t>
        </is>
      </c>
      <c r="E1101" t="inlineStr">
        <is>
          <t>ÅNGE</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7720-2023</t>
        </is>
      </c>
      <c r="B1102" s="1" t="n">
        <v>44972</v>
      </c>
      <c r="C1102" s="1" t="n">
        <v>45579</v>
      </c>
      <c r="D1102" t="inlineStr">
        <is>
          <t>VÄSTERNORRLANDS LÄN</t>
        </is>
      </c>
      <c r="E1102" t="inlineStr">
        <is>
          <t>ÅNGE</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7723-2023</t>
        </is>
      </c>
      <c r="B1103" s="1" t="n">
        <v>44972</v>
      </c>
      <c r="C1103" s="1" t="n">
        <v>45579</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8627-2023</t>
        </is>
      </c>
      <c r="B1104" s="1" t="n">
        <v>44977</v>
      </c>
      <c r="C1104" s="1" t="n">
        <v>45579</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8666-2023</t>
        </is>
      </c>
      <c r="B1105" s="1" t="n">
        <v>44977</v>
      </c>
      <c r="C1105" s="1" t="n">
        <v>45579</v>
      </c>
      <c r="D1105" t="inlineStr">
        <is>
          <t>VÄSTERNORRLANDS LÄN</t>
        </is>
      </c>
      <c r="E1105" t="inlineStr">
        <is>
          <t>ÅNGE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8869-2023</t>
        </is>
      </c>
      <c r="B1106" s="1" t="n">
        <v>44978</v>
      </c>
      <c r="C1106" s="1" t="n">
        <v>45579</v>
      </c>
      <c r="D1106" t="inlineStr">
        <is>
          <t>VÄSTERNORRLANDS LÄN</t>
        </is>
      </c>
      <c r="E1106" t="inlineStr">
        <is>
          <t>ÅNGE</t>
        </is>
      </c>
      <c r="F1106" t="inlineStr">
        <is>
          <t>SCA</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8868-2023</t>
        </is>
      </c>
      <c r="B1107" s="1" t="n">
        <v>44978</v>
      </c>
      <c r="C1107" s="1" t="n">
        <v>45579</v>
      </c>
      <c r="D1107" t="inlineStr">
        <is>
          <t>VÄSTERNORRLANDS LÄN</t>
        </is>
      </c>
      <c r="E1107" t="inlineStr">
        <is>
          <t>ÅNGE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8867-2023</t>
        </is>
      </c>
      <c r="B1108" s="1" t="n">
        <v>44978</v>
      </c>
      <c r="C1108" s="1" t="n">
        <v>45579</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9211-2023</t>
        </is>
      </c>
      <c r="B1109" s="1" t="n">
        <v>44980</v>
      </c>
      <c r="C1109" s="1" t="n">
        <v>45579</v>
      </c>
      <c r="D1109" t="inlineStr">
        <is>
          <t>VÄSTERNORRLANDS LÄN</t>
        </is>
      </c>
      <c r="E1109" t="inlineStr">
        <is>
          <t>ÅNGE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9215-2023</t>
        </is>
      </c>
      <c r="B1110" s="1" t="n">
        <v>44980</v>
      </c>
      <c r="C1110" s="1" t="n">
        <v>45579</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9861-2023</t>
        </is>
      </c>
      <c r="B1111" s="1" t="n">
        <v>44984</v>
      </c>
      <c r="C1111" s="1" t="n">
        <v>45579</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10067-2023</t>
        </is>
      </c>
      <c r="B1112" s="1" t="n">
        <v>44985</v>
      </c>
      <c r="C1112" s="1" t="n">
        <v>45579</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10071-2023</t>
        </is>
      </c>
      <c r="B1113" s="1" t="n">
        <v>44985</v>
      </c>
      <c r="C1113" s="1" t="n">
        <v>45579</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10084-2023</t>
        </is>
      </c>
      <c r="B1114" s="1" t="n">
        <v>44985</v>
      </c>
      <c r="C1114" s="1" t="n">
        <v>45579</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10089-2023</t>
        </is>
      </c>
      <c r="B1115" s="1" t="n">
        <v>44985</v>
      </c>
      <c r="C1115" s="1" t="n">
        <v>45579</v>
      </c>
      <c r="D1115" t="inlineStr">
        <is>
          <t>VÄSTERNORRLANDS LÄN</t>
        </is>
      </c>
      <c r="E1115" t="inlineStr">
        <is>
          <t>ÅNGE</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10068-2023</t>
        </is>
      </c>
      <c r="B1116" s="1" t="n">
        <v>44985</v>
      </c>
      <c r="C1116" s="1" t="n">
        <v>45579</v>
      </c>
      <c r="D1116" t="inlineStr">
        <is>
          <t>VÄSTERNORRLANDS LÄN</t>
        </is>
      </c>
      <c r="E1116" t="inlineStr">
        <is>
          <t>ÅNGE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10090-2023</t>
        </is>
      </c>
      <c r="B1117" s="1" t="n">
        <v>44985</v>
      </c>
      <c r="C1117" s="1" t="n">
        <v>45579</v>
      </c>
      <c r="D1117" t="inlineStr">
        <is>
          <t>VÄSTERNORRLANDS LÄN</t>
        </is>
      </c>
      <c r="E1117" t="inlineStr">
        <is>
          <t>ÅNGE</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10070-2023</t>
        </is>
      </c>
      <c r="B1118" s="1" t="n">
        <v>44985</v>
      </c>
      <c r="C1118" s="1" t="n">
        <v>45579</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10087-2023</t>
        </is>
      </c>
      <c r="B1119" s="1" t="n">
        <v>44985</v>
      </c>
      <c r="C1119" s="1" t="n">
        <v>45579</v>
      </c>
      <c r="D1119" t="inlineStr">
        <is>
          <t>VÄSTERNORRLANDS LÄN</t>
        </is>
      </c>
      <c r="E1119" t="inlineStr">
        <is>
          <t>ÅNGE</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10558-2023</t>
        </is>
      </c>
      <c r="B1120" s="1" t="n">
        <v>44987</v>
      </c>
      <c r="C1120" s="1" t="n">
        <v>45579</v>
      </c>
      <c r="D1120" t="inlineStr">
        <is>
          <t>VÄSTERNORRLANDS LÄN</t>
        </is>
      </c>
      <c r="E1120" t="inlineStr">
        <is>
          <t>ÅNGE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10557-2023</t>
        </is>
      </c>
      <c r="B1121" s="1" t="n">
        <v>44987</v>
      </c>
      <c r="C1121" s="1" t="n">
        <v>45579</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10778-2023</t>
        </is>
      </c>
      <c r="B1122" s="1" t="n">
        <v>44988</v>
      </c>
      <c r="C1122" s="1" t="n">
        <v>45579</v>
      </c>
      <c r="D1122" t="inlineStr">
        <is>
          <t>VÄSTERNORRLANDS LÄN</t>
        </is>
      </c>
      <c r="E1122" t="inlineStr">
        <is>
          <t>ÅNGE</t>
        </is>
      </c>
      <c r="F1122" t="inlineStr">
        <is>
          <t>SCA</t>
        </is>
      </c>
      <c r="G1122" t="n">
        <v>46.4</v>
      </c>
      <c r="H1122" t="n">
        <v>0</v>
      </c>
      <c r="I1122" t="n">
        <v>0</v>
      </c>
      <c r="J1122" t="n">
        <v>0</v>
      </c>
      <c r="K1122" t="n">
        <v>0</v>
      </c>
      <c r="L1122" t="n">
        <v>0</v>
      </c>
      <c r="M1122" t="n">
        <v>0</v>
      </c>
      <c r="N1122" t="n">
        <v>0</v>
      </c>
      <c r="O1122" t="n">
        <v>0</v>
      </c>
      <c r="P1122" t="n">
        <v>0</v>
      </c>
      <c r="Q1122" t="n">
        <v>0</v>
      </c>
      <c r="R1122" s="2" t="inlineStr"/>
    </row>
    <row r="1123" ht="15" customHeight="1">
      <c r="A1123" t="inlineStr">
        <is>
          <t>A 11300-2023</t>
        </is>
      </c>
      <c r="B1123" s="1" t="n">
        <v>44993</v>
      </c>
      <c r="C1123" s="1" t="n">
        <v>45579</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11309-2023</t>
        </is>
      </c>
      <c r="B1124" s="1" t="n">
        <v>44993</v>
      </c>
      <c r="C1124" s="1" t="n">
        <v>45579</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11529-2023</t>
        </is>
      </c>
      <c r="B1125" s="1" t="n">
        <v>44993</v>
      </c>
      <c r="C1125" s="1" t="n">
        <v>45579</v>
      </c>
      <c r="D1125" t="inlineStr">
        <is>
          <t>VÄSTERNORRLANDS LÄN</t>
        </is>
      </c>
      <c r="E1125" t="inlineStr">
        <is>
          <t>ÅNGE</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11299-2023</t>
        </is>
      </c>
      <c r="B1126" s="1" t="n">
        <v>44993</v>
      </c>
      <c r="C1126" s="1" t="n">
        <v>45579</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11310-2023</t>
        </is>
      </c>
      <c r="B1127" s="1" t="n">
        <v>44993</v>
      </c>
      <c r="C1127" s="1" t="n">
        <v>45579</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11531-2023</t>
        </is>
      </c>
      <c r="B1128" s="1" t="n">
        <v>44993</v>
      </c>
      <c r="C1128" s="1" t="n">
        <v>45579</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11532-2023</t>
        </is>
      </c>
      <c r="B1129" s="1" t="n">
        <v>44993</v>
      </c>
      <c r="C1129" s="1" t="n">
        <v>45579</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12749-2023</t>
        </is>
      </c>
      <c r="B1130" s="1" t="n">
        <v>45000</v>
      </c>
      <c r="C1130" s="1" t="n">
        <v>45579</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12748-2023</t>
        </is>
      </c>
      <c r="B1131" s="1" t="n">
        <v>45000</v>
      </c>
      <c r="C1131" s="1" t="n">
        <v>45579</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12742-2023</t>
        </is>
      </c>
      <c r="B1132" s="1" t="n">
        <v>45000</v>
      </c>
      <c r="C1132" s="1" t="n">
        <v>45579</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12997-2023</t>
        </is>
      </c>
      <c r="B1133" s="1" t="n">
        <v>45002</v>
      </c>
      <c r="C1133" s="1" t="n">
        <v>45579</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12987-2023</t>
        </is>
      </c>
      <c r="B1134" s="1" t="n">
        <v>45002</v>
      </c>
      <c r="C1134" s="1" t="n">
        <v>45579</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12999-2023</t>
        </is>
      </c>
      <c r="B1135" s="1" t="n">
        <v>45002</v>
      </c>
      <c r="C1135" s="1" t="n">
        <v>45579</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12998-2023</t>
        </is>
      </c>
      <c r="B1136" s="1" t="n">
        <v>45002</v>
      </c>
      <c r="C1136" s="1" t="n">
        <v>45579</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13485-2023</t>
        </is>
      </c>
      <c r="B1137" s="1" t="n">
        <v>45005</v>
      </c>
      <c r="C1137" s="1" t="n">
        <v>45579</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13491-2023</t>
        </is>
      </c>
      <c r="B1138" s="1" t="n">
        <v>45005</v>
      </c>
      <c r="C1138" s="1" t="n">
        <v>45579</v>
      </c>
      <c r="D1138" t="inlineStr">
        <is>
          <t>VÄSTERNORRLANDS LÄN</t>
        </is>
      </c>
      <c r="E1138" t="inlineStr">
        <is>
          <t>ÅNGE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13705-2023</t>
        </is>
      </c>
      <c r="B1139" s="1" t="n">
        <v>45006</v>
      </c>
      <c r="C1139" s="1" t="n">
        <v>45579</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13704-2023</t>
        </is>
      </c>
      <c r="B1140" s="1" t="n">
        <v>45006</v>
      </c>
      <c r="C1140" s="1" t="n">
        <v>45579</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13706-2023</t>
        </is>
      </c>
      <c r="B1141" s="1" t="n">
        <v>45006</v>
      </c>
      <c r="C1141" s="1" t="n">
        <v>45579</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14183-2023</t>
        </is>
      </c>
      <c r="B1142" s="1" t="n">
        <v>45009</v>
      </c>
      <c r="C1142" s="1" t="n">
        <v>45579</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14257-2023</t>
        </is>
      </c>
      <c r="B1143" s="1" t="n">
        <v>45009</v>
      </c>
      <c r="C1143" s="1" t="n">
        <v>45579</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14258-2023</t>
        </is>
      </c>
      <c r="B1144" s="1" t="n">
        <v>45009</v>
      </c>
      <c r="C1144" s="1" t="n">
        <v>45579</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14260-2023</t>
        </is>
      </c>
      <c r="B1145" s="1" t="n">
        <v>45009</v>
      </c>
      <c r="C1145" s="1" t="n">
        <v>45579</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14527-2023</t>
        </is>
      </c>
      <c r="B1146" s="1" t="n">
        <v>45013</v>
      </c>
      <c r="C1146" s="1" t="n">
        <v>45579</v>
      </c>
      <c r="D1146" t="inlineStr">
        <is>
          <t>VÄSTERNORRLANDS LÄN</t>
        </is>
      </c>
      <c r="E1146" t="inlineStr">
        <is>
          <t>ÅNGE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14667-2023</t>
        </is>
      </c>
      <c r="B1147" s="1" t="n">
        <v>45013</v>
      </c>
      <c r="C1147" s="1" t="n">
        <v>45579</v>
      </c>
      <c r="D1147" t="inlineStr">
        <is>
          <t>VÄSTERNORRLANDS LÄN</t>
        </is>
      </c>
      <c r="E1147" t="inlineStr">
        <is>
          <t>ÅNGE</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14676-2023</t>
        </is>
      </c>
      <c r="B1148" s="1" t="n">
        <v>45013</v>
      </c>
      <c r="C1148" s="1" t="n">
        <v>45579</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14879-2023</t>
        </is>
      </c>
      <c r="B1149" s="1" t="n">
        <v>45015</v>
      </c>
      <c r="C1149" s="1" t="n">
        <v>45579</v>
      </c>
      <c r="D1149" t="inlineStr">
        <is>
          <t>VÄSTERNORRLANDS LÄN</t>
        </is>
      </c>
      <c r="E1149" t="inlineStr">
        <is>
          <t>ÅNGE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14885-2023</t>
        </is>
      </c>
      <c r="B1150" s="1" t="n">
        <v>45015</v>
      </c>
      <c r="C1150" s="1" t="n">
        <v>45579</v>
      </c>
      <c r="D1150" t="inlineStr">
        <is>
          <t>VÄSTERNORRLANDS LÄN</t>
        </is>
      </c>
      <c r="E1150" t="inlineStr">
        <is>
          <t>ÅNGE</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14870-2023</t>
        </is>
      </c>
      <c r="B1151" s="1" t="n">
        <v>45015</v>
      </c>
      <c r="C1151" s="1" t="n">
        <v>45579</v>
      </c>
      <c r="D1151" t="inlineStr">
        <is>
          <t>VÄSTERNORRLANDS LÄN</t>
        </is>
      </c>
      <c r="E1151" t="inlineStr">
        <is>
          <t>ÅNGE</t>
        </is>
      </c>
      <c r="F1151" t="inlineStr">
        <is>
          <t>SCA</t>
        </is>
      </c>
      <c r="G1151" t="n">
        <v>30.5</v>
      </c>
      <c r="H1151" t="n">
        <v>0</v>
      </c>
      <c r="I1151" t="n">
        <v>0</v>
      </c>
      <c r="J1151" t="n">
        <v>0</v>
      </c>
      <c r="K1151" t="n">
        <v>0</v>
      </c>
      <c r="L1151" t="n">
        <v>0</v>
      </c>
      <c r="M1151" t="n">
        <v>0</v>
      </c>
      <c r="N1151" t="n">
        <v>0</v>
      </c>
      <c r="O1151" t="n">
        <v>0</v>
      </c>
      <c r="P1151" t="n">
        <v>0</v>
      </c>
      <c r="Q1151" t="n">
        <v>0</v>
      </c>
      <c r="R1151" s="2" t="inlineStr"/>
    </row>
    <row r="1152" ht="15" customHeight="1">
      <c r="A1152" t="inlineStr">
        <is>
          <t>A 16192-2023</t>
        </is>
      </c>
      <c r="B1152" s="1" t="n">
        <v>45028</v>
      </c>
      <c r="C1152" s="1" t="n">
        <v>45579</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16191-2023</t>
        </is>
      </c>
      <c r="B1153" s="1" t="n">
        <v>45028</v>
      </c>
      <c r="C1153" s="1" t="n">
        <v>45579</v>
      </c>
      <c r="D1153" t="inlineStr">
        <is>
          <t>VÄSTERNORRLANDS LÄN</t>
        </is>
      </c>
      <c r="E1153" t="inlineStr">
        <is>
          <t>ÅNGE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16361-2023</t>
        </is>
      </c>
      <c r="B1154" s="1" t="n">
        <v>45029</v>
      </c>
      <c r="C1154" s="1" t="n">
        <v>45579</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16365-2023</t>
        </is>
      </c>
      <c r="B1155" s="1" t="n">
        <v>45028</v>
      </c>
      <c r="C1155" s="1" t="n">
        <v>45579</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16281-2023</t>
        </is>
      </c>
      <c r="B1156" s="1" t="n">
        <v>45028</v>
      </c>
      <c r="C1156" s="1" t="n">
        <v>45579</v>
      </c>
      <c r="D1156" t="inlineStr">
        <is>
          <t>VÄSTERNORRLANDS LÄN</t>
        </is>
      </c>
      <c r="E1156" t="inlineStr">
        <is>
          <t>ÅNGE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16362-2023</t>
        </is>
      </c>
      <c r="B1157" s="1" t="n">
        <v>45029</v>
      </c>
      <c r="C1157" s="1" t="n">
        <v>45579</v>
      </c>
      <c r="D1157" t="inlineStr">
        <is>
          <t>VÄSTERNORRLANDS LÄN</t>
        </is>
      </c>
      <c r="E1157" t="inlineStr">
        <is>
          <t>ÅNGE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16360-2023</t>
        </is>
      </c>
      <c r="B1158" s="1" t="n">
        <v>45029</v>
      </c>
      <c r="C1158" s="1" t="n">
        <v>45579</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16378-2023</t>
        </is>
      </c>
      <c r="B1159" s="1" t="n">
        <v>45028</v>
      </c>
      <c r="C1159" s="1" t="n">
        <v>45579</v>
      </c>
      <c r="D1159" t="inlineStr">
        <is>
          <t>VÄSTERNORRLANDS LÄN</t>
        </is>
      </c>
      <c r="E1159" t="inlineStr">
        <is>
          <t>ÅNGE</t>
        </is>
      </c>
      <c r="F1159" t="inlineStr">
        <is>
          <t>SCA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16380-2023</t>
        </is>
      </c>
      <c r="B1160" s="1" t="n">
        <v>45028</v>
      </c>
      <c r="C1160" s="1" t="n">
        <v>45579</v>
      </c>
      <c r="D1160" t="inlineStr">
        <is>
          <t>VÄSTERNORRLANDS LÄN</t>
        </is>
      </c>
      <c r="E1160" t="inlineStr">
        <is>
          <t>ÅNGE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16571-2023</t>
        </is>
      </c>
      <c r="B1161" s="1" t="n">
        <v>45030</v>
      </c>
      <c r="C1161" s="1" t="n">
        <v>45579</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16572-2023</t>
        </is>
      </c>
      <c r="B1162" s="1" t="n">
        <v>45030</v>
      </c>
      <c r="C1162" s="1" t="n">
        <v>45579</v>
      </c>
      <c r="D1162" t="inlineStr">
        <is>
          <t>VÄSTERNORRLANDS LÄN</t>
        </is>
      </c>
      <c r="E1162" t="inlineStr">
        <is>
          <t>ÅNGE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16576-2023</t>
        </is>
      </c>
      <c r="B1163" s="1" t="n">
        <v>45030</v>
      </c>
      <c r="C1163" s="1" t="n">
        <v>45579</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16600-2023</t>
        </is>
      </c>
      <c r="B1164" s="1" t="n">
        <v>45030</v>
      </c>
      <c r="C1164" s="1" t="n">
        <v>45579</v>
      </c>
      <c r="D1164" t="inlineStr">
        <is>
          <t>VÄSTERNORRLANDS LÄN</t>
        </is>
      </c>
      <c r="E1164" t="inlineStr">
        <is>
          <t>ÅNGE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16606-2023</t>
        </is>
      </c>
      <c r="B1165" s="1" t="n">
        <v>45030</v>
      </c>
      <c r="C1165" s="1" t="n">
        <v>45579</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16763-2023</t>
        </is>
      </c>
      <c r="B1166" s="1" t="n">
        <v>45030</v>
      </c>
      <c r="C1166" s="1" t="n">
        <v>45579</v>
      </c>
      <c r="D1166" t="inlineStr">
        <is>
          <t>VÄSTERNORRLANDS LÄN</t>
        </is>
      </c>
      <c r="E1166" t="inlineStr">
        <is>
          <t>ÅNGE</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45579</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16762-2023</t>
        </is>
      </c>
      <c r="B1168" s="1" t="n">
        <v>45030</v>
      </c>
      <c r="C1168" s="1" t="n">
        <v>45579</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16815-2023</t>
        </is>
      </c>
      <c r="B1169" s="1" t="n">
        <v>45033</v>
      </c>
      <c r="C1169" s="1" t="n">
        <v>45579</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16812-2023</t>
        </is>
      </c>
      <c r="B1170" s="1" t="n">
        <v>45033</v>
      </c>
      <c r="C1170" s="1" t="n">
        <v>45579</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16853-2023</t>
        </is>
      </c>
      <c r="B1171" s="1" t="n">
        <v>45033</v>
      </c>
      <c r="C1171" s="1" t="n">
        <v>45579</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17009-2023</t>
        </is>
      </c>
      <c r="B1172" s="1" t="n">
        <v>45034</v>
      </c>
      <c r="C1172" s="1" t="n">
        <v>45579</v>
      </c>
      <c r="D1172" t="inlineStr">
        <is>
          <t>VÄSTERNORRLANDS LÄN</t>
        </is>
      </c>
      <c r="E1172" t="inlineStr">
        <is>
          <t>ÅNGE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17044-2023</t>
        </is>
      </c>
      <c r="B1173" s="1" t="n">
        <v>45034</v>
      </c>
      <c r="C1173" s="1" t="n">
        <v>45579</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17103-2023</t>
        </is>
      </c>
      <c r="B1174" s="1" t="n">
        <v>45034</v>
      </c>
      <c r="C1174" s="1" t="n">
        <v>45579</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45579</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17669-2023</t>
        </is>
      </c>
      <c r="B1176" s="1" t="n">
        <v>45037</v>
      </c>
      <c r="C1176" s="1" t="n">
        <v>45579</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17670-2023</t>
        </is>
      </c>
      <c r="B1177" s="1" t="n">
        <v>45036</v>
      </c>
      <c r="C1177" s="1" t="n">
        <v>45579</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17934-2023</t>
        </is>
      </c>
      <c r="B1178" s="1" t="n">
        <v>45037</v>
      </c>
      <c r="C1178" s="1" t="n">
        <v>45579</v>
      </c>
      <c r="D1178" t="inlineStr">
        <is>
          <t>VÄSTERNORRLANDS LÄN</t>
        </is>
      </c>
      <c r="E1178" t="inlineStr">
        <is>
          <t>ÅNGE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18033-2023</t>
        </is>
      </c>
      <c r="B1179" s="1" t="n">
        <v>45037</v>
      </c>
      <c r="C1179" s="1" t="n">
        <v>45579</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17860-2023</t>
        </is>
      </c>
      <c r="B1180" s="1" t="n">
        <v>45038</v>
      </c>
      <c r="C1180" s="1" t="n">
        <v>45579</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18061-2023</t>
        </is>
      </c>
      <c r="B1181" s="1" t="n">
        <v>45037</v>
      </c>
      <c r="C1181" s="1" t="n">
        <v>45579</v>
      </c>
      <c r="D1181" t="inlineStr">
        <is>
          <t>VÄSTERNORRLANDS LÄN</t>
        </is>
      </c>
      <c r="E1181" t="inlineStr">
        <is>
          <t>ÅNGE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18168-2023</t>
        </is>
      </c>
      <c r="B1182" s="1" t="n">
        <v>45040</v>
      </c>
      <c r="C1182" s="1" t="n">
        <v>45579</v>
      </c>
      <c r="D1182" t="inlineStr">
        <is>
          <t>VÄSTERNORRLANDS LÄN</t>
        </is>
      </c>
      <c r="E1182" t="inlineStr">
        <is>
          <t>ÅNGE</t>
        </is>
      </c>
      <c r="F1182" t="inlineStr">
        <is>
          <t>SCA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18169-2023</t>
        </is>
      </c>
      <c r="B1183" s="1" t="n">
        <v>45040</v>
      </c>
      <c r="C1183" s="1" t="n">
        <v>45579</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18170-2023</t>
        </is>
      </c>
      <c r="B1184" s="1" t="n">
        <v>45040</v>
      </c>
      <c r="C1184" s="1" t="n">
        <v>45579</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18305-2023</t>
        </is>
      </c>
      <c r="B1185" s="1" t="n">
        <v>45041</v>
      </c>
      <c r="C1185" s="1" t="n">
        <v>45579</v>
      </c>
      <c r="D1185" t="inlineStr">
        <is>
          <t>VÄSTERNORRLANDS LÄN</t>
        </is>
      </c>
      <c r="E1185" t="inlineStr">
        <is>
          <t>ÅNGE</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18370-2023</t>
        </is>
      </c>
      <c r="B1186" s="1" t="n">
        <v>45041</v>
      </c>
      <c r="C1186" s="1" t="n">
        <v>45579</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18487-2023</t>
        </is>
      </c>
      <c r="B1187" s="1" t="n">
        <v>45042</v>
      </c>
      <c r="C1187" s="1" t="n">
        <v>45579</v>
      </c>
      <c r="D1187" t="inlineStr">
        <is>
          <t>VÄSTERNORRLANDS LÄN</t>
        </is>
      </c>
      <c r="E1187" t="inlineStr">
        <is>
          <t>ÅNGE</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18560-2023</t>
        </is>
      </c>
      <c r="B1188" s="1" t="n">
        <v>45042</v>
      </c>
      <c r="C1188" s="1" t="n">
        <v>45579</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18668-2023</t>
        </is>
      </c>
      <c r="B1189" s="1" t="n">
        <v>45043</v>
      </c>
      <c r="C1189" s="1" t="n">
        <v>45579</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19231-2023</t>
        </is>
      </c>
      <c r="B1190" s="1" t="n">
        <v>45048</v>
      </c>
      <c r="C1190" s="1" t="n">
        <v>45579</v>
      </c>
      <c r="D1190" t="inlineStr">
        <is>
          <t>VÄSTERNORRLANDS LÄN</t>
        </is>
      </c>
      <c r="E1190" t="inlineStr">
        <is>
          <t>ÅNGE</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19624-2023</t>
        </is>
      </c>
      <c r="B1191" s="1" t="n">
        <v>45051</v>
      </c>
      <c r="C1191" s="1" t="n">
        <v>45579</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19622-2023</t>
        </is>
      </c>
      <c r="B1192" s="1" t="n">
        <v>45051</v>
      </c>
      <c r="C1192" s="1" t="n">
        <v>45579</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19811-2023</t>
        </is>
      </c>
      <c r="B1193" s="1" t="n">
        <v>45052</v>
      </c>
      <c r="C1193" s="1" t="n">
        <v>45579</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19810-2023</t>
        </is>
      </c>
      <c r="B1194" s="1" t="n">
        <v>45052</v>
      </c>
      <c r="C1194" s="1" t="n">
        <v>45579</v>
      </c>
      <c r="D1194" t="inlineStr">
        <is>
          <t>VÄSTERNORRLANDS LÄN</t>
        </is>
      </c>
      <c r="E1194" t="inlineStr">
        <is>
          <t>ÅNGE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19827-2023</t>
        </is>
      </c>
      <c r="B1195" s="1" t="n">
        <v>45052</v>
      </c>
      <c r="C1195" s="1" t="n">
        <v>45579</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20009-2023</t>
        </is>
      </c>
      <c r="B1196" s="1" t="n">
        <v>45051</v>
      </c>
      <c r="C1196" s="1" t="n">
        <v>45579</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20110-2023</t>
        </is>
      </c>
      <c r="B1197" s="1" t="n">
        <v>45051</v>
      </c>
      <c r="C1197" s="1" t="n">
        <v>45579</v>
      </c>
      <c r="D1197" t="inlineStr">
        <is>
          <t>VÄSTERNORRLANDS LÄN</t>
        </is>
      </c>
      <c r="E1197" t="inlineStr">
        <is>
          <t>ÅNGE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45579</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45579</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20099-2023</t>
        </is>
      </c>
      <c r="B1200" s="1" t="n">
        <v>45055</v>
      </c>
      <c r="C1200" s="1" t="n">
        <v>45579</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45579</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20256-2023</t>
        </is>
      </c>
      <c r="B1202" s="1" t="n">
        <v>45055</v>
      </c>
      <c r="C1202" s="1" t="n">
        <v>45579</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20453-2023</t>
        </is>
      </c>
      <c r="B1203" s="1" t="n">
        <v>45057</v>
      </c>
      <c r="C1203" s="1" t="n">
        <v>45579</v>
      </c>
      <c r="D1203" t="inlineStr">
        <is>
          <t>VÄSTERNORRLANDS LÄN</t>
        </is>
      </c>
      <c r="E1203" t="inlineStr">
        <is>
          <t>ÅNGE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20627-2023</t>
        </is>
      </c>
      <c r="B1204" s="1" t="n">
        <v>45057</v>
      </c>
      <c r="C1204" s="1" t="n">
        <v>45579</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20853-2023</t>
        </is>
      </c>
      <c r="B1205" s="1" t="n">
        <v>45058</v>
      </c>
      <c r="C1205" s="1" t="n">
        <v>45579</v>
      </c>
      <c r="D1205" t="inlineStr">
        <is>
          <t>VÄSTERNORRLANDS LÄN</t>
        </is>
      </c>
      <c r="E1205" t="inlineStr">
        <is>
          <t>ÅNGE</t>
        </is>
      </c>
      <c r="F1205" t="inlineStr">
        <is>
          <t>Holmen skog AB</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20881-2023</t>
        </is>
      </c>
      <c r="B1206" s="1" t="n">
        <v>45059</v>
      </c>
      <c r="C1206" s="1" t="n">
        <v>45579</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20885-2023</t>
        </is>
      </c>
      <c r="B1207" s="1" t="n">
        <v>45058</v>
      </c>
      <c r="C1207" s="1" t="n">
        <v>45579</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20883-2023</t>
        </is>
      </c>
      <c r="B1208" s="1" t="n">
        <v>45059</v>
      </c>
      <c r="C1208" s="1" t="n">
        <v>45579</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20890-2023</t>
        </is>
      </c>
      <c r="B1209" s="1" t="n">
        <v>45058</v>
      </c>
      <c r="C1209" s="1" t="n">
        <v>45579</v>
      </c>
      <c r="D1209" t="inlineStr">
        <is>
          <t>VÄSTERNORRLANDS LÄN</t>
        </is>
      </c>
      <c r="E1209" t="inlineStr">
        <is>
          <t>ÅNGE</t>
        </is>
      </c>
      <c r="F1209" t="inlineStr">
        <is>
          <t>SCA</t>
        </is>
      </c>
      <c r="G1209" t="n">
        <v>17.3</v>
      </c>
      <c r="H1209" t="n">
        <v>0</v>
      </c>
      <c r="I1209" t="n">
        <v>0</v>
      </c>
      <c r="J1209" t="n">
        <v>0</v>
      </c>
      <c r="K1209" t="n">
        <v>0</v>
      </c>
      <c r="L1209" t="n">
        <v>0</v>
      </c>
      <c r="M1209" t="n">
        <v>0</v>
      </c>
      <c r="N1209" t="n">
        <v>0</v>
      </c>
      <c r="O1209" t="n">
        <v>0</v>
      </c>
      <c r="P1209" t="n">
        <v>0</v>
      </c>
      <c r="Q1209" t="n">
        <v>0</v>
      </c>
      <c r="R1209" s="2" t="inlineStr"/>
    </row>
    <row r="1210" ht="15" customHeight="1">
      <c r="A1210" t="inlineStr">
        <is>
          <t>A 20884-2023</t>
        </is>
      </c>
      <c r="B1210" s="1" t="n">
        <v>45059</v>
      </c>
      <c r="C1210" s="1" t="n">
        <v>45579</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21354-2023</t>
        </is>
      </c>
      <c r="B1211" s="1" t="n">
        <v>45063</v>
      </c>
      <c r="C1211" s="1" t="n">
        <v>45579</v>
      </c>
      <c r="D1211" t="inlineStr">
        <is>
          <t>VÄSTERNORRLANDS LÄN</t>
        </is>
      </c>
      <c r="E1211" t="inlineStr">
        <is>
          <t>ÅNGE</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21352-2023</t>
        </is>
      </c>
      <c r="B1212" s="1" t="n">
        <v>45062</v>
      </c>
      <c r="C1212" s="1" t="n">
        <v>45579</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21355-2023</t>
        </is>
      </c>
      <c r="B1213" s="1" t="n">
        <v>45063</v>
      </c>
      <c r="C1213" s="1" t="n">
        <v>45579</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21694-2023</t>
        </is>
      </c>
      <c r="B1214" s="1" t="n">
        <v>45063</v>
      </c>
      <c r="C1214" s="1" t="n">
        <v>45579</v>
      </c>
      <c r="D1214" t="inlineStr">
        <is>
          <t>VÄSTERNORRLANDS LÄN</t>
        </is>
      </c>
      <c r="E1214" t="inlineStr">
        <is>
          <t>ÅNGE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21681-2023</t>
        </is>
      </c>
      <c r="B1215" s="1" t="n">
        <v>45064</v>
      </c>
      <c r="C1215" s="1" t="n">
        <v>45579</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21691-2023</t>
        </is>
      </c>
      <c r="B1216" s="1" t="n">
        <v>45063</v>
      </c>
      <c r="C1216" s="1" t="n">
        <v>45579</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21695-2023</t>
        </is>
      </c>
      <c r="B1217" s="1" t="n">
        <v>45063</v>
      </c>
      <c r="C1217" s="1" t="n">
        <v>45579</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21668-2023</t>
        </is>
      </c>
      <c r="B1218" s="1" t="n">
        <v>45064</v>
      </c>
      <c r="C1218" s="1" t="n">
        <v>45579</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21692-2023</t>
        </is>
      </c>
      <c r="B1219" s="1" t="n">
        <v>45063</v>
      </c>
      <c r="C1219" s="1" t="n">
        <v>45579</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21680-2023</t>
        </is>
      </c>
      <c r="B1220" s="1" t="n">
        <v>45064</v>
      </c>
      <c r="C1220" s="1" t="n">
        <v>45579</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21693-2023</t>
        </is>
      </c>
      <c r="B1221" s="1" t="n">
        <v>45063</v>
      </c>
      <c r="C1221" s="1" t="n">
        <v>45579</v>
      </c>
      <c r="D1221" t="inlineStr">
        <is>
          <t>VÄSTERNORRLANDS LÄN</t>
        </is>
      </c>
      <c r="E1221" t="inlineStr">
        <is>
          <t>ÅNGE</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22005-2023</t>
        </is>
      </c>
      <c r="B1222" s="1" t="n">
        <v>45069</v>
      </c>
      <c r="C1222" s="1" t="n">
        <v>45579</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22013-2023</t>
        </is>
      </c>
      <c r="B1223" s="1" t="n">
        <v>45069</v>
      </c>
      <c r="C1223" s="1" t="n">
        <v>45579</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22248-2023</t>
        </is>
      </c>
      <c r="B1224" s="1" t="n">
        <v>45070</v>
      </c>
      <c r="C1224" s="1" t="n">
        <v>45579</v>
      </c>
      <c r="D1224" t="inlineStr">
        <is>
          <t>VÄSTERNORRLANDS LÄN</t>
        </is>
      </c>
      <c r="E1224" t="inlineStr">
        <is>
          <t>ÅNGE</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22411-2023</t>
        </is>
      </c>
      <c r="B1225" s="1" t="n">
        <v>45070</v>
      </c>
      <c r="C1225" s="1" t="n">
        <v>45579</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22740-2023</t>
        </is>
      </c>
      <c r="B1226" s="1" t="n">
        <v>45072</v>
      </c>
      <c r="C1226" s="1" t="n">
        <v>45579</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22755-2023</t>
        </is>
      </c>
      <c r="B1227" s="1" t="n">
        <v>45072</v>
      </c>
      <c r="C1227" s="1" t="n">
        <v>45579</v>
      </c>
      <c r="D1227" t="inlineStr">
        <is>
          <t>VÄSTERNORRLANDS LÄN</t>
        </is>
      </c>
      <c r="E1227" t="inlineStr">
        <is>
          <t>ÅNGE</t>
        </is>
      </c>
      <c r="F1227" t="inlineStr">
        <is>
          <t>SCA</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22752-2023</t>
        </is>
      </c>
      <c r="B1228" s="1" t="n">
        <v>45072</v>
      </c>
      <c r="C1228" s="1" t="n">
        <v>45579</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22756-2023</t>
        </is>
      </c>
      <c r="B1229" s="1" t="n">
        <v>45072</v>
      </c>
      <c r="C1229" s="1" t="n">
        <v>45579</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22753-2023</t>
        </is>
      </c>
      <c r="B1230" s="1" t="n">
        <v>45072</v>
      </c>
      <c r="C1230" s="1" t="n">
        <v>45579</v>
      </c>
      <c r="D1230" t="inlineStr">
        <is>
          <t>VÄSTERNORRLANDS LÄN</t>
        </is>
      </c>
      <c r="E1230" t="inlineStr">
        <is>
          <t>ÅNGE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22987-2023</t>
        </is>
      </c>
      <c r="B1231" s="1" t="n">
        <v>45072</v>
      </c>
      <c r="C1231" s="1" t="n">
        <v>45579</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22997-2023</t>
        </is>
      </c>
      <c r="B1232" s="1" t="n">
        <v>45073</v>
      </c>
      <c r="C1232" s="1" t="n">
        <v>45579</v>
      </c>
      <c r="D1232" t="inlineStr">
        <is>
          <t>VÄSTERNORRLANDS LÄN</t>
        </is>
      </c>
      <c r="E1232" t="inlineStr">
        <is>
          <t>ÅNGE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23308-2023</t>
        </is>
      </c>
      <c r="B1233" s="1" t="n">
        <v>45075</v>
      </c>
      <c r="C1233" s="1" t="n">
        <v>45579</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23307-2023</t>
        </is>
      </c>
      <c r="B1234" s="1" t="n">
        <v>45075</v>
      </c>
      <c r="C1234" s="1" t="n">
        <v>45579</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23520-2023</t>
        </is>
      </c>
      <c r="B1235" s="1" t="n">
        <v>45077</v>
      </c>
      <c r="C1235" s="1" t="n">
        <v>45579</v>
      </c>
      <c r="D1235" t="inlineStr">
        <is>
          <t>VÄSTERNORRLANDS LÄN</t>
        </is>
      </c>
      <c r="E1235" t="inlineStr">
        <is>
          <t>ÅNGE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23671-2023</t>
        </is>
      </c>
      <c r="B1236" s="1" t="n">
        <v>45077</v>
      </c>
      <c r="C1236" s="1" t="n">
        <v>45579</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23746-2023</t>
        </is>
      </c>
      <c r="B1237" s="1" t="n">
        <v>45077</v>
      </c>
      <c r="C1237" s="1" t="n">
        <v>45579</v>
      </c>
      <c r="D1237" t="inlineStr">
        <is>
          <t>VÄSTERNORRLANDS LÄN</t>
        </is>
      </c>
      <c r="E1237" t="inlineStr">
        <is>
          <t>ÅNGE</t>
        </is>
      </c>
      <c r="F1237" t="inlineStr">
        <is>
          <t>Holmen skog AB</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24037-2023</t>
        </is>
      </c>
      <c r="B1238" s="1" t="n">
        <v>45078</v>
      </c>
      <c r="C1238" s="1" t="n">
        <v>45579</v>
      </c>
      <c r="D1238" t="inlineStr">
        <is>
          <t>VÄSTERNORRLANDS LÄN</t>
        </is>
      </c>
      <c r="E1238" t="inlineStr">
        <is>
          <t>ÅNGE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24058-2023</t>
        </is>
      </c>
      <c r="B1239" s="1" t="n">
        <v>45079</v>
      </c>
      <c r="C1239" s="1" t="n">
        <v>45579</v>
      </c>
      <c r="D1239" t="inlineStr">
        <is>
          <t>VÄSTERNORRLANDS LÄN</t>
        </is>
      </c>
      <c r="E1239" t="inlineStr">
        <is>
          <t>ÅNGE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24060-2023</t>
        </is>
      </c>
      <c r="B1240" s="1" t="n">
        <v>45079</v>
      </c>
      <c r="C1240" s="1" t="n">
        <v>45579</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24061-2023</t>
        </is>
      </c>
      <c r="B1241" s="1" t="n">
        <v>45079</v>
      </c>
      <c r="C1241" s="1" t="n">
        <v>45579</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24059-2023</t>
        </is>
      </c>
      <c r="B1242" s="1" t="n">
        <v>45079</v>
      </c>
      <c r="C1242" s="1" t="n">
        <v>45579</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24063-2023</t>
        </is>
      </c>
      <c r="B1243" s="1" t="n">
        <v>45079</v>
      </c>
      <c r="C1243" s="1" t="n">
        <v>45579</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24062-2023</t>
        </is>
      </c>
      <c r="B1244" s="1" t="n">
        <v>45079</v>
      </c>
      <c r="C1244" s="1" t="n">
        <v>45579</v>
      </c>
      <c r="D1244" t="inlineStr">
        <is>
          <t>VÄSTERNORRLANDS LÄN</t>
        </is>
      </c>
      <c r="E1244" t="inlineStr">
        <is>
          <t>ÅNGE</t>
        </is>
      </c>
      <c r="F1244" t="inlineStr">
        <is>
          <t>SCA</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24066-2023</t>
        </is>
      </c>
      <c r="B1245" s="1" t="n">
        <v>45078</v>
      </c>
      <c r="C1245" s="1" t="n">
        <v>45579</v>
      </c>
      <c r="D1245" t="inlineStr">
        <is>
          <t>VÄSTERNORRLANDS LÄN</t>
        </is>
      </c>
      <c r="E1245" t="inlineStr">
        <is>
          <t>ÅNGE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24064-2023</t>
        </is>
      </c>
      <c r="B1246" s="1" t="n">
        <v>45078</v>
      </c>
      <c r="C1246" s="1" t="n">
        <v>45579</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24068-2023</t>
        </is>
      </c>
      <c r="B1247" s="1" t="n">
        <v>45078</v>
      </c>
      <c r="C1247" s="1" t="n">
        <v>45579</v>
      </c>
      <c r="D1247" t="inlineStr">
        <is>
          <t>VÄSTERNORRLANDS LÄN</t>
        </is>
      </c>
      <c r="E1247" t="inlineStr">
        <is>
          <t>ÅNGE</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24995-2023</t>
        </is>
      </c>
      <c r="B1248" s="1" t="n">
        <v>45078</v>
      </c>
      <c r="C1248" s="1" t="n">
        <v>45579</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24971-2023</t>
        </is>
      </c>
      <c r="B1249" s="1" t="n">
        <v>45078</v>
      </c>
      <c r="C1249" s="1" t="n">
        <v>45579</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24290-2023</t>
        </is>
      </c>
      <c r="B1250" s="1" t="n">
        <v>45080</v>
      </c>
      <c r="C1250" s="1" t="n">
        <v>45579</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24293-2023</t>
        </is>
      </c>
      <c r="B1251" s="1" t="n">
        <v>45080</v>
      </c>
      <c r="C1251" s="1" t="n">
        <v>45579</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25266-2023</t>
        </is>
      </c>
      <c r="B1252" s="1" t="n">
        <v>45079</v>
      </c>
      <c r="C1252" s="1" t="n">
        <v>45579</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24552-2023</t>
        </is>
      </c>
      <c r="B1253" s="1" t="n">
        <v>45083</v>
      </c>
      <c r="C1253" s="1" t="n">
        <v>45579</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24554-2023</t>
        </is>
      </c>
      <c r="B1254" s="1" t="n">
        <v>45083</v>
      </c>
      <c r="C1254" s="1" t="n">
        <v>45579</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24541-2023</t>
        </is>
      </c>
      <c r="B1255" s="1" t="n">
        <v>45083</v>
      </c>
      <c r="C1255" s="1" t="n">
        <v>45579</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24553-2023</t>
        </is>
      </c>
      <c r="B1256" s="1" t="n">
        <v>45083</v>
      </c>
      <c r="C1256" s="1" t="n">
        <v>45579</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24614-2023</t>
        </is>
      </c>
      <c r="B1257" s="1" t="n">
        <v>45084</v>
      </c>
      <c r="C1257" s="1" t="n">
        <v>45579</v>
      </c>
      <c r="D1257" t="inlineStr">
        <is>
          <t>VÄSTERNORRLANDS LÄN</t>
        </is>
      </c>
      <c r="E1257" t="inlineStr">
        <is>
          <t>ÅNGE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24817-2023</t>
        </is>
      </c>
      <c r="B1258" s="1" t="n">
        <v>45084</v>
      </c>
      <c r="C1258" s="1" t="n">
        <v>45579</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24904-2023</t>
        </is>
      </c>
      <c r="B1259" s="1" t="n">
        <v>45085</v>
      </c>
      <c r="C1259" s="1" t="n">
        <v>45579</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25035-2023</t>
        </is>
      </c>
      <c r="B1260" s="1" t="n">
        <v>45085</v>
      </c>
      <c r="C1260" s="1" t="n">
        <v>45579</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45086</v>
      </c>
      <c r="C1261" s="1" t="n">
        <v>45579</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25063-2023</t>
        </is>
      </c>
      <c r="B1262" s="1" t="n">
        <v>45086</v>
      </c>
      <c r="C1262" s="1" t="n">
        <v>45579</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25034-2023</t>
        </is>
      </c>
      <c r="B1263" s="1" t="n">
        <v>45085</v>
      </c>
      <c r="C1263" s="1" t="n">
        <v>45579</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25311-2023</t>
        </is>
      </c>
      <c r="B1264" s="1" t="n">
        <v>45087</v>
      </c>
      <c r="C1264" s="1" t="n">
        <v>45579</v>
      </c>
      <c r="D1264" t="inlineStr">
        <is>
          <t>VÄSTERNORRLANDS LÄN</t>
        </is>
      </c>
      <c r="E1264" t="inlineStr">
        <is>
          <t>ÅNGE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25320-2023</t>
        </is>
      </c>
      <c r="B1265" s="1" t="n">
        <v>45087</v>
      </c>
      <c r="C1265" s="1" t="n">
        <v>45579</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25324-2023</t>
        </is>
      </c>
      <c r="B1266" s="1" t="n">
        <v>45087</v>
      </c>
      <c r="C1266" s="1" t="n">
        <v>45579</v>
      </c>
      <c r="D1266" t="inlineStr">
        <is>
          <t>VÄSTERNORRLANDS LÄN</t>
        </is>
      </c>
      <c r="E1266" t="inlineStr">
        <is>
          <t>ÅNGE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25312-2023</t>
        </is>
      </c>
      <c r="B1267" s="1" t="n">
        <v>45087</v>
      </c>
      <c r="C1267" s="1" t="n">
        <v>45579</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25321-2023</t>
        </is>
      </c>
      <c r="B1268" s="1" t="n">
        <v>45087</v>
      </c>
      <c r="C1268" s="1" t="n">
        <v>45579</v>
      </c>
      <c r="D1268" t="inlineStr">
        <is>
          <t>VÄSTERNORRLANDS LÄN</t>
        </is>
      </c>
      <c r="E1268" t="inlineStr">
        <is>
          <t>ÅNGE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25325-2023</t>
        </is>
      </c>
      <c r="B1269" s="1" t="n">
        <v>45087</v>
      </c>
      <c r="C1269" s="1" t="n">
        <v>45579</v>
      </c>
      <c r="D1269" t="inlineStr">
        <is>
          <t>VÄSTERNORRLANDS LÄN</t>
        </is>
      </c>
      <c r="E1269" t="inlineStr">
        <is>
          <t>ÅNGE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25680-2023</t>
        </is>
      </c>
      <c r="B1270" s="1" t="n">
        <v>45089</v>
      </c>
      <c r="C1270" s="1" t="n">
        <v>45579</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25779-2023</t>
        </is>
      </c>
      <c r="B1271" s="1" t="n">
        <v>45090</v>
      </c>
      <c r="C1271" s="1" t="n">
        <v>45579</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25771-2023</t>
        </is>
      </c>
      <c r="B1272" s="1" t="n">
        <v>45090</v>
      </c>
      <c r="C1272" s="1" t="n">
        <v>45579</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26014-2023</t>
        </is>
      </c>
      <c r="B1273" s="1" t="n">
        <v>45091</v>
      </c>
      <c r="C1273" s="1" t="n">
        <v>45579</v>
      </c>
      <c r="D1273" t="inlineStr">
        <is>
          <t>VÄSTERNORRLANDS LÄN</t>
        </is>
      </c>
      <c r="E1273" t="inlineStr">
        <is>
          <t>ÅNGE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26371-2023</t>
        </is>
      </c>
      <c r="B1274" s="1" t="n">
        <v>45092</v>
      </c>
      <c r="C1274" s="1" t="n">
        <v>45579</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26365-2023</t>
        </is>
      </c>
      <c r="B1275" s="1" t="n">
        <v>45092</v>
      </c>
      <c r="C1275" s="1" t="n">
        <v>45579</v>
      </c>
      <c r="D1275" t="inlineStr">
        <is>
          <t>VÄSTERNORRLANDS LÄN</t>
        </is>
      </c>
      <c r="E1275" t="inlineStr">
        <is>
          <t>ÅNGE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26364-2023</t>
        </is>
      </c>
      <c r="B1276" s="1" t="n">
        <v>45092</v>
      </c>
      <c r="C1276" s="1" t="n">
        <v>45579</v>
      </c>
      <c r="D1276" t="inlineStr">
        <is>
          <t>VÄSTERNORRLANDS LÄN</t>
        </is>
      </c>
      <c r="E1276" t="inlineStr">
        <is>
          <t>ÅNGE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26360-2023</t>
        </is>
      </c>
      <c r="B1277" s="1" t="n">
        <v>45092</v>
      </c>
      <c r="C1277" s="1" t="n">
        <v>45579</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26513-2023</t>
        </is>
      </c>
      <c r="B1278" s="1" t="n">
        <v>45092</v>
      </c>
      <c r="C1278" s="1" t="n">
        <v>45579</v>
      </c>
      <c r="D1278" t="inlineStr">
        <is>
          <t>VÄSTERNORRLANDS LÄN</t>
        </is>
      </c>
      <c r="E1278" t="inlineStr">
        <is>
          <t>ÅNGE</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27260-2023</t>
        </is>
      </c>
      <c r="B1279" s="1" t="n">
        <v>45092</v>
      </c>
      <c r="C1279" s="1" t="n">
        <v>45579</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26898-2023</t>
        </is>
      </c>
      <c r="B1280" s="1" t="n">
        <v>45093</v>
      </c>
      <c r="C1280" s="1" t="n">
        <v>45579</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26865-2023</t>
        </is>
      </c>
      <c r="B1281" s="1" t="n">
        <v>45093</v>
      </c>
      <c r="C1281" s="1" t="n">
        <v>45579</v>
      </c>
      <c r="D1281" t="inlineStr">
        <is>
          <t>VÄSTERNORRLANDS LÄN</t>
        </is>
      </c>
      <c r="E1281" t="inlineStr">
        <is>
          <t>ÅNGE</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27002-2023</t>
        </is>
      </c>
      <c r="B1282" s="1" t="n">
        <v>45093</v>
      </c>
      <c r="C1282" s="1" t="n">
        <v>45579</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27016-2023</t>
        </is>
      </c>
      <c r="B1283" s="1" t="n">
        <v>45094</v>
      </c>
      <c r="C1283" s="1" t="n">
        <v>45579</v>
      </c>
      <c r="D1283" t="inlineStr">
        <is>
          <t>VÄSTERNORRLANDS LÄN</t>
        </is>
      </c>
      <c r="E1283" t="inlineStr">
        <is>
          <t>ÅNGE</t>
        </is>
      </c>
      <c r="F1283" t="inlineStr">
        <is>
          <t>Holmen skog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27356-2023</t>
        </is>
      </c>
      <c r="B1284" s="1" t="n">
        <v>45097</v>
      </c>
      <c r="C1284" s="1" t="n">
        <v>45579</v>
      </c>
      <c r="D1284" t="inlineStr">
        <is>
          <t>VÄSTERNORRLANDS LÄN</t>
        </is>
      </c>
      <c r="E1284" t="inlineStr">
        <is>
          <t>ÅNGE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27645-2023</t>
        </is>
      </c>
      <c r="B1285" s="1" t="n">
        <v>45097</v>
      </c>
      <c r="C1285" s="1" t="n">
        <v>45579</v>
      </c>
      <c r="D1285" t="inlineStr">
        <is>
          <t>VÄSTERNORRLANDS LÄN</t>
        </is>
      </c>
      <c r="E1285" t="inlineStr">
        <is>
          <t>ÅNGE</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27682-2023</t>
        </is>
      </c>
      <c r="B1286" s="1" t="n">
        <v>45098</v>
      </c>
      <c r="C1286" s="1" t="n">
        <v>45579</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28367-2023</t>
        </is>
      </c>
      <c r="B1287" s="1" t="n">
        <v>45099</v>
      </c>
      <c r="C1287" s="1" t="n">
        <v>45579</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30273-2023</t>
        </is>
      </c>
      <c r="B1288" s="1" t="n">
        <v>45099</v>
      </c>
      <c r="C1288" s="1" t="n">
        <v>45579</v>
      </c>
      <c r="D1288" t="inlineStr">
        <is>
          <t>VÄSTERNORRLANDS LÄN</t>
        </is>
      </c>
      <c r="E1288" t="inlineStr">
        <is>
          <t>ÅNGE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28427-2023</t>
        </is>
      </c>
      <c r="B1289" s="1" t="n">
        <v>45102</v>
      </c>
      <c r="C1289" s="1" t="n">
        <v>45579</v>
      </c>
      <c r="D1289" t="inlineStr">
        <is>
          <t>VÄSTERNORRLANDS LÄN</t>
        </is>
      </c>
      <c r="E1289" t="inlineStr">
        <is>
          <t>ÅNGE</t>
        </is>
      </c>
      <c r="F1289" t="inlineStr">
        <is>
          <t>Kyrkan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28435-2023</t>
        </is>
      </c>
      <c r="B1290" s="1" t="n">
        <v>45102</v>
      </c>
      <c r="C1290" s="1" t="n">
        <v>45579</v>
      </c>
      <c r="D1290" t="inlineStr">
        <is>
          <t>VÄSTERNORRLANDS LÄN</t>
        </is>
      </c>
      <c r="E1290" t="inlineStr">
        <is>
          <t>ÅNGE</t>
        </is>
      </c>
      <c r="F1290" t="inlineStr">
        <is>
          <t>Kyrkan</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28428-2023</t>
        </is>
      </c>
      <c r="B1291" s="1" t="n">
        <v>45102</v>
      </c>
      <c r="C1291" s="1" t="n">
        <v>45579</v>
      </c>
      <c r="D1291" t="inlineStr">
        <is>
          <t>VÄSTERNORRLANDS LÄN</t>
        </is>
      </c>
      <c r="E1291" t="inlineStr">
        <is>
          <t>ÅNGE</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28699-2023</t>
        </is>
      </c>
      <c r="B1292" s="1" t="n">
        <v>45103</v>
      </c>
      <c r="C1292" s="1" t="n">
        <v>45579</v>
      </c>
      <c r="D1292" t="inlineStr">
        <is>
          <t>VÄSTERNORRLANDS LÄN</t>
        </is>
      </c>
      <c r="E1292" t="inlineStr">
        <is>
          <t>ÅNGE</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28707-2023</t>
        </is>
      </c>
      <c r="B1293" s="1" t="n">
        <v>45103</v>
      </c>
      <c r="C1293" s="1" t="n">
        <v>45579</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28784-2023</t>
        </is>
      </c>
      <c r="B1294" s="1" t="n">
        <v>45104</v>
      </c>
      <c r="C1294" s="1" t="n">
        <v>45579</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28779-2023</t>
        </is>
      </c>
      <c r="B1295" s="1" t="n">
        <v>45104</v>
      </c>
      <c r="C1295" s="1" t="n">
        <v>45579</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28821-2023</t>
        </is>
      </c>
      <c r="B1296" s="1" t="n">
        <v>45104</v>
      </c>
      <c r="C1296" s="1" t="n">
        <v>45579</v>
      </c>
      <c r="D1296" t="inlineStr">
        <is>
          <t>VÄSTERNORRLANDS LÄN</t>
        </is>
      </c>
      <c r="E1296" t="inlineStr">
        <is>
          <t>ÅNGE</t>
        </is>
      </c>
      <c r="F1296" t="inlineStr">
        <is>
          <t>Holmen skog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29063-2023</t>
        </is>
      </c>
      <c r="B1297" s="1" t="n">
        <v>45105</v>
      </c>
      <c r="C1297" s="1" t="n">
        <v>45579</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29321-2023</t>
        </is>
      </c>
      <c r="B1298" s="1" t="n">
        <v>45106</v>
      </c>
      <c r="C1298" s="1" t="n">
        <v>45579</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29330-2023</t>
        </is>
      </c>
      <c r="B1299" s="1" t="n">
        <v>45105</v>
      </c>
      <c r="C1299" s="1" t="n">
        <v>45579</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29342-2023</t>
        </is>
      </c>
      <c r="B1300" s="1" t="n">
        <v>45105</v>
      </c>
      <c r="C1300" s="1" t="n">
        <v>45579</v>
      </c>
      <c r="D1300" t="inlineStr">
        <is>
          <t>VÄSTERNORRLANDS LÄN</t>
        </is>
      </c>
      <c r="E1300" t="inlineStr">
        <is>
          <t>ÅNGE</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29320-2023</t>
        </is>
      </c>
      <c r="B1301" s="1" t="n">
        <v>45106</v>
      </c>
      <c r="C1301" s="1" t="n">
        <v>45579</v>
      </c>
      <c r="D1301" t="inlineStr">
        <is>
          <t>VÄSTERNORRLANDS LÄN</t>
        </is>
      </c>
      <c r="E1301" t="inlineStr">
        <is>
          <t>ÅNGE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29331-2023</t>
        </is>
      </c>
      <c r="B1302" s="1" t="n">
        <v>45105</v>
      </c>
      <c r="C1302" s="1" t="n">
        <v>45579</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29395-2023</t>
        </is>
      </c>
      <c r="B1303" s="1" t="n">
        <v>45106</v>
      </c>
      <c r="C1303" s="1" t="n">
        <v>45579</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29610-2023</t>
        </is>
      </c>
      <c r="B1304" s="1" t="n">
        <v>45106</v>
      </c>
      <c r="C1304" s="1" t="n">
        <v>45579</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29618-2023</t>
        </is>
      </c>
      <c r="B1305" s="1" t="n">
        <v>45107</v>
      </c>
      <c r="C1305" s="1" t="n">
        <v>45579</v>
      </c>
      <c r="D1305" t="inlineStr">
        <is>
          <t>VÄSTERNORRLANDS LÄN</t>
        </is>
      </c>
      <c r="E1305" t="inlineStr">
        <is>
          <t>ÅNGE</t>
        </is>
      </c>
      <c r="F1305" t="inlineStr">
        <is>
          <t>SCA</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29609-2023</t>
        </is>
      </c>
      <c r="B1306" s="1" t="n">
        <v>45107</v>
      </c>
      <c r="C1306" s="1" t="n">
        <v>45579</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29945-2023</t>
        </is>
      </c>
      <c r="B1307" s="1" t="n">
        <v>45108</v>
      </c>
      <c r="C1307" s="1" t="n">
        <v>45579</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32069-2023</t>
        </is>
      </c>
      <c r="B1308" s="1" t="n">
        <v>45107</v>
      </c>
      <c r="C1308" s="1" t="n">
        <v>45579</v>
      </c>
      <c r="D1308" t="inlineStr">
        <is>
          <t>VÄSTERNORRLANDS LÄN</t>
        </is>
      </c>
      <c r="E1308" t="inlineStr">
        <is>
          <t>ÅNGE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30304-2023</t>
        </is>
      </c>
      <c r="B1309" s="1" t="n">
        <v>45111</v>
      </c>
      <c r="C1309" s="1" t="n">
        <v>45579</v>
      </c>
      <c r="D1309" t="inlineStr">
        <is>
          <t>VÄSTERNORRLANDS LÄN</t>
        </is>
      </c>
      <c r="E1309" t="inlineStr">
        <is>
          <t>ÅNGE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30303-2023</t>
        </is>
      </c>
      <c r="B1310" s="1" t="n">
        <v>45111</v>
      </c>
      <c r="C1310" s="1" t="n">
        <v>45579</v>
      </c>
      <c r="D1310" t="inlineStr">
        <is>
          <t>VÄSTERNORRLANDS LÄN</t>
        </is>
      </c>
      <c r="E1310" t="inlineStr">
        <is>
          <t>ÅNGE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30556-2023</t>
        </is>
      </c>
      <c r="B1311" s="1" t="n">
        <v>45111</v>
      </c>
      <c r="C1311" s="1" t="n">
        <v>45579</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30558-2023</t>
        </is>
      </c>
      <c r="B1312" s="1" t="n">
        <v>45111</v>
      </c>
      <c r="C1312" s="1" t="n">
        <v>45579</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30817-2023</t>
        </is>
      </c>
      <c r="B1313" s="1" t="n">
        <v>45112</v>
      </c>
      <c r="C1313" s="1" t="n">
        <v>45579</v>
      </c>
      <c r="D1313" t="inlineStr">
        <is>
          <t>VÄSTERNORRLANDS LÄN</t>
        </is>
      </c>
      <c r="E1313" t="inlineStr">
        <is>
          <t>ÅNGE</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30853-2023</t>
        </is>
      </c>
      <c r="B1314" s="1" t="n">
        <v>45113</v>
      </c>
      <c r="C1314" s="1" t="n">
        <v>45579</v>
      </c>
      <c r="D1314" t="inlineStr">
        <is>
          <t>VÄSTERNORRLANDS LÄN</t>
        </is>
      </c>
      <c r="E1314" t="inlineStr">
        <is>
          <t>ÅNGE</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30844-2023</t>
        </is>
      </c>
      <c r="B1315" s="1" t="n">
        <v>45112</v>
      </c>
      <c r="C1315" s="1" t="n">
        <v>45579</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30852-2023</t>
        </is>
      </c>
      <c r="B1316" s="1" t="n">
        <v>45113</v>
      </c>
      <c r="C1316" s="1" t="n">
        <v>45579</v>
      </c>
      <c r="D1316" t="inlineStr">
        <is>
          <t>VÄSTERNORRLANDS LÄN</t>
        </is>
      </c>
      <c r="E1316" t="inlineStr">
        <is>
          <t>ÅNGE</t>
        </is>
      </c>
      <c r="F1316" t="inlineStr">
        <is>
          <t>SCA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31224-2023</t>
        </is>
      </c>
      <c r="B1317" s="1" t="n">
        <v>45114</v>
      </c>
      <c r="C1317" s="1" t="n">
        <v>45579</v>
      </c>
      <c r="D1317" t="inlineStr">
        <is>
          <t>VÄSTERNORRLANDS LÄN</t>
        </is>
      </c>
      <c r="E1317" t="inlineStr">
        <is>
          <t>ÅNGE</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31225-2023</t>
        </is>
      </c>
      <c r="B1318" s="1" t="n">
        <v>45114</v>
      </c>
      <c r="C1318" s="1" t="n">
        <v>45579</v>
      </c>
      <c r="D1318" t="inlineStr">
        <is>
          <t>VÄSTERNORRLANDS LÄN</t>
        </is>
      </c>
      <c r="E1318" t="inlineStr">
        <is>
          <t>ÅNGE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31229-2023</t>
        </is>
      </c>
      <c r="B1319" s="1" t="n">
        <v>45114</v>
      </c>
      <c r="C1319" s="1" t="n">
        <v>45579</v>
      </c>
      <c r="D1319" t="inlineStr">
        <is>
          <t>VÄSTERNORRLANDS LÄN</t>
        </is>
      </c>
      <c r="E1319" t="inlineStr">
        <is>
          <t>ÅNGE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31740-2023</t>
        </is>
      </c>
      <c r="B1320" s="1" t="n">
        <v>45118</v>
      </c>
      <c r="C1320" s="1" t="n">
        <v>45579</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31735-2023</t>
        </is>
      </c>
      <c r="B1321" s="1" t="n">
        <v>45117</v>
      </c>
      <c r="C1321" s="1" t="n">
        <v>45579</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32227-2023</t>
        </is>
      </c>
      <c r="B1322" s="1" t="n">
        <v>45120</v>
      </c>
      <c r="C1322" s="1" t="n">
        <v>45579</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32587-2023</t>
        </is>
      </c>
      <c r="B1323" s="1" t="n">
        <v>45121</v>
      </c>
      <c r="C1323" s="1" t="n">
        <v>45579</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32901-2023</t>
        </is>
      </c>
      <c r="B1324" s="1" t="n">
        <v>45125</v>
      </c>
      <c r="C1324" s="1" t="n">
        <v>45579</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33429-2023</t>
        </is>
      </c>
      <c r="B1325" s="1" t="n">
        <v>45129</v>
      </c>
      <c r="C1325" s="1" t="n">
        <v>45579</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45129</v>
      </c>
      <c r="C1326" s="1" t="n">
        <v>45579</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33586-2023</t>
        </is>
      </c>
      <c r="B1327" s="1" t="n">
        <v>45132</v>
      </c>
      <c r="C1327" s="1" t="n">
        <v>45579</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33587-2023</t>
        </is>
      </c>
      <c r="B1328" s="1" t="n">
        <v>45132</v>
      </c>
      <c r="C1328" s="1" t="n">
        <v>45579</v>
      </c>
      <c r="D1328" t="inlineStr">
        <is>
          <t>VÄSTERNORRLANDS LÄN</t>
        </is>
      </c>
      <c r="E1328" t="inlineStr">
        <is>
          <t>ÅNGE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34355-2023</t>
        </is>
      </c>
      <c r="B1329" s="1" t="n">
        <v>45131</v>
      </c>
      <c r="C1329" s="1" t="n">
        <v>45579</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33864-2023</t>
        </is>
      </c>
      <c r="B1330" s="1" t="n">
        <v>45133</v>
      </c>
      <c r="C1330" s="1" t="n">
        <v>45579</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33866-2023</t>
        </is>
      </c>
      <c r="B1331" s="1" t="n">
        <v>45133</v>
      </c>
      <c r="C1331" s="1" t="n">
        <v>45579</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33936-2023</t>
        </is>
      </c>
      <c r="B1332" s="1" t="n">
        <v>45134</v>
      </c>
      <c r="C1332" s="1" t="n">
        <v>45579</v>
      </c>
      <c r="D1332" t="inlineStr">
        <is>
          <t>VÄSTERNORRLANDS LÄN</t>
        </is>
      </c>
      <c r="E1332" t="inlineStr">
        <is>
          <t>ÅNGE</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34318-2023</t>
        </is>
      </c>
      <c r="B1333" s="1" t="n">
        <v>45138</v>
      </c>
      <c r="C1333" s="1" t="n">
        <v>45579</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34316-2023</t>
        </is>
      </c>
      <c r="B1334" s="1" t="n">
        <v>45138</v>
      </c>
      <c r="C1334" s="1" t="n">
        <v>45579</v>
      </c>
      <c r="D1334" t="inlineStr">
        <is>
          <t>VÄSTERNORRLANDS LÄN</t>
        </is>
      </c>
      <c r="E1334" t="inlineStr">
        <is>
          <t>ÅNGE</t>
        </is>
      </c>
      <c r="F1334" t="inlineStr">
        <is>
          <t>SCA</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34317-2023</t>
        </is>
      </c>
      <c r="B1335" s="1" t="n">
        <v>45138</v>
      </c>
      <c r="C1335" s="1" t="n">
        <v>45579</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34620-2023</t>
        </is>
      </c>
      <c r="B1336" s="1" t="n">
        <v>45138</v>
      </c>
      <c r="C1336" s="1" t="n">
        <v>45579</v>
      </c>
      <c r="D1336" t="inlineStr">
        <is>
          <t>VÄSTERNORRLANDS LÄN</t>
        </is>
      </c>
      <c r="E1336" t="inlineStr">
        <is>
          <t>ÅNGE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34269-2023</t>
        </is>
      </c>
      <c r="B1337" s="1" t="n">
        <v>45138</v>
      </c>
      <c r="C1337" s="1" t="n">
        <v>45579</v>
      </c>
      <c r="D1337" t="inlineStr">
        <is>
          <t>VÄSTERNORRLANDS LÄN</t>
        </is>
      </c>
      <c r="E1337" t="inlineStr">
        <is>
          <t>ÅNGE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34315-2023</t>
        </is>
      </c>
      <c r="B1338" s="1" t="n">
        <v>45138</v>
      </c>
      <c r="C1338" s="1" t="n">
        <v>45579</v>
      </c>
      <c r="D1338" t="inlineStr">
        <is>
          <t>VÄSTERNORRLANDS LÄN</t>
        </is>
      </c>
      <c r="E1338" t="inlineStr">
        <is>
          <t>ÅNGE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34319-2023</t>
        </is>
      </c>
      <c r="B1339" s="1" t="n">
        <v>45138</v>
      </c>
      <c r="C1339" s="1" t="n">
        <v>45579</v>
      </c>
      <c r="D1339" t="inlineStr">
        <is>
          <t>VÄSTERNORRLANDS LÄN</t>
        </is>
      </c>
      <c r="E1339" t="inlineStr">
        <is>
          <t>ÅNGE</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34491-2023</t>
        </is>
      </c>
      <c r="B1340" s="1" t="n">
        <v>45140</v>
      </c>
      <c r="C1340" s="1" t="n">
        <v>45579</v>
      </c>
      <c r="D1340" t="inlineStr">
        <is>
          <t>VÄSTERNORRLANDS LÄN</t>
        </is>
      </c>
      <c r="E1340" t="inlineStr">
        <is>
          <t>ÅNGE</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34755-2023</t>
        </is>
      </c>
      <c r="B1341" s="1" t="n">
        <v>45139</v>
      </c>
      <c r="C1341" s="1" t="n">
        <v>45579</v>
      </c>
      <c r="D1341" t="inlineStr">
        <is>
          <t>VÄSTERNORRLANDS LÄN</t>
        </is>
      </c>
      <c r="E1341" t="inlineStr">
        <is>
          <t>ÅNGE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34490-2023</t>
        </is>
      </c>
      <c r="B1342" s="1" t="n">
        <v>45139</v>
      </c>
      <c r="C1342" s="1" t="n">
        <v>45579</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34750-2023</t>
        </is>
      </c>
      <c r="B1343" s="1" t="n">
        <v>45139</v>
      </c>
      <c r="C1343" s="1" t="n">
        <v>45579</v>
      </c>
      <c r="D1343" t="inlineStr">
        <is>
          <t>VÄSTERNORRLANDS LÄN</t>
        </is>
      </c>
      <c r="E1343" t="inlineStr">
        <is>
          <t>ÅNGE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34754-2023</t>
        </is>
      </c>
      <c r="B1344" s="1" t="n">
        <v>45139</v>
      </c>
      <c r="C1344" s="1" t="n">
        <v>45579</v>
      </c>
      <c r="D1344" t="inlineStr">
        <is>
          <t>VÄSTERNORRLANDS LÄN</t>
        </is>
      </c>
      <c r="E1344" t="inlineStr">
        <is>
          <t>ÅNGE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34705-2023</t>
        </is>
      </c>
      <c r="B1345" s="1" t="n">
        <v>45141</v>
      </c>
      <c r="C1345" s="1" t="n">
        <v>45579</v>
      </c>
      <c r="D1345" t="inlineStr">
        <is>
          <t>VÄSTERNORRLANDS LÄN</t>
        </is>
      </c>
      <c r="E1345" t="inlineStr">
        <is>
          <t>ÅNGE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34703-2023</t>
        </is>
      </c>
      <c r="B1346" s="1" t="n">
        <v>45141</v>
      </c>
      <c r="C1346" s="1" t="n">
        <v>45579</v>
      </c>
      <c r="D1346" t="inlineStr">
        <is>
          <t>VÄSTERNORRLANDS LÄN</t>
        </is>
      </c>
      <c r="E1346" t="inlineStr">
        <is>
          <t>ÅNGE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34690-2023</t>
        </is>
      </c>
      <c r="B1347" s="1" t="n">
        <v>45141</v>
      </c>
      <c r="C1347" s="1" t="n">
        <v>45579</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34698-2023</t>
        </is>
      </c>
      <c r="B1348" s="1" t="n">
        <v>45140</v>
      </c>
      <c r="C1348" s="1" t="n">
        <v>45579</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34692-2023</t>
        </is>
      </c>
      <c r="B1349" s="1" t="n">
        <v>45140</v>
      </c>
      <c r="C1349" s="1" t="n">
        <v>45579</v>
      </c>
      <c r="D1349" t="inlineStr">
        <is>
          <t>VÄSTERNORRLANDS LÄN</t>
        </is>
      </c>
      <c r="E1349" t="inlineStr">
        <is>
          <t>ÅNGE</t>
        </is>
      </c>
      <c r="F1349" t="inlineStr">
        <is>
          <t>SCA</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34851-2023</t>
        </is>
      </c>
      <c r="B1350" s="1" t="n">
        <v>45141</v>
      </c>
      <c r="C1350" s="1" t="n">
        <v>45579</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34850-2023</t>
        </is>
      </c>
      <c r="B1351" s="1" t="n">
        <v>45141</v>
      </c>
      <c r="C1351" s="1" t="n">
        <v>45579</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34852-2023</t>
        </is>
      </c>
      <c r="B1352" s="1" t="n">
        <v>45141</v>
      </c>
      <c r="C1352" s="1" t="n">
        <v>45579</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34959-2023</t>
        </is>
      </c>
      <c r="B1353" s="1" t="n">
        <v>45142</v>
      </c>
      <c r="C1353" s="1" t="n">
        <v>45579</v>
      </c>
      <c r="D1353" t="inlineStr">
        <is>
          <t>VÄSTERNORRLANDS LÄN</t>
        </is>
      </c>
      <c r="E1353" t="inlineStr">
        <is>
          <t>ÅNGE</t>
        </is>
      </c>
      <c r="F1353" t="inlineStr">
        <is>
          <t>Sveaskog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34965-2023</t>
        </is>
      </c>
      <c r="B1354" s="1" t="n">
        <v>45142</v>
      </c>
      <c r="C1354" s="1" t="n">
        <v>45579</v>
      </c>
      <c r="D1354" t="inlineStr">
        <is>
          <t>VÄSTERNORRLANDS LÄN</t>
        </is>
      </c>
      <c r="E1354" t="inlineStr">
        <is>
          <t>ÅNGE</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v>
      </c>
      <c r="C1355" s="1" t="n">
        <v>45579</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34954-2023</t>
        </is>
      </c>
      <c r="B1356" s="1" t="n">
        <v>45142</v>
      </c>
      <c r="C1356" s="1" t="n">
        <v>45579</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34962-2023</t>
        </is>
      </c>
      <c r="B1357" s="1" t="n">
        <v>45142</v>
      </c>
      <c r="C1357" s="1" t="n">
        <v>45579</v>
      </c>
      <c r="D1357" t="inlineStr">
        <is>
          <t>VÄSTERNORRLANDS LÄN</t>
        </is>
      </c>
      <c r="E1357" t="inlineStr">
        <is>
          <t>ÅNGE</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35100-2023</t>
        </is>
      </c>
      <c r="B1358" s="1" t="n">
        <v>45142</v>
      </c>
      <c r="C1358" s="1" t="n">
        <v>45579</v>
      </c>
      <c r="D1358" t="inlineStr">
        <is>
          <t>VÄSTERNORRLANDS LÄN</t>
        </is>
      </c>
      <c r="E1358" t="inlineStr">
        <is>
          <t>ÅNGE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35259-2023</t>
        </is>
      </c>
      <c r="B1359" s="1" t="n">
        <v>45145</v>
      </c>
      <c r="C1359" s="1" t="n">
        <v>45579</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35260-2023</t>
        </is>
      </c>
      <c r="B1360" s="1" t="n">
        <v>45145</v>
      </c>
      <c r="C1360" s="1" t="n">
        <v>45579</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35261-2023</t>
        </is>
      </c>
      <c r="B1361" s="1" t="n">
        <v>45145</v>
      </c>
      <c r="C1361" s="1" t="n">
        <v>45579</v>
      </c>
      <c r="D1361" t="inlineStr">
        <is>
          <t>VÄSTERNORRLANDS LÄN</t>
        </is>
      </c>
      <c r="E1361" t="inlineStr">
        <is>
          <t>ÅNGE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35328-2023</t>
        </is>
      </c>
      <c r="B1362" s="1" t="n">
        <v>45145</v>
      </c>
      <c r="C1362" s="1" t="n">
        <v>45579</v>
      </c>
      <c r="D1362" t="inlineStr">
        <is>
          <t>VÄSTERNORRLANDS LÄN</t>
        </is>
      </c>
      <c r="E1362" t="inlineStr">
        <is>
          <t>ÅNGE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35366-2023</t>
        </is>
      </c>
      <c r="B1363" s="1" t="n">
        <v>45145</v>
      </c>
      <c r="C1363" s="1" t="n">
        <v>45579</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35258-2023</t>
        </is>
      </c>
      <c r="B1364" s="1" t="n">
        <v>45145</v>
      </c>
      <c r="C1364" s="1" t="n">
        <v>45579</v>
      </c>
      <c r="D1364" t="inlineStr">
        <is>
          <t>VÄSTERNORRLANDS LÄN</t>
        </is>
      </c>
      <c r="E1364" t="inlineStr">
        <is>
          <t>ÅNGE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35762-2023</t>
        </is>
      </c>
      <c r="B1365" s="1" t="n">
        <v>45147</v>
      </c>
      <c r="C1365" s="1" t="n">
        <v>45579</v>
      </c>
      <c r="D1365" t="inlineStr">
        <is>
          <t>VÄSTERNORRLANDS LÄN</t>
        </is>
      </c>
      <c r="E1365" t="inlineStr">
        <is>
          <t>ÅNGE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35747-2023</t>
        </is>
      </c>
      <c r="B1366" s="1" t="n">
        <v>45147</v>
      </c>
      <c r="C1366" s="1" t="n">
        <v>45579</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35748-2023</t>
        </is>
      </c>
      <c r="B1367" s="1" t="n">
        <v>45148</v>
      </c>
      <c r="C1367" s="1" t="n">
        <v>45579</v>
      </c>
      <c r="D1367" t="inlineStr">
        <is>
          <t>VÄSTERNORRLANDS LÄN</t>
        </is>
      </c>
      <c r="E1367" t="inlineStr">
        <is>
          <t>ÅNGE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35749-2023</t>
        </is>
      </c>
      <c r="B1368" s="1" t="n">
        <v>45147</v>
      </c>
      <c r="C1368" s="1" t="n">
        <v>45579</v>
      </c>
      <c r="D1368" t="inlineStr">
        <is>
          <t>VÄSTERNORRLANDS LÄN</t>
        </is>
      </c>
      <c r="E1368" t="inlineStr">
        <is>
          <t>ÅNGE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45579</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35970-2023</t>
        </is>
      </c>
      <c r="B1370" s="1" t="n">
        <v>45148</v>
      </c>
      <c r="C1370" s="1" t="n">
        <v>45579</v>
      </c>
      <c r="D1370" t="inlineStr">
        <is>
          <t>VÄSTERNORRLANDS LÄN</t>
        </is>
      </c>
      <c r="E1370" t="inlineStr">
        <is>
          <t>ÅNGE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36210-2023</t>
        </is>
      </c>
      <c r="B1371" s="1" t="n">
        <v>45149</v>
      </c>
      <c r="C1371" s="1" t="n">
        <v>45579</v>
      </c>
      <c r="D1371" t="inlineStr">
        <is>
          <t>VÄSTERNORRLANDS LÄN</t>
        </is>
      </c>
      <c r="E1371" t="inlineStr">
        <is>
          <t>ÅNGE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36290-2023</t>
        </is>
      </c>
      <c r="B1372" s="1" t="n">
        <v>45152</v>
      </c>
      <c r="C1372" s="1" t="n">
        <v>45579</v>
      </c>
      <c r="D1372" t="inlineStr">
        <is>
          <t>VÄSTERNORRLANDS LÄN</t>
        </is>
      </c>
      <c r="E1372" t="inlineStr">
        <is>
          <t>ÅNGE</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36494-2023</t>
        </is>
      </c>
      <c r="B1373" s="1" t="n">
        <v>45153</v>
      </c>
      <c r="C1373" s="1" t="n">
        <v>45579</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36492-2023</t>
        </is>
      </c>
      <c r="B1374" s="1" t="n">
        <v>45153</v>
      </c>
      <c r="C1374" s="1" t="n">
        <v>45579</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36766-2023</t>
        </is>
      </c>
      <c r="B1375" s="1" t="n">
        <v>45153</v>
      </c>
      <c r="C1375" s="1" t="n">
        <v>45579</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36760-2023</t>
        </is>
      </c>
      <c r="B1376" s="1" t="n">
        <v>45153</v>
      </c>
      <c r="C1376" s="1" t="n">
        <v>45579</v>
      </c>
      <c r="D1376" t="inlineStr">
        <is>
          <t>VÄSTERNORRLANDS LÄN</t>
        </is>
      </c>
      <c r="E1376" t="inlineStr">
        <is>
          <t>ÅNGE</t>
        </is>
      </c>
      <c r="F1376" t="inlineStr">
        <is>
          <t>SCA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36801-2023</t>
        </is>
      </c>
      <c r="B1377" s="1" t="n">
        <v>45153</v>
      </c>
      <c r="C1377" s="1" t="n">
        <v>45579</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36790-2023</t>
        </is>
      </c>
      <c r="B1378" s="1" t="n">
        <v>45154</v>
      </c>
      <c r="C1378" s="1" t="n">
        <v>45579</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36973-2023</t>
        </is>
      </c>
      <c r="B1379" s="1" t="n">
        <v>45154</v>
      </c>
      <c r="C1379" s="1" t="n">
        <v>45579</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36987-2023</t>
        </is>
      </c>
      <c r="B1380" s="1" t="n">
        <v>45155</v>
      </c>
      <c r="C1380" s="1" t="n">
        <v>45579</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37252-2023</t>
        </is>
      </c>
      <c r="B1381" s="1" t="n">
        <v>45155</v>
      </c>
      <c r="C1381" s="1" t="n">
        <v>45579</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37471-2023</t>
        </is>
      </c>
      <c r="B1382" s="1" t="n">
        <v>45157</v>
      </c>
      <c r="C1382" s="1" t="n">
        <v>45579</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37503-2023</t>
        </is>
      </c>
      <c r="B1383" s="1" t="n">
        <v>45157</v>
      </c>
      <c r="C1383" s="1" t="n">
        <v>45579</v>
      </c>
      <c r="D1383" t="inlineStr">
        <is>
          <t>VÄSTERNORRLANDS LÄN</t>
        </is>
      </c>
      <c r="E1383" t="inlineStr">
        <is>
          <t>ÅNGE</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37502-2023</t>
        </is>
      </c>
      <c r="B1384" s="1" t="n">
        <v>45157</v>
      </c>
      <c r="C1384" s="1" t="n">
        <v>45579</v>
      </c>
      <c r="D1384" t="inlineStr">
        <is>
          <t>VÄSTERNORRLANDS LÄN</t>
        </is>
      </c>
      <c r="E1384" t="inlineStr">
        <is>
          <t>ÅNGE</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37800-2023</t>
        </is>
      </c>
      <c r="B1385" s="1" t="n">
        <v>45159</v>
      </c>
      <c r="C1385" s="1" t="n">
        <v>45579</v>
      </c>
      <c r="D1385" t="inlineStr">
        <is>
          <t>VÄSTERNORRLANDS LÄN</t>
        </is>
      </c>
      <c r="E1385" t="inlineStr">
        <is>
          <t>ÅNGE</t>
        </is>
      </c>
      <c r="F1385" t="inlineStr">
        <is>
          <t>SCA</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37558-2023</t>
        </is>
      </c>
      <c r="B1386" s="1" t="n">
        <v>45159</v>
      </c>
      <c r="C1386" s="1" t="n">
        <v>45579</v>
      </c>
      <c r="D1386" t="inlineStr">
        <is>
          <t>VÄSTERNORRLANDS LÄN</t>
        </is>
      </c>
      <c r="E1386" t="inlineStr">
        <is>
          <t>ÅNGE</t>
        </is>
      </c>
      <c r="F1386" t="inlineStr">
        <is>
          <t>Kyrkan</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37801-2023</t>
        </is>
      </c>
      <c r="B1387" s="1" t="n">
        <v>45159</v>
      </c>
      <c r="C1387" s="1" t="n">
        <v>45579</v>
      </c>
      <c r="D1387" t="inlineStr">
        <is>
          <t>VÄSTERNORRLANDS LÄN</t>
        </is>
      </c>
      <c r="E1387" t="inlineStr">
        <is>
          <t>ÅNGE</t>
        </is>
      </c>
      <c r="F1387" t="inlineStr">
        <is>
          <t>SCA</t>
        </is>
      </c>
      <c r="G1387" t="n">
        <v>33.4</v>
      </c>
      <c r="H1387" t="n">
        <v>0</v>
      </c>
      <c r="I1387" t="n">
        <v>0</v>
      </c>
      <c r="J1387" t="n">
        <v>0</v>
      </c>
      <c r="K1387" t="n">
        <v>0</v>
      </c>
      <c r="L1387" t="n">
        <v>0</v>
      </c>
      <c r="M1387" t="n">
        <v>0</v>
      </c>
      <c r="N1387" t="n">
        <v>0</v>
      </c>
      <c r="O1387" t="n">
        <v>0</v>
      </c>
      <c r="P1387" t="n">
        <v>0</v>
      </c>
      <c r="Q1387" t="n">
        <v>0</v>
      </c>
      <c r="R1387" s="2" t="inlineStr"/>
    </row>
    <row r="1388" ht="15" customHeight="1">
      <c r="A1388" t="inlineStr">
        <is>
          <t>A 38090-2023</t>
        </is>
      </c>
      <c r="B1388" s="1" t="n">
        <v>45161</v>
      </c>
      <c r="C1388" s="1" t="n">
        <v>45579</v>
      </c>
      <c r="D1388" t="inlineStr">
        <is>
          <t>VÄSTERNORRLANDS LÄN</t>
        </is>
      </c>
      <c r="E1388" t="inlineStr">
        <is>
          <t>ÅNGE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39245-2023</t>
        </is>
      </c>
      <c r="B1389" s="1" t="n">
        <v>45162</v>
      </c>
      <c r="C1389" s="1" t="n">
        <v>45579</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38886-2023</t>
        </is>
      </c>
      <c r="B1390" s="1" t="n">
        <v>45162</v>
      </c>
      <c r="C1390" s="1" t="n">
        <v>45579</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38871-2023</t>
        </is>
      </c>
      <c r="B1391" s="1" t="n">
        <v>45162</v>
      </c>
      <c r="C1391" s="1" t="n">
        <v>45579</v>
      </c>
      <c r="D1391" t="inlineStr">
        <is>
          <t>VÄSTERNORRLANDS LÄN</t>
        </is>
      </c>
      <c r="E1391" t="inlineStr">
        <is>
          <t>ÅNGE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39206-2023</t>
        </is>
      </c>
      <c r="B1392" s="1" t="n">
        <v>45162</v>
      </c>
      <c r="C1392" s="1" t="n">
        <v>45579</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39261-2023</t>
        </is>
      </c>
      <c r="B1393" s="1" t="n">
        <v>45162</v>
      </c>
      <c r="C1393" s="1" t="n">
        <v>45579</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39254-2023</t>
        </is>
      </c>
      <c r="B1394" s="1" t="n">
        <v>45162</v>
      </c>
      <c r="C1394" s="1" t="n">
        <v>45579</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45579</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39112-2023</t>
        </is>
      </c>
      <c r="B1396" s="1" t="n">
        <v>45164</v>
      </c>
      <c r="C1396" s="1" t="n">
        <v>45579</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39500-2023</t>
        </is>
      </c>
      <c r="B1397" s="1" t="n">
        <v>45166</v>
      </c>
      <c r="C1397" s="1" t="n">
        <v>45579</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39811-2023</t>
        </is>
      </c>
      <c r="B1398" s="1" t="n">
        <v>45167</v>
      </c>
      <c r="C1398" s="1" t="n">
        <v>45579</v>
      </c>
      <c r="D1398" t="inlineStr">
        <is>
          <t>VÄSTERNORRLANDS LÄN</t>
        </is>
      </c>
      <c r="E1398" t="inlineStr">
        <is>
          <t>ÅNGE</t>
        </is>
      </c>
      <c r="F1398" t="inlineStr">
        <is>
          <t>SCA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39813-2023</t>
        </is>
      </c>
      <c r="B1399" s="1" t="n">
        <v>45168</v>
      </c>
      <c r="C1399" s="1" t="n">
        <v>45579</v>
      </c>
      <c r="D1399" t="inlineStr">
        <is>
          <t>VÄSTERNORRLANDS LÄN</t>
        </is>
      </c>
      <c r="E1399" t="inlineStr">
        <is>
          <t>ÅNGE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39812-2023</t>
        </is>
      </c>
      <c r="B1400" s="1" t="n">
        <v>45168</v>
      </c>
      <c r="C1400" s="1" t="n">
        <v>45579</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40013-2023</t>
        </is>
      </c>
      <c r="B1401" s="1" t="n">
        <v>45167</v>
      </c>
      <c r="C1401" s="1" t="n">
        <v>45579</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39814-2023</t>
        </is>
      </c>
      <c r="B1402" s="1" t="n">
        <v>45168</v>
      </c>
      <c r="C1402" s="1" t="n">
        <v>45579</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39991-2023</t>
        </is>
      </c>
      <c r="B1403" s="1" t="n">
        <v>45168</v>
      </c>
      <c r="C1403" s="1" t="n">
        <v>45579</v>
      </c>
      <c r="D1403" t="inlineStr">
        <is>
          <t>VÄSTERNORRLANDS LÄN</t>
        </is>
      </c>
      <c r="E1403" t="inlineStr">
        <is>
          <t>ÅNGE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39996-2023</t>
        </is>
      </c>
      <c r="B1404" s="1" t="n">
        <v>45168</v>
      </c>
      <c r="C1404" s="1" t="n">
        <v>45579</v>
      </c>
      <c r="D1404" t="inlineStr">
        <is>
          <t>VÄSTERNORRLANDS LÄN</t>
        </is>
      </c>
      <c r="E1404" t="inlineStr">
        <is>
          <t>ÅNGE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39842-2023</t>
        </is>
      </c>
      <c r="B1405" s="1" t="n">
        <v>45168</v>
      </c>
      <c r="C1405" s="1" t="n">
        <v>45579</v>
      </c>
      <c r="D1405" t="inlineStr">
        <is>
          <t>VÄSTERNORRLANDS LÄN</t>
        </is>
      </c>
      <c r="E1405" t="inlineStr">
        <is>
          <t>ÅNGE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39843-2023</t>
        </is>
      </c>
      <c r="B1406" s="1" t="n">
        <v>45168</v>
      </c>
      <c r="C1406" s="1" t="n">
        <v>45579</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40005-2023</t>
        </is>
      </c>
      <c r="B1407" s="1" t="n">
        <v>45168</v>
      </c>
      <c r="C1407" s="1" t="n">
        <v>45579</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39936-2023</t>
        </is>
      </c>
      <c r="B1408" s="1" t="n">
        <v>45168</v>
      </c>
      <c r="C1408" s="1" t="n">
        <v>45579</v>
      </c>
      <c r="D1408" t="inlineStr">
        <is>
          <t>VÄSTERNORRLANDS LÄN</t>
        </is>
      </c>
      <c r="E1408" t="inlineStr">
        <is>
          <t>ÅNGE</t>
        </is>
      </c>
      <c r="F1408" t="inlineStr">
        <is>
          <t>Sveaskog</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v>
      </c>
      <c r="C1409" s="1" t="n">
        <v>45579</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40208-2023</t>
        </is>
      </c>
      <c r="B1410" s="1" t="n">
        <v>45168</v>
      </c>
      <c r="C1410" s="1" t="n">
        <v>45579</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39973-2023</t>
        </is>
      </c>
      <c r="B1411" s="1" t="n">
        <v>45168</v>
      </c>
      <c r="C1411" s="1" t="n">
        <v>45579</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39985-2023</t>
        </is>
      </c>
      <c r="B1412" s="1" t="n">
        <v>45168</v>
      </c>
      <c r="C1412" s="1" t="n">
        <v>45579</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39995-2023</t>
        </is>
      </c>
      <c r="B1413" s="1" t="n">
        <v>45168</v>
      </c>
      <c r="C1413" s="1" t="n">
        <v>45579</v>
      </c>
      <c r="D1413" t="inlineStr">
        <is>
          <t>VÄSTERNORRLANDS LÄN</t>
        </is>
      </c>
      <c r="E1413" t="inlineStr">
        <is>
          <t>ÅNGE</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40378-2023</t>
        </is>
      </c>
      <c r="B1414" s="1" t="n">
        <v>45169</v>
      </c>
      <c r="C1414" s="1" t="n">
        <v>45579</v>
      </c>
      <c r="D1414" t="inlineStr">
        <is>
          <t>VÄSTERNORRLANDS LÄN</t>
        </is>
      </c>
      <c r="E1414" t="inlineStr">
        <is>
          <t>ÅNGE</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40663-2023</t>
        </is>
      </c>
      <c r="B1415" s="1" t="n">
        <v>45169</v>
      </c>
      <c r="C1415" s="1" t="n">
        <v>45579</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40626-2023</t>
        </is>
      </c>
      <c r="B1416" s="1" t="n">
        <v>45170</v>
      </c>
      <c r="C1416" s="1" t="n">
        <v>45579</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40622-2023</t>
        </is>
      </c>
      <c r="B1417" s="1" t="n">
        <v>45170</v>
      </c>
      <c r="C1417" s="1" t="n">
        <v>45579</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40789-2023</t>
        </is>
      </c>
      <c r="B1418" s="1" t="n">
        <v>45171</v>
      </c>
      <c r="C1418" s="1" t="n">
        <v>45579</v>
      </c>
      <c r="D1418" t="inlineStr">
        <is>
          <t>VÄSTERNORRLANDS LÄN</t>
        </is>
      </c>
      <c r="E1418" t="inlineStr">
        <is>
          <t>ÅNGE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40790-2023</t>
        </is>
      </c>
      <c r="B1419" s="1" t="n">
        <v>45171</v>
      </c>
      <c r="C1419" s="1" t="n">
        <v>45579</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40755-2023</t>
        </is>
      </c>
      <c r="B1420" s="1" t="n">
        <v>45170</v>
      </c>
      <c r="C1420" s="1" t="n">
        <v>45579</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40791-2023</t>
        </is>
      </c>
      <c r="B1421" s="1" t="n">
        <v>45171</v>
      </c>
      <c r="C1421" s="1" t="n">
        <v>45579</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40834-2023</t>
        </is>
      </c>
      <c r="B1422" s="1" t="n">
        <v>45172</v>
      </c>
      <c r="C1422" s="1" t="n">
        <v>45579</v>
      </c>
      <c r="D1422" t="inlineStr">
        <is>
          <t>VÄSTERNORRLANDS LÄN</t>
        </is>
      </c>
      <c r="E1422" t="inlineStr">
        <is>
          <t>ÅNGE</t>
        </is>
      </c>
      <c r="F1422" t="inlineStr">
        <is>
          <t>Kyrkan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40831-2023</t>
        </is>
      </c>
      <c r="B1423" s="1" t="n">
        <v>45172</v>
      </c>
      <c r="C1423" s="1" t="n">
        <v>45579</v>
      </c>
      <c r="D1423" t="inlineStr">
        <is>
          <t>VÄSTERNORRLANDS LÄN</t>
        </is>
      </c>
      <c r="E1423" t="inlineStr">
        <is>
          <t>ÅNGE</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40832-2023</t>
        </is>
      </c>
      <c r="B1424" s="1" t="n">
        <v>45172</v>
      </c>
      <c r="C1424" s="1" t="n">
        <v>45579</v>
      </c>
      <c r="D1424" t="inlineStr">
        <is>
          <t>VÄSTERNORRLANDS LÄN</t>
        </is>
      </c>
      <c r="E1424" t="inlineStr">
        <is>
          <t>ÅNGE</t>
        </is>
      </c>
      <c r="F1424" t="inlineStr">
        <is>
          <t>Kyrkan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42081-2023</t>
        </is>
      </c>
      <c r="B1425" s="1" t="n">
        <v>45174</v>
      </c>
      <c r="C1425" s="1" t="n">
        <v>45579</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41370-2023</t>
        </is>
      </c>
      <c r="B1426" s="1" t="n">
        <v>45174</v>
      </c>
      <c r="C1426" s="1" t="n">
        <v>45579</v>
      </c>
      <c r="D1426" t="inlineStr">
        <is>
          <t>VÄSTERNORRLANDS LÄN</t>
        </is>
      </c>
      <c r="E1426" t="inlineStr">
        <is>
          <t>ÅNGE</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42073-2023</t>
        </is>
      </c>
      <c r="B1427" s="1" t="n">
        <v>45174</v>
      </c>
      <c r="C1427" s="1" t="n">
        <v>45579</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45579</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41659-2023</t>
        </is>
      </c>
      <c r="B1429" s="1" t="n">
        <v>45176</v>
      </c>
      <c r="C1429" s="1" t="n">
        <v>45579</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41741-2023</t>
        </is>
      </c>
      <c r="B1430" s="1" t="n">
        <v>45176</v>
      </c>
      <c r="C1430" s="1" t="n">
        <v>45579</v>
      </c>
      <c r="D1430" t="inlineStr">
        <is>
          <t>VÄSTERNORRLANDS LÄN</t>
        </is>
      </c>
      <c r="E1430" t="inlineStr">
        <is>
          <t>ÅNGE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42559-2023</t>
        </is>
      </c>
      <c r="B1431" s="1" t="n">
        <v>45176</v>
      </c>
      <c r="C1431" s="1" t="n">
        <v>45579</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42699-2023</t>
        </is>
      </c>
      <c r="B1432" s="1" t="n">
        <v>45176</v>
      </c>
      <c r="C1432" s="1" t="n">
        <v>45579</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42130-2023</t>
        </is>
      </c>
      <c r="B1433" s="1" t="n">
        <v>45177</v>
      </c>
      <c r="C1433" s="1" t="n">
        <v>45579</v>
      </c>
      <c r="D1433" t="inlineStr">
        <is>
          <t>VÄSTERNORRLANDS LÄN</t>
        </is>
      </c>
      <c r="E1433" t="inlineStr">
        <is>
          <t>ÅNGE</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42139-2023</t>
        </is>
      </c>
      <c r="B1434" s="1" t="n">
        <v>45177</v>
      </c>
      <c r="C1434" s="1" t="n">
        <v>45579</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42346-2023</t>
        </is>
      </c>
      <c r="B1435" s="1" t="n">
        <v>45180</v>
      </c>
      <c r="C1435" s="1" t="n">
        <v>45579</v>
      </c>
      <c r="D1435" t="inlineStr">
        <is>
          <t>VÄSTERNORRLANDS LÄN</t>
        </is>
      </c>
      <c r="E1435" t="inlineStr">
        <is>
          <t>ÅNGE</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42242-2023</t>
        </is>
      </c>
      <c r="B1436" s="1" t="n">
        <v>45180</v>
      </c>
      <c r="C1436" s="1" t="n">
        <v>45579</v>
      </c>
      <c r="D1436" t="inlineStr">
        <is>
          <t>VÄSTERNORRLANDS LÄN</t>
        </is>
      </c>
      <c r="E1436" t="inlineStr">
        <is>
          <t>ÅNGE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42506-2023</t>
        </is>
      </c>
      <c r="B1437" s="1" t="n">
        <v>45180</v>
      </c>
      <c r="C1437" s="1" t="n">
        <v>45579</v>
      </c>
      <c r="D1437" t="inlineStr">
        <is>
          <t>VÄSTERNORRLANDS LÄN</t>
        </is>
      </c>
      <c r="E1437" t="inlineStr">
        <is>
          <t>ÅNGE</t>
        </is>
      </c>
      <c r="F1437" t="inlineStr">
        <is>
          <t>SCA</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43053-2023</t>
        </is>
      </c>
      <c r="B1438" s="1" t="n">
        <v>45180</v>
      </c>
      <c r="C1438" s="1" t="n">
        <v>45579</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43218-2023</t>
        </is>
      </c>
      <c r="B1439" s="1" t="n">
        <v>45180</v>
      </c>
      <c r="C1439" s="1" t="n">
        <v>45579</v>
      </c>
      <c r="D1439" t="inlineStr">
        <is>
          <t>VÄSTERNORRLANDS LÄN</t>
        </is>
      </c>
      <c r="E1439" t="inlineStr">
        <is>
          <t>ÅNGE</t>
        </is>
      </c>
      <c r="F1439" t="inlineStr">
        <is>
          <t>SCA</t>
        </is>
      </c>
      <c r="G1439" t="n">
        <v>37.3</v>
      </c>
      <c r="H1439" t="n">
        <v>0</v>
      </c>
      <c r="I1439" t="n">
        <v>0</v>
      </c>
      <c r="J1439" t="n">
        <v>0</v>
      </c>
      <c r="K1439" t="n">
        <v>0</v>
      </c>
      <c r="L1439" t="n">
        <v>0</v>
      </c>
      <c r="M1439" t="n">
        <v>0</v>
      </c>
      <c r="N1439" t="n">
        <v>0</v>
      </c>
      <c r="O1439" t="n">
        <v>0</v>
      </c>
      <c r="P1439" t="n">
        <v>0</v>
      </c>
      <c r="Q1439" t="n">
        <v>0</v>
      </c>
      <c r="R1439" s="2" t="inlineStr"/>
    </row>
    <row r="1440" ht="15" customHeight="1">
      <c r="A1440" t="inlineStr">
        <is>
          <t>A 43186-2023</t>
        </is>
      </c>
      <c r="B1440" s="1" t="n">
        <v>45180</v>
      </c>
      <c r="C1440" s="1" t="n">
        <v>45579</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43552-2023</t>
        </is>
      </c>
      <c r="B1441" s="1" t="n">
        <v>45181</v>
      </c>
      <c r="C1441" s="1" t="n">
        <v>45579</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42881-2023</t>
        </is>
      </c>
      <c r="B1442" s="1" t="n">
        <v>45182</v>
      </c>
      <c r="C1442" s="1" t="n">
        <v>45579</v>
      </c>
      <c r="D1442" t="inlineStr">
        <is>
          <t>VÄSTERNORRLANDS LÄN</t>
        </is>
      </c>
      <c r="E1442" t="inlineStr">
        <is>
          <t>ÅNGE</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43096-2023</t>
        </is>
      </c>
      <c r="B1443" s="1" t="n">
        <v>45182</v>
      </c>
      <c r="C1443" s="1" t="n">
        <v>45579</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44178-2023</t>
        </is>
      </c>
      <c r="B1444" s="1" t="n">
        <v>45183</v>
      </c>
      <c r="C1444" s="1" t="n">
        <v>45579</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44180-2023</t>
        </is>
      </c>
      <c r="B1445" s="1" t="n">
        <v>45183</v>
      </c>
      <c r="C1445" s="1" t="n">
        <v>45579</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43615-2023</t>
        </is>
      </c>
      <c r="B1446" s="1" t="n">
        <v>45184</v>
      </c>
      <c r="C1446" s="1" t="n">
        <v>45579</v>
      </c>
      <c r="D1446" t="inlineStr">
        <is>
          <t>VÄSTERNORRLANDS LÄN</t>
        </is>
      </c>
      <c r="E1446" t="inlineStr">
        <is>
          <t>ÅNGE</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43618-2023</t>
        </is>
      </c>
      <c r="B1447" s="1" t="n">
        <v>45184</v>
      </c>
      <c r="C1447" s="1" t="n">
        <v>45579</v>
      </c>
      <c r="D1447" t="inlineStr">
        <is>
          <t>VÄSTERNORRLANDS LÄN</t>
        </is>
      </c>
      <c r="E1447" t="inlineStr">
        <is>
          <t>ÅNGE</t>
        </is>
      </c>
      <c r="G1447" t="n">
        <v>22.6</v>
      </c>
      <c r="H1447" t="n">
        <v>0</v>
      </c>
      <c r="I1447" t="n">
        <v>0</v>
      </c>
      <c r="J1447" t="n">
        <v>0</v>
      </c>
      <c r="K1447" t="n">
        <v>0</v>
      </c>
      <c r="L1447" t="n">
        <v>0</v>
      </c>
      <c r="M1447" t="n">
        <v>0</v>
      </c>
      <c r="N1447" t="n">
        <v>0</v>
      </c>
      <c r="O1447" t="n">
        <v>0</v>
      </c>
      <c r="P1447" t="n">
        <v>0</v>
      </c>
      <c r="Q1447" t="n">
        <v>0</v>
      </c>
      <c r="R1447" s="2" t="inlineStr"/>
    </row>
    <row r="1448" ht="15" customHeight="1">
      <c r="A1448" t="inlineStr">
        <is>
          <t>A 43622-2023</t>
        </is>
      </c>
      <c r="B1448" s="1" t="n">
        <v>45184</v>
      </c>
      <c r="C1448" s="1" t="n">
        <v>45579</v>
      </c>
      <c r="D1448" t="inlineStr">
        <is>
          <t>VÄSTERNORRLANDS LÄN</t>
        </is>
      </c>
      <c r="E1448" t="inlineStr">
        <is>
          <t>ÅNGE</t>
        </is>
      </c>
      <c r="F1448" t="inlineStr">
        <is>
          <t>Holmen skog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44639-2023</t>
        </is>
      </c>
      <c r="B1449" s="1" t="n">
        <v>45184</v>
      </c>
      <c r="C1449" s="1" t="n">
        <v>45579</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43916-2023</t>
        </is>
      </c>
      <c r="B1450" s="1" t="n">
        <v>45187</v>
      </c>
      <c r="C1450" s="1" t="n">
        <v>45579</v>
      </c>
      <c r="D1450" t="inlineStr">
        <is>
          <t>VÄSTERNORRLANDS LÄN</t>
        </is>
      </c>
      <c r="E1450" t="inlineStr">
        <is>
          <t>ÅNGE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43984-2023</t>
        </is>
      </c>
      <c r="B1451" s="1" t="n">
        <v>45187</v>
      </c>
      <c r="C1451" s="1" t="n">
        <v>45579</v>
      </c>
      <c r="D1451" t="inlineStr">
        <is>
          <t>VÄSTERNORRLANDS LÄN</t>
        </is>
      </c>
      <c r="E1451" t="inlineStr">
        <is>
          <t>ÅNGE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44013-2023</t>
        </is>
      </c>
      <c r="B1452" s="1" t="n">
        <v>45188</v>
      </c>
      <c r="C1452" s="1" t="n">
        <v>45579</v>
      </c>
      <c r="D1452" t="inlineStr">
        <is>
          <t>VÄSTERNORRLANDS LÄN</t>
        </is>
      </c>
      <c r="E1452" t="inlineStr">
        <is>
          <t>ÅNGE</t>
        </is>
      </c>
      <c r="F1452" t="inlineStr">
        <is>
          <t>Holmen skog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44268-2023</t>
        </is>
      </c>
      <c r="B1453" s="1" t="n">
        <v>45188</v>
      </c>
      <c r="C1453" s="1" t="n">
        <v>45579</v>
      </c>
      <c r="D1453" t="inlineStr">
        <is>
          <t>VÄSTERNORRLANDS LÄN</t>
        </is>
      </c>
      <c r="E1453" t="inlineStr">
        <is>
          <t>ÅNGE</t>
        </is>
      </c>
      <c r="F1453" t="inlineStr">
        <is>
          <t>Holmen skog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45572-2023</t>
        </is>
      </c>
      <c r="B1454" s="1" t="n">
        <v>45188</v>
      </c>
      <c r="C1454" s="1" t="n">
        <v>45579</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45598-2023</t>
        </is>
      </c>
      <c r="B1455" s="1" t="n">
        <v>45188</v>
      </c>
      <c r="C1455" s="1" t="n">
        <v>45579</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44979-2023</t>
        </is>
      </c>
      <c r="B1456" s="1" t="n">
        <v>45191</v>
      </c>
      <c r="C1456" s="1" t="n">
        <v>45579</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45027-2023</t>
        </is>
      </c>
      <c r="B1457" s="1" t="n">
        <v>45191</v>
      </c>
      <c r="C1457" s="1" t="n">
        <v>45579</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45933-2023</t>
        </is>
      </c>
      <c r="B1458" s="1" t="n">
        <v>45195</v>
      </c>
      <c r="C1458" s="1" t="n">
        <v>45579</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45941-2023</t>
        </is>
      </c>
      <c r="B1459" s="1" t="n">
        <v>45196</v>
      </c>
      <c r="C1459" s="1" t="n">
        <v>45579</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45932-2023</t>
        </is>
      </c>
      <c r="B1460" s="1" t="n">
        <v>45195</v>
      </c>
      <c r="C1460" s="1" t="n">
        <v>45579</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45940-2023</t>
        </is>
      </c>
      <c r="B1461" s="1" t="n">
        <v>45196</v>
      </c>
      <c r="C1461" s="1" t="n">
        <v>45579</v>
      </c>
      <c r="D1461" t="inlineStr">
        <is>
          <t>VÄSTERNORRLANDS LÄN</t>
        </is>
      </c>
      <c r="E1461" t="inlineStr">
        <is>
          <t>ÅNGE</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45717-2023</t>
        </is>
      </c>
      <c r="B1462" s="1" t="n">
        <v>45195</v>
      </c>
      <c r="C1462" s="1" t="n">
        <v>45579</v>
      </c>
      <c r="D1462" t="inlineStr">
        <is>
          <t>VÄSTERNORRLANDS LÄN</t>
        </is>
      </c>
      <c r="E1462" t="inlineStr">
        <is>
          <t>ÅNGE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45196</v>
      </c>
      <c r="C1463" s="1" t="n">
        <v>45579</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46254-2023</t>
        </is>
      </c>
      <c r="B1464" s="1" t="n">
        <v>45196</v>
      </c>
      <c r="C1464" s="1" t="n">
        <v>45579</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46262-2023</t>
        </is>
      </c>
      <c r="B1465" s="1" t="n">
        <v>45197</v>
      </c>
      <c r="C1465" s="1" t="n">
        <v>45579</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46332-2023</t>
        </is>
      </c>
      <c r="B1466" s="1" t="n">
        <v>45196</v>
      </c>
      <c r="C1466" s="1" t="n">
        <v>45579</v>
      </c>
      <c r="D1466" t="inlineStr">
        <is>
          <t>VÄSTERNORRLANDS LÄN</t>
        </is>
      </c>
      <c r="E1466" t="inlineStr">
        <is>
          <t>ÅNGE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46255-2023</t>
        </is>
      </c>
      <c r="B1467" s="1" t="n">
        <v>45196</v>
      </c>
      <c r="C1467" s="1" t="n">
        <v>45579</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47324-2023</t>
        </is>
      </c>
      <c r="B1468" s="1" t="n">
        <v>45196</v>
      </c>
      <c r="C1468" s="1" t="n">
        <v>45579</v>
      </c>
      <c r="D1468" t="inlineStr">
        <is>
          <t>VÄSTERNORRLANDS LÄN</t>
        </is>
      </c>
      <c r="E1468" t="inlineStr">
        <is>
          <t>ÅNGE</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46211-2023</t>
        </is>
      </c>
      <c r="B1469" s="1" t="n">
        <v>45196</v>
      </c>
      <c r="C1469" s="1" t="n">
        <v>45579</v>
      </c>
      <c r="D1469" t="inlineStr">
        <is>
          <t>VÄSTERNORRLANDS LÄN</t>
        </is>
      </c>
      <c r="E1469" t="inlineStr">
        <is>
          <t>ÅNGE</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45579</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45579</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45579</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45579</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45579</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45579</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45579</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45579</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45579</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45579</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45579</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45579</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45579</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45579</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45579</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45579</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45579</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45579</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45579</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45579</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45579</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45579</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45579</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45579</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45579</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45579</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45579</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45579</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45579</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45579</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45579</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45579</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45579</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45579</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45579</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45579</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45579</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45579</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45579</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45579</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45579</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45579</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45579</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45579</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45579</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45579</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45579</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45579</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45579</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45579</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45579</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45579</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45579</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45579</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45579</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45579</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45579</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45579</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45579</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45579</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45579</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54614-2023</t>
        </is>
      </c>
      <c r="B1531" s="1" t="n">
        <v>45233</v>
      </c>
      <c r="C1531" s="1" t="n">
        <v>45579</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54602-2023</t>
        </is>
      </c>
      <c r="B1532" s="1" t="n">
        <v>45233</v>
      </c>
      <c r="C1532" s="1" t="n">
        <v>45579</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54566-2023</t>
        </is>
      </c>
      <c r="B1533" s="1" t="n">
        <v>45233</v>
      </c>
      <c r="C1533" s="1" t="n">
        <v>45579</v>
      </c>
      <c r="D1533" t="inlineStr">
        <is>
          <t>VÄSTERNORRLANDS LÄN</t>
        </is>
      </c>
      <c r="E1533" t="inlineStr">
        <is>
          <t>ÅNGE</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54677-2023</t>
        </is>
      </c>
      <c r="B1534" s="1" t="n">
        <v>45235</v>
      </c>
      <c r="C1534" s="1" t="n">
        <v>45579</v>
      </c>
      <c r="D1534" t="inlineStr">
        <is>
          <t>VÄSTERNORRLANDS LÄN</t>
        </is>
      </c>
      <c r="E1534" t="inlineStr">
        <is>
          <t>ÅNGE</t>
        </is>
      </c>
      <c r="G1534" t="n">
        <v>23.4</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45579</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45579</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45579</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45579</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45579</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45579</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45579</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45579</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45579</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45579</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45579</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45579</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45579</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45579</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45579</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45579</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45579</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45579</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45579</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45579</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45579</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45579</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45579</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45579</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45579</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45579</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45579</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45579</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45579</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45579</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45579</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45579</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45579</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45579</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45579</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45579</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45579</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45579</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45579</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45579</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45579</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45579</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45579</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45579</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60005-2023</t>
        </is>
      </c>
      <c r="B1579" s="1" t="n">
        <v>45258</v>
      </c>
      <c r="C1579" s="1" t="n">
        <v>45579</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45579</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45579</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45579</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45579</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60209-2023</t>
        </is>
      </c>
      <c r="B1584" s="1" t="n">
        <v>45257</v>
      </c>
      <c r="C1584" s="1" t="n">
        <v>45579</v>
      </c>
      <c r="D1584" t="inlineStr">
        <is>
          <t>VÄSTERNORRLANDS LÄN</t>
        </is>
      </c>
      <c r="E1584" t="inlineStr">
        <is>
          <t>ÅNGE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45579</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45579</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45579</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45579</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45579</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45579</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45579</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45579</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45579</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45579</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45579</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45579</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45579</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45579</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45579</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45579</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45579</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45579</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45579</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45579</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45579</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45579</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63531-2023</t>
        </is>
      </c>
      <c r="B1607" s="1" t="n">
        <v>45274</v>
      </c>
      <c r="C1607" s="1" t="n">
        <v>45579</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63530-2023</t>
        </is>
      </c>
      <c r="B1608" s="1" t="n">
        <v>45274</v>
      </c>
      <c r="C1608" s="1" t="n">
        <v>45579</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45579</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45579</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45579</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45579</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45579</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64523-2023</t>
        </is>
      </c>
      <c r="B1614" s="1" t="n">
        <v>45281</v>
      </c>
      <c r="C1614" s="1" t="n">
        <v>45579</v>
      </c>
      <c r="D1614" t="inlineStr">
        <is>
          <t>VÄSTERNORRLANDS LÄN</t>
        </is>
      </c>
      <c r="E1614" t="inlineStr">
        <is>
          <t>ÅNGE</t>
        </is>
      </c>
      <c r="G1614" t="n">
        <v>62.6</v>
      </c>
      <c r="H1614" t="n">
        <v>0</v>
      </c>
      <c r="I1614" t="n">
        <v>0</v>
      </c>
      <c r="J1614" t="n">
        <v>0</v>
      </c>
      <c r="K1614" t="n">
        <v>0</v>
      </c>
      <c r="L1614" t="n">
        <v>0</v>
      </c>
      <c r="M1614" t="n">
        <v>0</v>
      </c>
      <c r="N1614" t="n">
        <v>0</v>
      </c>
      <c r="O1614" t="n">
        <v>0</v>
      </c>
      <c r="P1614" t="n">
        <v>0</v>
      </c>
      <c r="Q1614" t="n">
        <v>0</v>
      </c>
      <c r="R1614" s="2" t="inlineStr"/>
    </row>
    <row r="1615" ht="15" customHeight="1">
      <c r="A1615" t="inlineStr">
        <is>
          <t>A 64946-2023</t>
        </is>
      </c>
      <c r="B1615" s="1" t="n">
        <v>45282</v>
      </c>
      <c r="C1615" s="1" t="n">
        <v>45579</v>
      </c>
      <c r="D1615" t="inlineStr">
        <is>
          <t>VÄSTERNORRLANDS LÄN</t>
        </is>
      </c>
      <c r="E1615" t="inlineStr">
        <is>
          <t>ÅNGE</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64950-2023</t>
        </is>
      </c>
      <c r="B1616" s="1" t="n">
        <v>45282</v>
      </c>
      <c r="C1616" s="1" t="n">
        <v>45579</v>
      </c>
      <c r="D1616" t="inlineStr">
        <is>
          <t>VÄSTERNORRLANDS LÄN</t>
        </is>
      </c>
      <c r="E1616" t="inlineStr">
        <is>
          <t>ÅNGE</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64947-2023</t>
        </is>
      </c>
      <c r="B1617" s="1" t="n">
        <v>45282</v>
      </c>
      <c r="C1617" s="1" t="n">
        <v>45579</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64945-2023</t>
        </is>
      </c>
      <c r="B1618" s="1" t="n">
        <v>45282</v>
      </c>
      <c r="C1618" s="1" t="n">
        <v>45579</v>
      </c>
      <c r="D1618" t="inlineStr">
        <is>
          <t>VÄSTERNORRLANDS LÄN</t>
        </is>
      </c>
      <c r="E1618" t="inlineStr">
        <is>
          <t>ÅNGE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65021-2023</t>
        </is>
      </c>
      <c r="B1619" s="1" t="n">
        <v>45287</v>
      </c>
      <c r="C1619" s="1" t="n">
        <v>45579</v>
      </c>
      <c r="D1619" t="inlineStr">
        <is>
          <t>VÄSTERNORRLANDS LÄN</t>
        </is>
      </c>
      <c r="E1619" t="inlineStr">
        <is>
          <t>ÅNGE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213-2024</t>
        </is>
      </c>
      <c r="B1620" s="1" t="n">
        <v>45293</v>
      </c>
      <c r="C1620" s="1" t="n">
        <v>45579</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253-2024</t>
        </is>
      </c>
      <c r="B1621" s="1" t="n">
        <v>45294</v>
      </c>
      <c r="C1621" s="1" t="n">
        <v>45579</v>
      </c>
      <c r="D1621" t="inlineStr">
        <is>
          <t>VÄSTERNORRLANDS LÄN</t>
        </is>
      </c>
      <c r="E1621" t="inlineStr">
        <is>
          <t>ÅNGE</t>
        </is>
      </c>
      <c r="F1621" t="inlineStr">
        <is>
          <t>SCA</t>
        </is>
      </c>
      <c r="G1621" t="n">
        <v>54.6</v>
      </c>
      <c r="H1621" t="n">
        <v>0</v>
      </c>
      <c r="I1621" t="n">
        <v>0</v>
      </c>
      <c r="J1621" t="n">
        <v>0</v>
      </c>
      <c r="K1621" t="n">
        <v>0</v>
      </c>
      <c r="L1621" t="n">
        <v>0</v>
      </c>
      <c r="M1621" t="n">
        <v>0</v>
      </c>
      <c r="N1621" t="n">
        <v>0</v>
      </c>
      <c r="O1621" t="n">
        <v>0</v>
      </c>
      <c r="P1621" t="n">
        <v>0</v>
      </c>
      <c r="Q1621" t="n">
        <v>0</v>
      </c>
      <c r="R1621" s="2" t="inlineStr"/>
    </row>
    <row r="1622" ht="15" customHeight="1">
      <c r="A1622" t="inlineStr">
        <is>
          <t>A 251-2024</t>
        </is>
      </c>
      <c r="B1622" s="1" t="n">
        <v>45294</v>
      </c>
      <c r="C1622" s="1" t="n">
        <v>45579</v>
      </c>
      <c r="D1622" t="inlineStr">
        <is>
          <t>VÄSTERNORRLANDS LÄN</t>
        </is>
      </c>
      <c r="E1622" t="inlineStr">
        <is>
          <t>ÅNGE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256-2024</t>
        </is>
      </c>
      <c r="B1623" s="1" t="n">
        <v>45295</v>
      </c>
      <c r="C1623" s="1" t="n">
        <v>45579</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405-2024</t>
        </is>
      </c>
      <c r="B1624" s="1" t="n">
        <v>45296</v>
      </c>
      <c r="C1624" s="1" t="n">
        <v>45579</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741-2024</t>
        </is>
      </c>
      <c r="B1625" s="1" t="n">
        <v>45300</v>
      </c>
      <c r="C1625" s="1" t="n">
        <v>45579</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832-2024</t>
        </is>
      </c>
      <c r="B1626" s="1" t="n">
        <v>45300</v>
      </c>
      <c r="C1626" s="1" t="n">
        <v>45579</v>
      </c>
      <c r="D1626" t="inlineStr">
        <is>
          <t>VÄSTERNORRLANDS LÄN</t>
        </is>
      </c>
      <c r="E1626" t="inlineStr">
        <is>
          <t>ÅNGE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1030-2024</t>
        </is>
      </c>
      <c r="B1627" s="1" t="n">
        <v>45301</v>
      </c>
      <c r="C1627" s="1" t="n">
        <v>45579</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1524-2024</t>
        </is>
      </c>
      <c r="B1628" s="1" t="n">
        <v>45306</v>
      </c>
      <c r="C1628" s="1" t="n">
        <v>45579</v>
      </c>
      <c r="D1628" t="inlineStr">
        <is>
          <t>VÄSTERNORRLANDS LÄN</t>
        </is>
      </c>
      <c r="E1628" t="inlineStr">
        <is>
          <t>ÅNGE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1886-2024</t>
        </is>
      </c>
      <c r="B1629" s="1" t="n">
        <v>45308</v>
      </c>
      <c r="C1629" s="1" t="n">
        <v>45579</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2060-2024</t>
        </is>
      </c>
      <c r="B1630" s="1" t="n">
        <v>45309</v>
      </c>
      <c r="C1630" s="1" t="n">
        <v>45579</v>
      </c>
      <c r="D1630" t="inlineStr">
        <is>
          <t>VÄSTERNORRLANDS LÄN</t>
        </is>
      </c>
      <c r="E1630" t="inlineStr">
        <is>
          <t>ÅNGE</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2124-2024</t>
        </is>
      </c>
      <c r="B1631" s="1" t="n">
        <v>45309</v>
      </c>
      <c r="C1631" s="1" t="n">
        <v>45579</v>
      </c>
      <c r="D1631" t="inlineStr">
        <is>
          <t>VÄSTERNORRLANDS LÄN</t>
        </is>
      </c>
      <c r="E1631" t="inlineStr">
        <is>
          <t>ÅNGE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2121-2024</t>
        </is>
      </c>
      <c r="B1632" s="1" t="n">
        <v>45309</v>
      </c>
      <c r="C1632" s="1" t="n">
        <v>45579</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2372-2024</t>
        </is>
      </c>
      <c r="B1633" s="1" t="n">
        <v>45310</v>
      </c>
      <c r="C1633" s="1" t="n">
        <v>45579</v>
      </c>
      <c r="D1633" t="inlineStr">
        <is>
          <t>VÄSTERNORRLANDS LÄN</t>
        </is>
      </c>
      <c r="E1633" t="inlineStr">
        <is>
          <t>ÅNGE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2365-2024</t>
        </is>
      </c>
      <c r="B1634" s="1" t="n">
        <v>45310</v>
      </c>
      <c r="C1634" s="1" t="n">
        <v>45579</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2432-2024</t>
        </is>
      </c>
      <c r="B1635" s="1" t="n">
        <v>45310</v>
      </c>
      <c r="C1635" s="1" t="n">
        <v>45579</v>
      </c>
      <c r="D1635" t="inlineStr">
        <is>
          <t>VÄSTERNORRLANDS LÄN</t>
        </is>
      </c>
      <c r="E1635" t="inlineStr">
        <is>
          <t>ÅNGE</t>
        </is>
      </c>
      <c r="F1635" t="inlineStr">
        <is>
          <t>SCA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2415-2024</t>
        </is>
      </c>
      <c r="B1636" s="1" t="n">
        <v>45310</v>
      </c>
      <c r="C1636" s="1" t="n">
        <v>45579</v>
      </c>
      <c r="D1636" t="inlineStr">
        <is>
          <t>VÄSTERNORRLANDS LÄN</t>
        </is>
      </c>
      <c r="E1636" t="inlineStr">
        <is>
          <t>ÅNGE</t>
        </is>
      </c>
      <c r="F1636" t="inlineStr">
        <is>
          <t>Kyrkan</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2436-2024</t>
        </is>
      </c>
      <c r="B1637" s="1" t="n">
        <v>45310</v>
      </c>
      <c r="C1637" s="1" t="n">
        <v>45579</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2435-2024</t>
        </is>
      </c>
      <c r="B1638" s="1" t="n">
        <v>45310</v>
      </c>
      <c r="C1638" s="1" t="n">
        <v>45579</v>
      </c>
      <c r="D1638" t="inlineStr">
        <is>
          <t>VÄSTERNORRLANDS LÄN</t>
        </is>
      </c>
      <c r="E1638" t="inlineStr">
        <is>
          <t>ÅNGE</t>
        </is>
      </c>
      <c r="F1638" t="inlineStr">
        <is>
          <t>SCA</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2434-2024</t>
        </is>
      </c>
      <c r="B1639" s="1" t="n">
        <v>45310</v>
      </c>
      <c r="C1639" s="1" t="n">
        <v>45579</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2433-2024</t>
        </is>
      </c>
      <c r="B1640" s="1" t="n">
        <v>45310</v>
      </c>
      <c r="C1640" s="1" t="n">
        <v>45579</v>
      </c>
      <c r="D1640" t="inlineStr">
        <is>
          <t>VÄSTERNORRLANDS LÄN</t>
        </is>
      </c>
      <c r="E1640" t="inlineStr">
        <is>
          <t>ÅNGE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2451-2024</t>
        </is>
      </c>
      <c r="B1641" s="1" t="n">
        <v>45312</v>
      </c>
      <c r="C1641" s="1" t="n">
        <v>45579</v>
      </c>
      <c r="D1641" t="inlineStr">
        <is>
          <t>VÄSTERNORRLANDS LÄN</t>
        </is>
      </c>
      <c r="E1641" t="inlineStr">
        <is>
          <t>ÅNGE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2788-2024</t>
        </is>
      </c>
      <c r="B1642" s="1" t="n">
        <v>45314</v>
      </c>
      <c r="C1642" s="1" t="n">
        <v>45579</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3133-2024</t>
        </is>
      </c>
      <c r="B1643" s="1" t="n">
        <v>45316</v>
      </c>
      <c r="C1643" s="1" t="n">
        <v>45579</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3238-2024</t>
        </is>
      </c>
      <c r="B1644" s="1" t="n">
        <v>45316</v>
      </c>
      <c r="C1644" s="1" t="n">
        <v>45579</v>
      </c>
      <c r="D1644" t="inlineStr">
        <is>
          <t>VÄSTERNORRLANDS LÄN</t>
        </is>
      </c>
      <c r="E1644" t="inlineStr">
        <is>
          <t>ÅNGE</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3253-2024</t>
        </is>
      </c>
      <c r="B1645" s="1" t="n">
        <v>45316</v>
      </c>
      <c r="C1645" s="1" t="n">
        <v>45579</v>
      </c>
      <c r="D1645" t="inlineStr">
        <is>
          <t>VÄSTERNORRLANDS LÄN</t>
        </is>
      </c>
      <c r="E1645" t="inlineStr">
        <is>
          <t>ÅNGE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3249-2024</t>
        </is>
      </c>
      <c r="B1646" s="1" t="n">
        <v>45316</v>
      </c>
      <c r="C1646" s="1" t="n">
        <v>45579</v>
      </c>
      <c r="D1646" t="inlineStr">
        <is>
          <t>VÄSTERNORRLANDS LÄN</t>
        </is>
      </c>
      <c r="E1646" t="inlineStr">
        <is>
          <t>ÅNGE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3256-2024</t>
        </is>
      </c>
      <c r="B1647" s="1" t="n">
        <v>45316</v>
      </c>
      <c r="C1647" s="1" t="n">
        <v>45579</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3347-2024</t>
        </is>
      </c>
      <c r="B1648" s="1" t="n">
        <v>45317</v>
      </c>
      <c r="C1648" s="1" t="n">
        <v>45579</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3354-2024</t>
        </is>
      </c>
      <c r="B1649" s="1" t="n">
        <v>45317</v>
      </c>
      <c r="C1649" s="1" t="n">
        <v>45579</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3357-2024</t>
        </is>
      </c>
      <c r="B1650" s="1" t="n">
        <v>45317</v>
      </c>
      <c r="C1650" s="1" t="n">
        <v>45579</v>
      </c>
      <c r="D1650" t="inlineStr">
        <is>
          <t>VÄSTERNORRLANDS LÄN</t>
        </is>
      </c>
      <c r="E1650" t="inlineStr">
        <is>
          <t>ÅNGE</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3523-2024</t>
        </is>
      </c>
      <c r="B1651" s="1" t="n">
        <v>45320</v>
      </c>
      <c r="C1651" s="1" t="n">
        <v>45579</v>
      </c>
      <c r="D1651" t="inlineStr">
        <is>
          <t>VÄSTERNORRLANDS LÄN</t>
        </is>
      </c>
      <c r="E1651" t="inlineStr">
        <is>
          <t>ÅNGE</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3532-2024</t>
        </is>
      </c>
      <c r="B1652" s="1" t="n">
        <v>45320</v>
      </c>
      <c r="C1652" s="1" t="n">
        <v>45579</v>
      </c>
      <c r="D1652" t="inlineStr">
        <is>
          <t>VÄSTERNORRLANDS LÄN</t>
        </is>
      </c>
      <c r="E1652" t="inlineStr">
        <is>
          <t>ÅNGE</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3580-2024</t>
        </is>
      </c>
      <c r="B1653" s="1" t="n">
        <v>45320</v>
      </c>
      <c r="C1653" s="1" t="n">
        <v>45579</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3624-2024</t>
        </is>
      </c>
      <c r="B1654" s="1" t="n">
        <v>45320</v>
      </c>
      <c r="C1654" s="1" t="n">
        <v>45579</v>
      </c>
      <c r="D1654" t="inlineStr">
        <is>
          <t>VÄSTERNORRLANDS LÄN</t>
        </is>
      </c>
      <c r="E1654" t="inlineStr">
        <is>
          <t>ÅNGE</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3996-2024</t>
        </is>
      </c>
      <c r="B1655" s="1" t="n">
        <v>45322</v>
      </c>
      <c r="C1655" s="1" t="n">
        <v>45579</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4142-2024</t>
        </is>
      </c>
      <c r="B1656" s="1" t="n">
        <v>45323</v>
      </c>
      <c r="C1656" s="1" t="n">
        <v>45579</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4140-2024</t>
        </is>
      </c>
      <c r="B1657" s="1" t="n">
        <v>45323</v>
      </c>
      <c r="C1657" s="1" t="n">
        <v>45579</v>
      </c>
      <c r="D1657" t="inlineStr">
        <is>
          <t>VÄSTERNORRLANDS LÄN</t>
        </is>
      </c>
      <c r="E1657" t="inlineStr">
        <is>
          <t>ÅNGE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4166-2024</t>
        </is>
      </c>
      <c r="B1658" s="1" t="n">
        <v>45323</v>
      </c>
      <c r="C1658" s="1" t="n">
        <v>45579</v>
      </c>
      <c r="D1658" t="inlineStr">
        <is>
          <t>VÄSTERNORRLANDS LÄN</t>
        </is>
      </c>
      <c r="E1658" t="inlineStr">
        <is>
          <t>ÅNGE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4165-2024</t>
        </is>
      </c>
      <c r="B1659" s="1" t="n">
        <v>45323</v>
      </c>
      <c r="C1659" s="1" t="n">
        <v>45579</v>
      </c>
      <c r="D1659" t="inlineStr">
        <is>
          <t>VÄSTERNORRLANDS LÄN</t>
        </is>
      </c>
      <c r="E1659" t="inlineStr">
        <is>
          <t>ÅNGE</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4169-2024</t>
        </is>
      </c>
      <c r="B1660" s="1" t="n">
        <v>45323</v>
      </c>
      <c r="C1660" s="1" t="n">
        <v>45579</v>
      </c>
      <c r="D1660" t="inlineStr">
        <is>
          <t>VÄSTERNORRLANDS LÄN</t>
        </is>
      </c>
      <c r="E1660" t="inlineStr">
        <is>
          <t>ÅNGE</t>
        </is>
      </c>
      <c r="F1660" t="inlineStr">
        <is>
          <t>SCA</t>
        </is>
      </c>
      <c r="G1660" t="n">
        <v>23.2</v>
      </c>
      <c r="H1660" t="n">
        <v>0</v>
      </c>
      <c r="I1660" t="n">
        <v>0</v>
      </c>
      <c r="J1660" t="n">
        <v>0</v>
      </c>
      <c r="K1660" t="n">
        <v>0</v>
      </c>
      <c r="L1660" t="n">
        <v>0</v>
      </c>
      <c r="M1660" t="n">
        <v>0</v>
      </c>
      <c r="N1660" t="n">
        <v>0</v>
      </c>
      <c r="O1660" t="n">
        <v>0</v>
      </c>
      <c r="P1660" t="n">
        <v>0</v>
      </c>
      <c r="Q1660" t="n">
        <v>0</v>
      </c>
      <c r="R1660" s="2" t="inlineStr"/>
    </row>
    <row r="1661" ht="15" customHeight="1">
      <c r="A1661" t="inlineStr">
        <is>
          <t>A 4361-2024</t>
        </is>
      </c>
      <c r="B1661" s="1" t="n">
        <v>45325</v>
      </c>
      <c r="C1661" s="1" t="n">
        <v>45579</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4589-2024</t>
        </is>
      </c>
      <c r="B1662" s="1" t="n">
        <v>45327</v>
      </c>
      <c r="C1662" s="1" t="n">
        <v>45579</v>
      </c>
      <c r="D1662" t="inlineStr">
        <is>
          <t>VÄSTERNORRLANDS LÄN</t>
        </is>
      </c>
      <c r="E1662" t="inlineStr">
        <is>
          <t>ÅNGE</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4810-2024</t>
        </is>
      </c>
      <c r="B1663" s="1" t="n">
        <v>45328</v>
      </c>
      <c r="C1663" s="1" t="n">
        <v>45579</v>
      </c>
      <c r="D1663" t="inlineStr">
        <is>
          <t>VÄSTERNORRLANDS LÄN</t>
        </is>
      </c>
      <c r="E1663" t="inlineStr">
        <is>
          <t>ÅNGE</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4807-2024</t>
        </is>
      </c>
      <c r="B1664" s="1" t="n">
        <v>45328</v>
      </c>
      <c r="C1664" s="1" t="n">
        <v>45579</v>
      </c>
      <c r="D1664" t="inlineStr">
        <is>
          <t>VÄSTERNORRLANDS LÄN</t>
        </is>
      </c>
      <c r="E1664" t="inlineStr">
        <is>
          <t>ÅNGE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4904-2024</t>
        </is>
      </c>
      <c r="B1665" s="1" t="n">
        <v>45329</v>
      </c>
      <c r="C1665" s="1" t="n">
        <v>45579</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4898-2024</t>
        </is>
      </c>
      <c r="B1666" s="1" t="n">
        <v>45329</v>
      </c>
      <c r="C1666" s="1" t="n">
        <v>45579</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5268-2024</t>
        </is>
      </c>
      <c r="B1667" s="1" t="n">
        <v>45330</v>
      </c>
      <c r="C1667" s="1" t="n">
        <v>45579</v>
      </c>
      <c r="D1667" t="inlineStr">
        <is>
          <t>VÄSTERNORRLANDS LÄN</t>
        </is>
      </c>
      <c r="E1667" t="inlineStr">
        <is>
          <t>ÅNGE</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5433-2024</t>
        </is>
      </c>
      <c r="B1668" s="1" t="n">
        <v>45331</v>
      </c>
      <c r="C1668" s="1" t="n">
        <v>45579</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5456-2024</t>
        </is>
      </c>
      <c r="B1669" s="1" t="n">
        <v>45331</v>
      </c>
      <c r="C1669" s="1" t="n">
        <v>45579</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5613-2024</t>
        </is>
      </c>
      <c r="B1670" s="1" t="n">
        <v>45334</v>
      </c>
      <c r="C1670" s="1" t="n">
        <v>45579</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5647-2024</t>
        </is>
      </c>
      <c r="B1671" s="1" t="n">
        <v>45334</v>
      </c>
      <c r="C1671" s="1" t="n">
        <v>45579</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5659-2024</t>
        </is>
      </c>
      <c r="B1672" s="1" t="n">
        <v>45334</v>
      </c>
      <c r="C1672" s="1" t="n">
        <v>45579</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6028-2024</t>
        </is>
      </c>
      <c r="B1673" s="1" t="n">
        <v>45336</v>
      </c>
      <c r="C1673" s="1" t="n">
        <v>45579</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6462-2024</t>
        </is>
      </c>
      <c r="B1674" s="1" t="n">
        <v>45338</v>
      </c>
      <c r="C1674" s="1" t="n">
        <v>45579</v>
      </c>
      <c r="D1674" t="inlineStr">
        <is>
          <t>VÄSTERNORRLANDS LÄN</t>
        </is>
      </c>
      <c r="E1674" t="inlineStr">
        <is>
          <t>ÅNGE</t>
        </is>
      </c>
      <c r="F1674" t="inlineStr">
        <is>
          <t>Kyrkan</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6685-2024</t>
        </is>
      </c>
      <c r="B1675" s="1" t="n">
        <v>45341</v>
      </c>
      <c r="C1675" s="1" t="n">
        <v>45579</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6689-2024</t>
        </is>
      </c>
      <c r="B1676" s="1" t="n">
        <v>45341</v>
      </c>
      <c r="C1676" s="1" t="n">
        <v>45579</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6686-2024</t>
        </is>
      </c>
      <c r="B1677" s="1" t="n">
        <v>45341</v>
      </c>
      <c r="C1677" s="1" t="n">
        <v>45579</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6690-2024</t>
        </is>
      </c>
      <c r="B1678" s="1" t="n">
        <v>45341</v>
      </c>
      <c r="C1678" s="1" t="n">
        <v>45579</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6680-2024</t>
        </is>
      </c>
      <c r="B1679" s="1" t="n">
        <v>45341</v>
      </c>
      <c r="C1679" s="1" t="n">
        <v>45579</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6684-2024</t>
        </is>
      </c>
      <c r="B1680" s="1" t="n">
        <v>45341</v>
      </c>
      <c r="C1680" s="1" t="n">
        <v>45579</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6702-2024</t>
        </is>
      </c>
      <c r="B1681" s="1" t="n">
        <v>45341</v>
      </c>
      <c r="C1681" s="1" t="n">
        <v>45579</v>
      </c>
      <c r="D1681" t="inlineStr">
        <is>
          <t>VÄSTERNORRLANDS LÄN</t>
        </is>
      </c>
      <c r="E1681" t="inlineStr">
        <is>
          <t>ÅNGE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6701-2024</t>
        </is>
      </c>
      <c r="B1682" s="1" t="n">
        <v>45341</v>
      </c>
      <c r="C1682" s="1" t="n">
        <v>45579</v>
      </c>
      <c r="D1682" t="inlineStr">
        <is>
          <t>VÄSTERNORRLANDS LÄN</t>
        </is>
      </c>
      <c r="E1682" t="inlineStr">
        <is>
          <t>ÅNGE</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6691-2024</t>
        </is>
      </c>
      <c r="B1683" s="1" t="n">
        <v>45341</v>
      </c>
      <c r="C1683" s="1" t="n">
        <v>45579</v>
      </c>
      <c r="D1683" t="inlineStr">
        <is>
          <t>VÄSTERNORRLANDS LÄN</t>
        </is>
      </c>
      <c r="E1683" t="inlineStr">
        <is>
          <t>ÅNGE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6735-2024</t>
        </is>
      </c>
      <c r="B1684" s="1" t="n">
        <v>45342</v>
      </c>
      <c r="C1684" s="1" t="n">
        <v>45579</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6892-2024</t>
        </is>
      </c>
      <c r="B1685" s="1" t="n">
        <v>45342</v>
      </c>
      <c r="C1685" s="1" t="n">
        <v>45579</v>
      </c>
      <c r="D1685" t="inlineStr">
        <is>
          <t>VÄSTERNORRLANDS LÄN</t>
        </is>
      </c>
      <c r="E1685" t="inlineStr">
        <is>
          <t>ÅNGE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6995-2024</t>
        </is>
      </c>
      <c r="B1686" s="1" t="n">
        <v>45343</v>
      </c>
      <c r="C1686" s="1" t="n">
        <v>45579</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7110-2024</t>
        </is>
      </c>
      <c r="B1687" s="1" t="n">
        <v>45343</v>
      </c>
      <c r="C1687" s="1" t="n">
        <v>45579</v>
      </c>
      <c r="D1687" t="inlineStr">
        <is>
          <t>VÄSTERNORRLANDS LÄN</t>
        </is>
      </c>
      <c r="E1687" t="inlineStr">
        <is>
          <t>ÅNGE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7300-2024</t>
        </is>
      </c>
      <c r="B1688" s="1" t="n">
        <v>45344</v>
      </c>
      <c r="C1688" s="1" t="n">
        <v>45579</v>
      </c>
      <c r="D1688" t="inlineStr">
        <is>
          <t>VÄSTERNORRLANDS LÄN</t>
        </is>
      </c>
      <c r="E1688" t="inlineStr">
        <is>
          <t>ÅNGE</t>
        </is>
      </c>
      <c r="F1688" t="inlineStr">
        <is>
          <t>SCA</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7692-2024</t>
        </is>
      </c>
      <c r="B1689" s="1" t="n">
        <v>45349</v>
      </c>
      <c r="C1689" s="1" t="n">
        <v>45579</v>
      </c>
      <c r="D1689" t="inlineStr">
        <is>
          <t>VÄSTERNORRLANDS LÄN</t>
        </is>
      </c>
      <c r="E1689" t="inlineStr">
        <is>
          <t>ÅNGE</t>
        </is>
      </c>
      <c r="F1689" t="inlineStr">
        <is>
          <t>SCA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8025-2024</t>
        </is>
      </c>
      <c r="B1690" s="1" t="n">
        <v>45350</v>
      </c>
      <c r="C1690" s="1" t="n">
        <v>45579</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8226-2024</t>
        </is>
      </c>
      <c r="B1691" s="1" t="n">
        <v>45351</v>
      </c>
      <c r="C1691" s="1" t="n">
        <v>45579</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8426-2024</t>
        </is>
      </c>
      <c r="B1692" s="1" t="n">
        <v>45353</v>
      </c>
      <c r="C1692" s="1" t="n">
        <v>45579</v>
      </c>
      <c r="D1692" t="inlineStr">
        <is>
          <t>VÄSTERNORRLANDS LÄN</t>
        </is>
      </c>
      <c r="E1692" t="inlineStr">
        <is>
          <t>ÅNGE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8427-2024</t>
        </is>
      </c>
      <c r="B1693" s="1" t="n">
        <v>45353</v>
      </c>
      <c r="C1693" s="1" t="n">
        <v>45579</v>
      </c>
      <c r="D1693" t="inlineStr">
        <is>
          <t>VÄSTERNORRLANDS LÄN</t>
        </is>
      </c>
      <c r="E1693" t="inlineStr">
        <is>
          <t>ÅNGE</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8413-2024</t>
        </is>
      </c>
      <c r="B1694" s="1" t="n">
        <v>45352</v>
      </c>
      <c r="C1694" s="1" t="n">
        <v>45579</v>
      </c>
      <c r="D1694" t="inlineStr">
        <is>
          <t>VÄSTERNORRLANDS LÄN</t>
        </is>
      </c>
      <c r="E1694" t="inlineStr">
        <is>
          <t>ÅNGE</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8425-2024</t>
        </is>
      </c>
      <c r="B1695" s="1" t="n">
        <v>45353</v>
      </c>
      <c r="C1695" s="1" t="n">
        <v>45579</v>
      </c>
      <c r="D1695" t="inlineStr">
        <is>
          <t>VÄSTERNORRLANDS LÄN</t>
        </is>
      </c>
      <c r="E1695" t="inlineStr">
        <is>
          <t>ÅNGE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8435-2024</t>
        </is>
      </c>
      <c r="B1696" s="1" t="n">
        <v>45353</v>
      </c>
      <c r="C1696" s="1" t="n">
        <v>45579</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8647-2024</t>
        </is>
      </c>
      <c r="B1697" s="1" t="n">
        <v>45356</v>
      </c>
      <c r="C1697" s="1" t="n">
        <v>45579</v>
      </c>
      <c r="D1697" t="inlineStr">
        <is>
          <t>VÄSTERNORRLANDS LÄN</t>
        </is>
      </c>
      <c r="E1697" t="inlineStr">
        <is>
          <t>ÅNGE</t>
        </is>
      </c>
      <c r="F1697" t="inlineStr">
        <is>
          <t>SCA</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8651-2024</t>
        </is>
      </c>
      <c r="B1698" s="1" t="n">
        <v>45356</v>
      </c>
      <c r="C1698" s="1" t="n">
        <v>45579</v>
      </c>
      <c r="D1698" t="inlineStr">
        <is>
          <t>VÄSTERNORRLANDS LÄN</t>
        </is>
      </c>
      <c r="E1698" t="inlineStr">
        <is>
          <t>ÅNGE</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8650-2024</t>
        </is>
      </c>
      <c r="B1699" s="1" t="n">
        <v>45356</v>
      </c>
      <c r="C1699" s="1" t="n">
        <v>45579</v>
      </c>
      <c r="D1699" t="inlineStr">
        <is>
          <t>VÄSTERNORRLANDS LÄN</t>
        </is>
      </c>
      <c r="E1699" t="inlineStr">
        <is>
          <t>ÅNGE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9116-2024</t>
        </is>
      </c>
      <c r="B1700" s="1" t="n">
        <v>45358</v>
      </c>
      <c r="C1700" s="1" t="n">
        <v>45579</v>
      </c>
      <c r="D1700" t="inlineStr">
        <is>
          <t>VÄSTERNORRLANDS LÄN</t>
        </is>
      </c>
      <c r="E1700" t="inlineStr">
        <is>
          <t>ÅNGE</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9117-2024</t>
        </is>
      </c>
      <c r="B1701" s="1" t="n">
        <v>45358</v>
      </c>
      <c r="C1701" s="1" t="n">
        <v>45579</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9115-2024</t>
        </is>
      </c>
      <c r="B1702" s="1" t="n">
        <v>45358</v>
      </c>
      <c r="C1702" s="1" t="n">
        <v>45579</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9345-2024</t>
        </is>
      </c>
      <c r="B1703" s="1" t="n">
        <v>45359</v>
      </c>
      <c r="C1703" s="1" t="n">
        <v>45579</v>
      </c>
      <c r="D1703" t="inlineStr">
        <is>
          <t>VÄSTERNORRLANDS LÄN</t>
        </is>
      </c>
      <c r="E1703" t="inlineStr">
        <is>
          <t>ÅNGE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9344-2024</t>
        </is>
      </c>
      <c r="B1704" s="1" t="n">
        <v>45359</v>
      </c>
      <c r="C1704" s="1" t="n">
        <v>45579</v>
      </c>
      <c r="D1704" t="inlineStr">
        <is>
          <t>VÄSTERNORRLANDS LÄN</t>
        </is>
      </c>
      <c r="E1704" t="inlineStr">
        <is>
          <t>ÅNGE</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9475-2024</t>
        </is>
      </c>
      <c r="B1705" s="1" t="n">
        <v>45359</v>
      </c>
      <c r="C1705" s="1" t="n">
        <v>45579</v>
      </c>
      <c r="D1705" t="inlineStr">
        <is>
          <t>VÄSTERNORRLANDS LÄN</t>
        </is>
      </c>
      <c r="E1705" t="inlineStr">
        <is>
          <t>ÅNGE</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9567-2024</t>
        </is>
      </c>
      <c r="B1706" s="1" t="n">
        <v>45360</v>
      </c>
      <c r="C1706" s="1" t="n">
        <v>45579</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9568-2024</t>
        </is>
      </c>
      <c r="B1707" s="1" t="n">
        <v>45360</v>
      </c>
      <c r="C1707" s="1" t="n">
        <v>45579</v>
      </c>
      <c r="D1707" t="inlineStr">
        <is>
          <t>VÄSTERNORRLANDS LÄN</t>
        </is>
      </c>
      <c r="E1707" t="inlineStr">
        <is>
          <t>ÅNGE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9566-2024</t>
        </is>
      </c>
      <c r="B1708" s="1" t="n">
        <v>45360</v>
      </c>
      <c r="C1708" s="1" t="n">
        <v>45579</v>
      </c>
      <c r="D1708" t="inlineStr">
        <is>
          <t>VÄSTERNORRLANDS LÄN</t>
        </is>
      </c>
      <c r="E1708" t="inlineStr">
        <is>
          <t>ÅNGE</t>
        </is>
      </c>
      <c r="F1708" t="inlineStr">
        <is>
          <t>SCA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9759-2024</t>
        </is>
      </c>
      <c r="B1709" s="1" t="n">
        <v>45362</v>
      </c>
      <c r="C1709" s="1" t="n">
        <v>45579</v>
      </c>
      <c r="D1709" t="inlineStr">
        <is>
          <t>VÄSTERNORRLANDS LÄN</t>
        </is>
      </c>
      <c r="E1709" t="inlineStr">
        <is>
          <t>ÅNGE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10023-2024</t>
        </is>
      </c>
      <c r="B1710" s="1" t="n">
        <v>45364</v>
      </c>
      <c r="C1710" s="1" t="n">
        <v>45579</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10195-2024</t>
        </is>
      </c>
      <c r="B1711" s="1" t="n">
        <v>45364</v>
      </c>
      <c r="C1711" s="1" t="n">
        <v>45579</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10199-2024</t>
        </is>
      </c>
      <c r="B1712" s="1" t="n">
        <v>45364</v>
      </c>
      <c r="C1712" s="1" t="n">
        <v>45579</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10198-2024</t>
        </is>
      </c>
      <c r="B1713" s="1" t="n">
        <v>45364</v>
      </c>
      <c r="C1713" s="1" t="n">
        <v>45579</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10202-2024</t>
        </is>
      </c>
      <c r="B1714" s="1" t="n">
        <v>45364</v>
      </c>
      <c r="C1714" s="1" t="n">
        <v>45579</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10781-2024</t>
        </is>
      </c>
      <c r="B1715" s="1" t="n">
        <v>45369</v>
      </c>
      <c r="C1715" s="1" t="n">
        <v>45579</v>
      </c>
      <c r="D1715" t="inlineStr">
        <is>
          <t>VÄSTERNORRLANDS LÄN</t>
        </is>
      </c>
      <c r="E1715" t="inlineStr">
        <is>
          <t>ÅNGE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10878-2024</t>
        </is>
      </c>
      <c r="B1716" s="1" t="n">
        <v>45370</v>
      </c>
      <c r="C1716" s="1" t="n">
        <v>45579</v>
      </c>
      <c r="D1716" t="inlineStr">
        <is>
          <t>VÄSTERNORRLANDS LÄN</t>
        </is>
      </c>
      <c r="E1716" t="inlineStr">
        <is>
          <t>ÅNGE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10914-2024</t>
        </is>
      </c>
      <c r="B1717" s="1" t="n">
        <v>45370</v>
      </c>
      <c r="C1717" s="1" t="n">
        <v>45579</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10922-2024</t>
        </is>
      </c>
      <c r="B1718" s="1" t="n">
        <v>45370</v>
      </c>
      <c r="C1718" s="1" t="n">
        <v>45579</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10917-2024</t>
        </is>
      </c>
      <c r="B1719" s="1" t="n">
        <v>45370</v>
      </c>
      <c r="C1719" s="1" t="n">
        <v>45579</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10919-2024</t>
        </is>
      </c>
      <c r="B1720" s="1" t="n">
        <v>45370</v>
      </c>
      <c r="C1720" s="1" t="n">
        <v>45579</v>
      </c>
      <c r="D1720" t="inlineStr">
        <is>
          <t>VÄSTERNORRLANDS LÄN</t>
        </is>
      </c>
      <c r="E1720" t="inlineStr">
        <is>
          <t>ÅNGE</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11088-2024</t>
        </is>
      </c>
      <c r="B1721" s="1" t="n">
        <v>45370</v>
      </c>
      <c r="C1721" s="1" t="n">
        <v>45579</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11339-2024</t>
        </is>
      </c>
      <c r="B1722" s="1" t="n">
        <v>45372</v>
      </c>
      <c r="C1722" s="1" t="n">
        <v>45579</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11396-2024</t>
        </is>
      </c>
      <c r="B1723" s="1" t="n">
        <v>45372</v>
      </c>
      <c r="C1723" s="1" t="n">
        <v>45579</v>
      </c>
      <c r="D1723" t="inlineStr">
        <is>
          <t>VÄSTERNORRLANDS LÄN</t>
        </is>
      </c>
      <c r="E1723" t="inlineStr">
        <is>
          <t>ÅNGE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11548-2024</t>
        </is>
      </c>
      <c r="B1724" s="1" t="n">
        <v>45372</v>
      </c>
      <c r="C1724" s="1" t="n">
        <v>45579</v>
      </c>
      <c r="D1724" t="inlineStr">
        <is>
          <t>VÄSTERNORRLANDS LÄN</t>
        </is>
      </c>
      <c r="E1724" t="inlineStr">
        <is>
          <t>ÅNGE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11764-2024</t>
        </is>
      </c>
      <c r="B1725" s="1" t="n">
        <v>45373</v>
      </c>
      <c r="C1725" s="1" t="n">
        <v>45579</v>
      </c>
      <c r="D1725" t="inlineStr">
        <is>
          <t>VÄSTERNORRLANDS LÄN</t>
        </is>
      </c>
      <c r="E1725" t="inlineStr">
        <is>
          <t>ÅNGE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12123-2024</t>
        </is>
      </c>
      <c r="B1726" s="1" t="n">
        <v>45377</v>
      </c>
      <c r="C1726" s="1" t="n">
        <v>45579</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12581-2024</t>
        </is>
      </c>
      <c r="B1727" s="1" t="n">
        <v>45379</v>
      </c>
      <c r="C1727" s="1" t="n">
        <v>45579</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12794-2024</t>
        </is>
      </c>
      <c r="B1728" s="1" t="n">
        <v>45384</v>
      </c>
      <c r="C1728" s="1" t="n">
        <v>45579</v>
      </c>
      <c r="D1728" t="inlineStr">
        <is>
          <t>VÄSTERNORRLANDS LÄN</t>
        </is>
      </c>
      <c r="E1728" t="inlineStr">
        <is>
          <t>ÅNGE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13088-2024</t>
        </is>
      </c>
      <c r="B1729" s="1" t="n">
        <v>45385</v>
      </c>
      <c r="C1729" s="1" t="n">
        <v>45579</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13096-2024</t>
        </is>
      </c>
      <c r="B1730" s="1" t="n">
        <v>45385</v>
      </c>
      <c r="C1730" s="1" t="n">
        <v>45579</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13091-2024</t>
        </is>
      </c>
      <c r="B1731" s="1" t="n">
        <v>45385</v>
      </c>
      <c r="C1731" s="1" t="n">
        <v>45579</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13056-2024</t>
        </is>
      </c>
      <c r="B1732" s="1" t="n">
        <v>45385</v>
      </c>
      <c r="C1732" s="1" t="n">
        <v>45579</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13101-2024</t>
        </is>
      </c>
      <c r="B1733" s="1" t="n">
        <v>45385</v>
      </c>
      <c r="C1733" s="1" t="n">
        <v>45579</v>
      </c>
      <c r="D1733" t="inlineStr">
        <is>
          <t>VÄSTERNORRLANDS LÄN</t>
        </is>
      </c>
      <c r="E1733" t="inlineStr">
        <is>
          <t>ÅNGE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13128-2024</t>
        </is>
      </c>
      <c r="B1734" s="1" t="n">
        <v>45386</v>
      </c>
      <c r="C1734" s="1" t="n">
        <v>45579</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13759-2024</t>
        </is>
      </c>
      <c r="B1735" s="1" t="n">
        <v>45390</v>
      </c>
      <c r="C1735" s="1" t="n">
        <v>45579</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13761-2024</t>
        </is>
      </c>
      <c r="B1736" s="1" t="n">
        <v>45390</v>
      </c>
      <c r="C1736" s="1" t="n">
        <v>45579</v>
      </c>
      <c r="D1736" t="inlineStr">
        <is>
          <t>VÄSTERNORRLANDS LÄN</t>
        </is>
      </c>
      <c r="E1736" t="inlineStr">
        <is>
          <t>ÅNGE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13765-2024</t>
        </is>
      </c>
      <c r="B1737" s="1" t="n">
        <v>45390</v>
      </c>
      <c r="C1737" s="1" t="n">
        <v>45579</v>
      </c>
      <c r="D1737" t="inlineStr">
        <is>
          <t>VÄSTERNORRLANDS LÄN</t>
        </is>
      </c>
      <c r="E1737" t="inlineStr">
        <is>
          <t>ÅNGE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13769-2024</t>
        </is>
      </c>
      <c r="B1738" s="1" t="n">
        <v>45390</v>
      </c>
      <c r="C1738" s="1" t="n">
        <v>45579</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13773-2024</t>
        </is>
      </c>
      <c r="B1739" s="1" t="n">
        <v>45391</v>
      </c>
      <c r="C1739" s="1" t="n">
        <v>45579</v>
      </c>
      <c r="D1739" t="inlineStr">
        <is>
          <t>VÄSTERNORRLANDS LÄN</t>
        </is>
      </c>
      <c r="E1739" t="inlineStr">
        <is>
          <t>ÅNGE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13760-2024</t>
        </is>
      </c>
      <c r="B1740" s="1" t="n">
        <v>45390</v>
      </c>
      <c r="C1740" s="1" t="n">
        <v>45579</v>
      </c>
      <c r="D1740" t="inlineStr">
        <is>
          <t>VÄSTERNORRLANDS LÄN</t>
        </is>
      </c>
      <c r="E1740" t="inlineStr">
        <is>
          <t>ÅNGE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13764-2024</t>
        </is>
      </c>
      <c r="B1741" s="1" t="n">
        <v>45390</v>
      </c>
      <c r="C1741" s="1" t="n">
        <v>45579</v>
      </c>
      <c r="D1741" t="inlineStr">
        <is>
          <t>VÄSTERNORRLANDS LÄN</t>
        </is>
      </c>
      <c r="E1741" t="inlineStr">
        <is>
          <t>ÅNGE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13772-2024</t>
        </is>
      </c>
      <c r="B1742" s="1" t="n">
        <v>45391</v>
      </c>
      <c r="C1742" s="1" t="n">
        <v>45579</v>
      </c>
      <c r="D1742" t="inlineStr">
        <is>
          <t>VÄSTERNORRLANDS LÄN</t>
        </is>
      </c>
      <c r="E1742" t="inlineStr">
        <is>
          <t>ÅNGE</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13771-2024</t>
        </is>
      </c>
      <c r="B1743" s="1" t="n">
        <v>45391</v>
      </c>
      <c r="C1743" s="1" t="n">
        <v>45579</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14199-2024</t>
        </is>
      </c>
      <c r="B1744" s="1" t="n">
        <v>45393</v>
      </c>
      <c r="C1744" s="1" t="n">
        <v>45579</v>
      </c>
      <c r="D1744" t="inlineStr">
        <is>
          <t>VÄSTERNORRLANDS LÄN</t>
        </is>
      </c>
      <c r="E1744" t="inlineStr">
        <is>
          <t>ÅNGE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14829-2024</t>
        </is>
      </c>
      <c r="B1745" s="1" t="n">
        <v>45397</v>
      </c>
      <c r="C1745" s="1" t="n">
        <v>45579</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14856-2024</t>
        </is>
      </c>
      <c r="B1746" s="1" t="n">
        <v>45398</v>
      </c>
      <c r="C1746" s="1" t="n">
        <v>45579</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15157-2024</t>
        </is>
      </c>
      <c r="B1747" s="1" t="n">
        <v>45400</v>
      </c>
      <c r="C1747" s="1" t="n">
        <v>45579</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15369-2024</t>
        </is>
      </c>
      <c r="B1748" s="1" t="n">
        <v>45401</v>
      </c>
      <c r="C1748" s="1" t="n">
        <v>45579</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15367-2024</t>
        </is>
      </c>
      <c r="B1749" s="1" t="n">
        <v>45401</v>
      </c>
      <c r="C1749" s="1" t="n">
        <v>45579</v>
      </c>
      <c r="D1749" t="inlineStr">
        <is>
          <t>VÄSTERNORRLANDS LÄN</t>
        </is>
      </c>
      <c r="E1749" t="inlineStr">
        <is>
          <t>ÅNGE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15368-2024</t>
        </is>
      </c>
      <c r="B1750" s="1" t="n">
        <v>45401</v>
      </c>
      <c r="C1750" s="1" t="n">
        <v>45579</v>
      </c>
      <c r="D1750" t="inlineStr">
        <is>
          <t>VÄSTERNORRLANDS LÄN</t>
        </is>
      </c>
      <c r="E1750" t="inlineStr">
        <is>
          <t>ÅNGE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15603-2024</t>
        </is>
      </c>
      <c r="B1751" s="1" t="n">
        <v>45402</v>
      </c>
      <c r="C1751" s="1" t="n">
        <v>45579</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15630-2024</t>
        </is>
      </c>
      <c r="B1752" s="1" t="n">
        <v>45403</v>
      </c>
      <c r="C1752" s="1" t="n">
        <v>45579</v>
      </c>
      <c r="D1752" t="inlineStr">
        <is>
          <t>VÄSTERNORRLANDS LÄN</t>
        </is>
      </c>
      <c r="E1752" t="inlineStr">
        <is>
          <t>ÅNGE</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15860-2024</t>
        </is>
      </c>
      <c r="B1753" s="1" t="n">
        <v>45405</v>
      </c>
      <c r="C1753" s="1" t="n">
        <v>45579</v>
      </c>
      <c r="D1753" t="inlineStr">
        <is>
          <t>VÄSTERNORRLANDS LÄN</t>
        </is>
      </c>
      <c r="E1753" t="inlineStr">
        <is>
          <t>ÅNGE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16045-2024</t>
        </is>
      </c>
      <c r="B1754" s="1" t="n">
        <v>45405</v>
      </c>
      <c r="C1754" s="1" t="n">
        <v>45579</v>
      </c>
      <c r="D1754" t="inlineStr">
        <is>
          <t>VÄSTERNORRLANDS LÄN</t>
        </is>
      </c>
      <c r="E1754" t="inlineStr">
        <is>
          <t>ÅNGE</t>
        </is>
      </c>
      <c r="G1754" t="n">
        <v>13.4</v>
      </c>
      <c r="H1754" t="n">
        <v>0</v>
      </c>
      <c r="I1754" t="n">
        <v>0</v>
      </c>
      <c r="J1754" t="n">
        <v>0</v>
      </c>
      <c r="K1754" t="n">
        <v>0</v>
      </c>
      <c r="L1754" t="n">
        <v>0</v>
      </c>
      <c r="M1754" t="n">
        <v>0</v>
      </c>
      <c r="N1754" t="n">
        <v>0</v>
      </c>
      <c r="O1754" t="n">
        <v>0</v>
      </c>
      <c r="P1754" t="n">
        <v>0</v>
      </c>
      <c r="Q1754" t="n">
        <v>0</v>
      </c>
      <c r="R1754" s="2" t="inlineStr"/>
    </row>
    <row r="1755" ht="15" customHeight="1">
      <c r="A1755" t="inlineStr">
        <is>
          <t>A 16243-2024</t>
        </is>
      </c>
      <c r="B1755" s="1" t="n">
        <v>45407</v>
      </c>
      <c r="C1755" s="1" t="n">
        <v>45579</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16694-2024</t>
        </is>
      </c>
      <c r="B1756" s="1" t="n">
        <v>45408</v>
      </c>
      <c r="C1756" s="1" t="n">
        <v>45579</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16460-2024</t>
        </is>
      </c>
      <c r="B1757" s="1" t="n">
        <v>45408</v>
      </c>
      <c r="C1757" s="1" t="n">
        <v>45579</v>
      </c>
      <c r="D1757" t="inlineStr">
        <is>
          <t>VÄSTERNORRLANDS LÄN</t>
        </is>
      </c>
      <c r="E1757" t="inlineStr">
        <is>
          <t>ÅNGE</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16695-2024</t>
        </is>
      </c>
      <c r="B1758" s="1" t="n">
        <v>45408</v>
      </c>
      <c r="C1758" s="1" t="n">
        <v>45579</v>
      </c>
      <c r="D1758" t="inlineStr">
        <is>
          <t>VÄSTERNORRLANDS LÄN</t>
        </is>
      </c>
      <c r="E1758" t="inlineStr">
        <is>
          <t>ÅNGE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16706-2024</t>
        </is>
      </c>
      <c r="B1759" s="1" t="n">
        <v>45409</v>
      </c>
      <c r="C1759" s="1" t="n">
        <v>45579</v>
      </c>
      <c r="D1759" t="inlineStr">
        <is>
          <t>VÄSTERNORRLANDS LÄN</t>
        </is>
      </c>
      <c r="E1759" t="inlineStr">
        <is>
          <t>ÅNGE</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16718-2024</t>
        </is>
      </c>
      <c r="B1760" s="1" t="n">
        <v>45409</v>
      </c>
      <c r="C1760" s="1" t="n">
        <v>45579</v>
      </c>
      <c r="D1760" t="inlineStr">
        <is>
          <t>VÄSTERNORRLANDS LÄN</t>
        </is>
      </c>
      <c r="E1760" t="inlineStr">
        <is>
          <t>ÅNGE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16705-2024</t>
        </is>
      </c>
      <c r="B1761" s="1" t="n">
        <v>45409</v>
      </c>
      <c r="C1761" s="1" t="n">
        <v>45579</v>
      </c>
      <c r="D1761" t="inlineStr">
        <is>
          <t>VÄSTERNORRLANDS LÄN</t>
        </is>
      </c>
      <c r="E1761" t="inlineStr">
        <is>
          <t>ÅNGE</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16915-2024</t>
        </is>
      </c>
      <c r="B1762" s="1" t="n">
        <v>45411</v>
      </c>
      <c r="C1762" s="1" t="n">
        <v>45579</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16903-2024</t>
        </is>
      </c>
      <c r="B1763" s="1" t="n">
        <v>45411</v>
      </c>
      <c r="C1763" s="1" t="n">
        <v>45579</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16902-2024</t>
        </is>
      </c>
      <c r="B1764" s="1" t="n">
        <v>45411</v>
      </c>
      <c r="C1764" s="1" t="n">
        <v>45579</v>
      </c>
      <c r="D1764" t="inlineStr">
        <is>
          <t>VÄSTERNORRLANDS LÄN</t>
        </is>
      </c>
      <c r="E1764" t="inlineStr">
        <is>
          <t>ÅNGE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17171-2024</t>
        </is>
      </c>
      <c r="B1765" s="1" t="n">
        <v>45413</v>
      </c>
      <c r="C1765" s="1" t="n">
        <v>45579</v>
      </c>
      <c r="D1765" t="inlineStr">
        <is>
          <t>VÄSTERNORRLANDS LÄN</t>
        </is>
      </c>
      <c r="E1765" t="inlineStr">
        <is>
          <t>ÅNGE</t>
        </is>
      </c>
      <c r="F1765" t="inlineStr">
        <is>
          <t>SCA</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16978-2024</t>
        </is>
      </c>
      <c r="B1766" s="1" t="n">
        <v>45412</v>
      </c>
      <c r="C1766" s="1" t="n">
        <v>45579</v>
      </c>
      <c r="D1766" t="inlineStr">
        <is>
          <t>VÄSTERNORRLANDS LÄN</t>
        </is>
      </c>
      <c r="E1766" t="inlineStr">
        <is>
          <t>ÅNGE</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17421-2024</t>
        </is>
      </c>
      <c r="B1767" s="1" t="n">
        <v>45415</v>
      </c>
      <c r="C1767" s="1" t="n">
        <v>45579</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17601-2024</t>
        </is>
      </c>
      <c r="B1768" s="1" t="n">
        <v>45415</v>
      </c>
      <c r="C1768" s="1" t="n">
        <v>45579</v>
      </c>
      <c r="D1768" t="inlineStr">
        <is>
          <t>VÄSTERNORRLANDS LÄN</t>
        </is>
      </c>
      <c r="E1768" t="inlineStr">
        <is>
          <t>ÅNGE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17605-2024</t>
        </is>
      </c>
      <c r="B1769" s="1" t="n">
        <v>45415</v>
      </c>
      <c r="C1769" s="1" t="n">
        <v>45579</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17602-2024</t>
        </is>
      </c>
      <c r="B1770" s="1" t="n">
        <v>45415</v>
      </c>
      <c r="C1770" s="1" t="n">
        <v>45579</v>
      </c>
      <c r="D1770" t="inlineStr">
        <is>
          <t>VÄSTERNORRLANDS LÄN</t>
        </is>
      </c>
      <c r="E1770" t="inlineStr">
        <is>
          <t>ÅNGE</t>
        </is>
      </c>
      <c r="F1770" t="inlineStr">
        <is>
          <t>SCA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17603-2024</t>
        </is>
      </c>
      <c r="B1771" s="1" t="n">
        <v>45415</v>
      </c>
      <c r="C1771" s="1" t="n">
        <v>45579</v>
      </c>
      <c r="D1771" t="inlineStr">
        <is>
          <t>VÄSTERNORRLANDS LÄN</t>
        </is>
      </c>
      <c r="E1771" t="inlineStr">
        <is>
          <t>ÅNGE</t>
        </is>
      </c>
      <c r="F1771" t="inlineStr">
        <is>
          <t>SCA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17604-2024</t>
        </is>
      </c>
      <c r="B1772" s="1" t="n">
        <v>45415</v>
      </c>
      <c r="C1772" s="1" t="n">
        <v>45579</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17589-2024</t>
        </is>
      </c>
      <c r="B1773" s="1" t="n">
        <v>45416</v>
      </c>
      <c r="C1773" s="1" t="n">
        <v>45579</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17819-2024</t>
        </is>
      </c>
      <c r="B1774" s="1" t="n">
        <v>45419</v>
      </c>
      <c r="C1774" s="1" t="n">
        <v>45579</v>
      </c>
      <c r="D1774" t="inlineStr">
        <is>
          <t>VÄSTERNORRLANDS LÄN</t>
        </is>
      </c>
      <c r="E1774" t="inlineStr">
        <is>
          <t>ÅNGE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18002-2024</t>
        </is>
      </c>
      <c r="B1775" s="1" t="n">
        <v>45420</v>
      </c>
      <c r="C1775" s="1" t="n">
        <v>45579</v>
      </c>
      <c r="D1775" t="inlineStr">
        <is>
          <t>VÄSTERNORRLANDS LÄN</t>
        </is>
      </c>
      <c r="E1775" t="inlineStr">
        <is>
          <t>ÅNGE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18619-2024</t>
        </is>
      </c>
      <c r="B1776" s="1" t="n">
        <v>45426</v>
      </c>
      <c r="C1776" s="1" t="n">
        <v>45579</v>
      </c>
      <c r="D1776" t="inlineStr">
        <is>
          <t>VÄSTERNORRLANDS LÄN</t>
        </is>
      </c>
      <c r="E1776" t="inlineStr">
        <is>
          <t>ÅNGE</t>
        </is>
      </c>
      <c r="F1776" t="inlineStr">
        <is>
          <t>SCA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18617-2024</t>
        </is>
      </c>
      <c r="B1777" s="1" t="n">
        <v>45425</v>
      </c>
      <c r="C1777" s="1" t="n">
        <v>45579</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18639-2024</t>
        </is>
      </c>
      <c r="B1778" s="1" t="n">
        <v>45426</v>
      </c>
      <c r="C1778" s="1" t="n">
        <v>45579</v>
      </c>
      <c r="D1778" t="inlineStr">
        <is>
          <t>VÄSTERNORRLANDS LÄN</t>
        </is>
      </c>
      <c r="E1778" t="inlineStr">
        <is>
          <t>ÅNGE</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18456-2024</t>
        </is>
      </c>
      <c r="B1779" s="1" t="n">
        <v>45425</v>
      </c>
      <c r="C1779" s="1" t="n">
        <v>45579</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18632-2024</t>
        </is>
      </c>
      <c r="B1780" s="1" t="n">
        <v>45426</v>
      </c>
      <c r="C1780" s="1" t="n">
        <v>45579</v>
      </c>
      <c r="D1780" t="inlineStr">
        <is>
          <t>VÄSTERNORRLANDS LÄN</t>
        </is>
      </c>
      <c r="E1780" t="inlineStr">
        <is>
          <t>ÅNGE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18666-2024</t>
        </is>
      </c>
      <c r="B1781" s="1" t="n">
        <v>45425</v>
      </c>
      <c r="C1781" s="1" t="n">
        <v>45579</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18618-2024</t>
        </is>
      </c>
      <c r="B1782" s="1" t="n">
        <v>45426</v>
      </c>
      <c r="C1782" s="1" t="n">
        <v>45579</v>
      </c>
      <c r="D1782" t="inlineStr">
        <is>
          <t>VÄSTERNORRLANDS LÄN</t>
        </is>
      </c>
      <c r="E1782" t="inlineStr">
        <is>
          <t>ÅNGE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18878-2024</t>
        </is>
      </c>
      <c r="B1783" s="1" t="n">
        <v>45426</v>
      </c>
      <c r="C1783" s="1" t="n">
        <v>45579</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18872-2024</t>
        </is>
      </c>
      <c r="B1784" s="1" t="n">
        <v>45427</v>
      </c>
      <c r="C1784" s="1" t="n">
        <v>45579</v>
      </c>
      <c r="D1784" t="inlineStr">
        <is>
          <t>VÄSTERNORRLANDS LÄN</t>
        </is>
      </c>
      <c r="E1784" t="inlineStr">
        <is>
          <t>ÅNGE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18880-2024</t>
        </is>
      </c>
      <c r="B1785" s="1" t="n">
        <v>45426</v>
      </c>
      <c r="C1785" s="1" t="n">
        <v>45579</v>
      </c>
      <c r="D1785" t="inlineStr">
        <is>
          <t>VÄSTERNORRLANDS LÄN</t>
        </is>
      </c>
      <c r="E1785" t="inlineStr">
        <is>
          <t>ÅNGE</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18869-2024</t>
        </is>
      </c>
      <c r="B1786" s="1" t="n">
        <v>45426</v>
      </c>
      <c r="C1786" s="1" t="n">
        <v>45579</v>
      </c>
      <c r="D1786" t="inlineStr">
        <is>
          <t>VÄSTERNORRLANDS LÄN</t>
        </is>
      </c>
      <c r="E1786" t="inlineStr">
        <is>
          <t>ÅNGE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18881-2024</t>
        </is>
      </c>
      <c r="B1787" s="1" t="n">
        <v>45427</v>
      </c>
      <c r="C1787" s="1" t="n">
        <v>45579</v>
      </c>
      <c r="D1787" t="inlineStr">
        <is>
          <t>VÄSTERNORRLANDS LÄN</t>
        </is>
      </c>
      <c r="E1787" t="inlineStr">
        <is>
          <t>ÅNGE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18879-2024</t>
        </is>
      </c>
      <c r="B1788" s="1" t="n">
        <v>45426</v>
      </c>
      <c r="C1788" s="1" t="n">
        <v>45579</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19066-2024</t>
        </is>
      </c>
      <c r="B1789" s="1" t="n">
        <v>45427</v>
      </c>
      <c r="C1789" s="1" t="n">
        <v>45579</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19343-2024</t>
        </is>
      </c>
      <c r="B1790" s="1" t="n">
        <v>45428</v>
      </c>
      <c r="C1790" s="1" t="n">
        <v>45579</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19342-2024</t>
        </is>
      </c>
      <c r="B1791" s="1" t="n">
        <v>45428</v>
      </c>
      <c r="C1791" s="1" t="n">
        <v>45579</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19396-2024</t>
        </is>
      </c>
      <c r="B1792" s="1" t="n">
        <v>45428</v>
      </c>
      <c r="C1792" s="1" t="n">
        <v>45579</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19557-2024</t>
        </is>
      </c>
      <c r="B1793" s="1" t="n">
        <v>45429</v>
      </c>
      <c r="C1793" s="1" t="n">
        <v>45579</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20276-2024</t>
        </is>
      </c>
      <c r="B1794" s="1" t="n">
        <v>45435</v>
      </c>
      <c r="C1794" s="1" t="n">
        <v>45579</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20761-2024</t>
        </is>
      </c>
      <c r="B1795" s="1" t="n">
        <v>45436</v>
      </c>
      <c r="C1795" s="1" t="n">
        <v>45579</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20927-2024</t>
        </is>
      </c>
      <c r="B1796" s="1" t="n">
        <v>45439</v>
      </c>
      <c r="C1796" s="1" t="n">
        <v>45579</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20915-2024</t>
        </is>
      </c>
      <c r="B1797" s="1" t="n">
        <v>45439</v>
      </c>
      <c r="C1797" s="1" t="n">
        <v>45579</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20925-2024</t>
        </is>
      </c>
      <c r="B1798" s="1" t="n">
        <v>45439</v>
      </c>
      <c r="C1798" s="1" t="n">
        <v>45579</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20932-2024</t>
        </is>
      </c>
      <c r="B1799" s="1" t="n">
        <v>45439</v>
      </c>
      <c r="C1799" s="1" t="n">
        <v>45579</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21089-2024</t>
        </is>
      </c>
      <c r="B1800" s="1" t="n">
        <v>45440</v>
      </c>
      <c r="C1800" s="1" t="n">
        <v>45579</v>
      </c>
      <c r="D1800" t="inlineStr">
        <is>
          <t>VÄSTERNORRLANDS LÄN</t>
        </is>
      </c>
      <c r="E1800" t="inlineStr">
        <is>
          <t>ÅNGE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20815-2024</t>
        </is>
      </c>
      <c r="B1801" s="1" t="n">
        <v>45439</v>
      </c>
      <c r="C1801" s="1" t="n">
        <v>45579</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21200-2024</t>
        </is>
      </c>
      <c r="B1802" s="1" t="n">
        <v>45440</v>
      </c>
      <c r="C1802" s="1" t="n">
        <v>45579</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21179-2024</t>
        </is>
      </c>
      <c r="B1803" s="1" t="n">
        <v>45440</v>
      </c>
      <c r="C1803" s="1" t="n">
        <v>45579</v>
      </c>
      <c r="D1803" t="inlineStr">
        <is>
          <t>VÄSTERNORRLANDS LÄN</t>
        </is>
      </c>
      <c r="E1803" t="inlineStr">
        <is>
          <t>ÅNGE</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21151-2024</t>
        </is>
      </c>
      <c r="B1804" s="1" t="n">
        <v>45440</v>
      </c>
      <c r="C1804" s="1" t="n">
        <v>45579</v>
      </c>
      <c r="D1804" t="inlineStr">
        <is>
          <t>VÄSTERNORRLANDS LÄN</t>
        </is>
      </c>
      <c r="E1804" t="inlineStr">
        <is>
          <t>ÅNGE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21387-2024</t>
        </is>
      </c>
      <c r="B1805" s="1" t="n">
        <v>45440</v>
      </c>
      <c r="C1805" s="1" t="n">
        <v>45579</v>
      </c>
      <c r="D1805" t="inlineStr">
        <is>
          <t>VÄSTERNORRLANDS LÄN</t>
        </is>
      </c>
      <c r="E1805" t="inlineStr">
        <is>
          <t>ÅNGE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21833-2024</t>
        </is>
      </c>
      <c r="B1806" s="1" t="n">
        <v>45442</v>
      </c>
      <c r="C1806" s="1" t="n">
        <v>45579</v>
      </c>
      <c r="D1806" t="inlineStr">
        <is>
          <t>VÄSTERNORRLANDS LÄN</t>
        </is>
      </c>
      <c r="E1806" t="inlineStr">
        <is>
          <t>ÅNGE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22122-2024</t>
        </is>
      </c>
      <c r="B1807" s="1" t="n">
        <v>45443</v>
      </c>
      <c r="C1807" s="1" t="n">
        <v>45579</v>
      </c>
      <c r="D1807" t="inlineStr">
        <is>
          <t>VÄSTERNORRLANDS LÄN</t>
        </is>
      </c>
      <c r="E1807" t="inlineStr">
        <is>
          <t>ÅNGE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22463-2024</t>
        </is>
      </c>
      <c r="B1808" s="1" t="n">
        <v>45446</v>
      </c>
      <c r="C1808" s="1" t="n">
        <v>45579</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22187-2024</t>
        </is>
      </c>
      <c r="B1809" s="1" t="n">
        <v>45446</v>
      </c>
      <c r="C1809" s="1" t="n">
        <v>45579</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22465-2024</t>
        </is>
      </c>
      <c r="B1810" s="1" t="n">
        <v>45446</v>
      </c>
      <c r="C1810" s="1" t="n">
        <v>45579</v>
      </c>
      <c r="D1810" t="inlineStr">
        <is>
          <t>VÄSTERNORRLANDS LÄN</t>
        </is>
      </c>
      <c r="E1810" t="inlineStr">
        <is>
          <t>ÅNGE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22461-2024</t>
        </is>
      </c>
      <c r="B1811" s="1" t="n">
        <v>45447</v>
      </c>
      <c r="C1811" s="1" t="n">
        <v>45579</v>
      </c>
      <c r="D1811" t="inlineStr">
        <is>
          <t>VÄSTERNORRLANDS LÄN</t>
        </is>
      </c>
      <c r="E1811" t="inlineStr">
        <is>
          <t>ÅNGE</t>
        </is>
      </c>
      <c r="F1811" t="inlineStr">
        <is>
          <t>SCA</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22460-2024</t>
        </is>
      </c>
      <c r="B1812" s="1" t="n">
        <v>45446</v>
      </c>
      <c r="C1812" s="1" t="n">
        <v>45579</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22464-2024</t>
        </is>
      </c>
      <c r="B1813" s="1" t="n">
        <v>45447</v>
      </c>
      <c r="C1813" s="1" t="n">
        <v>45579</v>
      </c>
      <c r="D1813" t="inlineStr">
        <is>
          <t>VÄSTERNORRLANDS LÄN</t>
        </is>
      </c>
      <c r="E1813" t="inlineStr">
        <is>
          <t>ÅNGE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22679-2024</t>
        </is>
      </c>
      <c r="B1814" s="1" t="n">
        <v>45447</v>
      </c>
      <c r="C1814" s="1" t="n">
        <v>45579</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22678-2024</t>
        </is>
      </c>
      <c r="B1815" s="1" t="n">
        <v>45448</v>
      </c>
      <c r="C1815" s="1" t="n">
        <v>45579</v>
      </c>
      <c r="D1815" t="inlineStr">
        <is>
          <t>VÄSTERNORRLANDS LÄN</t>
        </is>
      </c>
      <c r="E1815" t="inlineStr">
        <is>
          <t>ÅNGE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22680-2024</t>
        </is>
      </c>
      <c r="B1816" s="1" t="n">
        <v>45448</v>
      </c>
      <c r="C1816" s="1" t="n">
        <v>45579</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22681-2024</t>
        </is>
      </c>
      <c r="B1817" s="1" t="n">
        <v>45447</v>
      </c>
      <c r="C1817" s="1" t="n">
        <v>45579</v>
      </c>
      <c r="D1817" t="inlineStr">
        <is>
          <t>VÄSTERNORRLANDS LÄN</t>
        </is>
      </c>
      <c r="E1817" t="inlineStr">
        <is>
          <t>ÅNGE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22986-2024</t>
        </is>
      </c>
      <c r="B1818" s="1" t="n">
        <v>45450</v>
      </c>
      <c r="C1818" s="1" t="n">
        <v>45579</v>
      </c>
      <c r="D1818" t="inlineStr">
        <is>
          <t>VÄSTERNORRLANDS LÄN</t>
        </is>
      </c>
      <c r="E1818" t="inlineStr">
        <is>
          <t>ÅNGE</t>
        </is>
      </c>
      <c r="F1818" t="inlineStr">
        <is>
          <t>SCA</t>
        </is>
      </c>
      <c r="G1818" t="n">
        <v>17.8</v>
      </c>
      <c r="H1818" t="n">
        <v>0</v>
      </c>
      <c r="I1818" t="n">
        <v>0</v>
      </c>
      <c r="J1818" t="n">
        <v>0</v>
      </c>
      <c r="K1818" t="n">
        <v>0</v>
      </c>
      <c r="L1818" t="n">
        <v>0</v>
      </c>
      <c r="M1818" t="n">
        <v>0</v>
      </c>
      <c r="N1818" t="n">
        <v>0</v>
      </c>
      <c r="O1818" t="n">
        <v>0</v>
      </c>
      <c r="P1818" t="n">
        <v>0</v>
      </c>
      <c r="Q1818" t="n">
        <v>0</v>
      </c>
      <c r="R1818" s="2" t="inlineStr"/>
    </row>
    <row r="1819" ht="15" customHeight="1">
      <c r="A1819" t="inlineStr">
        <is>
          <t>A 22990-2024</t>
        </is>
      </c>
      <c r="B1819" s="1" t="n">
        <v>45450</v>
      </c>
      <c r="C1819" s="1" t="n">
        <v>45579</v>
      </c>
      <c r="D1819" t="inlineStr">
        <is>
          <t>VÄSTERNORRLANDS LÄN</t>
        </is>
      </c>
      <c r="E1819" t="inlineStr">
        <is>
          <t>ÅNGE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22989-2024</t>
        </is>
      </c>
      <c r="B1820" s="1" t="n">
        <v>45450</v>
      </c>
      <c r="C1820" s="1" t="n">
        <v>45579</v>
      </c>
      <c r="D1820" t="inlineStr">
        <is>
          <t>VÄSTERNORRLANDS LÄN</t>
        </is>
      </c>
      <c r="E1820" t="inlineStr">
        <is>
          <t>ÅNGE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22987-2024</t>
        </is>
      </c>
      <c r="B1821" s="1" t="n">
        <v>45450</v>
      </c>
      <c r="C1821" s="1" t="n">
        <v>45579</v>
      </c>
      <c r="D1821" t="inlineStr">
        <is>
          <t>VÄSTERNORRLANDS LÄN</t>
        </is>
      </c>
      <c r="E1821" t="inlineStr">
        <is>
          <t>ÅNGE</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22991-2024</t>
        </is>
      </c>
      <c r="B1822" s="1" t="n">
        <v>45450</v>
      </c>
      <c r="C1822" s="1" t="n">
        <v>45579</v>
      </c>
      <c r="D1822" t="inlineStr">
        <is>
          <t>VÄSTERNORRLANDS LÄN</t>
        </is>
      </c>
      <c r="E1822" t="inlineStr">
        <is>
          <t>ÅNGE</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22988-2024</t>
        </is>
      </c>
      <c r="B1823" s="1" t="n">
        <v>45450</v>
      </c>
      <c r="C1823" s="1" t="n">
        <v>45579</v>
      </c>
      <c r="D1823" t="inlineStr">
        <is>
          <t>VÄSTERNORRLANDS LÄN</t>
        </is>
      </c>
      <c r="E1823" t="inlineStr">
        <is>
          <t>ÅNGE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22984-2024</t>
        </is>
      </c>
      <c r="B1824" s="1" t="n">
        <v>45450</v>
      </c>
      <c r="C1824" s="1" t="n">
        <v>45579</v>
      </c>
      <c r="D1824" t="inlineStr">
        <is>
          <t>VÄSTERNORRLANDS LÄN</t>
        </is>
      </c>
      <c r="E1824" t="inlineStr">
        <is>
          <t>ÅNGE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23035-2024</t>
        </is>
      </c>
      <c r="B1825" s="1" t="n">
        <v>45450</v>
      </c>
      <c r="C1825" s="1" t="n">
        <v>45579</v>
      </c>
      <c r="D1825" t="inlineStr">
        <is>
          <t>VÄSTERNORRLANDS LÄN</t>
        </is>
      </c>
      <c r="E1825" t="inlineStr">
        <is>
          <t>ÅNGE</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23045-2024</t>
        </is>
      </c>
      <c r="B1826" s="1" t="n">
        <v>45450</v>
      </c>
      <c r="C1826" s="1" t="n">
        <v>45579</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23058-2024</t>
        </is>
      </c>
      <c r="B1827" s="1" t="n">
        <v>45450</v>
      </c>
      <c r="C1827" s="1" t="n">
        <v>45579</v>
      </c>
      <c r="D1827" t="inlineStr">
        <is>
          <t>VÄSTERNORRLANDS LÄN</t>
        </is>
      </c>
      <c r="E1827" t="inlineStr">
        <is>
          <t>ÅNGE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23063-2024</t>
        </is>
      </c>
      <c r="B1828" s="1" t="n">
        <v>45450</v>
      </c>
      <c r="C1828" s="1" t="n">
        <v>45579</v>
      </c>
      <c r="D1828" t="inlineStr">
        <is>
          <t>VÄSTERNORRLANDS LÄN</t>
        </is>
      </c>
      <c r="E1828" t="inlineStr">
        <is>
          <t>ÅNGE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23069-2024</t>
        </is>
      </c>
      <c r="B1829" s="1" t="n">
        <v>45450</v>
      </c>
      <c r="C1829" s="1" t="n">
        <v>45579</v>
      </c>
      <c r="D1829" t="inlineStr">
        <is>
          <t>VÄSTERNORRLANDS LÄN</t>
        </is>
      </c>
      <c r="E1829" t="inlineStr">
        <is>
          <t>ÅNGE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23225-2024</t>
        </is>
      </c>
      <c r="B1830" s="1" t="n">
        <v>45453</v>
      </c>
      <c r="C1830" s="1" t="n">
        <v>45579</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23224-2024</t>
        </is>
      </c>
      <c r="B1831" s="1" t="n">
        <v>45452</v>
      </c>
      <c r="C1831" s="1" t="n">
        <v>45579</v>
      </c>
      <c r="D1831" t="inlineStr">
        <is>
          <t>VÄSTERNORRLANDS LÄN</t>
        </is>
      </c>
      <c r="E1831" t="inlineStr">
        <is>
          <t>ÅNGE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23353-2024</t>
        </is>
      </c>
      <c r="B1832" s="1" t="n">
        <v>45453</v>
      </c>
      <c r="C1832" s="1" t="n">
        <v>45579</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23419-2024</t>
        </is>
      </c>
      <c r="B1833" s="1" t="n">
        <v>45453</v>
      </c>
      <c r="C1833" s="1" t="n">
        <v>45579</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23933-2024</t>
        </is>
      </c>
      <c r="B1834" s="1" t="n">
        <v>45455</v>
      </c>
      <c r="C1834" s="1" t="n">
        <v>45579</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23961-2024</t>
        </is>
      </c>
      <c r="B1835" s="1" t="n">
        <v>45456</v>
      </c>
      <c r="C1835" s="1" t="n">
        <v>45579</v>
      </c>
      <c r="D1835" t="inlineStr">
        <is>
          <t>VÄSTERNORRLANDS LÄN</t>
        </is>
      </c>
      <c r="E1835" t="inlineStr">
        <is>
          <t>ÅNGE</t>
        </is>
      </c>
      <c r="F1835" t="inlineStr">
        <is>
          <t>SCA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24131-2024</t>
        </is>
      </c>
      <c r="B1836" s="1" t="n">
        <v>45456</v>
      </c>
      <c r="C1836" s="1" t="n">
        <v>45579</v>
      </c>
      <c r="D1836" t="inlineStr">
        <is>
          <t>VÄSTERNORRLANDS LÄN</t>
        </is>
      </c>
      <c r="E1836" t="inlineStr">
        <is>
          <t>ÅNGE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24231-2024</t>
        </is>
      </c>
      <c r="B1837" s="1" t="n">
        <v>45457</v>
      </c>
      <c r="C1837" s="1" t="n">
        <v>45579</v>
      </c>
      <c r="D1837" t="inlineStr">
        <is>
          <t>VÄSTERNORRLANDS LÄN</t>
        </is>
      </c>
      <c r="E1837" t="inlineStr">
        <is>
          <t>ÅNGE</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24436-2024</t>
        </is>
      </c>
      <c r="B1838" s="1" t="n">
        <v>45458</v>
      </c>
      <c r="C1838" s="1" t="n">
        <v>45579</v>
      </c>
      <c r="D1838" t="inlineStr">
        <is>
          <t>VÄSTERNORRLANDS LÄN</t>
        </is>
      </c>
      <c r="E1838" t="inlineStr">
        <is>
          <t>ÅNGE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24229-2024</t>
        </is>
      </c>
      <c r="B1839" s="1" t="n">
        <v>45457</v>
      </c>
      <c r="C1839" s="1" t="n">
        <v>45579</v>
      </c>
      <c r="D1839" t="inlineStr">
        <is>
          <t>VÄSTERNORRLANDS LÄN</t>
        </is>
      </c>
      <c r="E1839" t="inlineStr">
        <is>
          <t>ÅNGE</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24232-2024</t>
        </is>
      </c>
      <c r="B1840" s="1" t="n">
        <v>45457</v>
      </c>
      <c r="C1840" s="1" t="n">
        <v>45579</v>
      </c>
      <c r="D1840" t="inlineStr">
        <is>
          <t>VÄSTERNORRLANDS LÄN</t>
        </is>
      </c>
      <c r="E1840" t="inlineStr">
        <is>
          <t>ÅNGE</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24498-2024</t>
        </is>
      </c>
      <c r="B1841" s="1" t="n">
        <v>45460</v>
      </c>
      <c r="C1841" s="1" t="n">
        <v>45579</v>
      </c>
      <c r="D1841" t="inlineStr">
        <is>
          <t>VÄSTERNORRLANDS LÄN</t>
        </is>
      </c>
      <c r="E1841" t="inlineStr">
        <is>
          <t>ÅNGE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24798-2024</t>
        </is>
      </c>
      <c r="B1842" s="1" t="n">
        <v>45461</v>
      </c>
      <c r="C1842" s="1" t="n">
        <v>45579</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24797-2024</t>
        </is>
      </c>
      <c r="B1843" s="1" t="n">
        <v>45461</v>
      </c>
      <c r="C1843" s="1" t="n">
        <v>45579</v>
      </c>
      <c r="D1843" t="inlineStr">
        <is>
          <t>VÄSTERNORRLANDS LÄN</t>
        </is>
      </c>
      <c r="E1843" t="inlineStr">
        <is>
          <t>ÅNGE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25033-2024</t>
        </is>
      </c>
      <c r="B1844" s="1" t="n">
        <v>45462</v>
      </c>
      <c r="C1844" s="1" t="n">
        <v>45579</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25025-2024</t>
        </is>
      </c>
      <c r="B1845" s="1" t="n">
        <v>45462</v>
      </c>
      <c r="C1845" s="1" t="n">
        <v>45579</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25376-2024</t>
        </is>
      </c>
      <c r="B1846" s="1" t="n">
        <v>45463</v>
      </c>
      <c r="C1846" s="1" t="n">
        <v>45579</v>
      </c>
      <c r="D1846" t="inlineStr">
        <is>
          <t>VÄSTERNORRLANDS LÄN</t>
        </is>
      </c>
      <c r="E1846" t="inlineStr">
        <is>
          <t>ÅNGE</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25377-2024</t>
        </is>
      </c>
      <c r="B1847" s="1" t="n">
        <v>45463</v>
      </c>
      <c r="C1847" s="1" t="n">
        <v>45579</v>
      </c>
      <c r="D1847" t="inlineStr">
        <is>
          <t>VÄSTERNORRLANDS LÄN</t>
        </is>
      </c>
      <c r="E1847" t="inlineStr">
        <is>
          <t>ÅNGE</t>
        </is>
      </c>
      <c r="F1847" t="inlineStr">
        <is>
          <t>SCA</t>
        </is>
      </c>
      <c r="G1847" t="n">
        <v>20.7</v>
      </c>
      <c r="H1847" t="n">
        <v>0</v>
      </c>
      <c r="I1847" t="n">
        <v>0</v>
      </c>
      <c r="J1847" t="n">
        <v>0</v>
      </c>
      <c r="K1847" t="n">
        <v>0</v>
      </c>
      <c r="L1847" t="n">
        <v>0</v>
      </c>
      <c r="M1847" t="n">
        <v>0</v>
      </c>
      <c r="N1847" t="n">
        <v>0</v>
      </c>
      <c r="O1847" t="n">
        <v>0</v>
      </c>
      <c r="P1847" t="n">
        <v>0</v>
      </c>
      <c r="Q1847" t="n">
        <v>0</v>
      </c>
      <c r="R1847" s="2" t="inlineStr"/>
    </row>
    <row r="1848" ht="15" customHeight="1">
      <c r="A1848" t="inlineStr">
        <is>
          <t>A 25700-2024</t>
        </is>
      </c>
      <c r="B1848" s="1" t="n">
        <v>45463</v>
      </c>
      <c r="C1848" s="1" t="n">
        <v>45579</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25867-2024</t>
        </is>
      </c>
      <c r="B1849" s="1" t="n">
        <v>45463</v>
      </c>
      <c r="C1849" s="1" t="n">
        <v>45579</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26013-2024</t>
        </is>
      </c>
      <c r="B1850" s="1" t="n">
        <v>45467</v>
      </c>
      <c r="C1850" s="1" t="n">
        <v>45579</v>
      </c>
      <c r="D1850" t="inlineStr">
        <is>
          <t>VÄSTERNORRLANDS LÄN</t>
        </is>
      </c>
      <c r="E1850" t="inlineStr">
        <is>
          <t>ÅNGE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26017-2024</t>
        </is>
      </c>
      <c r="B1851" s="1" t="n">
        <v>45468</v>
      </c>
      <c r="C1851" s="1" t="n">
        <v>45579</v>
      </c>
      <c r="D1851" t="inlineStr">
        <is>
          <t>VÄSTERNORRLANDS LÄN</t>
        </is>
      </c>
      <c r="E1851" t="inlineStr">
        <is>
          <t>ÅNGE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26021-2024</t>
        </is>
      </c>
      <c r="B1852" s="1" t="n">
        <v>45467</v>
      </c>
      <c r="C1852" s="1" t="n">
        <v>45579</v>
      </c>
      <c r="D1852" t="inlineStr">
        <is>
          <t>VÄSTERNORRLANDS LÄN</t>
        </is>
      </c>
      <c r="E1852" t="inlineStr">
        <is>
          <t>ÅNGE</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26010-2024</t>
        </is>
      </c>
      <c r="B1853" s="1" t="n">
        <v>45468</v>
      </c>
      <c r="C1853" s="1" t="n">
        <v>45579</v>
      </c>
      <c r="D1853" t="inlineStr">
        <is>
          <t>VÄSTERNORRLANDS LÄN</t>
        </is>
      </c>
      <c r="E1853" t="inlineStr">
        <is>
          <t>ÅNGE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26011-2024</t>
        </is>
      </c>
      <c r="B1854" s="1" t="n">
        <v>45468</v>
      </c>
      <c r="C1854" s="1" t="n">
        <v>45579</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26015-2024</t>
        </is>
      </c>
      <c r="B1855" s="1" t="n">
        <v>45468</v>
      </c>
      <c r="C1855" s="1" t="n">
        <v>45579</v>
      </c>
      <c r="D1855" t="inlineStr">
        <is>
          <t>VÄSTERNORRLANDS LÄN</t>
        </is>
      </c>
      <c r="E1855" t="inlineStr">
        <is>
          <t>ÅNGE</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26019-2024</t>
        </is>
      </c>
      <c r="B1856" s="1" t="n">
        <v>45468</v>
      </c>
      <c r="C1856" s="1" t="n">
        <v>45579</v>
      </c>
      <c r="D1856" t="inlineStr">
        <is>
          <t>VÄSTERNORRLANDS LÄN</t>
        </is>
      </c>
      <c r="E1856" t="inlineStr">
        <is>
          <t>ÅNGE</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26012-2024</t>
        </is>
      </c>
      <c r="B1857" s="1" t="n">
        <v>45467</v>
      </c>
      <c r="C1857" s="1" t="n">
        <v>45579</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26016-2024</t>
        </is>
      </c>
      <c r="B1858" s="1" t="n">
        <v>45467</v>
      </c>
      <c r="C1858" s="1" t="n">
        <v>45579</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26014-2024</t>
        </is>
      </c>
      <c r="B1859" s="1" t="n">
        <v>45468</v>
      </c>
      <c r="C1859" s="1" t="n">
        <v>45579</v>
      </c>
      <c r="D1859" t="inlineStr">
        <is>
          <t>VÄSTERNORRLANDS LÄN</t>
        </is>
      </c>
      <c r="E1859" t="inlineStr">
        <is>
          <t>ÅNGE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26018-2024</t>
        </is>
      </c>
      <c r="B1860" s="1" t="n">
        <v>45468</v>
      </c>
      <c r="C1860" s="1" t="n">
        <v>45579</v>
      </c>
      <c r="D1860" t="inlineStr">
        <is>
          <t>VÄSTERNORRLANDS LÄN</t>
        </is>
      </c>
      <c r="E1860" t="inlineStr">
        <is>
          <t>ÅNGE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26321-2024</t>
        </is>
      </c>
      <c r="B1861" s="1" t="n">
        <v>45468</v>
      </c>
      <c r="C1861" s="1" t="n">
        <v>45579</v>
      </c>
      <c r="D1861" t="inlineStr">
        <is>
          <t>VÄSTERNORRLANDS LÄN</t>
        </is>
      </c>
      <c r="E1861" t="inlineStr">
        <is>
          <t>ÅNGE</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26641-2024</t>
        </is>
      </c>
      <c r="B1862" s="1" t="n">
        <v>45470</v>
      </c>
      <c r="C1862" s="1" t="n">
        <v>45579</v>
      </c>
      <c r="D1862" t="inlineStr">
        <is>
          <t>VÄSTERNORRLANDS LÄN</t>
        </is>
      </c>
      <c r="E1862" t="inlineStr">
        <is>
          <t>ÅNGE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26424-2024</t>
        </is>
      </c>
      <c r="B1863" s="1" t="n">
        <v>45469</v>
      </c>
      <c r="C1863" s="1" t="n">
        <v>45579</v>
      </c>
      <c r="D1863" t="inlineStr">
        <is>
          <t>VÄSTERNORRLANDS LÄN</t>
        </is>
      </c>
      <c r="E1863" t="inlineStr">
        <is>
          <t>ÅNGE</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26490-2024</t>
        </is>
      </c>
      <c r="B1864" s="1" t="n">
        <v>45469</v>
      </c>
      <c r="C1864" s="1" t="n">
        <v>45579</v>
      </c>
      <c r="D1864" t="inlineStr">
        <is>
          <t>VÄSTERNORRLANDS LÄN</t>
        </is>
      </c>
      <c r="E1864" t="inlineStr">
        <is>
          <t>ÅNGE</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26639-2024</t>
        </is>
      </c>
      <c r="B1865" s="1" t="n">
        <v>45470</v>
      </c>
      <c r="C1865" s="1" t="n">
        <v>45579</v>
      </c>
      <c r="D1865" t="inlineStr">
        <is>
          <t>VÄSTERNORRLANDS LÄN</t>
        </is>
      </c>
      <c r="E1865" t="inlineStr">
        <is>
          <t>ÅNGE</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26640-2024</t>
        </is>
      </c>
      <c r="B1866" s="1" t="n">
        <v>45470</v>
      </c>
      <c r="C1866" s="1" t="n">
        <v>45579</v>
      </c>
      <c r="D1866" t="inlineStr">
        <is>
          <t>VÄSTERNORRLANDS LÄN</t>
        </is>
      </c>
      <c r="E1866" t="inlineStr">
        <is>
          <t>ÅNGE</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26950-2024</t>
        </is>
      </c>
      <c r="B1867" s="1" t="n">
        <v>45470</v>
      </c>
      <c r="C1867" s="1" t="n">
        <v>45579</v>
      </c>
      <c r="D1867" t="inlineStr">
        <is>
          <t>VÄSTERNORRLANDS LÄN</t>
        </is>
      </c>
      <c r="E1867" t="inlineStr">
        <is>
          <t>ÅNGE</t>
        </is>
      </c>
      <c r="F1867" t="inlineStr">
        <is>
          <t>SCA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26943-2024</t>
        </is>
      </c>
      <c r="B1868" s="1" t="n">
        <v>45470</v>
      </c>
      <c r="C1868" s="1" t="n">
        <v>45579</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26942-2024</t>
        </is>
      </c>
      <c r="B1869" s="1" t="n">
        <v>45470</v>
      </c>
      <c r="C1869" s="1" t="n">
        <v>45579</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26951-2024</t>
        </is>
      </c>
      <c r="B1870" s="1" t="n">
        <v>45471</v>
      </c>
      <c r="C1870" s="1" t="n">
        <v>45579</v>
      </c>
      <c r="D1870" t="inlineStr">
        <is>
          <t>VÄSTERNORRLANDS LÄN</t>
        </is>
      </c>
      <c r="E1870" t="inlineStr">
        <is>
          <t>ÅNGE</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26952-2024</t>
        </is>
      </c>
      <c r="B1871" s="1" t="n">
        <v>45470</v>
      </c>
      <c r="C1871" s="1" t="n">
        <v>45579</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26957-2024</t>
        </is>
      </c>
      <c r="B1872" s="1" t="n">
        <v>45470</v>
      </c>
      <c r="C1872" s="1" t="n">
        <v>45579</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26945-2024</t>
        </is>
      </c>
      <c r="B1873" s="1" t="n">
        <v>45471</v>
      </c>
      <c r="C1873" s="1" t="n">
        <v>45579</v>
      </c>
      <c r="D1873" t="inlineStr">
        <is>
          <t>VÄSTERNORRLANDS LÄN</t>
        </is>
      </c>
      <c r="E1873" t="inlineStr">
        <is>
          <t>ÅNGE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27306-2024</t>
        </is>
      </c>
      <c r="B1874" s="1" t="n">
        <v>45472</v>
      </c>
      <c r="C1874" s="1" t="n">
        <v>45579</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27321-2024</t>
        </is>
      </c>
      <c r="B1875" s="1" t="n">
        <v>45471</v>
      </c>
      <c r="C1875" s="1" t="n">
        <v>45579</v>
      </c>
      <c r="D1875" t="inlineStr">
        <is>
          <t>VÄSTERNORRLANDS LÄN</t>
        </is>
      </c>
      <c r="E1875" t="inlineStr">
        <is>
          <t>ÅNGE</t>
        </is>
      </c>
      <c r="F1875" t="inlineStr">
        <is>
          <t>SCA</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27668-2024</t>
        </is>
      </c>
      <c r="B1876" s="1" t="n">
        <v>45475</v>
      </c>
      <c r="C1876" s="1" t="n">
        <v>45579</v>
      </c>
      <c r="D1876" t="inlineStr">
        <is>
          <t>VÄSTERNORRLANDS LÄN</t>
        </is>
      </c>
      <c r="E1876" t="inlineStr">
        <is>
          <t>ÅNGE</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27468-2024</t>
        </is>
      </c>
      <c r="B1877" s="1" t="n">
        <v>45474</v>
      </c>
      <c r="C1877" s="1" t="n">
        <v>45579</v>
      </c>
      <c r="D1877" t="inlineStr">
        <is>
          <t>VÄSTERNORRLANDS LÄN</t>
        </is>
      </c>
      <c r="E1877" t="inlineStr">
        <is>
          <t>ÅNGE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27461-2024</t>
        </is>
      </c>
      <c r="B1878" s="1" t="n">
        <v>45474</v>
      </c>
      <c r="C1878" s="1" t="n">
        <v>45579</v>
      </c>
      <c r="D1878" t="inlineStr">
        <is>
          <t>VÄSTERNORRLANDS LÄN</t>
        </is>
      </c>
      <c r="E1878" t="inlineStr">
        <is>
          <t>ÅNGE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27630-2024</t>
        </is>
      </c>
      <c r="B1879" s="1" t="n">
        <v>45474</v>
      </c>
      <c r="C1879" s="1" t="n">
        <v>45579</v>
      </c>
      <c r="D1879" t="inlineStr">
        <is>
          <t>VÄSTERNORRLANDS LÄN</t>
        </is>
      </c>
      <c r="E1879" t="inlineStr">
        <is>
          <t>ÅNGE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27629-2024</t>
        </is>
      </c>
      <c r="B1880" s="1" t="n">
        <v>45474</v>
      </c>
      <c r="C1880" s="1" t="n">
        <v>45579</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27661-2024</t>
        </is>
      </c>
      <c r="B1881" s="1" t="n">
        <v>45475</v>
      </c>
      <c r="C1881" s="1" t="n">
        <v>45579</v>
      </c>
      <c r="D1881" t="inlineStr">
        <is>
          <t>VÄSTERNORRLANDS LÄN</t>
        </is>
      </c>
      <c r="E1881" t="inlineStr">
        <is>
          <t>ÅNGE</t>
        </is>
      </c>
      <c r="F1881" t="inlineStr">
        <is>
          <t>SCA</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27935-2024</t>
        </is>
      </c>
      <c r="B1882" s="1" t="n">
        <v>45475</v>
      </c>
      <c r="C1882" s="1" t="n">
        <v>45579</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27915-2024</t>
        </is>
      </c>
      <c r="B1883" s="1" t="n">
        <v>45475</v>
      </c>
      <c r="C1883" s="1" t="n">
        <v>45579</v>
      </c>
      <c r="D1883" t="inlineStr">
        <is>
          <t>VÄSTERNORRLANDS LÄN</t>
        </is>
      </c>
      <c r="E1883" t="inlineStr">
        <is>
          <t>ÅNGE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27853-2024</t>
        </is>
      </c>
      <c r="B1884" s="1" t="n">
        <v>45475</v>
      </c>
      <c r="C1884" s="1" t="n">
        <v>45579</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28171-2024</t>
        </is>
      </c>
      <c r="B1885" s="1" t="n">
        <v>45477</v>
      </c>
      <c r="C1885" s="1" t="n">
        <v>45579</v>
      </c>
      <c r="D1885" t="inlineStr">
        <is>
          <t>VÄSTERNORRLANDS LÄN</t>
        </is>
      </c>
      <c r="E1885" t="inlineStr">
        <is>
          <t>ÅNGE</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27952-2024</t>
        </is>
      </c>
      <c r="B1886" s="1" t="n">
        <v>45476</v>
      </c>
      <c r="C1886" s="1" t="n">
        <v>45579</v>
      </c>
      <c r="D1886" t="inlineStr">
        <is>
          <t>VÄSTERNORRLANDS LÄN</t>
        </is>
      </c>
      <c r="E1886" t="inlineStr">
        <is>
          <t>ÅNGE</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28506-2024</t>
        </is>
      </c>
      <c r="B1887" s="1" t="n">
        <v>45478</v>
      </c>
      <c r="C1887" s="1" t="n">
        <v>45579</v>
      </c>
      <c r="D1887" t="inlineStr">
        <is>
          <t>VÄSTERNORRLANDS LÄN</t>
        </is>
      </c>
      <c r="E1887" t="inlineStr">
        <is>
          <t>ÅNGE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28504-2024</t>
        </is>
      </c>
      <c r="B1888" s="1" t="n">
        <v>45477</v>
      </c>
      <c r="C1888" s="1" t="n">
        <v>45579</v>
      </c>
      <c r="D1888" t="inlineStr">
        <is>
          <t>VÄSTERNORRLANDS LÄN</t>
        </is>
      </c>
      <c r="E1888" t="inlineStr">
        <is>
          <t>ÅNGE</t>
        </is>
      </c>
      <c r="F1888" t="inlineStr">
        <is>
          <t>SCA</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28873-2024</t>
        </is>
      </c>
      <c r="B1889" s="1" t="n">
        <v>45479</v>
      </c>
      <c r="C1889" s="1" t="n">
        <v>45579</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28604-2024</t>
        </is>
      </c>
      <c r="B1890" s="1" t="n">
        <v>45478</v>
      </c>
      <c r="C1890" s="1" t="n">
        <v>45579</v>
      </c>
      <c r="D1890" t="inlineStr">
        <is>
          <t>VÄSTERNORRLANDS LÄN</t>
        </is>
      </c>
      <c r="E1890" t="inlineStr">
        <is>
          <t>ÅNGE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29088-2024</t>
        </is>
      </c>
      <c r="B1891" s="1" t="n">
        <v>45481</v>
      </c>
      <c r="C1891" s="1" t="n">
        <v>45579</v>
      </c>
      <c r="D1891" t="inlineStr">
        <is>
          <t>VÄSTERNORRLANDS LÄN</t>
        </is>
      </c>
      <c r="E1891" t="inlineStr">
        <is>
          <t>ÅNGE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29270-2024</t>
        </is>
      </c>
      <c r="B1892" s="1" t="n">
        <v>45483</v>
      </c>
      <c r="C1892" s="1" t="n">
        <v>45579</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29193-2024</t>
        </is>
      </c>
      <c r="B1893" s="1" t="n">
        <v>45482</v>
      </c>
      <c r="C1893" s="1" t="n">
        <v>45579</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29268-2024</t>
        </is>
      </c>
      <c r="B1894" s="1" t="n">
        <v>45482</v>
      </c>
      <c r="C1894" s="1" t="n">
        <v>45579</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29196-2024</t>
        </is>
      </c>
      <c r="B1895" s="1" t="n">
        <v>45482</v>
      </c>
      <c r="C1895" s="1" t="n">
        <v>45579</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29251-2024</t>
        </is>
      </c>
      <c r="B1896" s="1" t="n">
        <v>45483</v>
      </c>
      <c r="C1896" s="1" t="n">
        <v>45579</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29259-2024</t>
        </is>
      </c>
      <c r="B1897" s="1" t="n">
        <v>45483</v>
      </c>
      <c r="C1897" s="1" t="n">
        <v>45579</v>
      </c>
      <c r="D1897" t="inlineStr">
        <is>
          <t>VÄSTERNORRLANDS LÄN</t>
        </is>
      </c>
      <c r="E1897" t="inlineStr">
        <is>
          <t>ÅNGE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29271-2024</t>
        </is>
      </c>
      <c r="B1898" s="1" t="n">
        <v>45482</v>
      </c>
      <c r="C1898" s="1" t="n">
        <v>45579</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29395-2024</t>
        </is>
      </c>
      <c r="B1899" s="1" t="n">
        <v>45483</v>
      </c>
      <c r="C1899" s="1" t="n">
        <v>45579</v>
      </c>
      <c r="D1899" t="inlineStr">
        <is>
          <t>VÄSTERNORRLANDS LÄN</t>
        </is>
      </c>
      <c r="E1899" t="inlineStr">
        <is>
          <t>ÅNGE</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29421-2024</t>
        </is>
      </c>
      <c r="B1900" s="1" t="n">
        <v>45483</v>
      </c>
      <c r="C1900" s="1" t="n">
        <v>45579</v>
      </c>
      <c r="D1900" t="inlineStr">
        <is>
          <t>VÄSTERNORRLANDS LÄN</t>
        </is>
      </c>
      <c r="E1900" t="inlineStr">
        <is>
          <t>ÅNGE</t>
        </is>
      </c>
      <c r="F1900" t="inlineStr">
        <is>
          <t>Kyrkan</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29458-2024</t>
        </is>
      </c>
      <c r="B1901" s="1" t="n">
        <v>45484</v>
      </c>
      <c r="C1901" s="1" t="n">
        <v>45579</v>
      </c>
      <c r="D1901" t="inlineStr">
        <is>
          <t>VÄSTERNORRLANDS LÄN</t>
        </is>
      </c>
      <c r="E1901" t="inlineStr">
        <is>
          <t>ÅNGE</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29462-2024</t>
        </is>
      </c>
      <c r="B1902" s="1" t="n">
        <v>45484</v>
      </c>
      <c r="C1902" s="1" t="n">
        <v>45579</v>
      </c>
      <c r="D1902" t="inlineStr">
        <is>
          <t>VÄSTERNORRLANDS LÄN</t>
        </is>
      </c>
      <c r="E1902" t="inlineStr">
        <is>
          <t>ÅNGE</t>
        </is>
      </c>
      <c r="F1902" t="inlineStr">
        <is>
          <t>SCA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29470-2024</t>
        </is>
      </c>
      <c r="B1903" s="1" t="n">
        <v>45484</v>
      </c>
      <c r="C1903" s="1" t="n">
        <v>45579</v>
      </c>
      <c r="D1903" t="inlineStr">
        <is>
          <t>VÄSTERNORRLANDS LÄN</t>
        </is>
      </c>
      <c r="E1903" t="inlineStr">
        <is>
          <t>ÅNGE</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29673-2024</t>
        </is>
      </c>
      <c r="B1904" s="1" t="n">
        <v>45485</v>
      </c>
      <c r="C1904" s="1" t="n">
        <v>45579</v>
      </c>
      <c r="D1904" t="inlineStr">
        <is>
          <t>VÄSTERNORRLANDS LÄN</t>
        </is>
      </c>
      <c r="E1904" t="inlineStr">
        <is>
          <t>ÅNGE</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29667-2024</t>
        </is>
      </c>
      <c r="B1905" s="1" t="n">
        <v>45485</v>
      </c>
      <c r="C1905" s="1" t="n">
        <v>45579</v>
      </c>
      <c r="D1905" t="inlineStr">
        <is>
          <t>VÄSTERNORRLANDS LÄN</t>
        </is>
      </c>
      <c r="E1905" t="inlineStr">
        <is>
          <t>ÅNGE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29699-2024</t>
        </is>
      </c>
      <c r="B1906" s="1" t="n">
        <v>45484</v>
      </c>
      <c r="C1906" s="1" t="n">
        <v>45579</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29666-2024</t>
        </is>
      </c>
      <c r="B1907" s="1" t="n">
        <v>45484</v>
      </c>
      <c r="C1907" s="1" t="n">
        <v>45579</v>
      </c>
      <c r="D1907" t="inlineStr">
        <is>
          <t>VÄSTERNORRLANDS LÄN</t>
        </is>
      </c>
      <c r="E1907" t="inlineStr">
        <is>
          <t>ÅNGE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29664-2024</t>
        </is>
      </c>
      <c r="B1908" s="1" t="n">
        <v>45484</v>
      </c>
      <c r="C1908" s="1" t="n">
        <v>45579</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29697-2024</t>
        </is>
      </c>
      <c r="B1909" s="1" t="n">
        <v>45484</v>
      </c>
      <c r="C1909" s="1" t="n">
        <v>45579</v>
      </c>
      <c r="D1909" t="inlineStr">
        <is>
          <t>VÄSTERNORRLANDS LÄN</t>
        </is>
      </c>
      <c r="E1909" t="inlineStr">
        <is>
          <t>ÅNGE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29696-2024</t>
        </is>
      </c>
      <c r="B1910" s="1" t="n">
        <v>45485</v>
      </c>
      <c r="C1910" s="1" t="n">
        <v>45579</v>
      </c>
      <c r="D1910" t="inlineStr">
        <is>
          <t>VÄSTERNORRLANDS LÄN</t>
        </is>
      </c>
      <c r="E1910" t="inlineStr">
        <is>
          <t>ÅNGE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29702-2024</t>
        </is>
      </c>
      <c r="B1911" s="1" t="n">
        <v>45485</v>
      </c>
      <c r="C1911" s="1" t="n">
        <v>45579</v>
      </c>
      <c r="D1911" t="inlineStr">
        <is>
          <t>VÄSTERNORRLANDS LÄN</t>
        </is>
      </c>
      <c r="E1911" t="inlineStr">
        <is>
          <t>ÅNGE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29848-2024</t>
        </is>
      </c>
      <c r="B1912" s="1" t="n">
        <v>45485</v>
      </c>
      <c r="C1912" s="1" t="n">
        <v>45579</v>
      </c>
      <c r="D1912" t="inlineStr">
        <is>
          <t>VÄSTERNORRLANDS LÄN</t>
        </is>
      </c>
      <c r="E1912" t="inlineStr">
        <is>
          <t>ÅNGE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30055-2024</t>
        </is>
      </c>
      <c r="B1913" s="1" t="n">
        <v>45489</v>
      </c>
      <c r="C1913" s="1" t="n">
        <v>45579</v>
      </c>
      <c r="D1913" t="inlineStr">
        <is>
          <t>VÄSTERNORRLANDS LÄN</t>
        </is>
      </c>
      <c r="E1913" t="inlineStr">
        <is>
          <t>ÅNGE</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30054-2024</t>
        </is>
      </c>
      <c r="B1914" s="1" t="n">
        <v>45489</v>
      </c>
      <c r="C1914" s="1" t="n">
        <v>45579</v>
      </c>
      <c r="D1914" t="inlineStr">
        <is>
          <t>VÄSTERNORRLANDS LÄN</t>
        </is>
      </c>
      <c r="E1914" t="inlineStr">
        <is>
          <t>ÅNGE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30235-2024</t>
        </is>
      </c>
      <c r="B1915" s="1" t="n">
        <v>45490</v>
      </c>
      <c r="C1915" s="1" t="n">
        <v>45579</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30256-2024</t>
        </is>
      </c>
      <c r="B1916" s="1" t="n">
        <v>45490</v>
      </c>
      <c r="C1916" s="1" t="n">
        <v>45579</v>
      </c>
      <c r="D1916" t="inlineStr">
        <is>
          <t>VÄSTERNORRLANDS LÄN</t>
        </is>
      </c>
      <c r="E1916" t="inlineStr">
        <is>
          <t>ÅNGE</t>
        </is>
      </c>
      <c r="G1916" t="n">
        <v>22.8</v>
      </c>
      <c r="H1916" t="n">
        <v>0</v>
      </c>
      <c r="I1916" t="n">
        <v>0</v>
      </c>
      <c r="J1916" t="n">
        <v>0</v>
      </c>
      <c r="K1916" t="n">
        <v>0</v>
      </c>
      <c r="L1916" t="n">
        <v>0</v>
      </c>
      <c r="M1916" t="n">
        <v>0</v>
      </c>
      <c r="N1916" t="n">
        <v>0</v>
      </c>
      <c r="O1916" t="n">
        <v>0</v>
      </c>
      <c r="P1916" t="n">
        <v>0</v>
      </c>
      <c r="Q1916" t="n">
        <v>0</v>
      </c>
      <c r="R1916" s="2" t="inlineStr"/>
    </row>
    <row r="1917" ht="15" customHeight="1">
      <c r="A1917" t="inlineStr">
        <is>
          <t>A 30222-2024</t>
        </is>
      </c>
      <c r="B1917" s="1" t="n">
        <v>45490</v>
      </c>
      <c r="C1917" s="1" t="n">
        <v>45579</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30217-2024</t>
        </is>
      </c>
      <c r="B1918" s="1" t="n">
        <v>45490</v>
      </c>
      <c r="C1918" s="1" t="n">
        <v>45579</v>
      </c>
      <c r="D1918" t="inlineStr">
        <is>
          <t>VÄSTERNORRLANDS LÄN</t>
        </is>
      </c>
      <c r="E1918" t="inlineStr">
        <is>
          <t>ÅNGE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30346-2024</t>
        </is>
      </c>
      <c r="B1919" s="1" t="n">
        <v>45491</v>
      </c>
      <c r="C1919" s="1" t="n">
        <v>45579</v>
      </c>
      <c r="D1919" t="inlineStr">
        <is>
          <t>VÄSTERNORRLANDS LÄN</t>
        </is>
      </c>
      <c r="E1919" t="inlineStr">
        <is>
          <t>ÅNGE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30348-2024</t>
        </is>
      </c>
      <c r="B1920" s="1" t="n">
        <v>45491</v>
      </c>
      <c r="C1920" s="1" t="n">
        <v>45579</v>
      </c>
      <c r="D1920" t="inlineStr">
        <is>
          <t>VÄSTERNORRLANDS LÄN</t>
        </is>
      </c>
      <c r="E1920" t="inlineStr">
        <is>
          <t>ÅNGE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30353-2024</t>
        </is>
      </c>
      <c r="B1921" s="1" t="n">
        <v>45491</v>
      </c>
      <c r="C1921" s="1" t="n">
        <v>45579</v>
      </c>
      <c r="D1921" t="inlineStr">
        <is>
          <t>VÄSTERNORRLANDS LÄN</t>
        </is>
      </c>
      <c r="E1921" t="inlineStr">
        <is>
          <t>ÅNGE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30347-2024</t>
        </is>
      </c>
      <c r="B1922" s="1" t="n">
        <v>45491</v>
      </c>
      <c r="C1922" s="1" t="n">
        <v>45579</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30469-2024</t>
        </is>
      </c>
      <c r="B1923" s="1" t="n">
        <v>45491</v>
      </c>
      <c r="C1923" s="1" t="n">
        <v>45579</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30481-2024</t>
        </is>
      </c>
      <c r="B1924" s="1" t="n">
        <v>45492</v>
      </c>
      <c r="C1924" s="1" t="n">
        <v>45579</v>
      </c>
      <c r="D1924" t="inlineStr">
        <is>
          <t>VÄSTERNORRLANDS LÄN</t>
        </is>
      </c>
      <c r="E1924" t="inlineStr">
        <is>
          <t>ÅNGE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30474-2024</t>
        </is>
      </c>
      <c r="B1925" s="1" t="n">
        <v>45491</v>
      </c>
      <c r="C1925" s="1" t="n">
        <v>45579</v>
      </c>
      <c r="D1925" t="inlineStr">
        <is>
          <t>VÄSTERNORRLANDS LÄN</t>
        </is>
      </c>
      <c r="E1925" t="inlineStr">
        <is>
          <t>ÅNGE</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30478-2024</t>
        </is>
      </c>
      <c r="B1926" s="1" t="n">
        <v>45492</v>
      </c>
      <c r="C1926" s="1" t="n">
        <v>45579</v>
      </c>
      <c r="D1926" t="inlineStr">
        <is>
          <t>VÄSTERNORRLANDS LÄN</t>
        </is>
      </c>
      <c r="E1926" t="inlineStr">
        <is>
          <t>ÅNGE</t>
        </is>
      </c>
      <c r="F1926" t="inlineStr">
        <is>
          <t>SCA</t>
        </is>
      </c>
      <c r="G1926" t="n">
        <v>2</v>
      </c>
      <c r="H1926" t="n">
        <v>0</v>
      </c>
      <c r="I1926" t="n">
        <v>0</v>
      </c>
      <c r="J1926" t="n">
        <v>0</v>
      </c>
      <c r="K1926" t="n">
        <v>0</v>
      </c>
      <c r="L1926" t="n">
        <v>0</v>
      </c>
      <c r="M1926" t="n">
        <v>0</v>
      </c>
      <c r="N1926" t="n">
        <v>0</v>
      </c>
      <c r="O1926" t="n">
        <v>0</v>
      </c>
      <c r="P1926" t="n">
        <v>0</v>
      </c>
      <c r="Q1926" t="n">
        <v>0</v>
      </c>
      <c r="R1926" s="2" t="inlineStr"/>
      <c r="U1926">
        <f>HYPERLINK("https://klasma.github.io/Logging_2260/knärot/A 30478-2024 karta knärot.png", "A 30478-2024")</f>
        <v/>
      </c>
      <c r="V1926">
        <f>HYPERLINK("https://klasma.github.io/Logging_2260/klagomål/A 30478-2024 FSC-klagomål.docx", "A 30478-2024")</f>
        <v/>
      </c>
      <c r="W1926">
        <f>HYPERLINK("https://klasma.github.io/Logging_2260/klagomålsmail/A 30478-2024 FSC-klagomål mail.docx", "A 30478-2024")</f>
        <v/>
      </c>
      <c r="X1926">
        <f>HYPERLINK("https://klasma.github.io/Logging_2260/tillsyn/A 30478-2024 tillsynsbegäran.docx", "A 30478-2024")</f>
        <v/>
      </c>
      <c r="Y1926">
        <f>HYPERLINK("https://klasma.github.io/Logging_2260/tillsynsmail/A 30478-2024 tillsynsbegäran mail.docx", "A 30478-2024")</f>
        <v/>
      </c>
    </row>
    <row r="1927" ht="15" customHeight="1">
      <c r="A1927" t="inlineStr">
        <is>
          <t>A 30467-2024</t>
        </is>
      </c>
      <c r="B1927" s="1" t="n">
        <v>45492</v>
      </c>
      <c r="C1927" s="1" t="n">
        <v>45579</v>
      </c>
      <c r="D1927" t="inlineStr">
        <is>
          <t>VÄSTERNORRLANDS LÄN</t>
        </is>
      </c>
      <c r="E1927" t="inlineStr">
        <is>
          <t>ÅNGE</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HYPERLINK("https://klasma.github.io/Logging_2260/knärot/A 30467-2024 karta knärot.png", "A 30467-2024")</f>
        <v/>
      </c>
      <c r="V1927">
        <f>HYPERLINK("https://klasma.github.io/Logging_2260/klagomål/A 30467-2024 FSC-klagomål.docx", "A 30467-2024")</f>
        <v/>
      </c>
      <c r="W1927">
        <f>HYPERLINK("https://klasma.github.io/Logging_2260/klagomålsmail/A 30467-2024 FSC-klagomål mail.docx", "A 30467-2024")</f>
        <v/>
      </c>
      <c r="X1927">
        <f>HYPERLINK("https://klasma.github.io/Logging_2260/tillsyn/A 30467-2024 tillsynsbegäran.docx", "A 30467-2024")</f>
        <v/>
      </c>
      <c r="Y1927">
        <f>HYPERLINK("https://klasma.github.io/Logging_2260/tillsynsmail/A 30467-2024 tillsynsbegäran mail.docx", "A 30467-2024")</f>
        <v/>
      </c>
    </row>
    <row r="1928" ht="15" customHeight="1">
      <c r="A1928" t="inlineStr">
        <is>
          <t>A 30475-2024</t>
        </is>
      </c>
      <c r="B1928" s="1" t="n">
        <v>45491</v>
      </c>
      <c r="C1928" s="1" t="n">
        <v>45579</v>
      </c>
      <c r="D1928" t="inlineStr">
        <is>
          <t>VÄSTERNORRLANDS LÄN</t>
        </is>
      </c>
      <c r="E1928" t="inlineStr">
        <is>
          <t>ÅNGE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30568-2024</t>
        </is>
      </c>
      <c r="B1929" s="1" t="n">
        <v>45493</v>
      </c>
      <c r="C1929" s="1" t="n">
        <v>45579</v>
      </c>
      <c r="D1929" t="inlineStr">
        <is>
          <t>VÄSTERNORRLANDS LÄN</t>
        </is>
      </c>
      <c r="E1929" t="inlineStr">
        <is>
          <t>ÅNGE</t>
        </is>
      </c>
      <c r="F1929" t="inlineStr">
        <is>
          <t>SCA</t>
        </is>
      </c>
      <c r="G1929" t="n">
        <v>7.9</v>
      </c>
      <c r="H1929" t="n">
        <v>0</v>
      </c>
      <c r="I1929" t="n">
        <v>0</v>
      </c>
      <c r="J1929" t="n">
        <v>0</v>
      </c>
      <c r="K1929" t="n">
        <v>0</v>
      </c>
      <c r="L1929" t="n">
        <v>0</v>
      </c>
      <c r="M1929" t="n">
        <v>0</v>
      </c>
      <c r="N1929" t="n">
        <v>0</v>
      </c>
      <c r="O1929" t="n">
        <v>0</v>
      </c>
      <c r="P1929" t="n">
        <v>0</v>
      </c>
      <c r="Q1929" t="n">
        <v>0</v>
      </c>
      <c r="R1929" s="2" t="inlineStr"/>
      <c r="U1929">
        <f>HYPERLINK("https://klasma.github.io/Logging_2260/knärot/A 30568-2024 karta knärot.png", "A 30568-2024")</f>
        <v/>
      </c>
      <c r="V1929">
        <f>HYPERLINK("https://klasma.github.io/Logging_2260/klagomål/A 30568-2024 FSC-klagomål.docx", "A 30568-2024")</f>
        <v/>
      </c>
      <c r="W1929">
        <f>HYPERLINK("https://klasma.github.io/Logging_2260/klagomålsmail/A 30568-2024 FSC-klagomål mail.docx", "A 30568-2024")</f>
        <v/>
      </c>
      <c r="X1929">
        <f>HYPERLINK("https://klasma.github.io/Logging_2260/tillsyn/A 30568-2024 tillsynsbegäran.docx", "A 30568-2024")</f>
        <v/>
      </c>
      <c r="Y1929">
        <f>HYPERLINK("https://klasma.github.io/Logging_2260/tillsynsmail/A 30568-2024 tillsynsbegäran mail.docx", "A 30568-2024")</f>
        <v/>
      </c>
    </row>
    <row r="1930" ht="15" customHeight="1">
      <c r="A1930" t="inlineStr">
        <is>
          <t>A 30683-2024</t>
        </is>
      </c>
      <c r="B1930" s="1" t="n">
        <v>45495</v>
      </c>
      <c r="C1930" s="1" t="n">
        <v>45579</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30687-2024</t>
        </is>
      </c>
      <c r="B1931" s="1" t="n">
        <v>45496</v>
      </c>
      <c r="C1931" s="1" t="n">
        <v>45579</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30682-2024</t>
        </is>
      </c>
      <c r="B1932" s="1" t="n">
        <v>45496</v>
      </c>
      <c r="C1932" s="1" t="n">
        <v>45579</v>
      </c>
      <c r="D1932" t="inlineStr">
        <is>
          <t>VÄSTERNORRLANDS LÄN</t>
        </is>
      </c>
      <c r="E1932" t="inlineStr">
        <is>
          <t>ÅNGE</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30754-2024</t>
        </is>
      </c>
      <c r="B1933" s="1" t="n">
        <v>45496</v>
      </c>
      <c r="C1933" s="1" t="n">
        <v>45579</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30774-2024</t>
        </is>
      </c>
      <c r="B1934" s="1" t="n">
        <v>45497</v>
      </c>
      <c r="C1934" s="1" t="n">
        <v>45579</v>
      </c>
      <c r="D1934" t="inlineStr">
        <is>
          <t>VÄSTERNORRLANDS LÄN</t>
        </is>
      </c>
      <c r="E1934" t="inlineStr">
        <is>
          <t>ÅNGE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30751-2024</t>
        </is>
      </c>
      <c r="B1935" s="1" t="n">
        <v>45496</v>
      </c>
      <c r="C1935" s="1" t="n">
        <v>45579</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30747-2024</t>
        </is>
      </c>
      <c r="B1936" s="1" t="n">
        <v>45496</v>
      </c>
      <c r="C1936" s="1" t="n">
        <v>45579</v>
      </c>
      <c r="D1936" t="inlineStr">
        <is>
          <t>VÄSTERNORRLANDS LÄN</t>
        </is>
      </c>
      <c r="E1936" t="inlineStr">
        <is>
          <t>ÅNGE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30753-2024</t>
        </is>
      </c>
      <c r="B1937" s="1" t="n">
        <v>45496</v>
      </c>
      <c r="C1937" s="1" t="n">
        <v>45579</v>
      </c>
      <c r="D1937" t="inlineStr">
        <is>
          <t>VÄSTERNORRLANDS LÄN</t>
        </is>
      </c>
      <c r="E1937" t="inlineStr">
        <is>
          <t>ÅNGE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31177-2024</t>
        </is>
      </c>
      <c r="B1938" s="1" t="n">
        <v>45503</v>
      </c>
      <c r="C1938" s="1" t="n">
        <v>45579</v>
      </c>
      <c r="D1938" t="inlineStr">
        <is>
          <t>VÄSTERNORRLANDS LÄN</t>
        </is>
      </c>
      <c r="E1938" t="inlineStr">
        <is>
          <t>ÅNGE</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31182-2024</t>
        </is>
      </c>
      <c r="B1939" s="1" t="n">
        <v>45503</v>
      </c>
      <c r="C1939" s="1" t="n">
        <v>45579</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31184-2024</t>
        </is>
      </c>
      <c r="B1940" s="1" t="n">
        <v>45503</v>
      </c>
      <c r="C1940" s="1" t="n">
        <v>45579</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31568-2024</t>
        </is>
      </c>
      <c r="B1941" s="1" t="n">
        <v>45506</v>
      </c>
      <c r="C1941" s="1" t="n">
        <v>45579</v>
      </c>
      <c r="D1941" t="inlineStr">
        <is>
          <t>VÄSTERNORRLANDS LÄN</t>
        </is>
      </c>
      <c r="E1941" t="inlineStr">
        <is>
          <t>ÅNGE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31492-2024</t>
        </is>
      </c>
      <c r="B1942" s="1" t="n">
        <v>45505</v>
      </c>
      <c r="C1942" s="1" t="n">
        <v>45579</v>
      </c>
      <c r="D1942" t="inlineStr">
        <is>
          <t>VÄSTERNORRLANDS LÄN</t>
        </is>
      </c>
      <c r="E1942" t="inlineStr">
        <is>
          <t>ÅNGE</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31545-2024</t>
        </is>
      </c>
      <c r="B1943" s="1" t="n">
        <v>45505</v>
      </c>
      <c r="C1943" s="1" t="n">
        <v>45579</v>
      </c>
      <c r="D1943" t="inlineStr">
        <is>
          <t>VÄSTERNORRLANDS LÄN</t>
        </is>
      </c>
      <c r="E1943" t="inlineStr">
        <is>
          <t>ÅNGE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31457-2024</t>
        </is>
      </c>
      <c r="B1944" s="1" t="n">
        <v>45505</v>
      </c>
      <c r="C1944" s="1" t="n">
        <v>45579</v>
      </c>
      <c r="D1944" t="inlineStr">
        <is>
          <t>VÄSTERNORRLANDS LÄN</t>
        </is>
      </c>
      <c r="E1944" t="inlineStr">
        <is>
          <t>ÅNGE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31563-2024</t>
        </is>
      </c>
      <c r="B1945" s="1" t="n">
        <v>45505</v>
      </c>
      <c r="C1945" s="1" t="n">
        <v>45579</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31447-2024</t>
        </is>
      </c>
      <c r="B1946" s="1" t="n">
        <v>45506</v>
      </c>
      <c r="C1946" s="1" t="n">
        <v>45579</v>
      </c>
      <c r="D1946" t="inlineStr">
        <is>
          <t>VÄSTERNORRLANDS LÄN</t>
        </is>
      </c>
      <c r="E1946" t="inlineStr">
        <is>
          <t>ÅNGE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31671-2024</t>
        </is>
      </c>
      <c r="B1947" s="1" t="n">
        <v>45507</v>
      </c>
      <c r="C1947" s="1" t="n">
        <v>45579</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31729-2024</t>
        </is>
      </c>
      <c r="B1948" s="1" t="n">
        <v>45509</v>
      </c>
      <c r="C1948" s="1" t="n">
        <v>45579</v>
      </c>
      <c r="D1948" t="inlineStr">
        <is>
          <t>VÄSTERNORRLANDS LÄN</t>
        </is>
      </c>
      <c r="E1948" t="inlineStr">
        <is>
          <t>ÅNGE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31863-2024</t>
        </is>
      </c>
      <c r="B1949" s="1" t="n">
        <v>45509</v>
      </c>
      <c r="C1949" s="1" t="n">
        <v>45579</v>
      </c>
      <c r="D1949" t="inlineStr">
        <is>
          <t>VÄSTERNORRLANDS LÄN</t>
        </is>
      </c>
      <c r="E1949" t="inlineStr">
        <is>
          <t>ÅNGE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31864-2024</t>
        </is>
      </c>
      <c r="B1950" s="1" t="n">
        <v>45509</v>
      </c>
      <c r="C1950" s="1" t="n">
        <v>45579</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31866-2024</t>
        </is>
      </c>
      <c r="B1951" s="1" t="n">
        <v>45509</v>
      </c>
      <c r="C1951" s="1" t="n">
        <v>45579</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31867-2024</t>
        </is>
      </c>
      <c r="B1952" s="1" t="n">
        <v>45509</v>
      </c>
      <c r="C1952" s="1" t="n">
        <v>45579</v>
      </c>
      <c r="D1952" t="inlineStr">
        <is>
          <t>VÄSTERNORRLANDS LÄN</t>
        </is>
      </c>
      <c r="E1952" t="inlineStr">
        <is>
          <t>ÅNGE</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32053-2024</t>
        </is>
      </c>
      <c r="B1953" s="1" t="n">
        <v>45510</v>
      </c>
      <c r="C1953" s="1" t="n">
        <v>45579</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32054-2024</t>
        </is>
      </c>
      <c r="B1954" s="1" t="n">
        <v>45510</v>
      </c>
      <c r="C1954" s="1" t="n">
        <v>45579</v>
      </c>
      <c r="D1954" t="inlineStr">
        <is>
          <t>VÄSTERNORRLANDS LÄN</t>
        </is>
      </c>
      <c r="E1954" t="inlineStr">
        <is>
          <t>ÅNGE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32055-2024</t>
        </is>
      </c>
      <c r="B1955" s="1" t="n">
        <v>45510</v>
      </c>
      <c r="C1955" s="1" t="n">
        <v>45579</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32245-2024</t>
        </is>
      </c>
      <c r="B1956" s="1" t="n">
        <v>45511</v>
      </c>
      <c r="C1956" s="1" t="n">
        <v>45579</v>
      </c>
      <c r="D1956" t="inlineStr">
        <is>
          <t>VÄSTERNORRLANDS LÄN</t>
        </is>
      </c>
      <c r="E1956" t="inlineStr">
        <is>
          <t>ÅNGE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32257-2024</t>
        </is>
      </c>
      <c r="B1957" s="1" t="n">
        <v>45511</v>
      </c>
      <c r="C1957" s="1" t="n">
        <v>45579</v>
      </c>
      <c r="D1957" t="inlineStr">
        <is>
          <t>VÄSTERNORRLANDS LÄN</t>
        </is>
      </c>
      <c r="E1957" t="inlineStr">
        <is>
          <t>ÅNGE</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32458-2024</t>
        </is>
      </c>
      <c r="B1958" s="1" t="n">
        <v>45512</v>
      </c>
      <c r="C1958" s="1" t="n">
        <v>45579</v>
      </c>
      <c r="D1958" t="inlineStr">
        <is>
          <t>VÄSTERNORRLANDS LÄN</t>
        </is>
      </c>
      <c r="E1958" t="inlineStr">
        <is>
          <t>ÅNGE</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32442-2024</t>
        </is>
      </c>
      <c r="B1959" s="1" t="n">
        <v>45512</v>
      </c>
      <c r="C1959" s="1" t="n">
        <v>45579</v>
      </c>
      <c r="D1959" t="inlineStr">
        <is>
          <t>VÄSTERNORRLANDS LÄN</t>
        </is>
      </c>
      <c r="E1959" t="inlineStr">
        <is>
          <t>ÅNGE</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32439-2024</t>
        </is>
      </c>
      <c r="B1960" s="1" t="n">
        <v>45512</v>
      </c>
      <c r="C1960" s="1" t="n">
        <v>45579</v>
      </c>
      <c r="D1960" t="inlineStr">
        <is>
          <t>VÄSTERNORRLANDS LÄN</t>
        </is>
      </c>
      <c r="E1960" t="inlineStr">
        <is>
          <t>ÅNGE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32447-2024</t>
        </is>
      </c>
      <c r="B1961" s="1" t="n">
        <v>45513</v>
      </c>
      <c r="C1961" s="1" t="n">
        <v>45579</v>
      </c>
      <c r="D1961" t="inlineStr">
        <is>
          <t>VÄSTERNORRLANDS LÄN</t>
        </is>
      </c>
      <c r="E1961" t="inlineStr">
        <is>
          <t>ÅNGE</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32384-2024</t>
        </is>
      </c>
      <c r="B1962" s="1" t="n">
        <v>45512</v>
      </c>
      <c r="C1962" s="1" t="n">
        <v>45579</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32640-2024</t>
        </is>
      </c>
      <c r="B1963" s="1" t="n">
        <v>45514</v>
      </c>
      <c r="C1963" s="1" t="n">
        <v>45579</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32641-2024</t>
        </is>
      </c>
      <c r="B1964" s="1" t="n">
        <v>45513</v>
      </c>
      <c r="C1964" s="1" t="n">
        <v>45579</v>
      </c>
      <c r="D1964" t="inlineStr">
        <is>
          <t>VÄSTERNORRLANDS LÄN</t>
        </is>
      </c>
      <c r="E1964" t="inlineStr">
        <is>
          <t>ÅNGE</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32658-2024</t>
        </is>
      </c>
      <c r="B1965" s="1" t="n">
        <v>45513</v>
      </c>
      <c r="C1965" s="1" t="n">
        <v>45579</v>
      </c>
      <c r="D1965" t="inlineStr">
        <is>
          <t>VÄSTERNORRLANDS LÄN</t>
        </is>
      </c>
      <c r="E1965" t="inlineStr">
        <is>
          <t>ÅNGE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32897-2024</t>
        </is>
      </c>
      <c r="B1966" s="1" t="n">
        <v>45517</v>
      </c>
      <c r="C1966" s="1" t="n">
        <v>45579</v>
      </c>
      <c r="D1966" t="inlineStr">
        <is>
          <t>VÄSTERNORRLANDS LÄN</t>
        </is>
      </c>
      <c r="E1966" t="inlineStr">
        <is>
          <t>ÅNGE</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32922-2024</t>
        </is>
      </c>
      <c r="B1967" s="1" t="n">
        <v>45517</v>
      </c>
      <c r="C1967" s="1" t="n">
        <v>45579</v>
      </c>
      <c r="D1967" t="inlineStr">
        <is>
          <t>VÄSTERNORRLANDS LÄN</t>
        </is>
      </c>
      <c r="E1967" t="inlineStr">
        <is>
          <t>ÅNGE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32909-2024</t>
        </is>
      </c>
      <c r="B1968" s="1" t="n">
        <v>45516</v>
      </c>
      <c r="C1968" s="1" t="n">
        <v>45579</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33302-2024</t>
        </is>
      </c>
      <c r="B1969" s="1" t="n">
        <v>45519</v>
      </c>
      <c r="C1969" s="1" t="n">
        <v>45579</v>
      </c>
      <c r="D1969" t="inlineStr">
        <is>
          <t>VÄSTERNORRLANDS LÄN</t>
        </is>
      </c>
      <c r="E1969" t="inlineStr">
        <is>
          <t>ÅNGE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33210-2024</t>
        </is>
      </c>
      <c r="B1970" s="1" t="n">
        <v>45518</v>
      </c>
      <c r="C1970" s="1" t="n">
        <v>45579</v>
      </c>
      <c r="D1970" t="inlineStr">
        <is>
          <t>VÄSTERNORRLANDS LÄN</t>
        </is>
      </c>
      <c r="E1970" t="inlineStr">
        <is>
          <t>ÅNGE</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33313-2024</t>
        </is>
      </c>
      <c r="B1971" s="1" t="n">
        <v>45519</v>
      </c>
      <c r="C1971" s="1" t="n">
        <v>45579</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33305-2024</t>
        </is>
      </c>
      <c r="B1972" s="1" t="n">
        <v>45518</v>
      </c>
      <c r="C1972" s="1" t="n">
        <v>45579</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33306-2024</t>
        </is>
      </c>
      <c r="B1973" s="1" t="n">
        <v>45518</v>
      </c>
      <c r="C1973" s="1" t="n">
        <v>45579</v>
      </c>
      <c r="D1973" t="inlineStr">
        <is>
          <t>VÄSTERNORRLANDS LÄN</t>
        </is>
      </c>
      <c r="E1973" t="inlineStr">
        <is>
          <t>ÅNGE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33395-2024</t>
        </is>
      </c>
      <c r="B1974" s="1" t="n">
        <v>45519</v>
      </c>
      <c r="C1974" s="1" t="n">
        <v>45579</v>
      </c>
      <c r="D1974" t="inlineStr">
        <is>
          <t>VÄSTERNORRLANDS LÄN</t>
        </is>
      </c>
      <c r="E1974" t="inlineStr">
        <is>
          <t>ÅNGE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33373-2024</t>
        </is>
      </c>
      <c r="B1975" s="1" t="n">
        <v>45519</v>
      </c>
      <c r="C1975" s="1" t="n">
        <v>45579</v>
      </c>
      <c r="D1975" t="inlineStr">
        <is>
          <t>VÄSTERNORRLANDS LÄN</t>
        </is>
      </c>
      <c r="E1975" t="inlineStr">
        <is>
          <t>ÅNGE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33468-2024</t>
        </is>
      </c>
      <c r="B1976" s="1" t="n">
        <v>45519</v>
      </c>
      <c r="C1976" s="1" t="n">
        <v>45579</v>
      </c>
      <c r="D1976" t="inlineStr">
        <is>
          <t>VÄSTERNORRLANDS LÄN</t>
        </is>
      </c>
      <c r="E1976" t="inlineStr">
        <is>
          <t>ÅNGE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33747-2024</t>
        </is>
      </c>
      <c r="B1977" s="1" t="n">
        <v>45520</v>
      </c>
      <c r="C1977" s="1" t="n">
        <v>45579</v>
      </c>
      <c r="D1977" t="inlineStr">
        <is>
          <t>VÄSTERNORRLANDS LÄN</t>
        </is>
      </c>
      <c r="E1977" t="inlineStr">
        <is>
          <t>ÅNGE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33631-2024</t>
        </is>
      </c>
      <c r="B1978" s="1" t="n">
        <v>45520</v>
      </c>
      <c r="C1978" s="1" t="n">
        <v>45579</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33783-2024</t>
        </is>
      </c>
      <c r="B1979" s="1" t="n">
        <v>45520</v>
      </c>
      <c r="C1979" s="1" t="n">
        <v>45579</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33740-2024</t>
        </is>
      </c>
      <c r="B1980" s="1" t="n">
        <v>45520</v>
      </c>
      <c r="C1980" s="1" t="n">
        <v>45579</v>
      </c>
      <c r="D1980" t="inlineStr">
        <is>
          <t>VÄSTERNORRLANDS LÄN</t>
        </is>
      </c>
      <c r="E1980" t="inlineStr">
        <is>
          <t>ÅNGE</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33750-2024</t>
        </is>
      </c>
      <c r="B1981" s="1" t="n">
        <v>45520</v>
      </c>
      <c r="C1981" s="1" t="n">
        <v>45579</v>
      </c>
      <c r="D1981" t="inlineStr">
        <is>
          <t>VÄSTERNORRLANDS LÄN</t>
        </is>
      </c>
      <c r="E1981" t="inlineStr">
        <is>
          <t>ÅNGE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33967-2024</t>
        </is>
      </c>
      <c r="B1982" s="1" t="n">
        <v>45523</v>
      </c>
      <c r="C1982" s="1" t="n">
        <v>45579</v>
      </c>
      <c r="D1982" t="inlineStr">
        <is>
          <t>VÄSTERNORRLANDS LÄN</t>
        </is>
      </c>
      <c r="E1982" t="inlineStr">
        <is>
          <t>ÅNGE</t>
        </is>
      </c>
      <c r="F1982" t="inlineStr">
        <is>
          <t>SCA</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34107-2024</t>
        </is>
      </c>
      <c r="B1983" s="1" t="n">
        <v>45523</v>
      </c>
      <c r="C1983" s="1" t="n">
        <v>45579</v>
      </c>
      <c r="D1983" t="inlineStr">
        <is>
          <t>VÄSTERNORRLANDS LÄN</t>
        </is>
      </c>
      <c r="E1983" t="inlineStr">
        <is>
          <t>ÅNGE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34251-2024</t>
        </is>
      </c>
      <c r="B1984" s="1" t="n">
        <v>45524</v>
      </c>
      <c r="C1984" s="1" t="n">
        <v>45579</v>
      </c>
      <c r="D1984" t="inlineStr">
        <is>
          <t>VÄSTERNORRLANDS LÄN</t>
        </is>
      </c>
      <c r="E1984" t="inlineStr">
        <is>
          <t>ÅNGE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34457-2024</t>
        </is>
      </c>
      <c r="B1985" s="1" t="n">
        <v>45525</v>
      </c>
      <c r="C1985" s="1" t="n">
        <v>45579</v>
      </c>
      <c r="D1985" t="inlineStr">
        <is>
          <t>VÄSTERNORRLANDS LÄN</t>
        </is>
      </c>
      <c r="E1985" t="inlineStr">
        <is>
          <t>ÅNGE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34559-2024</t>
        </is>
      </c>
      <c r="B1986" s="1" t="n">
        <v>45526</v>
      </c>
      <c r="C1986" s="1" t="n">
        <v>45579</v>
      </c>
      <c r="D1986" t="inlineStr">
        <is>
          <t>VÄSTERNORRLANDS LÄN</t>
        </is>
      </c>
      <c r="E1986" t="inlineStr">
        <is>
          <t>ÅNGE</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34754-2024</t>
        </is>
      </c>
      <c r="B1987" s="1" t="n">
        <v>45526</v>
      </c>
      <c r="C1987" s="1" t="n">
        <v>45579</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34815-2024</t>
        </is>
      </c>
      <c r="B1988" s="1" t="n">
        <v>45526</v>
      </c>
      <c r="C1988" s="1" t="n">
        <v>45579</v>
      </c>
      <c r="D1988" t="inlineStr">
        <is>
          <t>VÄSTERNORRLANDS LÄN</t>
        </is>
      </c>
      <c r="E1988" t="inlineStr">
        <is>
          <t>ÅNGE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34649-2024</t>
        </is>
      </c>
      <c r="B1989" s="1" t="n">
        <v>45526</v>
      </c>
      <c r="C1989" s="1" t="n">
        <v>45579</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34726-2024</t>
        </is>
      </c>
      <c r="B1990" s="1" t="n">
        <v>45526</v>
      </c>
      <c r="C1990" s="1" t="n">
        <v>45579</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34820-2024</t>
        </is>
      </c>
      <c r="B1991" s="1" t="n">
        <v>45526</v>
      </c>
      <c r="C1991" s="1" t="n">
        <v>45579</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34655-2024</t>
        </is>
      </c>
      <c r="B1992" s="1" t="n">
        <v>45526</v>
      </c>
      <c r="C1992" s="1" t="n">
        <v>45579</v>
      </c>
      <c r="D1992" t="inlineStr">
        <is>
          <t>VÄSTERNORRLANDS LÄN</t>
        </is>
      </c>
      <c r="E1992" t="inlineStr">
        <is>
          <t>ÅNGE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34679-2024</t>
        </is>
      </c>
      <c r="B1993" s="1" t="n">
        <v>45526</v>
      </c>
      <c r="C1993" s="1" t="n">
        <v>45579</v>
      </c>
      <c r="D1993" t="inlineStr">
        <is>
          <t>VÄSTERNORRLANDS LÄN</t>
        </is>
      </c>
      <c r="E1993" t="inlineStr">
        <is>
          <t>ÅNGE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34691-2024</t>
        </is>
      </c>
      <c r="B1994" s="1" t="n">
        <v>45526</v>
      </c>
      <c r="C1994" s="1" t="n">
        <v>45579</v>
      </c>
      <c r="D1994" t="inlineStr">
        <is>
          <t>VÄSTERNORRLANDS LÄN</t>
        </is>
      </c>
      <c r="E1994" t="inlineStr">
        <is>
          <t>ÅNGE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34727-2024</t>
        </is>
      </c>
      <c r="B1995" s="1" t="n">
        <v>45526</v>
      </c>
      <c r="C1995" s="1" t="n">
        <v>45579</v>
      </c>
      <c r="D1995" t="inlineStr">
        <is>
          <t>VÄSTERNORRLANDS LÄN</t>
        </is>
      </c>
      <c r="E1995" t="inlineStr">
        <is>
          <t>ÅNGE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34861-2024</t>
        </is>
      </c>
      <c r="B1996" s="1" t="n">
        <v>45527</v>
      </c>
      <c r="C1996" s="1" t="n">
        <v>45579</v>
      </c>
      <c r="D1996" t="inlineStr">
        <is>
          <t>VÄSTERNORRLANDS LÄN</t>
        </is>
      </c>
      <c r="E1996" t="inlineStr">
        <is>
          <t>ÅNGE</t>
        </is>
      </c>
      <c r="F1996" t="inlineStr">
        <is>
          <t>SCA</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35257-2024</t>
        </is>
      </c>
      <c r="B1997" s="1" t="n">
        <v>45530</v>
      </c>
      <c r="C1997" s="1" t="n">
        <v>45579</v>
      </c>
      <c r="D1997" t="inlineStr">
        <is>
          <t>VÄSTERNORRLANDS LÄN</t>
        </is>
      </c>
      <c r="E1997" t="inlineStr">
        <is>
          <t>ÅNGE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35390-2024</t>
        </is>
      </c>
      <c r="B1998" s="1" t="n">
        <v>45531</v>
      </c>
      <c r="C1998" s="1" t="n">
        <v>45579</v>
      </c>
      <c r="D1998" t="inlineStr">
        <is>
          <t>VÄSTERNORRLANDS LÄN</t>
        </is>
      </c>
      <c r="E1998" t="inlineStr">
        <is>
          <t>ÅNGE</t>
        </is>
      </c>
      <c r="F1998" t="inlineStr">
        <is>
          <t>SCA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35402-2024</t>
        </is>
      </c>
      <c r="B1999" s="1" t="n">
        <v>45531</v>
      </c>
      <c r="C1999" s="1" t="n">
        <v>45579</v>
      </c>
      <c r="D1999" t="inlineStr">
        <is>
          <t>VÄSTERNORRLANDS LÄN</t>
        </is>
      </c>
      <c r="E1999" t="inlineStr">
        <is>
          <t>ÅNGE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35414-2024</t>
        </is>
      </c>
      <c r="B2000" s="1" t="n">
        <v>45531</v>
      </c>
      <c r="C2000" s="1" t="n">
        <v>45579</v>
      </c>
      <c r="D2000" t="inlineStr">
        <is>
          <t>VÄSTERNORRLANDS LÄN</t>
        </is>
      </c>
      <c r="E2000" t="inlineStr">
        <is>
          <t>ÅNGE</t>
        </is>
      </c>
      <c r="F2000" t="inlineStr">
        <is>
          <t>SCA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35426-2024</t>
        </is>
      </c>
      <c r="B2001" s="1" t="n">
        <v>45531</v>
      </c>
      <c r="C2001" s="1" t="n">
        <v>45579</v>
      </c>
      <c r="D2001" t="inlineStr">
        <is>
          <t>VÄSTERNORRLANDS LÄN</t>
        </is>
      </c>
      <c r="E2001" t="inlineStr">
        <is>
          <t>ÅNGE</t>
        </is>
      </c>
      <c r="F2001" t="inlineStr">
        <is>
          <t>SCA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35582-2024</t>
        </is>
      </c>
      <c r="B2002" s="1" t="n">
        <v>45531</v>
      </c>
      <c r="C2002" s="1" t="n">
        <v>45579</v>
      </c>
      <c r="D2002" t="inlineStr">
        <is>
          <t>VÄSTERNORRLANDS LÄN</t>
        </is>
      </c>
      <c r="E2002" t="inlineStr">
        <is>
          <t>ÅNGE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35399-2024</t>
        </is>
      </c>
      <c r="B2003" s="1" t="n">
        <v>45531</v>
      </c>
      <c r="C2003" s="1" t="n">
        <v>45579</v>
      </c>
      <c r="D2003" t="inlineStr">
        <is>
          <t>VÄSTERNORRLANDS LÄN</t>
        </is>
      </c>
      <c r="E2003" t="inlineStr">
        <is>
          <t>ÅNGE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35401-2024</t>
        </is>
      </c>
      <c r="B2004" s="1" t="n">
        <v>45531</v>
      </c>
      <c r="C2004" s="1" t="n">
        <v>45579</v>
      </c>
      <c r="D2004" t="inlineStr">
        <is>
          <t>VÄSTERNORRLANDS LÄN</t>
        </is>
      </c>
      <c r="E2004" t="inlineStr">
        <is>
          <t>ÅNGE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35429-2024</t>
        </is>
      </c>
      <c r="B2005" s="1" t="n">
        <v>45531</v>
      </c>
      <c r="C2005" s="1" t="n">
        <v>45579</v>
      </c>
      <c r="D2005" t="inlineStr">
        <is>
          <t>VÄSTERNORRLANDS LÄN</t>
        </is>
      </c>
      <c r="E2005" t="inlineStr">
        <is>
          <t>ÅNGE</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35392-2024</t>
        </is>
      </c>
      <c r="B2006" s="1" t="n">
        <v>45531</v>
      </c>
      <c r="C2006" s="1" t="n">
        <v>45579</v>
      </c>
      <c r="D2006" t="inlineStr">
        <is>
          <t>VÄSTERNORRLANDS LÄN</t>
        </is>
      </c>
      <c r="E2006" t="inlineStr">
        <is>
          <t>ÅNGE</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35488-2024</t>
        </is>
      </c>
      <c r="B2007" s="1" t="n">
        <v>45531</v>
      </c>
      <c r="C2007" s="1" t="n">
        <v>45579</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35577-2024</t>
        </is>
      </c>
      <c r="B2008" s="1" t="n">
        <v>45531</v>
      </c>
      <c r="C2008" s="1" t="n">
        <v>45579</v>
      </c>
      <c r="D2008" t="inlineStr">
        <is>
          <t>VÄSTERNORRLANDS LÄN</t>
        </is>
      </c>
      <c r="E2008" t="inlineStr">
        <is>
          <t>ÅNGE</t>
        </is>
      </c>
      <c r="F2008" t="inlineStr">
        <is>
          <t>SCA</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35581-2024</t>
        </is>
      </c>
      <c r="B2009" s="1" t="n">
        <v>45531</v>
      </c>
      <c r="C2009" s="1" t="n">
        <v>45579</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35593-2024</t>
        </is>
      </c>
      <c r="B2010" s="1" t="n">
        <v>45531</v>
      </c>
      <c r="C2010" s="1" t="n">
        <v>45579</v>
      </c>
      <c r="D2010" t="inlineStr">
        <is>
          <t>VÄSTERNORRLANDS LÄN</t>
        </is>
      </c>
      <c r="E2010" t="inlineStr">
        <is>
          <t>ÅNGE</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35579-2024</t>
        </is>
      </c>
      <c r="B2011" s="1" t="n">
        <v>45531</v>
      </c>
      <c r="C2011" s="1" t="n">
        <v>45579</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35576-2024</t>
        </is>
      </c>
      <c r="B2012" s="1" t="n">
        <v>45531</v>
      </c>
      <c r="C2012" s="1" t="n">
        <v>45579</v>
      </c>
      <c r="D2012" t="inlineStr">
        <is>
          <t>VÄSTERNORRLANDS LÄN</t>
        </is>
      </c>
      <c r="E2012" t="inlineStr">
        <is>
          <t>ÅNGE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35580-2024</t>
        </is>
      </c>
      <c r="B2013" s="1" t="n">
        <v>45531</v>
      </c>
      <c r="C2013" s="1" t="n">
        <v>45579</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35592-2024</t>
        </is>
      </c>
      <c r="B2014" s="1" t="n">
        <v>45531</v>
      </c>
      <c r="C2014" s="1" t="n">
        <v>45579</v>
      </c>
      <c r="D2014" t="inlineStr">
        <is>
          <t>VÄSTERNORRLANDS LÄN</t>
        </is>
      </c>
      <c r="E2014" t="inlineStr">
        <is>
          <t>ÅNGE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35596-2024</t>
        </is>
      </c>
      <c r="B2015" s="1" t="n">
        <v>45531</v>
      </c>
      <c r="C2015" s="1" t="n">
        <v>45579</v>
      </c>
      <c r="D2015" t="inlineStr">
        <is>
          <t>VÄSTERNORRLANDS LÄN</t>
        </is>
      </c>
      <c r="E2015" t="inlineStr">
        <is>
          <t>ÅNGE</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35674-2024</t>
        </is>
      </c>
      <c r="B2016" s="1" t="n">
        <v>45532</v>
      </c>
      <c r="C2016" s="1" t="n">
        <v>45579</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35650-2024</t>
        </is>
      </c>
      <c r="B2017" s="1" t="n">
        <v>45532</v>
      </c>
      <c r="C2017" s="1" t="n">
        <v>45579</v>
      </c>
      <c r="D2017" t="inlineStr">
        <is>
          <t>VÄSTERNORRLANDS LÄN</t>
        </is>
      </c>
      <c r="E2017" t="inlineStr">
        <is>
          <t>ÅNGE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35672-2024</t>
        </is>
      </c>
      <c r="B2018" s="1" t="n">
        <v>45532</v>
      </c>
      <c r="C2018" s="1" t="n">
        <v>45579</v>
      </c>
      <c r="D2018" t="inlineStr">
        <is>
          <t>VÄSTERNORRLANDS LÄN</t>
        </is>
      </c>
      <c r="E2018" t="inlineStr">
        <is>
          <t>ÅNGE</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35979-2024</t>
        </is>
      </c>
      <c r="B2019" s="1" t="n">
        <v>45533</v>
      </c>
      <c r="C2019" s="1" t="n">
        <v>45579</v>
      </c>
      <c r="D2019" t="inlineStr">
        <is>
          <t>VÄSTERNORRLANDS LÄN</t>
        </is>
      </c>
      <c r="E2019" t="inlineStr">
        <is>
          <t>ÅNGE</t>
        </is>
      </c>
      <c r="F2019" t="inlineStr">
        <is>
          <t>Kyrkan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36321-2024</t>
        </is>
      </c>
      <c r="B2020" s="1" t="n">
        <v>45534</v>
      </c>
      <c r="C2020" s="1" t="n">
        <v>45579</v>
      </c>
      <c r="D2020" t="inlineStr">
        <is>
          <t>VÄSTERNORRLANDS LÄN</t>
        </is>
      </c>
      <c r="E2020" t="inlineStr">
        <is>
          <t>ÅNGE</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36342-2024</t>
        </is>
      </c>
      <c r="B2021" s="1" t="n">
        <v>45534</v>
      </c>
      <c r="C2021" s="1" t="n">
        <v>45579</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36466-2024</t>
        </is>
      </c>
      <c r="B2022" s="1" t="n">
        <v>45537</v>
      </c>
      <c r="C2022" s="1" t="n">
        <v>45579</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36468-2024</t>
        </is>
      </c>
      <c r="B2023" s="1" t="n">
        <v>45537</v>
      </c>
      <c r="C2023" s="1" t="n">
        <v>45579</v>
      </c>
      <c r="D2023" t="inlineStr">
        <is>
          <t>VÄSTERNORRLANDS LÄN</t>
        </is>
      </c>
      <c r="E2023" t="inlineStr">
        <is>
          <t>ÅNGE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36786-2024</t>
        </is>
      </c>
      <c r="B2024" s="1" t="n">
        <v>45538</v>
      </c>
      <c r="C2024" s="1" t="n">
        <v>45579</v>
      </c>
      <c r="D2024" t="inlineStr">
        <is>
          <t>VÄSTERNORRLANDS LÄN</t>
        </is>
      </c>
      <c r="E2024" t="inlineStr">
        <is>
          <t>ÅNGE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36787-2024</t>
        </is>
      </c>
      <c r="B2025" s="1" t="n">
        <v>45538</v>
      </c>
      <c r="C2025" s="1" t="n">
        <v>45579</v>
      </c>
      <c r="D2025" t="inlineStr">
        <is>
          <t>VÄSTERNORRLANDS LÄN</t>
        </is>
      </c>
      <c r="E2025" t="inlineStr">
        <is>
          <t>ÅNGE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36877-2024</t>
        </is>
      </c>
      <c r="B2026" s="1" t="n">
        <v>45538</v>
      </c>
      <c r="C2026" s="1" t="n">
        <v>45579</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36876-2024</t>
        </is>
      </c>
      <c r="B2027" s="1" t="n">
        <v>45538</v>
      </c>
      <c r="C2027" s="1" t="n">
        <v>45579</v>
      </c>
      <c r="D2027" t="inlineStr">
        <is>
          <t>VÄSTERNORRLANDS LÄN</t>
        </is>
      </c>
      <c r="E2027" t="inlineStr">
        <is>
          <t>ÅNGE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36875-2024</t>
        </is>
      </c>
      <c r="B2028" s="1" t="n">
        <v>45538</v>
      </c>
      <c r="C2028" s="1" t="n">
        <v>45579</v>
      </c>
      <c r="D2028" t="inlineStr">
        <is>
          <t>VÄSTERNORRLANDS LÄN</t>
        </is>
      </c>
      <c r="E2028" t="inlineStr">
        <is>
          <t>ÅNGE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37000-2024</t>
        </is>
      </c>
      <c r="B2029" s="1" t="n">
        <v>45539</v>
      </c>
      <c r="C2029" s="1" t="n">
        <v>45579</v>
      </c>
      <c r="D2029" t="inlineStr">
        <is>
          <t>VÄSTERNORRLANDS LÄN</t>
        </is>
      </c>
      <c r="E2029" t="inlineStr">
        <is>
          <t>ÅNGE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37009-2024</t>
        </is>
      </c>
      <c r="B2030" s="1" t="n">
        <v>45539</v>
      </c>
      <c r="C2030" s="1" t="n">
        <v>45579</v>
      </c>
      <c r="D2030" t="inlineStr">
        <is>
          <t>VÄSTERNORRLANDS LÄN</t>
        </is>
      </c>
      <c r="E2030" t="inlineStr">
        <is>
          <t>ÅNGE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37038-2024</t>
        </is>
      </c>
      <c r="B2031" s="1" t="n">
        <v>45539</v>
      </c>
      <c r="C2031" s="1" t="n">
        <v>45579</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37010-2024</t>
        </is>
      </c>
      <c r="B2032" s="1" t="n">
        <v>45539</v>
      </c>
      <c r="C2032" s="1" t="n">
        <v>45579</v>
      </c>
      <c r="D2032" t="inlineStr">
        <is>
          <t>VÄSTERNORRLANDS LÄN</t>
        </is>
      </c>
      <c r="E2032" t="inlineStr">
        <is>
          <t>ÅNGE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36999-2024</t>
        </is>
      </c>
      <c r="B2033" s="1" t="n">
        <v>45539</v>
      </c>
      <c r="C2033" s="1" t="n">
        <v>45579</v>
      </c>
      <c r="D2033" t="inlineStr">
        <is>
          <t>VÄSTERNORRLANDS LÄN</t>
        </is>
      </c>
      <c r="E2033" t="inlineStr">
        <is>
          <t>ÅNGE</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37540-2024</t>
        </is>
      </c>
      <c r="B2034" s="1" t="n">
        <v>45541</v>
      </c>
      <c r="C2034" s="1" t="n">
        <v>45579</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37577-2024</t>
        </is>
      </c>
      <c r="B2035" s="1" t="n">
        <v>45541</v>
      </c>
      <c r="C2035" s="1" t="n">
        <v>45579</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45579</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37991-2024</t>
        </is>
      </c>
      <c r="B2037" s="1" t="n">
        <v>45544</v>
      </c>
      <c r="C2037" s="1" t="n">
        <v>45579</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38002-2024</t>
        </is>
      </c>
      <c r="B2038" s="1" t="n">
        <v>45544</v>
      </c>
      <c r="C2038" s="1" t="n">
        <v>45579</v>
      </c>
      <c r="D2038" t="inlineStr">
        <is>
          <t>VÄSTERNORRLANDS LÄN</t>
        </is>
      </c>
      <c r="E2038" t="inlineStr">
        <is>
          <t>ÅNGE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45579</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38246-2024</t>
        </is>
      </c>
      <c r="B2040" s="1" t="n">
        <v>45545</v>
      </c>
      <c r="C2040" s="1" t="n">
        <v>45579</v>
      </c>
      <c r="D2040" t="inlineStr">
        <is>
          <t>VÄSTERNORRLANDS LÄN</t>
        </is>
      </c>
      <c r="E2040" t="inlineStr">
        <is>
          <t>ÅNGE</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38262-2024</t>
        </is>
      </c>
      <c r="B2041" s="1" t="n">
        <v>45545</v>
      </c>
      <c r="C2041" s="1" t="n">
        <v>45579</v>
      </c>
      <c r="D2041" t="inlineStr">
        <is>
          <t>VÄSTERNORRLANDS LÄN</t>
        </is>
      </c>
      <c r="E2041" t="inlineStr">
        <is>
          <t>ÅNGE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38272-2024</t>
        </is>
      </c>
      <c r="B2042" s="1" t="n">
        <v>45545</v>
      </c>
      <c r="C2042" s="1" t="n">
        <v>45579</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45579</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38403-2024</t>
        </is>
      </c>
      <c r="B2044" s="1" t="n">
        <v>45546</v>
      </c>
      <c r="C2044" s="1" t="n">
        <v>45579</v>
      </c>
      <c r="D2044" t="inlineStr">
        <is>
          <t>VÄSTERNORRLANDS LÄN</t>
        </is>
      </c>
      <c r="E2044" t="inlineStr">
        <is>
          <t>ÅNGE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38604-2024</t>
        </is>
      </c>
      <c r="B2045" s="1" t="n">
        <v>45546</v>
      </c>
      <c r="C2045" s="1" t="n">
        <v>45579</v>
      </c>
      <c r="D2045" t="inlineStr">
        <is>
          <t>VÄSTERNORRLANDS LÄN</t>
        </is>
      </c>
      <c r="E2045" t="inlineStr">
        <is>
          <t>ÅNGE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38607-2024</t>
        </is>
      </c>
      <c r="B2046" s="1" t="n">
        <v>45546</v>
      </c>
      <c r="C2046" s="1" t="n">
        <v>45579</v>
      </c>
      <c r="D2046" t="inlineStr">
        <is>
          <t>VÄSTERNORRLANDS LÄN</t>
        </is>
      </c>
      <c r="E2046" t="inlineStr">
        <is>
          <t>ÅNGE</t>
        </is>
      </c>
      <c r="F2046" t="inlineStr">
        <is>
          <t>SCA</t>
        </is>
      </c>
      <c r="G2046" t="n">
        <v>1.5</v>
      </c>
      <c r="H2046" t="n">
        <v>0</v>
      </c>
      <c r="I2046" t="n">
        <v>0</v>
      </c>
      <c r="J2046" t="n">
        <v>0</v>
      </c>
      <c r="K2046" t="n">
        <v>0</v>
      </c>
      <c r="L2046" t="n">
        <v>0</v>
      </c>
      <c r="M2046" t="n">
        <v>0</v>
      </c>
      <c r="N2046" t="n">
        <v>0</v>
      </c>
      <c r="O2046" t="n">
        <v>0</v>
      </c>
      <c r="P2046" t="n">
        <v>0</v>
      </c>
      <c r="Q2046" t="n">
        <v>0</v>
      </c>
      <c r="R2046" s="2" t="inlineStr"/>
      <c r="U2046">
        <f>HYPERLINK("https://klasma.github.io/Logging_2260/knärot/A 38607-2024 karta knärot.png", "A 38607-2024")</f>
        <v/>
      </c>
      <c r="V2046">
        <f>HYPERLINK("https://klasma.github.io/Logging_2260/klagomål/A 38607-2024 FSC-klagomål.docx", "A 38607-2024")</f>
        <v/>
      </c>
      <c r="W2046">
        <f>HYPERLINK("https://klasma.github.io/Logging_2260/klagomålsmail/A 38607-2024 FSC-klagomål mail.docx", "A 38607-2024")</f>
        <v/>
      </c>
      <c r="X2046">
        <f>HYPERLINK("https://klasma.github.io/Logging_2260/tillsyn/A 38607-2024 tillsynsbegäran.docx", "A 38607-2024")</f>
        <v/>
      </c>
      <c r="Y2046">
        <f>HYPERLINK("https://klasma.github.io/Logging_2260/tillsynsmail/A 38607-2024 tillsynsbegäran mail.docx", "A 38607-2024")</f>
        <v/>
      </c>
    </row>
    <row r="2047" ht="15" customHeight="1">
      <c r="A2047" t="inlineStr">
        <is>
          <t>A 38688-2024</t>
        </is>
      </c>
      <c r="B2047" s="1" t="n">
        <v>45547</v>
      </c>
      <c r="C2047" s="1" t="n">
        <v>45579</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38800-2024</t>
        </is>
      </c>
      <c r="B2048" s="1" t="n">
        <v>45547</v>
      </c>
      <c r="C2048" s="1" t="n">
        <v>45579</v>
      </c>
      <c r="D2048" t="inlineStr">
        <is>
          <t>VÄSTERNORRLANDS LÄN</t>
        </is>
      </c>
      <c r="E2048" t="inlineStr">
        <is>
          <t>ÅNGE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45579</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39005-2024</t>
        </is>
      </c>
      <c r="B2050" s="1" t="n">
        <v>45548</v>
      </c>
      <c r="C2050" s="1" t="n">
        <v>45579</v>
      </c>
      <c r="D2050" t="inlineStr">
        <is>
          <t>VÄSTERNORRLANDS LÄN</t>
        </is>
      </c>
      <c r="E2050" t="inlineStr">
        <is>
          <t>ÅNGE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39021-2024</t>
        </is>
      </c>
      <c r="B2051" s="1" t="n">
        <v>45548</v>
      </c>
      <c r="C2051" s="1" t="n">
        <v>45579</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39119-2024</t>
        </is>
      </c>
      <c r="B2052" s="1" t="n">
        <v>45548</v>
      </c>
      <c r="C2052" s="1" t="n">
        <v>45579</v>
      </c>
      <c r="D2052" t="inlineStr">
        <is>
          <t>VÄSTERNORRLANDS LÄN</t>
        </is>
      </c>
      <c r="E2052" t="inlineStr">
        <is>
          <t>ÅNGE</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39174-2024</t>
        </is>
      </c>
      <c r="B2053" s="1" t="n">
        <v>45548</v>
      </c>
      <c r="C2053" s="1" t="n">
        <v>45579</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39178-2024</t>
        </is>
      </c>
      <c r="B2054" s="1" t="n">
        <v>45548</v>
      </c>
      <c r="C2054" s="1" t="n">
        <v>45579</v>
      </c>
      <c r="D2054" t="inlineStr">
        <is>
          <t>VÄSTERNORRLANDS LÄN</t>
        </is>
      </c>
      <c r="E2054" t="inlineStr">
        <is>
          <t>ÅNGE</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39603-2024</t>
        </is>
      </c>
      <c r="B2055" s="1" t="n">
        <v>45552</v>
      </c>
      <c r="C2055" s="1" t="n">
        <v>45579</v>
      </c>
      <c r="D2055" t="inlineStr">
        <is>
          <t>VÄSTERNORRLANDS LÄN</t>
        </is>
      </c>
      <c r="E2055" t="inlineStr">
        <is>
          <t>ÅNGE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39619-2024</t>
        </is>
      </c>
      <c r="B2056" s="1" t="n">
        <v>45552</v>
      </c>
      <c r="C2056" s="1" t="n">
        <v>45579</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39707-2024</t>
        </is>
      </c>
      <c r="B2057" s="1" t="n">
        <v>45552</v>
      </c>
      <c r="C2057" s="1" t="n">
        <v>45579</v>
      </c>
      <c r="D2057" t="inlineStr">
        <is>
          <t>VÄSTERNORRLANDS LÄN</t>
        </is>
      </c>
      <c r="E2057" t="inlineStr">
        <is>
          <t>ÅNGE</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39682-2024</t>
        </is>
      </c>
      <c r="B2058" s="1" t="n">
        <v>45552</v>
      </c>
      <c r="C2058" s="1" t="n">
        <v>45579</v>
      </c>
      <c r="D2058" t="inlineStr">
        <is>
          <t>VÄSTERNORRLANDS LÄN</t>
        </is>
      </c>
      <c r="E2058" t="inlineStr">
        <is>
          <t>ÅNGE</t>
        </is>
      </c>
      <c r="G2058" t="n">
        <v>35.4</v>
      </c>
      <c r="H2058" t="n">
        <v>0</v>
      </c>
      <c r="I2058" t="n">
        <v>0</v>
      </c>
      <c r="J2058" t="n">
        <v>0</v>
      </c>
      <c r="K2058" t="n">
        <v>0</v>
      </c>
      <c r="L2058" t="n">
        <v>0</v>
      </c>
      <c r="M2058" t="n">
        <v>0</v>
      </c>
      <c r="N2058" t="n">
        <v>0</v>
      </c>
      <c r="O2058" t="n">
        <v>0</v>
      </c>
      <c r="P2058" t="n">
        <v>0</v>
      </c>
      <c r="Q2058" t="n">
        <v>0</v>
      </c>
      <c r="R2058" s="2" t="inlineStr"/>
    </row>
    <row r="2059" ht="15" customHeight="1">
      <c r="A2059" t="inlineStr">
        <is>
          <t>A 39764-2024</t>
        </is>
      </c>
      <c r="B2059" s="1" t="n">
        <v>45552</v>
      </c>
      <c r="C2059" s="1" t="n">
        <v>45579</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40428-2024</t>
        </is>
      </c>
      <c r="B2060" s="1" t="n">
        <v>45555</v>
      </c>
      <c r="C2060" s="1" t="n">
        <v>45579</v>
      </c>
      <c r="D2060" t="inlineStr">
        <is>
          <t>VÄSTERNORRLANDS LÄN</t>
        </is>
      </c>
      <c r="E2060" t="inlineStr">
        <is>
          <t>ÅNGE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40788-2024</t>
        </is>
      </c>
      <c r="B2061" s="1" t="n">
        <v>45558</v>
      </c>
      <c r="C2061" s="1" t="n">
        <v>45579</v>
      </c>
      <c r="D2061" t="inlineStr">
        <is>
          <t>VÄSTERNORRLANDS LÄN</t>
        </is>
      </c>
      <c r="E2061" t="inlineStr">
        <is>
          <t>ÅNGE</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45579</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40803-2024</t>
        </is>
      </c>
      <c r="B2063" s="1" t="n">
        <v>45558</v>
      </c>
      <c r="C2063" s="1" t="n">
        <v>45579</v>
      </c>
      <c r="D2063" t="inlineStr">
        <is>
          <t>VÄSTERNORRLANDS LÄN</t>
        </is>
      </c>
      <c r="E2063" t="inlineStr">
        <is>
          <t>ÅNGE</t>
        </is>
      </c>
      <c r="F2063" t="inlineStr">
        <is>
          <t>SCA</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40802-2024</t>
        </is>
      </c>
      <c r="B2064" s="1" t="n">
        <v>45558</v>
      </c>
      <c r="C2064" s="1" t="n">
        <v>45579</v>
      </c>
      <c r="D2064" t="inlineStr">
        <is>
          <t>VÄSTERNORRLANDS LÄN</t>
        </is>
      </c>
      <c r="E2064" t="inlineStr">
        <is>
          <t>ÅNGE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45579</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45579</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41284-2024</t>
        </is>
      </c>
      <c r="B2067" s="1" t="n">
        <v>45559</v>
      </c>
      <c r="C2067" s="1" t="n">
        <v>45579</v>
      </c>
      <c r="D2067" t="inlineStr">
        <is>
          <t>VÄSTERNORRLANDS LÄN</t>
        </is>
      </c>
      <c r="E2067" t="inlineStr">
        <is>
          <t>ÅNGE</t>
        </is>
      </c>
      <c r="F2067" t="inlineStr">
        <is>
          <t>SCA</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41222-2024</t>
        </is>
      </c>
      <c r="B2068" s="1" t="n">
        <v>45559</v>
      </c>
      <c r="C2068" s="1" t="n">
        <v>45579</v>
      </c>
      <c r="D2068" t="inlineStr">
        <is>
          <t>VÄSTERNORRLANDS LÄN</t>
        </is>
      </c>
      <c r="E2068" t="inlineStr">
        <is>
          <t>ÅNGE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41355-2024</t>
        </is>
      </c>
      <c r="B2069" s="1" t="n">
        <v>45559</v>
      </c>
      <c r="C2069" s="1" t="n">
        <v>45579</v>
      </c>
      <c r="D2069" t="inlineStr">
        <is>
          <t>VÄSTERNORRLANDS LÄN</t>
        </is>
      </c>
      <c r="E2069" t="inlineStr">
        <is>
          <t>ÅNGE</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41302-2024</t>
        </is>
      </c>
      <c r="B2070" s="1" t="n">
        <v>45559</v>
      </c>
      <c r="C2070" s="1" t="n">
        <v>45579</v>
      </c>
      <c r="D2070" t="inlineStr">
        <is>
          <t>VÄSTERNORRLANDS LÄN</t>
        </is>
      </c>
      <c r="E2070" t="inlineStr">
        <is>
          <t>ÅNGE</t>
        </is>
      </c>
      <c r="F2070" t="inlineStr">
        <is>
          <t>Holmen skog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41586-2024</t>
        </is>
      </c>
      <c r="B2071" s="1" t="n">
        <v>45560</v>
      </c>
      <c r="C2071" s="1" t="n">
        <v>45579</v>
      </c>
      <c r="D2071" t="inlineStr">
        <is>
          <t>VÄSTERNORRLANDS LÄN</t>
        </is>
      </c>
      <c r="E2071" t="inlineStr">
        <is>
          <t>ÅNGE</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41564-2024</t>
        </is>
      </c>
      <c r="B2072" s="1" t="n">
        <v>45560</v>
      </c>
      <c r="C2072" s="1" t="n">
        <v>45579</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41507-2024</t>
        </is>
      </c>
      <c r="B2073" s="1" t="n">
        <v>45560</v>
      </c>
      <c r="C2073" s="1" t="n">
        <v>45579</v>
      </c>
      <c r="D2073" t="inlineStr">
        <is>
          <t>VÄSTERNORRLANDS LÄN</t>
        </is>
      </c>
      <c r="E2073" t="inlineStr">
        <is>
          <t>ÅNGE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41575-2024</t>
        </is>
      </c>
      <c r="B2074" s="1" t="n">
        <v>45560</v>
      </c>
      <c r="C2074" s="1" t="n">
        <v>45579</v>
      </c>
      <c r="D2074" t="inlineStr">
        <is>
          <t>VÄSTERNORRLANDS LÄN</t>
        </is>
      </c>
      <c r="E2074" t="inlineStr">
        <is>
          <t>ÅNGE</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41764-2024</t>
        </is>
      </c>
      <c r="B2075" s="1" t="n">
        <v>45561</v>
      </c>
      <c r="C2075" s="1" t="n">
        <v>45579</v>
      </c>
      <c r="D2075" t="inlineStr">
        <is>
          <t>VÄSTERNORRLANDS LÄN</t>
        </is>
      </c>
      <c r="E2075" t="inlineStr">
        <is>
          <t>ÅNGE</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45579</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45579</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41781-2024</t>
        </is>
      </c>
      <c r="B2078" s="1" t="n">
        <v>45561</v>
      </c>
      <c r="C2078" s="1" t="n">
        <v>45579</v>
      </c>
      <c r="D2078" t="inlineStr">
        <is>
          <t>VÄSTERNORRLANDS LÄN</t>
        </is>
      </c>
      <c r="E2078" t="inlineStr">
        <is>
          <t>ÅNGE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42004-2024</t>
        </is>
      </c>
      <c r="B2079" s="1" t="n">
        <v>45561</v>
      </c>
      <c r="C2079" s="1" t="n">
        <v>45579</v>
      </c>
      <c r="D2079" t="inlineStr">
        <is>
          <t>VÄSTERNORRLANDS LÄN</t>
        </is>
      </c>
      <c r="E2079" t="inlineStr">
        <is>
          <t>ÅNGE</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45579</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42040-2024</t>
        </is>
      </c>
      <c r="B2081" s="1" t="n">
        <v>45561</v>
      </c>
      <c r="C2081" s="1" t="n">
        <v>45579</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42044-2024</t>
        </is>
      </c>
      <c r="B2082" s="1" t="n">
        <v>45561</v>
      </c>
      <c r="C2082" s="1" t="n">
        <v>45579</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42046-2024</t>
        </is>
      </c>
      <c r="B2083" s="1" t="n">
        <v>45561</v>
      </c>
      <c r="C2083" s="1" t="n">
        <v>45579</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42090-2024</t>
        </is>
      </c>
      <c r="B2084" s="1" t="n">
        <v>45562</v>
      </c>
      <c r="C2084" s="1" t="n">
        <v>45579</v>
      </c>
      <c r="D2084" t="inlineStr">
        <is>
          <t>VÄSTERNORRLANDS LÄN</t>
        </is>
      </c>
      <c r="E2084" t="inlineStr">
        <is>
          <t>ÅNGE</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42098-2024</t>
        </is>
      </c>
      <c r="B2085" s="1" t="n">
        <v>45562</v>
      </c>
      <c r="C2085" s="1" t="n">
        <v>45579</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42488-2024</t>
        </is>
      </c>
      <c r="B2086" s="1" t="n">
        <v>45565</v>
      </c>
      <c r="C2086" s="1" t="n">
        <v>45579</v>
      </c>
      <c r="D2086" t="inlineStr">
        <is>
          <t>VÄSTERNORRLANDS LÄN</t>
        </is>
      </c>
      <c r="E2086" t="inlineStr">
        <is>
          <t>ÅNGE</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45579</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42880-2024</t>
        </is>
      </c>
      <c r="B2088" s="1" t="n">
        <v>45566</v>
      </c>
      <c r="C2088" s="1" t="n">
        <v>45579</v>
      </c>
      <c r="D2088" t="inlineStr">
        <is>
          <t>VÄSTERNORRLANDS LÄN</t>
        </is>
      </c>
      <c r="E2088" t="inlineStr">
        <is>
          <t>ÅNGE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42881-2024</t>
        </is>
      </c>
      <c r="B2089" s="1" t="n">
        <v>45566</v>
      </c>
      <c r="C2089" s="1" t="n">
        <v>45579</v>
      </c>
      <c r="D2089" t="inlineStr">
        <is>
          <t>VÄSTERNORRLANDS LÄN</t>
        </is>
      </c>
      <c r="E2089" t="inlineStr">
        <is>
          <t>ÅNGE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42958-2024</t>
        </is>
      </c>
      <c r="B2090" s="1" t="n">
        <v>45567</v>
      </c>
      <c r="C2090" s="1" t="n">
        <v>45579</v>
      </c>
      <c r="D2090" t="inlineStr">
        <is>
          <t>VÄSTERNORRLANDS LÄN</t>
        </is>
      </c>
      <c r="E2090" t="inlineStr">
        <is>
          <t>ÅNGE</t>
        </is>
      </c>
      <c r="F2090" t="inlineStr">
        <is>
          <t>SCA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42953-2024</t>
        </is>
      </c>
      <c r="B2091" s="1" t="n">
        <v>45567</v>
      </c>
      <c r="C2091" s="1" t="n">
        <v>45579</v>
      </c>
      <c r="D2091" t="inlineStr">
        <is>
          <t>VÄSTERNORRLANDS LÄN</t>
        </is>
      </c>
      <c r="E2091" t="inlineStr">
        <is>
          <t>ÅNGE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42969-2024</t>
        </is>
      </c>
      <c r="B2092" s="1" t="n">
        <v>45567</v>
      </c>
      <c r="C2092" s="1" t="n">
        <v>45579</v>
      </c>
      <c r="D2092" t="inlineStr">
        <is>
          <t>VÄSTERNORRLANDS LÄN</t>
        </is>
      </c>
      <c r="E2092" t="inlineStr">
        <is>
          <t>ÅNGE</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43145-2024</t>
        </is>
      </c>
      <c r="B2093" s="1" t="n">
        <v>45567</v>
      </c>
      <c r="C2093" s="1" t="n">
        <v>45579</v>
      </c>
      <c r="D2093" t="inlineStr">
        <is>
          <t>VÄSTERNORRLANDS LÄN</t>
        </is>
      </c>
      <c r="E2093" t="inlineStr">
        <is>
          <t>ÅNGE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43139-2024</t>
        </is>
      </c>
      <c r="B2094" s="1" t="n">
        <v>45567</v>
      </c>
      <c r="C2094" s="1" t="n">
        <v>45579</v>
      </c>
      <c r="D2094" t="inlineStr">
        <is>
          <t>VÄSTERNORRLANDS LÄN</t>
        </is>
      </c>
      <c r="E2094" t="inlineStr">
        <is>
          <t>ÅNGE</t>
        </is>
      </c>
      <c r="G2094" t="n">
        <v>11.1</v>
      </c>
      <c r="H2094" t="n">
        <v>0</v>
      </c>
      <c r="I2094" t="n">
        <v>0</v>
      </c>
      <c r="J2094" t="n">
        <v>0</v>
      </c>
      <c r="K2094" t="n">
        <v>0</v>
      </c>
      <c r="L2094" t="n">
        <v>0</v>
      </c>
      <c r="M2094" t="n">
        <v>0</v>
      </c>
      <c r="N2094" t="n">
        <v>0</v>
      </c>
      <c r="O2094" t="n">
        <v>0</v>
      </c>
      <c r="P2094" t="n">
        <v>0</v>
      </c>
      <c r="Q2094" t="n">
        <v>0</v>
      </c>
      <c r="R2094" s="2" t="inlineStr"/>
    </row>
    <row r="2095" ht="15" customHeight="1">
      <c r="A2095" t="inlineStr">
        <is>
          <t>A 42999-2024</t>
        </is>
      </c>
      <c r="B2095" s="1" t="n">
        <v>45567</v>
      </c>
      <c r="C2095" s="1" t="n">
        <v>45579</v>
      </c>
      <c r="D2095" t="inlineStr">
        <is>
          <t>VÄSTERNORRLANDS LÄN</t>
        </is>
      </c>
      <c r="E2095" t="inlineStr">
        <is>
          <t>ÅNGE</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43190-2024</t>
        </is>
      </c>
      <c r="B2096" s="1" t="n">
        <v>45567</v>
      </c>
      <c r="C2096" s="1" t="n">
        <v>45579</v>
      </c>
      <c r="D2096" t="inlineStr">
        <is>
          <t>VÄSTERNORRLANDS LÄN</t>
        </is>
      </c>
      <c r="E2096" t="inlineStr">
        <is>
          <t>ÅNGE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42948-2024</t>
        </is>
      </c>
      <c r="B2097" s="1" t="n">
        <v>45567</v>
      </c>
      <c r="C2097" s="1" t="n">
        <v>45579</v>
      </c>
      <c r="D2097" t="inlineStr">
        <is>
          <t>VÄSTERNORRLANDS LÄN</t>
        </is>
      </c>
      <c r="E2097" t="inlineStr">
        <is>
          <t>ÅNGE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42968-2024</t>
        </is>
      </c>
      <c r="B2098" s="1" t="n">
        <v>45567</v>
      </c>
      <c r="C2098" s="1" t="n">
        <v>45579</v>
      </c>
      <c r="D2098" t="inlineStr">
        <is>
          <t>VÄSTERNORRLANDS LÄN</t>
        </is>
      </c>
      <c r="E2098" t="inlineStr">
        <is>
          <t>ÅNGE</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43184-2024</t>
        </is>
      </c>
      <c r="B2099" s="1" t="n">
        <v>45567</v>
      </c>
      <c r="C2099" s="1" t="n">
        <v>45579</v>
      </c>
      <c r="D2099" t="inlineStr">
        <is>
          <t>VÄSTERNORRLANDS LÄN</t>
        </is>
      </c>
      <c r="E2099" t="inlineStr">
        <is>
          <t>ÅNGE</t>
        </is>
      </c>
      <c r="G2099" t="n">
        <v>15.3</v>
      </c>
      <c r="H2099" t="n">
        <v>0</v>
      </c>
      <c r="I2099" t="n">
        <v>0</v>
      </c>
      <c r="J2099" t="n">
        <v>0</v>
      </c>
      <c r="K2099" t="n">
        <v>0</v>
      </c>
      <c r="L2099" t="n">
        <v>0</v>
      </c>
      <c r="M2099" t="n">
        <v>0</v>
      </c>
      <c r="N2099" t="n">
        <v>0</v>
      </c>
      <c r="O2099" t="n">
        <v>0</v>
      </c>
      <c r="P2099" t="n">
        <v>0</v>
      </c>
      <c r="Q2099" t="n">
        <v>0</v>
      </c>
      <c r="R2099" s="2" t="inlineStr"/>
    </row>
    <row r="2100" ht="15" customHeight="1">
      <c r="A2100" t="inlineStr">
        <is>
          <t>A 43343-2024</t>
        </is>
      </c>
      <c r="B2100" s="1" t="n">
        <v>45568</v>
      </c>
      <c r="C2100" s="1" t="n">
        <v>45579</v>
      </c>
      <c r="D2100" t="inlineStr">
        <is>
          <t>VÄSTERNORRLANDS LÄN</t>
        </is>
      </c>
      <c r="E2100" t="inlineStr">
        <is>
          <t>ÅNGE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45579</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43970-2024</t>
        </is>
      </c>
      <c r="B2102" s="1" t="n">
        <v>45571</v>
      </c>
      <c r="C2102" s="1" t="n">
        <v>45579</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43842-2024</t>
        </is>
      </c>
      <c r="B2103" s="1" t="n">
        <v>45572</v>
      </c>
      <c r="C2103" s="1" t="n">
        <v>45579</v>
      </c>
      <c r="D2103" t="inlineStr">
        <is>
          <t>VÄSTERNORRLANDS LÄN</t>
        </is>
      </c>
      <c r="E2103" t="inlineStr">
        <is>
          <t>ÅNGE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44158-2024</t>
        </is>
      </c>
      <c r="B2104" s="1" t="n">
        <v>45572</v>
      </c>
      <c r="C2104" s="1" t="n">
        <v>45579</v>
      </c>
      <c r="D2104" t="inlineStr">
        <is>
          <t>VÄSTERNORRLANDS LÄN</t>
        </is>
      </c>
      <c r="E2104" t="inlineStr">
        <is>
          <t>ÅNGE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44389-2024</t>
        </is>
      </c>
      <c r="B2105" s="1" t="n">
        <v>45573</v>
      </c>
      <c r="C2105" s="1" t="n">
        <v>45579</v>
      </c>
      <c r="D2105" t="inlineStr">
        <is>
          <t>VÄSTERNORRLANDS LÄN</t>
        </is>
      </c>
      <c r="E2105" t="inlineStr">
        <is>
          <t>ÅNGE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45579</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44518-2024</t>
        </is>
      </c>
      <c r="B2107" s="1" t="n">
        <v>45574</v>
      </c>
      <c r="C2107" s="1" t="n">
        <v>45579</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44552-2024</t>
        </is>
      </c>
      <c r="B2108" s="1" t="n">
        <v>45574</v>
      </c>
      <c r="C2108" s="1" t="n">
        <v>45579</v>
      </c>
      <c r="D2108" t="inlineStr">
        <is>
          <t>VÄSTERNORRLANDS LÄN</t>
        </is>
      </c>
      <c r="E2108" t="inlineStr">
        <is>
          <t>ÅNGE</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44568-2024</t>
        </is>
      </c>
      <c r="B2109" s="1" t="n">
        <v>45574</v>
      </c>
      <c r="C2109" s="1" t="n">
        <v>45579</v>
      </c>
      <c r="D2109" t="inlineStr">
        <is>
          <t>VÄSTERNORRLANDS LÄN</t>
        </is>
      </c>
      <c r="E2109" t="inlineStr">
        <is>
          <t>ÅNGE</t>
        </is>
      </c>
      <c r="F2109" t="inlineStr">
        <is>
          <t>SCA</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44600-2024</t>
        </is>
      </c>
      <c r="B2110" s="1" t="n">
        <v>45574</v>
      </c>
      <c r="C2110" s="1" t="n">
        <v>45579</v>
      </c>
      <c r="D2110" t="inlineStr">
        <is>
          <t>VÄSTERNORRLANDS LÄN</t>
        </is>
      </c>
      <c r="E2110" t="inlineStr">
        <is>
          <t>ÅNGE</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44604-2024</t>
        </is>
      </c>
      <c r="B2111" s="1" t="n">
        <v>45574</v>
      </c>
      <c r="C2111" s="1" t="n">
        <v>45579</v>
      </c>
      <c r="D2111" t="inlineStr">
        <is>
          <t>VÄSTERNORRLANDS LÄN</t>
        </is>
      </c>
      <c r="E2111" t="inlineStr">
        <is>
          <t>ÅNGE</t>
        </is>
      </c>
      <c r="F2111" t="inlineStr">
        <is>
          <t>SCA</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44636-2024</t>
        </is>
      </c>
      <c r="B2112" s="1" t="n">
        <v>45574</v>
      </c>
      <c r="C2112" s="1" t="n">
        <v>45579</v>
      </c>
      <c r="D2112" t="inlineStr">
        <is>
          <t>VÄSTERNORRLANDS LÄN</t>
        </is>
      </c>
      <c r="E2112" t="inlineStr">
        <is>
          <t>ÅNGE</t>
        </is>
      </c>
      <c r="F2112" t="inlineStr">
        <is>
          <t>SCA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44565-2024</t>
        </is>
      </c>
      <c r="B2113" s="1" t="n">
        <v>45574</v>
      </c>
      <c r="C2113" s="1" t="n">
        <v>45579</v>
      </c>
      <c r="D2113" t="inlineStr">
        <is>
          <t>VÄSTERNORRLANDS LÄN</t>
        </is>
      </c>
      <c r="E2113" t="inlineStr">
        <is>
          <t>ÅNGE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44611-2024</t>
        </is>
      </c>
      <c r="B2114" s="1" t="n">
        <v>45574</v>
      </c>
      <c r="C2114" s="1" t="n">
        <v>45579</v>
      </c>
      <c r="D2114" t="inlineStr">
        <is>
          <t>VÄSTERNORRLANDS LÄN</t>
        </is>
      </c>
      <c r="E2114" t="inlineStr">
        <is>
          <t>ÅNGE</t>
        </is>
      </c>
      <c r="F2114" t="inlineStr">
        <is>
          <t>SCA</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44635-2024</t>
        </is>
      </c>
      <c r="B2115" s="1" t="n">
        <v>45574</v>
      </c>
      <c r="C2115" s="1" t="n">
        <v>45579</v>
      </c>
      <c r="D2115" t="inlineStr">
        <is>
          <t>VÄSTERNORRLANDS LÄN</t>
        </is>
      </c>
      <c r="E2115" t="inlineStr">
        <is>
          <t>ÅNGE</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44512-2024</t>
        </is>
      </c>
      <c r="B2116" s="1" t="n">
        <v>45574</v>
      </c>
      <c r="C2116" s="1" t="n">
        <v>45579</v>
      </c>
      <c r="D2116" t="inlineStr">
        <is>
          <t>VÄSTERNORRLANDS LÄN</t>
        </is>
      </c>
      <c r="E2116" t="inlineStr">
        <is>
          <t>ÅNGE</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44606-2024</t>
        </is>
      </c>
      <c r="B2117" s="1" t="n">
        <v>45574</v>
      </c>
      <c r="C2117" s="1" t="n">
        <v>45579</v>
      </c>
      <c r="D2117" t="inlineStr">
        <is>
          <t>VÄSTERNORRLANDS LÄN</t>
        </is>
      </c>
      <c r="E2117" t="inlineStr">
        <is>
          <t>ÅNGE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44626-2024</t>
        </is>
      </c>
      <c r="B2118" s="1" t="n">
        <v>45574</v>
      </c>
      <c r="C2118" s="1" t="n">
        <v>45579</v>
      </c>
      <c r="D2118" t="inlineStr">
        <is>
          <t>VÄSTERNORRLANDS LÄN</t>
        </is>
      </c>
      <c r="E2118" t="inlineStr">
        <is>
          <t>ÅNGE</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44876-2024</t>
        </is>
      </c>
      <c r="B2119" s="1" t="n">
        <v>45575</v>
      </c>
      <c r="C2119" s="1" t="n">
        <v>45579</v>
      </c>
      <c r="D2119" t="inlineStr">
        <is>
          <t>VÄSTERNORRLANDS LÄN</t>
        </is>
      </c>
      <c r="E2119" t="inlineStr">
        <is>
          <t>ÅNGE</t>
        </is>
      </c>
      <c r="F2119" t="inlineStr">
        <is>
          <t>SCA</t>
        </is>
      </c>
      <c r="G2119" t="n">
        <v>12.4</v>
      </c>
      <c r="H2119" t="n">
        <v>0</v>
      </c>
      <c r="I2119" t="n">
        <v>0</v>
      </c>
      <c r="J2119" t="n">
        <v>0</v>
      </c>
      <c r="K2119" t="n">
        <v>0</v>
      </c>
      <c r="L2119" t="n">
        <v>0</v>
      </c>
      <c r="M2119" t="n">
        <v>0</v>
      </c>
      <c r="N2119" t="n">
        <v>0</v>
      </c>
      <c r="O2119" t="n">
        <v>0</v>
      </c>
      <c r="P2119" t="n">
        <v>0</v>
      </c>
      <c r="Q2119" t="n">
        <v>0</v>
      </c>
      <c r="R2119" s="2" t="inlineStr"/>
    </row>
    <row r="2120">
      <c r="A2120" t="inlineStr">
        <is>
          <t>A 45030-2024</t>
        </is>
      </c>
      <c r="B2120" s="1" t="n">
        <v>45575</v>
      </c>
      <c r="C2120" s="1" t="n">
        <v>45579</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2024-10-14T12:06:04Z</dcterms:created>
  <dcterms:modified xmlns:dcterms="http://purl.org/dc/terms/" xmlns:xsi="http://www.w3.org/2001/XMLSchema-instance" xsi:type="dcterms:W3CDTF">2024-10-14T12:06:06Z</dcterms:modified>
</cp:coreProperties>
</file>