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45348</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45348</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45348</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45348</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45348</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45348</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45348</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45348</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45348</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45348</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45348</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45348</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45348</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45348</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45348</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45348</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45348</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45348</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45348</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45348</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45348</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45348</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45348</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45348</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45348</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45348</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45348</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45348</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45348</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45348</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45348</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45348</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45348</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45348</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45348</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45348</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45348</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45348</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45348</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45348</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45348</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45348</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45348</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45348</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45348</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45348</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45348</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45348</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45348</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45348</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45348</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45348</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45348</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39348-2023</t>
        </is>
      </c>
      <c r="B55" s="1" t="n">
        <v>45162</v>
      </c>
      <c r="C55" s="1" t="n">
        <v>45348</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45348</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45348</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c r="Z57">
        <f>HYPERLINK("https://klasma.github.io/Logging_2260/fåglar/A 57792-2023 prioriterade fågelarter.docx", "A 57792-2023")</f>
        <v/>
      </c>
    </row>
    <row r="58" ht="15" customHeight="1">
      <c r="A58" t="inlineStr">
        <is>
          <t>A 27230-2019</t>
        </is>
      </c>
      <c r="B58" s="1" t="n">
        <v>43614</v>
      </c>
      <c r="C58" s="1" t="n">
        <v>45348</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45348</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c r="Z59">
        <f>HYPERLINK("https://klasma.github.io/Logging_2260/fåglar/A 27213-2019 prioriterade fågelarter.docx", "A 27213-2019")</f>
        <v/>
      </c>
    </row>
    <row r="60" ht="15" customHeight="1">
      <c r="A60" t="inlineStr">
        <is>
          <t>A 65907-2020</t>
        </is>
      </c>
      <c r="B60" s="1" t="n">
        <v>44174</v>
      </c>
      <c r="C60" s="1" t="n">
        <v>45348</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45348</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c r="Z61">
        <f>HYPERLINK("https://klasma.github.io/Logging_2260/fåglar/A 3348-2021 prioriterade fågelarter.docx", "A 3348-2021")</f>
        <v/>
      </c>
    </row>
    <row r="62" ht="15" customHeight="1">
      <c r="A62" t="inlineStr">
        <is>
          <t>A 27955-2021</t>
        </is>
      </c>
      <c r="B62" s="1" t="n">
        <v>44354</v>
      </c>
      <c r="C62" s="1" t="n">
        <v>45348</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45348</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c r="Z63">
        <f>HYPERLINK("https://klasma.github.io/Logging_2260/fåglar/A 4130-2023 prioriterade fågelarter.docx", "A 4130-2023")</f>
        <v/>
      </c>
    </row>
    <row r="64" ht="15" customHeight="1">
      <c r="A64" t="inlineStr">
        <is>
          <t>A 10085-2023</t>
        </is>
      </c>
      <c r="B64" s="1" t="n">
        <v>44985</v>
      </c>
      <c r="C64" s="1" t="n">
        <v>45348</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32898-2023</t>
        </is>
      </c>
      <c r="B65" s="1" t="n">
        <v>45124</v>
      </c>
      <c r="C65" s="1" t="n">
        <v>45348</v>
      </c>
      <c r="D65" t="inlineStr">
        <is>
          <t>VÄSTERNORRLANDS LÄN</t>
        </is>
      </c>
      <c r="E65" t="inlineStr">
        <is>
          <t>ÅNGE</t>
        </is>
      </c>
      <c r="F65" t="inlineStr">
        <is>
          <t>SCA</t>
        </is>
      </c>
      <c r="G65" t="n">
        <v>9.1</v>
      </c>
      <c r="H65" t="n">
        <v>1</v>
      </c>
      <c r="I65" t="n">
        <v>1</v>
      </c>
      <c r="J65" t="n">
        <v>5</v>
      </c>
      <c r="K65" t="n">
        <v>0</v>
      </c>
      <c r="L65" t="n">
        <v>0</v>
      </c>
      <c r="M65" t="n">
        <v>0</v>
      </c>
      <c r="N65" t="n">
        <v>0</v>
      </c>
      <c r="O65" t="n">
        <v>5</v>
      </c>
      <c r="P65" t="n">
        <v>0</v>
      </c>
      <c r="Q65" t="n">
        <v>6</v>
      </c>
      <c r="R65" s="2" t="inlineStr">
        <is>
          <t>Garnlav
Granticka
Lunglav
Tretåig hackspett
Ullticka
Stuplav</t>
        </is>
      </c>
      <c r="S65">
        <f>HYPERLINK("https://klasma.github.io/Logging_2260/artfynd/A 32898-2023 artfynd.xlsx", "A 32898-2023")</f>
        <v/>
      </c>
      <c r="T65">
        <f>HYPERLINK("https://klasma.github.io/Logging_2260/kartor/A 32898-2023 karta.png",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32897-2023</t>
        </is>
      </c>
      <c r="B66" s="1" t="n">
        <v>45124</v>
      </c>
      <c r="C66" s="1" t="n">
        <v>45348</v>
      </c>
      <c r="D66" t="inlineStr">
        <is>
          <t>VÄSTERNORRLANDS LÄN</t>
        </is>
      </c>
      <c r="E66" t="inlineStr">
        <is>
          <t>ÅNGE</t>
        </is>
      </c>
      <c r="F66" t="inlineStr">
        <is>
          <t>SCA</t>
        </is>
      </c>
      <c r="G66" t="n">
        <v>8.1</v>
      </c>
      <c r="H66" t="n">
        <v>3</v>
      </c>
      <c r="I66" t="n">
        <v>0</v>
      </c>
      <c r="J66" t="n">
        <v>5</v>
      </c>
      <c r="K66" t="n">
        <v>1</v>
      </c>
      <c r="L66" t="n">
        <v>0</v>
      </c>
      <c r="M66" t="n">
        <v>0</v>
      </c>
      <c r="N66" t="n">
        <v>0</v>
      </c>
      <c r="O66" t="n">
        <v>6</v>
      </c>
      <c r="P66" t="n">
        <v>1</v>
      </c>
      <c r="Q66" t="n">
        <v>6</v>
      </c>
      <c r="R66" s="2" t="inlineStr">
        <is>
          <t>Doftticka
Gammelgransskål
Garnlav
Lunglav
Spillkråka
Tretåig hackspett</t>
        </is>
      </c>
      <c r="S66">
        <f>HYPERLINK("https://klasma.github.io/Logging_2260/artfynd/A 32897-2023 artfynd.xlsx", "A 32897-2023")</f>
        <v/>
      </c>
      <c r="T66">
        <f>HYPERLINK("https://klasma.github.io/Logging_2260/kartor/A 32897-2023 karta.png", "A 32897-2023")</f>
        <v/>
      </c>
      <c r="V66">
        <f>HYPERLINK("https://klasma.github.io/Logging_2260/klagomål/A 32897-2023 FSC-klagomål.docx", "A 32897-2023")</f>
        <v/>
      </c>
      <c r="W66">
        <f>HYPERLINK("https://klasma.github.io/Logging_2260/klagomålsmail/A 32897-2023 FSC-klagomål mail.docx", "A 32897-2023")</f>
        <v/>
      </c>
      <c r="X66">
        <f>HYPERLINK("https://klasma.github.io/Logging_2260/tillsyn/A 32897-2023 tillsynsbegäran.docx", "A 32897-2023")</f>
        <v/>
      </c>
      <c r="Y66">
        <f>HYPERLINK("https://klasma.github.io/Logging_2260/tillsynsmail/A 32897-2023 tillsynsbegäran mail.docx", "A 32897-2023")</f>
        <v/>
      </c>
      <c r="Z66">
        <f>HYPERLINK("https://klasma.github.io/Logging_2260/fåglar/A 32897-2023 prioriterade fågelarter.docx", "A 32897-2023")</f>
        <v/>
      </c>
    </row>
    <row r="67" ht="15" customHeight="1">
      <c r="A67" t="inlineStr">
        <is>
          <t>A 34694-2023</t>
        </is>
      </c>
      <c r="B67" s="1" t="n">
        <v>45141</v>
      </c>
      <c r="C67" s="1" t="n">
        <v>45348</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45348</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45348</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45348</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45348</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45348</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45348</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45348</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45348</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45348</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45348</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45348</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45348</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45348</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45348</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45348</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45348</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45348</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45348</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45348</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45348</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45348</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45348</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45348</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45348</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45348</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45348</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45348</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45348</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45348</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45348</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45348</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45348</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45348</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45348</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45348</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45348</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45348</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45348</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45348</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45348</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45348</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45348</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45348</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45348</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45348</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45348</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45348</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45348</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45348</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45348</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45348</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45348</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45348</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45348</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45348</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45348</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45348</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45348</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45348</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45348</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45348</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45348</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45348</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45348</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45348</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45348</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45348</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45348</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45348</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45348</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45348</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45348</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45348</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45348</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45348</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45348</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45348</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45348</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45348</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45348</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45348</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45348</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45348</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45348</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45348</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45348</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45348</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45348</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45348</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45348</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45348</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45348</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45348</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45348</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45348</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45348</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45348</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45348</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45348</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45348</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45348</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45348</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45348</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45348</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45348</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45348</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45348</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45348</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45348</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45348</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45348</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45348</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45348</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45348</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45348</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45348</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45348</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45348</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45348</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45348</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45348</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45348</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45348</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45348</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45348</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45348</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45348</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45348</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45348</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45348</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45348</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45348</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45348</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45348</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45348</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45348</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45348</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45348</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45348</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45348</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45348</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45348</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45348</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45348</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45348</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45348</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45348</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45348</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45348</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45348</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45348</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45348</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45348</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45348</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45348</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45348</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45348</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45348</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45348</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45348</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45348</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45348</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45348</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45348</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45348</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45348</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45348</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45348</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45348</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45348</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45348</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45348</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45348</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45348</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45348</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45348</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45348</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45348</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45348</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45348</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45348</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45348</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45348</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45348</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45348</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45348</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45348</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45348</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45348</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45348</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45348</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45348</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45348</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45348</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45348</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45348</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45348</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45348</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45348</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45348</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45348</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45348</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45348</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45348</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45348</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45348</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45348</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45348</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45348</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45348</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45348</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45348</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45348</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45348</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45348</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45348</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45348</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45348</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45348</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45348</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45348</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45348</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45348</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45348</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45348</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45348</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45348</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45348</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45348</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45348</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45348</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45348</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45348</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45348</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45348</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45348</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45348</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45348</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45348</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45348</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45348</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45348</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45348</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45348</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45348</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45348</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45348</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45348</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45348</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45348</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45348</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45348</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45348</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45348</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45348</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45348</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45348</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45348</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45348</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45348</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45348</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45348</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45348</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45348</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45348</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45348</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45348</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45348</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45348</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45348</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45348</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45348</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45348</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45348</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45348</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45348</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45348</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45348</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45348</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45348</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45348</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45348</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45348</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45348</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45348</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45348</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45348</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45348</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45348</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45348</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45348</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45348</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45348</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45348</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45348</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45348</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45348</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45348</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45348</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45348</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45348</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45348</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45348</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45348</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45348</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45348</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45348</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45348</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45348</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45348</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45348</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45348</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45348</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45348</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45348</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45348</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45348</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45348</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45348</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45348</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45348</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45348</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45348</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45348</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45348</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45348</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45348</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45348</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45348</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45348</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45348</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45348</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45348</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45348</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45348</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45348</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45348</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45348</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45348</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45348</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45348</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45348</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45348</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45348</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45348</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45348</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45348</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45348</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45348</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45348</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45348</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45348</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45348</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45348</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45348</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45348</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45348</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45348</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45348</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45348</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45348</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45348</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45348</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45348</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45348</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45348</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45348</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45348</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45348</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45348</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45348</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45348</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45348</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45348</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45348</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45348</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45348</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45348</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45348</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45348</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45348</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45348</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45348</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45348</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45348</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45348</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45348</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45348</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45348</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45348</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45348</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45348</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45348</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45348</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45348</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45348</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45348</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45348</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45348</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45348</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45348</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45348</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45348</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45348</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45348</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45348</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45348</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45348</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45348</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45348</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45348</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45348</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45348</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45348</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45348</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45348</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45348</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45348</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45348</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45348</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45348</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45348</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45348</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45348</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45348</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45348</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45348</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45348</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45348</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45348</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45348</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45348</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45348</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45348</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45348</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45348</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45348</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45348</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45348</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45348</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45348</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45348</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45348</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45348</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45348</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45348</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45348</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45348</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45348</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45348</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45348</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45348</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45348</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45348</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45348</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45348</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45348</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45348</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45348</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45348</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45348</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45348</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45348</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45348</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45348</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45348</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45348</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45348</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45348</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45348</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45348</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45348</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45348</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45348</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45348</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45348</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45348</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45348</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45348</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45348</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45348</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45348</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45348</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45348</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45348</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45348</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45348</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45348</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45348</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45348</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45348</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45348</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45348</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45348</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45348</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45348</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45348</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45348</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45348</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45348</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45348</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45348</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45348</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45348</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45348</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45348</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45348</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45348</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45348</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45348</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45348</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45348</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45348</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45348</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45348</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45348</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45348</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45348</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45348</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45348</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45348</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45348</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45348</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45348</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45348</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45348</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45348</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45348</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45348</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45348</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45348</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45348</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45348</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45348</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45348</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45348</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45348</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45348</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45348</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45348</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45348</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45348</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45348</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45348</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45348</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45348</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45348</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45348</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45348</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45348</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45348</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45348</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45348</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45348</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45348</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45348</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45348</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45348</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45348</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45348</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45348</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45348</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45348</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45348</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45348</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45348</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45348</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45348</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45348</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45348</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45348</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45348</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45348</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45348</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45348</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45348</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45348</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45348</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45348</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45348</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45348</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45348</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45348</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45348</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45348</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45348</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45348</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45348</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45348</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45348</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45348</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45348</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45348</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45348</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45348</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45348</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45348</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45348</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45348</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45348</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45348</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45348</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45348</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45348</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45348</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45348</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45348</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45348</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45348</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45348</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45348</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45348</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45348</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45348</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45348</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45348</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45348</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45348</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45348</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45348</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45348</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45348</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45348</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45348</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45348</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45348</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45348</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45348</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45348</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45348</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45348</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45348</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45348</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45348</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45348</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45348</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45348</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45348</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45348</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45348</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45348</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45348</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45348</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45348</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45348</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45348</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45348</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45348</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45348</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45348</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45348</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45348</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45348</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45348</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45348</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45348</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45348</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45348</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45348</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45348</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45348</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45348</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45348</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45348</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45348</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45348</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45348</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45348</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45348</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45348</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45348</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45348</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45348</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45348</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45348</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45348</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45348</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45348</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45348</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45348</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45348</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45348</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45348</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45348</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45348</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45348</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45348</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45348</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45348</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45348</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45348</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45348</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45348</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45348</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45348</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45348</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45348</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45348</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45348</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45348</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45348</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45348</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45348</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45348</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45348</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45348</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45348</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45348</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45348</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45348</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45348</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45348</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45348</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45348</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45348</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45348</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45348</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45348</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45348</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45348</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45348</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45348</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45348</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45348</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45348</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45348</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45348</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45348</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45348</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45348</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45348</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45348</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45348</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45348</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45348</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45348</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45348</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45348</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45348</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45348</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45348</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45348</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45348</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45348</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45348</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45348</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45348</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45348</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45348</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45348</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45348</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45348</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45348</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45348</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45348</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45348</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45348</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45348</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45348</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45348</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45348</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45348</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45348</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45348</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45348</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45348</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45348</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45348</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45348</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45348</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45348</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45348</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45348</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45348</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45348</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45348</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45348</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45348</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45348</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45348</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45348</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45348</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45348</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45348</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45348</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45348</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45348</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45348</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45348</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45348</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45348</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45348</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45348</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45348</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45348</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45348</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45348</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45348</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45348</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45348</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45348</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45348</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45348</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45348</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45348</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45348</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45348</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45348</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45348</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45348</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45348</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45348</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45348</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45348</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45348</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45348</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45348</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45348</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45348</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45348</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45348</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45348</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45348</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45348</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45348</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45348</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45348</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45348</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45348</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45348</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45348</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45348</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45348</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45348</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45348</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45348</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45348</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45348</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45348</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45348</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45348</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45348</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45348</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45348</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45348</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45348</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45348</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45348</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45348</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45348</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45348</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45348</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45348</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45348</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45348</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45348</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45348</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45348</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45348</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45348</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45348</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45348</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45348</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45348</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45348</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45348</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45348</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45348</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45348</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45348</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45348</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45348</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45348</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45348</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45348</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45348</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45348</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45348</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45348</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45348</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45348</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45348</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45348</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45348</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45348</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45348</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45348</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45348</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45348</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45348</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45348</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45348</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45348</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45348</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45348</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45348</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45348</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45348</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45348</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45348</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45348</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45348</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45348</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45348</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45348</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45348</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45348</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45348</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45348</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45348</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45348</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45348</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45348</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45348</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45348</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45348</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45348</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45348</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45348</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45348</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45348</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45348</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45348</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45348</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45348</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45348</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45348</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45348</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45348</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45348</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45348</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45348</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45348</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45348</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45348</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45348</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45348</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45348</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45348</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45348</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45348</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45348</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45348</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45348</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45348</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45348</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45348</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45348</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45348</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45348</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45348</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45348</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45348</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45348</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45348</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45348</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45348</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45348</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45348</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45348</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45348</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45348</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45348</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45348</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45348</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45348</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45348</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45348</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45348</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45348</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45348</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45348</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45348</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45348</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45348</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45348</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45348</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45348</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45348</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45348</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45348</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45348</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45348</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45348</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45348</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45348</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45348</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45348</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45348</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45348</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45348</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45348</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45348</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45348</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45348</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45348</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45348</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45348</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45348</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45348</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45348</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45348</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45348</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45348</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45348</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45348</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45348</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45348</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45348</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45348</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45348</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45348</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45348</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45348</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45348</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45348</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45348</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45348</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45348</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45348</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45348</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45348</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45348</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45348</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45348</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45348</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45348</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45348</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45348</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45348</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45348</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45348</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45348</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45348</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45348</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45348</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45348</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45348</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45348</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45348</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45348</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45348</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45348</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45348</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45348</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45348</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45348</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45348</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45348</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45348</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45348</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45348</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45348</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45348</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45348</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45348</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45348</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45348</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45348</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45348</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45348</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45348</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45348</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45348</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45348</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45348</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45348</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45348</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45348</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45348</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45348</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45348</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45348</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45348</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45348</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45348</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45348</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45348</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45348</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45348</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45348</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45348</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45348</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45348</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45348</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45348</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45348</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45348</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45348</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45348</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45348</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45348</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45348</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45348</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45348</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45348</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45348</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45348</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45348</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45348</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45348</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45348</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45348</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45348</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45348</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45348</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45348</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45348</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45348</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45348</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45348</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45348</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45348</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45348</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45348</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45348</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45348</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45348</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45348</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45348</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45348</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45348</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45348</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45348</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45348</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45348</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45348</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45348</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45348</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45348</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45348</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45348</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45348</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45348</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45348</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45348</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45348</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45348</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45348</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45348</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45348</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45348</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45348</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45348</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45348</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45348</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45348</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45348</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45348</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45348</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45348</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45348</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45348</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45348</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45348</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45348</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45348</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45348</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45348</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45348</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45348</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45348</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45348</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45348</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45348</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45348</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45348</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45348</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45348</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45348</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45348</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45348</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45348</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45348</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45348</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45348</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45348</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45348</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45348</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45348</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45348</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45348</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45348</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45348</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45348</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45348</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45348</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45348</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45348</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45348</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45348</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45348</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45348</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45348</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45348</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45348</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45348</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45348</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45348</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45348</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45348</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45348</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45348</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45348</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45348</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45348</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45348</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45348</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45348</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45348</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45348</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45348</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45348</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45348</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45348</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45348</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45348</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45348</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45348</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45348</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45348</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45348</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45348</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45348</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45348</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45348</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45348</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45348</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45348</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45348</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45348</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45348</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45348</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45348</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45348</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45348</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45348</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45348</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45348</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45348</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45348</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45348</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45348</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45348</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45348</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45348</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45348</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45348</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45348</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45348</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45348</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45348</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45348</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45348</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45348</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45348</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45348</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45348</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45348</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45348</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45348</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45348</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45348</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45348</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45348</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45348</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45348</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45348</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45348</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45348</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45348</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45348</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45348</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45348</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45348</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45348</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45348</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45348</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45348</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45348</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45348</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45348</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45348</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45348</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45348</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45348</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45348</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45348</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45348</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45348</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45348</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45348</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45348</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45348</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45348</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45348</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45348</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45348</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45348</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45348</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45348</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45348</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45348</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45348</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45348</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45348</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45348</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45348</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45348</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45348</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45348</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45348</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45348</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45348</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45348</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45348</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45348</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45348</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45348</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45348</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45348</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45348</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45348</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45348</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45348</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45348</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45348</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45348</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45348</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45348</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45348</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45348</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45348</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45348</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45348</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45348</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45348</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45348</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45348</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45348</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45348</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45348</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45348</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45348</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45348</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45348</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45348</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45348</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45348</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45348</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45348</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45348</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45348</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45348</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45348</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45348</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45348</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45348</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45348</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45348</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45348</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45348</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45348</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45348</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45348</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45348</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45348</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45348</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45348</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45348</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45348</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45348</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45348</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45348</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45348</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45348</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45348</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45348</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45348</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45348</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45348</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45348</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45348</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45348</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45348</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45348</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45348</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45348</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45348</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45348</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45348</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45348</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45348</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45348</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45348</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45348</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45348</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45348</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45348</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45348</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45348</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45348</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45348</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45348</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45348</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45348</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45348</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45348</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45348</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45348</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45348</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45348</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45348</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45348</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45348</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45348</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45348</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45348</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45348</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45348</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45348</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45348</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45348</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45348</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45348</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45348</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45348</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45348</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45348</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45348</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45348</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45348</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45348</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45348</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45348</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45348</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45348</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45348</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45348</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45348</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45348</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45348</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45348</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45348</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45348</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45348</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45348</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45348</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45348</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45348</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45348</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45348</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45348</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45348</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45348</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45348</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45348</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45348</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45348</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45348</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45348</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45348</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45348</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45348</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45348</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45348</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45348</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45348</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45348</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45348</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45348</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45348</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45348</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45348</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45348</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45348</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45348</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45348</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45348</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45348</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45348</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45348</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45348</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45348</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45348</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45348</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45348</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45348</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45348</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45348</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45348</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45348</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45348</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45348</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45348</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45348</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45348</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45348</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45348</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45348</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45348</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45348</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45348</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45348</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45348</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45348</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45348</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45348</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45348</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45348</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45348</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45348</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45348</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45348</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45348</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45348</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45348</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45348</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45348</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45348</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45348</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45348</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45348</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45348</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45348</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45348</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45348</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45348</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45348</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45348</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45348</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45348</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45348</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45348</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45348</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45348</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45348</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45348</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45348</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45348</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45348</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45348</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45348</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45348</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45348</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45348</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45348</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45348</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45348</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45348</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45348</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45348</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45348</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45348</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45348</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45348</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45348</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45348</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45348</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45348</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45348</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45348</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45348</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45348</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45348</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45348</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45348</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45348</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45348</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45348</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45348</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45348</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45348</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45348</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45348</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45348</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45348</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45348</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45348</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45348</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45348</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45348</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45348</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45348</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45348</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45348</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45348</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45348</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45348</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45348</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45348</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45348</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3624-2024</t>
        </is>
      </c>
      <c r="B1663" s="1" t="n">
        <v>45320</v>
      </c>
      <c r="C1663" s="1" t="n">
        <v>45348</v>
      </c>
      <c r="D1663" t="inlineStr">
        <is>
          <t>VÄSTERNORRLANDS LÄN</t>
        </is>
      </c>
      <c r="E1663" t="inlineStr">
        <is>
          <t>ÅNGE</t>
        </is>
      </c>
      <c r="F1663" t="inlineStr">
        <is>
          <t>SCA</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3580-2024</t>
        </is>
      </c>
      <c r="B1664" s="1" t="n">
        <v>45320</v>
      </c>
      <c r="C1664" s="1" t="n">
        <v>45348</v>
      </c>
      <c r="D1664" t="inlineStr">
        <is>
          <t>VÄSTERNORRLANDS LÄN</t>
        </is>
      </c>
      <c r="E1664" t="inlineStr">
        <is>
          <t>ÅNGE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3532-2024</t>
        </is>
      </c>
      <c r="B1665" s="1" t="n">
        <v>45320</v>
      </c>
      <c r="C1665" s="1" t="n">
        <v>45348</v>
      </c>
      <c r="D1665" t="inlineStr">
        <is>
          <t>VÄSTERNORRLANDS LÄN</t>
        </is>
      </c>
      <c r="E1665" t="inlineStr">
        <is>
          <t>ÅNGE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3523-2024</t>
        </is>
      </c>
      <c r="B1666" s="1" t="n">
        <v>45320</v>
      </c>
      <c r="C1666" s="1" t="n">
        <v>45348</v>
      </c>
      <c r="D1666" t="inlineStr">
        <is>
          <t>VÄSTERNORRLANDS LÄN</t>
        </is>
      </c>
      <c r="E1666" t="inlineStr">
        <is>
          <t>ÅNGE</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45348</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4140-2024</t>
        </is>
      </c>
      <c r="B1668" s="1" t="n">
        <v>45323</v>
      </c>
      <c r="C1668" s="1" t="n">
        <v>45348</v>
      </c>
      <c r="D1668" t="inlineStr">
        <is>
          <t>VÄSTERNORRLANDS LÄN</t>
        </is>
      </c>
      <c r="E1668" t="inlineStr">
        <is>
          <t>ÅNGE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4142-2024</t>
        </is>
      </c>
      <c r="B1669" s="1" t="n">
        <v>45323</v>
      </c>
      <c r="C1669" s="1" t="n">
        <v>45348</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4166-2024</t>
        </is>
      </c>
      <c r="B1670" s="1" t="n">
        <v>45323</v>
      </c>
      <c r="C1670" s="1" t="n">
        <v>45348</v>
      </c>
      <c r="D1670" t="inlineStr">
        <is>
          <t>VÄSTERNORRLANDS LÄN</t>
        </is>
      </c>
      <c r="E1670" t="inlineStr">
        <is>
          <t>ÅNGE</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45348</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45348</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45348</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45348</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45348</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45348</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45348</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4807-2024</t>
        </is>
      </c>
      <c r="B1678" s="1" t="n">
        <v>45328</v>
      </c>
      <c r="C1678" s="1" t="n">
        <v>45348</v>
      </c>
      <c r="D1678" t="inlineStr">
        <is>
          <t>VÄSTERNORRLANDS LÄN</t>
        </is>
      </c>
      <c r="E1678" t="inlineStr">
        <is>
          <t>ÅNGE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4810-2024</t>
        </is>
      </c>
      <c r="B1679" s="1" t="n">
        <v>45328</v>
      </c>
      <c r="C1679" s="1" t="n">
        <v>45348</v>
      </c>
      <c r="D1679" t="inlineStr">
        <is>
          <t>VÄSTERNORRLANDS LÄN</t>
        </is>
      </c>
      <c r="E1679" t="inlineStr">
        <is>
          <t>ÅNGE</t>
        </is>
      </c>
      <c r="F1679" t="inlineStr">
        <is>
          <t>SCA</t>
        </is>
      </c>
      <c r="G1679" t="n">
        <v>15.8</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45348</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45348</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45348</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45348</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45348</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5659-2024</t>
        </is>
      </c>
      <c r="B1685" s="1" t="n">
        <v>45334</v>
      </c>
      <c r="C1685" s="1" t="n">
        <v>45348</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5613-2024</t>
        </is>
      </c>
      <c r="B1686" s="1" t="n">
        <v>45334</v>
      </c>
      <c r="C1686" s="1" t="n">
        <v>45348</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5647-2024</t>
        </is>
      </c>
      <c r="B1687" s="1" t="n">
        <v>45334</v>
      </c>
      <c r="C1687" s="1" t="n">
        <v>45348</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45348</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45348</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45348</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6685-2024</t>
        </is>
      </c>
      <c r="B1691" s="1" t="n">
        <v>45341</v>
      </c>
      <c r="C1691" s="1" t="n">
        <v>45348</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6689-2024</t>
        </is>
      </c>
      <c r="B1692" s="1" t="n">
        <v>45341</v>
      </c>
      <c r="C1692" s="1" t="n">
        <v>45348</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6701-2024</t>
        </is>
      </c>
      <c r="B1693" s="1" t="n">
        <v>45341</v>
      </c>
      <c r="C1693" s="1" t="n">
        <v>45348</v>
      </c>
      <c r="D1693" t="inlineStr">
        <is>
          <t>VÄSTERNORRLANDS LÄN</t>
        </is>
      </c>
      <c r="E1693" t="inlineStr">
        <is>
          <t>ÅNGE</t>
        </is>
      </c>
      <c r="F1693" t="inlineStr">
        <is>
          <t>SCA</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45348</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45348</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6702-2024</t>
        </is>
      </c>
      <c r="B1696" s="1" t="n">
        <v>45341</v>
      </c>
      <c r="C1696" s="1" t="n">
        <v>45348</v>
      </c>
      <c r="D1696" t="inlineStr">
        <is>
          <t>VÄSTERNORRLANDS LÄN</t>
        </is>
      </c>
      <c r="E1696" t="inlineStr">
        <is>
          <t>ÅNGE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6691-2024</t>
        </is>
      </c>
      <c r="B1697" s="1" t="n">
        <v>45341</v>
      </c>
      <c r="C1697" s="1" t="n">
        <v>45348</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6680-2024</t>
        </is>
      </c>
      <c r="B1698" s="1" t="n">
        <v>45341</v>
      </c>
      <c r="C1698" s="1" t="n">
        <v>45348</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6684-2024</t>
        </is>
      </c>
      <c r="B1699" s="1" t="n">
        <v>45341</v>
      </c>
      <c r="C1699" s="1" t="n">
        <v>45348</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45348</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45348</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45348</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45348</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c r="A1704" t="inlineStr">
        <is>
          <t>A 7300-2024</t>
        </is>
      </c>
      <c r="B1704" s="1" t="n">
        <v>45344</v>
      </c>
      <c r="C1704" s="1" t="n">
        <v>45348</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2024-02-26T12:58:05Z</dcterms:created>
  <dcterms:modified xmlns:dcterms="http://purl.org/dc/terms/" xmlns:xsi="http://www.w3.org/2001/XMLSchema-instance" xsi:type="dcterms:W3CDTF">2024-02-26T12:58:07Z</dcterms:modified>
</cp:coreProperties>
</file>