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46002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46002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46002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46002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46002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46002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46002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46002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46002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46002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46002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46002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46002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46002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46002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46002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46002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46002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46002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46002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46002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46002</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46002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46002</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46002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46002</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46002</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46002</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46002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46002</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46002</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46002</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46002</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46002</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46002</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46002</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46002</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46002</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26361-2023</t>
        </is>
      </c>
      <c r="B42" s="1" t="n">
        <v>45091</v>
      </c>
      <c r="C42" s="1" t="n">
        <v>46002</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61524-2025</t>
        </is>
      </c>
      <c r="B43" s="1" t="n">
        <v>46001.68811342592</v>
      </c>
      <c r="C43" s="1" t="n">
        <v>46002</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39496-2024</t>
        </is>
      </c>
      <c r="B44" s="1" t="n">
        <v>45551</v>
      </c>
      <c r="C44" s="1" t="n">
        <v>46002</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25323-2023</t>
        </is>
      </c>
      <c r="B45" s="1" t="n">
        <v>45086</v>
      </c>
      <c r="C45" s="1" t="n">
        <v>46002</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46002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46002</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46002</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46002</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46002</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46002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46002</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46002</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46002</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46002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46002</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46002</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46002</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46002</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46002</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46002</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46002</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46002</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46002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46002</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60116-2025</t>
        </is>
      </c>
      <c r="B66" s="1" t="n">
        <v>45994.318125</v>
      </c>
      <c r="C66" s="1" t="n">
        <v>46002</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60240-2025</t>
        </is>
      </c>
      <c r="B67" s="1" t="n">
        <v>45994.57857638889</v>
      </c>
      <c r="C67" s="1" t="n">
        <v>46002</v>
      </c>
      <c r="D67" t="inlineStr">
        <is>
          <t>VÄSTERNORRLANDS LÄN</t>
        </is>
      </c>
      <c r="E67" t="inlineStr">
        <is>
          <t>ÅNGE</t>
        </is>
      </c>
      <c r="F67" t="inlineStr">
        <is>
          <t>Sveaskog</t>
        </is>
      </c>
      <c r="G67" t="n">
        <v>5.5</v>
      </c>
      <c r="H67" t="n">
        <v>3</v>
      </c>
      <c r="I67" t="n">
        <v>1</v>
      </c>
      <c r="J67" t="n">
        <v>4</v>
      </c>
      <c r="K67" t="n">
        <v>1</v>
      </c>
      <c r="L67" t="n">
        <v>0</v>
      </c>
      <c r="M67" t="n">
        <v>0</v>
      </c>
      <c r="N67" t="n">
        <v>0</v>
      </c>
      <c r="O67" t="n">
        <v>5</v>
      </c>
      <c r="P67" t="n">
        <v>1</v>
      </c>
      <c r="Q67" t="n">
        <v>7</v>
      </c>
      <c r="R67" s="2" t="inlineStr">
        <is>
          <t>Knärot
Garnlav
Lunglav
Skrovellav
Tallticka
Plattlummer
Fläcknycklar</t>
        </is>
      </c>
      <c r="S67">
        <f>HYPERLINK("https://klasma.github.io/Logging_2260/artfynd/A 60240-2025 artfynd.xlsx", "A 60240-2025")</f>
        <v/>
      </c>
      <c r="T67">
        <f>HYPERLINK("https://klasma.github.io/Logging_2260/kartor/A 60240-2025 karta.png", "A 60240-2025")</f>
        <v/>
      </c>
      <c r="U67">
        <f>HYPERLINK("https://klasma.github.io/Logging_2260/knärot/A 60240-2025 karta knärot.png", "A 60240-2025")</f>
        <v/>
      </c>
      <c r="V67">
        <f>HYPERLINK("https://klasma.github.io/Logging_2260/klagomål/A 60240-2025 FSC-klagomål.docx", "A 60240-2025")</f>
        <v/>
      </c>
      <c r="W67">
        <f>HYPERLINK("https://klasma.github.io/Logging_2260/klagomålsmail/A 60240-2025 FSC-klagomål mail.docx", "A 60240-2025")</f>
        <v/>
      </c>
      <c r="X67">
        <f>HYPERLINK("https://klasma.github.io/Logging_2260/tillsyn/A 60240-2025 tillsynsbegäran.docx", "A 60240-2025")</f>
        <v/>
      </c>
      <c r="Y67">
        <f>HYPERLINK("https://klasma.github.io/Logging_2260/tillsynsmail/A 60240-2025 tillsynsbegäran mail.docx", "A 60240-2025")</f>
        <v/>
      </c>
    </row>
    <row r="68" ht="15" customHeight="1">
      <c r="A68" t="inlineStr">
        <is>
          <t>A 55176-2024</t>
        </is>
      </c>
      <c r="B68" s="1" t="n">
        <v>45621</v>
      </c>
      <c r="C68" s="1" t="n">
        <v>46002</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46002</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53456-2023</t>
        </is>
      </c>
      <c r="B70" s="1" t="n">
        <v>45229</v>
      </c>
      <c r="C70" s="1" t="n">
        <v>46002</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39570-2025</t>
        </is>
      </c>
      <c r="B71" s="1" t="n">
        <v>45890.49009259259</v>
      </c>
      <c r="C71" s="1" t="n">
        <v>46002</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31509-2024</t>
        </is>
      </c>
      <c r="B72" s="1" t="n">
        <v>45505</v>
      </c>
      <c r="C72" s="1" t="n">
        <v>46002</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45402-2025</t>
        </is>
      </c>
      <c r="B73" s="1" t="n">
        <v>45922.4278587963</v>
      </c>
      <c r="C73" s="1" t="n">
        <v>46002</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46002</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46002</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46002</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46002</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46002</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27955-2021</t>
        </is>
      </c>
      <c r="B79" s="1" t="n">
        <v>44354</v>
      </c>
      <c r="C79" s="1" t="n">
        <v>46002</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3348-2021</t>
        </is>
      </c>
      <c r="B80" s="1" t="n">
        <v>44217</v>
      </c>
      <c r="C80" s="1" t="n">
        <v>46002</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34694-2023</t>
        </is>
      </c>
      <c r="B81" s="1" t="n">
        <v>45140.96324074074</v>
      </c>
      <c r="C81" s="1" t="n">
        <v>46002</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31364-2022</t>
        </is>
      </c>
      <c r="B82" s="1" t="n">
        <v>44774</v>
      </c>
      <c r="C82" s="1" t="n">
        <v>46002</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46002</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23601-2025</t>
        </is>
      </c>
      <c r="B84" s="1" t="n">
        <v>45792</v>
      </c>
      <c r="C84" s="1" t="n">
        <v>46002</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13696-2023</t>
        </is>
      </c>
      <c r="B85" s="1" t="n">
        <v>45006</v>
      </c>
      <c r="C85" s="1" t="n">
        <v>46002</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46002</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46002</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46002</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26958-2024</t>
        </is>
      </c>
      <c r="B89" s="1" t="n">
        <v>45470</v>
      </c>
      <c r="C89" s="1" t="n">
        <v>46002</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47102-2025</t>
        </is>
      </c>
      <c r="B90" s="1" t="n">
        <v>45929</v>
      </c>
      <c r="C90" s="1" t="n">
        <v>46002</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38322-2025</t>
        </is>
      </c>
      <c r="B91" s="1" t="n">
        <v>45883.49003472222</v>
      </c>
      <c r="C91" s="1" t="n">
        <v>46002</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46002</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29880-2025</t>
        </is>
      </c>
      <c r="B93" s="1" t="n">
        <v>45826.36510416667</v>
      </c>
      <c r="C93" s="1" t="n">
        <v>46002</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29880-2025 artfynd.xlsx", "A 29880-2025")</f>
        <v/>
      </c>
      <c r="T93">
        <f>HYPERLINK("https://klasma.github.io/Logging_2260/kartor/A 29880-2025 karta.png", "A 29880-2025")</f>
        <v/>
      </c>
      <c r="V93">
        <f>HYPERLINK("https://klasma.github.io/Logging_2260/klagomål/A 29880-2025 FSC-klagomål.docx", "A 29880-2025")</f>
        <v/>
      </c>
      <c r="W93">
        <f>HYPERLINK("https://klasma.github.io/Logging_2260/klagomålsmail/A 29880-2025 FSC-klagomål mail.docx", "A 29880-2025")</f>
        <v/>
      </c>
      <c r="X93">
        <f>HYPERLINK("https://klasma.github.io/Logging_2260/tillsyn/A 29880-2025 tillsynsbegäran.docx", "A 29880-2025")</f>
        <v/>
      </c>
      <c r="Y93">
        <f>HYPERLINK("https://klasma.github.io/Logging_2260/tillsynsmail/A 29880-2025 tillsynsbegäran mail.docx", "A 29880-2025")</f>
        <v/>
      </c>
      <c r="Z93">
        <f>HYPERLINK("https://klasma.github.io/Logging_2260/fåglar/A 29880-2025 prioriterade fågelarter.docx", "A 29880-2025")</f>
        <v/>
      </c>
    </row>
    <row r="94" ht="15" customHeight="1">
      <c r="A94" t="inlineStr">
        <is>
          <t>A 59971-2025</t>
        </is>
      </c>
      <c r="B94" s="1" t="n">
        <v>45993.49002314815</v>
      </c>
      <c r="C94" s="1" t="n">
        <v>46002</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52601-2025</t>
        </is>
      </c>
      <c r="B95" s="1" t="n">
        <v>45954</v>
      </c>
      <c r="C95" s="1" t="n">
        <v>46002</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27914-2024</t>
        </is>
      </c>
      <c r="B96" s="1" t="n">
        <v>45475</v>
      </c>
      <c r="C96" s="1" t="n">
        <v>46002</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55004-2023</t>
        </is>
      </c>
      <c r="B97" s="1" t="n">
        <v>45236</v>
      </c>
      <c r="C97" s="1" t="n">
        <v>46002</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32911-2024</t>
        </is>
      </c>
      <c r="B98" s="1" t="n">
        <v>45516</v>
      </c>
      <c r="C98" s="1" t="n">
        <v>46002</v>
      </c>
      <c r="D98" t="inlineStr">
        <is>
          <t>VÄSTERNORRLANDS LÄN</t>
        </is>
      </c>
      <c r="E98" t="inlineStr">
        <is>
          <t>ÅNGE</t>
        </is>
      </c>
      <c r="F98" t="inlineStr">
        <is>
          <t>SCA</t>
        </is>
      </c>
      <c r="G98" t="n">
        <v>1</v>
      </c>
      <c r="H98" t="n">
        <v>3</v>
      </c>
      <c r="I98" t="n">
        <v>0</v>
      </c>
      <c r="J98" t="n">
        <v>2</v>
      </c>
      <c r="K98" t="n">
        <v>2</v>
      </c>
      <c r="L98" t="n">
        <v>0</v>
      </c>
      <c r="M98" t="n">
        <v>0</v>
      </c>
      <c r="N98" t="n">
        <v>0</v>
      </c>
      <c r="O98" t="n">
        <v>4</v>
      </c>
      <c r="P98" t="n">
        <v>2</v>
      </c>
      <c r="Q98" t="n">
        <v>5</v>
      </c>
      <c r="R98" s="2" t="inlineStr">
        <is>
          <t>Doftticka
Knärot
Garnlav
Lunglav
Revlummer</t>
        </is>
      </c>
      <c r="S98">
        <f>HYPERLINK("https://klasma.github.io/Logging_2260/artfynd/A 32911-2024 artfynd.xlsx", "A 32911-2024")</f>
        <v/>
      </c>
      <c r="T98">
        <f>HYPERLINK("https://klasma.github.io/Logging_2260/kartor/A 32911-2024 karta.png", "A 32911-2024")</f>
        <v/>
      </c>
      <c r="U98">
        <f>HYPERLINK("https://klasma.github.io/Logging_2260/knärot/A 32911-2024 karta knärot.png", "A 32911-2024")</f>
        <v/>
      </c>
      <c r="V98">
        <f>HYPERLINK("https://klasma.github.io/Logging_2260/klagomål/A 32911-2024 FSC-klagomål.docx", "A 32911-2024")</f>
        <v/>
      </c>
      <c r="W98">
        <f>HYPERLINK("https://klasma.github.io/Logging_2260/klagomålsmail/A 32911-2024 FSC-klagomål mail.docx", "A 32911-2024")</f>
        <v/>
      </c>
      <c r="X98">
        <f>HYPERLINK("https://klasma.github.io/Logging_2260/tillsyn/A 32911-2024 tillsynsbegäran.docx", "A 32911-2024")</f>
        <v/>
      </c>
      <c r="Y98">
        <f>HYPERLINK("https://klasma.github.io/Logging_2260/tillsynsmail/A 32911-2024 tillsynsbegäran mail.docx", "A 32911-2024")</f>
        <v/>
      </c>
    </row>
    <row r="99" ht="15" customHeight="1">
      <c r="A99" t="inlineStr">
        <is>
          <t>A 24796-2024</t>
        </is>
      </c>
      <c r="B99" s="1" t="n">
        <v>45460</v>
      </c>
      <c r="C99" s="1" t="n">
        <v>46002</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46002</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46002</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54095-2025</t>
        </is>
      </c>
      <c r="B102" s="1" t="n">
        <v>45964.40685185185</v>
      </c>
      <c r="C102" s="1" t="n">
        <v>46002</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26953-2024</t>
        </is>
      </c>
      <c r="B103" s="1" t="n">
        <v>45470</v>
      </c>
      <c r="C103" s="1" t="n">
        <v>46002</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38713-2025</t>
        </is>
      </c>
      <c r="B104" s="1" t="n">
        <v>45886.34479166667</v>
      </c>
      <c r="C104" s="1" t="n">
        <v>46002</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61487-2025</t>
        </is>
      </c>
      <c r="B105" s="1" t="n">
        <v>46001.63628472222</v>
      </c>
      <c r="C105" s="1" t="n">
        <v>46002</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44558-2024</t>
        </is>
      </c>
      <c r="B106" s="1" t="n">
        <v>45574.47001157407</v>
      </c>
      <c r="C106" s="1" t="n">
        <v>46002</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57299-2022</t>
        </is>
      </c>
      <c r="B107" s="1" t="n">
        <v>44895.95090277777</v>
      </c>
      <c r="C107" s="1" t="n">
        <v>46002</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55179-2024</t>
        </is>
      </c>
      <c r="B108" s="1" t="n">
        <v>45621.53204861111</v>
      </c>
      <c r="C108" s="1" t="n">
        <v>46002</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39176-2024</t>
        </is>
      </c>
      <c r="B109" s="1" t="n">
        <v>45548</v>
      </c>
      <c r="C109" s="1" t="n">
        <v>46002</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46002</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723-2025</t>
        </is>
      </c>
      <c r="B111" s="1" t="n">
        <v>45665.38576388889</v>
      </c>
      <c r="C111" s="1" t="n">
        <v>46002</v>
      </c>
      <c r="D111" t="inlineStr">
        <is>
          <t>VÄSTERNORRLANDS LÄN</t>
        </is>
      </c>
      <c r="E111" t="inlineStr">
        <is>
          <t>ÅNGE</t>
        </is>
      </c>
      <c r="G111" t="n">
        <v>4.1</v>
      </c>
      <c r="H111" t="n">
        <v>2</v>
      </c>
      <c r="I111" t="n">
        <v>1</v>
      </c>
      <c r="J111" t="n">
        <v>1</v>
      </c>
      <c r="K111" t="n">
        <v>0</v>
      </c>
      <c r="L111" t="n">
        <v>0</v>
      </c>
      <c r="M111" t="n">
        <v>0</v>
      </c>
      <c r="N111" t="n">
        <v>0</v>
      </c>
      <c r="O111" t="n">
        <v>1</v>
      </c>
      <c r="P111" t="n">
        <v>0</v>
      </c>
      <c r="Q111" t="n">
        <v>4</v>
      </c>
      <c r="R111" s="2" t="inlineStr">
        <is>
          <t>Lunglav
Stuplav
Fläcknycklar
Revlummer</t>
        </is>
      </c>
      <c r="S111">
        <f>HYPERLINK("https://klasma.github.io/Logging_2260/artfynd/A 723-2025 artfynd.xlsx", "A 723-2025")</f>
        <v/>
      </c>
      <c r="T111">
        <f>HYPERLINK("https://klasma.github.io/Logging_2260/kartor/A 723-2025 karta.png", "A 723-2025")</f>
        <v/>
      </c>
      <c r="V111">
        <f>HYPERLINK("https://klasma.github.io/Logging_2260/klagomål/A 723-2025 FSC-klagomål.docx", "A 723-2025")</f>
        <v/>
      </c>
      <c r="W111">
        <f>HYPERLINK("https://klasma.github.io/Logging_2260/klagomålsmail/A 723-2025 FSC-klagomål mail.docx", "A 723-2025")</f>
        <v/>
      </c>
      <c r="X111">
        <f>HYPERLINK("https://klasma.github.io/Logging_2260/tillsyn/A 723-2025 tillsynsbegäran.docx", "A 723-2025")</f>
        <v/>
      </c>
      <c r="Y111">
        <f>HYPERLINK("https://klasma.github.io/Logging_2260/tillsynsmail/A 723-2025 tillsynsbegäran mail.docx", "A 723-2025")</f>
        <v/>
      </c>
    </row>
    <row r="112" ht="15" customHeight="1">
      <c r="A112" t="inlineStr">
        <is>
          <t>A 27956-2021</t>
        </is>
      </c>
      <c r="B112" s="1" t="n">
        <v>44354</v>
      </c>
      <c r="C112" s="1" t="n">
        <v>46002</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10317-2022</t>
        </is>
      </c>
      <c r="B113" s="1" t="n">
        <v>44622</v>
      </c>
      <c r="C113" s="1" t="n">
        <v>46002</v>
      </c>
      <c r="D113" t="inlineStr">
        <is>
          <t>VÄSTERNORRLANDS LÄN</t>
        </is>
      </c>
      <c r="E113" t="inlineStr">
        <is>
          <t>ÅNGE</t>
        </is>
      </c>
      <c r="F113" t="inlineStr">
        <is>
          <t>SCA</t>
        </is>
      </c>
      <c r="G113" t="n">
        <v>3</v>
      </c>
      <c r="H113" t="n">
        <v>2</v>
      </c>
      <c r="I113" t="n">
        <v>1</v>
      </c>
      <c r="J113" t="n">
        <v>1</v>
      </c>
      <c r="K113" t="n">
        <v>1</v>
      </c>
      <c r="L113" t="n">
        <v>0</v>
      </c>
      <c r="M113" t="n">
        <v>0</v>
      </c>
      <c r="N113" t="n">
        <v>0</v>
      </c>
      <c r="O113" t="n">
        <v>2</v>
      </c>
      <c r="P113" t="n">
        <v>1</v>
      </c>
      <c r="Q113" t="n">
        <v>3</v>
      </c>
      <c r="R113" s="2" t="inlineStr">
        <is>
          <t>Knärot
Granticka
Tvåblad</t>
        </is>
      </c>
      <c r="S113">
        <f>HYPERLINK("https://klasma.github.io/Logging_2260/artfynd/A 10317-2022 artfynd.xlsx", "A 10317-2022")</f>
        <v/>
      </c>
      <c r="T113">
        <f>HYPERLINK("https://klasma.github.io/Logging_2260/kartor/A 10317-2022 karta.png", "A 10317-2022")</f>
        <v/>
      </c>
      <c r="U113">
        <f>HYPERLINK("https://klasma.github.io/Logging_2260/knärot/A 10317-2022 karta knärot.png", "A 10317-2022")</f>
        <v/>
      </c>
      <c r="V113">
        <f>HYPERLINK("https://klasma.github.io/Logging_2260/klagomål/A 10317-2022 FSC-klagomål.docx", "A 10317-2022")</f>
        <v/>
      </c>
      <c r="W113">
        <f>HYPERLINK("https://klasma.github.io/Logging_2260/klagomålsmail/A 10317-2022 FSC-klagomål mail.docx", "A 10317-2022")</f>
        <v/>
      </c>
      <c r="X113">
        <f>HYPERLINK("https://klasma.github.io/Logging_2260/tillsyn/A 10317-2022 tillsynsbegäran.docx", "A 10317-2022")</f>
        <v/>
      </c>
      <c r="Y113">
        <f>HYPERLINK("https://klasma.github.io/Logging_2260/tillsynsmail/A 10317-2022 tillsynsbegäran mail.docx", "A 10317-2022")</f>
        <v/>
      </c>
    </row>
    <row r="114" ht="15" customHeight="1">
      <c r="A114" t="inlineStr">
        <is>
          <t>A 23754-2025</t>
        </is>
      </c>
      <c r="B114" s="1" t="n">
        <v>45793.45782407407</v>
      </c>
      <c r="C114" s="1" t="n">
        <v>46002</v>
      </c>
      <c r="D114" t="inlineStr">
        <is>
          <t>VÄSTERNORRLANDS LÄN</t>
        </is>
      </c>
      <c r="E114" t="inlineStr">
        <is>
          <t>ÅNGE</t>
        </is>
      </c>
      <c r="F114" t="inlineStr">
        <is>
          <t>Sveaskog</t>
        </is>
      </c>
      <c r="G114" t="n">
        <v>4.3</v>
      </c>
      <c r="H114" t="n">
        <v>3</v>
      </c>
      <c r="I114" t="n">
        <v>0</v>
      </c>
      <c r="J114" t="n">
        <v>1</v>
      </c>
      <c r="K114" t="n">
        <v>0</v>
      </c>
      <c r="L114" t="n">
        <v>0</v>
      </c>
      <c r="M114" t="n">
        <v>0</v>
      </c>
      <c r="N114" t="n">
        <v>0</v>
      </c>
      <c r="O114" t="n">
        <v>1</v>
      </c>
      <c r="P114" t="n">
        <v>0</v>
      </c>
      <c r="Q114" t="n">
        <v>3</v>
      </c>
      <c r="R114" s="2" t="inlineStr">
        <is>
          <t>Spillkråka
Tjäder
Blåsippa</t>
        </is>
      </c>
      <c r="S114">
        <f>HYPERLINK("https://klasma.github.io/Logging_2260/artfynd/A 23754-2025 artfynd.xlsx", "A 23754-2025")</f>
        <v/>
      </c>
      <c r="T114">
        <f>HYPERLINK("https://klasma.github.io/Logging_2260/kartor/A 23754-2025 karta.png", "A 23754-2025")</f>
        <v/>
      </c>
      <c r="U114">
        <f>HYPERLINK("https://klasma.github.io/Logging_2260/knärot/A 23754-2025 karta knärot.png", "A 23754-2025")</f>
        <v/>
      </c>
      <c r="V114">
        <f>HYPERLINK("https://klasma.github.io/Logging_2260/klagomål/A 23754-2025 FSC-klagomål.docx", "A 23754-2025")</f>
        <v/>
      </c>
      <c r="W114">
        <f>HYPERLINK("https://klasma.github.io/Logging_2260/klagomålsmail/A 23754-2025 FSC-klagomål mail.docx", "A 23754-2025")</f>
        <v/>
      </c>
      <c r="X114">
        <f>HYPERLINK("https://klasma.github.io/Logging_2260/tillsyn/A 23754-2025 tillsynsbegäran.docx", "A 23754-2025")</f>
        <v/>
      </c>
      <c r="Y114">
        <f>HYPERLINK("https://klasma.github.io/Logging_2260/tillsynsmail/A 23754-2025 tillsynsbegäran mail.docx", "A 23754-2025")</f>
        <v/>
      </c>
      <c r="Z114">
        <f>HYPERLINK("https://klasma.github.io/Logging_2260/fåglar/A 23754-2025 prioriterade fågelarter.docx", "A 23754-2025")</f>
        <v/>
      </c>
    </row>
    <row r="115" ht="15" customHeight="1">
      <c r="A115" t="inlineStr">
        <is>
          <t>A 23759-2025</t>
        </is>
      </c>
      <c r="B115" s="1" t="n">
        <v>45793.46409722222</v>
      </c>
      <c r="C115" s="1" t="n">
        <v>46002</v>
      </c>
      <c r="D115" t="inlineStr">
        <is>
          <t>VÄSTERNORRLANDS LÄN</t>
        </is>
      </c>
      <c r="E115" t="inlineStr">
        <is>
          <t>ÅNGE</t>
        </is>
      </c>
      <c r="F115" t="inlineStr">
        <is>
          <t>Sveaskog</t>
        </is>
      </c>
      <c r="G115" t="n">
        <v>5.2</v>
      </c>
      <c r="H115" t="n">
        <v>0</v>
      </c>
      <c r="I115" t="n">
        <v>1</v>
      </c>
      <c r="J115" t="n">
        <v>2</v>
      </c>
      <c r="K115" t="n">
        <v>0</v>
      </c>
      <c r="L115" t="n">
        <v>0</v>
      </c>
      <c r="M115" t="n">
        <v>0</v>
      </c>
      <c r="N115" t="n">
        <v>0</v>
      </c>
      <c r="O115" t="n">
        <v>2</v>
      </c>
      <c r="P115" t="n">
        <v>0</v>
      </c>
      <c r="Q115" t="n">
        <v>3</v>
      </c>
      <c r="R115" s="2" t="inlineStr">
        <is>
          <t>Lunglav
Skrovellav
Korallblylav</t>
        </is>
      </c>
      <c r="S115">
        <f>HYPERLINK("https://klasma.github.io/Logging_2260/artfynd/A 23759-2025 artfynd.xlsx", "A 23759-2025")</f>
        <v/>
      </c>
      <c r="T115">
        <f>HYPERLINK("https://klasma.github.io/Logging_2260/kartor/A 23759-2025 karta.png", "A 23759-2025")</f>
        <v/>
      </c>
      <c r="V115">
        <f>HYPERLINK("https://klasma.github.io/Logging_2260/klagomål/A 23759-2025 FSC-klagomål.docx", "A 23759-2025")</f>
        <v/>
      </c>
      <c r="W115">
        <f>HYPERLINK("https://klasma.github.io/Logging_2260/klagomålsmail/A 23759-2025 FSC-klagomål mail.docx", "A 23759-2025")</f>
        <v/>
      </c>
      <c r="X115">
        <f>HYPERLINK("https://klasma.github.io/Logging_2260/tillsyn/A 23759-2025 tillsynsbegäran.docx", "A 23759-2025")</f>
        <v/>
      </c>
      <c r="Y115">
        <f>HYPERLINK("https://klasma.github.io/Logging_2260/tillsynsmail/A 23759-2025 tillsynsbegäran mail.docx", "A 23759-2025")</f>
        <v/>
      </c>
    </row>
    <row r="116" ht="15" customHeight="1">
      <c r="A116" t="inlineStr">
        <is>
          <t>A 29665-2024</t>
        </is>
      </c>
      <c r="B116" s="1" t="n">
        <v>45484</v>
      </c>
      <c r="C116" s="1" t="n">
        <v>46002</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38664-2025</t>
        </is>
      </c>
      <c r="B117" s="1" t="n">
        <v>45884.61503472222</v>
      </c>
      <c r="C117" s="1" t="n">
        <v>46002</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39179-2024</t>
        </is>
      </c>
      <c r="B118" s="1" t="n">
        <v>45548.65703703704</v>
      </c>
      <c r="C118" s="1" t="n">
        <v>46002</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22996-2023</t>
        </is>
      </c>
      <c r="B119" s="1" t="n">
        <v>45072</v>
      </c>
      <c r="C119" s="1" t="n">
        <v>46002</v>
      </c>
      <c r="D119" t="inlineStr">
        <is>
          <t>VÄSTERNORRLANDS LÄN</t>
        </is>
      </c>
      <c r="E119" t="inlineStr">
        <is>
          <t>ÅNGE</t>
        </is>
      </c>
      <c r="F119" t="inlineStr">
        <is>
          <t>SCA</t>
        </is>
      </c>
      <c r="G119" t="n">
        <v>2.2</v>
      </c>
      <c r="H119" t="n">
        <v>1</v>
      </c>
      <c r="I119" t="n">
        <v>0</v>
      </c>
      <c r="J119" t="n">
        <v>2</v>
      </c>
      <c r="K119" t="n">
        <v>1</v>
      </c>
      <c r="L119" t="n">
        <v>0</v>
      </c>
      <c r="M119" t="n">
        <v>0</v>
      </c>
      <c r="N119" t="n">
        <v>0</v>
      </c>
      <c r="O119" t="n">
        <v>3</v>
      </c>
      <c r="P119" t="n">
        <v>1</v>
      </c>
      <c r="Q119" t="n">
        <v>3</v>
      </c>
      <c r="R119" s="2" t="inlineStr">
        <is>
          <t>Knärot
Garnlav
Vedtrappmossa</t>
        </is>
      </c>
      <c r="S119">
        <f>HYPERLINK("https://klasma.github.io/Logging_2260/artfynd/A 22996-2023 artfynd.xlsx", "A 22996-2023")</f>
        <v/>
      </c>
      <c r="T119">
        <f>HYPERLINK("https://klasma.github.io/Logging_2260/kartor/A 22996-2023 karta.png", "A 22996-2023")</f>
        <v/>
      </c>
      <c r="U119">
        <f>HYPERLINK("https://klasma.github.io/Logging_2260/knärot/A 22996-2023 karta knärot.png", "A 22996-2023")</f>
        <v/>
      </c>
      <c r="V119">
        <f>HYPERLINK("https://klasma.github.io/Logging_2260/klagomål/A 22996-2023 FSC-klagomål.docx", "A 22996-2023")</f>
        <v/>
      </c>
      <c r="W119">
        <f>HYPERLINK("https://klasma.github.io/Logging_2260/klagomålsmail/A 22996-2023 FSC-klagomål mail.docx", "A 22996-2023")</f>
        <v/>
      </c>
      <c r="X119">
        <f>HYPERLINK("https://klasma.github.io/Logging_2260/tillsyn/A 22996-2023 tillsynsbegäran.docx", "A 22996-2023")</f>
        <v/>
      </c>
      <c r="Y119">
        <f>HYPERLINK("https://klasma.github.io/Logging_2260/tillsynsmail/A 22996-2023 tillsynsbegäran mail.docx", "A 22996-2023")</f>
        <v/>
      </c>
    </row>
    <row r="120" ht="15" customHeight="1">
      <c r="A120" t="inlineStr">
        <is>
          <t>A 39029-2025</t>
        </is>
      </c>
      <c r="B120" s="1" t="n">
        <v>45888.40684027778</v>
      </c>
      <c r="C120" s="1" t="n">
        <v>46002</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26679-2025</t>
        </is>
      </c>
      <c r="B121" s="1" t="n">
        <v>45810</v>
      </c>
      <c r="C121" s="1" t="n">
        <v>46002</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16307-2025</t>
        </is>
      </c>
      <c r="B122" s="1" t="n">
        <v>45751.34686342593</v>
      </c>
      <c r="C122" s="1" t="n">
        <v>46002</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41868-2025</t>
        </is>
      </c>
      <c r="B123" s="1" t="n">
        <v>45903.34429398148</v>
      </c>
      <c r="C123" s="1" t="n">
        <v>46002</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43319-2025</t>
        </is>
      </c>
      <c r="B124" s="1" t="n">
        <v>45910.65681712963</v>
      </c>
      <c r="C124" s="1" t="n">
        <v>46002</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31212-2025</t>
        </is>
      </c>
      <c r="B125" s="1" t="n">
        <v>45832.71978009259</v>
      </c>
      <c r="C125" s="1" t="n">
        <v>46002</v>
      </c>
      <c r="D125" t="inlineStr">
        <is>
          <t>VÄSTERNORRLANDS LÄN</t>
        </is>
      </c>
      <c r="E125" t="inlineStr">
        <is>
          <t>ÅNGE</t>
        </is>
      </c>
      <c r="F125" t="inlineStr">
        <is>
          <t>SCA</t>
        </is>
      </c>
      <c r="G125" t="n">
        <v>1.6</v>
      </c>
      <c r="H125" t="n">
        <v>0</v>
      </c>
      <c r="I125" t="n">
        <v>2</v>
      </c>
      <c r="J125" t="n">
        <v>1</v>
      </c>
      <c r="K125" t="n">
        <v>0</v>
      </c>
      <c r="L125" t="n">
        <v>0</v>
      </c>
      <c r="M125" t="n">
        <v>0</v>
      </c>
      <c r="N125" t="n">
        <v>0</v>
      </c>
      <c r="O125" t="n">
        <v>1</v>
      </c>
      <c r="P125" t="n">
        <v>0</v>
      </c>
      <c r="Q125" t="n">
        <v>3</v>
      </c>
      <c r="R125" s="2" t="inlineStr">
        <is>
          <t>Ullticka
Barkticka
Korallblylav</t>
        </is>
      </c>
      <c r="S125">
        <f>HYPERLINK("https://klasma.github.io/Logging_2260/artfynd/A 31212-2025 artfynd.xlsx", "A 31212-2025")</f>
        <v/>
      </c>
      <c r="T125">
        <f>HYPERLINK("https://klasma.github.io/Logging_2260/kartor/A 31212-2025 karta.png", "A 31212-2025")</f>
        <v/>
      </c>
      <c r="V125">
        <f>HYPERLINK("https://klasma.github.io/Logging_2260/klagomål/A 31212-2025 FSC-klagomål.docx", "A 31212-2025")</f>
        <v/>
      </c>
      <c r="W125">
        <f>HYPERLINK("https://klasma.github.io/Logging_2260/klagomålsmail/A 31212-2025 FSC-klagomål mail.docx", "A 31212-2025")</f>
        <v/>
      </c>
      <c r="X125">
        <f>HYPERLINK("https://klasma.github.io/Logging_2260/tillsyn/A 31212-2025 tillsynsbegäran.docx", "A 31212-2025")</f>
        <v/>
      </c>
      <c r="Y125">
        <f>HYPERLINK("https://klasma.github.io/Logging_2260/tillsynsmail/A 31212-2025 tillsynsbegäran mail.docx", "A 31212-2025")</f>
        <v/>
      </c>
    </row>
    <row r="126" ht="15" customHeight="1">
      <c r="A126" t="inlineStr">
        <is>
          <t>A 47617-2024</t>
        </is>
      </c>
      <c r="B126" s="1" t="n">
        <v>45588.32125</v>
      </c>
      <c r="C126" s="1" t="n">
        <v>46002</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43880-2025</t>
        </is>
      </c>
      <c r="B127" s="1" t="n">
        <v>45912</v>
      </c>
      <c r="C127" s="1" t="n">
        <v>46002</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53710-2025</t>
        </is>
      </c>
      <c r="B128" s="1" t="n">
        <v>45960.6153125</v>
      </c>
      <c r="C128" s="1" t="n">
        <v>46002</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33806-2025</t>
        </is>
      </c>
      <c r="B129" s="1" t="n">
        <v>45842.44865740741</v>
      </c>
      <c r="C129" s="1" t="n">
        <v>46002</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46417-2025</t>
        </is>
      </c>
      <c r="B130" s="1" t="n">
        <v>45925.59454861111</v>
      </c>
      <c r="C130" s="1" t="n">
        <v>46002</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37184-2025</t>
        </is>
      </c>
      <c r="B131" s="1" t="n">
        <v>45875.63591435185</v>
      </c>
      <c r="C131" s="1" t="n">
        <v>46002</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38238-2025</t>
        </is>
      </c>
      <c r="B132" s="1" t="n">
        <v>45883.36497685185</v>
      </c>
      <c r="C132" s="1" t="n">
        <v>46002</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49530-2025</t>
        </is>
      </c>
      <c r="B133" s="1" t="n">
        <v>45939.40700231482</v>
      </c>
      <c r="C133" s="1" t="n">
        <v>46002</v>
      </c>
      <c r="D133" t="inlineStr">
        <is>
          <t>VÄSTERNORRLANDS LÄN</t>
        </is>
      </c>
      <c r="E133" t="inlineStr">
        <is>
          <t>ÅNGE</t>
        </is>
      </c>
      <c r="F133" t="inlineStr">
        <is>
          <t>SCA</t>
        </is>
      </c>
      <c r="G133" t="n">
        <v>5.1</v>
      </c>
      <c r="H133" t="n">
        <v>1</v>
      </c>
      <c r="I133" t="n">
        <v>1</v>
      </c>
      <c r="J133" t="n">
        <v>1</v>
      </c>
      <c r="K133" t="n">
        <v>0</v>
      </c>
      <c r="L133" t="n">
        <v>0</v>
      </c>
      <c r="M133" t="n">
        <v>0</v>
      </c>
      <c r="N133" t="n">
        <v>0</v>
      </c>
      <c r="O133" t="n">
        <v>1</v>
      </c>
      <c r="P133" t="n">
        <v>0</v>
      </c>
      <c r="Q133" t="n">
        <v>3</v>
      </c>
      <c r="R133" s="2" t="inlineStr">
        <is>
          <t>Lunglav
Strutbräken
Revlummer</t>
        </is>
      </c>
      <c r="S133">
        <f>HYPERLINK("https://klasma.github.io/Logging_2260/artfynd/A 49530-2025 artfynd.xlsx", "A 49530-2025")</f>
        <v/>
      </c>
      <c r="T133">
        <f>HYPERLINK("https://klasma.github.io/Logging_2260/kartor/A 49530-2025 karta.png", "A 49530-2025")</f>
        <v/>
      </c>
      <c r="V133">
        <f>HYPERLINK("https://klasma.github.io/Logging_2260/klagomål/A 49530-2025 FSC-klagomål.docx", "A 49530-2025")</f>
        <v/>
      </c>
      <c r="W133">
        <f>HYPERLINK("https://klasma.github.io/Logging_2260/klagomålsmail/A 49530-2025 FSC-klagomål mail.docx", "A 49530-2025")</f>
        <v/>
      </c>
      <c r="X133">
        <f>HYPERLINK("https://klasma.github.io/Logging_2260/tillsyn/A 49530-2025 tillsynsbegäran.docx", "A 49530-2025")</f>
        <v/>
      </c>
      <c r="Y133">
        <f>HYPERLINK("https://klasma.github.io/Logging_2260/tillsynsmail/A 49530-2025 tillsynsbegäran mail.docx", "A 49530-2025")</f>
        <v/>
      </c>
    </row>
    <row r="134" ht="15" customHeight="1">
      <c r="A134" t="inlineStr">
        <is>
          <t>A 7533-2023</t>
        </is>
      </c>
      <c r="B134" s="1" t="n">
        <v>44971</v>
      </c>
      <c r="C134" s="1" t="n">
        <v>46002</v>
      </c>
      <c r="D134" t="inlineStr">
        <is>
          <t>VÄSTERNORRLANDS LÄN</t>
        </is>
      </c>
      <c r="E134" t="inlineStr">
        <is>
          <t>ÅNGE</t>
        </is>
      </c>
      <c r="F134" t="inlineStr">
        <is>
          <t>SCA</t>
        </is>
      </c>
      <c r="G134" t="n">
        <v>15.7</v>
      </c>
      <c r="H134" t="n">
        <v>2</v>
      </c>
      <c r="I134" t="n">
        <v>0</v>
      </c>
      <c r="J134" t="n">
        <v>1</v>
      </c>
      <c r="K134" t="n">
        <v>1</v>
      </c>
      <c r="L134" t="n">
        <v>0</v>
      </c>
      <c r="M134" t="n">
        <v>0</v>
      </c>
      <c r="N134" t="n">
        <v>0</v>
      </c>
      <c r="O134" t="n">
        <v>2</v>
      </c>
      <c r="P134" t="n">
        <v>1</v>
      </c>
      <c r="Q134" t="n">
        <v>3</v>
      </c>
      <c r="R134" s="2" t="inlineStr">
        <is>
          <t>Doftticka
Lunglav
Blåsippa</t>
        </is>
      </c>
      <c r="S134">
        <f>HYPERLINK("https://klasma.github.io/Logging_2260/artfynd/A 7533-2023 artfynd.xlsx", "A 7533-2023")</f>
        <v/>
      </c>
      <c r="T134">
        <f>HYPERLINK("https://klasma.github.io/Logging_2260/kartor/A 7533-2023 karta.png", "A 7533-2023")</f>
        <v/>
      </c>
      <c r="V134">
        <f>HYPERLINK("https://klasma.github.io/Logging_2260/klagomål/A 7533-2023 FSC-klagomål.docx", "A 7533-2023")</f>
        <v/>
      </c>
      <c r="W134">
        <f>HYPERLINK("https://klasma.github.io/Logging_2260/klagomålsmail/A 7533-2023 FSC-klagomål mail.docx", "A 7533-2023")</f>
        <v/>
      </c>
      <c r="X134">
        <f>HYPERLINK("https://klasma.github.io/Logging_2260/tillsyn/A 7533-2023 tillsynsbegäran.docx", "A 7533-2023")</f>
        <v/>
      </c>
      <c r="Y134">
        <f>HYPERLINK("https://klasma.github.io/Logging_2260/tillsynsmail/A 7533-2023 tillsynsbegäran mail.docx", "A 7533-2023")</f>
        <v/>
      </c>
    </row>
    <row r="135" ht="15" customHeight="1">
      <c r="A135" t="inlineStr">
        <is>
          <t>A 50259-2025</t>
        </is>
      </c>
      <c r="B135" s="1" t="n">
        <v>45944.34498842592</v>
      </c>
      <c r="C135" s="1" t="n">
        <v>46002</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39708-2024</t>
        </is>
      </c>
      <c r="B136" s="1" t="n">
        <v>45552.59408564815</v>
      </c>
      <c r="C136" s="1" t="n">
        <v>46002</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29691-2024</t>
        </is>
      </c>
      <c r="B137" s="1" t="n">
        <v>45484.9446875</v>
      </c>
      <c r="C137" s="1" t="n">
        <v>46002</v>
      </c>
      <c r="D137" t="inlineStr">
        <is>
          <t>VÄSTERNORRLANDS LÄN</t>
        </is>
      </c>
      <c r="E137" t="inlineStr">
        <is>
          <t>ÅNGE</t>
        </is>
      </c>
      <c r="F137" t="inlineStr">
        <is>
          <t>SCA</t>
        </is>
      </c>
      <c r="G137" t="n">
        <v>6.8</v>
      </c>
      <c r="H137" t="n">
        <v>0</v>
      </c>
      <c r="I137" t="n">
        <v>1</v>
      </c>
      <c r="J137" t="n">
        <v>2</v>
      </c>
      <c r="K137" t="n">
        <v>0</v>
      </c>
      <c r="L137" t="n">
        <v>0</v>
      </c>
      <c r="M137" t="n">
        <v>0</v>
      </c>
      <c r="N137" t="n">
        <v>0</v>
      </c>
      <c r="O137" t="n">
        <v>2</v>
      </c>
      <c r="P137" t="n">
        <v>0</v>
      </c>
      <c r="Q137" t="n">
        <v>3</v>
      </c>
      <c r="R137" s="2" t="inlineStr">
        <is>
          <t>Lunglav
Rosenticka
Vedticka</t>
        </is>
      </c>
      <c r="S137">
        <f>HYPERLINK("https://klasma.github.io/Logging_2260/artfynd/A 29691-2024 artfynd.xlsx", "A 29691-2024")</f>
        <v/>
      </c>
      <c r="T137">
        <f>HYPERLINK("https://klasma.github.io/Logging_2260/kartor/A 29691-2024 karta.png", "A 29691-2024")</f>
        <v/>
      </c>
      <c r="V137">
        <f>HYPERLINK("https://klasma.github.io/Logging_2260/klagomål/A 29691-2024 FSC-klagomål.docx", "A 29691-2024")</f>
        <v/>
      </c>
      <c r="W137">
        <f>HYPERLINK("https://klasma.github.io/Logging_2260/klagomålsmail/A 29691-2024 FSC-klagomål mail.docx", "A 29691-2024")</f>
        <v/>
      </c>
      <c r="X137">
        <f>HYPERLINK("https://klasma.github.io/Logging_2260/tillsyn/A 29691-2024 tillsynsbegäran.docx", "A 29691-2024")</f>
        <v/>
      </c>
      <c r="Y137">
        <f>HYPERLINK("https://klasma.github.io/Logging_2260/tillsynsmail/A 29691-2024 tillsynsbegäran mail.docx", "A 29691-2024")</f>
        <v/>
      </c>
    </row>
    <row r="138" ht="15" customHeight="1">
      <c r="A138" t="inlineStr">
        <is>
          <t>A 39181-2024</t>
        </is>
      </c>
      <c r="B138" s="1" t="n">
        <v>45548</v>
      </c>
      <c r="C138" s="1" t="n">
        <v>46002</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24795-2024</t>
        </is>
      </c>
      <c r="B139" s="1" t="n">
        <v>45460.95252314815</v>
      </c>
      <c r="C139" s="1" t="n">
        <v>46002</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28274-2023</t>
        </is>
      </c>
      <c r="B140" s="1" t="n">
        <v>45099</v>
      </c>
      <c r="C140" s="1" t="n">
        <v>46002</v>
      </c>
      <c r="D140" t="inlineStr">
        <is>
          <t>VÄSTERNORRLANDS LÄN</t>
        </is>
      </c>
      <c r="E140" t="inlineStr">
        <is>
          <t>ÅNGE</t>
        </is>
      </c>
      <c r="G140" t="n">
        <v>19.2</v>
      </c>
      <c r="H140" t="n">
        <v>1</v>
      </c>
      <c r="I140" t="n">
        <v>1</v>
      </c>
      <c r="J140" t="n">
        <v>1</v>
      </c>
      <c r="K140" t="n">
        <v>1</v>
      </c>
      <c r="L140" t="n">
        <v>0</v>
      </c>
      <c r="M140" t="n">
        <v>0</v>
      </c>
      <c r="N140" t="n">
        <v>0</v>
      </c>
      <c r="O140" t="n">
        <v>2</v>
      </c>
      <c r="P140" t="n">
        <v>1</v>
      </c>
      <c r="Q140" t="n">
        <v>3</v>
      </c>
      <c r="R140" s="2" t="inlineStr">
        <is>
          <t>Knärot
Lunglav
Grönpyrola</t>
        </is>
      </c>
      <c r="S140">
        <f>HYPERLINK("https://klasma.github.io/Logging_2260/artfynd/A 28274-2023 artfynd.xlsx", "A 28274-2023")</f>
        <v/>
      </c>
      <c r="T140">
        <f>HYPERLINK("https://klasma.github.io/Logging_2260/kartor/A 28274-2023 karta.png", "A 28274-2023")</f>
        <v/>
      </c>
      <c r="U140">
        <f>HYPERLINK("https://klasma.github.io/Logging_2260/knärot/A 28274-2023 karta knärot.png", "A 28274-2023")</f>
        <v/>
      </c>
      <c r="V140">
        <f>HYPERLINK("https://klasma.github.io/Logging_2260/klagomål/A 28274-2023 FSC-klagomål.docx", "A 28274-2023")</f>
        <v/>
      </c>
      <c r="W140">
        <f>HYPERLINK("https://klasma.github.io/Logging_2260/klagomålsmail/A 28274-2023 FSC-klagomål mail.docx", "A 28274-2023")</f>
        <v/>
      </c>
      <c r="X140">
        <f>HYPERLINK("https://klasma.github.io/Logging_2260/tillsyn/A 28274-2023 tillsynsbegäran.docx", "A 28274-2023")</f>
        <v/>
      </c>
      <c r="Y140">
        <f>HYPERLINK("https://klasma.github.io/Logging_2260/tillsynsmail/A 28274-2023 tillsynsbegäran mail.docx", "A 28274-2023")</f>
        <v/>
      </c>
    </row>
    <row r="141" ht="15" customHeight="1">
      <c r="A141" t="inlineStr">
        <is>
          <t>A 21267-2025</t>
        </is>
      </c>
      <c r="B141" s="1" t="n">
        <v>45779</v>
      </c>
      <c r="C141" s="1" t="n">
        <v>46002</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47798-2022</t>
        </is>
      </c>
      <c r="B142" s="1" t="n">
        <v>44854.95365740741</v>
      </c>
      <c r="C142" s="1" t="n">
        <v>46002</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36635-2021</t>
        </is>
      </c>
      <c r="B143" s="1" t="n">
        <v>44391</v>
      </c>
      <c r="C143" s="1" t="n">
        <v>46002</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46002</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48152-2022</t>
        </is>
      </c>
      <c r="B145" s="1" t="n">
        <v>44853</v>
      </c>
      <c r="C145" s="1" t="n">
        <v>46002</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46002</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46002</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46002</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46002</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24176-2025</t>
        </is>
      </c>
      <c r="B150" s="1" t="n">
        <v>45796.69832175926</v>
      </c>
      <c r="C150" s="1" t="n">
        <v>46002</v>
      </c>
      <c r="D150" t="inlineStr">
        <is>
          <t>VÄSTERNORRLANDS LÄN</t>
        </is>
      </c>
      <c r="E150" t="inlineStr">
        <is>
          <t>ÅNGE</t>
        </is>
      </c>
      <c r="F150" t="inlineStr">
        <is>
          <t>SCA</t>
        </is>
      </c>
      <c r="G150" t="n">
        <v>3.9</v>
      </c>
      <c r="H150" t="n">
        <v>0</v>
      </c>
      <c r="I150" t="n">
        <v>1</v>
      </c>
      <c r="J150" t="n">
        <v>1</v>
      </c>
      <c r="K150" t="n">
        <v>0</v>
      </c>
      <c r="L150" t="n">
        <v>0</v>
      </c>
      <c r="M150" t="n">
        <v>0</v>
      </c>
      <c r="N150" t="n">
        <v>0</v>
      </c>
      <c r="O150" t="n">
        <v>1</v>
      </c>
      <c r="P150" t="n">
        <v>0</v>
      </c>
      <c r="Q150" t="n">
        <v>2</v>
      </c>
      <c r="R150" s="2" t="inlineStr">
        <is>
          <t>Vitgrynig nållav
Vedticka</t>
        </is>
      </c>
      <c r="S150">
        <f>HYPERLINK("https://klasma.github.io/Logging_2260/artfynd/A 24176-2025 artfynd.xlsx", "A 24176-2025")</f>
        <v/>
      </c>
      <c r="T150">
        <f>HYPERLINK("https://klasma.github.io/Logging_2260/kartor/A 24176-2025 karta.png", "A 24176-2025")</f>
        <v/>
      </c>
      <c r="V150">
        <f>HYPERLINK("https://klasma.github.io/Logging_2260/klagomål/A 24176-2025 FSC-klagomål.docx", "A 24176-2025")</f>
        <v/>
      </c>
      <c r="W150">
        <f>HYPERLINK("https://klasma.github.io/Logging_2260/klagomålsmail/A 24176-2025 FSC-klagomål mail.docx", "A 24176-2025")</f>
        <v/>
      </c>
      <c r="X150">
        <f>HYPERLINK("https://klasma.github.io/Logging_2260/tillsyn/A 24176-2025 tillsynsbegäran.docx", "A 24176-2025")</f>
        <v/>
      </c>
      <c r="Y150">
        <f>HYPERLINK("https://klasma.github.io/Logging_2260/tillsynsmail/A 24176-2025 tillsynsbegäran mail.docx", "A 24176-2025")</f>
        <v/>
      </c>
    </row>
    <row r="151" ht="15" customHeight="1">
      <c r="A151" t="inlineStr">
        <is>
          <t>A 18081-2025</t>
        </is>
      </c>
      <c r="B151" s="1" t="n">
        <v>45761.51086805556</v>
      </c>
      <c r="C151" s="1" t="n">
        <v>46002</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46002</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62861-2021</t>
        </is>
      </c>
      <c r="B153" s="1" t="n">
        <v>44503</v>
      </c>
      <c r="C153" s="1" t="n">
        <v>46002</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26906-2025</t>
        </is>
      </c>
      <c r="B154" s="1" t="n">
        <v>45811.34552083333</v>
      </c>
      <c r="C154" s="1" t="n">
        <v>46002</v>
      </c>
      <c r="D154" t="inlineStr">
        <is>
          <t>VÄSTERNORRLANDS LÄN</t>
        </is>
      </c>
      <c r="E154" t="inlineStr">
        <is>
          <t>ÅNGE</t>
        </is>
      </c>
      <c r="F154" t="inlineStr">
        <is>
          <t>SCA</t>
        </is>
      </c>
      <c r="G154" t="n">
        <v>7</v>
      </c>
      <c r="H154" t="n">
        <v>0</v>
      </c>
      <c r="I154" t="n">
        <v>0</v>
      </c>
      <c r="J154" t="n">
        <v>2</v>
      </c>
      <c r="K154" t="n">
        <v>0</v>
      </c>
      <c r="L154" t="n">
        <v>0</v>
      </c>
      <c r="M154" t="n">
        <v>0</v>
      </c>
      <c r="N154" t="n">
        <v>0</v>
      </c>
      <c r="O154" t="n">
        <v>2</v>
      </c>
      <c r="P154" t="n">
        <v>0</v>
      </c>
      <c r="Q154" t="n">
        <v>2</v>
      </c>
      <c r="R154" s="2" t="inlineStr">
        <is>
          <t>Garnlav
Vitgrynig nållav</t>
        </is>
      </c>
      <c r="S154">
        <f>HYPERLINK("https://klasma.github.io/Logging_2260/artfynd/A 26906-2025 artfynd.xlsx", "A 26906-2025")</f>
        <v/>
      </c>
      <c r="T154">
        <f>HYPERLINK("https://klasma.github.io/Logging_2260/kartor/A 26906-2025 karta.png", "A 26906-2025")</f>
        <v/>
      </c>
      <c r="V154">
        <f>HYPERLINK("https://klasma.github.io/Logging_2260/klagomål/A 26906-2025 FSC-klagomål.docx", "A 26906-2025")</f>
        <v/>
      </c>
      <c r="W154">
        <f>HYPERLINK("https://klasma.github.io/Logging_2260/klagomålsmail/A 26906-2025 FSC-klagomål mail.docx", "A 26906-2025")</f>
        <v/>
      </c>
      <c r="X154">
        <f>HYPERLINK("https://klasma.github.io/Logging_2260/tillsyn/A 26906-2025 tillsynsbegäran.docx", "A 26906-2025")</f>
        <v/>
      </c>
      <c r="Y154">
        <f>HYPERLINK("https://klasma.github.io/Logging_2260/tillsynsmail/A 26906-2025 tillsynsbegäran mail.docx", "A 26906-2025")</f>
        <v/>
      </c>
    </row>
    <row r="155" ht="15" customHeight="1">
      <c r="A155" t="inlineStr">
        <is>
          <t>A 25034-2024</t>
        </is>
      </c>
      <c r="B155" s="1" t="n">
        <v>45461.96458333333</v>
      </c>
      <c r="C155" s="1" t="n">
        <v>46002</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48374-2024</t>
        </is>
      </c>
      <c r="B156" s="1" t="n">
        <v>45590.58028935185</v>
      </c>
      <c r="C156" s="1" t="n">
        <v>46002</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42864-2025</t>
        </is>
      </c>
      <c r="B157" s="1" t="n">
        <v>45908</v>
      </c>
      <c r="C157" s="1" t="n">
        <v>46002</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55178-2024</t>
        </is>
      </c>
      <c r="B158" s="1" t="n">
        <v>45621</v>
      </c>
      <c r="C158" s="1" t="n">
        <v>46002</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43721-2025</t>
        </is>
      </c>
      <c r="B159" s="1" t="n">
        <v>45912.42800925926</v>
      </c>
      <c r="C159" s="1" t="n">
        <v>46002</v>
      </c>
      <c r="D159" t="inlineStr">
        <is>
          <t>VÄSTERNORRLANDS LÄN</t>
        </is>
      </c>
      <c r="E159" t="inlineStr">
        <is>
          <t>ÅNGE</t>
        </is>
      </c>
      <c r="F159" t="inlineStr">
        <is>
          <t>SCA</t>
        </is>
      </c>
      <c r="G159" t="n">
        <v>9.9</v>
      </c>
      <c r="H159" t="n">
        <v>1</v>
      </c>
      <c r="I159" t="n">
        <v>1</v>
      </c>
      <c r="J159" t="n">
        <v>0</v>
      </c>
      <c r="K159" t="n">
        <v>1</v>
      </c>
      <c r="L159" t="n">
        <v>0</v>
      </c>
      <c r="M159" t="n">
        <v>0</v>
      </c>
      <c r="N159" t="n">
        <v>0</v>
      </c>
      <c r="O159" t="n">
        <v>1</v>
      </c>
      <c r="P159" t="n">
        <v>1</v>
      </c>
      <c r="Q159" t="n">
        <v>2</v>
      </c>
      <c r="R159" s="2" t="inlineStr">
        <is>
          <t>Knärot
Svavelriska</t>
        </is>
      </c>
      <c r="S159">
        <f>HYPERLINK("https://klasma.github.io/Logging_2260/artfynd/A 43721-2025 artfynd.xlsx", "A 43721-2025")</f>
        <v/>
      </c>
      <c r="T159">
        <f>HYPERLINK("https://klasma.github.io/Logging_2260/kartor/A 43721-2025 karta.png", "A 43721-2025")</f>
        <v/>
      </c>
      <c r="U159">
        <f>HYPERLINK("https://klasma.github.io/Logging_2260/knärot/A 43721-2025 karta knärot.png", "A 43721-2025")</f>
        <v/>
      </c>
      <c r="V159">
        <f>HYPERLINK("https://klasma.github.io/Logging_2260/klagomål/A 43721-2025 FSC-klagomål.docx", "A 43721-2025")</f>
        <v/>
      </c>
      <c r="W159">
        <f>HYPERLINK("https://klasma.github.io/Logging_2260/klagomålsmail/A 43721-2025 FSC-klagomål mail.docx", "A 43721-2025")</f>
        <v/>
      </c>
      <c r="X159">
        <f>HYPERLINK("https://klasma.github.io/Logging_2260/tillsyn/A 43721-2025 tillsynsbegäran.docx", "A 43721-2025")</f>
        <v/>
      </c>
      <c r="Y159">
        <f>HYPERLINK("https://klasma.github.io/Logging_2260/tillsynsmail/A 43721-2025 tillsynsbegäran mail.docx", "A 43721-2025")</f>
        <v/>
      </c>
    </row>
    <row r="160" ht="15" customHeight="1">
      <c r="A160" t="inlineStr">
        <is>
          <t>A 49871-2024</t>
        </is>
      </c>
      <c r="B160" s="1" t="n">
        <v>45597.4903125</v>
      </c>
      <c r="C160" s="1" t="n">
        <v>46002</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54625-2025</t>
        </is>
      </c>
      <c r="B161" s="1" t="n">
        <v>45966.34552083333</v>
      </c>
      <c r="C161" s="1" t="n">
        <v>46002</v>
      </c>
      <c r="D161" t="inlineStr">
        <is>
          <t>VÄSTERNORRLANDS LÄN</t>
        </is>
      </c>
      <c r="E161" t="inlineStr">
        <is>
          <t>ÅNGE</t>
        </is>
      </c>
      <c r="F161" t="inlineStr">
        <is>
          <t>SCA</t>
        </is>
      </c>
      <c r="G161" t="n">
        <v>2.5</v>
      </c>
      <c r="H161" t="n">
        <v>1</v>
      </c>
      <c r="I161" t="n">
        <v>1</v>
      </c>
      <c r="J161" t="n">
        <v>1</v>
      </c>
      <c r="K161" t="n">
        <v>0</v>
      </c>
      <c r="L161" t="n">
        <v>0</v>
      </c>
      <c r="M161" t="n">
        <v>0</v>
      </c>
      <c r="N161" t="n">
        <v>0</v>
      </c>
      <c r="O161" t="n">
        <v>1</v>
      </c>
      <c r="P161" t="n">
        <v>0</v>
      </c>
      <c r="Q161" t="n">
        <v>2</v>
      </c>
      <c r="R161" s="2" t="inlineStr">
        <is>
          <t>Talltita
Dropptaggsvamp</t>
        </is>
      </c>
      <c r="S161">
        <f>HYPERLINK("https://klasma.github.io/Logging_2260/artfynd/A 54625-2025 artfynd.xlsx", "A 54625-2025")</f>
        <v/>
      </c>
      <c r="T161">
        <f>HYPERLINK("https://klasma.github.io/Logging_2260/kartor/A 54625-2025 karta.png", "A 54625-2025")</f>
        <v/>
      </c>
      <c r="V161">
        <f>HYPERLINK("https://klasma.github.io/Logging_2260/klagomål/A 54625-2025 FSC-klagomål.docx", "A 54625-2025")</f>
        <v/>
      </c>
      <c r="W161">
        <f>HYPERLINK("https://klasma.github.io/Logging_2260/klagomålsmail/A 54625-2025 FSC-klagomål mail.docx", "A 54625-2025")</f>
        <v/>
      </c>
      <c r="X161">
        <f>HYPERLINK("https://klasma.github.io/Logging_2260/tillsyn/A 54625-2025 tillsynsbegäran.docx", "A 54625-2025")</f>
        <v/>
      </c>
      <c r="Y161">
        <f>HYPERLINK("https://klasma.github.io/Logging_2260/tillsynsmail/A 54625-2025 tillsynsbegäran mail.docx", "A 54625-2025")</f>
        <v/>
      </c>
      <c r="Z161">
        <f>HYPERLINK("https://klasma.github.io/Logging_2260/fåglar/A 54625-2025 prioriterade fågelarter.docx", "A 54625-2025")</f>
        <v/>
      </c>
    </row>
    <row r="162" ht="15" customHeight="1">
      <c r="A162" t="inlineStr">
        <is>
          <t>A 26020-2024</t>
        </is>
      </c>
      <c r="B162" s="1" t="n">
        <v>45467.9603125</v>
      </c>
      <c r="C162" s="1" t="n">
        <v>46002</v>
      </c>
      <c r="D162" t="inlineStr">
        <is>
          <t>VÄSTERNORRLANDS LÄN</t>
        </is>
      </c>
      <c r="E162" t="inlineStr">
        <is>
          <t>ÅNGE</t>
        </is>
      </c>
      <c r="F162" t="inlineStr">
        <is>
          <t>SCA</t>
        </is>
      </c>
      <c r="G162" t="n">
        <v>4.8</v>
      </c>
      <c r="H162" t="n">
        <v>0</v>
      </c>
      <c r="I162" t="n">
        <v>1</v>
      </c>
      <c r="J162" t="n">
        <v>1</v>
      </c>
      <c r="K162" t="n">
        <v>0</v>
      </c>
      <c r="L162" t="n">
        <v>0</v>
      </c>
      <c r="M162" t="n">
        <v>0</v>
      </c>
      <c r="N162" t="n">
        <v>0</v>
      </c>
      <c r="O162" t="n">
        <v>1</v>
      </c>
      <c r="P162" t="n">
        <v>0</v>
      </c>
      <c r="Q162" t="n">
        <v>2</v>
      </c>
      <c r="R162" s="2" t="inlineStr">
        <is>
          <t>Lunglav
Stuplav</t>
        </is>
      </c>
      <c r="S162">
        <f>HYPERLINK("https://klasma.github.io/Logging_2260/artfynd/A 26020-2024 artfynd.xlsx", "A 26020-2024")</f>
        <v/>
      </c>
      <c r="T162">
        <f>HYPERLINK("https://klasma.github.io/Logging_2260/kartor/A 26020-2024 karta.png", "A 26020-2024")</f>
        <v/>
      </c>
      <c r="V162">
        <f>HYPERLINK("https://klasma.github.io/Logging_2260/klagomål/A 26020-2024 FSC-klagomål.docx", "A 26020-2024")</f>
        <v/>
      </c>
      <c r="W162">
        <f>HYPERLINK("https://klasma.github.io/Logging_2260/klagomålsmail/A 26020-2024 FSC-klagomål mail.docx", "A 26020-2024")</f>
        <v/>
      </c>
      <c r="X162">
        <f>HYPERLINK("https://klasma.github.io/Logging_2260/tillsyn/A 26020-2024 tillsynsbegäran.docx", "A 26020-2024")</f>
        <v/>
      </c>
      <c r="Y162">
        <f>HYPERLINK("https://klasma.github.io/Logging_2260/tillsynsmail/A 26020-2024 tillsynsbegäran mail.docx", "A 26020-2024")</f>
        <v/>
      </c>
    </row>
    <row r="163" ht="15" customHeight="1">
      <c r="A163" t="inlineStr">
        <is>
          <t>A 36414-2025</t>
        </is>
      </c>
      <c r="B163" s="1" t="n">
        <v>45868.69246527777</v>
      </c>
      <c r="C163" s="1" t="n">
        <v>46002</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8324-2025</t>
        </is>
      </c>
      <c r="B164" s="1" t="n">
        <v>45708.63621527778</v>
      </c>
      <c r="C164" s="1" t="n">
        <v>46002</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37800-2025</t>
        </is>
      </c>
      <c r="B165" s="1" t="n">
        <v>45881.34420138889</v>
      </c>
      <c r="C165" s="1" t="n">
        <v>46002</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46002</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48695-2024</t>
        </is>
      </c>
      <c r="B167" s="1" t="n">
        <v>45593.5109837963</v>
      </c>
      <c r="C167" s="1" t="n">
        <v>46002</v>
      </c>
      <c r="D167" t="inlineStr">
        <is>
          <t>VÄSTERNORRLANDS LÄN</t>
        </is>
      </c>
      <c r="E167" t="inlineStr">
        <is>
          <t>ÅNGE</t>
        </is>
      </c>
      <c r="F167" t="inlineStr">
        <is>
          <t>SCA</t>
        </is>
      </c>
      <c r="G167" t="n">
        <v>1.2</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48695-2024 artfynd.xlsx", "A 48695-2024")</f>
        <v/>
      </c>
      <c r="T167">
        <f>HYPERLINK("https://klasma.github.io/Logging_2260/kartor/A 48695-2024 karta.png", "A 48695-2024")</f>
        <v/>
      </c>
      <c r="V167">
        <f>HYPERLINK("https://klasma.github.io/Logging_2260/klagomål/A 48695-2024 FSC-klagomål.docx", "A 48695-2024")</f>
        <v/>
      </c>
      <c r="W167">
        <f>HYPERLINK("https://klasma.github.io/Logging_2260/klagomålsmail/A 48695-2024 FSC-klagomål mail.docx", "A 48695-2024")</f>
        <v/>
      </c>
      <c r="X167">
        <f>HYPERLINK("https://klasma.github.io/Logging_2260/tillsyn/A 48695-2024 tillsynsbegäran.docx", "A 48695-2024")</f>
        <v/>
      </c>
      <c r="Y167">
        <f>HYPERLINK("https://klasma.github.io/Logging_2260/tillsynsmail/A 48695-2024 tillsynsbegäran mail.docx", "A 48695-2024")</f>
        <v/>
      </c>
    </row>
    <row r="168" ht="15" customHeight="1">
      <c r="A168" t="inlineStr">
        <is>
          <t>A 4873-2025</t>
        </is>
      </c>
      <c r="B168" s="1" t="n">
        <v>45688.67633101852</v>
      </c>
      <c r="C168" s="1" t="n">
        <v>46002</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57089-2024</t>
        </is>
      </c>
      <c r="B169" s="1" t="n">
        <v>45629.35665509259</v>
      </c>
      <c r="C169" s="1" t="n">
        <v>46002</v>
      </c>
      <c r="D169" t="inlineStr">
        <is>
          <t>VÄSTERNORRLANDS LÄN</t>
        </is>
      </c>
      <c r="E169" t="inlineStr">
        <is>
          <t>ÅNGE</t>
        </is>
      </c>
      <c r="F169" t="inlineStr">
        <is>
          <t>SCA</t>
        </is>
      </c>
      <c r="G169" t="n">
        <v>1.5</v>
      </c>
      <c r="H169" t="n">
        <v>0</v>
      </c>
      <c r="I169" t="n">
        <v>0</v>
      </c>
      <c r="J169" t="n">
        <v>2</v>
      </c>
      <c r="K169" t="n">
        <v>0</v>
      </c>
      <c r="L169" t="n">
        <v>0</v>
      </c>
      <c r="M169" t="n">
        <v>0</v>
      </c>
      <c r="N169" t="n">
        <v>0</v>
      </c>
      <c r="O169" t="n">
        <v>2</v>
      </c>
      <c r="P169" t="n">
        <v>0</v>
      </c>
      <c r="Q169" t="n">
        <v>2</v>
      </c>
      <c r="R169" s="2" t="inlineStr">
        <is>
          <t>Lunglav
Ullticka</t>
        </is>
      </c>
      <c r="S169">
        <f>HYPERLINK("https://klasma.github.io/Logging_2260/artfynd/A 57089-2024 artfynd.xlsx", "A 57089-2024")</f>
        <v/>
      </c>
      <c r="T169">
        <f>HYPERLINK("https://klasma.github.io/Logging_2260/kartor/A 57089-2024 karta.png", "A 57089-2024")</f>
        <v/>
      </c>
      <c r="V169">
        <f>HYPERLINK("https://klasma.github.io/Logging_2260/klagomål/A 57089-2024 FSC-klagomål.docx", "A 57089-2024")</f>
        <v/>
      </c>
      <c r="W169">
        <f>HYPERLINK("https://klasma.github.io/Logging_2260/klagomålsmail/A 57089-2024 FSC-klagomål mail.docx", "A 57089-2024")</f>
        <v/>
      </c>
      <c r="X169">
        <f>HYPERLINK("https://klasma.github.io/Logging_2260/tillsyn/A 57089-2024 tillsynsbegäran.docx", "A 57089-2024")</f>
        <v/>
      </c>
      <c r="Y169">
        <f>HYPERLINK("https://klasma.github.io/Logging_2260/tillsynsmail/A 57089-2024 tillsynsbegäran mail.docx", "A 57089-2024")</f>
        <v/>
      </c>
    </row>
    <row r="170" ht="15" customHeight="1">
      <c r="A170" t="inlineStr">
        <is>
          <t>A 47719-2024</t>
        </is>
      </c>
      <c r="B170" s="1" t="n">
        <v>45588.48996527777</v>
      </c>
      <c r="C170" s="1" t="n">
        <v>46002</v>
      </c>
      <c r="D170" t="inlineStr">
        <is>
          <t>VÄSTERNORRLANDS LÄN</t>
        </is>
      </c>
      <c r="E170" t="inlineStr">
        <is>
          <t>ÅNGE</t>
        </is>
      </c>
      <c r="F170" t="inlineStr">
        <is>
          <t>SCA</t>
        </is>
      </c>
      <c r="G170" t="n">
        <v>1.4</v>
      </c>
      <c r="H170" t="n">
        <v>0</v>
      </c>
      <c r="I170" t="n">
        <v>0</v>
      </c>
      <c r="J170" t="n">
        <v>2</v>
      </c>
      <c r="K170" t="n">
        <v>0</v>
      </c>
      <c r="L170" t="n">
        <v>0</v>
      </c>
      <c r="M170" t="n">
        <v>0</v>
      </c>
      <c r="N170" t="n">
        <v>0</v>
      </c>
      <c r="O170" t="n">
        <v>2</v>
      </c>
      <c r="P170" t="n">
        <v>0</v>
      </c>
      <c r="Q170" t="n">
        <v>2</v>
      </c>
      <c r="R170" s="2" t="inlineStr">
        <is>
          <t>Dvärgbägarlav
Vedskivlav</t>
        </is>
      </c>
      <c r="S170">
        <f>HYPERLINK("https://klasma.github.io/Logging_2260/artfynd/A 47719-2024 artfynd.xlsx", "A 47719-2024")</f>
        <v/>
      </c>
      <c r="T170">
        <f>HYPERLINK("https://klasma.github.io/Logging_2260/kartor/A 47719-2024 karta.png", "A 47719-2024")</f>
        <v/>
      </c>
      <c r="V170">
        <f>HYPERLINK("https://klasma.github.io/Logging_2260/klagomål/A 47719-2024 FSC-klagomål.docx", "A 47719-2024")</f>
        <v/>
      </c>
      <c r="W170">
        <f>HYPERLINK("https://klasma.github.io/Logging_2260/klagomålsmail/A 47719-2024 FSC-klagomål mail.docx", "A 47719-2024")</f>
        <v/>
      </c>
      <c r="X170">
        <f>HYPERLINK("https://klasma.github.io/Logging_2260/tillsyn/A 47719-2024 tillsynsbegäran.docx", "A 47719-2024")</f>
        <v/>
      </c>
      <c r="Y170">
        <f>HYPERLINK("https://klasma.github.io/Logging_2260/tillsynsmail/A 47719-2024 tillsynsbegäran mail.docx", "A 47719-2024")</f>
        <v/>
      </c>
    </row>
    <row r="171" ht="15" customHeight="1">
      <c r="A171" t="inlineStr">
        <is>
          <t>A 29325-2023</t>
        </is>
      </c>
      <c r="B171" s="1" t="n">
        <v>45105</v>
      </c>
      <c r="C171" s="1" t="n">
        <v>46002</v>
      </c>
      <c r="D171" t="inlineStr">
        <is>
          <t>VÄSTERNORRLANDS LÄN</t>
        </is>
      </c>
      <c r="E171" t="inlineStr">
        <is>
          <t>ÅNGE</t>
        </is>
      </c>
      <c r="G171" t="n">
        <v>12.4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HYPERLINK("https://klasma.github.io/Logging_2260/artfynd/A 29325-2023 artfynd.xlsx", "A 29325-2023")</f>
        <v/>
      </c>
      <c r="T171">
        <f>HYPERLINK("https://klasma.github.io/Logging_2260/kartor/A 29325-2023 karta.png", "A 29325-2023")</f>
        <v/>
      </c>
      <c r="V171">
        <f>HYPERLINK("https://klasma.github.io/Logging_2260/klagomål/A 29325-2023 FSC-klagomål.docx", "A 29325-2023")</f>
        <v/>
      </c>
      <c r="W171">
        <f>HYPERLINK("https://klasma.github.io/Logging_2260/klagomålsmail/A 29325-2023 FSC-klagomål mail.docx", "A 29325-2023")</f>
        <v/>
      </c>
      <c r="X171">
        <f>HYPERLINK("https://klasma.github.io/Logging_2260/tillsyn/A 29325-2023 tillsynsbegäran.docx", "A 29325-2023")</f>
        <v/>
      </c>
      <c r="Y171">
        <f>HYPERLINK("https://klasma.github.io/Logging_2260/tillsynsmail/A 29325-2023 tillsynsbegäran mail.docx", "A 29325-2023")</f>
        <v/>
      </c>
    </row>
    <row r="172" ht="15" customHeight="1">
      <c r="A172" t="inlineStr">
        <is>
          <t>A 57594-2022</t>
        </is>
      </c>
      <c r="B172" s="1" t="n">
        <v>44896.97854166666</v>
      </c>
      <c r="C172" s="1" t="n">
        <v>46002</v>
      </c>
      <c r="D172" t="inlineStr">
        <is>
          <t>VÄSTERNORRLANDS LÄN</t>
        </is>
      </c>
      <c r="E172" t="inlineStr">
        <is>
          <t>ÅNGE</t>
        </is>
      </c>
      <c r="F172" t="inlineStr">
        <is>
          <t>SCA</t>
        </is>
      </c>
      <c r="G172" t="n">
        <v>5.3</v>
      </c>
      <c r="H172" t="n">
        <v>0</v>
      </c>
      <c r="I172" t="n">
        <v>0</v>
      </c>
      <c r="J172" t="n">
        <v>2</v>
      </c>
      <c r="K172" t="n">
        <v>0</v>
      </c>
      <c r="L172" t="n">
        <v>0</v>
      </c>
      <c r="M172" t="n">
        <v>0</v>
      </c>
      <c r="N172" t="n">
        <v>0</v>
      </c>
      <c r="O172" t="n">
        <v>2</v>
      </c>
      <c r="P172" t="n">
        <v>0</v>
      </c>
      <c r="Q172" t="n">
        <v>2</v>
      </c>
      <c r="R172" s="2" t="inlineStr">
        <is>
          <t>Granticka
Lunglav</t>
        </is>
      </c>
      <c r="S172">
        <f>HYPERLINK("https://klasma.github.io/Logging_2260/artfynd/A 57594-2022 artfynd.xlsx", "A 57594-2022")</f>
        <v/>
      </c>
      <c r="T172">
        <f>HYPERLINK("https://klasma.github.io/Logging_2260/kartor/A 57594-2022 karta.png", "A 57594-2022")</f>
        <v/>
      </c>
      <c r="V172">
        <f>HYPERLINK("https://klasma.github.io/Logging_2260/klagomål/A 57594-2022 FSC-klagomål.docx", "A 57594-2022")</f>
        <v/>
      </c>
      <c r="W172">
        <f>HYPERLINK("https://klasma.github.io/Logging_2260/klagomålsmail/A 57594-2022 FSC-klagomål mail.docx", "A 57594-2022")</f>
        <v/>
      </c>
      <c r="X172">
        <f>HYPERLINK("https://klasma.github.io/Logging_2260/tillsyn/A 57594-2022 tillsynsbegäran.docx", "A 57594-2022")</f>
        <v/>
      </c>
      <c r="Y172">
        <f>HYPERLINK("https://klasma.github.io/Logging_2260/tillsynsmail/A 57594-2022 tillsynsbegäran mail.docx", "A 57594-2022")</f>
        <v/>
      </c>
    </row>
    <row r="173" ht="15" customHeight="1">
      <c r="A173" t="inlineStr">
        <is>
          <t>A 4093-2025</t>
        </is>
      </c>
      <c r="B173" s="1" t="n">
        <v>45684.67762731481</v>
      </c>
      <c r="C173" s="1" t="n">
        <v>46002</v>
      </c>
      <c r="D173" t="inlineStr">
        <is>
          <t>VÄSTERNORRLANDS LÄN</t>
        </is>
      </c>
      <c r="E173" t="inlineStr">
        <is>
          <t>ÅNGE</t>
        </is>
      </c>
      <c r="F173" t="inlineStr">
        <is>
          <t>SCA</t>
        </is>
      </c>
      <c r="G173" t="n">
        <v>2.6</v>
      </c>
      <c r="H173" t="n">
        <v>1</v>
      </c>
      <c r="I173" t="n">
        <v>2</v>
      </c>
      <c r="J173" t="n">
        <v>0</v>
      </c>
      <c r="K173" t="n">
        <v>0</v>
      </c>
      <c r="L173" t="n">
        <v>0</v>
      </c>
      <c r="M173" t="n">
        <v>0</v>
      </c>
      <c r="N173" t="n">
        <v>0</v>
      </c>
      <c r="O173" t="n">
        <v>0</v>
      </c>
      <c r="P173" t="n">
        <v>0</v>
      </c>
      <c r="Q173" t="n">
        <v>2</v>
      </c>
      <c r="R173" s="2" t="inlineStr">
        <is>
          <t>Kransrams
Spindelblomster</t>
        </is>
      </c>
      <c r="S173">
        <f>HYPERLINK("https://klasma.github.io/Logging_2260/artfynd/A 4093-2025 artfynd.xlsx", "A 4093-2025")</f>
        <v/>
      </c>
      <c r="T173">
        <f>HYPERLINK("https://klasma.github.io/Logging_2260/kartor/A 4093-2025 karta.png", "A 4093-2025")</f>
        <v/>
      </c>
      <c r="V173">
        <f>HYPERLINK("https://klasma.github.io/Logging_2260/klagomål/A 4093-2025 FSC-klagomål.docx", "A 4093-2025")</f>
        <v/>
      </c>
      <c r="W173">
        <f>HYPERLINK("https://klasma.github.io/Logging_2260/klagomålsmail/A 4093-2025 FSC-klagomål mail.docx", "A 4093-2025")</f>
        <v/>
      </c>
      <c r="X173">
        <f>HYPERLINK("https://klasma.github.io/Logging_2260/tillsyn/A 4093-2025 tillsynsbegäran.docx", "A 4093-2025")</f>
        <v/>
      </c>
      <c r="Y173">
        <f>HYPERLINK("https://klasma.github.io/Logging_2260/tillsynsmail/A 4093-2025 tillsynsbegäran mail.docx", "A 4093-2025")</f>
        <v/>
      </c>
    </row>
    <row r="174" ht="15" customHeight="1">
      <c r="A174" t="inlineStr">
        <is>
          <t>A 31493-2024</t>
        </is>
      </c>
      <c r="B174" s="1" t="n">
        <v>45505</v>
      </c>
      <c r="C174" s="1" t="n">
        <v>46002</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165-2025</t>
        </is>
      </c>
      <c r="B175" s="1" t="n">
        <v>45659</v>
      </c>
      <c r="C175" s="1" t="n">
        <v>46002</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17861-2023</t>
        </is>
      </c>
      <c r="B176" s="1" t="n">
        <v>45037.94171296297</v>
      </c>
      <c r="C176" s="1" t="n">
        <v>46002</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32659-2024</t>
        </is>
      </c>
      <c r="B177" s="1" t="n">
        <v>45513</v>
      </c>
      <c r="C177" s="1" t="n">
        <v>46002</v>
      </c>
      <c r="D177" t="inlineStr">
        <is>
          <t>VÄSTERNORRLANDS LÄN</t>
        </is>
      </c>
      <c r="E177" t="inlineStr">
        <is>
          <t>ÅNGE</t>
        </is>
      </c>
      <c r="F177" t="inlineStr">
        <is>
          <t>SCA</t>
        </is>
      </c>
      <c r="G177" t="n">
        <v>6.9</v>
      </c>
      <c r="H177" t="n">
        <v>0</v>
      </c>
      <c r="I177" t="n">
        <v>0</v>
      </c>
      <c r="J177" t="n">
        <v>2</v>
      </c>
      <c r="K177" t="n">
        <v>0</v>
      </c>
      <c r="L177" t="n">
        <v>0</v>
      </c>
      <c r="M177" t="n">
        <v>0</v>
      </c>
      <c r="N177" t="n">
        <v>0</v>
      </c>
      <c r="O177" t="n">
        <v>2</v>
      </c>
      <c r="P177" t="n">
        <v>0</v>
      </c>
      <c r="Q177" t="n">
        <v>2</v>
      </c>
      <c r="R177" s="2" t="inlineStr">
        <is>
          <t>Lunglav
Stjärntagging</t>
        </is>
      </c>
      <c r="S177">
        <f>HYPERLINK("https://klasma.github.io/Logging_2260/artfynd/A 32659-2024 artfynd.xlsx", "A 32659-2024")</f>
        <v/>
      </c>
      <c r="T177">
        <f>HYPERLINK("https://klasma.github.io/Logging_2260/kartor/A 32659-2024 karta.png", "A 32659-2024")</f>
        <v/>
      </c>
      <c r="V177">
        <f>HYPERLINK("https://klasma.github.io/Logging_2260/klagomål/A 32659-2024 FSC-klagomål.docx", "A 32659-2024")</f>
        <v/>
      </c>
      <c r="W177">
        <f>HYPERLINK("https://klasma.github.io/Logging_2260/klagomålsmail/A 32659-2024 FSC-klagomål mail.docx", "A 32659-2024")</f>
        <v/>
      </c>
      <c r="X177">
        <f>HYPERLINK("https://klasma.github.io/Logging_2260/tillsyn/A 32659-2024 tillsynsbegäran.docx", "A 32659-2024")</f>
        <v/>
      </c>
      <c r="Y177">
        <f>HYPERLINK("https://klasma.github.io/Logging_2260/tillsynsmail/A 32659-2024 tillsynsbegäran mail.docx", "A 32659-2024")</f>
        <v/>
      </c>
    </row>
    <row r="178" ht="15" customHeight="1">
      <c r="A178" t="inlineStr">
        <is>
          <t>A 21453-2025</t>
        </is>
      </c>
      <c r="B178" s="1" t="n">
        <v>45782.55311342593</v>
      </c>
      <c r="C178" s="1" t="n">
        <v>46002</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46002</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46002</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46002</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46002</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46002</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46002</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71366-2021</t>
        </is>
      </c>
      <c r="B185" s="1" t="n">
        <v>44539</v>
      </c>
      <c r="C185" s="1" t="n">
        <v>46002</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32457-2024</t>
        </is>
      </c>
      <c r="B186" s="1" t="n">
        <v>45512</v>
      </c>
      <c r="C186" s="1" t="n">
        <v>46002</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30774-2024</t>
        </is>
      </c>
      <c r="B187" s="1" t="n">
        <v>45496.949375</v>
      </c>
      <c r="C187" s="1" t="n">
        <v>46002</v>
      </c>
      <c r="D187" t="inlineStr">
        <is>
          <t>VÄSTERNORRLANDS LÄN</t>
        </is>
      </c>
      <c r="E187" t="inlineStr">
        <is>
          <t>ÅNGE</t>
        </is>
      </c>
      <c r="F187" t="inlineStr">
        <is>
          <t>SCA</t>
        </is>
      </c>
      <c r="G187" t="n">
        <v>2.2</v>
      </c>
      <c r="H187" t="n">
        <v>1</v>
      </c>
      <c r="I187" t="n">
        <v>0</v>
      </c>
      <c r="J187" t="n">
        <v>0</v>
      </c>
      <c r="K187" t="n">
        <v>0</v>
      </c>
      <c r="L187" t="n">
        <v>0</v>
      </c>
      <c r="M187" t="n">
        <v>0</v>
      </c>
      <c r="N187" t="n">
        <v>0</v>
      </c>
      <c r="O187" t="n">
        <v>0</v>
      </c>
      <c r="P187" t="n">
        <v>0</v>
      </c>
      <c r="Q187" t="n">
        <v>1</v>
      </c>
      <c r="R187" s="2" t="inlineStr">
        <is>
          <t>Tjäder</t>
        </is>
      </c>
      <c r="S187">
        <f>HYPERLINK("https://klasma.github.io/Logging_2260/artfynd/A 30774-2024 artfynd.xlsx", "A 30774-2024")</f>
        <v/>
      </c>
      <c r="T187">
        <f>HYPERLINK("https://klasma.github.io/Logging_2260/kartor/A 30774-2024 karta.png", "A 30774-2024")</f>
        <v/>
      </c>
      <c r="V187">
        <f>HYPERLINK("https://klasma.github.io/Logging_2260/klagomål/A 30774-2024 FSC-klagomål.docx", "A 30774-2024")</f>
        <v/>
      </c>
      <c r="W187">
        <f>HYPERLINK("https://klasma.github.io/Logging_2260/klagomålsmail/A 30774-2024 FSC-klagomål mail.docx", "A 30774-2024")</f>
        <v/>
      </c>
      <c r="X187">
        <f>HYPERLINK("https://klasma.github.io/Logging_2260/tillsyn/A 30774-2024 tillsynsbegäran.docx", "A 30774-2024")</f>
        <v/>
      </c>
      <c r="Y187">
        <f>HYPERLINK("https://klasma.github.io/Logging_2260/tillsynsmail/A 30774-2024 tillsynsbegäran mail.docx", "A 30774-2024")</f>
        <v/>
      </c>
      <c r="Z187">
        <f>HYPERLINK("https://klasma.github.io/Logging_2260/fåglar/A 30774-2024 prioriterade fågelarter.docx", "A 30774-2024")</f>
        <v/>
      </c>
    </row>
    <row r="188" ht="15" customHeight="1">
      <c r="A188" t="inlineStr">
        <is>
          <t>A 23490-2025</t>
        </is>
      </c>
      <c r="B188" s="1" t="n">
        <v>45792.46907407408</v>
      </c>
      <c r="C188" s="1" t="n">
        <v>46002</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39933-2022</t>
        </is>
      </c>
      <c r="B189" s="1" t="n">
        <v>44819</v>
      </c>
      <c r="C189" s="1" t="n">
        <v>46002</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54386-2024</t>
        </is>
      </c>
      <c r="B190" s="1" t="n">
        <v>45617.44822916666</v>
      </c>
      <c r="C190" s="1" t="n">
        <v>46002</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38606-2024</t>
        </is>
      </c>
      <c r="B191" s="1" t="n">
        <v>45546.67804398148</v>
      </c>
      <c r="C191" s="1" t="n">
        <v>46002</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42524-2025</t>
        </is>
      </c>
      <c r="B192" s="1" t="n">
        <v>45905.55262731481</v>
      </c>
      <c r="C192" s="1" t="n">
        <v>46002</v>
      </c>
      <c r="D192" t="inlineStr">
        <is>
          <t>VÄSTERNORRLANDS LÄN</t>
        </is>
      </c>
      <c r="E192" t="inlineStr">
        <is>
          <t>ÅNGE</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HYPERLINK("https://klasma.github.io/Logging_2260/artfynd/A 42524-2025 artfynd.xlsx", "A 42524-2025")</f>
        <v/>
      </c>
      <c r="T192">
        <f>HYPERLINK("https://klasma.github.io/Logging_2260/kartor/A 42524-2025 karta.png", "A 42524-2025")</f>
        <v/>
      </c>
      <c r="V192">
        <f>HYPERLINK("https://klasma.github.io/Logging_2260/klagomål/A 42524-2025 FSC-klagomål.docx", "A 42524-2025")</f>
        <v/>
      </c>
      <c r="W192">
        <f>HYPERLINK("https://klasma.github.io/Logging_2260/klagomålsmail/A 42524-2025 FSC-klagomål mail.docx", "A 42524-2025")</f>
        <v/>
      </c>
      <c r="X192">
        <f>HYPERLINK("https://klasma.github.io/Logging_2260/tillsyn/A 42524-2025 tillsynsbegäran.docx", "A 42524-2025")</f>
        <v/>
      </c>
      <c r="Y192">
        <f>HYPERLINK("https://klasma.github.io/Logging_2260/tillsynsmail/A 42524-2025 tillsynsbegäran mail.docx", "A 42524-2025")</f>
        <v/>
      </c>
    </row>
    <row r="193" ht="15" customHeight="1">
      <c r="A193" t="inlineStr">
        <is>
          <t>A 43590-2025</t>
        </is>
      </c>
      <c r="B193" s="1" t="n">
        <v>45911.65665509259</v>
      </c>
      <c r="C193" s="1" t="n">
        <v>46002</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27025-2025</t>
        </is>
      </c>
      <c r="B194" s="1" t="n">
        <v>45811</v>
      </c>
      <c r="C194" s="1" t="n">
        <v>46002</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46094-2025</t>
        </is>
      </c>
      <c r="B195" s="1" t="n">
        <v>45924</v>
      </c>
      <c r="C195" s="1" t="n">
        <v>46002</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64510-2023</t>
        </is>
      </c>
      <c r="B196" s="1" t="n">
        <v>45281</v>
      </c>
      <c r="C196" s="1" t="n">
        <v>46002</v>
      </c>
      <c r="D196" t="inlineStr">
        <is>
          <t>VÄSTERNORRLANDS LÄN</t>
        </is>
      </c>
      <c r="E196" t="inlineStr">
        <is>
          <t>ÅNGE</t>
        </is>
      </c>
      <c r="G196" t="n">
        <v>3.7</v>
      </c>
      <c r="H196" t="n">
        <v>0</v>
      </c>
      <c r="I196" t="n">
        <v>1</v>
      </c>
      <c r="J196" t="n">
        <v>0</v>
      </c>
      <c r="K196" t="n">
        <v>0</v>
      </c>
      <c r="L196" t="n">
        <v>0</v>
      </c>
      <c r="M196" t="n">
        <v>0</v>
      </c>
      <c r="N196" t="n">
        <v>0</v>
      </c>
      <c r="O196" t="n">
        <v>0</v>
      </c>
      <c r="P196" t="n">
        <v>0</v>
      </c>
      <c r="Q196" t="n">
        <v>1</v>
      </c>
      <c r="R196" s="2" t="inlineStr">
        <is>
          <t>Dropptaggsvamp</t>
        </is>
      </c>
      <c r="S196">
        <f>HYPERLINK("https://klasma.github.io/Logging_2260/artfynd/A 64510-2023 artfynd.xlsx", "A 64510-2023")</f>
        <v/>
      </c>
      <c r="T196">
        <f>HYPERLINK("https://klasma.github.io/Logging_2260/kartor/A 64510-2023 karta.png", "A 64510-2023")</f>
        <v/>
      </c>
      <c r="V196">
        <f>HYPERLINK("https://klasma.github.io/Logging_2260/klagomål/A 64510-2023 FSC-klagomål.docx", "A 64510-2023")</f>
        <v/>
      </c>
      <c r="W196">
        <f>HYPERLINK("https://klasma.github.io/Logging_2260/klagomålsmail/A 64510-2023 FSC-klagomål mail.docx", "A 64510-2023")</f>
        <v/>
      </c>
      <c r="X196">
        <f>HYPERLINK("https://klasma.github.io/Logging_2260/tillsyn/A 64510-2023 tillsynsbegäran.docx", "A 64510-2023")</f>
        <v/>
      </c>
      <c r="Y196">
        <f>HYPERLINK("https://klasma.github.io/Logging_2260/tillsynsmail/A 64510-2023 tillsynsbegäran mail.docx", "A 64510-2023")</f>
        <v/>
      </c>
    </row>
    <row r="197" ht="15" customHeight="1">
      <c r="A197" t="inlineStr">
        <is>
          <t>A 24798-2024</t>
        </is>
      </c>
      <c r="B197" s="1" t="n">
        <v>45460.95277777778</v>
      </c>
      <c r="C197" s="1" t="n">
        <v>46002</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46002</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35648-2025</t>
        </is>
      </c>
      <c r="B199" s="1" t="n">
        <v>45859.51670138889</v>
      </c>
      <c r="C199" s="1" t="n">
        <v>46002</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27308-2024</t>
        </is>
      </c>
      <c r="B200" s="1" t="n">
        <v>45471</v>
      </c>
      <c r="C200" s="1" t="n">
        <v>46002</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35839-2025</t>
        </is>
      </c>
      <c r="B201" s="1" t="n">
        <v>45861.53943287037</v>
      </c>
      <c r="C201" s="1" t="n">
        <v>46002</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38603-2024</t>
        </is>
      </c>
      <c r="B202" s="1" t="n">
        <v>45546</v>
      </c>
      <c r="C202" s="1" t="n">
        <v>46002</v>
      </c>
      <c r="D202" t="inlineStr">
        <is>
          <t>VÄSTERNORRLANDS LÄN</t>
        </is>
      </c>
      <c r="E202" t="inlineStr">
        <is>
          <t>ÅNGE</t>
        </is>
      </c>
      <c r="F202" t="inlineStr">
        <is>
          <t>SCA</t>
        </is>
      </c>
      <c r="G202" t="n">
        <v>5.6</v>
      </c>
      <c r="H202" t="n">
        <v>0</v>
      </c>
      <c r="I202" t="n">
        <v>0</v>
      </c>
      <c r="J202" t="n">
        <v>0</v>
      </c>
      <c r="K202" t="n">
        <v>1</v>
      </c>
      <c r="L202" t="n">
        <v>0</v>
      </c>
      <c r="M202" t="n">
        <v>0</v>
      </c>
      <c r="N202" t="n">
        <v>0</v>
      </c>
      <c r="O202" t="n">
        <v>1</v>
      </c>
      <c r="P202" t="n">
        <v>1</v>
      </c>
      <c r="Q202" t="n">
        <v>1</v>
      </c>
      <c r="R202" s="2" t="inlineStr">
        <is>
          <t>Rynkskinn</t>
        </is>
      </c>
      <c r="S202">
        <f>HYPERLINK("https://klasma.github.io/Logging_2260/artfynd/A 38603-2024 artfynd.xlsx", "A 38603-2024")</f>
        <v/>
      </c>
      <c r="T202">
        <f>HYPERLINK("https://klasma.github.io/Logging_2260/kartor/A 38603-2024 karta.png", "A 38603-2024")</f>
        <v/>
      </c>
      <c r="V202">
        <f>HYPERLINK("https://klasma.github.io/Logging_2260/klagomål/A 38603-2024 FSC-klagomål.docx", "A 38603-2024")</f>
        <v/>
      </c>
      <c r="W202">
        <f>HYPERLINK("https://klasma.github.io/Logging_2260/klagomålsmail/A 38603-2024 FSC-klagomål mail.docx", "A 38603-2024")</f>
        <v/>
      </c>
      <c r="X202">
        <f>HYPERLINK("https://klasma.github.io/Logging_2260/tillsyn/A 38603-2024 tillsynsbegäran.docx", "A 38603-2024")</f>
        <v/>
      </c>
      <c r="Y202">
        <f>HYPERLINK("https://klasma.github.io/Logging_2260/tillsynsmail/A 38603-2024 tillsynsbegäran mail.docx", "A 38603-2024")</f>
        <v/>
      </c>
    </row>
    <row r="203" ht="15" customHeight="1">
      <c r="A203" t="inlineStr">
        <is>
          <t>A 34696-2024</t>
        </is>
      </c>
      <c r="B203" s="1" t="n">
        <v>45526</v>
      </c>
      <c r="C203" s="1" t="n">
        <v>46002</v>
      </c>
      <c r="D203" t="inlineStr">
        <is>
          <t>VÄSTERNORRLANDS LÄN</t>
        </is>
      </c>
      <c r="E203" t="inlineStr">
        <is>
          <t>ÅNGE</t>
        </is>
      </c>
      <c r="G203" t="n">
        <v>3.6</v>
      </c>
      <c r="H203" t="n">
        <v>1</v>
      </c>
      <c r="I203" t="n">
        <v>0</v>
      </c>
      <c r="J203" t="n">
        <v>0</v>
      </c>
      <c r="K203" t="n">
        <v>0</v>
      </c>
      <c r="L203" t="n">
        <v>0</v>
      </c>
      <c r="M203" t="n">
        <v>0</v>
      </c>
      <c r="N203" t="n">
        <v>0</v>
      </c>
      <c r="O203" t="n">
        <v>0</v>
      </c>
      <c r="P203" t="n">
        <v>0</v>
      </c>
      <c r="Q203" t="n">
        <v>1</v>
      </c>
      <c r="R203" s="2" t="inlineStr">
        <is>
          <t>Revlummer</t>
        </is>
      </c>
      <c r="S203">
        <f>HYPERLINK("https://klasma.github.io/Logging_2260/artfynd/A 34696-2024 artfynd.xlsx", "A 34696-2024")</f>
        <v/>
      </c>
      <c r="T203">
        <f>HYPERLINK("https://klasma.github.io/Logging_2260/kartor/A 34696-2024 karta.png", "A 34696-2024")</f>
        <v/>
      </c>
      <c r="V203">
        <f>HYPERLINK("https://klasma.github.io/Logging_2260/klagomål/A 34696-2024 FSC-klagomål.docx", "A 34696-2024")</f>
        <v/>
      </c>
      <c r="W203">
        <f>HYPERLINK("https://klasma.github.io/Logging_2260/klagomålsmail/A 34696-2024 FSC-klagomål mail.docx", "A 34696-2024")</f>
        <v/>
      </c>
      <c r="X203">
        <f>HYPERLINK("https://klasma.github.io/Logging_2260/tillsyn/A 34696-2024 tillsynsbegäran.docx", "A 34696-2024")</f>
        <v/>
      </c>
      <c r="Y203">
        <f>HYPERLINK("https://klasma.github.io/Logging_2260/tillsynsmail/A 34696-2024 tillsynsbegäran mail.docx", "A 34696-2024")</f>
        <v/>
      </c>
    </row>
    <row r="204" ht="15" customHeight="1">
      <c r="A204" t="inlineStr">
        <is>
          <t>A 47857-2025</t>
        </is>
      </c>
      <c r="B204" s="1" t="n">
        <v>45932.4068287037</v>
      </c>
      <c r="C204" s="1" t="n">
        <v>46002</v>
      </c>
      <c r="D204" t="inlineStr">
        <is>
          <t>VÄSTERNORRLANDS LÄN</t>
        </is>
      </c>
      <c r="E204" t="inlineStr">
        <is>
          <t>ÅNGE</t>
        </is>
      </c>
      <c r="G204" t="n">
        <v>2.5</v>
      </c>
      <c r="H204" t="n">
        <v>1</v>
      </c>
      <c r="I204" t="n">
        <v>0</v>
      </c>
      <c r="J204" t="n">
        <v>1</v>
      </c>
      <c r="K204" t="n">
        <v>0</v>
      </c>
      <c r="L204" t="n">
        <v>0</v>
      </c>
      <c r="M204" t="n">
        <v>0</v>
      </c>
      <c r="N204" t="n">
        <v>0</v>
      </c>
      <c r="O204" t="n">
        <v>1</v>
      </c>
      <c r="P204" t="n">
        <v>0</v>
      </c>
      <c r="Q204" t="n">
        <v>1</v>
      </c>
      <c r="R204" s="2" t="inlineStr">
        <is>
          <t>Kungsörn</t>
        </is>
      </c>
      <c r="S204">
        <f>HYPERLINK("https://klasma.github.io/Logging_2260/artfynd/A 47857-2025 artfynd.xlsx", "A 47857-2025")</f>
        <v/>
      </c>
      <c r="T204">
        <f>HYPERLINK("https://klasma.github.io/Logging_2260/kartor/A 47857-2025 karta.png", "A 47857-2025")</f>
        <v/>
      </c>
      <c r="V204">
        <f>HYPERLINK("https://klasma.github.io/Logging_2260/klagomål/A 47857-2025 FSC-klagomål.docx", "A 47857-2025")</f>
        <v/>
      </c>
      <c r="W204">
        <f>HYPERLINK("https://klasma.github.io/Logging_2260/klagomålsmail/A 47857-2025 FSC-klagomål mail.docx", "A 47857-2025")</f>
        <v/>
      </c>
      <c r="X204">
        <f>HYPERLINK("https://klasma.github.io/Logging_2260/tillsyn/A 47857-2025 tillsynsbegäran.docx", "A 47857-2025")</f>
        <v/>
      </c>
      <c r="Y204">
        <f>HYPERLINK("https://klasma.github.io/Logging_2260/tillsynsmail/A 47857-2025 tillsynsbegäran mail.docx", "A 47857-2025")</f>
        <v/>
      </c>
      <c r="Z204">
        <f>HYPERLINK("https://klasma.github.io/Logging_2260/fåglar/A 47857-2025 prioriterade fågelarter.docx", "A 47857-2025")</f>
        <v/>
      </c>
    </row>
    <row r="205" ht="15" customHeight="1">
      <c r="A205" t="inlineStr">
        <is>
          <t>A 48237-2025</t>
        </is>
      </c>
      <c r="B205" s="1" t="n">
        <v>45933</v>
      </c>
      <c r="C205" s="1" t="n">
        <v>46002</v>
      </c>
      <c r="D205" t="inlineStr">
        <is>
          <t>VÄSTERNORRLANDS LÄN</t>
        </is>
      </c>
      <c r="E205" t="inlineStr">
        <is>
          <t>ÅNGE</t>
        </is>
      </c>
      <c r="F205" t="inlineStr">
        <is>
          <t>SCA</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HYPERLINK("https://klasma.github.io/Logging_2260/artfynd/A 48237-2025 artfynd.xlsx", "A 48237-2025")</f>
        <v/>
      </c>
      <c r="T205">
        <f>HYPERLINK("https://klasma.github.io/Logging_2260/kartor/A 48237-2025 karta.png", "A 48237-2025")</f>
        <v/>
      </c>
      <c r="U205">
        <f>HYPERLINK("https://klasma.github.io/Logging_2260/knärot/A 48237-2025 karta knärot.png", "A 48237-2025")</f>
        <v/>
      </c>
      <c r="V205">
        <f>HYPERLINK("https://klasma.github.io/Logging_2260/klagomål/A 48237-2025 FSC-klagomål.docx", "A 48237-2025")</f>
        <v/>
      </c>
      <c r="W205">
        <f>HYPERLINK("https://klasma.github.io/Logging_2260/klagomålsmail/A 48237-2025 FSC-klagomål mail.docx", "A 48237-2025")</f>
        <v/>
      </c>
      <c r="X205">
        <f>HYPERLINK("https://klasma.github.io/Logging_2260/tillsyn/A 48237-2025 tillsynsbegäran.docx", "A 48237-2025")</f>
        <v/>
      </c>
      <c r="Y205">
        <f>HYPERLINK("https://klasma.github.io/Logging_2260/tillsynsmail/A 48237-2025 tillsynsbegäran mail.docx", "A 48237-2025")</f>
        <v/>
      </c>
    </row>
    <row r="206" ht="15" customHeight="1">
      <c r="A206" t="inlineStr">
        <is>
          <t>A 29327-2023</t>
        </is>
      </c>
      <c r="B206" s="1" t="n">
        <v>45105.94349537037</v>
      </c>
      <c r="C206" s="1" t="n">
        <v>46002</v>
      </c>
      <c r="D206" t="inlineStr">
        <is>
          <t>VÄSTERNORRLANDS LÄN</t>
        </is>
      </c>
      <c r="E206" t="inlineStr">
        <is>
          <t>ÅNGE</t>
        </is>
      </c>
      <c r="G206" t="n">
        <v>7.8</v>
      </c>
      <c r="H206" t="n">
        <v>0</v>
      </c>
      <c r="I206" t="n">
        <v>0</v>
      </c>
      <c r="J206" t="n">
        <v>1</v>
      </c>
      <c r="K206" t="n">
        <v>0</v>
      </c>
      <c r="L206" t="n">
        <v>0</v>
      </c>
      <c r="M206" t="n">
        <v>0</v>
      </c>
      <c r="N206" t="n">
        <v>0</v>
      </c>
      <c r="O206" t="n">
        <v>1</v>
      </c>
      <c r="P206" t="n">
        <v>0</v>
      </c>
      <c r="Q206" t="n">
        <v>1</v>
      </c>
      <c r="R206" s="2" t="inlineStr">
        <is>
          <t>Mörk kolflarnlav</t>
        </is>
      </c>
      <c r="S206">
        <f>HYPERLINK("https://klasma.github.io/Logging_2260/artfynd/A 29327-2023 artfynd.xlsx", "A 29327-2023")</f>
        <v/>
      </c>
      <c r="T206">
        <f>HYPERLINK("https://klasma.github.io/Logging_2260/kartor/A 29327-2023 karta.png", "A 29327-2023")</f>
        <v/>
      </c>
      <c r="V206">
        <f>HYPERLINK("https://klasma.github.io/Logging_2260/klagomål/A 29327-2023 FSC-klagomål.docx", "A 29327-2023")</f>
        <v/>
      </c>
      <c r="W206">
        <f>HYPERLINK("https://klasma.github.io/Logging_2260/klagomålsmail/A 29327-2023 FSC-klagomål mail.docx", "A 29327-2023")</f>
        <v/>
      </c>
      <c r="X206">
        <f>HYPERLINK("https://klasma.github.io/Logging_2260/tillsyn/A 29327-2023 tillsynsbegäran.docx", "A 29327-2023")</f>
        <v/>
      </c>
      <c r="Y206">
        <f>HYPERLINK("https://klasma.github.io/Logging_2260/tillsynsmail/A 29327-2023 tillsynsbegäran mail.docx", "A 29327-2023")</f>
        <v/>
      </c>
    </row>
    <row r="207" ht="15" customHeight="1">
      <c r="A207" t="inlineStr">
        <is>
          <t>A 31878-2024</t>
        </is>
      </c>
      <c r="B207" s="1" t="n">
        <v>45509</v>
      </c>
      <c r="C207" s="1" t="n">
        <v>46002</v>
      </c>
      <c r="D207" t="inlineStr">
        <is>
          <t>VÄSTERNORRLANDS LÄN</t>
        </is>
      </c>
      <c r="E207" t="inlineStr">
        <is>
          <t>ÅNGE</t>
        </is>
      </c>
      <c r="F207" t="inlineStr">
        <is>
          <t>SCA</t>
        </is>
      </c>
      <c r="G207" t="n">
        <v>5.1</v>
      </c>
      <c r="H207" t="n">
        <v>0</v>
      </c>
      <c r="I207" t="n">
        <v>1</v>
      </c>
      <c r="J207" t="n">
        <v>0</v>
      </c>
      <c r="K207" t="n">
        <v>0</v>
      </c>
      <c r="L207" t="n">
        <v>0</v>
      </c>
      <c r="M207" t="n">
        <v>0</v>
      </c>
      <c r="N207" t="n">
        <v>0</v>
      </c>
      <c r="O207" t="n">
        <v>0</v>
      </c>
      <c r="P207" t="n">
        <v>0</v>
      </c>
      <c r="Q207" t="n">
        <v>1</v>
      </c>
      <c r="R207" s="2" t="inlineStr">
        <is>
          <t>Grönpyrola</t>
        </is>
      </c>
      <c r="S207">
        <f>HYPERLINK("https://klasma.github.io/Logging_2260/artfynd/A 31878-2024 artfynd.xlsx", "A 31878-2024")</f>
        <v/>
      </c>
      <c r="T207">
        <f>HYPERLINK("https://klasma.github.io/Logging_2260/kartor/A 31878-2024 karta.png", "A 31878-2024")</f>
        <v/>
      </c>
      <c r="V207">
        <f>HYPERLINK("https://klasma.github.io/Logging_2260/klagomål/A 31878-2024 FSC-klagomål.docx", "A 31878-2024")</f>
        <v/>
      </c>
      <c r="W207">
        <f>HYPERLINK("https://klasma.github.io/Logging_2260/klagomålsmail/A 31878-2024 FSC-klagomål mail.docx", "A 31878-2024")</f>
        <v/>
      </c>
      <c r="X207">
        <f>HYPERLINK("https://klasma.github.io/Logging_2260/tillsyn/A 31878-2024 tillsynsbegäran.docx", "A 31878-2024")</f>
        <v/>
      </c>
      <c r="Y207">
        <f>HYPERLINK("https://klasma.github.io/Logging_2260/tillsynsmail/A 31878-2024 tillsynsbegäran mail.docx", "A 31878-2024")</f>
        <v/>
      </c>
    </row>
    <row r="208" ht="15" customHeight="1">
      <c r="A208" t="inlineStr">
        <is>
          <t>A 37432-2025</t>
        </is>
      </c>
      <c r="B208" s="1" t="n">
        <v>45877.51106481482</v>
      </c>
      <c r="C208" s="1" t="n">
        <v>46002</v>
      </c>
      <c r="D208" t="inlineStr">
        <is>
          <t>VÄSTERNORRLANDS LÄN</t>
        </is>
      </c>
      <c r="E208" t="inlineStr">
        <is>
          <t>ÅNGE</t>
        </is>
      </c>
      <c r="F208" t="inlineStr">
        <is>
          <t>SCA</t>
        </is>
      </c>
      <c r="G208" t="n">
        <v>1.2</v>
      </c>
      <c r="H208" t="n">
        <v>1</v>
      </c>
      <c r="I208" t="n">
        <v>1</v>
      </c>
      <c r="J208" t="n">
        <v>0</v>
      </c>
      <c r="K208" t="n">
        <v>0</v>
      </c>
      <c r="L208" t="n">
        <v>0</v>
      </c>
      <c r="M208" t="n">
        <v>0</v>
      </c>
      <c r="N208" t="n">
        <v>0</v>
      </c>
      <c r="O208" t="n">
        <v>0</v>
      </c>
      <c r="P208" t="n">
        <v>0</v>
      </c>
      <c r="Q208" t="n">
        <v>1</v>
      </c>
      <c r="R208" s="2" t="inlineStr">
        <is>
          <t>Spindelblomster</t>
        </is>
      </c>
      <c r="S208">
        <f>HYPERLINK("https://klasma.github.io/Logging_2260/artfynd/A 37432-2025 artfynd.xlsx", "A 37432-2025")</f>
        <v/>
      </c>
      <c r="T208">
        <f>HYPERLINK("https://klasma.github.io/Logging_2260/kartor/A 37432-2025 karta.png", "A 37432-2025")</f>
        <v/>
      </c>
      <c r="V208">
        <f>HYPERLINK("https://klasma.github.io/Logging_2260/klagomål/A 37432-2025 FSC-klagomål.docx", "A 37432-2025")</f>
        <v/>
      </c>
      <c r="W208">
        <f>HYPERLINK("https://klasma.github.io/Logging_2260/klagomålsmail/A 37432-2025 FSC-klagomål mail.docx", "A 37432-2025")</f>
        <v/>
      </c>
      <c r="X208">
        <f>HYPERLINK("https://klasma.github.io/Logging_2260/tillsyn/A 37432-2025 tillsynsbegäran.docx", "A 37432-2025")</f>
        <v/>
      </c>
      <c r="Y208">
        <f>HYPERLINK("https://klasma.github.io/Logging_2260/tillsynsmail/A 37432-2025 tillsynsbegäran mail.docx", "A 37432-2025")</f>
        <v/>
      </c>
    </row>
    <row r="209" ht="15" customHeight="1">
      <c r="A209" t="inlineStr">
        <is>
          <t>A 25705-2024</t>
        </is>
      </c>
      <c r="B209" s="1" t="n">
        <v>45463.9428587963</v>
      </c>
      <c r="C209" s="1" t="n">
        <v>46002</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20192-2025</t>
        </is>
      </c>
      <c r="B210" s="1" t="n">
        <v>45772.60177083333</v>
      </c>
      <c r="C210" s="1" t="n">
        <v>46002</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58534-2025</t>
        </is>
      </c>
      <c r="B211" s="1" t="n">
        <v>45985.80396990741</v>
      </c>
      <c r="C211" s="1" t="n">
        <v>46002</v>
      </c>
      <c r="D211" t="inlineStr">
        <is>
          <t>VÄSTERNORRLANDS LÄN</t>
        </is>
      </c>
      <c r="E211" t="inlineStr">
        <is>
          <t>ÅNGE</t>
        </is>
      </c>
      <c r="F211" t="inlineStr">
        <is>
          <t>Holmen skog AB</t>
        </is>
      </c>
      <c r="G211" t="n">
        <v>2.2</v>
      </c>
      <c r="H211" t="n">
        <v>0</v>
      </c>
      <c r="I211" t="n">
        <v>0</v>
      </c>
      <c r="J211" t="n">
        <v>1</v>
      </c>
      <c r="K211" t="n">
        <v>0</v>
      </c>
      <c r="L211" t="n">
        <v>0</v>
      </c>
      <c r="M211" t="n">
        <v>0</v>
      </c>
      <c r="N211" t="n">
        <v>0</v>
      </c>
      <c r="O211" t="n">
        <v>1</v>
      </c>
      <c r="P211" t="n">
        <v>0</v>
      </c>
      <c r="Q211" t="n">
        <v>1</v>
      </c>
      <c r="R211" s="2" t="inlineStr">
        <is>
          <t>Ullticka</t>
        </is>
      </c>
      <c r="S211">
        <f>HYPERLINK("https://klasma.github.io/Logging_2260/artfynd/A 58534-2025 artfynd.xlsx", "A 58534-2025")</f>
        <v/>
      </c>
      <c r="T211">
        <f>HYPERLINK("https://klasma.github.io/Logging_2260/kartor/A 58534-2025 karta.png", "A 58534-2025")</f>
        <v/>
      </c>
      <c r="V211">
        <f>HYPERLINK("https://klasma.github.io/Logging_2260/klagomål/A 58534-2025 FSC-klagomål.docx", "A 58534-2025")</f>
        <v/>
      </c>
      <c r="W211">
        <f>HYPERLINK("https://klasma.github.io/Logging_2260/klagomålsmail/A 58534-2025 FSC-klagomål mail.docx", "A 58534-2025")</f>
        <v/>
      </c>
      <c r="X211">
        <f>HYPERLINK("https://klasma.github.io/Logging_2260/tillsyn/A 58534-2025 tillsynsbegäran.docx", "A 58534-2025")</f>
        <v/>
      </c>
      <c r="Y211">
        <f>HYPERLINK("https://klasma.github.io/Logging_2260/tillsynsmail/A 58534-2025 tillsynsbegäran mail.docx", "A 58534-2025")</f>
        <v/>
      </c>
    </row>
    <row r="212" ht="15" customHeight="1">
      <c r="A212" t="inlineStr">
        <is>
          <t>A 39638-2024</t>
        </is>
      </c>
      <c r="B212" s="1" t="n">
        <v>45552</v>
      </c>
      <c r="C212" s="1" t="n">
        <v>46002</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57272-2024</t>
        </is>
      </c>
      <c r="B213" s="1" t="n">
        <v>45629.57380787037</v>
      </c>
      <c r="C213" s="1" t="n">
        <v>46002</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1449-2025</t>
        </is>
      </c>
      <c r="B214" s="1" t="n">
        <v>45670.27537037037</v>
      </c>
      <c r="C214" s="1" t="n">
        <v>46002</v>
      </c>
      <c r="D214" t="inlineStr">
        <is>
          <t>VÄSTERNORRLANDS LÄN</t>
        </is>
      </c>
      <c r="E214" t="inlineStr">
        <is>
          <t>ÅNGE</t>
        </is>
      </c>
      <c r="G214" t="n">
        <v>6.3</v>
      </c>
      <c r="H214" t="n">
        <v>0</v>
      </c>
      <c r="I214" t="n">
        <v>1</v>
      </c>
      <c r="J214" t="n">
        <v>0</v>
      </c>
      <c r="K214" t="n">
        <v>0</v>
      </c>
      <c r="L214" t="n">
        <v>0</v>
      </c>
      <c r="M214" t="n">
        <v>0</v>
      </c>
      <c r="N214" t="n">
        <v>0</v>
      </c>
      <c r="O214" t="n">
        <v>0</v>
      </c>
      <c r="P214" t="n">
        <v>0</v>
      </c>
      <c r="Q214" t="n">
        <v>1</v>
      </c>
      <c r="R214" s="2" t="inlineStr">
        <is>
          <t>Korallblylav</t>
        </is>
      </c>
      <c r="S214">
        <f>HYPERLINK("https://klasma.github.io/Logging_2260/artfynd/A 1449-2025 artfynd.xlsx", "A 1449-2025")</f>
        <v/>
      </c>
      <c r="T214">
        <f>HYPERLINK("https://klasma.github.io/Logging_2260/kartor/A 1449-2025 karta.png", "A 1449-2025")</f>
        <v/>
      </c>
      <c r="V214">
        <f>HYPERLINK("https://klasma.github.io/Logging_2260/klagomål/A 1449-2025 FSC-klagomål.docx", "A 1449-2025")</f>
        <v/>
      </c>
      <c r="W214">
        <f>HYPERLINK("https://klasma.github.io/Logging_2260/klagomålsmail/A 1449-2025 FSC-klagomål mail.docx", "A 1449-2025")</f>
        <v/>
      </c>
      <c r="X214">
        <f>HYPERLINK("https://klasma.github.io/Logging_2260/tillsyn/A 1449-2025 tillsynsbegäran.docx", "A 1449-2025")</f>
        <v/>
      </c>
      <c r="Y214">
        <f>HYPERLINK("https://klasma.github.io/Logging_2260/tillsynsmail/A 1449-2025 tillsynsbegäran mail.docx", "A 1449-2025")</f>
        <v/>
      </c>
    </row>
    <row r="215" ht="15" customHeight="1">
      <c r="A215" t="inlineStr">
        <is>
          <t>A 4351-2024</t>
        </is>
      </c>
      <c r="B215" s="1" t="n">
        <v>45324</v>
      </c>
      <c r="C215" s="1" t="n">
        <v>46002</v>
      </c>
      <c r="D215" t="inlineStr">
        <is>
          <t>VÄSTERNORRLANDS LÄN</t>
        </is>
      </c>
      <c r="E215" t="inlineStr">
        <is>
          <t>ÅNGE</t>
        </is>
      </c>
      <c r="F215" t="inlineStr">
        <is>
          <t>SCA</t>
        </is>
      </c>
      <c r="G215" t="n">
        <v>0.5</v>
      </c>
      <c r="H215" t="n">
        <v>0</v>
      </c>
      <c r="I215" t="n">
        <v>0</v>
      </c>
      <c r="J215" t="n">
        <v>1</v>
      </c>
      <c r="K215" t="n">
        <v>0</v>
      </c>
      <c r="L215" t="n">
        <v>0</v>
      </c>
      <c r="M215" t="n">
        <v>0</v>
      </c>
      <c r="N215" t="n">
        <v>0</v>
      </c>
      <c r="O215" t="n">
        <v>1</v>
      </c>
      <c r="P215" t="n">
        <v>0</v>
      </c>
      <c r="Q215" t="n">
        <v>1</v>
      </c>
      <c r="R215" s="2" t="inlineStr">
        <is>
          <t>Garnlav</t>
        </is>
      </c>
      <c r="S215">
        <f>HYPERLINK("https://klasma.github.io/Logging_2260/artfynd/A 4351-2024 artfynd.xlsx", "A 4351-2024")</f>
        <v/>
      </c>
      <c r="T215">
        <f>HYPERLINK("https://klasma.github.io/Logging_2260/kartor/A 4351-2024 karta.png", "A 4351-2024")</f>
        <v/>
      </c>
      <c r="V215">
        <f>HYPERLINK("https://klasma.github.io/Logging_2260/klagomål/A 4351-2024 FSC-klagomål.docx", "A 4351-2024")</f>
        <v/>
      </c>
      <c r="W215">
        <f>HYPERLINK("https://klasma.github.io/Logging_2260/klagomålsmail/A 4351-2024 FSC-klagomål mail.docx", "A 4351-2024")</f>
        <v/>
      </c>
      <c r="X215">
        <f>HYPERLINK("https://klasma.github.io/Logging_2260/tillsyn/A 4351-2024 tillsynsbegäran.docx", "A 4351-2024")</f>
        <v/>
      </c>
      <c r="Y215">
        <f>HYPERLINK("https://klasma.github.io/Logging_2260/tillsynsmail/A 4351-2024 tillsynsbegäran mail.docx", "A 4351-2024")</f>
        <v/>
      </c>
    </row>
    <row r="216" ht="15" customHeight="1">
      <c r="A216" t="inlineStr">
        <is>
          <t>A 53683-2025</t>
        </is>
      </c>
      <c r="B216" s="1" t="n">
        <v>45960</v>
      </c>
      <c r="C216" s="1" t="n">
        <v>46002</v>
      </c>
      <c r="D216" t="inlineStr">
        <is>
          <t>VÄSTERNORRLANDS LÄN</t>
        </is>
      </c>
      <c r="E216" t="inlineStr">
        <is>
          <t>ÅNGE</t>
        </is>
      </c>
      <c r="F216" t="inlineStr">
        <is>
          <t>SCA</t>
        </is>
      </c>
      <c r="G216" t="n">
        <v>3.6</v>
      </c>
      <c r="H216" t="n">
        <v>0</v>
      </c>
      <c r="I216" t="n">
        <v>1</v>
      </c>
      <c r="J216" t="n">
        <v>0</v>
      </c>
      <c r="K216" t="n">
        <v>0</v>
      </c>
      <c r="L216" t="n">
        <v>0</v>
      </c>
      <c r="M216" t="n">
        <v>0</v>
      </c>
      <c r="N216" t="n">
        <v>0</v>
      </c>
      <c r="O216" t="n">
        <v>0</v>
      </c>
      <c r="P216" t="n">
        <v>0</v>
      </c>
      <c r="Q216" t="n">
        <v>1</v>
      </c>
      <c r="R216" s="2" t="inlineStr">
        <is>
          <t>Ögonpyrola</t>
        </is>
      </c>
      <c r="S216">
        <f>HYPERLINK("https://klasma.github.io/Logging_2260/artfynd/A 53683-2025 artfynd.xlsx", "A 53683-2025")</f>
        <v/>
      </c>
      <c r="T216">
        <f>HYPERLINK("https://klasma.github.io/Logging_2260/kartor/A 53683-2025 karta.png", "A 53683-2025")</f>
        <v/>
      </c>
      <c r="U216">
        <f>HYPERLINK("https://klasma.github.io/Logging_2260/knärot/A 53683-2025 karta knärot.png", "A 53683-2025")</f>
        <v/>
      </c>
      <c r="V216">
        <f>HYPERLINK("https://klasma.github.io/Logging_2260/klagomål/A 53683-2025 FSC-klagomål.docx", "A 53683-2025")</f>
        <v/>
      </c>
      <c r="W216">
        <f>HYPERLINK("https://klasma.github.io/Logging_2260/klagomålsmail/A 53683-2025 FSC-klagomål mail.docx", "A 53683-2025")</f>
        <v/>
      </c>
      <c r="X216">
        <f>HYPERLINK("https://klasma.github.io/Logging_2260/tillsyn/A 53683-2025 tillsynsbegäran.docx", "A 53683-2025")</f>
        <v/>
      </c>
      <c r="Y216">
        <f>HYPERLINK("https://klasma.github.io/Logging_2260/tillsynsmail/A 53683-2025 tillsynsbegäran mail.docx", "A 53683-2025")</f>
        <v/>
      </c>
    </row>
    <row r="217" ht="15" customHeight="1">
      <c r="A217" t="inlineStr">
        <is>
          <t>A 40214-2024</t>
        </is>
      </c>
      <c r="B217" s="1" t="n">
        <v>45554.59460648148</v>
      </c>
      <c r="C217" s="1" t="n">
        <v>46002</v>
      </c>
      <c r="D217" t="inlineStr">
        <is>
          <t>VÄSTERNORRLANDS LÄN</t>
        </is>
      </c>
      <c r="E217" t="inlineStr">
        <is>
          <t>ÅNGE</t>
        </is>
      </c>
      <c r="F217" t="inlineStr">
        <is>
          <t>SCA</t>
        </is>
      </c>
      <c r="G217" t="n">
        <v>7.7</v>
      </c>
      <c r="H217" t="n">
        <v>0</v>
      </c>
      <c r="I217" t="n">
        <v>0</v>
      </c>
      <c r="J217" t="n">
        <v>1</v>
      </c>
      <c r="K217" t="n">
        <v>0</v>
      </c>
      <c r="L217" t="n">
        <v>0</v>
      </c>
      <c r="M217" t="n">
        <v>0</v>
      </c>
      <c r="N217" t="n">
        <v>0</v>
      </c>
      <c r="O217" t="n">
        <v>1</v>
      </c>
      <c r="P217" t="n">
        <v>0</v>
      </c>
      <c r="Q217" t="n">
        <v>1</v>
      </c>
      <c r="R217" s="2" t="inlineStr">
        <is>
          <t>Lunglav</t>
        </is>
      </c>
      <c r="S217">
        <f>HYPERLINK("https://klasma.github.io/Logging_2260/artfynd/A 40214-2024 artfynd.xlsx", "A 40214-2024")</f>
        <v/>
      </c>
      <c r="T217">
        <f>HYPERLINK("https://klasma.github.io/Logging_2260/kartor/A 40214-2024 karta.png", "A 40214-2024")</f>
        <v/>
      </c>
      <c r="V217">
        <f>HYPERLINK("https://klasma.github.io/Logging_2260/klagomål/A 40214-2024 FSC-klagomål.docx", "A 40214-2024")</f>
        <v/>
      </c>
      <c r="W217">
        <f>HYPERLINK("https://klasma.github.io/Logging_2260/klagomålsmail/A 40214-2024 FSC-klagomål mail.docx", "A 40214-2024")</f>
        <v/>
      </c>
      <c r="X217">
        <f>HYPERLINK("https://klasma.github.io/Logging_2260/tillsyn/A 40214-2024 tillsynsbegäran.docx", "A 40214-2024")</f>
        <v/>
      </c>
      <c r="Y217">
        <f>HYPERLINK("https://klasma.github.io/Logging_2260/tillsynsmail/A 40214-2024 tillsynsbegäran mail.docx", "A 40214-2024")</f>
        <v/>
      </c>
    </row>
    <row r="218" ht="15" customHeight="1">
      <c r="A218" t="inlineStr">
        <is>
          <t>A 61076-2025</t>
        </is>
      </c>
      <c r="B218" s="1" t="n">
        <v>46000.39689814814</v>
      </c>
      <c r="C218" s="1" t="n">
        <v>46002</v>
      </c>
      <c r="D218" t="inlineStr">
        <is>
          <t>VÄSTERNORRLANDS LÄN</t>
        </is>
      </c>
      <c r="E218" t="inlineStr">
        <is>
          <t>ÅNGE</t>
        </is>
      </c>
      <c r="F218" t="inlineStr">
        <is>
          <t>Holmen skog AB</t>
        </is>
      </c>
      <c r="G218" t="n">
        <v>2.7</v>
      </c>
      <c r="H218" t="n">
        <v>0</v>
      </c>
      <c r="I218" t="n">
        <v>1</v>
      </c>
      <c r="J218" t="n">
        <v>0</v>
      </c>
      <c r="K218" t="n">
        <v>0</v>
      </c>
      <c r="L218" t="n">
        <v>0</v>
      </c>
      <c r="M218" t="n">
        <v>0</v>
      </c>
      <c r="N218" t="n">
        <v>0</v>
      </c>
      <c r="O218" t="n">
        <v>0</v>
      </c>
      <c r="P218" t="n">
        <v>0</v>
      </c>
      <c r="Q218" t="n">
        <v>1</v>
      </c>
      <c r="R218" s="2" t="inlineStr">
        <is>
          <t>Stor aspticka</t>
        </is>
      </c>
      <c r="S218">
        <f>HYPERLINK("https://klasma.github.io/Logging_2260/artfynd/A 61076-2025 artfynd.xlsx", "A 61076-2025")</f>
        <v/>
      </c>
      <c r="T218">
        <f>HYPERLINK("https://klasma.github.io/Logging_2260/kartor/A 61076-2025 karta.png", "A 61076-2025")</f>
        <v/>
      </c>
      <c r="V218">
        <f>HYPERLINK("https://klasma.github.io/Logging_2260/klagomål/A 61076-2025 FSC-klagomål.docx", "A 61076-2025")</f>
        <v/>
      </c>
      <c r="W218">
        <f>HYPERLINK("https://klasma.github.io/Logging_2260/klagomålsmail/A 61076-2025 FSC-klagomål mail.docx", "A 61076-2025")</f>
        <v/>
      </c>
      <c r="X218">
        <f>HYPERLINK("https://klasma.github.io/Logging_2260/tillsyn/A 61076-2025 tillsynsbegäran.docx", "A 61076-2025")</f>
        <v/>
      </c>
      <c r="Y218">
        <f>HYPERLINK("https://klasma.github.io/Logging_2260/tillsynsmail/A 61076-2025 tillsynsbegäran mail.docx", "A 61076-2025")</f>
        <v/>
      </c>
    </row>
    <row r="219" ht="15" customHeight="1">
      <c r="A219" t="inlineStr">
        <is>
          <t>A 52424-2023</t>
        </is>
      </c>
      <c r="B219" s="1" t="n">
        <v>45217</v>
      </c>
      <c r="C219" s="1" t="n">
        <v>46002</v>
      </c>
      <c r="D219" t="inlineStr">
        <is>
          <t>VÄSTERNORRLANDS LÄN</t>
        </is>
      </c>
      <c r="E219" t="inlineStr">
        <is>
          <t>ÅNGE</t>
        </is>
      </c>
      <c r="F219" t="inlineStr">
        <is>
          <t>SCA</t>
        </is>
      </c>
      <c r="G219" t="n">
        <v>3.8</v>
      </c>
      <c r="H219" t="n">
        <v>1</v>
      </c>
      <c r="I219" t="n">
        <v>0</v>
      </c>
      <c r="J219" t="n">
        <v>0</v>
      </c>
      <c r="K219" t="n">
        <v>0</v>
      </c>
      <c r="L219" t="n">
        <v>0</v>
      </c>
      <c r="M219" t="n">
        <v>0</v>
      </c>
      <c r="N219" t="n">
        <v>0</v>
      </c>
      <c r="O219" t="n">
        <v>0</v>
      </c>
      <c r="P219" t="n">
        <v>0</v>
      </c>
      <c r="Q219" t="n">
        <v>1</v>
      </c>
      <c r="R219" s="2" t="inlineStr">
        <is>
          <t>Revlummer</t>
        </is>
      </c>
      <c r="S219">
        <f>HYPERLINK("https://klasma.github.io/Logging_2260/artfynd/A 52424-2023 artfynd.xlsx", "A 52424-2023")</f>
        <v/>
      </c>
      <c r="T219">
        <f>HYPERLINK("https://klasma.github.io/Logging_2260/kartor/A 52424-2023 karta.png", "A 52424-2023")</f>
        <v/>
      </c>
      <c r="V219">
        <f>HYPERLINK("https://klasma.github.io/Logging_2260/klagomål/A 52424-2023 FSC-klagomål.docx", "A 52424-2023")</f>
        <v/>
      </c>
      <c r="W219">
        <f>HYPERLINK("https://klasma.github.io/Logging_2260/klagomålsmail/A 52424-2023 FSC-klagomål mail.docx", "A 52424-2023")</f>
        <v/>
      </c>
      <c r="X219">
        <f>HYPERLINK("https://klasma.github.io/Logging_2260/tillsyn/A 52424-2023 tillsynsbegäran.docx", "A 52424-2023")</f>
        <v/>
      </c>
      <c r="Y219">
        <f>HYPERLINK("https://klasma.github.io/Logging_2260/tillsynsmail/A 52424-2023 tillsynsbegäran mail.docx", "A 52424-2023")</f>
        <v/>
      </c>
    </row>
    <row r="220" ht="15" customHeight="1">
      <c r="A220" t="inlineStr">
        <is>
          <t>A 31544-2024</t>
        </is>
      </c>
      <c r="B220" s="1" t="n">
        <v>45505</v>
      </c>
      <c r="C220" s="1" t="n">
        <v>46002</v>
      </c>
      <c r="D220" t="inlineStr">
        <is>
          <t>VÄSTERNORRLANDS LÄN</t>
        </is>
      </c>
      <c r="E220" t="inlineStr">
        <is>
          <t>ÅNGE</t>
        </is>
      </c>
      <c r="F220" t="inlineStr">
        <is>
          <t>SCA</t>
        </is>
      </c>
      <c r="G220" t="n">
        <v>3.5</v>
      </c>
      <c r="H220" t="n">
        <v>0</v>
      </c>
      <c r="I220" t="n">
        <v>0</v>
      </c>
      <c r="J220" t="n">
        <v>1</v>
      </c>
      <c r="K220" t="n">
        <v>0</v>
      </c>
      <c r="L220" t="n">
        <v>0</v>
      </c>
      <c r="M220" t="n">
        <v>0</v>
      </c>
      <c r="N220" t="n">
        <v>0</v>
      </c>
      <c r="O220" t="n">
        <v>1</v>
      </c>
      <c r="P220" t="n">
        <v>0</v>
      </c>
      <c r="Q220" t="n">
        <v>1</v>
      </c>
      <c r="R220" s="2" t="inlineStr">
        <is>
          <t>Granticka</t>
        </is>
      </c>
      <c r="S220">
        <f>HYPERLINK("https://klasma.github.io/Logging_2260/artfynd/A 31544-2024 artfynd.xlsx", "A 31544-2024")</f>
        <v/>
      </c>
      <c r="T220">
        <f>HYPERLINK("https://klasma.github.io/Logging_2260/kartor/A 31544-2024 karta.png", "A 31544-2024")</f>
        <v/>
      </c>
      <c r="V220">
        <f>HYPERLINK("https://klasma.github.io/Logging_2260/klagomål/A 31544-2024 FSC-klagomål.docx", "A 31544-2024")</f>
        <v/>
      </c>
      <c r="W220">
        <f>HYPERLINK("https://klasma.github.io/Logging_2260/klagomålsmail/A 31544-2024 FSC-klagomål mail.docx", "A 31544-2024")</f>
        <v/>
      </c>
      <c r="X220">
        <f>HYPERLINK("https://klasma.github.io/Logging_2260/tillsyn/A 31544-2024 tillsynsbegäran.docx", "A 31544-2024")</f>
        <v/>
      </c>
      <c r="Y220">
        <f>HYPERLINK("https://klasma.github.io/Logging_2260/tillsynsmail/A 31544-2024 tillsynsbegäran mail.docx", "A 31544-2024")</f>
        <v/>
      </c>
    </row>
    <row r="221" ht="15" customHeight="1">
      <c r="A221" t="inlineStr">
        <is>
          <t>A 56091-2024</t>
        </is>
      </c>
      <c r="B221" s="1" t="n">
        <v>45624.40678240741</v>
      </c>
      <c r="C221" s="1" t="n">
        <v>46002</v>
      </c>
      <c r="D221" t="inlineStr">
        <is>
          <t>VÄSTERNORRLANDS LÄN</t>
        </is>
      </c>
      <c r="E221" t="inlineStr">
        <is>
          <t>ÅNGE</t>
        </is>
      </c>
      <c r="F221" t="inlineStr">
        <is>
          <t>SCA</t>
        </is>
      </c>
      <c r="G221" t="n">
        <v>2.5</v>
      </c>
      <c r="H221" t="n">
        <v>0</v>
      </c>
      <c r="I221" t="n">
        <v>0</v>
      </c>
      <c r="J221" t="n">
        <v>1</v>
      </c>
      <c r="K221" t="n">
        <v>0</v>
      </c>
      <c r="L221" t="n">
        <v>0</v>
      </c>
      <c r="M221" t="n">
        <v>0</v>
      </c>
      <c r="N221" t="n">
        <v>0</v>
      </c>
      <c r="O221" t="n">
        <v>1</v>
      </c>
      <c r="P221" t="n">
        <v>0</v>
      </c>
      <c r="Q221" t="n">
        <v>1</v>
      </c>
      <c r="R221" s="2" t="inlineStr">
        <is>
          <t>Mörk kolflarnlav</t>
        </is>
      </c>
      <c r="S221">
        <f>HYPERLINK("https://klasma.github.io/Logging_2260/artfynd/A 56091-2024 artfynd.xlsx", "A 56091-2024")</f>
        <v/>
      </c>
      <c r="T221">
        <f>HYPERLINK("https://klasma.github.io/Logging_2260/kartor/A 56091-2024 karta.png", "A 56091-2024")</f>
        <v/>
      </c>
      <c r="V221">
        <f>HYPERLINK("https://klasma.github.io/Logging_2260/klagomål/A 56091-2024 FSC-klagomål.docx", "A 56091-2024")</f>
        <v/>
      </c>
      <c r="W221">
        <f>HYPERLINK("https://klasma.github.io/Logging_2260/klagomålsmail/A 56091-2024 FSC-klagomål mail.docx", "A 56091-2024")</f>
        <v/>
      </c>
      <c r="X221">
        <f>HYPERLINK("https://klasma.github.io/Logging_2260/tillsyn/A 56091-2024 tillsynsbegäran.docx", "A 56091-2024")</f>
        <v/>
      </c>
      <c r="Y221">
        <f>HYPERLINK("https://klasma.github.io/Logging_2260/tillsynsmail/A 56091-2024 tillsynsbegäran mail.docx", "A 56091-2024")</f>
        <v/>
      </c>
    </row>
    <row r="222" ht="15" customHeight="1">
      <c r="A222" t="inlineStr">
        <is>
          <t>A 13934-2024</t>
        </is>
      </c>
      <c r="B222" s="1" t="n">
        <v>45391</v>
      </c>
      <c r="C222" s="1" t="n">
        <v>46002</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43171-2024</t>
        </is>
      </c>
      <c r="B223" s="1" t="n">
        <v>45567</v>
      </c>
      <c r="C223" s="1" t="n">
        <v>46002</v>
      </c>
      <c r="D223" t="inlineStr">
        <is>
          <t>VÄSTERNORRLANDS LÄN</t>
        </is>
      </c>
      <c r="E223" t="inlineStr">
        <is>
          <t>ÅNGE</t>
        </is>
      </c>
      <c r="F223" t="inlineStr">
        <is>
          <t>SCA</t>
        </is>
      </c>
      <c r="G223" t="n">
        <v>3.4</v>
      </c>
      <c r="H223" t="n">
        <v>0</v>
      </c>
      <c r="I223" t="n">
        <v>0</v>
      </c>
      <c r="J223" t="n">
        <v>1</v>
      </c>
      <c r="K223" t="n">
        <v>0</v>
      </c>
      <c r="L223" t="n">
        <v>0</v>
      </c>
      <c r="M223" t="n">
        <v>0</v>
      </c>
      <c r="N223" t="n">
        <v>0</v>
      </c>
      <c r="O223" t="n">
        <v>1</v>
      </c>
      <c r="P223" t="n">
        <v>0</v>
      </c>
      <c r="Q223" t="n">
        <v>1</v>
      </c>
      <c r="R223" s="2" t="inlineStr">
        <is>
          <t>Rosenticka</t>
        </is>
      </c>
      <c r="S223">
        <f>HYPERLINK("https://klasma.github.io/Logging_2260/artfynd/A 43171-2024 artfynd.xlsx", "A 43171-2024")</f>
        <v/>
      </c>
      <c r="T223">
        <f>HYPERLINK("https://klasma.github.io/Logging_2260/kartor/A 43171-2024 karta.png", "A 43171-2024")</f>
        <v/>
      </c>
      <c r="V223">
        <f>HYPERLINK("https://klasma.github.io/Logging_2260/klagomål/A 43171-2024 FSC-klagomål.docx", "A 43171-2024")</f>
        <v/>
      </c>
      <c r="W223">
        <f>HYPERLINK("https://klasma.github.io/Logging_2260/klagomålsmail/A 43171-2024 FSC-klagomål mail.docx", "A 43171-2024")</f>
        <v/>
      </c>
      <c r="X223">
        <f>HYPERLINK("https://klasma.github.io/Logging_2260/tillsyn/A 43171-2024 tillsynsbegäran.docx", "A 43171-2024")</f>
        <v/>
      </c>
      <c r="Y223">
        <f>HYPERLINK("https://klasma.github.io/Logging_2260/tillsynsmail/A 43171-2024 tillsynsbegäran mail.docx", "A 43171-2024")</f>
        <v/>
      </c>
    </row>
    <row r="224" ht="15" customHeight="1">
      <c r="A224" t="inlineStr">
        <is>
          <t>A 55015-2023</t>
        </is>
      </c>
      <c r="B224" s="1" t="n">
        <v>45237.32185185186</v>
      </c>
      <c r="C224" s="1" t="n">
        <v>46002</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41493-2021</t>
        </is>
      </c>
      <c r="B225" s="1" t="n">
        <v>44424</v>
      </c>
      <c r="C225" s="1" t="n">
        <v>46002</v>
      </c>
      <c r="D225" t="inlineStr">
        <is>
          <t>VÄSTERNORRLANDS LÄN</t>
        </is>
      </c>
      <c r="E225" t="inlineStr">
        <is>
          <t>ÅNGE</t>
        </is>
      </c>
      <c r="F225" t="inlineStr">
        <is>
          <t>SCA</t>
        </is>
      </c>
      <c r="G225" t="n">
        <v>8</v>
      </c>
      <c r="H225" t="n">
        <v>1</v>
      </c>
      <c r="I225" t="n">
        <v>0</v>
      </c>
      <c r="J225" t="n">
        <v>0</v>
      </c>
      <c r="K225" t="n">
        <v>1</v>
      </c>
      <c r="L225" t="n">
        <v>0</v>
      </c>
      <c r="M225" t="n">
        <v>0</v>
      </c>
      <c r="N225" t="n">
        <v>0</v>
      </c>
      <c r="O225" t="n">
        <v>1</v>
      </c>
      <c r="P225" t="n">
        <v>1</v>
      </c>
      <c r="Q225" t="n">
        <v>1</v>
      </c>
      <c r="R225" s="2" t="inlineStr">
        <is>
          <t>Knärot</t>
        </is>
      </c>
      <c r="S225">
        <f>HYPERLINK("https://klasma.github.io/Logging_2260/artfynd/A 41493-2021 artfynd.xlsx", "A 41493-2021")</f>
        <v/>
      </c>
      <c r="T225">
        <f>HYPERLINK("https://klasma.github.io/Logging_2260/kartor/A 41493-2021 karta.png", "A 41493-2021")</f>
        <v/>
      </c>
      <c r="U225">
        <f>HYPERLINK("https://klasma.github.io/Logging_2260/knärot/A 41493-2021 karta knärot.png", "A 41493-2021")</f>
        <v/>
      </c>
      <c r="V225">
        <f>HYPERLINK("https://klasma.github.io/Logging_2260/klagomål/A 41493-2021 FSC-klagomål.docx", "A 41493-2021")</f>
        <v/>
      </c>
      <c r="W225">
        <f>HYPERLINK("https://klasma.github.io/Logging_2260/klagomålsmail/A 41493-2021 FSC-klagomål mail.docx", "A 41493-2021")</f>
        <v/>
      </c>
      <c r="X225">
        <f>HYPERLINK("https://klasma.github.io/Logging_2260/tillsyn/A 41493-2021 tillsynsbegäran.docx", "A 41493-2021")</f>
        <v/>
      </c>
      <c r="Y225">
        <f>HYPERLINK("https://klasma.github.io/Logging_2260/tillsynsmail/A 41493-2021 tillsynsbegäran mail.docx", "A 41493-2021")</f>
        <v/>
      </c>
    </row>
    <row r="226" ht="15" customHeight="1">
      <c r="A226" t="inlineStr">
        <is>
          <t>A 31510-2024</t>
        </is>
      </c>
      <c r="B226" s="1" t="n">
        <v>45505</v>
      </c>
      <c r="C226" s="1" t="n">
        <v>46002</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37914-2024</t>
        </is>
      </c>
      <c r="B227" s="1" t="n">
        <v>45544</v>
      </c>
      <c r="C227" s="1" t="n">
        <v>46002</v>
      </c>
      <c r="D227" t="inlineStr">
        <is>
          <t>VÄSTERNORRLANDS LÄN</t>
        </is>
      </c>
      <c r="E227" t="inlineStr">
        <is>
          <t>ÅNGE</t>
        </is>
      </c>
      <c r="F227" t="inlineStr">
        <is>
          <t>SCA</t>
        </is>
      </c>
      <c r="G227" t="n">
        <v>9</v>
      </c>
      <c r="H227" t="n">
        <v>0</v>
      </c>
      <c r="I227" t="n">
        <v>0</v>
      </c>
      <c r="J227" t="n">
        <v>1</v>
      </c>
      <c r="K227" t="n">
        <v>0</v>
      </c>
      <c r="L227" t="n">
        <v>0</v>
      </c>
      <c r="M227" t="n">
        <v>0</v>
      </c>
      <c r="N227" t="n">
        <v>0</v>
      </c>
      <c r="O227" t="n">
        <v>1</v>
      </c>
      <c r="P227" t="n">
        <v>0</v>
      </c>
      <c r="Q227" t="n">
        <v>1</v>
      </c>
      <c r="R227" s="2" t="inlineStr">
        <is>
          <t>Granticka</t>
        </is>
      </c>
      <c r="S227">
        <f>HYPERLINK("https://klasma.github.io/Logging_2260/artfynd/A 37914-2024 artfynd.xlsx", "A 37914-2024")</f>
        <v/>
      </c>
      <c r="T227">
        <f>HYPERLINK("https://klasma.github.io/Logging_2260/kartor/A 37914-2024 karta.png", "A 37914-2024")</f>
        <v/>
      </c>
      <c r="V227">
        <f>HYPERLINK("https://klasma.github.io/Logging_2260/klagomål/A 37914-2024 FSC-klagomål.docx", "A 37914-2024")</f>
        <v/>
      </c>
      <c r="W227">
        <f>HYPERLINK("https://klasma.github.io/Logging_2260/klagomålsmail/A 37914-2024 FSC-klagomål mail.docx", "A 37914-2024")</f>
        <v/>
      </c>
      <c r="X227">
        <f>HYPERLINK("https://klasma.github.io/Logging_2260/tillsyn/A 37914-2024 tillsynsbegäran.docx", "A 37914-2024")</f>
        <v/>
      </c>
      <c r="Y227">
        <f>HYPERLINK("https://klasma.github.io/Logging_2260/tillsynsmail/A 37914-2024 tillsynsbegäran mail.docx", "A 37914-2024")</f>
        <v/>
      </c>
    </row>
    <row r="228" ht="15" customHeight="1">
      <c r="A228" t="inlineStr">
        <is>
          <t>A 54751-2021</t>
        </is>
      </c>
      <c r="B228" s="1" t="n">
        <v>44473</v>
      </c>
      <c r="C228" s="1" t="n">
        <v>46002</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39180-2024</t>
        </is>
      </c>
      <c r="B229" s="1" t="n">
        <v>45548.6571412037</v>
      </c>
      <c r="C229" s="1" t="n">
        <v>46002</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20354-2021</t>
        </is>
      </c>
      <c r="B230" s="1" t="n">
        <v>44312</v>
      </c>
      <c r="C230" s="1" t="n">
        <v>46002</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8057-2021</t>
        </is>
      </c>
      <c r="B231" s="1" t="n">
        <v>44238</v>
      </c>
      <c r="C231" s="1" t="n">
        <v>46002</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68715-2020</t>
        </is>
      </c>
      <c r="B232" s="1" t="n">
        <v>44187</v>
      </c>
      <c r="C232" s="1" t="n">
        <v>46002</v>
      </c>
      <c r="D232" t="inlineStr">
        <is>
          <t>VÄSTERNORRLANDS LÄN</t>
        </is>
      </c>
      <c r="E232" t="inlineStr">
        <is>
          <t>ÅNGE</t>
        </is>
      </c>
      <c r="G232" t="n">
        <v>19.1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46002</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46002</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46002</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46002</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46002</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46002</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46002</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46002</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46002</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69271-2020</t>
        </is>
      </c>
      <c r="B242" s="1" t="n">
        <v>44193</v>
      </c>
      <c r="C242" s="1" t="n">
        <v>46002</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46002</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46002</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46002</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46002</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46002</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46002</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46002</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46002</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46002</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46002</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46002</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46002</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46002</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46002</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46002</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46002</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46002</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46002</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46002</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46002</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46002</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46002</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46002</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58941-2021</t>
        </is>
      </c>
      <c r="B266" s="1" t="n">
        <v>44489.92215277778</v>
      </c>
      <c r="C266" s="1" t="n">
        <v>46002</v>
      </c>
      <c r="D266" t="inlineStr">
        <is>
          <t>VÄSTERNORRLANDS LÄN</t>
        </is>
      </c>
      <c r="E266" t="inlineStr">
        <is>
          <t>ÅNGE</t>
        </is>
      </c>
      <c r="G266" t="n">
        <v>6.7</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46002</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46002</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46002</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46002</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46002</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46002</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46002</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46002</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46002</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46002</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46002</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46002</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46002</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46002</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46002</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46002</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46002</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46002</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46002</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46002</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46002</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46002</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46002</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71651-2021</t>
        </is>
      </c>
      <c r="B290" s="1" t="n">
        <v>44538</v>
      </c>
      <c r="C290" s="1" t="n">
        <v>46002</v>
      </c>
      <c r="D290" t="inlineStr">
        <is>
          <t>VÄSTERNORRLANDS LÄN</t>
        </is>
      </c>
      <c r="E290" t="inlineStr">
        <is>
          <t>ÅNGE</t>
        </is>
      </c>
      <c r="G290" t="n">
        <v>4.4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46002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46002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46002</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46002</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46002</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46002</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46002</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46002</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46002</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46002</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46002</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46002</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46002</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46002</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46002</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46002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46002</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46002</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46002</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4939-2022</t>
        </is>
      </c>
      <c r="B310" s="1" t="n">
        <v>44593.50019675926</v>
      </c>
      <c r="C310" s="1" t="n">
        <v>46002</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46002</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46002</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46002</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46002</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46002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46002</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46002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46002</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46002</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46002</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46002</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46002</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46002</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46002</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46002</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46002</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46002</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46002</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46002</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46002</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46002</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46002</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46002</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46002</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46002</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46002</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46002</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46002</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46002</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46002</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46002</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46002</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46002</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46002</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46002</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46002</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46002</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46002</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46002</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46002</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46002</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40476-2022</t>
        </is>
      </c>
      <c r="B352" s="1" t="n">
        <v>44823.54685185185</v>
      </c>
      <c r="C352" s="1" t="n">
        <v>46002</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46002</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46002</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53664-2022</t>
        </is>
      </c>
      <c r="B355" s="1" t="n">
        <v>44879.95643518519</v>
      </c>
      <c r="C355" s="1" t="n">
        <v>46002</v>
      </c>
      <c r="D355" t="inlineStr">
        <is>
          <t>VÄSTERNORRLANDS LÄN</t>
        </is>
      </c>
      <c r="E355" t="inlineStr">
        <is>
          <t>ÅNGE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46002</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46002</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20807-2021</t>
        </is>
      </c>
      <c r="B358" s="1" t="n">
        <v>44316.93965277778</v>
      </c>
      <c r="C358" s="1" t="n">
        <v>46002</v>
      </c>
      <c r="D358" t="inlineStr">
        <is>
          <t>VÄSTERNORRLANDS LÄN</t>
        </is>
      </c>
      <c r="E358" t="inlineStr">
        <is>
          <t>ÅNGE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17594-2021</t>
        </is>
      </c>
      <c r="B359" s="1" t="n">
        <v>44299</v>
      </c>
      <c r="C359" s="1" t="n">
        <v>46002</v>
      </c>
      <c r="D359" t="inlineStr">
        <is>
          <t>VÄSTERNORRLANDS LÄN</t>
        </is>
      </c>
      <c r="E359" t="inlineStr">
        <is>
          <t>ÅNGE</t>
        </is>
      </c>
      <c r="G359" t="n">
        <v>0.8</v>
      </c>
      <c r="H359" t="n">
        <v>0</v>
      </c>
      <c r="I359" t="n">
        <v>0</v>
      </c>
      <c r="J359" t="n">
        <v>0</v>
      </c>
      <c r="K359" t="n">
        <v>0</v>
      </c>
      <c r="L359" t="n">
        <v>0</v>
      </c>
      <c r="M359" t="n">
        <v>0</v>
      </c>
      <c r="N359" t="n">
        <v>0</v>
      </c>
      <c r="O359" t="n">
        <v>0</v>
      </c>
      <c r="P359" t="n">
        <v>0</v>
      </c>
      <c r="Q359" t="n">
        <v>0</v>
      </c>
      <c r="R359" s="2" t="inlineStr"/>
    </row>
    <row r="360" ht="15" customHeight="1">
      <c r="A360" t="inlineStr">
        <is>
          <t>A 33408-2021</t>
        </is>
      </c>
      <c r="B360" s="1" t="n">
        <v>44377</v>
      </c>
      <c r="C360" s="1" t="n">
        <v>46002</v>
      </c>
      <c r="D360" t="inlineStr">
        <is>
          <t>VÄSTERNORRLANDS LÄN</t>
        </is>
      </c>
      <c r="E360" t="inlineStr">
        <is>
          <t>ÅNGE</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46002</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13641-2022</t>
        </is>
      </c>
      <c r="B362" s="1" t="n">
        <v>44648</v>
      </c>
      <c r="C362" s="1" t="n">
        <v>46002</v>
      </c>
      <c r="D362" t="inlineStr">
        <is>
          <t>VÄSTERNORRLANDS LÄN</t>
        </is>
      </c>
      <c r="E362" t="inlineStr">
        <is>
          <t>ÅNGE</t>
        </is>
      </c>
      <c r="G362" t="n">
        <v>4.9</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46002</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46002</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46002</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2327-2021</t>
        </is>
      </c>
      <c r="B366" s="1" t="n">
        <v>44214</v>
      </c>
      <c r="C366" s="1" t="n">
        <v>46002</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46002</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46002</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46002</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46002</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46002</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46002</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46002</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46002</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46002</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50640-2022</t>
        </is>
      </c>
      <c r="B376" s="1" t="n">
        <v>44866.94734953704</v>
      </c>
      <c r="C376" s="1" t="n">
        <v>46002</v>
      </c>
      <c r="D376" t="inlineStr">
        <is>
          <t>VÄSTERNORRLANDS LÄN</t>
        </is>
      </c>
      <c r="E376" t="inlineStr">
        <is>
          <t>ÅNGE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27953-2021</t>
        </is>
      </c>
      <c r="B377" s="1" t="n">
        <v>44354.9209375</v>
      </c>
      <c r="C377" s="1" t="n">
        <v>46002</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46002</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46002</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46002</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46002</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46002</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46002</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46002</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46002</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46002</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39594-2022</t>
        </is>
      </c>
      <c r="B387" s="1" t="n">
        <v>44818</v>
      </c>
      <c r="C387" s="1" t="n">
        <v>46002</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46002</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46002</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15368-2024</t>
        </is>
      </c>
      <c r="B390" s="1" t="n">
        <v>45400.92284722222</v>
      </c>
      <c r="C390" s="1" t="n">
        <v>46002</v>
      </c>
      <c r="D390" t="inlineStr">
        <is>
          <t>VÄSTERNORRLANDS LÄN</t>
        </is>
      </c>
      <c r="E390" t="inlineStr">
        <is>
          <t>ÅNGE</t>
        </is>
      </c>
      <c r="G390" t="n">
        <v>0.4</v>
      </c>
      <c r="H390" t="n">
        <v>0</v>
      </c>
      <c r="I390" t="n">
        <v>0</v>
      </c>
      <c r="J390" t="n">
        <v>0</v>
      </c>
      <c r="K390" t="n">
        <v>0</v>
      </c>
      <c r="L390" t="n">
        <v>0</v>
      </c>
      <c r="M390" t="n">
        <v>0</v>
      </c>
      <c r="N390" t="n">
        <v>0</v>
      </c>
      <c r="O390" t="n">
        <v>0</v>
      </c>
      <c r="P390" t="n">
        <v>0</v>
      </c>
      <c r="Q390" t="n">
        <v>0</v>
      </c>
      <c r="R390" s="2" t="inlineStr"/>
    </row>
    <row r="391" ht="15" customHeight="1">
      <c r="A391" t="inlineStr">
        <is>
          <t>A 6680-2024</t>
        </is>
      </c>
      <c r="B391" s="1" t="n">
        <v>45341</v>
      </c>
      <c r="C391" s="1" t="n">
        <v>46002</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37382-2021</t>
        </is>
      </c>
      <c r="B392" s="1" t="n">
        <v>44397</v>
      </c>
      <c r="C392" s="1" t="n">
        <v>46002</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46002</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46002</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46002</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17009-2023</t>
        </is>
      </c>
      <c r="B396" s="1" t="n">
        <v>45033.9455787037</v>
      </c>
      <c r="C396" s="1" t="n">
        <v>46002</v>
      </c>
      <c r="D396" t="inlineStr">
        <is>
          <t>VÄSTERNORRLANDS LÄN</t>
        </is>
      </c>
      <c r="E396" t="inlineStr">
        <is>
          <t>ÅNGE</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46002</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24324-2022</t>
        </is>
      </c>
      <c r="B398" s="1" t="n">
        <v>44725.945</v>
      </c>
      <c r="C398" s="1" t="n">
        <v>46002</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24325-2022</t>
        </is>
      </c>
      <c r="B399" s="1" t="n">
        <v>44725.94506944445</v>
      </c>
      <c r="C399" s="1" t="n">
        <v>46002</v>
      </c>
      <c r="D399" t="inlineStr">
        <is>
          <t>VÄSTERNORRLANDS LÄN</t>
        </is>
      </c>
      <c r="E399" t="inlineStr">
        <is>
          <t>ÅNGE</t>
        </is>
      </c>
      <c r="G399" t="n">
        <v>1.6</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46002</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46002</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34851-2023</t>
        </is>
      </c>
      <c r="B402" s="1" t="n">
        <v>45141</v>
      </c>
      <c r="C402" s="1" t="n">
        <v>46002</v>
      </c>
      <c r="D402" t="inlineStr">
        <is>
          <t>VÄSTERNORRLANDS LÄN</t>
        </is>
      </c>
      <c r="E402" t="inlineStr">
        <is>
          <t>ÅNGE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16362-2023</t>
        </is>
      </c>
      <c r="B403" s="1" t="n">
        <v>45028.9250462963</v>
      </c>
      <c r="C403" s="1" t="n">
        <v>46002</v>
      </c>
      <c r="D403" t="inlineStr">
        <is>
          <t>VÄSTERNORRLANDS LÄN</t>
        </is>
      </c>
      <c r="E403" t="inlineStr">
        <is>
          <t>ÅNGE</t>
        </is>
      </c>
      <c r="G403" t="n">
        <v>4.8</v>
      </c>
      <c r="H403" t="n">
        <v>0</v>
      </c>
      <c r="I403" t="n">
        <v>0</v>
      </c>
      <c r="J403" t="n">
        <v>0</v>
      </c>
      <c r="K403" t="n">
        <v>0</v>
      </c>
      <c r="L403" t="n">
        <v>0</v>
      </c>
      <c r="M403" t="n">
        <v>0</v>
      </c>
      <c r="N403" t="n">
        <v>0</v>
      </c>
      <c r="O403" t="n">
        <v>0</v>
      </c>
      <c r="P403" t="n">
        <v>0</v>
      </c>
      <c r="Q403" t="n">
        <v>0</v>
      </c>
      <c r="R403" s="2" t="inlineStr"/>
    </row>
    <row r="404" ht="15" customHeight="1">
      <c r="A404" t="inlineStr">
        <is>
          <t>A 27002-2023</t>
        </is>
      </c>
      <c r="B404" s="1" t="n">
        <v>45093</v>
      </c>
      <c r="C404" s="1" t="n">
        <v>46002</v>
      </c>
      <c r="D404" t="inlineStr">
        <is>
          <t>VÄSTERNORRLANDS LÄN</t>
        </is>
      </c>
      <c r="E404" t="inlineStr">
        <is>
          <t>ÅNGE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46002</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46002</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46002</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54946-2021</t>
        </is>
      </c>
      <c r="B408" s="1" t="n">
        <v>44474.46466435185</v>
      </c>
      <c r="C408" s="1" t="n">
        <v>46002</v>
      </c>
      <c r="D408" t="inlineStr">
        <is>
          <t>VÄSTERNORRLANDS LÄN</t>
        </is>
      </c>
      <c r="E408" t="inlineStr">
        <is>
          <t>ÅNGE</t>
        </is>
      </c>
      <c r="G408" t="n">
        <v>5.4</v>
      </c>
      <c r="H408" t="n">
        <v>0</v>
      </c>
      <c r="I408" t="n">
        <v>0</v>
      </c>
      <c r="J408" t="n">
        <v>0</v>
      </c>
      <c r="K408" t="n">
        <v>0</v>
      </c>
      <c r="L408" t="n">
        <v>0</v>
      </c>
      <c r="M408" t="n">
        <v>0</v>
      </c>
      <c r="N408" t="n">
        <v>0</v>
      </c>
      <c r="O408" t="n">
        <v>0</v>
      </c>
      <c r="P408" t="n">
        <v>0</v>
      </c>
      <c r="Q408" t="n">
        <v>0</v>
      </c>
      <c r="R408" s="2" t="inlineStr"/>
    </row>
    <row r="409" ht="15" customHeight="1">
      <c r="A409" t="inlineStr">
        <is>
          <t>A 38960-2021</t>
        </is>
      </c>
      <c r="B409" s="1" t="n">
        <v>44411</v>
      </c>
      <c r="C409" s="1" t="n">
        <v>46002</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24231-2024</t>
        </is>
      </c>
      <c r="B410" s="1" t="n">
        <v>45457.34393518518</v>
      </c>
      <c r="C410" s="1" t="n">
        <v>46002</v>
      </c>
      <c r="D410" t="inlineStr">
        <is>
          <t>VÄSTERNORRLANDS LÄN</t>
        </is>
      </c>
      <c r="E410" t="inlineStr">
        <is>
          <t>ÅNGE</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36290-2023</t>
        </is>
      </c>
      <c r="B411" s="1" t="n">
        <v>45152.35467592593</v>
      </c>
      <c r="C411" s="1" t="n">
        <v>46002</v>
      </c>
      <c r="D411" t="inlineStr">
        <is>
          <t>VÄSTERNORRLANDS LÄN</t>
        </is>
      </c>
      <c r="E411" t="inlineStr">
        <is>
          <t>ÅNGE</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30273-2023</t>
        </is>
      </c>
      <c r="B412" s="1" t="n">
        <v>45099</v>
      </c>
      <c r="C412" s="1" t="n">
        <v>46002</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45027-2023</t>
        </is>
      </c>
      <c r="B413" s="1" t="n">
        <v>45190.96303240741</v>
      </c>
      <c r="C413" s="1" t="n">
        <v>46002</v>
      </c>
      <c r="D413" t="inlineStr">
        <is>
          <t>VÄSTERNORRLANDS LÄN</t>
        </is>
      </c>
      <c r="E413" t="inlineStr">
        <is>
          <t>ÅNGE</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29048-2021</t>
        </is>
      </c>
      <c r="B414" s="1" t="n">
        <v>44358</v>
      </c>
      <c r="C414" s="1" t="n">
        <v>46002</v>
      </c>
      <c r="D414" t="inlineStr">
        <is>
          <t>VÄSTERNORRLANDS LÄN</t>
        </is>
      </c>
      <c r="E414" t="inlineStr">
        <is>
          <t>ÅNGE</t>
        </is>
      </c>
      <c r="G414" t="n">
        <v>2.5</v>
      </c>
      <c r="H414" t="n">
        <v>0</v>
      </c>
      <c r="I414" t="n">
        <v>0</v>
      </c>
      <c r="J414" t="n">
        <v>0</v>
      </c>
      <c r="K414" t="n">
        <v>0</v>
      </c>
      <c r="L414" t="n">
        <v>0</v>
      </c>
      <c r="M414" t="n">
        <v>0</v>
      </c>
      <c r="N414" t="n">
        <v>0</v>
      </c>
      <c r="O414" t="n">
        <v>0</v>
      </c>
      <c r="P414" t="n">
        <v>0</v>
      </c>
      <c r="Q414" t="n">
        <v>0</v>
      </c>
      <c r="R414" s="2" t="inlineStr"/>
    </row>
    <row r="415" ht="15" customHeight="1">
      <c r="A415" t="inlineStr">
        <is>
          <t>A 14889-2022</t>
        </is>
      </c>
      <c r="B415" s="1" t="n">
        <v>44656</v>
      </c>
      <c r="C415" s="1" t="n">
        <v>46002</v>
      </c>
      <c r="D415" t="inlineStr">
        <is>
          <t>VÄSTERNORRLANDS LÄN</t>
        </is>
      </c>
      <c r="E415" t="inlineStr">
        <is>
          <t>ÅNGE</t>
        </is>
      </c>
      <c r="G415" t="n">
        <v>14</v>
      </c>
      <c r="H415" t="n">
        <v>0</v>
      </c>
      <c r="I415" t="n">
        <v>0</v>
      </c>
      <c r="J415" t="n">
        <v>0</v>
      </c>
      <c r="K415" t="n">
        <v>0</v>
      </c>
      <c r="L415" t="n">
        <v>0</v>
      </c>
      <c r="M415" t="n">
        <v>0</v>
      </c>
      <c r="N415" t="n">
        <v>0</v>
      </c>
      <c r="O415" t="n">
        <v>0</v>
      </c>
      <c r="P415" t="n">
        <v>0</v>
      </c>
      <c r="Q415" t="n">
        <v>0</v>
      </c>
      <c r="R415" s="2" t="inlineStr"/>
    </row>
    <row r="416" ht="15" customHeight="1">
      <c r="A416" t="inlineStr">
        <is>
          <t>A 17044-2023</t>
        </is>
      </c>
      <c r="B416" s="1" t="n">
        <v>45034</v>
      </c>
      <c r="C416" s="1" t="n">
        <v>46002</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46002</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23035-2024</t>
        </is>
      </c>
      <c r="B418" s="1" t="n">
        <v>45450.39016203704</v>
      </c>
      <c r="C418" s="1" t="n">
        <v>46002</v>
      </c>
      <c r="D418" t="inlineStr">
        <is>
          <t>VÄSTERNORRLANDS LÄN</t>
        </is>
      </c>
      <c r="E418" t="inlineStr">
        <is>
          <t>ÅNGE</t>
        </is>
      </c>
      <c r="G418" t="n">
        <v>12.1</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46002</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46002</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17670-2023</t>
        </is>
      </c>
      <c r="B421" s="1" t="n">
        <v>45036</v>
      </c>
      <c r="C421" s="1" t="n">
        <v>46002</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46002</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34959-2023</t>
        </is>
      </c>
      <c r="B423" s="1" t="n">
        <v>45142</v>
      </c>
      <c r="C423" s="1" t="n">
        <v>46002</v>
      </c>
      <c r="D423" t="inlineStr">
        <is>
          <t>VÄSTERNORRLANDS LÄN</t>
        </is>
      </c>
      <c r="E423" t="inlineStr">
        <is>
          <t>ÅNGE</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51024-2024</t>
        </is>
      </c>
      <c r="B424" s="1" t="n">
        <v>45603.4141087963</v>
      </c>
      <c r="C424" s="1" t="n">
        <v>46002</v>
      </c>
      <c r="D424" t="inlineStr">
        <is>
          <t>VÄSTERNORRLANDS LÄN</t>
        </is>
      </c>
      <c r="E424" t="inlineStr">
        <is>
          <t>ÅNGE</t>
        </is>
      </c>
      <c r="G424" t="n">
        <v>8.9</v>
      </c>
      <c r="H424" t="n">
        <v>0</v>
      </c>
      <c r="I424" t="n">
        <v>0</v>
      </c>
      <c r="J424" t="n">
        <v>0</v>
      </c>
      <c r="K424" t="n">
        <v>0</v>
      </c>
      <c r="L424" t="n">
        <v>0</v>
      </c>
      <c r="M424" t="n">
        <v>0</v>
      </c>
      <c r="N424" t="n">
        <v>0</v>
      </c>
      <c r="O424" t="n">
        <v>0</v>
      </c>
      <c r="P424" t="n">
        <v>0</v>
      </c>
      <c r="Q424" t="n">
        <v>0</v>
      </c>
      <c r="R424" s="2" t="inlineStr"/>
    </row>
    <row r="425" ht="15" customHeight="1">
      <c r="A425" t="inlineStr">
        <is>
          <t>A 8406-2023</t>
        </is>
      </c>
      <c r="B425" s="1" t="n">
        <v>44971</v>
      </c>
      <c r="C425" s="1" t="n">
        <v>46002</v>
      </c>
      <c r="D425" t="inlineStr">
        <is>
          <t>VÄSTERNORRLANDS LÄN</t>
        </is>
      </c>
      <c r="E425" t="inlineStr">
        <is>
          <t>ÅNGE</t>
        </is>
      </c>
      <c r="G425" t="n">
        <v>1.2</v>
      </c>
      <c r="H425" t="n">
        <v>0</v>
      </c>
      <c r="I425" t="n">
        <v>0</v>
      </c>
      <c r="J425" t="n">
        <v>0</v>
      </c>
      <c r="K425" t="n">
        <v>0</v>
      </c>
      <c r="L425" t="n">
        <v>0</v>
      </c>
      <c r="M425" t="n">
        <v>0</v>
      </c>
      <c r="N425" t="n">
        <v>0</v>
      </c>
      <c r="O425" t="n">
        <v>0</v>
      </c>
      <c r="P425" t="n">
        <v>0</v>
      </c>
      <c r="Q425" t="n">
        <v>0</v>
      </c>
      <c r="R425" s="2" t="inlineStr"/>
    </row>
    <row r="426" ht="15" customHeight="1">
      <c r="A426" t="inlineStr">
        <is>
          <t>A 54456-2024</t>
        </is>
      </c>
      <c r="B426" s="1" t="n">
        <v>45617.53160879629</v>
      </c>
      <c r="C426" s="1" t="n">
        <v>46002</v>
      </c>
      <c r="D426" t="inlineStr">
        <is>
          <t>VÄSTERNORRLANDS LÄN</t>
        </is>
      </c>
      <c r="E426" t="inlineStr">
        <is>
          <t>ÅNGE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31325-2022</t>
        </is>
      </c>
      <c r="B427" s="1" t="n">
        <v>44774.41421296296</v>
      </c>
      <c r="C427" s="1" t="n">
        <v>46002</v>
      </c>
      <c r="D427" t="inlineStr">
        <is>
          <t>VÄSTERNORRLANDS LÄN</t>
        </is>
      </c>
      <c r="E427" t="inlineStr">
        <is>
          <t>ÅNGE</t>
        </is>
      </c>
      <c r="G427" t="n">
        <v>6.3</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46002</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46002</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22411-2023</t>
        </is>
      </c>
      <c r="B430" s="1" t="n">
        <v>45070</v>
      </c>
      <c r="C430" s="1" t="n">
        <v>46002</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24232-2024</t>
        </is>
      </c>
      <c r="B431" s="1" t="n">
        <v>45457.34686342593</v>
      </c>
      <c r="C431" s="1" t="n">
        <v>46002</v>
      </c>
      <c r="D431" t="inlineStr">
        <is>
          <t>VÄSTERNORRLANDS LÄN</t>
        </is>
      </c>
      <c r="E431" t="inlineStr">
        <is>
          <t>ÅNGE</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46002</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60368-2024</t>
        </is>
      </c>
      <c r="B433" s="1" t="n">
        <v>45643</v>
      </c>
      <c r="C433" s="1" t="n">
        <v>46002</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9382-2025</t>
        </is>
      </c>
      <c r="B434" s="1" t="n">
        <v>45715.34425925926</v>
      </c>
      <c r="C434" s="1" t="n">
        <v>46002</v>
      </c>
      <c r="D434" t="inlineStr">
        <is>
          <t>VÄSTERNORRLANDS LÄN</t>
        </is>
      </c>
      <c r="E434" t="inlineStr">
        <is>
          <t>ÅNGE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56434-2021</t>
        </is>
      </c>
      <c r="B435" s="1" t="n">
        <v>44477</v>
      </c>
      <c r="C435" s="1" t="n">
        <v>46002</v>
      </c>
      <c r="D435" t="inlineStr">
        <is>
          <t>VÄSTERNORRLANDS LÄN</t>
        </is>
      </c>
      <c r="E435" t="inlineStr">
        <is>
          <t>ÅNGE</t>
        </is>
      </c>
      <c r="G435" t="n">
        <v>2.7</v>
      </c>
      <c r="H435" t="n">
        <v>0</v>
      </c>
      <c r="I435" t="n">
        <v>0</v>
      </c>
      <c r="J435" t="n">
        <v>0</v>
      </c>
      <c r="K435" t="n">
        <v>0</v>
      </c>
      <c r="L435" t="n">
        <v>0</v>
      </c>
      <c r="M435" t="n">
        <v>0</v>
      </c>
      <c r="N435" t="n">
        <v>0</v>
      </c>
      <c r="O435" t="n">
        <v>0</v>
      </c>
      <c r="P435" t="n">
        <v>0</v>
      </c>
      <c r="Q435" t="n">
        <v>0</v>
      </c>
      <c r="R435" s="2" t="inlineStr"/>
    </row>
    <row r="436" ht="15" customHeight="1">
      <c r="A436" t="inlineStr">
        <is>
          <t>A 18067-2025</t>
        </is>
      </c>
      <c r="B436" s="1" t="n">
        <v>45761.49016203704</v>
      </c>
      <c r="C436" s="1" t="n">
        <v>46002</v>
      </c>
      <c r="D436" t="inlineStr">
        <is>
          <t>VÄSTERNORRLANDS LÄN</t>
        </is>
      </c>
      <c r="E436" t="inlineStr">
        <is>
          <t>ÅNGE</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22926-2025</t>
        </is>
      </c>
      <c r="B437" s="1" t="n">
        <v>45790</v>
      </c>
      <c r="C437" s="1" t="n">
        <v>46002</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22928-2025</t>
        </is>
      </c>
      <c r="B438" s="1" t="n">
        <v>45790.44825231482</v>
      </c>
      <c r="C438" s="1" t="n">
        <v>46002</v>
      </c>
      <c r="D438" t="inlineStr">
        <is>
          <t>VÄSTERNORRLANDS LÄN</t>
        </is>
      </c>
      <c r="E438" t="inlineStr">
        <is>
          <t>ÅNGE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46775-2024</t>
        </is>
      </c>
      <c r="B439" s="1" t="n">
        <v>45583.49711805556</v>
      </c>
      <c r="C439" s="1" t="n">
        <v>46002</v>
      </c>
      <c r="D439" t="inlineStr">
        <is>
          <t>VÄSTERNORRLANDS LÄN</t>
        </is>
      </c>
      <c r="E439" t="inlineStr">
        <is>
          <t>ÅNGE</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46780-2024</t>
        </is>
      </c>
      <c r="B440" s="1" t="n">
        <v>45583.51076388889</v>
      </c>
      <c r="C440" s="1" t="n">
        <v>46002</v>
      </c>
      <c r="D440" t="inlineStr">
        <is>
          <t>VÄSTERNORRLANDS LÄN</t>
        </is>
      </c>
      <c r="E440" t="inlineStr">
        <is>
          <t>ÅNGE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23748-2025</t>
        </is>
      </c>
      <c r="B441" s="1" t="n">
        <v>45793.44755787037</v>
      </c>
      <c r="C441" s="1" t="n">
        <v>46002</v>
      </c>
      <c r="D441" t="inlineStr">
        <is>
          <t>VÄSTERNORRLANDS LÄN</t>
        </is>
      </c>
      <c r="E441" t="inlineStr">
        <is>
          <t>ÅNGE</t>
        </is>
      </c>
      <c r="F441" t="inlineStr">
        <is>
          <t>Sveaskog</t>
        </is>
      </c>
      <c r="G441" t="n">
        <v>6.5</v>
      </c>
      <c r="H441" t="n">
        <v>0</v>
      </c>
      <c r="I441" t="n">
        <v>0</v>
      </c>
      <c r="J441" t="n">
        <v>0</v>
      </c>
      <c r="K441" t="n">
        <v>0</v>
      </c>
      <c r="L441" t="n">
        <v>0</v>
      </c>
      <c r="M441" t="n">
        <v>0</v>
      </c>
      <c r="N441" t="n">
        <v>0</v>
      </c>
      <c r="O441" t="n">
        <v>0</v>
      </c>
      <c r="P441" t="n">
        <v>0</v>
      </c>
      <c r="Q441" t="n">
        <v>0</v>
      </c>
      <c r="R441" s="2" t="inlineStr"/>
    </row>
    <row r="442" ht="15" customHeight="1">
      <c r="A442" t="inlineStr">
        <is>
          <t>A 11396-2024</t>
        </is>
      </c>
      <c r="B442" s="1" t="n">
        <v>45372</v>
      </c>
      <c r="C442" s="1" t="n">
        <v>46002</v>
      </c>
      <c r="D442" t="inlineStr">
        <is>
          <t>VÄSTERNORRLANDS LÄN</t>
        </is>
      </c>
      <c r="E442" t="inlineStr">
        <is>
          <t>ÅNGE</t>
        </is>
      </c>
      <c r="G442" t="n">
        <v>2.2</v>
      </c>
      <c r="H442" t="n">
        <v>0</v>
      </c>
      <c r="I442" t="n">
        <v>0</v>
      </c>
      <c r="J442" t="n">
        <v>0</v>
      </c>
      <c r="K442" t="n">
        <v>0</v>
      </c>
      <c r="L442" t="n">
        <v>0</v>
      </c>
      <c r="M442" t="n">
        <v>0</v>
      </c>
      <c r="N442" t="n">
        <v>0</v>
      </c>
      <c r="O442" t="n">
        <v>0</v>
      </c>
      <c r="P442" t="n">
        <v>0</v>
      </c>
      <c r="Q442" t="n">
        <v>0</v>
      </c>
      <c r="R442" s="2" t="inlineStr"/>
    </row>
    <row r="443" ht="15" customHeight="1">
      <c r="A443" t="inlineStr">
        <is>
          <t>A 23589-2025</t>
        </is>
      </c>
      <c r="B443" s="1" t="n">
        <v>45792.63618055556</v>
      </c>
      <c r="C443" s="1" t="n">
        <v>46002</v>
      </c>
      <c r="D443" t="inlineStr">
        <is>
          <t>VÄSTERNORRLANDS LÄN</t>
        </is>
      </c>
      <c r="E443" t="inlineStr">
        <is>
          <t>ÅNGE</t>
        </is>
      </c>
      <c r="F443" t="inlineStr">
        <is>
          <t>SCA</t>
        </is>
      </c>
      <c r="G443" t="n">
        <v>10.7</v>
      </c>
      <c r="H443" t="n">
        <v>0</v>
      </c>
      <c r="I443" t="n">
        <v>0</v>
      </c>
      <c r="J443" t="n">
        <v>0</v>
      </c>
      <c r="K443" t="n">
        <v>0</v>
      </c>
      <c r="L443" t="n">
        <v>0</v>
      </c>
      <c r="M443" t="n">
        <v>0</v>
      </c>
      <c r="N443" t="n">
        <v>0</v>
      </c>
      <c r="O443" t="n">
        <v>0</v>
      </c>
      <c r="P443" t="n">
        <v>0</v>
      </c>
      <c r="Q443" t="n">
        <v>0</v>
      </c>
      <c r="R443" s="2" t="inlineStr"/>
    </row>
    <row r="444" ht="15" customHeight="1">
      <c r="A444" t="inlineStr">
        <is>
          <t>A 41355-2024</t>
        </is>
      </c>
      <c r="B444" s="1" t="n">
        <v>45559.69833333333</v>
      </c>
      <c r="C444" s="1" t="n">
        <v>46002</v>
      </c>
      <c r="D444" t="inlineStr">
        <is>
          <t>VÄSTERNORRLANDS LÄN</t>
        </is>
      </c>
      <c r="E444" t="inlineStr">
        <is>
          <t>ÅNGE</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15778-2025</t>
        </is>
      </c>
      <c r="B445" s="1" t="n">
        <v>45748.60030092593</v>
      </c>
      <c r="C445" s="1" t="n">
        <v>46002</v>
      </c>
      <c r="D445" t="inlineStr">
        <is>
          <t>VÄSTERNORRLANDS LÄN</t>
        </is>
      </c>
      <c r="E445" t="inlineStr">
        <is>
          <t>ÅNGE</t>
        </is>
      </c>
      <c r="F445" t="inlineStr">
        <is>
          <t>SCA</t>
        </is>
      </c>
      <c r="G445" t="n">
        <v>13.6</v>
      </c>
      <c r="H445" t="n">
        <v>0</v>
      </c>
      <c r="I445" t="n">
        <v>0</v>
      </c>
      <c r="J445" t="n">
        <v>0</v>
      </c>
      <c r="K445" t="n">
        <v>0</v>
      </c>
      <c r="L445" t="n">
        <v>0</v>
      </c>
      <c r="M445" t="n">
        <v>0</v>
      </c>
      <c r="N445" t="n">
        <v>0</v>
      </c>
      <c r="O445" t="n">
        <v>0</v>
      </c>
      <c r="P445" t="n">
        <v>0</v>
      </c>
      <c r="Q445" t="n">
        <v>0</v>
      </c>
      <c r="R445" s="2" t="inlineStr"/>
    </row>
    <row r="446" ht="15" customHeight="1">
      <c r="A446" t="inlineStr">
        <is>
          <t>A 732-2023</t>
        </is>
      </c>
      <c r="B446" s="1" t="n">
        <v>44931.29981481482</v>
      </c>
      <c r="C446" s="1" t="n">
        <v>46002</v>
      </c>
      <c r="D446" t="inlineStr">
        <is>
          <t>VÄSTERNORRLANDS LÄN</t>
        </is>
      </c>
      <c r="E446" t="inlineStr">
        <is>
          <t>ÅNGE</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23495-2025</t>
        </is>
      </c>
      <c r="B447" s="1" t="n">
        <v>45792.46967592592</v>
      </c>
      <c r="C447" s="1" t="n">
        <v>46002</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23580-2025</t>
        </is>
      </c>
      <c r="B448" s="1" t="n">
        <v>45792.62555555555</v>
      </c>
      <c r="C448" s="1" t="n">
        <v>46002</v>
      </c>
      <c r="D448" t="inlineStr">
        <is>
          <t>VÄSTERNORRLANDS LÄN</t>
        </is>
      </c>
      <c r="E448" t="inlineStr">
        <is>
          <t>ÅNGE</t>
        </is>
      </c>
      <c r="F448" t="inlineStr">
        <is>
          <t>Kyrkan</t>
        </is>
      </c>
      <c r="G448" t="n">
        <v>2.6</v>
      </c>
      <c r="H448" t="n">
        <v>0</v>
      </c>
      <c r="I448" t="n">
        <v>0</v>
      </c>
      <c r="J448" t="n">
        <v>0</v>
      </c>
      <c r="K448" t="n">
        <v>0</v>
      </c>
      <c r="L448" t="n">
        <v>0</v>
      </c>
      <c r="M448" t="n">
        <v>0</v>
      </c>
      <c r="N448" t="n">
        <v>0</v>
      </c>
      <c r="O448" t="n">
        <v>0</v>
      </c>
      <c r="P448" t="n">
        <v>0</v>
      </c>
      <c r="Q448" t="n">
        <v>0</v>
      </c>
      <c r="R448" s="2" t="inlineStr"/>
    </row>
    <row r="449" ht="15" customHeight="1">
      <c r="A449" t="inlineStr">
        <is>
          <t>A 23590-2025</t>
        </is>
      </c>
      <c r="B449" s="1" t="n">
        <v>45792.63627314815</v>
      </c>
      <c r="C449" s="1" t="n">
        <v>46002</v>
      </c>
      <c r="D449" t="inlineStr">
        <is>
          <t>VÄSTERNORRLANDS LÄN</t>
        </is>
      </c>
      <c r="E449" t="inlineStr">
        <is>
          <t>ÅNGE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23573-2025</t>
        </is>
      </c>
      <c r="B450" s="1" t="n">
        <v>45792.61497685185</v>
      </c>
      <c r="C450" s="1" t="n">
        <v>46002</v>
      </c>
      <c r="D450" t="inlineStr">
        <is>
          <t>VÄSTERNORRLANDS LÄN</t>
        </is>
      </c>
      <c r="E450" t="inlineStr">
        <is>
          <t>ÅNGE</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23552-2025</t>
        </is>
      </c>
      <c r="B451" s="1" t="n">
        <v>45792.5738425926</v>
      </c>
      <c r="C451" s="1" t="n">
        <v>46002</v>
      </c>
      <c r="D451" t="inlineStr">
        <is>
          <t>VÄSTERNORRLANDS LÄN</t>
        </is>
      </c>
      <c r="E451" t="inlineStr">
        <is>
          <t>ÅNGE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58943-2022</t>
        </is>
      </c>
      <c r="B452" s="1" t="n">
        <v>44903.64400462963</v>
      </c>
      <c r="C452" s="1" t="n">
        <v>46002</v>
      </c>
      <c r="D452" t="inlineStr">
        <is>
          <t>VÄSTERNORRLANDS LÄN</t>
        </is>
      </c>
      <c r="E452" t="inlineStr">
        <is>
          <t>ÅNGE</t>
        </is>
      </c>
      <c r="G452" t="n">
        <v>5.6</v>
      </c>
      <c r="H452" t="n">
        <v>0</v>
      </c>
      <c r="I452" t="n">
        <v>0</v>
      </c>
      <c r="J452" t="n">
        <v>0</v>
      </c>
      <c r="K452" t="n">
        <v>0</v>
      </c>
      <c r="L452" t="n">
        <v>0</v>
      </c>
      <c r="M452" t="n">
        <v>0</v>
      </c>
      <c r="N452" t="n">
        <v>0</v>
      </c>
      <c r="O452" t="n">
        <v>0</v>
      </c>
      <c r="P452" t="n">
        <v>0</v>
      </c>
      <c r="Q452" t="n">
        <v>0</v>
      </c>
      <c r="R452" s="2" t="inlineStr"/>
    </row>
    <row r="453" ht="15" customHeight="1">
      <c r="A453" t="inlineStr">
        <is>
          <t>A 29462-2024</t>
        </is>
      </c>
      <c r="B453" s="1" t="n">
        <v>45483.96979166667</v>
      </c>
      <c r="C453" s="1" t="n">
        <v>46002</v>
      </c>
      <c r="D453" t="inlineStr">
        <is>
          <t>VÄSTERNORRLANDS LÄN</t>
        </is>
      </c>
      <c r="E453" t="inlineStr">
        <is>
          <t>ÅNGE</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3352-2021</t>
        </is>
      </c>
      <c r="B454" s="1" t="n">
        <v>44217</v>
      </c>
      <c r="C454" s="1" t="n">
        <v>46002</v>
      </c>
      <c r="D454" t="inlineStr">
        <is>
          <t>VÄSTERNORRLANDS LÄN</t>
        </is>
      </c>
      <c r="E454" t="inlineStr">
        <is>
          <t>ÅNGE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23529-2025</t>
        </is>
      </c>
      <c r="B455" s="1" t="n">
        <v>45792.53158564815</v>
      </c>
      <c r="C455" s="1" t="n">
        <v>46002</v>
      </c>
      <c r="D455" t="inlineStr">
        <is>
          <t>VÄSTERNORRLANDS LÄN</t>
        </is>
      </c>
      <c r="E455" t="inlineStr">
        <is>
          <t>ÅNGE</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60004-2023</t>
        </is>
      </c>
      <c r="B456" s="1" t="n">
        <v>45257</v>
      </c>
      <c r="C456" s="1" t="n">
        <v>46002</v>
      </c>
      <c r="D456" t="inlineStr">
        <is>
          <t>VÄSTERNORRLANDS LÄN</t>
        </is>
      </c>
      <c r="E456" t="inlineStr">
        <is>
          <t>ÅNGE</t>
        </is>
      </c>
      <c r="F456" t="inlineStr">
        <is>
          <t>SCA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4142-2024</t>
        </is>
      </c>
      <c r="B457" s="1" t="n">
        <v>45323</v>
      </c>
      <c r="C457" s="1" t="n">
        <v>46002</v>
      </c>
      <c r="D457" t="inlineStr">
        <is>
          <t>VÄSTERNORRLANDS LÄN</t>
        </is>
      </c>
      <c r="E457" t="inlineStr">
        <is>
          <t>ÅNGE</t>
        </is>
      </c>
      <c r="G457" t="n">
        <v>1</v>
      </c>
      <c r="H457" t="n">
        <v>0</v>
      </c>
      <c r="I457" t="n">
        <v>0</v>
      </c>
      <c r="J457" t="n">
        <v>0</v>
      </c>
      <c r="K457" t="n">
        <v>0</v>
      </c>
      <c r="L457" t="n">
        <v>0</v>
      </c>
      <c r="M457" t="n">
        <v>0</v>
      </c>
      <c r="N457" t="n">
        <v>0</v>
      </c>
      <c r="O457" t="n">
        <v>0</v>
      </c>
      <c r="P457" t="n">
        <v>0</v>
      </c>
      <c r="Q457" t="n">
        <v>0</v>
      </c>
      <c r="R457" s="2" t="inlineStr"/>
    </row>
    <row r="458" ht="15" customHeight="1">
      <c r="A458" t="inlineStr">
        <is>
          <t>A 38693-2025</t>
        </is>
      </c>
      <c r="B458" s="1" t="n">
        <v>45884.69829861111</v>
      </c>
      <c r="C458" s="1" t="n">
        <v>46002</v>
      </c>
      <c r="D458" t="inlineStr">
        <is>
          <t>VÄSTERNORRLANDS LÄN</t>
        </is>
      </c>
      <c r="E458" t="inlineStr">
        <is>
          <t>ÅNGE</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39764-2024</t>
        </is>
      </c>
      <c r="B459" s="1" t="n">
        <v>45552.7190162037</v>
      </c>
      <c r="C459" s="1" t="n">
        <v>46002</v>
      </c>
      <c r="D459" t="inlineStr">
        <is>
          <t>VÄSTERNORRLANDS LÄN</t>
        </is>
      </c>
      <c r="E459" t="inlineStr">
        <is>
          <t>ÅNGE</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38703-2025</t>
        </is>
      </c>
      <c r="B460" s="1" t="n">
        <v>45885.34440972222</v>
      </c>
      <c r="C460" s="1" t="n">
        <v>46002</v>
      </c>
      <c r="D460" t="inlineStr">
        <is>
          <t>VÄSTERNORRLANDS LÄN</t>
        </is>
      </c>
      <c r="E460" t="inlineStr">
        <is>
          <t>ÅNGE</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38711-2025</t>
        </is>
      </c>
      <c r="B461" s="1" t="n">
        <v>45886.34450231482</v>
      </c>
      <c r="C461" s="1" t="n">
        <v>46002</v>
      </c>
      <c r="D461" t="inlineStr">
        <is>
          <t>VÄSTERNORRLANDS LÄN</t>
        </is>
      </c>
      <c r="E461" t="inlineStr">
        <is>
          <t>ÅNGE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38715-2025</t>
        </is>
      </c>
      <c r="B462" s="1" t="n">
        <v>45886.34501157407</v>
      </c>
      <c r="C462" s="1" t="n">
        <v>46002</v>
      </c>
      <c r="D462" t="inlineStr">
        <is>
          <t>VÄSTERNORRLANDS LÄN</t>
        </is>
      </c>
      <c r="E462" t="inlineStr">
        <is>
          <t>ÅNGE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39843-2023</t>
        </is>
      </c>
      <c r="B463" s="1" t="n">
        <v>45168</v>
      </c>
      <c r="C463" s="1" t="n">
        <v>46002</v>
      </c>
      <c r="D463" t="inlineStr">
        <is>
          <t>VÄSTERNORRLANDS LÄN</t>
        </is>
      </c>
      <c r="E463" t="inlineStr">
        <is>
          <t>ÅNGE</t>
        </is>
      </c>
      <c r="G463" t="n">
        <v>2.1</v>
      </c>
      <c r="H463" t="n">
        <v>0</v>
      </c>
      <c r="I463" t="n">
        <v>0</v>
      </c>
      <c r="J463" t="n">
        <v>0</v>
      </c>
      <c r="K463" t="n">
        <v>0</v>
      </c>
      <c r="L463" t="n">
        <v>0</v>
      </c>
      <c r="M463" t="n">
        <v>0</v>
      </c>
      <c r="N463" t="n">
        <v>0</v>
      </c>
      <c r="O463" t="n">
        <v>0</v>
      </c>
      <c r="P463" t="n">
        <v>0</v>
      </c>
      <c r="Q463" t="n">
        <v>0</v>
      </c>
      <c r="R463" s="2" t="inlineStr"/>
    </row>
    <row r="464" ht="15" customHeight="1">
      <c r="A464" t="inlineStr">
        <is>
          <t>A 55177-2024</t>
        </is>
      </c>
      <c r="B464" s="1" t="n">
        <v>45621.53179398148</v>
      </c>
      <c r="C464" s="1" t="n">
        <v>46002</v>
      </c>
      <c r="D464" t="inlineStr">
        <is>
          <t>VÄSTERNORRLANDS LÄN</t>
        </is>
      </c>
      <c r="E464" t="inlineStr">
        <is>
          <t>ÅNGE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23899-2025</t>
        </is>
      </c>
      <c r="B465" s="1" t="n">
        <v>45794.34414351852</v>
      </c>
      <c r="C465" s="1" t="n">
        <v>46002</v>
      </c>
      <c r="D465" t="inlineStr">
        <is>
          <t>VÄSTERNORRLANDS LÄN</t>
        </is>
      </c>
      <c r="E465" t="inlineStr">
        <is>
          <t>ÅNGE</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54079-2023</t>
        </is>
      </c>
      <c r="B466" s="1" t="n">
        <v>45231</v>
      </c>
      <c r="C466" s="1" t="n">
        <v>46002</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24357-2025</t>
        </is>
      </c>
      <c r="B467" s="1" t="n">
        <v>45797.59467592592</v>
      </c>
      <c r="C467" s="1" t="n">
        <v>46002</v>
      </c>
      <c r="D467" t="inlineStr">
        <is>
          <t>VÄSTERNORRLANDS LÄN</t>
        </is>
      </c>
      <c r="E467" t="inlineStr">
        <is>
          <t>ÅNGE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24292-2025</t>
        </is>
      </c>
      <c r="B468" s="1" t="n">
        <v>45797.46657407407</v>
      </c>
      <c r="C468" s="1" t="n">
        <v>46002</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33305-2024</t>
        </is>
      </c>
      <c r="B469" s="1" t="n">
        <v>45518</v>
      </c>
      <c r="C469" s="1" t="n">
        <v>46002</v>
      </c>
      <c r="D469" t="inlineStr">
        <is>
          <t>VÄSTERNORRLANDS LÄN</t>
        </is>
      </c>
      <c r="E469" t="inlineStr">
        <is>
          <t>ÅNGE</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33306-2024</t>
        </is>
      </c>
      <c r="B470" s="1" t="n">
        <v>45518</v>
      </c>
      <c r="C470" s="1" t="n">
        <v>46002</v>
      </c>
      <c r="D470" t="inlineStr">
        <is>
          <t>VÄSTERNORRLANDS LÄN</t>
        </is>
      </c>
      <c r="E470" t="inlineStr">
        <is>
          <t>ÅNGE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24008-2025</t>
        </is>
      </c>
      <c r="B471" s="1" t="n">
        <v>45796.43841435185</v>
      </c>
      <c r="C471" s="1" t="n">
        <v>46002</v>
      </c>
      <c r="D471" t="inlineStr">
        <is>
          <t>VÄSTERNORRLANDS LÄN</t>
        </is>
      </c>
      <c r="E471" t="inlineStr">
        <is>
          <t>ÅNGE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29270-2024</t>
        </is>
      </c>
      <c r="B472" s="1" t="n">
        <v>45482.94979166667</v>
      </c>
      <c r="C472" s="1" t="n">
        <v>46002</v>
      </c>
      <c r="D472" t="inlineStr">
        <is>
          <t>VÄSTERNORRLANDS LÄN</t>
        </is>
      </c>
      <c r="E472" t="inlineStr">
        <is>
          <t>ÅNGE</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41575-2024</t>
        </is>
      </c>
      <c r="B473" s="1" t="n">
        <v>45560.55106481481</v>
      </c>
      <c r="C473" s="1" t="n">
        <v>46002</v>
      </c>
      <c r="D473" t="inlineStr">
        <is>
          <t>VÄSTERNORRLANDS LÄN</t>
        </is>
      </c>
      <c r="E473" t="inlineStr">
        <is>
          <t>ÅNGE</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28506-2024</t>
        </is>
      </c>
      <c r="B474" s="1" t="n">
        <v>45477.9475</v>
      </c>
      <c r="C474" s="1" t="n">
        <v>46002</v>
      </c>
      <c r="D474" t="inlineStr">
        <is>
          <t>VÄSTERNORRLANDS LÄN</t>
        </is>
      </c>
      <c r="E474" t="inlineStr">
        <is>
          <t>ÅNGE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19007-2025</t>
        </is>
      </c>
      <c r="B475" s="1" t="n">
        <v>45764.58515046296</v>
      </c>
      <c r="C475" s="1" t="n">
        <v>46002</v>
      </c>
      <c r="D475" t="inlineStr">
        <is>
          <t>VÄSTERNORRLANDS LÄN</t>
        </is>
      </c>
      <c r="E475" t="inlineStr">
        <is>
          <t>ÅNGE</t>
        </is>
      </c>
      <c r="G475" t="n">
        <v>3.7</v>
      </c>
      <c r="H475" t="n">
        <v>0</v>
      </c>
      <c r="I475" t="n">
        <v>0</v>
      </c>
      <c r="J475" t="n">
        <v>0</v>
      </c>
      <c r="K475" t="n">
        <v>0</v>
      </c>
      <c r="L475" t="n">
        <v>0</v>
      </c>
      <c r="M475" t="n">
        <v>0</v>
      </c>
      <c r="N475" t="n">
        <v>0</v>
      </c>
      <c r="O475" t="n">
        <v>0</v>
      </c>
      <c r="P475" t="n">
        <v>0</v>
      </c>
      <c r="Q475" t="n">
        <v>0</v>
      </c>
      <c r="R475" s="2" t="inlineStr"/>
    </row>
    <row r="476" ht="15" customHeight="1">
      <c r="A476" t="inlineStr">
        <is>
          <t>A 41741-2023</t>
        </is>
      </c>
      <c r="B476" s="1" t="n">
        <v>45176.42164351852</v>
      </c>
      <c r="C476" s="1" t="n">
        <v>46002</v>
      </c>
      <c r="D476" t="inlineStr">
        <is>
          <t>VÄSTERNORRLANDS LÄN</t>
        </is>
      </c>
      <c r="E476" t="inlineStr">
        <is>
          <t>ÅNGE</t>
        </is>
      </c>
      <c r="G476" t="n">
        <v>7.8</v>
      </c>
      <c r="H476" t="n">
        <v>0</v>
      </c>
      <c r="I476" t="n">
        <v>0</v>
      </c>
      <c r="J476" t="n">
        <v>0</v>
      </c>
      <c r="K476" t="n">
        <v>0</v>
      </c>
      <c r="L476" t="n">
        <v>0</v>
      </c>
      <c r="M476" t="n">
        <v>0</v>
      </c>
      <c r="N476" t="n">
        <v>0</v>
      </c>
      <c r="O476" t="n">
        <v>0</v>
      </c>
      <c r="P476" t="n">
        <v>0</v>
      </c>
      <c r="Q476" t="n">
        <v>0</v>
      </c>
      <c r="R476" s="2" t="inlineStr"/>
    </row>
    <row r="477" ht="15" customHeight="1">
      <c r="A477" t="inlineStr">
        <is>
          <t>A 29702-2024</t>
        </is>
      </c>
      <c r="B477" s="1" t="n">
        <v>45485.31525462963</v>
      </c>
      <c r="C477" s="1" t="n">
        <v>46002</v>
      </c>
      <c r="D477" t="inlineStr">
        <is>
          <t>VÄSTERNORRLANDS LÄN</t>
        </is>
      </c>
      <c r="E477" t="inlineStr">
        <is>
          <t>ÅNGE</t>
        </is>
      </c>
      <c r="G477" t="n">
        <v>2.6</v>
      </c>
      <c r="H477" t="n">
        <v>0</v>
      </c>
      <c r="I477" t="n">
        <v>0</v>
      </c>
      <c r="J477" t="n">
        <v>0</v>
      </c>
      <c r="K477" t="n">
        <v>0</v>
      </c>
      <c r="L477" t="n">
        <v>0</v>
      </c>
      <c r="M477" t="n">
        <v>0</v>
      </c>
      <c r="N477" t="n">
        <v>0</v>
      </c>
      <c r="O477" t="n">
        <v>0</v>
      </c>
      <c r="P477" t="n">
        <v>0</v>
      </c>
      <c r="Q477" t="n">
        <v>0</v>
      </c>
      <c r="R477" s="2" t="inlineStr"/>
    </row>
    <row r="478" ht="15" customHeight="1">
      <c r="A478" t="inlineStr">
        <is>
          <t>A 23069-2024</t>
        </is>
      </c>
      <c r="B478" s="1" t="n">
        <v>45450</v>
      </c>
      <c r="C478" s="1" t="n">
        <v>46002</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24209-2025</t>
        </is>
      </c>
      <c r="B479" s="1" t="n">
        <v>45797.3446875</v>
      </c>
      <c r="C479" s="1" t="n">
        <v>46002</v>
      </c>
      <c r="D479" t="inlineStr">
        <is>
          <t>VÄSTERNORRLANDS LÄN</t>
        </is>
      </c>
      <c r="E479" t="inlineStr">
        <is>
          <t>ÅNGE</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10781-2024</t>
        </is>
      </c>
      <c r="B480" s="1" t="n">
        <v>45369.59635416666</v>
      </c>
      <c r="C480" s="1" t="n">
        <v>46002</v>
      </c>
      <c r="D480" t="inlineStr">
        <is>
          <t>VÄSTERNORRLANDS LÄN</t>
        </is>
      </c>
      <c r="E480" t="inlineStr">
        <is>
          <t>ÅNGE</t>
        </is>
      </c>
      <c r="G480" t="n">
        <v>1.9</v>
      </c>
      <c r="H480" t="n">
        <v>0</v>
      </c>
      <c r="I480" t="n">
        <v>0</v>
      </c>
      <c r="J480" t="n">
        <v>0</v>
      </c>
      <c r="K480" t="n">
        <v>0</v>
      </c>
      <c r="L480" t="n">
        <v>0</v>
      </c>
      <c r="M480" t="n">
        <v>0</v>
      </c>
      <c r="N480" t="n">
        <v>0</v>
      </c>
      <c r="O480" t="n">
        <v>0</v>
      </c>
      <c r="P480" t="n">
        <v>0</v>
      </c>
      <c r="Q480" t="n">
        <v>0</v>
      </c>
      <c r="R480" s="2" t="inlineStr"/>
    </row>
    <row r="481" ht="15" customHeight="1">
      <c r="A481" t="inlineStr">
        <is>
          <t>A 38686-2025</t>
        </is>
      </c>
      <c r="B481" s="1" t="n">
        <v>45884.65658564815</v>
      </c>
      <c r="C481" s="1" t="n">
        <v>46002</v>
      </c>
      <c r="D481" t="inlineStr">
        <is>
          <t>VÄSTERNORRLANDS LÄN</t>
        </is>
      </c>
      <c r="E481" t="inlineStr">
        <is>
          <t>ÅNGE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23975-2025</t>
        </is>
      </c>
      <c r="B482" s="1" t="n">
        <v>45796.38614583333</v>
      </c>
      <c r="C482" s="1" t="n">
        <v>46002</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23976-2025</t>
        </is>
      </c>
      <c r="B483" s="1" t="n">
        <v>45796.38625</v>
      </c>
      <c r="C483" s="1" t="n">
        <v>46002</v>
      </c>
      <c r="D483" t="inlineStr">
        <is>
          <t>VÄSTERNORRLANDS LÄN</t>
        </is>
      </c>
      <c r="E483" t="inlineStr">
        <is>
          <t>ÅNGE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57516-2023</t>
        </is>
      </c>
      <c r="B484" s="1" t="n">
        <v>45246.44665509259</v>
      </c>
      <c r="C484" s="1" t="n">
        <v>46002</v>
      </c>
      <c r="D484" t="inlineStr">
        <is>
          <t>VÄSTERNORRLANDS LÄN</t>
        </is>
      </c>
      <c r="E484" t="inlineStr">
        <is>
          <t>ÅNGE</t>
        </is>
      </c>
      <c r="G484" t="n">
        <v>2.2</v>
      </c>
      <c r="H484" t="n">
        <v>0</v>
      </c>
      <c r="I484" t="n">
        <v>0</v>
      </c>
      <c r="J484" t="n">
        <v>0</v>
      </c>
      <c r="K484" t="n">
        <v>0</v>
      </c>
      <c r="L484" t="n">
        <v>0</v>
      </c>
      <c r="M484" t="n">
        <v>0</v>
      </c>
      <c r="N484" t="n">
        <v>0</v>
      </c>
      <c r="O484" t="n">
        <v>0</v>
      </c>
      <c r="P484" t="n">
        <v>0</v>
      </c>
      <c r="Q484" t="n">
        <v>0</v>
      </c>
      <c r="R484" s="2" t="inlineStr"/>
    </row>
    <row r="485" ht="15" customHeight="1">
      <c r="A485" t="inlineStr">
        <is>
          <t>A 26641-2024</t>
        </is>
      </c>
      <c r="B485" s="1" t="n">
        <v>45469.92836805555</v>
      </c>
      <c r="C485" s="1" t="n">
        <v>46002</v>
      </c>
      <c r="D485" t="inlineStr">
        <is>
          <t>VÄSTERNORRLANDS LÄN</t>
        </is>
      </c>
      <c r="E485" t="inlineStr">
        <is>
          <t>ÅNGE</t>
        </is>
      </c>
      <c r="G485" t="n">
        <v>4.5</v>
      </c>
      <c r="H485" t="n">
        <v>0</v>
      </c>
      <c r="I485" t="n">
        <v>0</v>
      </c>
      <c r="J485" t="n">
        <v>0</v>
      </c>
      <c r="K485" t="n">
        <v>0</v>
      </c>
      <c r="L485" t="n">
        <v>0</v>
      </c>
      <c r="M485" t="n">
        <v>0</v>
      </c>
      <c r="N485" t="n">
        <v>0</v>
      </c>
      <c r="O485" t="n">
        <v>0</v>
      </c>
      <c r="P485" t="n">
        <v>0</v>
      </c>
      <c r="Q485" t="n">
        <v>0</v>
      </c>
      <c r="R485" s="2" t="inlineStr"/>
    </row>
    <row r="486" ht="15" customHeight="1">
      <c r="A486" t="inlineStr">
        <is>
          <t>A 34861-2024</t>
        </is>
      </c>
      <c r="B486" s="1" t="n">
        <v>45527.339375</v>
      </c>
      <c r="C486" s="1" t="n">
        <v>46002</v>
      </c>
      <c r="D486" t="inlineStr">
        <is>
          <t>VÄSTERNORRLANDS LÄN</t>
        </is>
      </c>
      <c r="E486" t="inlineStr">
        <is>
          <t>ÅNGE</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37992-2024</t>
        </is>
      </c>
      <c r="B487" s="1" t="n">
        <v>45544.59524305556</v>
      </c>
      <c r="C487" s="1" t="n">
        <v>46002</v>
      </c>
      <c r="D487" t="inlineStr">
        <is>
          <t>VÄSTERNORRLANDS LÄN</t>
        </is>
      </c>
      <c r="E487" t="inlineStr">
        <is>
          <t>ÅNGE</t>
        </is>
      </c>
      <c r="G487" t="n">
        <v>3.9</v>
      </c>
      <c r="H487" t="n">
        <v>0</v>
      </c>
      <c r="I487" t="n">
        <v>0</v>
      </c>
      <c r="J487" t="n">
        <v>0</v>
      </c>
      <c r="K487" t="n">
        <v>0</v>
      </c>
      <c r="L487" t="n">
        <v>0</v>
      </c>
      <c r="M487" t="n">
        <v>0</v>
      </c>
      <c r="N487" t="n">
        <v>0</v>
      </c>
      <c r="O487" t="n">
        <v>0</v>
      </c>
      <c r="P487" t="n">
        <v>0</v>
      </c>
      <c r="Q487" t="n">
        <v>0</v>
      </c>
      <c r="R487" s="2" t="inlineStr"/>
    </row>
    <row r="488" ht="15" customHeight="1">
      <c r="A488" t="inlineStr">
        <is>
          <t>A 24207-2025</t>
        </is>
      </c>
      <c r="B488" s="1" t="n">
        <v>45797.34439814815</v>
      </c>
      <c r="C488" s="1" t="n">
        <v>46002</v>
      </c>
      <c r="D488" t="inlineStr">
        <is>
          <t>VÄSTERNORRLANDS LÄN</t>
        </is>
      </c>
      <c r="E488" t="inlineStr">
        <is>
          <t>ÅNGE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43145-2024</t>
        </is>
      </c>
      <c r="B489" s="1" t="n">
        <v>45567.63030092593</v>
      </c>
      <c r="C489" s="1" t="n">
        <v>46002</v>
      </c>
      <c r="D489" t="inlineStr">
        <is>
          <t>VÄSTERNORRLANDS LÄN</t>
        </is>
      </c>
      <c r="E489" t="inlineStr">
        <is>
          <t>ÅNGE</t>
        </is>
      </c>
      <c r="G489" t="n">
        <v>1.4</v>
      </c>
      <c r="H489" t="n">
        <v>0</v>
      </c>
      <c r="I489" t="n">
        <v>0</v>
      </c>
      <c r="J489" t="n">
        <v>0</v>
      </c>
      <c r="K489" t="n">
        <v>0</v>
      </c>
      <c r="L489" t="n">
        <v>0</v>
      </c>
      <c r="M489" t="n">
        <v>0</v>
      </c>
      <c r="N489" t="n">
        <v>0</v>
      </c>
      <c r="O489" t="n">
        <v>0</v>
      </c>
      <c r="P489" t="n">
        <v>0</v>
      </c>
      <c r="Q489" t="n">
        <v>0</v>
      </c>
      <c r="R489" s="2" t="inlineStr"/>
    </row>
    <row r="490" ht="15" customHeight="1">
      <c r="A490" t="inlineStr">
        <is>
          <t>A 23917-2025</t>
        </is>
      </c>
      <c r="B490" s="1" t="n">
        <v>45795.34481481482</v>
      </c>
      <c r="C490" s="1" t="n">
        <v>46002</v>
      </c>
      <c r="D490" t="inlineStr">
        <is>
          <t>VÄSTERNORRLANDS LÄN</t>
        </is>
      </c>
      <c r="E490" t="inlineStr">
        <is>
          <t>ÅNGE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23921-2025</t>
        </is>
      </c>
      <c r="B491" s="1" t="n">
        <v>45795.34513888889</v>
      </c>
      <c r="C491" s="1" t="n">
        <v>46002</v>
      </c>
      <c r="D491" t="inlineStr">
        <is>
          <t>VÄSTERNORRLANDS LÄN</t>
        </is>
      </c>
      <c r="E491" t="inlineStr">
        <is>
          <t>ÅNGE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61461-2023</t>
        </is>
      </c>
      <c r="B492" s="1" t="n">
        <v>45264.9261574074</v>
      </c>
      <c r="C492" s="1" t="n">
        <v>46002</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39005-2024</t>
        </is>
      </c>
      <c r="B493" s="1" t="n">
        <v>45548.42743055556</v>
      </c>
      <c r="C493" s="1" t="n">
        <v>46002</v>
      </c>
      <c r="D493" t="inlineStr">
        <is>
          <t>VÄSTERNORRLANDS LÄN</t>
        </is>
      </c>
      <c r="E493" t="inlineStr">
        <is>
          <t>ÅNGE</t>
        </is>
      </c>
      <c r="F493" t="inlineStr">
        <is>
          <t>SCA</t>
        </is>
      </c>
      <c r="G493" t="n">
        <v>2.6</v>
      </c>
      <c r="H493" t="n">
        <v>0</v>
      </c>
      <c r="I493" t="n">
        <v>0</v>
      </c>
      <c r="J493" t="n">
        <v>0</v>
      </c>
      <c r="K493" t="n">
        <v>0</v>
      </c>
      <c r="L493" t="n">
        <v>0</v>
      </c>
      <c r="M493" t="n">
        <v>0</v>
      </c>
      <c r="N493" t="n">
        <v>0</v>
      </c>
      <c r="O493" t="n">
        <v>0</v>
      </c>
      <c r="P493" t="n">
        <v>0</v>
      </c>
      <c r="Q493" t="n">
        <v>0</v>
      </c>
      <c r="R493" s="2" t="inlineStr"/>
      <c r="U493">
        <f>HYPERLINK("https://klasma.github.io/Logging_2260/knärot/A 39005-2024 karta knärot.png", "A 39005-2024")</f>
        <v/>
      </c>
      <c r="V493">
        <f>HYPERLINK("https://klasma.github.io/Logging_2260/klagomål/A 39005-2024 FSC-klagomål.docx", "A 39005-2024")</f>
        <v/>
      </c>
      <c r="W493">
        <f>HYPERLINK("https://klasma.github.io/Logging_2260/klagomålsmail/A 39005-2024 FSC-klagomål mail.docx", "A 39005-2024")</f>
        <v/>
      </c>
      <c r="X493">
        <f>HYPERLINK("https://klasma.github.io/Logging_2260/tillsyn/A 39005-2024 tillsynsbegäran.docx", "A 39005-2024")</f>
        <v/>
      </c>
      <c r="Y493">
        <f>HYPERLINK("https://klasma.github.io/Logging_2260/tillsynsmail/A 39005-2024 tillsynsbegäran mail.docx", "A 39005-2024")</f>
        <v/>
      </c>
    </row>
    <row r="494" ht="15" customHeight="1">
      <c r="A494" t="inlineStr">
        <is>
          <t>A 24232-2025</t>
        </is>
      </c>
      <c r="B494" s="1" t="n">
        <v>45797.37846064815</v>
      </c>
      <c r="C494" s="1" t="n">
        <v>46002</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56188-2024</t>
        </is>
      </c>
      <c r="B495" s="1" t="n">
        <v>45624.57800925926</v>
      </c>
      <c r="C495" s="1" t="n">
        <v>46002</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24458-2025</t>
        </is>
      </c>
      <c r="B496" s="1" t="n">
        <v>45798.34476851852</v>
      </c>
      <c r="C496" s="1" t="n">
        <v>46002</v>
      </c>
      <c r="D496" t="inlineStr">
        <is>
          <t>VÄSTERNORRLANDS LÄN</t>
        </is>
      </c>
      <c r="E496" t="inlineStr">
        <is>
          <t>ÅNGE</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24627-2025</t>
        </is>
      </c>
      <c r="B497" s="1" t="n">
        <v>45798.59471064815</v>
      </c>
      <c r="C497" s="1" t="n">
        <v>46002</v>
      </c>
      <c r="D497" t="inlineStr">
        <is>
          <t>VÄSTERNORRLANDS LÄN</t>
        </is>
      </c>
      <c r="E497" t="inlineStr">
        <is>
          <t>ÅNGE</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57593-2022</t>
        </is>
      </c>
      <c r="B498" s="1" t="n">
        <v>44896.97847222222</v>
      </c>
      <c r="C498" s="1" t="n">
        <v>46002</v>
      </c>
      <c r="D498" t="inlineStr">
        <is>
          <t>VÄSTERNORRLANDS LÄN</t>
        </is>
      </c>
      <c r="E498" t="inlineStr">
        <is>
          <t>ÅNGE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57596-2022</t>
        </is>
      </c>
      <c r="B499" s="1" t="n">
        <v>44896.97871527778</v>
      </c>
      <c r="C499" s="1" t="n">
        <v>46002</v>
      </c>
      <c r="D499" t="inlineStr">
        <is>
          <t>VÄSTERNORRLANDS LÄN</t>
        </is>
      </c>
      <c r="E499" t="inlineStr">
        <is>
          <t>ÅNGE</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57598-2022</t>
        </is>
      </c>
      <c r="B500" s="1" t="n">
        <v>44896</v>
      </c>
      <c r="C500" s="1" t="n">
        <v>46002</v>
      </c>
      <c r="D500" t="inlineStr">
        <is>
          <t>VÄSTERNORRLANDS LÄN</t>
        </is>
      </c>
      <c r="E500" t="inlineStr">
        <is>
          <t>ÅNGE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27853-2024</t>
        </is>
      </c>
      <c r="B501" s="1" t="n">
        <v>45475</v>
      </c>
      <c r="C501" s="1" t="n">
        <v>46002</v>
      </c>
      <c r="D501" t="inlineStr">
        <is>
          <t>VÄSTERNORRLANDS LÄN</t>
        </is>
      </c>
      <c r="E501" t="inlineStr">
        <is>
          <t>ÅNGE</t>
        </is>
      </c>
      <c r="G501" t="n">
        <v>3.7</v>
      </c>
      <c r="H501" t="n">
        <v>0</v>
      </c>
      <c r="I501" t="n">
        <v>0</v>
      </c>
      <c r="J501" t="n">
        <v>0</v>
      </c>
      <c r="K501" t="n">
        <v>0</v>
      </c>
      <c r="L501" t="n">
        <v>0</v>
      </c>
      <c r="M501" t="n">
        <v>0</v>
      </c>
      <c r="N501" t="n">
        <v>0</v>
      </c>
      <c r="O501" t="n">
        <v>0</v>
      </c>
      <c r="P501" t="n">
        <v>0</v>
      </c>
      <c r="Q501" t="n">
        <v>0</v>
      </c>
      <c r="R501" s="2" t="inlineStr"/>
    </row>
    <row r="502" ht="15" customHeight="1">
      <c r="A502" t="inlineStr">
        <is>
          <t>A 23063-2024</t>
        </is>
      </c>
      <c r="B502" s="1" t="n">
        <v>45450.44278935185</v>
      </c>
      <c r="C502" s="1" t="n">
        <v>46002</v>
      </c>
      <c r="D502" t="inlineStr">
        <is>
          <t>VÄSTERNORRLANDS LÄN</t>
        </is>
      </c>
      <c r="E502" t="inlineStr">
        <is>
          <t>ÅNGE</t>
        </is>
      </c>
      <c r="G502" t="n">
        <v>0.8</v>
      </c>
      <c r="H502" t="n">
        <v>0</v>
      </c>
      <c r="I502" t="n">
        <v>0</v>
      </c>
      <c r="J502" t="n">
        <v>0</v>
      </c>
      <c r="K502" t="n">
        <v>0</v>
      </c>
      <c r="L502" t="n">
        <v>0</v>
      </c>
      <c r="M502" t="n">
        <v>0</v>
      </c>
      <c r="N502" t="n">
        <v>0</v>
      </c>
      <c r="O502" t="n">
        <v>0</v>
      </c>
      <c r="P502" t="n">
        <v>0</v>
      </c>
      <c r="Q502" t="n">
        <v>0</v>
      </c>
      <c r="R502" s="2" t="inlineStr"/>
    </row>
    <row r="503" ht="15" customHeight="1">
      <c r="A503" t="inlineStr">
        <is>
          <t>A 24847-2025</t>
        </is>
      </c>
      <c r="B503" s="1" t="n">
        <v>45799.46907407408</v>
      </c>
      <c r="C503" s="1" t="n">
        <v>46002</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10558-2023</t>
        </is>
      </c>
      <c r="B504" s="1" t="n">
        <v>44987.94438657408</v>
      </c>
      <c r="C504" s="1" t="n">
        <v>46002</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25017-2025</t>
        </is>
      </c>
      <c r="B505" s="1" t="n">
        <v>45799.63791666667</v>
      </c>
      <c r="C505" s="1" t="n">
        <v>46002</v>
      </c>
      <c r="D505" t="inlineStr">
        <is>
          <t>VÄSTERNORRLANDS LÄN</t>
        </is>
      </c>
      <c r="E505" t="inlineStr">
        <is>
          <t>ÅNGE</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44158-2024</t>
        </is>
      </c>
      <c r="B506" s="1" t="n">
        <v>45572</v>
      </c>
      <c r="C506" s="1" t="n">
        <v>46002</v>
      </c>
      <c r="D506" t="inlineStr">
        <is>
          <t>VÄSTERNORRLANDS LÄN</t>
        </is>
      </c>
      <c r="E506" t="inlineStr">
        <is>
          <t>ÅNGE</t>
        </is>
      </c>
      <c r="G506" t="n">
        <v>2.6</v>
      </c>
      <c r="H506" t="n">
        <v>0</v>
      </c>
      <c r="I506" t="n">
        <v>0</v>
      </c>
      <c r="J506" t="n">
        <v>0</v>
      </c>
      <c r="K506" t="n">
        <v>0</v>
      </c>
      <c r="L506" t="n">
        <v>0</v>
      </c>
      <c r="M506" t="n">
        <v>0</v>
      </c>
      <c r="N506" t="n">
        <v>0</v>
      </c>
      <c r="O506" t="n">
        <v>0</v>
      </c>
      <c r="P506" t="n">
        <v>0</v>
      </c>
      <c r="Q506" t="n">
        <v>0</v>
      </c>
      <c r="R506" s="2" t="inlineStr"/>
    </row>
    <row r="507" ht="15" customHeight="1">
      <c r="A507" t="inlineStr">
        <is>
          <t>A 30054-2024</t>
        </is>
      </c>
      <c r="B507" s="1" t="n">
        <v>45488.94758101852</v>
      </c>
      <c r="C507" s="1" t="n">
        <v>46002</v>
      </c>
      <c r="D507" t="inlineStr">
        <is>
          <t>VÄSTERNORRLANDS LÄN</t>
        </is>
      </c>
      <c r="E507" t="inlineStr">
        <is>
          <t>ÅNGE</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27951-2021</t>
        </is>
      </c>
      <c r="B508" s="1" t="n">
        <v>44354</v>
      </c>
      <c r="C508" s="1" t="n">
        <v>46002</v>
      </c>
      <c r="D508" t="inlineStr">
        <is>
          <t>VÄSTERNORRLANDS LÄN</t>
        </is>
      </c>
      <c r="E508" t="inlineStr">
        <is>
          <t>ÅNGE</t>
        </is>
      </c>
      <c r="G508" t="n">
        <v>3</v>
      </c>
      <c r="H508" t="n">
        <v>0</v>
      </c>
      <c r="I508" t="n">
        <v>0</v>
      </c>
      <c r="J508" t="n">
        <v>0</v>
      </c>
      <c r="K508" t="n">
        <v>0</v>
      </c>
      <c r="L508" t="n">
        <v>0</v>
      </c>
      <c r="M508" t="n">
        <v>0</v>
      </c>
      <c r="N508" t="n">
        <v>0</v>
      </c>
      <c r="O508" t="n">
        <v>0</v>
      </c>
      <c r="P508" t="n">
        <v>0</v>
      </c>
      <c r="Q508" t="n">
        <v>0</v>
      </c>
      <c r="R508" s="2" t="inlineStr"/>
    </row>
    <row r="509" ht="15" customHeight="1">
      <c r="A509" t="inlineStr">
        <is>
          <t>A 24852-2025</t>
        </is>
      </c>
      <c r="B509" s="1" t="n">
        <v>45799.46975694445</v>
      </c>
      <c r="C509" s="1" t="n">
        <v>46002</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43622-2023</t>
        </is>
      </c>
      <c r="B510" s="1" t="n">
        <v>45184.70777777778</v>
      </c>
      <c r="C510" s="1" t="n">
        <v>46002</v>
      </c>
      <c r="D510" t="inlineStr">
        <is>
          <t>VÄSTERNORRLANDS LÄN</t>
        </is>
      </c>
      <c r="E510" t="inlineStr">
        <is>
          <t>ÅNGE</t>
        </is>
      </c>
      <c r="F510" t="inlineStr">
        <is>
          <t>Holmen skog AB</t>
        </is>
      </c>
      <c r="G510" t="n">
        <v>5.9</v>
      </c>
      <c r="H510" t="n">
        <v>0</v>
      </c>
      <c r="I510" t="n">
        <v>0</v>
      </c>
      <c r="J510" t="n">
        <v>0</v>
      </c>
      <c r="K510" t="n">
        <v>0</v>
      </c>
      <c r="L510" t="n">
        <v>0</v>
      </c>
      <c r="M510" t="n">
        <v>0</v>
      </c>
      <c r="N510" t="n">
        <v>0</v>
      </c>
      <c r="O510" t="n">
        <v>0</v>
      </c>
      <c r="P510" t="n">
        <v>0</v>
      </c>
      <c r="Q510" t="n">
        <v>0</v>
      </c>
      <c r="R510" s="2" t="inlineStr"/>
    </row>
    <row r="511" ht="15" customHeight="1">
      <c r="A511" t="inlineStr">
        <is>
          <t>A 41829-2021</t>
        </is>
      </c>
      <c r="B511" s="1" t="n">
        <v>44425.92202546296</v>
      </c>
      <c r="C511" s="1" t="n">
        <v>46002</v>
      </c>
      <c r="D511" t="inlineStr">
        <is>
          <t>VÄSTERNORRLANDS LÄN</t>
        </is>
      </c>
      <c r="E511" t="inlineStr">
        <is>
          <t>ÅNGE</t>
        </is>
      </c>
      <c r="G511" t="n">
        <v>1.6</v>
      </c>
      <c r="H511" t="n">
        <v>0</v>
      </c>
      <c r="I511" t="n">
        <v>0</v>
      </c>
      <c r="J511" t="n">
        <v>0</v>
      </c>
      <c r="K511" t="n">
        <v>0</v>
      </c>
      <c r="L511" t="n">
        <v>0</v>
      </c>
      <c r="M511" t="n">
        <v>0</v>
      </c>
      <c r="N511" t="n">
        <v>0</v>
      </c>
      <c r="O511" t="n">
        <v>0</v>
      </c>
      <c r="P511" t="n">
        <v>0</v>
      </c>
      <c r="Q511" t="n">
        <v>0</v>
      </c>
      <c r="R511" s="2" t="inlineStr"/>
    </row>
    <row r="512" ht="15" customHeight="1">
      <c r="A512" t="inlineStr">
        <is>
          <t>A 25067-2025</t>
        </is>
      </c>
      <c r="B512" s="1" t="n">
        <v>45799.71908564815</v>
      </c>
      <c r="C512" s="1" t="n">
        <v>46002</v>
      </c>
      <c r="D512" t="inlineStr">
        <is>
          <t>VÄSTERNORRLANDS LÄN</t>
        </is>
      </c>
      <c r="E512" t="inlineStr">
        <is>
          <t>ÅNGE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29390-2021</t>
        </is>
      </c>
      <c r="B513" s="1" t="n">
        <v>44361</v>
      </c>
      <c r="C513" s="1" t="n">
        <v>46002</v>
      </c>
      <c r="D513" t="inlineStr">
        <is>
          <t>VÄSTERNORRLANDS LÄN</t>
        </is>
      </c>
      <c r="E513" t="inlineStr">
        <is>
          <t>ÅNGE</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25903-2022</t>
        </is>
      </c>
      <c r="B514" s="1" t="n">
        <v>44733</v>
      </c>
      <c r="C514" s="1" t="n">
        <v>46002</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1103-2023</t>
        </is>
      </c>
      <c r="B515" s="1" t="n">
        <v>44929</v>
      </c>
      <c r="C515" s="1" t="n">
        <v>46002</v>
      </c>
      <c r="D515" t="inlineStr">
        <is>
          <t>VÄSTERNORRLANDS LÄN</t>
        </is>
      </c>
      <c r="E515" t="inlineStr">
        <is>
          <t>ÅNGE</t>
        </is>
      </c>
      <c r="G515" t="n">
        <v>7.3</v>
      </c>
      <c r="H515" t="n">
        <v>0</v>
      </c>
      <c r="I515" t="n">
        <v>0</v>
      </c>
      <c r="J515" t="n">
        <v>0</v>
      </c>
      <c r="K515" t="n">
        <v>0</v>
      </c>
      <c r="L515" t="n">
        <v>0</v>
      </c>
      <c r="M515" t="n">
        <v>0</v>
      </c>
      <c r="N515" t="n">
        <v>0</v>
      </c>
      <c r="O515" t="n">
        <v>0</v>
      </c>
      <c r="P515" t="n">
        <v>0</v>
      </c>
      <c r="Q515" t="n">
        <v>0</v>
      </c>
      <c r="R515" s="2" t="inlineStr"/>
    </row>
    <row r="516" ht="15" customHeight="1">
      <c r="A516" t="inlineStr">
        <is>
          <t>A 36877-2024</t>
        </is>
      </c>
      <c r="B516" s="1" t="n">
        <v>45538.59418981482</v>
      </c>
      <c r="C516" s="1" t="n">
        <v>46002</v>
      </c>
      <c r="D516" t="inlineStr">
        <is>
          <t>VÄSTERNORRLANDS LÄN</t>
        </is>
      </c>
      <c r="E516" t="inlineStr">
        <is>
          <t>ÅNGE</t>
        </is>
      </c>
      <c r="G516" t="n">
        <v>3.3</v>
      </c>
      <c r="H516" t="n">
        <v>0</v>
      </c>
      <c r="I516" t="n">
        <v>0</v>
      </c>
      <c r="J516" t="n">
        <v>0</v>
      </c>
      <c r="K516" t="n">
        <v>0</v>
      </c>
      <c r="L516" t="n">
        <v>0</v>
      </c>
      <c r="M516" t="n">
        <v>0</v>
      </c>
      <c r="N516" t="n">
        <v>0</v>
      </c>
      <c r="O516" t="n">
        <v>0</v>
      </c>
      <c r="P516" t="n">
        <v>0</v>
      </c>
      <c r="Q516" t="n">
        <v>0</v>
      </c>
      <c r="R516" s="2" t="inlineStr"/>
    </row>
    <row r="517" ht="15" customHeight="1">
      <c r="A517" t="inlineStr">
        <is>
          <t>A 25352-2025</t>
        </is>
      </c>
      <c r="B517" s="1" t="n">
        <v>45800.61552083334</v>
      </c>
      <c r="C517" s="1" t="n">
        <v>46002</v>
      </c>
      <c r="D517" t="inlineStr">
        <is>
          <t>VÄSTERNORRLANDS LÄN</t>
        </is>
      </c>
      <c r="E517" t="inlineStr">
        <is>
          <t>ÅNGE</t>
        </is>
      </c>
      <c r="F517" t="inlineStr">
        <is>
          <t>SCA</t>
        </is>
      </c>
      <c r="G517" t="n">
        <v>6.3</v>
      </c>
      <c r="H517" t="n">
        <v>0</v>
      </c>
      <c r="I517" t="n">
        <v>0</v>
      </c>
      <c r="J517" t="n">
        <v>0</v>
      </c>
      <c r="K517" t="n">
        <v>0</v>
      </c>
      <c r="L517" t="n">
        <v>0</v>
      </c>
      <c r="M517" t="n">
        <v>0</v>
      </c>
      <c r="N517" t="n">
        <v>0</v>
      </c>
      <c r="O517" t="n">
        <v>0</v>
      </c>
      <c r="P517" t="n">
        <v>0</v>
      </c>
      <c r="Q517" t="n">
        <v>0</v>
      </c>
      <c r="R517" s="2" t="inlineStr"/>
    </row>
    <row r="518" ht="15" customHeight="1">
      <c r="A518" t="inlineStr">
        <is>
          <t>A 53651-2023</t>
        </is>
      </c>
      <c r="B518" s="1" t="n">
        <v>45230.60815972222</v>
      </c>
      <c r="C518" s="1" t="n">
        <v>46002</v>
      </c>
      <c r="D518" t="inlineStr">
        <is>
          <t>VÄSTERNORRLANDS LÄN</t>
        </is>
      </c>
      <c r="E518" t="inlineStr">
        <is>
          <t>ÅNGE</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2140-2023</t>
        </is>
      </c>
      <c r="B519" s="1" t="n">
        <v>44940</v>
      </c>
      <c r="C519" s="1" t="n">
        <v>46002</v>
      </c>
      <c r="D519" t="inlineStr">
        <is>
          <t>VÄSTERNORRLANDS LÄN</t>
        </is>
      </c>
      <c r="E519" t="inlineStr">
        <is>
          <t>ÅNGE</t>
        </is>
      </c>
      <c r="G519" t="n">
        <v>2.9</v>
      </c>
      <c r="H519" t="n">
        <v>0</v>
      </c>
      <c r="I519" t="n">
        <v>0</v>
      </c>
      <c r="J519" t="n">
        <v>0</v>
      </c>
      <c r="K519" t="n">
        <v>0</v>
      </c>
      <c r="L519" t="n">
        <v>0</v>
      </c>
      <c r="M519" t="n">
        <v>0</v>
      </c>
      <c r="N519" t="n">
        <v>0</v>
      </c>
      <c r="O519" t="n">
        <v>0</v>
      </c>
      <c r="P519" t="n">
        <v>0</v>
      </c>
      <c r="Q519" t="n">
        <v>0</v>
      </c>
      <c r="R519" s="2" t="inlineStr"/>
    </row>
    <row r="520" ht="15" customHeight="1">
      <c r="A520" t="inlineStr">
        <is>
          <t>A 25340-2025</t>
        </is>
      </c>
      <c r="B520" s="1" t="n">
        <v>45800.60074074074</v>
      </c>
      <c r="C520" s="1" t="n">
        <v>46002</v>
      </c>
      <c r="D520" t="inlineStr">
        <is>
          <t>VÄSTERNORRLANDS LÄN</t>
        </is>
      </c>
      <c r="E520" t="inlineStr">
        <is>
          <t>ÅNGE</t>
        </is>
      </c>
      <c r="G520" t="n">
        <v>2.7</v>
      </c>
      <c r="H520" t="n">
        <v>0</v>
      </c>
      <c r="I520" t="n">
        <v>0</v>
      </c>
      <c r="J520" t="n">
        <v>0</v>
      </c>
      <c r="K520" t="n">
        <v>0</v>
      </c>
      <c r="L520" t="n">
        <v>0</v>
      </c>
      <c r="M520" t="n">
        <v>0</v>
      </c>
      <c r="N520" t="n">
        <v>0</v>
      </c>
      <c r="O520" t="n">
        <v>0</v>
      </c>
      <c r="P520" t="n">
        <v>0</v>
      </c>
      <c r="Q520" t="n">
        <v>0</v>
      </c>
      <c r="R520" s="2" t="inlineStr"/>
    </row>
    <row r="521" ht="15" customHeight="1">
      <c r="A521" t="inlineStr">
        <is>
          <t>A 47488-2023</t>
        </is>
      </c>
      <c r="B521" s="1" t="n">
        <v>45202.94168981481</v>
      </c>
      <c r="C521" s="1" t="n">
        <v>46002</v>
      </c>
      <c r="D521" t="inlineStr">
        <is>
          <t>VÄSTERNORRLANDS LÄN</t>
        </is>
      </c>
      <c r="E521" t="inlineStr">
        <is>
          <t>ÅNGE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25532-2025</t>
        </is>
      </c>
      <c r="B522" s="1" t="n">
        <v>45803.4065162037</v>
      </c>
      <c r="C522" s="1" t="n">
        <v>46002</v>
      </c>
      <c r="D522" t="inlineStr">
        <is>
          <t>VÄSTERNORRLANDS LÄN</t>
        </is>
      </c>
      <c r="E522" t="inlineStr">
        <is>
          <t>ÅNGE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34754-2024</t>
        </is>
      </c>
      <c r="B523" s="1" t="n">
        <v>45526</v>
      </c>
      <c r="C523" s="1" t="n">
        <v>46002</v>
      </c>
      <c r="D523" t="inlineStr">
        <is>
          <t>VÄSTERNORRLANDS LÄN</t>
        </is>
      </c>
      <c r="E523" t="inlineStr">
        <is>
          <t>ÅNGE</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3362-2023</t>
        </is>
      </c>
      <c r="B524" s="1" t="n">
        <v>44945</v>
      </c>
      <c r="C524" s="1" t="n">
        <v>46002</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25499-2025</t>
        </is>
      </c>
      <c r="B525" s="1" t="n">
        <v>45803.344375</v>
      </c>
      <c r="C525" s="1" t="n">
        <v>46002</v>
      </c>
      <c r="D525" t="inlineStr">
        <is>
          <t>VÄSTERNORRLANDS LÄN</t>
        </is>
      </c>
      <c r="E525" t="inlineStr">
        <is>
          <t>ÅNGE</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59600-2024</t>
        </is>
      </c>
      <c r="B526" s="1" t="n">
        <v>45638.71763888889</v>
      </c>
      <c r="C526" s="1" t="n">
        <v>46002</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25274-2025</t>
        </is>
      </c>
      <c r="B527" s="1" t="n">
        <v>45800.55276620371</v>
      </c>
      <c r="C527" s="1" t="n">
        <v>46002</v>
      </c>
      <c r="D527" t="inlineStr">
        <is>
          <t>VÄSTERNORRLANDS LÄN</t>
        </is>
      </c>
      <c r="E527" t="inlineStr">
        <is>
          <t>ÅNGE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39434-2025</t>
        </is>
      </c>
      <c r="B528" s="1" t="n">
        <v>45889.67811342593</v>
      </c>
      <c r="C528" s="1" t="n">
        <v>46002</v>
      </c>
      <c r="D528" t="inlineStr">
        <is>
          <t>VÄSTERNORRLANDS LÄN</t>
        </is>
      </c>
      <c r="E528" t="inlineStr">
        <is>
          <t>ÅNGE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25241-2025</t>
        </is>
      </c>
      <c r="B529" s="1" t="n">
        <v>45800.49053240741</v>
      </c>
      <c r="C529" s="1" t="n">
        <v>46002</v>
      </c>
      <c r="D529" t="inlineStr">
        <is>
          <t>VÄSTERNORRLANDS LÄN</t>
        </is>
      </c>
      <c r="E529" t="inlineStr">
        <is>
          <t>ÅNGE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39444-2025</t>
        </is>
      </c>
      <c r="B530" s="1" t="n">
        <v>45889.69826388889</v>
      </c>
      <c r="C530" s="1" t="n">
        <v>46002</v>
      </c>
      <c r="D530" t="inlineStr">
        <is>
          <t>VÄSTERNORRLANDS LÄN</t>
        </is>
      </c>
      <c r="E530" t="inlineStr">
        <is>
          <t>ÅNGE</t>
        </is>
      </c>
      <c r="F530" t="inlineStr">
        <is>
          <t>SCA</t>
        </is>
      </c>
      <c r="G530" t="n">
        <v>7.9</v>
      </c>
      <c r="H530" t="n">
        <v>0</v>
      </c>
      <c r="I530" t="n">
        <v>0</v>
      </c>
      <c r="J530" t="n">
        <v>0</v>
      </c>
      <c r="K530" t="n">
        <v>0</v>
      </c>
      <c r="L530" t="n">
        <v>0</v>
      </c>
      <c r="M530" t="n">
        <v>0</v>
      </c>
      <c r="N530" t="n">
        <v>0</v>
      </c>
      <c r="O530" t="n">
        <v>0</v>
      </c>
      <c r="P530" t="n">
        <v>0</v>
      </c>
      <c r="Q530" t="n">
        <v>0</v>
      </c>
      <c r="R530" s="2" t="inlineStr"/>
    </row>
    <row r="531" ht="15" customHeight="1">
      <c r="A531" t="inlineStr">
        <is>
          <t>A 52685-2024</t>
        </is>
      </c>
      <c r="B531" s="1" t="n">
        <v>45610</v>
      </c>
      <c r="C531" s="1" t="n">
        <v>46002</v>
      </c>
      <c r="D531" t="inlineStr">
        <is>
          <t>VÄSTERNORRLANDS LÄN</t>
        </is>
      </c>
      <c r="E531" t="inlineStr">
        <is>
          <t>ÅNGE</t>
        </is>
      </c>
      <c r="G531" t="n">
        <v>2.3</v>
      </c>
      <c r="H531" t="n">
        <v>0</v>
      </c>
      <c r="I531" t="n">
        <v>0</v>
      </c>
      <c r="J531" t="n">
        <v>0</v>
      </c>
      <c r="K531" t="n">
        <v>0</v>
      </c>
      <c r="L531" t="n">
        <v>0</v>
      </c>
      <c r="M531" t="n">
        <v>0</v>
      </c>
      <c r="N531" t="n">
        <v>0</v>
      </c>
      <c r="O531" t="n">
        <v>0</v>
      </c>
      <c r="P531" t="n">
        <v>0</v>
      </c>
      <c r="Q531" t="n">
        <v>0</v>
      </c>
      <c r="R531" s="2" t="inlineStr"/>
    </row>
    <row r="532" ht="15" customHeight="1">
      <c r="A532" t="inlineStr">
        <is>
          <t>A 31863-2024</t>
        </is>
      </c>
      <c r="B532" s="1" t="n">
        <v>45509.74121527778</v>
      </c>
      <c r="C532" s="1" t="n">
        <v>46002</v>
      </c>
      <c r="D532" t="inlineStr">
        <is>
          <t>VÄSTERNORRLANDS LÄN</t>
        </is>
      </c>
      <c r="E532" t="inlineStr">
        <is>
          <t>ÅNGE</t>
        </is>
      </c>
      <c r="G532" t="n">
        <v>4.5</v>
      </c>
      <c r="H532" t="n">
        <v>0</v>
      </c>
      <c r="I532" t="n">
        <v>0</v>
      </c>
      <c r="J532" t="n">
        <v>0</v>
      </c>
      <c r="K532" t="n">
        <v>0</v>
      </c>
      <c r="L532" t="n">
        <v>0</v>
      </c>
      <c r="M532" t="n">
        <v>0</v>
      </c>
      <c r="N532" t="n">
        <v>0</v>
      </c>
      <c r="O532" t="n">
        <v>0</v>
      </c>
      <c r="P532" t="n">
        <v>0</v>
      </c>
      <c r="Q532" t="n">
        <v>0</v>
      </c>
      <c r="R532" s="2" t="inlineStr"/>
    </row>
    <row r="533" ht="15" customHeight="1">
      <c r="A533" t="inlineStr">
        <is>
          <t>A 25273-2025</t>
        </is>
      </c>
      <c r="B533" s="1" t="n">
        <v>45800.55253472222</v>
      </c>
      <c r="C533" s="1" t="n">
        <v>46002</v>
      </c>
      <c r="D533" t="inlineStr">
        <is>
          <t>VÄSTERNORRLANDS LÄN</t>
        </is>
      </c>
      <c r="E533" t="inlineStr">
        <is>
          <t>ÅNGE</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25332-2025</t>
        </is>
      </c>
      <c r="B534" s="1" t="n">
        <v>45800.59418981482</v>
      </c>
      <c r="C534" s="1" t="n">
        <v>46002</v>
      </c>
      <c r="D534" t="inlineStr">
        <is>
          <t>VÄSTERNORRLANDS LÄN</t>
        </is>
      </c>
      <c r="E534" t="inlineStr">
        <is>
          <t>ÅNGE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25772-2025</t>
        </is>
      </c>
      <c r="B535" s="1" t="n">
        <v>45804.34520833333</v>
      </c>
      <c r="C535" s="1" t="n">
        <v>46002</v>
      </c>
      <c r="D535" t="inlineStr">
        <is>
          <t>VÄSTERNORRLANDS LÄN</t>
        </is>
      </c>
      <c r="E535" t="inlineStr">
        <is>
          <t>ÅNGE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36466-2024</t>
        </is>
      </c>
      <c r="B536" s="1" t="n">
        <v>45537.35872685185</v>
      </c>
      <c r="C536" s="1" t="n">
        <v>46002</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21262-2025</t>
        </is>
      </c>
      <c r="B537" s="1" t="n">
        <v>45779</v>
      </c>
      <c r="C537" s="1" t="n">
        <v>46002</v>
      </c>
      <c r="D537" t="inlineStr">
        <is>
          <t>VÄSTERNORRLANDS LÄN</t>
        </is>
      </c>
      <c r="E537" t="inlineStr">
        <is>
          <t>ÅNGE</t>
        </is>
      </c>
      <c r="F537" t="inlineStr">
        <is>
          <t>Sveaskog</t>
        </is>
      </c>
      <c r="G537" t="n">
        <v>9</v>
      </c>
      <c r="H537" t="n">
        <v>0</v>
      </c>
      <c r="I537" t="n">
        <v>0</v>
      </c>
      <c r="J537" t="n">
        <v>0</v>
      </c>
      <c r="K537" t="n">
        <v>0</v>
      </c>
      <c r="L537" t="n">
        <v>0</v>
      </c>
      <c r="M537" t="n">
        <v>0</v>
      </c>
      <c r="N537" t="n">
        <v>0</v>
      </c>
      <c r="O537" t="n">
        <v>0</v>
      </c>
      <c r="P537" t="n">
        <v>0</v>
      </c>
      <c r="Q537" t="n">
        <v>0</v>
      </c>
      <c r="R537" s="2" t="inlineStr"/>
    </row>
    <row r="538" ht="15" customHeight="1">
      <c r="A538" t="inlineStr">
        <is>
          <t>A 54720-2024</t>
        </is>
      </c>
      <c r="B538" s="1" t="n">
        <v>45618.43715277778</v>
      </c>
      <c r="C538" s="1" t="n">
        <v>46002</v>
      </c>
      <c r="D538" t="inlineStr">
        <is>
          <t>VÄSTERNORRLANDS LÄN</t>
        </is>
      </c>
      <c r="E538" t="inlineStr">
        <is>
          <t>ÅNGE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35650-2024</t>
        </is>
      </c>
      <c r="B539" s="1" t="n">
        <v>45532.34123842593</v>
      </c>
      <c r="C539" s="1" t="n">
        <v>46002</v>
      </c>
      <c r="D539" t="inlineStr">
        <is>
          <t>VÄSTERNORRLANDS LÄN</t>
        </is>
      </c>
      <c r="E539" t="inlineStr">
        <is>
          <t>ÅNGE</t>
        </is>
      </c>
      <c r="G539" t="n">
        <v>3.8</v>
      </c>
      <c r="H539" t="n">
        <v>0</v>
      </c>
      <c r="I539" t="n">
        <v>0</v>
      </c>
      <c r="J539" t="n">
        <v>0</v>
      </c>
      <c r="K539" t="n">
        <v>0</v>
      </c>
      <c r="L539" t="n">
        <v>0</v>
      </c>
      <c r="M539" t="n">
        <v>0</v>
      </c>
      <c r="N539" t="n">
        <v>0</v>
      </c>
      <c r="O539" t="n">
        <v>0</v>
      </c>
      <c r="P539" t="n">
        <v>0</v>
      </c>
      <c r="Q539" t="n">
        <v>0</v>
      </c>
      <c r="R539" s="2" t="inlineStr"/>
    </row>
    <row r="540" ht="15" customHeight="1">
      <c r="A540" t="inlineStr">
        <is>
          <t>A 32051-2025</t>
        </is>
      </c>
      <c r="B540" s="1" t="n">
        <v>45835.44185185185</v>
      </c>
      <c r="C540" s="1" t="n">
        <v>46002</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15863-2022</t>
        </is>
      </c>
      <c r="B541" s="1" t="n">
        <v>44664</v>
      </c>
      <c r="C541" s="1" t="n">
        <v>46002</v>
      </c>
      <c r="D541" t="inlineStr">
        <is>
          <t>VÄSTERNORRLANDS LÄN</t>
        </is>
      </c>
      <c r="E541" t="inlineStr">
        <is>
          <t>ÅNGE</t>
        </is>
      </c>
      <c r="G541" t="n">
        <v>3.6</v>
      </c>
      <c r="H541" t="n">
        <v>0</v>
      </c>
      <c r="I541" t="n">
        <v>0</v>
      </c>
      <c r="J541" t="n">
        <v>0</v>
      </c>
      <c r="K541" t="n">
        <v>0</v>
      </c>
      <c r="L541" t="n">
        <v>0</v>
      </c>
      <c r="M541" t="n">
        <v>0</v>
      </c>
      <c r="N541" t="n">
        <v>0</v>
      </c>
      <c r="O541" t="n">
        <v>0</v>
      </c>
      <c r="P541" t="n">
        <v>0</v>
      </c>
      <c r="Q541" t="n">
        <v>0</v>
      </c>
      <c r="R541" s="2" t="inlineStr"/>
    </row>
    <row r="542" ht="15" customHeight="1">
      <c r="A542" t="inlineStr">
        <is>
          <t>A 19709-2025</t>
        </is>
      </c>
      <c r="B542" s="1" t="n">
        <v>45771.34263888889</v>
      </c>
      <c r="C542" s="1" t="n">
        <v>46002</v>
      </c>
      <c r="D542" t="inlineStr">
        <is>
          <t>VÄSTERNORRLANDS LÄN</t>
        </is>
      </c>
      <c r="E542" t="inlineStr">
        <is>
          <t>ÅNGE</t>
        </is>
      </c>
      <c r="G542" t="n">
        <v>3.8</v>
      </c>
      <c r="H542" t="n">
        <v>0</v>
      </c>
      <c r="I542" t="n">
        <v>0</v>
      </c>
      <c r="J542" t="n">
        <v>0</v>
      </c>
      <c r="K542" t="n">
        <v>0</v>
      </c>
      <c r="L542" t="n">
        <v>0</v>
      </c>
      <c r="M542" t="n">
        <v>0</v>
      </c>
      <c r="N542" t="n">
        <v>0</v>
      </c>
      <c r="O542" t="n">
        <v>0</v>
      </c>
      <c r="P542" t="n">
        <v>0</v>
      </c>
      <c r="Q542" t="n">
        <v>0</v>
      </c>
      <c r="R542" s="2" t="inlineStr"/>
    </row>
    <row r="543" ht="15" customHeight="1">
      <c r="A543" t="inlineStr">
        <is>
          <t>A 25810-2025</t>
        </is>
      </c>
      <c r="B543" s="1" t="n">
        <v>45804.42083333333</v>
      </c>
      <c r="C543" s="1" t="n">
        <v>46002</v>
      </c>
      <c r="D543" t="inlineStr">
        <is>
          <t>VÄSTERNORRLANDS LÄN</t>
        </is>
      </c>
      <c r="E543" t="inlineStr">
        <is>
          <t>ÅNGE</t>
        </is>
      </c>
      <c r="G543" t="n">
        <v>6.2</v>
      </c>
      <c r="H543" t="n">
        <v>0</v>
      </c>
      <c r="I543" t="n">
        <v>0</v>
      </c>
      <c r="J543" t="n">
        <v>0</v>
      </c>
      <c r="K543" t="n">
        <v>0</v>
      </c>
      <c r="L543" t="n">
        <v>0</v>
      </c>
      <c r="M543" t="n">
        <v>0</v>
      </c>
      <c r="N543" t="n">
        <v>0</v>
      </c>
      <c r="O543" t="n">
        <v>0</v>
      </c>
      <c r="P543" t="n">
        <v>0</v>
      </c>
      <c r="Q543" t="n">
        <v>0</v>
      </c>
      <c r="R543" s="2" t="inlineStr"/>
    </row>
    <row r="544" ht="15" customHeight="1">
      <c r="A544" t="inlineStr">
        <is>
          <t>A 11531-2023</t>
        </is>
      </c>
      <c r="B544" s="1" t="n">
        <v>44993.77038194444</v>
      </c>
      <c r="C544" s="1" t="n">
        <v>46002</v>
      </c>
      <c r="D544" t="inlineStr">
        <is>
          <t>VÄSTERNORRLANDS LÄN</t>
        </is>
      </c>
      <c r="E544" t="inlineStr">
        <is>
          <t>ÅNGE</t>
        </is>
      </c>
      <c r="G544" t="n">
        <v>0.5</v>
      </c>
      <c r="H544" t="n">
        <v>0</v>
      </c>
      <c r="I544" t="n">
        <v>0</v>
      </c>
      <c r="J544" t="n">
        <v>0</v>
      </c>
      <c r="K544" t="n">
        <v>0</v>
      </c>
      <c r="L544" t="n">
        <v>0</v>
      </c>
      <c r="M544" t="n">
        <v>0</v>
      </c>
      <c r="N544" t="n">
        <v>0</v>
      </c>
      <c r="O544" t="n">
        <v>0</v>
      </c>
      <c r="P544" t="n">
        <v>0</v>
      </c>
      <c r="Q544" t="n">
        <v>0</v>
      </c>
      <c r="R544" s="2" t="inlineStr"/>
    </row>
    <row r="545" ht="15" customHeight="1">
      <c r="A545" t="inlineStr">
        <is>
          <t>A 11532-2023</t>
        </is>
      </c>
      <c r="B545" s="1" t="n">
        <v>44993.77212962963</v>
      </c>
      <c r="C545" s="1" t="n">
        <v>46002</v>
      </c>
      <c r="D545" t="inlineStr">
        <is>
          <t>VÄSTERNORRLANDS LÄN</t>
        </is>
      </c>
      <c r="E545" t="inlineStr">
        <is>
          <t>ÅNGE</t>
        </is>
      </c>
      <c r="G545" t="n">
        <v>0.5</v>
      </c>
      <c r="H545" t="n">
        <v>0</v>
      </c>
      <c r="I545" t="n">
        <v>0</v>
      </c>
      <c r="J545" t="n">
        <v>0</v>
      </c>
      <c r="K545" t="n">
        <v>0</v>
      </c>
      <c r="L545" t="n">
        <v>0</v>
      </c>
      <c r="M545" t="n">
        <v>0</v>
      </c>
      <c r="N545" t="n">
        <v>0</v>
      </c>
      <c r="O545" t="n">
        <v>0</v>
      </c>
      <c r="P545" t="n">
        <v>0</v>
      </c>
      <c r="Q545" t="n">
        <v>0</v>
      </c>
      <c r="R545" s="2" t="inlineStr"/>
    </row>
    <row r="546" ht="15" customHeight="1">
      <c r="A546" t="inlineStr">
        <is>
          <t>A 45459-2022</t>
        </is>
      </c>
      <c r="B546" s="1" t="n">
        <v>44845</v>
      </c>
      <c r="C546" s="1" t="n">
        <v>46002</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41758-2024</t>
        </is>
      </c>
      <c r="B547" s="1" t="n">
        <v>45561.34478009259</v>
      </c>
      <c r="C547" s="1" t="n">
        <v>46002</v>
      </c>
      <c r="D547" t="inlineStr">
        <is>
          <t>VÄSTERNORRLANDS LÄN</t>
        </is>
      </c>
      <c r="E547" t="inlineStr">
        <is>
          <t>ÅNGE</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9759-2024</t>
        </is>
      </c>
      <c r="B548" s="1" t="n">
        <v>45362</v>
      </c>
      <c r="C548" s="1" t="n">
        <v>46002</v>
      </c>
      <c r="D548" t="inlineStr">
        <is>
          <t>VÄSTERNORRLANDS LÄN</t>
        </is>
      </c>
      <c r="E548" t="inlineStr">
        <is>
          <t>ÅNGE</t>
        </is>
      </c>
      <c r="G548" t="n">
        <v>2.5</v>
      </c>
      <c r="H548" t="n">
        <v>0</v>
      </c>
      <c r="I548" t="n">
        <v>0</v>
      </c>
      <c r="J548" t="n">
        <v>0</v>
      </c>
      <c r="K548" t="n">
        <v>0</v>
      </c>
      <c r="L548" t="n">
        <v>0</v>
      </c>
      <c r="M548" t="n">
        <v>0</v>
      </c>
      <c r="N548" t="n">
        <v>0</v>
      </c>
      <c r="O548" t="n">
        <v>0</v>
      </c>
      <c r="P548" t="n">
        <v>0</v>
      </c>
      <c r="Q548" t="n">
        <v>0</v>
      </c>
      <c r="R548" s="2" t="inlineStr"/>
    </row>
    <row r="549" ht="15" customHeight="1">
      <c r="A549" t="inlineStr">
        <is>
          <t>A 39768-2025</t>
        </is>
      </c>
      <c r="B549" s="1" t="n">
        <v>45891.44842592593</v>
      </c>
      <c r="C549" s="1" t="n">
        <v>46002</v>
      </c>
      <c r="D549" t="inlineStr">
        <is>
          <t>VÄSTERNORRLANDS LÄN</t>
        </is>
      </c>
      <c r="E549" t="inlineStr">
        <is>
          <t>ÅNGE</t>
        </is>
      </c>
      <c r="G549" t="n">
        <v>10.4</v>
      </c>
      <c r="H549" t="n">
        <v>0</v>
      </c>
      <c r="I549" t="n">
        <v>0</v>
      </c>
      <c r="J549" t="n">
        <v>0</v>
      </c>
      <c r="K549" t="n">
        <v>0</v>
      </c>
      <c r="L549" t="n">
        <v>0</v>
      </c>
      <c r="M549" t="n">
        <v>0</v>
      </c>
      <c r="N549" t="n">
        <v>0</v>
      </c>
      <c r="O549" t="n">
        <v>0</v>
      </c>
      <c r="P549" t="n">
        <v>0</v>
      </c>
      <c r="Q549" t="n">
        <v>0</v>
      </c>
      <c r="R549" s="2" t="inlineStr"/>
    </row>
    <row r="550" ht="15" customHeight="1">
      <c r="A550" t="inlineStr">
        <is>
          <t>A 26193-2025</t>
        </is>
      </c>
      <c r="B550" s="1" t="n">
        <v>45805.48922453704</v>
      </c>
      <c r="C550" s="1" t="n">
        <v>46002</v>
      </c>
      <c r="D550" t="inlineStr">
        <is>
          <t>VÄSTERNORRLANDS LÄN</t>
        </is>
      </c>
      <c r="E550" t="inlineStr">
        <is>
          <t>ÅNGE</t>
        </is>
      </c>
      <c r="G550" t="n">
        <v>2.3</v>
      </c>
      <c r="H550" t="n">
        <v>0</v>
      </c>
      <c r="I550" t="n">
        <v>0</v>
      </c>
      <c r="J550" t="n">
        <v>0</v>
      </c>
      <c r="K550" t="n">
        <v>0</v>
      </c>
      <c r="L550" t="n">
        <v>0</v>
      </c>
      <c r="M550" t="n">
        <v>0</v>
      </c>
      <c r="N550" t="n">
        <v>0</v>
      </c>
      <c r="O550" t="n">
        <v>0</v>
      </c>
      <c r="P550" t="n">
        <v>0</v>
      </c>
      <c r="Q550" t="n">
        <v>0</v>
      </c>
      <c r="R550" s="2" t="inlineStr"/>
    </row>
    <row r="551" ht="15" customHeight="1">
      <c r="A551" t="inlineStr">
        <is>
          <t>A 55328-2023</t>
        </is>
      </c>
      <c r="B551" s="1" t="n">
        <v>45237</v>
      </c>
      <c r="C551" s="1" t="n">
        <v>46002</v>
      </c>
      <c r="D551" t="inlineStr">
        <is>
          <t>VÄSTERNORRLANDS LÄN</t>
        </is>
      </c>
      <c r="E551" t="inlineStr">
        <is>
          <t>ÅNGE</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39729-2025</t>
        </is>
      </c>
      <c r="B552" s="1" t="n">
        <v>45891</v>
      </c>
      <c r="C552" s="1" t="n">
        <v>46002</v>
      </c>
      <c r="D552" t="inlineStr">
        <is>
          <t>VÄSTERNORRLANDS LÄN</t>
        </is>
      </c>
      <c r="E552" t="inlineStr">
        <is>
          <t>ÅNGE</t>
        </is>
      </c>
      <c r="G552" t="n">
        <v>2.3</v>
      </c>
      <c r="H552" t="n">
        <v>0</v>
      </c>
      <c r="I552" t="n">
        <v>0</v>
      </c>
      <c r="J552" t="n">
        <v>0</v>
      </c>
      <c r="K552" t="n">
        <v>0</v>
      </c>
      <c r="L552" t="n">
        <v>0</v>
      </c>
      <c r="M552" t="n">
        <v>0</v>
      </c>
      <c r="N552" t="n">
        <v>0</v>
      </c>
      <c r="O552" t="n">
        <v>0</v>
      </c>
      <c r="P552" t="n">
        <v>0</v>
      </c>
      <c r="Q552" t="n">
        <v>0</v>
      </c>
      <c r="R552" s="2" t="inlineStr"/>
    </row>
    <row r="553" ht="15" customHeight="1">
      <c r="A553" t="inlineStr">
        <is>
          <t>A 5369-2022</t>
        </is>
      </c>
      <c r="B553" s="1" t="n">
        <v>44594.92113425926</v>
      </c>
      <c r="C553" s="1" t="n">
        <v>46002</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213-2024</t>
        </is>
      </c>
      <c r="B554" s="1" t="n">
        <v>45293</v>
      </c>
      <c r="C554" s="1" t="n">
        <v>46002</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26365-2025</t>
        </is>
      </c>
      <c r="B555" s="1" t="n">
        <v>45806.34412037037</v>
      </c>
      <c r="C555" s="1" t="n">
        <v>46002</v>
      </c>
      <c r="D555" t="inlineStr">
        <is>
          <t>VÄSTERNORRLANDS LÄN</t>
        </is>
      </c>
      <c r="E555" t="inlineStr">
        <is>
          <t>ÅNGE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26389-2025</t>
        </is>
      </c>
      <c r="B556" s="1" t="n">
        <v>45806.51078703703</v>
      </c>
      <c r="C556" s="1" t="n">
        <v>46002</v>
      </c>
      <c r="D556" t="inlineStr">
        <is>
          <t>VÄSTERNORRLANDS LÄN</t>
        </is>
      </c>
      <c r="E556" t="inlineStr">
        <is>
          <t>ÅNGE</t>
        </is>
      </c>
      <c r="F556" t="inlineStr">
        <is>
          <t>SCA</t>
        </is>
      </c>
      <c r="G556" t="n">
        <v>11.9</v>
      </c>
      <c r="H556" t="n">
        <v>0</v>
      </c>
      <c r="I556" t="n">
        <v>0</v>
      </c>
      <c r="J556" t="n">
        <v>0</v>
      </c>
      <c r="K556" t="n">
        <v>0</v>
      </c>
      <c r="L556" t="n">
        <v>0</v>
      </c>
      <c r="M556" t="n">
        <v>0</v>
      </c>
      <c r="N556" t="n">
        <v>0</v>
      </c>
      <c r="O556" t="n">
        <v>0</v>
      </c>
      <c r="P556" t="n">
        <v>0</v>
      </c>
      <c r="Q556" t="n">
        <v>0</v>
      </c>
      <c r="R556" s="2" t="inlineStr"/>
    </row>
    <row r="557" ht="15" customHeight="1">
      <c r="A557" t="inlineStr">
        <is>
          <t>A 26388-2025</t>
        </is>
      </c>
      <c r="B557" s="1" t="n">
        <v>45806.51069444444</v>
      </c>
      <c r="C557" s="1" t="n">
        <v>46002</v>
      </c>
      <c r="D557" t="inlineStr">
        <is>
          <t>VÄSTERNORRLANDS LÄN</t>
        </is>
      </c>
      <c r="E557" t="inlineStr">
        <is>
          <t>ÅNGE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4872-2025</t>
        </is>
      </c>
      <c r="B558" s="1" t="n">
        <v>45688.67619212963</v>
      </c>
      <c r="C558" s="1" t="n">
        <v>46002</v>
      </c>
      <c r="D558" t="inlineStr">
        <is>
          <t>VÄSTERNORRLANDS LÄN</t>
        </is>
      </c>
      <c r="E558" t="inlineStr">
        <is>
          <t>ÅNGE</t>
        </is>
      </c>
      <c r="F558" t="inlineStr">
        <is>
          <t>SCA</t>
        </is>
      </c>
      <c r="G558" t="n">
        <v>31.3</v>
      </c>
      <c r="H558" t="n">
        <v>0</v>
      </c>
      <c r="I558" t="n">
        <v>0</v>
      </c>
      <c r="J558" t="n">
        <v>0</v>
      </c>
      <c r="K558" t="n">
        <v>0</v>
      </c>
      <c r="L558" t="n">
        <v>0</v>
      </c>
      <c r="M558" t="n">
        <v>0</v>
      </c>
      <c r="N558" t="n">
        <v>0</v>
      </c>
      <c r="O558" t="n">
        <v>0</v>
      </c>
      <c r="P558" t="n">
        <v>0</v>
      </c>
      <c r="Q558" t="n">
        <v>0</v>
      </c>
      <c r="R558" s="2" t="inlineStr"/>
      <c r="U558">
        <f>HYPERLINK("https://klasma.github.io/Logging_2260/knärot/A 4872-2025 karta knärot.png", "A 4872-2025")</f>
        <v/>
      </c>
      <c r="V558">
        <f>HYPERLINK("https://klasma.github.io/Logging_2260/klagomål/A 4872-2025 FSC-klagomål.docx", "A 4872-2025")</f>
        <v/>
      </c>
      <c r="W558">
        <f>HYPERLINK("https://klasma.github.io/Logging_2260/klagomålsmail/A 4872-2025 FSC-klagomål mail.docx", "A 4872-2025")</f>
        <v/>
      </c>
      <c r="X558">
        <f>HYPERLINK("https://klasma.github.io/Logging_2260/tillsyn/A 4872-2025 tillsynsbegäran.docx", "A 4872-2025")</f>
        <v/>
      </c>
      <c r="Y558">
        <f>HYPERLINK("https://klasma.github.io/Logging_2260/tillsynsmail/A 4872-2025 tillsynsbegäran mail.docx", "A 4872-2025")</f>
        <v/>
      </c>
    </row>
    <row r="559" ht="15" customHeight="1">
      <c r="A559" t="inlineStr">
        <is>
          <t>A 26366-2025</t>
        </is>
      </c>
      <c r="B559" s="1" t="n">
        <v>45806.34424768519</v>
      </c>
      <c r="C559" s="1" t="n">
        <v>46002</v>
      </c>
      <c r="D559" t="inlineStr">
        <is>
          <t>VÄSTERNORRLANDS LÄN</t>
        </is>
      </c>
      <c r="E559" t="inlineStr">
        <is>
          <t>ÅNGE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16450-2025</t>
        </is>
      </c>
      <c r="B560" s="1" t="n">
        <v>45751.51081018519</v>
      </c>
      <c r="C560" s="1" t="n">
        <v>46002</v>
      </c>
      <c r="D560" t="inlineStr">
        <is>
          <t>VÄSTERNORRLANDS LÄN</t>
        </is>
      </c>
      <c r="E560" t="inlineStr">
        <is>
          <t>ÅNGE</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35426-2024</t>
        </is>
      </c>
      <c r="B561" s="1" t="n">
        <v>45531</v>
      </c>
      <c r="C561" s="1" t="n">
        <v>46002</v>
      </c>
      <c r="D561" t="inlineStr">
        <is>
          <t>VÄSTERNORRLANDS LÄN</t>
        </is>
      </c>
      <c r="E561" t="inlineStr">
        <is>
          <t>ÅNGE</t>
        </is>
      </c>
      <c r="F561" t="inlineStr">
        <is>
          <t>SCA</t>
        </is>
      </c>
      <c r="G561" t="n">
        <v>10.9</v>
      </c>
      <c r="H561" t="n">
        <v>0</v>
      </c>
      <c r="I561" t="n">
        <v>0</v>
      </c>
      <c r="J561" t="n">
        <v>0</v>
      </c>
      <c r="K561" t="n">
        <v>0</v>
      </c>
      <c r="L561" t="n">
        <v>0</v>
      </c>
      <c r="M561" t="n">
        <v>0</v>
      </c>
      <c r="N561" t="n">
        <v>0</v>
      </c>
      <c r="O561" t="n">
        <v>0</v>
      </c>
      <c r="P561" t="n">
        <v>0</v>
      </c>
      <c r="Q561" t="n">
        <v>0</v>
      </c>
      <c r="R561" s="2" t="inlineStr"/>
    </row>
    <row r="562" ht="15" customHeight="1">
      <c r="A562" t="inlineStr">
        <is>
          <t>A 35488-2024</t>
        </is>
      </c>
      <c r="B562" s="1" t="n">
        <v>45531</v>
      </c>
      <c r="C562" s="1" t="n">
        <v>46002</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3347-2024</t>
        </is>
      </c>
      <c r="B563" s="1" t="n">
        <v>45317</v>
      </c>
      <c r="C563" s="1" t="n">
        <v>46002</v>
      </c>
      <c r="D563" t="inlineStr">
        <is>
          <t>VÄSTERNORRLANDS LÄN</t>
        </is>
      </c>
      <c r="E563" t="inlineStr">
        <is>
          <t>ÅNGE</t>
        </is>
      </c>
      <c r="G563" t="n">
        <v>0.5</v>
      </c>
      <c r="H563" t="n">
        <v>0</v>
      </c>
      <c r="I563" t="n">
        <v>0</v>
      </c>
      <c r="J563" t="n">
        <v>0</v>
      </c>
      <c r="K563" t="n">
        <v>0</v>
      </c>
      <c r="L563" t="n">
        <v>0</v>
      </c>
      <c r="M563" t="n">
        <v>0</v>
      </c>
      <c r="N563" t="n">
        <v>0</v>
      </c>
      <c r="O563" t="n">
        <v>0</v>
      </c>
      <c r="P563" t="n">
        <v>0</v>
      </c>
      <c r="Q563" t="n">
        <v>0</v>
      </c>
      <c r="R563" s="2" t="inlineStr"/>
    </row>
    <row r="564" ht="15" customHeight="1">
      <c r="A564" t="inlineStr">
        <is>
          <t>A 31563-2024</t>
        </is>
      </c>
      <c r="B564" s="1" t="n">
        <v>45505</v>
      </c>
      <c r="C564" s="1" t="n">
        <v>46002</v>
      </c>
      <c r="D564" t="inlineStr">
        <is>
          <t>VÄSTERNORRLANDS LÄN</t>
        </is>
      </c>
      <c r="E564" t="inlineStr">
        <is>
          <t>ÅNGE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26734-2025</t>
        </is>
      </c>
      <c r="B565" s="1" t="n">
        <v>45810.51087962963</v>
      </c>
      <c r="C565" s="1" t="n">
        <v>46002</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26901-2025</t>
        </is>
      </c>
      <c r="B566" s="1" t="n">
        <v>45811.34457175926</v>
      </c>
      <c r="C566" s="1" t="n">
        <v>46002</v>
      </c>
      <c r="D566" t="inlineStr">
        <is>
          <t>VÄSTERNORRLANDS LÄN</t>
        </is>
      </c>
      <c r="E566" t="inlineStr">
        <is>
          <t>ÅNGE</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33720-2025</t>
        </is>
      </c>
      <c r="B567" s="1" t="n">
        <v>45841.90605324074</v>
      </c>
      <c r="C567" s="1" t="n">
        <v>46002</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26655-2025</t>
        </is>
      </c>
      <c r="B568" s="1" t="n">
        <v>45810.39047453704</v>
      </c>
      <c r="C568" s="1" t="n">
        <v>46002</v>
      </c>
      <c r="D568" t="inlineStr">
        <is>
          <t>VÄSTERNORRLANDS LÄN</t>
        </is>
      </c>
      <c r="E568" t="inlineStr">
        <is>
          <t>ÅNGE</t>
        </is>
      </c>
      <c r="G568" t="n">
        <v>0.6</v>
      </c>
      <c r="H568" t="n">
        <v>0</v>
      </c>
      <c r="I568" t="n">
        <v>0</v>
      </c>
      <c r="J568" t="n">
        <v>0</v>
      </c>
      <c r="K568" t="n">
        <v>0</v>
      </c>
      <c r="L568" t="n">
        <v>0</v>
      </c>
      <c r="M568" t="n">
        <v>0</v>
      </c>
      <c r="N568" t="n">
        <v>0</v>
      </c>
      <c r="O568" t="n">
        <v>0</v>
      </c>
      <c r="P568" t="n">
        <v>0</v>
      </c>
      <c r="Q568" t="n">
        <v>0</v>
      </c>
      <c r="R568" s="2" t="inlineStr"/>
    </row>
    <row r="569" ht="15" customHeight="1">
      <c r="A569" t="inlineStr">
        <is>
          <t>A 5931-2025</t>
        </is>
      </c>
      <c r="B569" s="1" t="n">
        <v>45695.44827546296</v>
      </c>
      <c r="C569" s="1" t="n">
        <v>46002</v>
      </c>
      <c r="D569" t="inlineStr">
        <is>
          <t>VÄSTERNORRLANDS LÄN</t>
        </is>
      </c>
      <c r="E569" t="inlineStr">
        <is>
          <t>ÅNGE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35578-2025</t>
        </is>
      </c>
      <c r="B570" s="1" t="n">
        <v>45856.67797453704</v>
      </c>
      <c r="C570" s="1" t="n">
        <v>46002</v>
      </c>
      <c r="D570" t="inlineStr">
        <is>
          <t>VÄSTERNORRLANDS LÄN</t>
        </is>
      </c>
      <c r="E570" t="inlineStr">
        <is>
          <t>ÅNGE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26608-2025</t>
        </is>
      </c>
      <c r="B571" s="1" t="n">
        <v>45809.98600694445</v>
      </c>
      <c r="C571" s="1" t="n">
        <v>46002</v>
      </c>
      <c r="D571" t="inlineStr">
        <is>
          <t>VÄSTERNORRLANDS LÄN</t>
        </is>
      </c>
      <c r="E571" t="inlineStr">
        <is>
          <t>ÅNGE</t>
        </is>
      </c>
      <c r="G571" t="n">
        <v>4.5</v>
      </c>
      <c r="H571" t="n">
        <v>0</v>
      </c>
      <c r="I571" t="n">
        <v>0</v>
      </c>
      <c r="J571" t="n">
        <v>0</v>
      </c>
      <c r="K571" t="n">
        <v>0</v>
      </c>
      <c r="L571" t="n">
        <v>0</v>
      </c>
      <c r="M571" t="n">
        <v>0</v>
      </c>
      <c r="N571" t="n">
        <v>0</v>
      </c>
      <c r="O571" t="n">
        <v>0</v>
      </c>
      <c r="P571" t="n">
        <v>0</v>
      </c>
      <c r="Q571" t="n">
        <v>0</v>
      </c>
      <c r="R571" s="2" t="inlineStr"/>
    </row>
    <row r="572" ht="15" customHeight="1">
      <c r="A572" t="inlineStr">
        <is>
          <t>A 741-2024</t>
        </is>
      </c>
      <c r="B572" s="1" t="n">
        <v>45300.46591435185</v>
      </c>
      <c r="C572" s="1" t="n">
        <v>46002</v>
      </c>
      <c r="D572" t="inlineStr">
        <is>
          <t>VÄSTERNORRLANDS LÄN</t>
        </is>
      </c>
      <c r="E572" t="inlineStr">
        <is>
          <t>ÅNGE</t>
        </is>
      </c>
      <c r="G572" t="n">
        <v>8</v>
      </c>
      <c r="H572" t="n">
        <v>0</v>
      </c>
      <c r="I572" t="n">
        <v>0</v>
      </c>
      <c r="J572" t="n">
        <v>0</v>
      </c>
      <c r="K572" t="n">
        <v>0</v>
      </c>
      <c r="L572" t="n">
        <v>0</v>
      </c>
      <c r="M572" t="n">
        <v>0</v>
      </c>
      <c r="N572" t="n">
        <v>0</v>
      </c>
      <c r="O572" t="n">
        <v>0</v>
      </c>
      <c r="P572" t="n">
        <v>0</v>
      </c>
      <c r="Q572" t="n">
        <v>0</v>
      </c>
      <c r="R572" s="2" t="inlineStr"/>
    </row>
    <row r="573" ht="15" customHeight="1">
      <c r="A573" t="inlineStr">
        <is>
          <t>A 27023-2025</t>
        </is>
      </c>
      <c r="B573" s="1" t="n">
        <v>45811.57342592593</v>
      </c>
      <c r="C573" s="1" t="n">
        <v>46002</v>
      </c>
      <c r="D573" t="inlineStr">
        <is>
          <t>VÄSTERNORRLANDS LÄN</t>
        </is>
      </c>
      <c r="E573" t="inlineStr">
        <is>
          <t>ÅNGE</t>
        </is>
      </c>
      <c r="G573" t="n">
        <v>0.3</v>
      </c>
      <c r="H573" t="n">
        <v>0</v>
      </c>
      <c r="I573" t="n">
        <v>0</v>
      </c>
      <c r="J573" t="n">
        <v>0</v>
      </c>
      <c r="K573" t="n">
        <v>0</v>
      </c>
      <c r="L573" t="n">
        <v>0</v>
      </c>
      <c r="M573" t="n">
        <v>0</v>
      </c>
      <c r="N573" t="n">
        <v>0</v>
      </c>
      <c r="O573" t="n">
        <v>0</v>
      </c>
      <c r="P573" t="n">
        <v>0</v>
      </c>
      <c r="Q573" t="n">
        <v>0</v>
      </c>
      <c r="R573" s="2" t="inlineStr"/>
    </row>
    <row r="574" ht="15" customHeight="1">
      <c r="A574" t="inlineStr">
        <is>
          <t>A 48369-2024</t>
        </is>
      </c>
      <c r="B574" s="1" t="n">
        <v>45590.57960648148</v>
      </c>
      <c r="C574" s="1" t="n">
        <v>46002</v>
      </c>
      <c r="D574" t="inlineStr">
        <is>
          <t>VÄSTERNORRLANDS LÄN</t>
        </is>
      </c>
      <c r="E574" t="inlineStr">
        <is>
          <t>ÅNGE</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36790-2023</t>
        </is>
      </c>
      <c r="B575" s="1" t="n">
        <v>45154.36418981481</v>
      </c>
      <c r="C575" s="1" t="n">
        <v>46002</v>
      </c>
      <c r="D575" t="inlineStr">
        <is>
          <t>VÄSTERNORRLANDS LÄN</t>
        </is>
      </c>
      <c r="E575" t="inlineStr">
        <is>
          <t>ÅNGE</t>
        </is>
      </c>
      <c r="G575" t="n">
        <v>1.4</v>
      </c>
      <c r="H575" t="n">
        <v>0</v>
      </c>
      <c r="I575" t="n">
        <v>0</v>
      </c>
      <c r="J575" t="n">
        <v>0</v>
      </c>
      <c r="K575" t="n">
        <v>0</v>
      </c>
      <c r="L575" t="n">
        <v>0</v>
      </c>
      <c r="M575" t="n">
        <v>0</v>
      </c>
      <c r="N575" t="n">
        <v>0</v>
      </c>
      <c r="O575" t="n">
        <v>0</v>
      </c>
      <c r="P575" t="n">
        <v>0</v>
      </c>
      <c r="Q575" t="n">
        <v>0</v>
      </c>
      <c r="R575" s="2" t="inlineStr"/>
    </row>
    <row r="576" ht="15" customHeight="1">
      <c r="A576" t="inlineStr">
        <is>
          <t>A 42242-2023</t>
        </is>
      </c>
      <c r="B576" s="1" t="n">
        <v>45180.35025462963</v>
      </c>
      <c r="C576" s="1" t="n">
        <v>46002</v>
      </c>
      <c r="D576" t="inlineStr">
        <is>
          <t>VÄSTERNORRLANDS LÄN</t>
        </is>
      </c>
      <c r="E576" t="inlineStr">
        <is>
          <t>ÅNGE</t>
        </is>
      </c>
      <c r="G576" t="n">
        <v>5.7</v>
      </c>
      <c r="H576" t="n">
        <v>0</v>
      </c>
      <c r="I576" t="n">
        <v>0</v>
      </c>
      <c r="J576" t="n">
        <v>0</v>
      </c>
      <c r="K576" t="n">
        <v>0</v>
      </c>
      <c r="L576" t="n">
        <v>0</v>
      </c>
      <c r="M576" t="n">
        <v>0</v>
      </c>
      <c r="N576" t="n">
        <v>0</v>
      </c>
      <c r="O576" t="n">
        <v>0</v>
      </c>
      <c r="P576" t="n">
        <v>0</v>
      </c>
      <c r="Q576" t="n">
        <v>0</v>
      </c>
      <c r="R576" s="2" t="inlineStr"/>
    </row>
    <row r="577" ht="15" customHeight="1">
      <c r="A577" t="inlineStr">
        <is>
          <t>A 16524-2025</t>
        </is>
      </c>
      <c r="B577" s="1" t="n">
        <v>45751.64310185185</v>
      </c>
      <c r="C577" s="1" t="n">
        <v>46002</v>
      </c>
      <c r="D577" t="inlineStr">
        <is>
          <t>VÄSTERNORRLANDS LÄN</t>
        </is>
      </c>
      <c r="E577" t="inlineStr">
        <is>
          <t>ÅNGE</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25973-2022</t>
        </is>
      </c>
      <c r="B578" s="1" t="n">
        <v>44734</v>
      </c>
      <c r="C578" s="1" t="n">
        <v>46002</v>
      </c>
      <c r="D578" t="inlineStr">
        <is>
          <t>VÄSTERNORRLANDS LÄN</t>
        </is>
      </c>
      <c r="E578" t="inlineStr">
        <is>
          <t>ÅNGE</t>
        </is>
      </c>
      <c r="G578" t="n">
        <v>4.1</v>
      </c>
      <c r="H578" t="n">
        <v>0</v>
      </c>
      <c r="I578" t="n">
        <v>0</v>
      </c>
      <c r="J578" t="n">
        <v>0</v>
      </c>
      <c r="K578" t="n">
        <v>0</v>
      </c>
      <c r="L578" t="n">
        <v>0</v>
      </c>
      <c r="M578" t="n">
        <v>0</v>
      </c>
      <c r="N578" t="n">
        <v>0</v>
      </c>
      <c r="O578" t="n">
        <v>0</v>
      </c>
      <c r="P578" t="n">
        <v>0</v>
      </c>
      <c r="Q578" t="n">
        <v>0</v>
      </c>
      <c r="R578" s="2" t="inlineStr"/>
    </row>
    <row r="579" ht="15" customHeight="1">
      <c r="A579" t="inlineStr">
        <is>
          <t>A 40818-2025</t>
        </is>
      </c>
      <c r="B579" s="1" t="n">
        <v>45897.48881944444</v>
      </c>
      <c r="C579" s="1" t="n">
        <v>46002</v>
      </c>
      <c r="D579" t="inlineStr">
        <is>
          <t>VÄSTERNORRLANDS LÄN</t>
        </is>
      </c>
      <c r="E579" t="inlineStr">
        <is>
          <t>ÅNGE</t>
        </is>
      </c>
      <c r="G579" t="n">
        <v>2.9</v>
      </c>
      <c r="H579" t="n">
        <v>0</v>
      </c>
      <c r="I579" t="n">
        <v>0</v>
      </c>
      <c r="J579" t="n">
        <v>0</v>
      </c>
      <c r="K579" t="n">
        <v>0</v>
      </c>
      <c r="L579" t="n">
        <v>0</v>
      </c>
      <c r="M579" t="n">
        <v>0</v>
      </c>
      <c r="N579" t="n">
        <v>0</v>
      </c>
      <c r="O579" t="n">
        <v>0</v>
      </c>
      <c r="P579" t="n">
        <v>0</v>
      </c>
      <c r="Q579" t="n">
        <v>0</v>
      </c>
      <c r="R579" s="2" t="inlineStr"/>
    </row>
    <row r="580" ht="15" customHeight="1">
      <c r="A580" t="inlineStr">
        <is>
          <t>A 40830-2025</t>
        </is>
      </c>
      <c r="B580" s="1" t="n">
        <v>45897.51079861111</v>
      </c>
      <c r="C580" s="1" t="n">
        <v>46002</v>
      </c>
      <c r="D580" t="inlineStr">
        <is>
          <t>VÄSTERNORRLANDS LÄN</t>
        </is>
      </c>
      <c r="E580" t="inlineStr">
        <is>
          <t>ÅNGE</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52683-2024</t>
        </is>
      </c>
      <c r="B581" s="1" t="n">
        <v>45610</v>
      </c>
      <c r="C581" s="1" t="n">
        <v>46002</v>
      </c>
      <c r="D581" t="inlineStr">
        <is>
          <t>VÄSTERNORRLANDS LÄN</t>
        </is>
      </c>
      <c r="E581" t="inlineStr">
        <is>
          <t>ÅNGE</t>
        </is>
      </c>
      <c r="G581" t="n">
        <v>1.8</v>
      </c>
      <c r="H581" t="n">
        <v>0</v>
      </c>
      <c r="I581" t="n">
        <v>0</v>
      </c>
      <c r="J581" t="n">
        <v>0</v>
      </c>
      <c r="K581" t="n">
        <v>0</v>
      </c>
      <c r="L581" t="n">
        <v>0</v>
      </c>
      <c r="M581" t="n">
        <v>0</v>
      </c>
      <c r="N581" t="n">
        <v>0</v>
      </c>
      <c r="O581" t="n">
        <v>0</v>
      </c>
      <c r="P581" t="n">
        <v>0</v>
      </c>
      <c r="Q581" t="n">
        <v>0</v>
      </c>
      <c r="R581" s="2" t="inlineStr"/>
    </row>
    <row r="582" ht="15" customHeight="1">
      <c r="A582" t="inlineStr">
        <is>
          <t>A 40790-2023</t>
        </is>
      </c>
      <c r="B582" s="1" t="n">
        <v>45170.95814814815</v>
      </c>
      <c r="C582" s="1" t="n">
        <v>46002</v>
      </c>
      <c r="D582" t="inlineStr">
        <is>
          <t>VÄSTERNORRLANDS LÄN</t>
        </is>
      </c>
      <c r="E582" t="inlineStr">
        <is>
          <t>ÅNGE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38002-2024</t>
        </is>
      </c>
      <c r="B583" s="1" t="n">
        <v>45544.61484953704</v>
      </c>
      <c r="C583" s="1" t="n">
        <v>46002</v>
      </c>
      <c r="D583" t="inlineStr">
        <is>
          <t>VÄSTERNORRLANDS LÄN</t>
        </is>
      </c>
      <c r="E583" t="inlineStr">
        <is>
          <t>ÅNGE</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60514-2024</t>
        </is>
      </c>
      <c r="B584" s="1" t="n">
        <v>45643.67474537037</v>
      </c>
      <c r="C584" s="1" t="n">
        <v>46002</v>
      </c>
      <c r="D584" t="inlineStr">
        <is>
          <t>VÄSTERNORRLANDS LÄN</t>
        </is>
      </c>
      <c r="E584" t="inlineStr">
        <is>
          <t>ÅNGE</t>
        </is>
      </c>
      <c r="G584" t="n">
        <v>2.4</v>
      </c>
      <c r="H584" t="n">
        <v>0</v>
      </c>
      <c r="I584" t="n">
        <v>0</v>
      </c>
      <c r="J584" t="n">
        <v>0</v>
      </c>
      <c r="K584" t="n">
        <v>0</v>
      </c>
      <c r="L584" t="n">
        <v>0</v>
      </c>
      <c r="M584" t="n">
        <v>0</v>
      </c>
      <c r="N584" t="n">
        <v>0</v>
      </c>
      <c r="O584" t="n">
        <v>0</v>
      </c>
      <c r="P584" t="n">
        <v>0</v>
      </c>
      <c r="Q584" t="n">
        <v>0</v>
      </c>
      <c r="R584" s="2" t="inlineStr"/>
    </row>
    <row r="585" ht="15" customHeight="1">
      <c r="A585" t="inlineStr">
        <is>
          <t>A 6684-2024</t>
        </is>
      </c>
      <c r="B585" s="1" t="n">
        <v>45341.92555555556</v>
      </c>
      <c r="C585" s="1" t="n">
        <v>46002</v>
      </c>
      <c r="D585" t="inlineStr">
        <is>
          <t>VÄSTERNORRLANDS LÄN</t>
        </is>
      </c>
      <c r="E585" t="inlineStr">
        <is>
          <t>ÅNGE</t>
        </is>
      </c>
      <c r="G585" t="n">
        <v>1</v>
      </c>
      <c r="H585" t="n">
        <v>0</v>
      </c>
      <c r="I585" t="n">
        <v>0</v>
      </c>
      <c r="J585" t="n">
        <v>0</v>
      </c>
      <c r="K585" t="n">
        <v>0</v>
      </c>
      <c r="L585" t="n">
        <v>0</v>
      </c>
      <c r="M585" t="n">
        <v>0</v>
      </c>
      <c r="N585" t="n">
        <v>0</v>
      </c>
      <c r="O585" t="n">
        <v>0</v>
      </c>
      <c r="P585" t="n">
        <v>0</v>
      </c>
      <c r="Q585" t="n">
        <v>0</v>
      </c>
      <c r="R585" s="2" t="inlineStr"/>
    </row>
    <row r="586" ht="15" customHeight="1">
      <c r="A586" t="inlineStr">
        <is>
          <t>A 6691-2024</t>
        </is>
      </c>
      <c r="B586" s="1" t="n">
        <v>45341</v>
      </c>
      <c r="C586" s="1" t="n">
        <v>46002</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27164-2025</t>
        </is>
      </c>
      <c r="B587" s="1" t="n">
        <v>45812.34430555555</v>
      </c>
      <c r="C587" s="1" t="n">
        <v>46002</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40872-2025</t>
        </is>
      </c>
      <c r="B588" s="1" t="n">
        <v>45897.574375</v>
      </c>
      <c r="C588" s="1" t="n">
        <v>46002</v>
      </c>
      <c r="D588" t="inlineStr">
        <is>
          <t>VÄSTERNORRLANDS LÄN</t>
        </is>
      </c>
      <c r="E588" t="inlineStr">
        <is>
          <t>ÅNGE</t>
        </is>
      </c>
      <c r="F588" t="inlineStr">
        <is>
          <t>SCA</t>
        </is>
      </c>
      <c r="G588" t="n">
        <v>4.5</v>
      </c>
      <c r="H588" t="n">
        <v>0</v>
      </c>
      <c r="I588" t="n">
        <v>0</v>
      </c>
      <c r="J588" t="n">
        <v>0</v>
      </c>
      <c r="K588" t="n">
        <v>0</v>
      </c>
      <c r="L588" t="n">
        <v>0</v>
      </c>
      <c r="M588" t="n">
        <v>0</v>
      </c>
      <c r="N588" t="n">
        <v>0</v>
      </c>
      <c r="O588" t="n">
        <v>0</v>
      </c>
      <c r="P588" t="n">
        <v>0</v>
      </c>
      <c r="Q588" t="n">
        <v>0</v>
      </c>
      <c r="R588" s="2" t="inlineStr"/>
    </row>
    <row r="589" ht="15" customHeight="1">
      <c r="A589" t="inlineStr">
        <is>
          <t>A 27606-2025</t>
        </is>
      </c>
      <c r="B589" s="1" t="n">
        <v>45813.53200231482</v>
      </c>
      <c r="C589" s="1" t="n">
        <v>46002</v>
      </c>
      <c r="D589" t="inlineStr">
        <is>
          <t>VÄSTERNORRLANDS LÄN</t>
        </is>
      </c>
      <c r="E589" t="inlineStr">
        <is>
          <t>ÅNGE</t>
        </is>
      </c>
      <c r="F589" t="inlineStr">
        <is>
          <t>SCA</t>
        </is>
      </c>
      <c r="G589" t="n">
        <v>6.3</v>
      </c>
      <c r="H589" t="n">
        <v>0</v>
      </c>
      <c r="I589" t="n">
        <v>0</v>
      </c>
      <c r="J589" t="n">
        <v>0</v>
      </c>
      <c r="K589" t="n">
        <v>0</v>
      </c>
      <c r="L589" t="n">
        <v>0</v>
      </c>
      <c r="M589" t="n">
        <v>0</v>
      </c>
      <c r="N589" t="n">
        <v>0</v>
      </c>
      <c r="O589" t="n">
        <v>0</v>
      </c>
      <c r="P589" t="n">
        <v>0</v>
      </c>
      <c r="Q589" t="n">
        <v>0</v>
      </c>
      <c r="R589" s="2" t="inlineStr"/>
    </row>
    <row r="590" ht="15" customHeight="1">
      <c r="A590" t="inlineStr">
        <is>
          <t>A 40665-2025</t>
        </is>
      </c>
      <c r="B590" s="1" t="n">
        <v>45896.65663194445</v>
      </c>
      <c r="C590" s="1" t="n">
        <v>46002</v>
      </c>
      <c r="D590" t="inlineStr">
        <is>
          <t>VÄSTERNORRLANDS LÄN</t>
        </is>
      </c>
      <c r="E590" t="inlineStr">
        <is>
          <t>ÅNGE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40898-2025</t>
        </is>
      </c>
      <c r="B591" s="1" t="n">
        <v>45897.61503472222</v>
      </c>
      <c r="C591" s="1" t="n">
        <v>46002</v>
      </c>
      <c r="D591" t="inlineStr">
        <is>
          <t>VÄSTERNORRLANDS LÄN</t>
        </is>
      </c>
      <c r="E591" t="inlineStr">
        <is>
          <t>ÅNGE</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40899-2025</t>
        </is>
      </c>
      <c r="B592" s="1" t="n">
        <v>45897.61528935185</v>
      </c>
      <c r="C592" s="1" t="n">
        <v>46002</v>
      </c>
      <c r="D592" t="inlineStr">
        <is>
          <t>VÄSTERNORRLANDS LÄN</t>
        </is>
      </c>
      <c r="E592" t="inlineStr">
        <is>
          <t>ÅNGE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33750-2024</t>
        </is>
      </c>
      <c r="B593" s="1" t="n">
        <v>45520.56475694444</v>
      </c>
      <c r="C593" s="1" t="n">
        <v>46002</v>
      </c>
      <c r="D593" t="inlineStr">
        <is>
          <t>VÄSTERNORRLANDS LÄN</t>
        </is>
      </c>
      <c r="E593" t="inlineStr">
        <is>
          <t>ÅNGE</t>
        </is>
      </c>
      <c r="G593" t="n">
        <v>1.3</v>
      </c>
      <c r="H593" t="n">
        <v>0</v>
      </c>
      <c r="I593" t="n">
        <v>0</v>
      </c>
      <c r="J593" t="n">
        <v>0</v>
      </c>
      <c r="K593" t="n">
        <v>0</v>
      </c>
      <c r="L593" t="n">
        <v>0</v>
      </c>
      <c r="M593" t="n">
        <v>0</v>
      </c>
      <c r="N593" t="n">
        <v>0</v>
      </c>
      <c r="O593" t="n">
        <v>0</v>
      </c>
      <c r="P593" t="n">
        <v>0</v>
      </c>
      <c r="Q593" t="n">
        <v>0</v>
      </c>
      <c r="R593" s="2" t="inlineStr"/>
    </row>
    <row r="594" ht="15" customHeight="1">
      <c r="A594" t="inlineStr">
        <is>
          <t>A 41179-2025</t>
        </is>
      </c>
      <c r="B594" s="1" t="n">
        <v>45898.55277777778</v>
      </c>
      <c r="C594" s="1" t="n">
        <v>46002</v>
      </c>
      <c r="D594" t="inlineStr">
        <is>
          <t>VÄSTERNORRLANDS LÄN</t>
        </is>
      </c>
      <c r="E594" t="inlineStr">
        <is>
          <t>ÅNGE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41173-2025</t>
        </is>
      </c>
      <c r="B595" s="1" t="n">
        <v>45898</v>
      </c>
      <c r="C595" s="1" t="n">
        <v>46002</v>
      </c>
      <c r="D595" t="inlineStr">
        <is>
          <t>VÄSTERNORRLANDS LÄN</t>
        </is>
      </c>
      <c r="E595" t="inlineStr">
        <is>
          <t>ÅNGE</t>
        </is>
      </c>
      <c r="G595" t="n">
        <v>3.6</v>
      </c>
      <c r="H595" t="n">
        <v>0</v>
      </c>
      <c r="I595" t="n">
        <v>0</v>
      </c>
      <c r="J595" t="n">
        <v>0</v>
      </c>
      <c r="K595" t="n">
        <v>0</v>
      </c>
      <c r="L595" t="n">
        <v>0</v>
      </c>
      <c r="M595" t="n">
        <v>0</v>
      </c>
      <c r="N595" t="n">
        <v>0</v>
      </c>
      <c r="O595" t="n">
        <v>0</v>
      </c>
      <c r="P595" t="n">
        <v>0</v>
      </c>
      <c r="Q595" t="n">
        <v>0</v>
      </c>
      <c r="R595" s="2" t="inlineStr"/>
    </row>
    <row r="596" ht="15" customHeight="1">
      <c r="A596" t="inlineStr">
        <is>
          <t>A 41355-2025</t>
        </is>
      </c>
      <c r="B596" s="1" t="n">
        <v>45900.34425925926</v>
      </c>
      <c r="C596" s="1" t="n">
        <v>46002</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27639-2025</t>
        </is>
      </c>
      <c r="B597" s="1" t="n">
        <v>45813</v>
      </c>
      <c r="C597" s="1" t="n">
        <v>46002</v>
      </c>
      <c r="D597" t="inlineStr">
        <is>
          <t>VÄSTERNORRLANDS LÄN</t>
        </is>
      </c>
      <c r="E597" t="inlineStr">
        <is>
          <t>ÅNGE</t>
        </is>
      </c>
      <c r="G597" t="n">
        <v>22.9</v>
      </c>
      <c r="H597" t="n">
        <v>0</v>
      </c>
      <c r="I597" t="n">
        <v>0</v>
      </c>
      <c r="J597" t="n">
        <v>0</v>
      </c>
      <c r="K597" t="n">
        <v>0</v>
      </c>
      <c r="L597" t="n">
        <v>0</v>
      </c>
      <c r="M597" t="n">
        <v>0</v>
      </c>
      <c r="N597" t="n">
        <v>0</v>
      </c>
      <c r="O597" t="n">
        <v>0</v>
      </c>
      <c r="P597" t="n">
        <v>0</v>
      </c>
      <c r="Q597" t="n">
        <v>0</v>
      </c>
      <c r="R597" s="2" t="inlineStr"/>
    </row>
    <row r="598" ht="15" customHeight="1">
      <c r="A598" t="inlineStr">
        <is>
          <t>A 27572-2025</t>
        </is>
      </c>
      <c r="B598" s="1" t="n">
        <v>45813.49049768518</v>
      </c>
      <c r="C598" s="1" t="n">
        <v>46002</v>
      </c>
      <c r="D598" t="inlineStr">
        <is>
          <t>VÄSTERNORRLANDS LÄN</t>
        </is>
      </c>
      <c r="E598" t="inlineStr">
        <is>
          <t>ÅNGE</t>
        </is>
      </c>
      <c r="F598" t="inlineStr">
        <is>
          <t>SCA</t>
        </is>
      </c>
      <c r="G598" t="n">
        <v>14.3</v>
      </c>
      <c r="H598" t="n">
        <v>0</v>
      </c>
      <c r="I598" t="n">
        <v>0</v>
      </c>
      <c r="J598" t="n">
        <v>0</v>
      </c>
      <c r="K598" t="n">
        <v>0</v>
      </c>
      <c r="L598" t="n">
        <v>0</v>
      </c>
      <c r="M598" t="n">
        <v>0</v>
      </c>
      <c r="N598" t="n">
        <v>0</v>
      </c>
      <c r="O598" t="n">
        <v>0</v>
      </c>
      <c r="P598" t="n">
        <v>0</v>
      </c>
      <c r="Q598" t="n">
        <v>0</v>
      </c>
      <c r="R598" s="2" t="inlineStr"/>
    </row>
    <row r="599" ht="15" customHeight="1">
      <c r="A599" t="inlineStr">
        <is>
          <t>A 27165-2025</t>
        </is>
      </c>
      <c r="B599" s="1" t="n">
        <v>45812.34440972222</v>
      </c>
      <c r="C599" s="1" t="n">
        <v>46002</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27545-2025</t>
        </is>
      </c>
      <c r="B600" s="1" t="n">
        <v>45813.46942129629</v>
      </c>
      <c r="C600" s="1" t="n">
        <v>46002</v>
      </c>
      <c r="D600" t="inlineStr">
        <is>
          <t>VÄSTERNORRLANDS LÄN</t>
        </is>
      </c>
      <c r="E600" t="inlineStr">
        <is>
          <t>ÅNGE</t>
        </is>
      </c>
      <c r="F600" t="inlineStr">
        <is>
          <t>SCA</t>
        </is>
      </c>
      <c r="G600" t="n">
        <v>14.3</v>
      </c>
      <c r="H600" t="n">
        <v>0</v>
      </c>
      <c r="I600" t="n">
        <v>0</v>
      </c>
      <c r="J600" t="n">
        <v>0</v>
      </c>
      <c r="K600" t="n">
        <v>0</v>
      </c>
      <c r="L600" t="n">
        <v>0</v>
      </c>
      <c r="M600" t="n">
        <v>0</v>
      </c>
      <c r="N600" t="n">
        <v>0</v>
      </c>
      <c r="O600" t="n">
        <v>0</v>
      </c>
      <c r="P600" t="n">
        <v>0</v>
      </c>
      <c r="Q600" t="n">
        <v>0</v>
      </c>
      <c r="R600" s="2" t="inlineStr"/>
    </row>
    <row r="601" ht="15" customHeight="1">
      <c r="A601" t="inlineStr">
        <is>
          <t>A 56874-2024</t>
        </is>
      </c>
      <c r="B601" s="1" t="n">
        <v>45628</v>
      </c>
      <c r="C601" s="1" t="n">
        <v>46002</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58087-2024</t>
        </is>
      </c>
      <c r="B602" s="1" t="n">
        <v>45632.34502314815</v>
      </c>
      <c r="C602" s="1" t="n">
        <v>46002</v>
      </c>
      <c r="D602" t="inlineStr">
        <is>
          <t>VÄSTERNORRLANDS LÄN</t>
        </is>
      </c>
      <c r="E602" t="inlineStr">
        <is>
          <t>ÅNGE</t>
        </is>
      </c>
      <c r="G602" t="n">
        <v>2.6</v>
      </c>
      <c r="H602" t="n">
        <v>0</v>
      </c>
      <c r="I602" t="n">
        <v>0</v>
      </c>
      <c r="J602" t="n">
        <v>0</v>
      </c>
      <c r="K602" t="n">
        <v>0</v>
      </c>
      <c r="L602" t="n">
        <v>0</v>
      </c>
      <c r="M602" t="n">
        <v>0</v>
      </c>
      <c r="N602" t="n">
        <v>0</v>
      </c>
      <c r="O602" t="n">
        <v>0</v>
      </c>
      <c r="P602" t="n">
        <v>0</v>
      </c>
      <c r="Q602" t="n">
        <v>0</v>
      </c>
      <c r="R602" s="2" t="inlineStr"/>
    </row>
    <row r="603" ht="15" customHeight="1">
      <c r="A603" t="inlineStr">
        <is>
          <t>A 21200-2024</t>
        </is>
      </c>
      <c r="B603" s="1" t="n">
        <v>45440</v>
      </c>
      <c r="C603" s="1" t="n">
        <v>46002</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10017-2025</t>
        </is>
      </c>
      <c r="B604" s="1" t="n">
        <v>45719.46957175926</v>
      </c>
      <c r="C604" s="1" t="n">
        <v>46002</v>
      </c>
      <c r="D604" t="inlineStr">
        <is>
          <t>VÄSTERNORRLANDS LÄN</t>
        </is>
      </c>
      <c r="E604" t="inlineStr">
        <is>
          <t>ÅNGE</t>
        </is>
      </c>
      <c r="F604" t="inlineStr">
        <is>
          <t>SCA</t>
        </is>
      </c>
      <c r="G604" t="n">
        <v>9.9</v>
      </c>
      <c r="H604" t="n">
        <v>0</v>
      </c>
      <c r="I604" t="n">
        <v>0</v>
      </c>
      <c r="J604" t="n">
        <v>0</v>
      </c>
      <c r="K604" t="n">
        <v>0</v>
      </c>
      <c r="L604" t="n">
        <v>0</v>
      </c>
      <c r="M604" t="n">
        <v>0</v>
      </c>
      <c r="N604" t="n">
        <v>0</v>
      </c>
      <c r="O604" t="n">
        <v>0</v>
      </c>
      <c r="P604" t="n">
        <v>0</v>
      </c>
      <c r="Q604" t="n">
        <v>0</v>
      </c>
      <c r="R604" s="2" t="inlineStr"/>
    </row>
    <row r="605" ht="15" customHeight="1">
      <c r="A605" t="inlineStr">
        <is>
          <t>A 28085-2025</t>
        </is>
      </c>
      <c r="B605" s="1" t="n">
        <v>45817.71924768519</v>
      </c>
      <c r="C605" s="1" t="n">
        <v>46002</v>
      </c>
      <c r="D605" t="inlineStr">
        <is>
          <t>VÄSTERNORRLANDS LÄN</t>
        </is>
      </c>
      <c r="E605" t="inlineStr">
        <is>
          <t>ÅNGE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1127-2023</t>
        </is>
      </c>
      <c r="B606" s="1" t="n">
        <v>44929</v>
      </c>
      <c r="C606" s="1" t="n">
        <v>46002</v>
      </c>
      <c r="D606" t="inlineStr">
        <is>
          <t>VÄSTERNORRLANDS LÄN</t>
        </is>
      </c>
      <c r="E606" t="inlineStr">
        <is>
          <t>ÅNGE</t>
        </is>
      </c>
      <c r="G606" t="n">
        <v>10.5</v>
      </c>
      <c r="H606" t="n">
        <v>0</v>
      </c>
      <c r="I606" t="n">
        <v>0</v>
      </c>
      <c r="J606" t="n">
        <v>0</v>
      </c>
      <c r="K606" t="n">
        <v>0</v>
      </c>
      <c r="L606" t="n">
        <v>0</v>
      </c>
      <c r="M606" t="n">
        <v>0</v>
      </c>
      <c r="N606" t="n">
        <v>0</v>
      </c>
      <c r="O606" t="n">
        <v>0</v>
      </c>
      <c r="P606" t="n">
        <v>0</v>
      </c>
      <c r="Q606" t="n">
        <v>0</v>
      </c>
      <c r="R606" s="2" t="inlineStr"/>
    </row>
    <row r="607" ht="15" customHeight="1">
      <c r="A607" t="inlineStr">
        <is>
          <t>A 22755-2023</t>
        </is>
      </c>
      <c r="B607" s="1" t="n">
        <v>45071.94127314815</v>
      </c>
      <c r="C607" s="1" t="n">
        <v>46002</v>
      </c>
      <c r="D607" t="inlineStr">
        <is>
          <t>VÄSTERNORRLANDS LÄN</t>
        </is>
      </c>
      <c r="E607" t="inlineStr">
        <is>
          <t>ÅNGE</t>
        </is>
      </c>
      <c r="F607" t="inlineStr">
        <is>
          <t>SCA</t>
        </is>
      </c>
      <c r="G607" t="n">
        <v>12.6</v>
      </c>
      <c r="H607" t="n">
        <v>0</v>
      </c>
      <c r="I607" t="n">
        <v>0</v>
      </c>
      <c r="J607" t="n">
        <v>0</v>
      </c>
      <c r="K607" t="n">
        <v>0</v>
      </c>
      <c r="L607" t="n">
        <v>0</v>
      </c>
      <c r="M607" t="n">
        <v>0</v>
      </c>
      <c r="N607" t="n">
        <v>0</v>
      </c>
      <c r="O607" t="n">
        <v>0</v>
      </c>
      <c r="P607" t="n">
        <v>0</v>
      </c>
      <c r="Q607" t="n">
        <v>0</v>
      </c>
      <c r="R607" s="2" t="inlineStr"/>
    </row>
    <row r="608" ht="15" customHeight="1">
      <c r="A608" t="inlineStr">
        <is>
          <t>A 28070-2025</t>
        </is>
      </c>
      <c r="B608" s="1" t="n">
        <v>45817.67739583334</v>
      </c>
      <c r="C608" s="1" t="n">
        <v>46002</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4727-2023</t>
        </is>
      </c>
      <c r="B609" s="1" t="n">
        <v>44953</v>
      </c>
      <c r="C609" s="1" t="n">
        <v>46002</v>
      </c>
      <c r="D609" t="inlineStr">
        <is>
          <t>VÄSTERNORRLANDS LÄN</t>
        </is>
      </c>
      <c r="E609" t="inlineStr">
        <is>
          <t>ÅNGE</t>
        </is>
      </c>
      <c r="G609" t="n">
        <v>0.4</v>
      </c>
      <c r="H609" t="n">
        <v>0</v>
      </c>
      <c r="I609" t="n">
        <v>0</v>
      </c>
      <c r="J609" t="n">
        <v>0</v>
      </c>
      <c r="K609" t="n">
        <v>0</v>
      </c>
      <c r="L609" t="n">
        <v>0</v>
      </c>
      <c r="M609" t="n">
        <v>0</v>
      </c>
      <c r="N609" t="n">
        <v>0</v>
      </c>
      <c r="O609" t="n">
        <v>0</v>
      </c>
      <c r="P609" t="n">
        <v>0</v>
      </c>
      <c r="Q609" t="n">
        <v>0</v>
      </c>
      <c r="R609" s="2" t="inlineStr"/>
    </row>
    <row r="610" ht="15" customHeight="1">
      <c r="A610" t="inlineStr">
        <is>
          <t>A 41872-2025</t>
        </is>
      </c>
      <c r="B610" s="1" t="n">
        <v>45903.34497685185</v>
      </c>
      <c r="C610" s="1" t="n">
        <v>46002</v>
      </c>
      <c r="D610" t="inlineStr">
        <is>
          <t>VÄSTERNORRLANDS LÄN</t>
        </is>
      </c>
      <c r="E610" t="inlineStr">
        <is>
          <t>ÅNGE</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42881-2023</t>
        </is>
      </c>
      <c r="B611" s="1" t="n">
        <v>45182.45256944445</v>
      </c>
      <c r="C611" s="1" t="n">
        <v>46002</v>
      </c>
      <c r="D611" t="inlineStr">
        <is>
          <t>VÄSTERNORRLANDS LÄN</t>
        </is>
      </c>
      <c r="E611" t="inlineStr">
        <is>
          <t>ÅNGE</t>
        </is>
      </c>
      <c r="G611" t="n">
        <v>3.9</v>
      </c>
      <c r="H611" t="n">
        <v>0</v>
      </c>
      <c r="I611" t="n">
        <v>0</v>
      </c>
      <c r="J611" t="n">
        <v>0</v>
      </c>
      <c r="K611" t="n">
        <v>0</v>
      </c>
      <c r="L611" t="n">
        <v>0</v>
      </c>
      <c r="M611" t="n">
        <v>0</v>
      </c>
      <c r="N611" t="n">
        <v>0</v>
      </c>
      <c r="O611" t="n">
        <v>0</v>
      </c>
      <c r="P611" t="n">
        <v>0</v>
      </c>
      <c r="Q611" t="n">
        <v>0</v>
      </c>
      <c r="R611" s="2" t="inlineStr"/>
    </row>
    <row r="612" ht="15" customHeight="1">
      <c r="A612" t="inlineStr">
        <is>
          <t>A 41870-2025</t>
        </is>
      </c>
      <c r="B612" s="1" t="n">
        <v>45903.3446412037</v>
      </c>
      <c r="C612" s="1" t="n">
        <v>46002</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30474-2024</t>
        </is>
      </c>
      <c r="B613" s="1" t="n">
        <v>45491</v>
      </c>
      <c r="C613" s="1" t="n">
        <v>46002</v>
      </c>
      <c r="D613" t="inlineStr">
        <is>
          <t>VÄSTERNORRLANDS LÄN</t>
        </is>
      </c>
      <c r="E613" t="inlineStr">
        <is>
          <t>ÅNGE</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30475-2024</t>
        </is>
      </c>
      <c r="B614" s="1" t="n">
        <v>45491</v>
      </c>
      <c r="C614" s="1" t="n">
        <v>46002</v>
      </c>
      <c r="D614" t="inlineStr">
        <is>
          <t>VÄSTERNORRLANDS LÄN</t>
        </is>
      </c>
      <c r="E614" t="inlineStr">
        <is>
          <t>ÅNGE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47243-2024</t>
        </is>
      </c>
      <c r="B615" s="1" t="n">
        <v>45586.6987962963</v>
      </c>
      <c r="C615" s="1" t="n">
        <v>46002</v>
      </c>
      <c r="D615" t="inlineStr">
        <is>
          <t>VÄSTERNORRLANDS LÄN</t>
        </is>
      </c>
      <c r="E615" t="inlineStr">
        <is>
          <t>ÅNGE</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42043-2024</t>
        </is>
      </c>
      <c r="B616" s="1" t="n">
        <v>45561</v>
      </c>
      <c r="C616" s="1" t="n">
        <v>46002</v>
      </c>
      <c r="D616" t="inlineStr">
        <is>
          <t>VÄSTERNORRLANDS LÄN</t>
        </is>
      </c>
      <c r="E616" t="inlineStr">
        <is>
          <t>ÅNGE</t>
        </is>
      </c>
      <c r="G616" t="n">
        <v>3.1</v>
      </c>
      <c r="H616" t="n">
        <v>0</v>
      </c>
      <c r="I616" t="n">
        <v>0</v>
      </c>
      <c r="J616" t="n">
        <v>0</v>
      </c>
      <c r="K616" t="n">
        <v>0</v>
      </c>
      <c r="L616" t="n">
        <v>0</v>
      </c>
      <c r="M616" t="n">
        <v>0</v>
      </c>
      <c r="N616" t="n">
        <v>0</v>
      </c>
      <c r="O616" t="n">
        <v>0</v>
      </c>
      <c r="P616" t="n">
        <v>0</v>
      </c>
      <c r="Q616" t="n">
        <v>0</v>
      </c>
      <c r="R616" s="2" t="inlineStr"/>
    </row>
    <row r="617" ht="15" customHeight="1">
      <c r="A617" t="inlineStr">
        <is>
          <t>A 42046-2024</t>
        </is>
      </c>
      <c r="B617" s="1" t="n">
        <v>45561.83422453704</v>
      </c>
      <c r="C617" s="1" t="n">
        <v>46002</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28143-2025</t>
        </is>
      </c>
      <c r="B618" s="1" t="n">
        <v>45818.34546296296</v>
      </c>
      <c r="C618" s="1" t="n">
        <v>46002</v>
      </c>
      <c r="D618" t="inlineStr">
        <is>
          <t>VÄSTERNORRLANDS LÄN</t>
        </is>
      </c>
      <c r="E618" t="inlineStr">
        <is>
          <t>ÅNGE</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28404-2025</t>
        </is>
      </c>
      <c r="B619" s="1" t="n">
        <v>45819.34532407407</v>
      </c>
      <c r="C619" s="1" t="n">
        <v>46002</v>
      </c>
      <c r="D619" t="inlineStr">
        <is>
          <t>VÄSTERNORRLANDS LÄN</t>
        </is>
      </c>
      <c r="E619" t="inlineStr">
        <is>
          <t>ÅNGE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29153-2025</t>
        </is>
      </c>
      <c r="B620" s="1" t="n">
        <v>45821.63574074074</v>
      </c>
      <c r="C620" s="1" t="n">
        <v>46002</v>
      </c>
      <c r="D620" t="inlineStr">
        <is>
          <t>VÄSTERNORRLANDS LÄN</t>
        </is>
      </c>
      <c r="E620" t="inlineStr">
        <is>
          <t>ÅNGE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28896-2025</t>
        </is>
      </c>
      <c r="B621" s="1" t="n">
        <v>45820.63584490741</v>
      </c>
      <c r="C621" s="1" t="n">
        <v>46002</v>
      </c>
      <c r="D621" t="inlineStr">
        <is>
          <t>VÄSTERNORRLANDS LÄN</t>
        </is>
      </c>
      <c r="E621" t="inlineStr">
        <is>
          <t>ÅNGE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28814-2025</t>
        </is>
      </c>
      <c r="B622" s="1" t="n">
        <v>45820.52846064815</v>
      </c>
      <c r="C622" s="1" t="n">
        <v>46002</v>
      </c>
      <c r="D622" t="inlineStr">
        <is>
          <t>VÄSTERNORRLANDS LÄN</t>
        </is>
      </c>
      <c r="E622" t="inlineStr">
        <is>
          <t>ÅNGE</t>
        </is>
      </c>
      <c r="G622" t="n">
        <v>2.6</v>
      </c>
      <c r="H622" t="n">
        <v>0</v>
      </c>
      <c r="I622" t="n">
        <v>0</v>
      </c>
      <c r="J622" t="n">
        <v>0</v>
      </c>
      <c r="K622" t="n">
        <v>0</v>
      </c>
      <c r="L622" t="n">
        <v>0</v>
      </c>
      <c r="M622" t="n">
        <v>0</v>
      </c>
      <c r="N622" t="n">
        <v>0</v>
      </c>
      <c r="O622" t="n">
        <v>0</v>
      </c>
      <c r="P622" t="n">
        <v>0</v>
      </c>
      <c r="Q622" t="n">
        <v>0</v>
      </c>
      <c r="R622" s="2" t="inlineStr"/>
    </row>
    <row r="623" ht="15" customHeight="1">
      <c r="A623" t="inlineStr">
        <is>
          <t>A 5035-2025</t>
        </is>
      </c>
      <c r="B623" s="1" t="n">
        <v>45691</v>
      </c>
      <c r="C623" s="1" t="n">
        <v>46002</v>
      </c>
      <c r="D623" t="inlineStr">
        <is>
          <t>VÄSTERNORRLANDS LÄN</t>
        </is>
      </c>
      <c r="E623" t="inlineStr">
        <is>
          <t>ÅNGE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55664-2023</t>
        </is>
      </c>
      <c r="B624" s="1" t="n">
        <v>45238.96748842593</v>
      </c>
      <c r="C624" s="1" t="n">
        <v>46002</v>
      </c>
      <c r="D624" t="inlineStr">
        <is>
          <t>VÄSTERNORRLANDS LÄN</t>
        </is>
      </c>
      <c r="E624" t="inlineStr">
        <is>
          <t>ÅNGE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57595-2022</t>
        </is>
      </c>
      <c r="B625" s="1" t="n">
        <v>44896.97862268519</v>
      </c>
      <c r="C625" s="1" t="n">
        <v>46002</v>
      </c>
      <c r="D625" t="inlineStr">
        <is>
          <t>VÄSTERNORRLANDS LÄN</t>
        </is>
      </c>
      <c r="E625" t="inlineStr">
        <is>
          <t>ÅNGE</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30747-2024</t>
        </is>
      </c>
      <c r="B626" s="1" t="n">
        <v>45496</v>
      </c>
      <c r="C626" s="1" t="n">
        <v>46002</v>
      </c>
      <c r="D626" t="inlineStr">
        <is>
          <t>VÄSTERNORRLANDS LÄN</t>
        </is>
      </c>
      <c r="E626" t="inlineStr">
        <is>
          <t>ÅNGE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28717-2025</t>
        </is>
      </c>
      <c r="B627" s="1" t="n">
        <v>45820</v>
      </c>
      <c r="C627" s="1" t="n">
        <v>46002</v>
      </c>
      <c r="D627" t="inlineStr">
        <is>
          <t>VÄSTERNORRLANDS LÄN</t>
        </is>
      </c>
      <c r="E627" t="inlineStr">
        <is>
          <t>ÅNGE</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21456-2025</t>
        </is>
      </c>
      <c r="B628" s="1" t="n">
        <v>45782.55342592593</v>
      </c>
      <c r="C628" s="1" t="n">
        <v>46002</v>
      </c>
      <c r="D628" t="inlineStr">
        <is>
          <t>VÄSTERNORRLANDS LÄN</t>
        </is>
      </c>
      <c r="E628" t="inlineStr">
        <is>
          <t>ÅNGE</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42589-2025</t>
        </is>
      </c>
      <c r="B629" s="1" t="n">
        <v>45905.63585648148</v>
      </c>
      <c r="C629" s="1" t="n">
        <v>46002</v>
      </c>
      <c r="D629" t="inlineStr">
        <is>
          <t>VÄSTERNORRLANDS LÄN</t>
        </is>
      </c>
      <c r="E629" t="inlineStr">
        <is>
          <t>ÅNGE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9619-2021</t>
        </is>
      </c>
      <c r="B630" s="1" t="n">
        <v>44251</v>
      </c>
      <c r="C630" s="1" t="n">
        <v>46002</v>
      </c>
      <c r="D630" t="inlineStr">
        <is>
          <t>VÄSTERNORRLANDS LÄN</t>
        </is>
      </c>
      <c r="E630" t="inlineStr">
        <is>
          <t>ÅNGE</t>
        </is>
      </c>
      <c r="G630" t="n">
        <v>10.4</v>
      </c>
      <c r="H630" t="n">
        <v>0</v>
      </c>
      <c r="I630" t="n">
        <v>0</v>
      </c>
      <c r="J630" t="n">
        <v>0</v>
      </c>
      <c r="K630" t="n">
        <v>0</v>
      </c>
      <c r="L630" t="n">
        <v>0</v>
      </c>
      <c r="M630" t="n">
        <v>0</v>
      </c>
      <c r="N630" t="n">
        <v>0</v>
      </c>
      <c r="O630" t="n">
        <v>0</v>
      </c>
      <c r="P630" t="n">
        <v>0</v>
      </c>
      <c r="Q630" t="n">
        <v>0</v>
      </c>
      <c r="R630" s="2" t="inlineStr"/>
    </row>
    <row r="631" ht="15" customHeight="1">
      <c r="A631" t="inlineStr">
        <is>
          <t>A 58939-2021</t>
        </is>
      </c>
      <c r="B631" s="1" t="n">
        <v>44489</v>
      </c>
      <c r="C631" s="1" t="n">
        <v>46002</v>
      </c>
      <c r="D631" t="inlineStr">
        <is>
          <t>VÄSTERNORRLANDS LÄN</t>
        </is>
      </c>
      <c r="E631" t="inlineStr">
        <is>
          <t>ÅNGE</t>
        </is>
      </c>
      <c r="G631" t="n">
        <v>2.5</v>
      </c>
      <c r="H631" t="n">
        <v>0</v>
      </c>
      <c r="I631" t="n">
        <v>0</v>
      </c>
      <c r="J631" t="n">
        <v>0</v>
      </c>
      <c r="K631" t="n">
        <v>0</v>
      </c>
      <c r="L631" t="n">
        <v>0</v>
      </c>
      <c r="M631" t="n">
        <v>0</v>
      </c>
      <c r="N631" t="n">
        <v>0</v>
      </c>
      <c r="O631" t="n">
        <v>0</v>
      </c>
      <c r="P631" t="n">
        <v>0</v>
      </c>
      <c r="Q631" t="n">
        <v>0</v>
      </c>
      <c r="R631" s="2" t="inlineStr"/>
    </row>
    <row r="632" ht="15" customHeight="1">
      <c r="A632" t="inlineStr">
        <is>
          <t>A 28819-2025</t>
        </is>
      </c>
      <c r="B632" s="1" t="n">
        <v>45820.53758101852</v>
      </c>
      <c r="C632" s="1" t="n">
        <v>46002</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28845-2025</t>
        </is>
      </c>
      <c r="B633" s="1" t="n">
        <v>45820.57324074074</v>
      </c>
      <c r="C633" s="1" t="n">
        <v>46002</v>
      </c>
      <c r="D633" t="inlineStr">
        <is>
          <t>VÄSTERNORRLANDS LÄN</t>
        </is>
      </c>
      <c r="E633" t="inlineStr">
        <is>
          <t>ÅNGE</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29786-2025</t>
        </is>
      </c>
      <c r="B634" s="1" t="n">
        <v>45825.65663194445</v>
      </c>
      <c r="C634" s="1" t="n">
        <v>46002</v>
      </c>
      <c r="D634" t="inlineStr">
        <is>
          <t>VÄSTERNORRLANDS LÄN</t>
        </is>
      </c>
      <c r="E634" t="inlineStr">
        <is>
          <t>ÅNGE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29350-2025</t>
        </is>
      </c>
      <c r="B635" s="1" t="n">
        <v>45824.53206018519</v>
      </c>
      <c r="C635" s="1" t="n">
        <v>46002</v>
      </c>
      <c r="D635" t="inlineStr">
        <is>
          <t>VÄSTERNORRLANDS LÄN</t>
        </is>
      </c>
      <c r="E635" t="inlineStr">
        <is>
          <t>ÅNGE</t>
        </is>
      </c>
      <c r="G635" t="n">
        <v>8.6</v>
      </c>
      <c r="H635" t="n">
        <v>0</v>
      </c>
      <c r="I635" t="n">
        <v>0</v>
      </c>
      <c r="J635" t="n">
        <v>0</v>
      </c>
      <c r="K635" t="n">
        <v>0</v>
      </c>
      <c r="L635" t="n">
        <v>0</v>
      </c>
      <c r="M635" t="n">
        <v>0</v>
      </c>
      <c r="N635" t="n">
        <v>0</v>
      </c>
      <c r="O635" t="n">
        <v>0</v>
      </c>
      <c r="P635" t="n">
        <v>0</v>
      </c>
      <c r="Q635" t="n">
        <v>0</v>
      </c>
      <c r="R635" s="2" t="inlineStr"/>
    </row>
    <row r="636" ht="15" customHeight="1">
      <c r="A636" t="inlineStr">
        <is>
          <t>A 58639-2023</t>
        </is>
      </c>
      <c r="B636" s="1" t="n">
        <v>45251</v>
      </c>
      <c r="C636" s="1" t="n">
        <v>46002</v>
      </c>
      <c r="D636" t="inlineStr">
        <is>
          <t>VÄSTERNORRLANDS LÄN</t>
        </is>
      </c>
      <c r="E636" t="inlineStr">
        <is>
          <t>ÅNGE</t>
        </is>
      </c>
      <c r="G636" t="n">
        <v>0.6</v>
      </c>
      <c r="H636" t="n">
        <v>0</v>
      </c>
      <c r="I636" t="n">
        <v>0</v>
      </c>
      <c r="J636" t="n">
        <v>0</v>
      </c>
      <c r="K636" t="n">
        <v>0</v>
      </c>
      <c r="L636" t="n">
        <v>0</v>
      </c>
      <c r="M636" t="n">
        <v>0</v>
      </c>
      <c r="N636" t="n">
        <v>0</v>
      </c>
      <c r="O636" t="n">
        <v>0</v>
      </c>
      <c r="P636" t="n">
        <v>0</v>
      </c>
      <c r="Q636" t="n">
        <v>0</v>
      </c>
      <c r="R636" s="2" t="inlineStr"/>
    </row>
    <row r="637" ht="15" customHeight="1">
      <c r="A637" t="inlineStr">
        <is>
          <t>A 44635-2024</t>
        </is>
      </c>
      <c r="B637" s="1" t="n">
        <v>45574.51488425926</v>
      </c>
      <c r="C637" s="1" t="n">
        <v>46002</v>
      </c>
      <c r="D637" t="inlineStr">
        <is>
          <t>VÄSTERNORRLANDS LÄN</t>
        </is>
      </c>
      <c r="E637" t="inlineStr">
        <is>
          <t>ÅNGE</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42786-2025</t>
        </is>
      </c>
      <c r="B638" s="1" t="n">
        <v>45908.51097222222</v>
      </c>
      <c r="C638" s="1" t="n">
        <v>46002</v>
      </c>
      <c r="D638" t="inlineStr">
        <is>
          <t>VÄSTERNORRLANDS LÄN</t>
        </is>
      </c>
      <c r="E638" t="inlineStr">
        <is>
          <t>ÅNGE</t>
        </is>
      </c>
      <c r="G638" t="n">
        <v>0.4</v>
      </c>
      <c r="H638" t="n">
        <v>0</v>
      </c>
      <c r="I638" t="n">
        <v>0</v>
      </c>
      <c r="J638" t="n">
        <v>0</v>
      </c>
      <c r="K638" t="n">
        <v>0</v>
      </c>
      <c r="L638" t="n">
        <v>0</v>
      </c>
      <c r="M638" t="n">
        <v>0</v>
      </c>
      <c r="N638" t="n">
        <v>0</v>
      </c>
      <c r="O638" t="n">
        <v>0</v>
      </c>
      <c r="P638" t="n">
        <v>0</v>
      </c>
      <c r="Q638" t="n">
        <v>0</v>
      </c>
      <c r="R638" s="2" t="inlineStr"/>
    </row>
    <row r="639" ht="15" customHeight="1">
      <c r="A639" t="inlineStr">
        <is>
          <t>A 43066-2022</t>
        </is>
      </c>
      <c r="B639" s="1" t="n">
        <v>44833</v>
      </c>
      <c r="C639" s="1" t="n">
        <v>46002</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42863-2025</t>
        </is>
      </c>
      <c r="B640" s="1" t="n">
        <v>45908.61527777778</v>
      </c>
      <c r="C640" s="1" t="n">
        <v>46002</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42785-2025</t>
        </is>
      </c>
      <c r="B641" s="1" t="n">
        <v>45908.51083333333</v>
      </c>
      <c r="C641" s="1" t="n">
        <v>46002</v>
      </c>
      <c r="D641" t="inlineStr">
        <is>
          <t>VÄSTERNORRLANDS LÄN</t>
        </is>
      </c>
      <c r="E641" t="inlineStr">
        <is>
          <t>ÅNGE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29560-2025</t>
        </is>
      </c>
      <c r="B642" s="1" t="n">
        <v>45825.36497685185</v>
      </c>
      <c r="C642" s="1" t="n">
        <v>46002</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42889-2025</t>
        </is>
      </c>
      <c r="B643" s="1" t="n">
        <v>45908.65546296296</v>
      </c>
      <c r="C643" s="1" t="n">
        <v>46002</v>
      </c>
      <c r="D643" t="inlineStr">
        <is>
          <t>VÄSTERNORRLANDS LÄN</t>
        </is>
      </c>
      <c r="E643" t="inlineStr">
        <is>
          <t>ÅNGE</t>
        </is>
      </c>
      <c r="G643" t="n">
        <v>11.9</v>
      </c>
      <c r="H643" t="n">
        <v>0</v>
      </c>
      <c r="I643" t="n">
        <v>0</v>
      </c>
      <c r="J643" t="n">
        <v>0</v>
      </c>
      <c r="K643" t="n">
        <v>0</v>
      </c>
      <c r="L643" t="n">
        <v>0</v>
      </c>
      <c r="M643" t="n">
        <v>0</v>
      </c>
      <c r="N643" t="n">
        <v>0</v>
      </c>
      <c r="O643" t="n">
        <v>0</v>
      </c>
      <c r="P643" t="n">
        <v>0</v>
      </c>
      <c r="Q643" t="n">
        <v>0</v>
      </c>
      <c r="R643" s="2" t="inlineStr"/>
    </row>
    <row r="644" ht="15" customHeight="1">
      <c r="A644" t="inlineStr">
        <is>
          <t>A 42764-2025</t>
        </is>
      </c>
      <c r="B644" s="1" t="n">
        <v>45908.46943287037</v>
      </c>
      <c r="C644" s="1" t="n">
        <v>46002</v>
      </c>
      <c r="D644" t="inlineStr">
        <is>
          <t>VÄSTERNORRLANDS LÄN</t>
        </is>
      </c>
      <c r="E644" t="inlineStr">
        <is>
          <t>ÅNGE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42731-2025</t>
        </is>
      </c>
      <c r="B645" s="1" t="n">
        <v>45908.40686342592</v>
      </c>
      <c r="C645" s="1" t="n">
        <v>46002</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43077-2025</t>
        </is>
      </c>
      <c r="B646" s="1" t="n">
        <v>45909.6046412037</v>
      </c>
      <c r="C646" s="1" t="n">
        <v>46002</v>
      </c>
      <c r="D646" t="inlineStr">
        <is>
          <t>VÄSTERNORRLANDS LÄN</t>
        </is>
      </c>
      <c r="E646" t="inlineStr">
        <is>
          <t>ÅNGE</t>
        </is>
      </c>
      <c r="F646" t="inlineStr">
        <is>
          <t>Kyrkan</t>
        </is>
      </c>
      <c r="G646" t="n">
        <v>7.6</v>
      </c>
      <c r="H646" t="n">
        <v>0</v>
      </c>
      <c r="I646" t="n">
        <v>0</v>
      </c>
      <c r="J646" t="n">
        <v>0</v>
      </c>
      <c r="K646" t="n">
        <v>0</v>
      </c>
      <c r="L646" t="n">
        <v>0</v>
      </c>
      <c r="M646" t="n">
        <v>0</v>
      </c>
      <c r="N646" t="n">
        <v>0</v>
      </c>
      <c r="O646" t="n">
        <v>0</v>
      </c>
      <c r="P646" t="n">
        <v>0</v>
      </c>
      <c r="Q646" t="n">
        <v>0</v>
      </c>
      <c r="R646" s="2" t="inlineStr"/>
    </row>
    <row r="647" ht="15" customHeight="1">
      <c r="A647" t="inlineStr">
        <is>
          <t>A 42880-2025</t>
        </is>
      </c>
      <c r="B647" s="1" t="n">
        <v>45908.63599537037</v>
      </c>
      <c r="C647" s="1" t="n">
        <v>46002</v>
      </c>
      <c r="D647" t="inlineStr">
        <is>
          <t>VÄSTERNORRLANDS LÄN</t>
        </is>
      </c>
      <c r="E647" t="inlineStr">
        <is>
          <t>ÅNGE</t>
        </is>
      </c>
      <c r="G647" t="n">
        <v>4.3</v>
      </c>
      <c r="H647" t="n">
        <v>0</v>
      </c>
      <c r="I647" t="n">
        <v>0</v>
      </c>
      <c r="J647" t="n">
        <v>0</v>
      </c>
      <c r="K647" t="n">
        <v>0</v>
      </c>
      <c r="L647" t="n">
        <v>0</v>
      </c>
      <c r="M647" t="n">
        <v>0</v>
      </c>
      <c r="N647" t="n">
        <v>0</v>
      </c>
      <c r="O647" t="n">
        <v>0</v>
      </c>
      <c r="P647" t="n">
        <v>0</v>
      </c>
      <c r="Q647" t="n">
        <v>0</v>
      </c>
      <c r="R647" s="2" t="inlineStr"/>
    </row>
    <row r="648" ht="15" customHeight="1">
      <c r="A648" t="inlineStr">
        <is>
          <t>A 54346-2023</t>
        </is>
      </c>
      <c r="B648" s="1" t="n">
        <v>45232.96087962963</v>
      </c>
      <c r="C648" s="1" t="n">
        <v>46002</v>
      </c>
      <c r="D648" t="inlineStr">
        <is>
          <t>VÄSTERNORRLANDS LÄN</t>
        </is>
      </c>
      <c r="E648" t="inlineStr">
        <is>
          <t>ÅNGE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53858-2024</t>
        </is>
      </c>
      <c r="B649" s="1" t="n">
        <v>45615</v>
      </c>
      <c r="C649" s="1" t="n">
        <v>46002</v>
      </c>
      <c r="D649" t="inlineStr">
        <is>
          <t>VÄSTERNORRLANDS LÄN</t>
        </is>
      </c>
      <c r="E649" t="inlineStr">
        <is>
          <t>ÅNGE</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63530-2023</t>
        </is>
      </c>
      <c r="B650" s="1" t="n">
        <v>45274</v>
      </c>
      <c r="C650" s="1" t="n">
        <v>46002</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3-2025</t>
        </is>
      </c>
      <c r="B651" s="1" t="n">
        <v>45658.49819444444</v>
      </c>
      <c r="C651" s="1" t="n">
        <v>46002</v>
      </c>
      <c r="D651" t="inlineStr">
        <is>
          <t>VÄSTERNORRLANDS LÄN</t>
        </is>
      </c>
      <c r="E651" t="inlineStr">
        <is>
          <t>ÅNGE</t>
        </is>
      </c>
      <c r="G651" t="n">
        <v>2</v>
      </c>
      <c r="H651" t="n">
        <v>0</v>
      </c>
      <c r="I651" t="n">
        <v>0</v>
      </c>
      <c r="J651" t="n">
        <v>0</v>
      </c>
      <c r="K651" t="n">
        <v>0</v>
      </c>
      <c r="L651" t="n">
        <v>0</v>
      </c>
      <c r="M651" t="n">
        <v>0</v>
      </c>
      <c r="N651" t="n">
        <v>0</v>
      </c>
      <c r="O651" t="n">
        <v>0</v>
      </c>
      <c r="P651" t="n">
        <v>0</v>
      </c>
      <c r="Q651" t="n">
        <v>0</v>
      </c>
      <c r="R651" s="2" t="inlineStr"/>
    </row>
    <row r="652" ht="15" customHeight="1">
      <c r="A652" t="inlineStr">
        <is>
          <t>A 43091-2025</t>
        </is>
      </c>
      <c r="B652" s="1" t="n">
        <v>45909.62511574074</v>
      </c>
      <c r="C652" s="1" t="n">
        <v>46002</v>
      </c>
      <c r="D652" t="inlineStr">
        <is>
          <t>VÄSTERNORRLANDS LÄN</t>
        </is>
      </c>
      <c r="E652" t="inlineStr">
        <is>
          <t>ÅNGE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3249-2024</t>
        </is>
      </c>
      <c r="B653" s="1" t="n">
        <v>45316</v>
      </c>
      <c r="C653" s="1" t="n">
        <v>46002</v>
      </c>
      <c r="D653" t="inlineStr">
        <is>
          <t>VÄSTERNORRLANDS LÄN</t>
        </is>
      </c>
      <c r="E653" t="inlineStr">
        <is>
          <t>ÅNGE</t>
        </is>
      </c>
      <c r="G653" t="n">
        <v>0.3</v>
      </c>
      <c r="H653" t="n">
        <v>0</v>
      </c>
      <c r="I653" t="n">
        <v>0</v>
      </c>
      <c r="J653" t="n">
        <v>0</v>
      </c>
      <c r="K653" t="n">
        <v>0</v>
      </c>
      <c r="L653" t="n">
        <v>0</v>
      </c>
      <c r="M653" t="n">
        <v>0</v>
      </c>
      <c r="N653" t="n">
        <v>0</v>
      </c>
      <c r="O653" t="n">
        <v>0</v>
      </c>
      <c r="P653" t="n">
        <v>0</v>
      </c>
      <c r="Q653" t="n">
        <v>0</v>
      </c>
      <c r="R653" s="2" t="inlineStr"/>
    </row>
    <row r="654" ht="15" customHeight="1">
      <c r="A654" t="inlineStr">
        <is>
          <t>A 58275-2022</t>
        </is>
      </c>
      <c r="B654" s="1" t="n">
        <v>44901.47865740741</v>
      </c>
      <c r="C654" s="1" t="n">
        <v>46002</v>
      </c>
      <c r="D654" t="inlineStr">
        <is>
          <t>VÄSTERNORRLANDS LÄN</t>
        </is>
      </c>
      <c r="E654" t="inlineStr">
        <is>
          <t>ÅNGE</t>
        </is>
      </c>
      <c r="G654" t="n">
        <v>1</v>
      </c>
      <c r="H654" t="n">
        <v>0</v>
      </c>
      <c r="I654" t="n">
        <v>0</v>
      </c>
      <c r="J654" t="n">
        <v>0</v>
      </c>
      <c r="K654" t="n">
        <v>0</v>
      </c>
      <c r="L654" t="n">
        <v>0</v>
      </c>
      <c r="M654" t="n">
        <v>0</v>
      </c>
      <c r="N654" t="n">
        <v>0</v>
      </c>
      <c r="O654" t="n">
        <v>0</v>
      </c>
      <c r="P654" t="n">
        <v>0</v>
      </c>
      <c r="Q654" t="n">
        <v>0</v>
      </c>
      <c r="R654" s="2" t="inlineStr"/>
    </row>
    <row r="655" ht="15" customHeight="1">
      <c r="A655" t="inlineStr">
        <is>
          <t>A 42948-2024</t>
        </is>
      </c>
      <c r="B655" s="1" t="n">
        <v>45567.36628472222</v>
      </c>
      <c r="C655" s="1" t="n">
        <v>46002</v>
      </c>
      <c r="D655" t="inlineStr">
        <is>
          <t>VÄSTERNORRLANDS LÄN</t>
        </is>
      </c>
      <c r="E655" t="inlineStr">
        <is>
          <t>ÅNGE</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42953-2024</t>
        </is>
      </c>
      <c r="B656" s="1" t="n">
        <v>45567</v>
      </c>
      <c r="C656" s="1" t="n">
        <v>46002</v>
      </c>
      <c r="D656" t="inlineStr">
        <is>
          <t>VÄSTERNORRLANDS LÄN</t>
        </is>
      </c>
      <c r="E656" t="inlineStr">
        <is>
          <t>ÅNGE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42968-2024</t>
        </is>
      </c>
      <c r="B657" s="1" t="n">
        <v>45567</v>
      </c>
      <c r="C657" s="1" t="n">
        <v>46002</v>
      </c>
      <c r="D657" t="inlineStr">
        <is>
          <t>VÄSTERNORRLANDS LÄN</t>
        </is>
      </c>
      <c r="E657" t="inlineStr">
        <is>
          <t>ÅNGE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42730-2025</t>
        </is>
      </c>
      <c r="B658" s="1" t="n">
        <v>45908.40666666667</v>
      </c>
      <c r="C658" s="1" t="n">
        <v>46002</v>
      </c>
      <c r="D658" t="inlineStr">
        <is>
          <t>VÄSTERNORRLANDS LÄN</t>
        </is>
      </c>
      <c r="E658" t="inlineStr">
        <is>
          <t>ÅNGE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43237-2025</t>
        </is>
      </c>
      <c r="B659" s="1" t="n">
        <v>45910.51670138889</v>
      </c>
      <c r="C659" s="1" t="n">
        <v>46002</v>
      </c>
      <c r="D659" t="inlineStr">
        <is>
          <t>VÄSTERNORRLANDS LÄN</t>
        </is>
      </c>
      <c r="E659" t="inlineStr">
        <is>
          <t>ÅNGE</t>
        </is>
      </c>
      <c r="G659" t="n">
        <v>0.7</v>
      </c>
      <c r="H659" t="n">
        <v>0</v>
      </c>
      <c r="I659" t="n">
        <v>0</v>
      </c>
      <c r="J659" t="n">
        <v>0</v>
      </c>
      <c r="K659" t="n">
        <v>0</v>
      </c>
      <c r="L659" t="n">
        <v>0</v>
      </c>
      <c r="M659" t="n">
        <v>0</v>
      </c>
      <c r="N659" t="n">
        <v>0</v>
      </c>
      <c r="O659" t="n">
        <v>0</v>
      </c>
      <c r="P659" t="n">
        <v>0</v>
      </c>
      <c r="Q659" t="n">
        <v>0</v>
      </c>
      <c r="R659" s="2" t="inlineStr"/>
    </row>
    <row r="660" ht="15" customHeight="1">
      <c r="A660" t="inlineStr">
        <is>
          <t>A 43250-2025</t>
        </is>
      </c>
      <c r="B660" s="1" t="n">
        <v>45910.5525462963</v>
      </c>
      <c r="C660" s="1" t="n">
        <v>46002</v>
      </c>
      <c r="D660" t="inlineStr">
        <is>
          <t>VÄSTERNORRLANDS LÄN</t>
        </is>
      </c>
      <c r="E660" t="inlineStr">
        <is>
          <t>ÅNGE</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29862-2025</t>
        </is>
      </c>
      <c r="B661" s="1" t="n">
        <v>45826.3465625</v>
      </c>
      <c r="C661" s="1" t="n">
        <v>46002</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29882-2025</t>
        </is>
      </c>
      <c r="B662" s="1" t="n">
        <v>45826.36548611111</v>
      </c>
      <c r="C662" s="1" t="n">
        <v>46002</v>
      </c>
      <c r="D662" t="inlineStr">
        <is>
          <t>VÄSTERNORRLANDS LÄN</t>
        </is>
      </c>
      <c r="E662" t="inlineStr">
        <is>
          <t>ÅNGE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29916-2025</t>
        </is>
      </c>
      <c r="B663" s="1" t="n">
        <v>45826.41822916667</v>
      </c>
      <c r="C663" s="1" t="n">
        <v>46002</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43252-2025</t>
        </is>
      </c>
      <c r="B664" s="1" t="n">
        <v>45910.55292824074</v>
      </c>
      <c r="C664" s="1" t="n">
        <v>46002</v>
      </c>
      <c r="D664" t="inlineStr">
        <is>
          <t>VÄSTERNORRLANDS LÄN</t>
        </is>
      </c>
      <c r="E664" t="inlineStr">
        <is>
          <t>ÅNGE</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14673-2025</t>
        </is>
      </c>
      <c r="B665" s="1" t="n">
        <v>45742.55309027778</v>
      </c>
      <c r="C665" s="1" t="n">
        <v>46002</v>
      </c>
      <c r="D665" t="inlineStr">
        <is>
          <t>VÄSTERNORRLANDS LÄN</t>
        </is>
      </c>
      <c r="E665" t="inlineStr">
        <is>
          <t>ÅNGE</t>
        </is>
      </c>
      <c r="G665" t="n">
        <v>2.5</v>
      </c>
      <c r="H665" t="n">
        <v>0</v>
      </c>
      <c r="I665" t="n">
        <v>0</v>
      </c>
      <c r="J665" t="n">
        <v>0</v>
      </c>
      <c r="K665" t="n">
        <v>0</v>
      </c>
      <c r="L665" t="n">
        <v>0</v>
      </c>
      <c r="M665" t="n">
        <v>0</v>
      </c>
      <c r="N665" t="n">
        <v>0</v>
      </c>
      <c r="O665" t="n">
        <v>0</v>
      </c>
      <c r="P665" t="n">
        <v>0</v>
      </c>
      <c r="Q665" t="n">
        <v>0</v>
      </c>
      <c r="R665" s="2" t="inlineStr"/>
    </row>
    <row r="666" ht="15" customHeight="1">
      <c r="A666" t="inlineStr">
        <is>
          <t>A 43415-2025</t>
        </is>
      </c>
      <c r="B666" s="1" t="n">
        <v>45911.40662037037</v>
      </c>
      <c r="C666" s="1" t="n">
        <v>46002</v>
      </c>
      <c r="D666" t="inlineStr">
        <is>
          <t>VÄSTERNORRLANDS LÄN</t>
        </is>
      </c>
      <c r="E666" t="inlineStr">
        <is>
          <t>ÅNGE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43386-2025</t>
        </is>
      </c>
      <c r="B667" s="1" t="n">
        <v>45911.36520833334</v>
      </c>
      <c r="C667" s="1" t="n">
        <v>46002</v>
      </c>
      <c r="D667" t="inlineStr">
        <is>
          <t>VÄSTERNORRLANDS LÄN</t>
        </is>
      </c>
      <c r="E667" t="inlineStr">
        <is>
          <t>ÅNGE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16191-2023</t>
        </is>
      </c>
      <c r="B668" s="1" t="n">
        <v>45027.94111111111</v>
      </c>
      <c r="C668" s="1" t="n">
        <v>46002</v>
      </c>
      <c r="D668" t="inlineStr">
        <is>
          <t>VÄSTERNORRLANDS LÄN</t>
        </is>
      </c>
      <c r="E668" t="inlineStr">
        <is>
          <t>ÅNGE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30475-2025</t>
        </is>
      </c>
      <c r="B669" s="1" t="n">
        <v>45828.34444444445</v>
      </c>
      <c r="C669" s="1" t="n">
        <v>46002</v>
      </c>
      <c r="D669" t="inlineStr">
        <is>
          <t>VÄSTERNORRLANDS LÄN</t>
        </is>
      </c>
      <c r="E669" t="inlineStr">
        <is>
          <t>ÅNGE</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43385-2025</t>
        </is>
      </c>
      <c r="B670" s="1" t="n">
        <v>45911.36508101852</v>
      </c>
      <c r="C670" s="1" t="n">
        <v>46002</v>
      </c>
      <c r="D670" t="inlineStr">
        <is>
          <t>VÄSTERNORRLANDS LÄN</t>
        </is>
      </c>
      <c r="E670" t="inlineStr">
        <is>
          <t>ÅNGE</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35498-2022</t>
        </is>
      </c>
      <c r="B671" s="1" t="n">
        <v>44798.94810185185</v>
      </c>
      <c r="C671" s="1" t="n">
        <v>46002</v>
      </c>
      <c r="D671" t="inlineStr">
        <is>
          <t>VÄSTERNORRLANDS LÄN</t>
        </is>
      </c>
      <c r="E671" t="inlineStr">
        <is>
          <t>ÅNGE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43546-2025</t>
        </is>
      </c>
      <c r="B672" s="1" t="n">
        <v>45911.6153125</v>
      </c>
      <c r="C672" s="1" t="n">
        <v>46002</v>
      </c>
      <c r="D672" t="inlineStr">
        <is>
          <t>VÄSTERNORRLANDS LÄN</t>
        </is>
      </c>
      <c r="E672" t="inlineStr">
        <is>
          <t>ÅNGE</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43389-2025</t>
        </is>
      </c>
      <c r="B673" s="1" t="n">
        <v>45911.36560185185</v>
      </c>
      <c r="C673" s="1" t="n">
        <v>46002</v>
      </c>
      <c r="D673" t="inlineStr">
        <is>
          <t>VÄSTERNORRLANDS LÄN</t>
        </is>
      </c>
      <c r="E673" t="inlineStr">
        <is>
          <t>ÅNGE</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43221-2025</t>
        </is>
      </c>
      <c r="B674" s="1" t="n">
        <v>45910.47981481482</v>
      </c>
      <c r="C674" s="1" t="n">
        <v>46002</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2299-2025</t>
        </is>
      </c>
      <c r="B675" s="1" t="n">
        <v>45673.59516203704</v>
      </c>
      <c r="C675" s="1" t="n">
        <v>46002</v>
      </c>
      <c r="D675" t="inlineStr">
        <is>
          <t>VÄSTERNORRLANDS LÄN</t>
        </is>
      </c>
      <c r="E675" t="inlineStr">
        <is>
          <t>ÅNGE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30618-2025</t>
        </is>
      </c>
      <c r="B676" s="1" t="n">
        <v>45831.46909722222</v>
      </c>
      <c r="C676" s="1" t="n">
        <v>46002</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30598-2025</t>
        </is>
      </c>
      <c r="B677" s="1" t="n">
        <v>45831.44834490741</v>
      </c>
      <c r="C677" s="1" t="n">
        <v>46002</v>
      </c>
      <c r="D677" t="inlineStr">
        <is>
          <t>VÄSTERNORRLANDS LÄN</t>
        </is>
      </c>
      <c r="E677" t="inlineStr">
        <is>
          <t>ÅNGE</t>
        </is>
      </c>
      <c r="G677" t="n">
        <v>0.6</v>
      </c>
      <c r="H677" t="n">
        <v>0</v>
      </c>
      <c r="I677" t="n">
        <v>0</v>
      </c>
      <c r="J677" t="n">
        <v>0</v>
      </c>
      <c r="K677" t="n">
        <v>0</v>
      </c>
      <c r="L677" t="n">
        <v>0</v>
      </c>
      <c r="M677" t="n">
        <v>0</v>
      </c>
      <c r="N677" t="n">
        <v>0</v>
      </c>
      <c r="O677" t="n">
        <v>0</v>
      </c>
      <c r="P677" t="n">
        <v>0</v>
      </c>
      <c r="Q677" t="n">
        <v>0</v>
      </c>
      <c r="R677" s="2" t="inlineStr"/>
    </row>
    <row r="678" ht="15" customHeight="1">
      <c r="A678" t="inlineStr">
        <is>
          <t>A 43265-2025</t>
        </is>
      </c>
      <c r="B678" s="1" t="n">
        <v>45910.57377314815</v>
      </c>
      <c r="C678" s="1" t="n">
        <v>46002</v>
      </c>
      <c r="D678" t="inlineStr">
        <is>
          <t>VÄSTERNORRLANDS LÄN</t>
        </is>
      </c>
      <c r="E678" t="inlineStr">
        <is>
          <t>ÅNGE</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31457-2024</t>
        </is>
      </c>
      <c r="B679" s="1" t="n">
        <v>45505</v>
      </c>
      <c r="C679" s="1" t="n">
        <v>46002</v>
      </c>
      <c r="D679" t="inlineStr">
        <is>
          <t>VÄSTERNORRLANDS LÄN</t>
        </is>
      </c>
      <c r="E679" t="inlineStr">
        <is>
          <t>ÅNGE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53856-2024</t>
        </is>
      </c>
      <c r="B680" s="1" t="n">
        <v>45615</v>
      </c>
      <c r="C680" s="1" t="n">
        <v>46002</v>
      </c>
      <c r="D680" t="inlineStr">
        <is>
          <t>VÄSTERNORRLANDS LÄN</t>
        </is>
      </c>
      <c r="E680" t="inlineStr">
        <is>
          <t>ÅNGE</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30892-2025</t>
        </is>
      </c>
      <c r="B681" s="1" t="n">
        <v>45832.34663194444</v>
      </c>
      <c r="C681" s="1" t="n">
        <v>46002</v>
      </c>
      <c r="D681" t="inlineStr">
        <is>
          <t>VÄSTERNORRLANDS LÄN</t>
        </is>
      </c>
      <c r="E681" t="inlineStr">
        <is>
          <t>ÅNGE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31188-2025</t>
        </is>
      </c>
      <c r="B682" s="1" t="n">
        <v>45832.67842592593</v>
      </c>
      <c r="C682" s="1" t="n">
        <v>46002</v>
      </c>
      <c r="D682" t="inlineStr">
        <is>
          <t>VÄSTERNORRLANDS LÄN</t>
        </is>
      </c>
      <c r="E682" t="inlineStr">
        <is>
          <t>ÅNGE</t>
        </is>
      </c>
      <c r="F682" t="inlineStr">
        <is>
          <t>SCA</t>
        </is>
      </c>
      <c r="G682" t="n">
        <v>14.9</v>
      </c>
      <c r="H682" t="n">
        <v>0</v>
      </c>
      <c r="I682" t="n">
        <v>0</v>
      </c>
      <c r="J682" t="n">
        <v>0</v>
      </c>
      <c r="K682" t="n">
        <v>0</v>
      </c>
      <c r="L682" t="n">
        <v>0</v>
      </c>
      <c r="M682" t="n">
        <v>0</v>
      </c>
      <c r="N682" t="n">
        <v>0</v>
      </c>
      <c r="O682" t="n">
        <v>0</v>
      </c>
      <c r="P682" t="n">
        <v>0</v>
      </c>
      <c r="Q682" t="n">
        <v>0</v>
      </c>
      <c r="R682" s="2" t="inlineStr"/>
    </row>
    <row r="683" ht="15" customHeight="1">
      <c r="A683" t="inlineStr">
        <is>
          <t>A 31452-2025</t>
        </is>
      </c>
      <c r="B683" s="1" t="n">
        <v>45833.53179398148</v>
      </c>
      <c r="C683" s="1" t="n">
        <v>46002</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31544-2025</t>
        </is>
      </c>
      <c r="B684" s="1" t="n">
        <v>45833.63597222222</v>
      </c>
      <c r="C684" s="1" t="n">
        <v>46002</v>
      </c>
      <c r="D684" t="inlineStr">
        <is>
          <t>VÄSTERNORRLANDS LÄN</t>
        </is>
      </c>
      <c r="E684" t="inlineStr">
        <is>
          <t>ÅNGE</t>
        </is>
      </c>
      <c r="G684" t="n">
        <v>2.1</v>
      </c>
      <c r="H684" t="n">
        <v>0</v>
      </c>
      <c r="I684" t="n">
        <v>0</v>
      </c>
      <c r="J684" t="n">
        <v>0</v>
      </c>
      <c r="K684" t="n">
        <v>0</v>
      </c>
      <c r="L684" t="n">
        <v>0</v>
      </c>
      <c r="M684" t="n">
        <v>0</v>
      </c>
      <c r="N684" t="n">
        <v>0</v>
      </c>
      <c r="O684" t="n">
        <v>0</v>
      </c>
      <c r="P684" t="n">
        <v>0</v>
      </c>
      <c r="Q684" t="n">
        <v>0</v>
      </c>
      <c r="R684" s="2" t="inlineStr"/>
    </row>
    <row r="685" ht="15" customHeight="1">
      <c r="A685" t="inlineStr">
        <is>
          <t>A 54771-2023</t>
        </is>
      </c>
      <c r="B685" s="1" t="n">
        <v>45229</v>
      </c>
      <c r="C685" s="1" t="n">
        <v>46002</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31042-2025</t>
        </is>
      </c>
      <c r="B686" s="1" t="n">
        <v>45832.55267361111</v>
      </c>
      <c r="C686" s="1" t="n">
        <v>46002</v>
      </c>
      <c r="D686" t="inlineStr">
        <is>
          <t>VÄSTERNORRLANDS LÄN</t>
        </is>
      </c>
      <c r="E686" t="inlineStr">
        <is>
          <t>ÅNGE</t>
        </is>
      </c>
      <c r="F686" t="inlineStr">
        <is>
          <t>SCA</t>
        </is>
      </c>
      <c r="G686" t="n">
        <v>11.8</v>
      </c>
      <c r="H686" t="n">
        <v>0</v>
      </c>
      <c r="I686" t="n">
        <v>0</v>
      </c>
      <c r="J686" t="n">
        <v>0</v>
      </c>
      <c r="K686" t="n">
        <v>0</v>
      </c>
      <c r="L686" t="n">
        <v>0</v>
      </c>
      <c r="M686" t="n">
        <v>0</v>
      </c>
      <c r="N686" t="n">
        <v>0</v>
      </c>
      <c r="O686" t="n">
        <v>0</v>
      </c>
      <c r="P686" t="n">
        <v>0</v>
      </c>
      <c r="Q686" t="n">
        <v>0</v>
      </c>
      <c r="R686" s="2" t="inlineStr"/>
    </row>
    <row r="687" ht="15" customHeight="1">
      <c r="A687" t="inlineStr">
        <is>
          <t>A 31275-2025</t>
        </is>
      </c>
      <c r="B687" s="1" t="n">
        <v>45833.34459490741</v>
      </c>
      <c r="C687" s="1" t="n">
        <v>46002</v>
      </c>
      <c r="D687" t="inlineStr">
        <is>
          <t>VÄSTERNORRLANDS LÄN</t>
        </is>
      </c>
      <c r="E687" t="inlineStr">
        <is>
          <t>ÅNGE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31135-2025</t>
        </is>
      </c>
      <c r="B688" s="1" t="n">
        <v>45832.63581018519</v>
      </c>
      <c r="C688" s="1" t="n">
        <v>46002</v>
      </c>
      <c r="D688" t="inlineStr">
        <is>
          <t>VÄSTERNORRLANDS LÄN</t>
        </is>
      </c>
      <c r="E688" t="inlineStr">
        <is>
          <t>ÅNGE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44165-2025</t>
        </is>
      </c>
      <c r="B689" s="1" t="n">
        <v>45915.59840277778</v>
      </c>
      <c r="C689" s="1" t="n">
        <v>46002</v>
      </c>
      <c r="D689" t="inlineStr">
        <is>
          <t>VÄSTERNORRLANDS LÄN</t>
        </is>
      </c>
      <c r="E689" t="inlineStr">
        <is>
          <t>ÅNGE</t>
        </is>
      </c>
      <c r="G689" t="n">
        <v>0.7</v>
      </c>
      <c r="H689" t="n">
        <v>0</v>
      </c>
      <c r="I689" t="n">
        <v>0</v>
      </c>
      <c r="J689" t="n">
        <v>0</v>
      </c>
      <c r="K689" t="n">
        <v>0</v>
      </c>
      <c r="L689" t="n">
        <v>0</v>
      </c>
      <c r="M689" t="n">
        <v>0</v>
      </c>
      <c r="N689" t="n">
        <v>0</v>
      </c>
      <c r="O689" t="n">
        <v>0</v>
      </c>
      <c r="P689" t="n">
        <v>0</v>
      </c>
      <c r="Q689" t="n">
        <v>0</v>
      </c>
      <c r="R689" s="2" t="inlineStr"/>
    </row>
    <row r="690" ht="15" customHeight="1">
      <c r="A690" t="inlineStr">
        <is>
          <t>A 51059-2024</t>
        </is>
      </c>
      <c r="B690" s="1" t="n">
        <v>45603</v>
      </c>
      <c r="C690" s="1" t="n">
        <v>46002</v>
      </c>
      <c r="D690" t="inlineStr">
        <is>
          <t>VÄSTERNORRLANDS LÄN</t>
        </is>
      </c>
      <c r="E690" t="inlineStr">
        <is>
          <t>ÅNGE</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51054-2024</t>
        </is>
      </c>
      <c r="B691" s="1" t="n">
        <v>45603</v>
      </c>
      <c r="C691" s="1" t="n">
        <v>46002</v>
      </c>
      <c r="D691" t="inlineStr">
        <is>
          <t>VÄSTERNORRLANDS LÄN</t>
        </is>
      </c>
      <c r="E691" t="inlineStr">
        <is>
          <t>ÅNGE</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30888-2025</t>
        </is>
      </c>
      <c r="B692" s="1" t="n">
        <v>45832.34606481482</v>
      </c>
      <c r="C692" s="1" t="n">
        <v>46002</v>
      </c>
      <c r="D692" t="inlineStr">
        <is>
          <t>VÄSTERNORRLANDS LÄN</t>
        </is>
      </c>
      <c r="E692" t="inlineStr">
        <is>
          <t>ÅNGE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26011-2024</t>
        </is>
      </c>
      <c r="B693" s="1" t="n">
        <v>45467.95828703704</v>
      </c>
      <c r="C693" s="1" t="n">
        <v>46002</v>
      </c>
      <c r="D693" t="inlineStr">
        <is>
          <t>VÄSTERNORRLANDS LÄN</t>
        </is>
      </c>
      <c r="E693" t="inlineStr">
        <is>
          <t>ÅNGE</t>
        </is>
      </c>
      <c r="F693" t="inlineStr">
        <is>
          <t>SCA</t>
        </is>
      </c>
      <c r="G693" t="n">
        <v>4.5</v>
      </c>
      <c r="H693" t="n">
        <v>0</v>
      </c>
      <c r="I693" t="n">
        <v>0</v>
      </c>
      <c r="J693" t="n">
        <v>0</v>
      </c>
      <c r="K693" t="n">
        <v>0</v>
      </c>
      <c r="L693" t="n">
        <v>0</v>
      </c>
      <c r="M693" t="n">
        <v>0</v>
      </c>
      <c r="N693" t="n">
        <v>0</v>
      </c>
      <c r="O693" t="n">
        <v>0</v>
      </c>
      <c r="P693" t="n">
        <v>0</v>
      </c>
      <c r="Q693" t="n">
        <v>0</v>
      </c>
      <c r="R693" s="2" t="inlineStr"/>
    </row>
    <row r="694" ht="15" customHeight="1">
      <c r="A694" t="inlineStr">
        <is>
          <t>A 26014-2024</t>
        </is>
      </c>
      <c r="B694" s="1" t="n">
        <v>45467.95862268518</v>
      </c>
      <c r="C694" s="1" t="n">
        <v>46002</v>
      </c>
      <c r="D694" t="inlineStr">
        <is>
          <t>VÄSTERNORRLANDS LÄN</t>
        </is>
      </c>
      <c r="E694" t="inlineStr">
        <is>
          <t>ÅNGE</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30875-2025</t>
        </is>
      </c>
      <c r="B695" s="1" t="n">
        <v>45832.34447916667</v>
      </c>
      <c r="C695" s="1" t="n">
        <v>46002</v>
      </c>
      <c r="D695" t="inlineStr">
        <is>
          <t>VÄSTERNORRLANDS LÄN</t>
        </is>
      </c>
      <c r="E695" t="inlineStr">
        <is>
          <t>ÅNGE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3629-2023</t>
        </is>
      </c>
      <c r="B696" s="1" t="n">
        <v>44950</v>
      </c>
      <c r="C696" s="1" t="n">
        <v>46002</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3631-2023</t>
        </is>
      </c>
      <c r="B697" s="1" t="n">
        <v>44950</v>
      </c>
      <c r="C697" s="1" t="n">
        <v>46002</v>
      </c>
      <c r="D697" t="inlineStr">
        <is>
          <t>VÄSTERNORRLANDS LÄN</t>
        </is>
      </c>
      <c r="E697" t="inlineStr">
        <is>
          <t>ÅNGE</t>
        </is>
      </c>
      <c r="G697" t="n">
        <v>0.8</v>
      </c>
      <c r="H697" t="n">
        <v>0</v>
      </c>
      <c r="I697" t="n">
        <v>0</v>
      </c>
      <c r="J697" t="n">
        <v>0</v>
      </c>
      <c r="K697" t="n">
        <v>0</v>
      </c>
      <c r="L697" t="n">
        <v>0</v>
      </c>
      <c r="M697" t="n">
        <v>0</v>
      </c>
      <c r="N697" t="n">
        <v>0</v>
      </c>
      <c r="O697" t="n">
        <v>0</v>
      </c>
      <c r="P697" t="n">
        <v>0</v>
      </c>
      <c r="Q697" t="n">
        <v>0</v>
      </c>
      <c r="R697" s="2" t="inlineStr"/>
    </row>
    <row r="698" ht="15" customHeight="1">
      <c r="A698" t="inlineStr">
        <is>
          <t>A 31211-2025</t>
        </is>
      </c>
      <c r="B698" s="1" t="n">
        <v>45832.71938657408</v>
      </c>
      <c r="C698" s="1" t="n">
        <v>46002</v>
      </c>
      <c r="D698" t="inlineStr">
        <is>
          <t>VÄSTERNORRLANDS LÄN</t>
        </is>
      </c>
      <c r="E698" t="inlineStr">
        <is>
          <t>ÅNGE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43707-2025</t>
        </is>
      </c>
      <c r="B699" s="1" t="n">
        <v>45912.40668981482</v>
      </c>
      <c r="C699" s="1" t="n">
        <v>46002</v>
      </c>
      <c r="D699" t="inlineStr">
        <is>
          <t>VÄSTERNORRLANDS LÄN</t>
        </is>
      </c>
      <c r="E699" t="inlineStr">
        <is>
          <t>ÅNGE</t>
        </is>
      </c>
      <c r="F699" t="inlineStr">
        <is>
          <t>SCA</t>
        </is>
      </c>
      <c r="G699" t="n">
        <v>12.5</v>
      </c>
      <c r="H699" t="n">
        <v>0</v>
      </c>
      <c r="I699" t="n">
        <v>0</v>
      </c>
      <c r="J699" t="n">
        <v>0</v>
      </c>
      <c r="K699" t="n">
        <v>0</v>
      </c>
      <c r="L699" t="n">
        <v>0</v>
      </c>
      <c r="M699" t="n">
        <v>0</v>
      </c>
      <c r="N699" t="n">
        <v>0</v>
      </c>
      <c r="O699" t="n">
        <v>0</v>
      </c>
      <c r="P699" t="n">
        <v>0</v>
      </c>
      <c r="Q699" t="n">
        <v>0</v>
      </c>
      <c r="R699" s="2" t="inlineStr"/>
      <c r="U699">
        <f>HYPERLINK("https://klasma.github.io/Logging_2260/knärot/A 43707-2025 karta knärot.png", "A 43707-2025")</f>
        <v/>
      </c>
      <c r="V699">
        <f>HYPERLINK("https://klasma.github.io/Logging_2260/klagomål/A 43707-2025 FSC-klagomål.docx", "A 43707-2025")</f>
        <v/>
      </c>
      <c r="W699">
        <f>HYPERLINK("https://klasma.github.io/Logging_2260/klagomålsmail/A 43707-2025 FSC-klagomål mail.docx", "A 43707-2025")</f>
        <v/>
      </c>
      <c r="X699">
        <f>HYPERLINK("https://klasma.github.io/Logging_2260/tillsyn/A 43707-2025 tillsynsbegäran.docx", "A 43707-2025")</f>
        <v/>
      </c>
      <c r="Y699">
        <f>HYPERLINK("https://klasma.github.io/Logging_2260/tillsynsmail/A 43707-2025 tillsynsbegäran mail.docx", "A 43707-2025")</f>
        <v/>
      </c>
    </row>
    <row r="700" ht="15" customHeight="1">
      <c r="A700" t="inlineStr">
        <is>
          <t>A 17703-2025</t>
        </is>
      </c>
      <c r="B700" s="1" t="n">
        <v>45758.4275462963</v>
      </c>
      <c r="C700" s="1" t="n">
        <v>46002</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31484-2025</t>
        </is>
      </c>
      <c r="B701" s="1" t="n">
        <v>45833.57418981481</v>
      </c>
      <c r="C701" s="1" t="n">
        <v>46002</v>
      </c>
      <c r="D701" t="inlineStr">
        <is>
          <t>VÄSTERNORRLANDS LÄN</t>
        </is>
      </c>
      <c r="E701" t="inlineStr">
        <is>
          <t>ÅNGE</t>
        </is>
      </c>
      <c r="F701" t="inlineStr">
        <is>
          <t>SCA</t>
        </is>
      </c>
      <c r="G701" t="n">
        <v>7</v>
      </c>
      <c r="H701" t="n">
        <v>0</v>
      </c>
      <c r="I701" t="n">
        <v>0</v>
      </c>
      <c r="J701" t="n">
        <v>0</v>
      </c>
      <c r="K701" t="n">
        <v>0</v>
      </c>
      <c r="L701" t="n">
        <v>0</v>
      </c>
      <c r="M701" t="n">
        <v>0</v>
      </c>
      <c r="N701" t="n">
        <v>0</v>
      </c>
      <c r="O701" t="n">
        <v>0</v>
      </c>
      <c r="P701" t="n">
        <v>0</v>
      </c>
      <c r="Q701" t="n">
        <v>0</v>
      </c>
      <c r="R701" s="2" t="inlineStr"/>
    </row>
    <row r="702" ht="15" customHeight="1">
      <c r="A702" t="inlineStr">
        <is>
          <t>A 30877-2025</t>
        </is>
      </c>
      <c r="B702" s="1" t="n">
        <v>45832.34478009259</v>
      </c>
      <c r="C702" s="1" t="n">
        <v>46002</v>
      </c>
      <c r="D702" t="inlineStr">
        <is>
          <t>VÄSTERNORRLANDS LÄN</t>
        </is>
      </c>
      <c r="E702" t="inlineStr">
        <is>
          <t>ÅNGE</t>
        </is>
      </c>
      <c r="F702" t="inlineStr">
        <is>
          <t>SCA</t>
        </is>
      </c>
      <c r="G702" t="n">
        <v>4.6</v>
      </c>
      <c r="H702" t="n">
        <v>0</v>
      </c>
      <c r="I702" t="n">
        <v>0</v>
      </c>
      <c r="J702" t="n">
        <v>0</v>
      </c>
      <c r="K702" t="n">
        <v>0</v>
      </c>
      <c r="L702" t="n">
        <v>0</v>
      </c>
      <c r="M702" t="n">
        <v>0</v>
      </c>
      <c r="N702" t="n">
        <v>0</v>
      </c>
      <c r="O702" t="n">
        <v>0</v>
      </c>
      <c r="P702" t="n">
        <v>0</v>
      </c>
      <c r="Q702" t="n">
        <v>0</v>
      </c>
      <c r="R702" s="2" t="inlineStr"/>
    </row>
    <row r="703" ht="15" customHeight="1">
      <c r="A703" t="inlineStr">
        <is>
          <t>A 31139-2025</t>
        </is>
      </c>
      <c r="B703" s="1" t="n">
        <v>45832.63633101852</v>
      </c>
      <c r="C703" s="1" t="n">
        <v>46002</v>
      </c>
      <c r="D703" t="inlineStr">
        <is>
          <t>VÄSTERNORRLANDS LÄN</t>
        </is>
      </c>
      <c r="E703" t="inlineStr">
        <is>
          <t>ÅNGE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31041-2025</t>
        </is>
      </c>
      <c r="B704" s="1" t="n">
        <v>45832.55247685185</v>
      </c>
      <c r="C704" s="1" t="n">
        <v>46002</v>
      </c>
      <c r="D704" t="inlineStr">
        <is>
          <t>VÄSTERNORRLANDS LÄN</t>
        </is>
      </c>
      <c r="E704" t="inlineStr">
        <is>
          <t>ÅNGE</t>
        </is>
      </c>
      <c r="F704" t="inlineStr">
        <is>
          <t>SCA</t>
        </is>
      </c>
      <c r="G704" t="n">
        <v>15.1</v>
      </c>
      <c r="H704" t="n">
        <v>0</v>
      </c>
      <c r="I704" t="n">
        <v>0</v>
      </c>
      <c r="J704" t="n">
        <v>0</v>
      </c>
      <c r="K704" t="n">
        <v>0</v>
      </c>
      <c r="L704" t="n">
        <v>0</v>
      </c>
      <c r="M704" t="n">
        <v>0</v>
      </c>
      <c r="N704" t="n">
        <v>0</v>
      </c>
      <c r="O704" t="n">
        <v>0</v>
      </c>
      <c r="P704" t="n">
        <v>0</v>
      </c>
      <c r="Q704" t="n">
        <v>0</v>
      </c>
      <c r="R704" s="2" t="inlineStr"/>
    </row>
    <row r="705" ht="15" customHeight="1">
      <c r="A705" t="inlineStr">
        <is>
          <t>A 28779-2023</t>
        </is>
      </c>
      <c r="B705" s="1" t="n">
        <v>45104.34314814815</v>
      </c>
      <c r="C705" s="1" t="n">
        <v>46002</v>
      </c>
      <c r="D705" t="inlineStr">
        <is>
          <t>VÄSTERNORRLANDS LÄN</t>
        </is>
      </c>
      <c r="E705" t="inlineStr">
        <is>
          <t>ÅNGE</t>
        </is>
      </c>
      <c r="G705" t="n">
        <v>1.3</v>
      </c>
      <c r="H705" t="n">
        <v>0</v>
      </c>
      <c r="I705" t="n">
        <v>0</v>
      </c>
      <c r="J705" t="n">
        <v>0</v>
      </c>
      <c r="K705" t="n">
        <v>0</v>
      </c>
      <c r="L705" t="n">
        <v>0</v>
      </c>
      <c r="M705" t="n">
        <v>0</v>
      </c>
      <c r="N705" t="n">
        <v>0</v>
      </c>
      <c r="O705" t="n">
        <v>0</v>
      </c>
      <c r="P705" t="n">
        <v>0</v>
      </c>
      <c r="Q705" t="n">
        <v>0</v>
      </c>
      <c r="R705" s="2" t="inlineStr"/>
    </row>
    <row r="706" ht="15" customHeight="1">
      <c r="A706" t="inlineStr">
        <is>
          <t>A 25311-2023</t>
        </is>
      </c>
      <c r="B706" s="1" t="n">
        <v>45086.93869212963</v>
      </c>
      <c r="C706" s="1" t="n">
        <v>46002</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24552-2023</t>
        </is>
      </c>
      <c r="B707" s="1" t="n">
        <v>45082.94226851852</v>
      </c>
      <c r="C707" s="1" t="n">
        <v>46002</v>
      </c>
      <c r="D707" t="inlineStr">
        <is>
          <t>VÄSTERNORRLANDS LÄN</t>
        </is>
      </c>
      <c r="E707" t="inlineStr">
        <is>
          <t>ÅNGE</t>
        </is>
      </c>
      <c r="G707" t="n">
        <v>1.5</v>
      </c>
      <c r="H707" t="n">
        <v>0</v>
      </c>
      <c r="I707" t="n">
        <v>0</v>
      </c>
      <c r="J707" t="n">
        <v>0</v>
      </c>
      <c r="K707" t="n">
        <v>0</v>
      </c>
      <c r="L707" t="n">
        <v>0</v>
      </c>
      <c r="M707" t="n">
        <v>0</v>
      </c>
      <c r="N707" t="n">
        <v>0</v>
      </c>
      <c r="O707" t="n">
        <v>0</v>
      </c>
      <c r="P707" t="n">
        <v>0</v>
      </c>
      <c r="Q707" t="n">
        <v>0</v>
      </c>
      <c r="R707" s="2" t="inlineStr"/>
    </row>
    <row r="708" ht="15" customHeight="1">
      <c r="A708" t="inlineStr">
        <is>
          <t>A 28873-2024</t>
        </is>
      </c>
      <c r="B708" s="1" t="n">
        <v>45478.94766203704</v>
      </c>
      <c r="C708" s="1" t="n">
        <v>46002</v>
      </c>
      <c r="D708" t="inlineStr">
        <is>
          <t>VÄSTERNORRLANDS LÄN</t>
        </is>
      </c>
      <c r="E708" t="inlineStr">
        <is>
          <t>ÅNGE</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27682-2023</t>
        </is>
      </c>
      <c r="B709" s="1" t="n">
        <v>45097.93758101852</v>
      </c>
      <c r="C709" s="1" t="n">
        <v>46002</v>
      </c>
      <c r="D709" t="inlineStr">
        <is>
          <t>VÄSTERNORRLANDS LÄN</t>
        </is>
      </c>
      <c r="E709" t="inlineStr">
        <is>
          <t>ÅNGE</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31646-2025</t>
        </is>
      </c>
      <c r="B710" s="1" t="n">
        <v>45834.34563657407</v>
      </c>
      <c r="C710" s="1" t="n">
        <v>46002</v>
      </c>
      <c r="D710" t="inlineStr">
        <is>
          <t>VÄSTERNORRLANDS LÄN</t>
        </is>
      </c>
      <c r="E710" t="inlineStr">
        <is>
          <t>ÅNGE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50612-2024</t>
        </is>
      </c>
      <c r="B711" s="1" t="n">
        <v>45601</v>
      </c>
      <c r="C711" s="1" t="n">
        <v>46002</v>
      </c>
      <c r="D711" t="inlineStr">
        <is>
          <t>VÄSTERNORRLANDS LÄN</t>
        </is>
      </c>
      <c r="E711" t="inlineStr">
        <is>
          <t>ÅNGE</t>
        </is>
      </c>
      <c r="G711" t="n">
        <v>1.9</v>
      </c>
      <c r="H711" t="n">
        <v>0</v>
      </c>
      <c r="I711" t="n">
        <v>0</v>
      </c>
      <c r="J711" t="n">
        <v>0</v>
      </c>
      <c r="K711" t="n">
        <v>0</v>
      </c>
      <c r="L711" t="n">
        <v>0</v>
      </c>
      <c r="M711" t="n">
        <v>0</v>
      </c>
      <c r="N711" t="n">
        <v>0</v>
      </c>
      <c r="O711" t="n">
        <v>0</v>
      </c>
      <c r="P711" t="n">
        <v>0</v>
      </c>
      <c r="Q711" t="n">
        <v>0</v>
      </c>
      <c r="R711" s="2" t="inlineStr"/>
    </row>
    <row r="712" ht="15" customHeight="1">
      <c r="A712" t="inlineStr">
        <is>
          <t>A 31642-2025</t>
        </is>
      </c>
      <c r="B712" s="1" t="n">
        <v>45834.34474537037</v>
      </c>
      <c r="C712" s="1" t="n">
        <v>46002</v>
      </c>
      <c r="D712" t="inlineStr">
        <is>
          <t>VÄSTERNORRLANDS LÄN</t>
        </is>
      </c>
      <c r="E712" t="inlineStr">
        <is>
          <t>ÅNGE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32025-2025</t>
        </is>
      </c>
      <c r="B713" s="1" t="n">
        <v>45835.40721064815</v>
      </c>
      <c r="C713" s="1" t="n">
        <v>46002</v>
      </c>
      <c r="D713" t="inlineStr">
        <is>
          <t>VÄSTERNORRLANDS LÄN</t>
        </is>
      </c>
      <c r="E713" t="inlineStr">
        <is>
          <t>ÅNGE</t>
        </is>
      </c>
      <c r="G713" t="n">
        <v>1.6</v>
      </c>
      <c r="H713" t="n">
        <v>0</v>
      </c>
      <c r="I713" t="n">
        <v>0</v>
      </c>
      <c r="J713" t="n">
        <v>0</v>
      </c>
      <c r="K713" t="n">
        <v>0</v>
      </c>
      <c r="L713" t="n">
        <v>0</v>
      </c>
      <c r="M713" t="n">
        <v>0</v>
      </c>
      <c r="N713" t="n">
        <v>0</v>
      </c>
      <c r="O713" t="n">
        <v>0</v>
      </c>
      <c r="P713" t="n">
        <v>0</v>
      </c>
      <c r="Q713" t="n">
        <v>0</v>
      </c>
      <c r="R713" s="2" t="inlineStr"/>
    </row>
    <row r="714" ht="15" customHeight="1">
      <c r="A714" t="inlineStr">
        <is>
          <t>A 32024-2025</t>
        </is>
      </c>
      <c r="B714" s="1" t="n">
        <v>45835.40706018519</v>
      </c>
      <c r="C714" s="1" t="n">
        <v>46002</v>
      </c>
      <c r="D714" t="inlineStr">
        <is>
          <t>VÄSTERNORRLANDS LÄN</t>
        </is>
      </c>
      <c r="E714" t="inlineStr">
        <is>
          <t>ÅNGE</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26092-2025</t>
        </is>
      </c>
      <c r="B715" s="1" t="n">
        <v>45805</v>
      </c>
      <c r="C715" s="1" t="n">
        <v>46002</v>
      </c>
      <c r="D715" t="inlineStr">
        <is>
          <t>VÄSTERNORRLANDS LÄN</t>
        </is>
      </c>
      <c r="E715" t="inlineStr">
        <is>
          <t>ÅNGE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31666-2025</t>
        </is>
      </c>
      <c r="B716" s="1" t="n">
        <v>45834.36519675926</v>
      </c>
      <c r="C716" s="1" t="n">
        <v>46002</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56699-2023</t>
        </is>
      </c>
      <c r="B717" s="1" t="n">
        <v>45243</v>
      </c>
      <c r="C717" s="1" t="n">
        <v>46002</v>
      </c>
      <c r="D717" t="inlineStr">
        <is>
          <t>VÄSTERNORRLANDS LÄN</t>
        </is>
      </c>
      <c r="E717" t="inlineStr">
        <is>
          <t>ÅNGE</t>
        </is>
      </c>
      <c r="F717" t="inlineStr">
        <is>
          <t>SCA</t>
        </is>
      </c>
      <c r="G717" t="n">
        <v>3.9</v>
      </c>
      <c r="H717" t="n">
        <v>0</v>
      </c>
      <c r="I717" t="n">
        <v>0</v>
      </c>
      <c r="J717" t="n">
        <v>0</v>
      </c>
      <c r="K717" t="n">
        <v>0</v>
      </c>
      <c r="L717" t="n">
        <v>0</v>
      </c>
      <c r="M717" t="n">
        <v>0</v>
      </c>
      <c r="N717" t="n">
        <v>0</v>
      </c>
      <c r="O717" t="n">
        <v>0</v>
      </c>
      <c r="P717" t="n">
        <v>0</v>
      </c>
      <c r="Q717" t="n">
        <v>0</v>
      </c>
      <c r="R717" s="2" t="inlineStr"/>
    </row>
    <row r="718" ht="15" customHeight="1">
      <c r="A718" t="inlineStr">
        <is>
          <t>A 44919-2025</t>
        </is>
      </c>
      <c r="B718" s="1" t="n">
        <v>45918.55246527777</v>
      </c>
      <c r="C718" s="1" t="n">
        <v>46002</v>
      </c>
      <c r="D718" t="inlineStr">
        <is>
          <t>VÄSTERNORRLANDS LÄN</t>
        </is>
      </c>
      <c r="E718" t="inlineStr">
        <is>
          <t>ÅNGE</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44935-2025</t>
        </is>
      </c>
      <c r="B719" s="1" t="n">
        <v>45918.57392361111</v>
      </c>
      <c r="C719" s="1" t="n">
        <v>46002</v>
      </c>
      <c r="D719" t="inlineStr">
        <is>
          <t>VÄSTERNORRLANDS LÄN</t>
        </is>
      </c>
      <c r="E719" t="inlineStr">
        <is>
          <t>ÅNGE</t>
        </is>
      </c>
      <c r="F719" t="inlineStr">
        <is>
          <t>SCA</t>
        </is>
      </c>
      <c r="G719" t="n">
        <v>6.8</v>
      </c>
      <c r="H719" t="n">
        <v>0</v>
      </c>
      <c r="I719" t="n">
        <v>0</v>
      </c>
      <c r="J719" t="n">
        <v>0</v>
      </c>
      <c r="K719" t="n">
        <v>0</v>
      </c>
      <c r="L719" t="n">
        <v>0</v>
      </c>
      <c r="M719" t="n">
        <v>0</v>
      </c>
      <c r="N719" t="n">
        <v>0</v>
      </c>
      <c r="O719" t="n">
        <v>0</v>
      </c>
      <c r="P719" t="n">
        <v>0</v>
      </c>
      <c r="Q719" t="n">
        <v>0</v>
      </c>
      <c r="R719" s="2" t="inlineStr"/>
    </row>
    <row r="720" ht="15" customHeight="1">
      <c r="A720" t="inlineStr">
        <is>
          <t>A 53713-2025</t>
        </is>
      </c>
      <c r="B720" s="1" t="n">
        <v>45960.61568287037</v>
      </c>
      <c r="C720" s="1" t="n">
        <v>46002</v>
      </c>
      <c r="D720" t="inlineStr">
        <is>
          <t>VÄSTERNORRLANDS LÄN</t>
        </is>
      </c>
      <c r="E720" t="inlineStr">
        <is>
          <t>ÅNGE</t>
        </is>
      </c>
      <c r="F720" t="inlineStr">
        <is>
          <t>SCA</t>
        </is>
      </c>
      <c r="G720" t="n">
        <v>4.7</v>
      </c>
      <c r="H720" t="n">
        <v>0</v>
      </c>
      <c r="I720" t="n">
        <v>0</v>
      </c>
      <c r="J720" t="n">
        <v>0</v>
      </c>
      <c r="K720" t="n">
        <v>0</v>
      </c>
      <c r="L720" t="n">
        <v>0</v>
      </c>
      <c r="M720" t="n">
        <v>0</v>
      </c>
      <c r="N720" t="n">
        <v>0</v>
      </c>
      <c r="O720" t="n">
        <v>0</v>
      </c>
      <c r="P720" t="n">
        <v>0</v>
      </c>
      <c r="Q720" t="n">
        <v>0</v>
      </c>
      <c r="R720" s="2" t="inlineStr"/>
    </row>
    <row r="721" ht="15" customHeight="1">
      <c r="A721" t="inlineStr">
        <is>
          <t>A 30751-2024</t>
        </is>
      </c>
      <c r="B721" s="1" t="n">
        <v>45496.69339120371</v>
      </c>
      <c r="C721" s="1" t="n">
        <v>46002</v>
      </c>
      <c r="D721" t="inlineStr">
        <is>
          <t>VÄSTERNORRLANDS LÄN</t>
        </is>
      </c>
      <c r="E721" t="inlineStr">
        <is>
          <t>ÅNGE</t>
        </is>
      </c>
      <c r="G721" t="n">
        <v>0.3</v>
      </c>
      <c r="H721" t="n">
        <v>0</v>
      </c>
      <c r="I721" t="n">
        <v>0</v>
      </c>
      <c r="J721" t="n">
        <v>0</v>
      </c>
      <c r="K721" t="n">
        <v>0</v>
      </c>
      <c r="L721" t="n">
        <v>0</v>
      </c>
      <c r="M721" t="n">
        <v>0</v>
      </c>
      <c r="N721" t="n">
        <v>0</v>
      </c>
      <c r="O721" t="n">
        <v>0</v>
      </c>
      <c r="P721" t="n">
        <v>0</v>
      </c>
      <c r="Q721" t="n">
        <v>0</v>
      </c>
      <c r="R721" s="2" t="inlineStr"/>
    </row>
    <row r="722" ht="15" customHeight="1">
      <c r="A722" t="inlineStr">
        <is>
          <t>A 53984-2025</t>
        </is>
      </c>
      <c r="B722" s="1" t="n">
        <v>45961.5734837963</v>
      </c>
      <c r="C722" s="1" t="n">
        <v>46002</v>
      </c>
      <c r="D722" t="inlineStr">
        <is>
          <t>VÄSTERNORRLANDS LÄN</t>
        </is>
      </c>
      <c r="E722" t="inlineStr">
        <is>
          <t>ÅNGE</t>
        </is>
      </c>
      <c r="F722" t="inlineStr">
        <is>
          <t>SCA</t>
        </is>
      </c>
      <c r="G722" t="n">
        <v>14.8</v>
      </c>
      <c r="H722" t="n">
        <v>0</v>
      </c>
      <c r="I722" t="n">
        <v>0</v>
      </c>
      <c r="J722" t="n">
        <v>0</v>
      </c>
      <c r="K722" t="n">
        <v>0</v>
      </c>
      <c r="L722" t="n">
        <v>0</v>
      </c>
      <c r="M722" t="n">
        <v>0</v>
      </c>
      <c r="N722" t="n">
        <v>0</v>
      </c>
      <c r="O722" t="n">
        <v>0</v>
      </c>
      <c r="P722" t="n">
        <v>0</v>
      </c>
      <c r="Q722" t="n">
        <v>0</v>
      </c>
      <c r="R722" s="2" t="inlineStr"/>
    </row>
    <row r="723" ht="15" customHeight="1">
      <c r="A723" t="inlineStr">
        <is>
          <t>A 55324-2023</t>
        </is>
      </c>
      <c r="B723" s="1" t="n">
        <v>45237.9734837963</v>
      </c>
      <c r="C723" s="1" t="n">
        <v>46002</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34629-2025</t>
        </is>
      </c>
      <c r="B724" s="1" t="n">
        <v>45847.93006944445</v>
      </c>
      <c r="C724" s="1" t="n">
        <v>46002</v>
      </c>
      <c r="D724" t="inlineStr">
        <is>
          <t>VÄSTERNORRLANDS LÄN</t>
        </is>
      </c>
      <c r="E724" t="inlineStr">
        <is>
          <t>ÅNGE</t>
        </is>
      </c>
      <c r="G724" t="n">
        <v>0.2</v>
      </c>
      <c r="H724" t="n">
        <v>0</v>
      </c>
      <c r="I724" t="n">
        <v>0</v>
      </c>
      <c r="J724" t="n">
        <v>0</v>
      </c>
      <c r="K724" t="n">
        <v>0</v>
      </c>
      <c r="L724" t="n">
        <v>0</v>
      </c>
      <c r="M724" t="n">
        <v>0</v>
      </c>
      <c r="N724" t="n">
        <v>0</v>
      </c>
      <c r="O724" t="n">
        <v>0</v>
      </c>
      <c r="P724" t="n">
        <v>0</v>
      </c>
      <c r="Q724" t="n">
        <v>0</v>
      </c>
      <c r="R724" s="2" t="inlineStr"/>
    </row>
    <row r="725" ht="15" customHeight="1">
      <c r="A725" t="inlineStr">
        <is>
          <t>A 58445-2022</t>
        </is>
      </c>
      <c r="B725" s="1" t="n">
        <v>44901.95453703704</v>
      </c>
      <c r="C725" s="1" t="n">
        <v>46002</v>
      </c>
      <c r="D725" t="inlineStr">
        <is>
          <t>VÄSTERNORRLANDS LÄN</t>
        </is>
      </c>
      <c r="E725" t="inlineStr">
        <is>
          <t>ÅNGE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53985-2025</t>
        </is>
      </c>
      <c r="B726" s="1" t="n">
        <v>45961.57366898148</v>
      </c>
      <c r="C726" s="1" t="n">
        <v>46002</v>
      </c>
      <c r="D726" t="inlineStr">
        <is>
          <t>VÄSTERNORRLANDS LÄN</t>
        </is>
      </c>
      <c r="E726" t="inlineStr">
        <is>
          <t>ÅNGE</t>
        </is>
      </c>
      <c r="F726" t="inlineStr">
        <is>
          <t>SCA</t>
        </is>
      </c>
      <c r="G726" t="n">
        <v>14.2</v>
      </c>
      <c r="H726" t="n">
        <v>0</v>
      </c>
      <c r="I726" t="n">
        <v>0</v>
      </c>
      <c r="J726" t="n">
        <v>0</v>
      </c>
      <c r="K726" t="n">
        <v>0</v>
      </c>
      <c r="L726" t="n">
        <v>0</v>
      </c>
      <c r="M726" t="n">
        <v>0</v>
      </c>
      <c r="N726" t="n">
        <v>0</v>
      </c>
      <c r="O726" t="n">
        <v>0</v>
      </c>
      <c r="P726" t="n">
        <v>0</v>
      </c>
      <c r="Q726" t="n">
        <v>0</v>
      </c>
      <c r="R726" s="2" t="inlineStr"/>
    </row>
    <row r="727" ht="15" customHeight="1">
      <c r="A727" t="inlineStr">
        <is>
          <t>A 25680-2023</t>
        </is>
      </c>
      <c r="B727" s="1" t="n">
        <v>45089</v>
      </c>
      <c r="C727" s="1" t="n">
        <v>46002</v>
      </c>
      <c r="D727" t="inlineStr">
        <is>
          <t>VÄSTERNORRLANDS LÄN</t>
        </is>
      </c>
      <c r="E727" t="inlineStr">
        <is>
          <t>ÅNGE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53509-2025</t>
        </is>
      </c>
      <c r="B728" s="1" t="n">
        <v>45960.34506944445</v>
      </c>
      <c r="C728" s="1" t="n">
        <v>46002</v>
      </c>
      <c r="D728" t="inlineStr">
        <is>
          <t>VÄSTERNORRLANDS LÄN</t>
        </is>
      </c>
      <c r="E728" t="inlineStr">
        <is>
          <t>ÅNGE</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32847-2025</t>
        </is>
      </c>
      <c r="B729" s="1" t="n">
        <v>45839.57354166666</v>
      </c>
      <c r="C729" s="1" t="n">
        <v>46002</v>
      </c>
      <c r="D729" t="inlineStr">
        <is>
          <t>VÄSTERNORRLANDS LÄN</t>
        </is>
      </c>
      <c r="E729" t="inlineStr">
        <is>
          <t>ÅNGE</t>
        </is>
      </c>
      <c r="F729" t="inlineStr">
        <is>
          <t>SCA</t>
        </is>
      </c>
      <c r="G729" t="n">
        <v>9.4</v>
      </c>
      <c r="H729" t="n">
        <v>0</v>
      </c>
      <c r="I729" t="n">
        <v>0</v>
      </c>
      <c r="J729" t="n">
        <v>0</v>
      </c>
      <c r="K729" t="n">
        <v>0</v>
      </c>
      <c r="L729" t="n">
        <v>0</v>
      </c>
      <c r="M729" t="n">
        <v>0</v>
      </c>
      <c r="N729" t="n">
        <v>0</v>
      </c>
      <c r="O729" t="n">
        <v>0</v>
      </c>
      <c r="P729" t="n">
        <v>0</v>
      </c>
      <c r="Q729" t="n">
        <v>0</v>
      </c>
      <c r="R729" s="2" t="inlineStr"/>
    </row>
    <row r="730" ht="15" customHeight="1">
      <c r="A730" t="inlineStr">
        <is>
          <t>A 18542-2022</t>
        </is>
      </c>
      <c r="B730" s="1" t="n">
        <v>44686</v>
      </c>
      <c r="C730" s="1" t="n">
        <v>46002</v>
      </c>
      <c r="D730" t="inlineStr">
        <is>
          <t>VÄSTERNORRLANDS LÄN</t>
        </is>
      </c>
      <c r="E730" t="inlineStr">
        <is>
          <t>ÅNGE</t>
        </is>
      </c>
      <c r="G730" t="n">
        <v>0.2</v>
      </c>
      <c r="H730" t="n">
        <v>0</v>
      </c>
      <c r="I730" t="n">
        <v>0</v>
      </c>
      <c r="J730" t="n">
        <v>0</v>
      </c>
      <c r="K730" t="n">
        <v>0</v>
      </c>
      <c r="L730" t="n">
        <v>0</v>
      </c>
      <c r="M730" t="n">
        <v>0</v>
      </c>
      <c r="N730" t="n">
        <v>0</v>
      </c>
      <c r="O730" t="n">
        <v>0</v>
      </c>
      <c r="P730" t="n">
        <v>0</v>
      </c>
      <c r="Q730" t="n">
        <v>0</v>
      </c>
      <c r="R730" s="2" t="inlineStr"/>
    </row>
    <row r="731" ht="15" customHeight="1">
      <c r="A731" t="inlineStr">
        <is>
          <t>A 55007-2022</t>
        </is>
      </c>
      <c r="B731" s="1" t="n">
        <v>44881</v>
      </c>
      <c r="C731" s="1" t="n">
        <v>46002</v>
      </c>
      <c r="D731" t="inlineStr">
        <is>
          <t>VÄSTERNORRLANDS LÄN</t>
        </is>
      </c>
      <c r="E731" t="inlineStr">
        <is>
          <t>ÅNGE</t>
        </is>
      </c>
      <c r="G731" t="n">
        <v>2</v>
      </c>
      <c r="H731" t="n">
        <v>0</v>
      </c>
      <c r="I731" t="n">
        <v>0</v>
      </c>
      <c r="J731" t="n">
        <v>0</v>
      </c>
      <c r="K731" t="n">
        <v>0</v>
      </c>
      <c r="L731" t="n">
        <v>0</v>
      </c>
      <c r="M731" t="n">
        <v>0</v>
      </c>
      <c r="N731" t="n">
        <v>0</v>
      </c>
      <c r="O731" t="n">
        <v>0</v>
      </c>
      <c r="P731" t="n">
        <v>0</v>
      </c>
      <c r="Q731" t="n">
        <v>0</v>
      </c>
      <c r="R731" s="2" t="inlineStr"/>
    </row>
    <row r="732" ht="15" customHeight="1">
      <c r="A732" t="inlineStr">
        <is>
          <t>A 63607-2021</t>
        </is>
      </c>
      <c r="B732" s="1" t="n">
        <v>44508.94650462963</v>
      </c>
      <c r="C732" s="1" t="n">
        <v>46002</v>
      </c>
      <c r="D732" t="inlineStr">
        <is>
          <t>VÄSTERNORRLANDS LÄN</t>
        </is>
      </c>
      <c r="E732" t="inlineStr">
        <is>
          <t>ÅNGE</t>
        </is>
      </c>
      <c r="F732" t="inlineStr">
        <is>
          <t>SCA</t>
        </is>
      </c>
      <c r="G732" t="n">
        <v>6.7</v>
      </c>
      <c r="H732" t="n">
        <v>0</v>
      </c>
      <c r="I732" t="n">
        <v>0</v>
      </c>
      <c r="J732" t="n">
        <v>0</v>
      </c>
      <c r="K732" t="n">
        <v>0</v>
      </c>
      <c r="L732" t="n">
        <v>0</v>
      </c>
      <c r="M732" t="n">
        <v>0</v>
      </c>
      <c r="N732" t="n">
        <v>0</v>
      </c>
      <c r="O732" t="n">
        <v>0</v>
      </c>
      <c r="P732" t="n">
        <v>0</v>
      </c>
      <c r="Q732" t="n">
        <v>0</v>
      </c>
      <c r="R732" s="2" t="inlineStr"/>
    </row>
    <row r="733" ht="15" customHeight="1">
      <c r="A733" t="inlineStr">
        <is>
          <t>A 41222-2024</t>
        </is>
      </c>
      <c r="B733" s="1" t="n">
        <v>45559.55306712963</v>
      </c>
      <c r="C733" s="1" t="n">
        <v>46002</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13706-2023</t>
        </is>
      </c>
      <c r="B734" s="1" t="n">
        <v>45006</v>
      </c>
      <c r="C734" s="1" t="n">
        <v>46002</v>
      </c>
      <c r="D734" t="inlineStr">
        <is>
          <t>VÄSTERNORRLANDS LÄN</t>
        </is>
      </c>
      <c r="E734" t="inlineStr">
        <is>
          <t>ÅNGE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45403-2025</t>
        </is>
      </c>
      <c r="B735" s="1" t="n">
        <v>45922.42803240741</v>
      </c>
      <c r="C735" s="1" t="n">
        <v>46002</v>
      </c>
      <c r="D735" t="inlineStr">
        <is>
          <t>VÄSTERNORRLANDS LÄN</t>
        </is>
      </c>
      <c r="E735" t="inlineStr">
        <is>
          <t>ÅNGE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36342-2024</t>
        </is>
      </c>
      <c r="B736" s="1" t="n">
        <v>45534.64315972223</v>
      </c>
      <c r="C736" s="1" t="n">
        <v>46002</v>
      </c>
      <c r="D736" t="inlineStr">
        <is>
          <t>VÄSTERNORRLANDS LÄN</t>
        </is>
      </c>
      <c r="E736" t="inlineStr">
        <is>
          <t>ÅNGE</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17749-2025</t>
        </is>
      </c>
      <c r="B737" s="1" t="n">
        <v>45758.48380787037</v>
      </c>
      <c r="C737" s="1" t="n">
        <v>46002</v>
      </c>
      <c r="D737" t="inlineStr">
        <is>
          <t>VÄSTERNORRLANDS LÄN</t>
        </is>
      </c>
      <c r="E737" t="inlineStr">
        <is>
          <t>ÅNGE</t>
        </is>
      </c>
      <c r="G737" t="n">
        <v>7.3</v>
      </c>
      <c r="H737" t="n">
        <v>0</v>
      </c>
      <c r="I737" t="n">
        <v>0</v>
      </c>
      <c r="J737" t="n">
        <v>0</v>
      </c>
      <c r="K737" t="n">
        <v>0</v>
      </c>
      <c r="L737" t="n">
        <v>0</v>
      </c>
      <c r="M737" t="n">
        <v>0</v>
      </c>
      <c r="N737" t="n">
        <v>0</v>
      </c>
      <c r="O737" t="n">
        <v>0</v>
      </c>
      <c r="P737" t="n">
        <v>0</v>
      </c>
      <c r="Q737" t="n">
        <v>0</v>
      </c>
      <c r="R737" s="2" t="inlineStr"/>
    </row>
    <row r="738" ht="15" customHeight="1">
      <c r="A738" t="inlineStr">
        <is>
          <t>A 54357-2025</t>
        </is>
      </c>
      <c r="B738" s="1" t="n">
        <v>45965.3858912037</v>
      </c>
      <c r="C738" s="1" t="n">
        <v>46002</v>
      </c>
      <c r="D738" t="inlineStr">
        <is>
          <t>VÄSTERNORRLANDS LÄN</t>
        </is>
      </c>
      <c r="E738" t="inlineStr">
        <is>
          <t>ÅNGE</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45401-2025</t>
        </is>
      </c>
      <c r="B739" s="1" t="n">
        <v>45922.42767361111</v>
      </c>
      <c r="C739" s="1" t="n">
        <v>46002</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45404-2025</t>
        </is>
      </c>
      <c r="B740" s="1" t="n">
        <v>45922.42820601852</v>
      </c>
      <c r="C740" s="1" t="n">
        <v>46002</v>
      </c>
      <c r="D740" t="inlineStr">
        <is>
          <t>VÄSTERNORRLANDS LÄN</t>
        </is>
      </c>
      <c r="E740" t="inlineStr">
        <is>
          <t>ÅNGE</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34031-2025</t>
        </is>
      </c>
      <c r="B741" s="1" t="n">
        <v>45845.36508101852</v>
      </c>
      <c r="C741" s="1" t="n">
        <v>46002</v>
      </c>
      <c r="D741" t="inlineStr">
        <is>
          <t>VÄSTERNORRLANDS LÄN</t>
        </is>
      </c>
      <c r="E741" t="inlineStr">
        <is>
          <t>ÅNGE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33738-2025</t>
        </is>
      </c>
      <c r="B742" s="1" t="n">
        <v>45842.33795138889</v>
      </c>
      <c r="C742" s="1" t="n">
        <v>46002</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41781-2024</t>
        </is>
      </c>
      <c r="B743" s="1" t="n">
        <v>45561.34938657407</v>
      </c>
      <c r="C743" s="1" t="n">
        <v>46002</v>
      </c>
      <c r="D743" t="inlineStr">
        <is>
          <t>VÄSTERNORRLANDS LÄN</t>
        </is>
      </c>
      <c r="E743" t="inlineStr">
        <is>
          <t>ÅNGE</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54346-2025</t>
        </is>
      </c>
      <c r="B744" s="1" t="n">
        <v>45965.36525462963</v>
      </c>
      <c r="C744" s="1" t="n">
        <v>46002</v>
      </c>
      <c r="D744" t="inlineStr">
        <is>
          <t>VÄSTERNORRLANDS LÄN</t>
        </is>
      </c>
      <c r="E744" t="inlineStr">
        <is>
          <t>ÅNGE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45660-2025</t>
        </is>
      </c>
      <c r="B745" s="1" t="n">
        <v>45923.34494212963</v>
      </c>
      <c r="C745" s="1" t="n">
        <v>46002</v>
      </c>
      <c r="D745" t="inlineStr">
        <is>
          <t>VÄSTERNORRLANDS LÄN</t>
        </is>
      </c>
      <c r="E745" t="inlineStr">
        <is>
          <t>ÅNGE</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45875-2025</t>
        </is>
      </c>
      <c r="B746" s="1" t="n">
        <v>45923.65690972222</v>
      </c>
      <c r="C746" s="1" t="n">
        <v>46002</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45659-2025</t>
        </is>
      </c>
      <c r="B747" s="1" t="n">
        <v>45923.34471064815</v>
      </c>
      <c r="C747" s="1" t="n">
        <v>46002</v>
      </c>
      <c r="D747" t="inlineStr">
        <is>
          <t>VÄSTERNORRLANDS LÄN</t>
        </is>
      </c>
      <c r="E747" t="inlineStr">
        <is>
          <t>ÅNGE</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33782-2025</t>
        </is>
      </c>
      <c r="B748" s="1" t="n">
        <v>45842.40678240741</v>
      </c>
      <c r="C748" s="1" t="n">
        <v>46002</v>
      </c>
      <c r="D748" t="inlineStr">
        <is>
          <t>VÄSTERNORRLANDS LÄN</t>
        </is>
      </c>
      <c r="E748" t="inlineStr">
        <is>
          <t>ÅNGE</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3330-2025</t>
        </is>
      </c>
      <c r="B749" s="1" t="n">
        <v>45679.70041666667</v>
      </c>
      <c r="C749" s="1" t="n">
        <v>46002</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38272-2024</t>
        </is>
      </c>
      <c r="B750" s="1" t="n">
        <v>45545.60392361111</v>
      </c>
      <c r="C750" s="1" t="n">
        <v>46002</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54680-2025</t>
        </is>
      </c>
      <c r="B751" s="1" t="n">
        <v>45966.42751157407</v>
      </c>
      <c r="C751" s="1" t="n">
        <v>46002</v>
      </c>
      <c r="D751" t="inlineStr">
        <is>
          <t>VÄSTERNORRLANDS LÄN</t>
        </is>
      </c>
      <c r="E751" t="inlineStr">
        <is>
          <t>ÅNGE</t>
        </is>
      </c>
      <c r="F751" t="inlineStr">
        <is>
          <t>SCA</t>
        </is>
      </c>
      <c r="G751" t="n">
        <v>5.2</v>
      </c>
      <c r="H751" t="n">
        <v>0</v>
      </c>
      <c r="I751" t="n">
        <v>0</v>
      </c>
      <c r="J751" t="n">
        <v>0</v>
      </c>
      <c r="K751" t="n">
        <v>0</v>
      </c>
      <c r="L751" t="n">
        <v>0</v>
      </c>
      <c r="M751" t="n">
        <v>0</v>
      </c>
      <c r="N751" t="n">
        <v>0</v>
      </c>
      <c r="O751" t="n">
        <v>0</v>
      </c>
      <c r="P751" t="n">
        <v>0</v>
      </c>
      <c r="Q751" t="n">
        <v>0</v>
      </c>
      <c r="R751" s="2" t="inlineStr"/>
    </row>
    <row r="752" ht="15" customHeight="1">
      <c r="A752" t="inlineStr">
        <is>
          <t>A 34019-2025</t>
        </is>
      </c>
      <c r="B752" s="1" t="n">
        <v>45845.34416666667</v>
      </c>
      <c r="C752" s="1" t="n">
        <v>46002</v>
      </c>
      <c r="D752" t="inlineStr">
        <is>
          <t>VÄSTERNORRLANDS LÄN</t>
        </is>
      </c>
      <c r="E752" t="inlineStr">
        <is>
          <t>ÅNGE</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55045-2025</t>
        </is>
      </c>
      <c r="B753" s="1" t="n">
        <v>45967.66068287037</v>
      </c>
      <c r="C753" s="1" t="n">
        <v>46002</v>
      </c>
      <c r="D753" t="inlineStr">
        <is>
          <t>VÄSTERNORRLANDS LÄN</t>
        </is>
      </c>
      <c r="E753" t="inlineStr">
        <is>
          <t>ÅNGE</t>
        </is>
      </c>
      <c r="G753" t="n">
        <v>0.9</v>
      </c>
      <c r="H753" t="n">
        <v>0</v>
      </c>
      <c r="I753" t="n">
        <v>0</v>
      </c>
      <c r="J753" t="n">
        <v>0</v>
      </c>
      <c r="K753" t="n">
        <v>0</v>
      </c>
      <c r="L753" t="n">
        <v>0</v>
      </c>
      <c r="M753" t="n">
        <v>0</v>
      </c>
      <c r="N753" t="n">
        <v>0</v>
      </c>
      <c r="O753" t="n">
        <v>0</v>
      </c>
      <c r="P753" t="n">
        <v>0</v>
      </c>
      <c r="Q753" t="n">
        <v>0</v>
      </c>
      <c r="R753" s="2" t="inlineStr"/>
    </row>
    <row r="754" ht="15" customHeight="1">
      <c r="A754" t="inlineStr">
        <is>
          <t>A 33717-2025</t>
        </is>
      </c>
      <c r="B754" s="1" t="n">
        <v>45841.89357638889</v>
      </c>
      <c r="C754" s="1" t="n">
        <v>46002</v>
      </c>
      <c r="D754" t="inlineStr">
        <is>
          <t>VÄSTERNORRLANDS LÄN</t>
        </is>
      </c>
      <c r="E754" t="inlineStr">
        <is>
          <t>ÅNGE</t>
        </is>
      </c>
      <c r="G754" t="n">
        <v>14.3</v>
      </c>
      <c r="H754" t="n">
        <v>0</v>
      </c>
      <c r="I754" t="n">
        <v>0</v>
      </c>
      <c r="J754" t="n">
        <v>0</v>
      </c>
      <c r="K754" t="n">
        <v>0</v>
      </c>
      <c r="L754" t="n">
        <v>0</v>
      </c>
      <c r="M754" t="n">
        <v>0</v>
      </c>
      <c r="N754" t="n">
        <v>0</v>
      </c>
      <c r="O754" t="n">
        <v>0</v>
      </c>
      <c r="P754" t="n">
        <v>0</v>
      </c>
      <c r="Q754" t="n">
        <v>0</v>
      </c>
      <c r="R754" s="2" t="inlineStr"/>
    </row>
    <row r="755" ht="15" customHeight="1">
      <c r="A755" t="inlineStr">
        <is>
          <t>A 55038-2025</t>
        </is>
      </c>
      <c r="B755" s="1" t="n">
        <v>45967.65527777778</v>
      </c>
      <c r="C755" s="1" t="n">
        <v>46002</v>
      </c>
      <c r="D755" t="inlineStr">
        <is>
          <t>VÄSTERNORRLANDS LÄN</t>
        </is>
      </c>
      <c r="E755" t="inlineStr">
        <is>
          <t>ÅNGE</t>
        </is>
      </c>
      <c r="G755" t="n">
        <v>4.5</v>
      </c>
      <c r="H755" t="n">
        <v>0</v>
      </c>
      <c r="I755" t="n">
        <v>0</v>
      </c>
      <c r="J755" t="n">
        <v>0</v>
      </c>
      <c r="K755" t="n">
        <v>0</v>
      </c>
      <c r="L755" t="n">
        <v>0</v>
      </c>
      <c r="M755" t="n">
        <v>0</v>
      </c>
      <c r="N755" t="n">
        <v>0</v>
      </c>
      <c r="O755" t="n">
        <v>0</v>
      </c>
      <c r="P755" t="n">
        <v>0</v>
      </c>
      <c r="Q755" t="n">
        <v>0</v>
      </c>
      <c r="R755" s="2" t="inlineStr"/>
    </row>
    <row r="756" ht="15" customHeight="1">
      <c r="A756" t="inlineStr">
        <is>
          <t>A 54925-2025</t>
        </is>
      </c>
      <c r="B756" s="1" t="n">
        <v>45967.40699074074</v>
      </c>
      <c r="C756" s="1" t="n">
        <v>46002</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54705-2025</t>
        </is>
      </c>
      <c r="B757" s="1" t="n">
        <v>45966.4853125</v>
      </c>
      <c r="C757" s="1" t="n">
        <v>46002</v>
      </c>
      <c r="D757" t="inlineStr">
        <is>
          <t>VÄSTERNORRLANDS LÄN</t>
        </is>
      </c>
      <c r="E757" t="inlineStr">
        <is>
          <t>ÅNGE</t>
        </is>
      </c>
      <c r="G757" t="n">
        <v>4.5</v>
      </c>
      <c r="H757" t="n">
        <v>0</v>
      </c>
      <c r="I757" t="n">
        <v>0</v>
      </c>
      <c r="J757" t="n">
        <v>0</v>
      </c>
      <c r="K757" t="n">
        <v>0</v>
      </c>
      <c r="L757" t="n">
        <v>0</v>
      </c>
      <c r="M757" t="n">
        <v>0</v>
      </c>
      <c r="N757" t="n">
        <v>0</v>
      </c>
      <c r="O757" t="n">
        <v>0</v>
      </c>
      <c r="P757" t="n">
        <v>0</v>
      </c>
      <c r="Q757" t="n">
        <v>0</v>
      </c>
      <c r="R757" s="2" t="inlineStr"/>
    </row>
    <row r="758" ht="15" customHeight="1">
      <c r="A758" t="inlineStr">
        <is>
          <t>A 54715-2025</t>
        </is>
      </c>
      <c r="B758" s="1" t="n">
        <v>45966.50961805556</v>
      </c>
      <c r="C758" s="1" t="n">
        <v>46002</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46419-2025</t>
        </is>
      </c>
      <c r="B759" s="1" t="n">
        <v>45925.5949537037</v>
      </c>
      <c r="C759" s="1" t="n">
        <v>46002</v>
      </c>
      <c r="D759" t="inlineStr">
        <is>
          <t>VÄSTERNORRLANDS LÄN</t>
        </is>
      </c>
      <c r="E759" t="inlineStr">
        <is>
          <t>ÅNGE</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54926-2025</t>
        </is>
      </c>
      <c r="B760" s="1" t="n">
        <v>45967.40707175926</v>
      </c>
      <c r="C760" s="1" t="n">
        <v>46002</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54819-2025</t>
        </is>
      </c>
      <c r="B761" s="1" t="n">
        <v>45966.65709490741</v>
      </c>
      <c r="C761" s="1" t="n">
        <v>46002</v>
      </c>
      <c r="D761" t="inlineStr">
        <is>
          <t>VÄSTERNORRLANDS LÄN</t>
        </is>
      </c>
      <c r="E761" t="inlineStr">
        <is>
          <t>ÅNGE</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41831-2021</t>
        </is>
      </c>
      <c r="B762" s="1" t="n">
        <v>44425.92212962963</v>
      </c>
      <c r="C762" s="1" t="n">
        <v>46002</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32922-2024</t>
        </is>
      </c>
      <c r="B763" s="1" t="n">
        <v>45516.95263888889</v>
      </c>
      <c r="C763" s="1" t="n">
        <v>46002</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46111-2025</t>
        </is>
      </c>
      <c r="B764" s="1" t="n">
        <v>45924.56684027778</v>
      </c>
      <c r="C764" s="1" t="n">
        <v>46002</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34591-2025</t>
        </is>
      </c>
      <c r="B765" s="1" t="n">
        <v>45847.62920138889</v>
      </c>
      <c r="C765" s="1" t="n">
        <v>46002</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34593-2025</t>
        </is>
      </c>
      <c r="B766" s="1" t="n">
        <v>45847.6316087963</v>
      </c>
      <c r="C766" s="1" t="n">
        <v>46002</v>
      </c>
      <c r="D766" t="inlineStr">
        <is>
          <t>VÄSTERNORRLANDS LÄN</t>
        </is>
      </c>
      <c r="E766" t="inlineStr">
        <is>
          <t>ÅNGE</t>
        </is>
      </c>
      <c r="G766" t="n">
        <v>5.3</v>
      </c>
      <c r="H766" t="n">
        <v>0</v>
      </c>
      <c r="I766" t="n">
        <v>0</v>
      </c>
      <c r="J766" t="n">
        <v>0</v>
      </c>
      <c r="K766" t="n">
        <v>0</v>
      </c>
      <c r="L766" t="n">
        <v>0</v>
      </c>
      <c r="M766" t="n">
        <v>0</v>
      </c>
      <c r="N766" t="n">
        <v>0</v>
      </c>
      <c r="O766" t="n">
        <v>0</v>
      </c>
      <c r="P766" t="n">
        <v>0</v>
      </c>
      <c r="Q766" t="n">
        <v>0</v>
      </c>
      <c r="R766" s="2" t="inlineStr"/>
    </row>
    <row r="767" ht="15" customHeight="1">
      <c r="A767" t="inlineStr">
        <is>
          <t>A 10282-2025</t>
        </is>
      </c>
      <c r="B767" s="1" t="n">
        <v>45720.40659722222</v>
      </c>
      <c r="C767" s="1" t="n">
        <v>46002</v>
      </c>
      <c r="D767" t="inlineStr">
        <is>
          <t>VÄSTERNORRLANDS LÄN</t>
        </is>
      </c>
      <c r="E767" t="inlineStr">
        <is>
          <t>ÅNGE</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46267-2025</t>
        </is>
      </c>
      <c r="B768" s="1" t="n">
        <v>45925.36578703704</v>
      </c>
      <c r="C768" s="1" t="n">
        <v>46002</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34785-2025</t>
        </is>
      </c>
      <c r="B769" s="1" t="n">
        <v>45848.67771990741</v>
      </c>
      <c r="C769" s="1" t="n">
        <v>46002</v>
      </c>
      <c r="D769" t="inlineStr">
        <is>
          <t>VÄSTERNORRLANDS LÄN</t>
        </is>
      </c>
      <c r="E769" t="inlineStr">
        <is>
          <t>ÅNGE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51055-2023</t>
        </is>
      </c>
      <c r="B770" s="1" t="n">
        <v>45218</v>
      </c>
      <c r="C770" s="1" t="n">
        <v>46002</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54702-2025</t>
        </is>
      </c>
      <c r="B771" s="1" t="n">
        <v>45966.4828587963</v>
      </c>
      <c r="C771" s="1" t="n">
        <v>46002</v>
      </c>
      <c r="D771" t="inlineStr">
        <is>
          <t>VÄSTERNORRLANDS LÄN</t>
        </is>
      </c>
      <c r="E771" t="inlineStr">
        <is>
          <t>ÅNGE</t>
        </is>
      </c>
      <c r="G771" t="n">
        <v>12.3</v>
      </c>
      <c r="H771" t="n">
        <v>0</v>
      </c>
      <c r="I771" t="n">
        <v>0</v>
      </c>
      <c r="J771" t="n">
        <v>0</v>
      </c>
      <c r="K771" t="n">
        <v>0</v>
      </c>
      <c r="L771" t="n">
        <v>0</v>
      </c>
      <c r="M771" t="n">
        <v>0</v>
      </c>
      <c r="N771" t="n">
        <v>0</v>
      </c>
      <c r="O771" t="n">
        <v>0</v>
      </c>
      <c r="P771" t="n">
        <v>0</v>
      </c>
      <c r="Q771" t="n">
        <v>0</v>
      </c>
      <c r="R771" s="2" t="inlineStr"/>
    </row>
    <row r="772" ht="15" customHeight="1">
      <c r="A772" t="inlineStr">
        <is>
          <t>A 54710-2025</t>
        </is>
      </c>
      <c r="B772" s="1" t="n">
        <v>45966.49515046296</v>
      </c>
      <c r="C772" s="1" t="n">
        <v>46002</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46416-2025</t>
        </is>
      </c>
      <c r="B773" s="1" t="n">
        <v>45925.594375</v>
      </c>
      <c r="C773" s="1" t="n">
        <v>46002</v>
      </c>
      <c r="D773" t="inlineStr">
        <is>
          <t>VÄSTERNORRLANDS LÄN</t>
        </is>
      </c>
      <c r="E773" t="inlineStr">
        <is>
          <t>ÅNGE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5455-2023</t>
        </is>
      </c>
      <c r="B774" s="1" t="n">
        <v>44959.93983796296</v>
      </c>
      <c r="C774" s="1" t="n">
        <v>46002</v>
      </c>
      <c r="D774" t="inlineStr">
        <is>
          <t>VÄSTERNORRLANDS LÄN</t>
        </is>
      </c>
      <c r="E774" t="inlineStr">
        <is>
          <t>ÅNGE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35143-2025</t>
        </is>
      </c>
      <c r="B775" s="1" t="n">
        <v>45852.65660879629</v>
      </c>
      <c r="C775" s="1" t="n">
        <v>46002</v>
      </c>
      <c r="D775" t="inlineStr">
        <is>
          <t>VÄSTERNORRLANDS LÄN</t>
        </is>
      </c>
      <c r="E775" t="inlineStr">
        <is>
          <t>ÅNGE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43775-2022</t>
        </is>
      </c>
      <c r="B776" s="1" t="n">
        <v>44837.95053240741</v>
      </c>
      <c r="C776" s="1" t="n">
        <v>46002</v>
      </c>
      <c r="D776" t="inlineStr">
        <is>
          <t>VÄSTERNORRLANDS LÄN</t>
        </is>
      </c>
      <c r="E776" t="inlineStr">
        <is>
          <t>ÅNGE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54713-2025</t>
        </is>
      </c>
      <c r="B777" s="1" t="n">
        <v>45966.50446759259</v>
      </c>
      <c r="C777" s="1" t="n">
        <v>46002</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55049-2025</t>
        </is>
      </c>
      <c r="B778" s="1" t="n">
        <v>45967.66614583333</v>
      </c>
      <c r="C778" s="1" t="n">
        <v>46002</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35061-2025</t>
        </is>
      </c>
      <c r="B779" s="1" t="n">
        <v>45852</v>
      </c>
      <c r="C779" s="1" t="n">
        <v>46002</v>
      </c>
      <c r="D779" t="inlineStr">
        <is>
          <t>VÄSTERNORRLANDS LÄN</t>
        </is>
      </c>
      <c r="E779" t="inlineStr">
        <is>
          <t>ÅNGE</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46109-2025</t>
        </is>
      </c>
      <c r="B780" s="1" t="n">
        <v>45924.5596412037</v>
      </c>
      <c r="C780" s="1" t="n">
        <v>46002</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45970-2025</t>
        </is>
      </c>
      <c r="B781" s="1" t="n">
        <v>45924.36519675926</v>
      </c>
      <c r="C781" s="1" t="n">
        <v>46002</v>
      </c>
      <c r="D781" t="inlineStr">
        <is>
          <t>VÄSTERNORRLANDS LÄN</t>
        </is>
      </c>
      <c r="E781" t="inlineStr">
        <is>
          <t>ÅNGE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16915-2024</t>
        </is>
      </c>
      <c r="B782" s="1" t="n">
        <v>45411.65185185185</v>
      </c>
      <c r="C782" s="1" t="n">
        <v>46002</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57560-2023</t>
        </is>
      </c>
      <c r="B783" s="1" t="n">
        <v>45243</v>
      </c>
      <c r="C783" s="1" t="n">
        <v>46002</v>
      </c>
      <c r="D783" t="inlineStr">
        <is>
          <t>VÄSTERNORRLANDS LÄN</t>
        </is>
      </c>
      <c r="E783" t="inlineStr">
        <is>
          <t>ÅNGE</t>
        </is>
      </c>
      <c r="G783" t="n">
        <v>7.4</v>
      </c>
      <c r="H783" t="n">
        <v>0</v>
      </c>
      <c r="I783" t="n">
        <v>0</v>
      </c>
      <c r="J783" t="n">
        <v>0</v>
      </c>
      <c r="K783" t="n">
        <v>0</v>
      </c>
      <c r="L783" t="n">
        <v>0</v>
      </c>
      <c r="M783" t="n">
        <v>0</v>
      </c>
      <c r="N783" t="n">
        <v>0</v>
      </c>
      <c r="O783" t="n">
        <v>0</v>
      </c>
      <c r="P783" t="n">
        <v>0</v>
      </c>
      <c r="Q783" t="n">
        <v>0</v>
      </c>
      <c r="R783" s="2" t="inlineStr"/>
    </row>
    <row r="784" ht="15" customHeight="1">
      <c r="A784" t="inlineStr">
        <is>
          <t>A 57568-2023</t>
        </is>
      </c>
      <c r="B784" s="1" t="n">
        <v>45246.50484953704</v>
      </c>
      <c r="C784" s="1" t="n">
        <v>46002</v>
      </c>
      <c r="D784" t="inlineStr">
        <is>
          <t>VÄSTERNORRLANDS LÄN</t>
        </is>
      </c>
      <c r="E784" t="inlineStr">
        <is>
          <t>ÅNGE</t>
        </is>
      </c>
      <c r="G784" t="n">
        <v>1.7</v>
      </c>
      <c r="H784" t="n">
        <v>0</v>
      </c>
      <c r="I784" t="n">
        <v>0</v>
      </c>
      <c r="J784" t="n">
        <v>0</v>
      </c>
      <c r="K784" t="n">
        <v>0</v>
      </c>
      <c r="L784" t="n">
        <v>0</v>
      </c>
      <c r="M784" t="n">
        <v>0</v>
      </c>
      <c r="N784" t="n">
        <v>0</v>
      </c>
      <c r="O784" t="n">
        <v>0</v>
      </c>
      <c r="P784" t="n">
        <v>0</v>
      </c>
      <c r="Q784" t="n">
        <v>0</v>
      </c>
      <c r="R784" s="2" t="inlineStr"/>
    </row>
    <row r="785" ht="15" customHeight="1">
      <c r="A785" t="inlineStr">
        <is>
          <t>A 16576-2023</t>
        </is>
      </c>
      <c r="B785" s="1" t="n">
        <v>45029.94251157407</v>
      </c>
      <c r="C785" s="1" t="n">
        <v>46002</v>
      </c>
      <c r="D785" t="inlineStr">
        <is>
          <t>VÄSTERNORRLANDS LÄN</t>
        </is>
      </c>
      <c r="E785" t="inlineStr">
        <is>
          <t>ÅNGE</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54197-2025</t>
        </is>
      </c>
      <c r="B786" s="1" t="n">
        <v>45964</v>
      </c>
      <c r="C786" s="1" t="n">
        <v>46002</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46933-2025</t>
        </is>
      </c>
      <c r="B787" s="1" t="n">
        <v>45929.44645833333</v>
      </c>
      <c r="C787" s="1" t="n">
        <v>46002</v>
      </c>
      <c r="D787" t="inlineStr">
        <is>
          <t>VÄSTERNORRLANDS LÄN</t>
        </is>
      </c>
      <c r="E787" t="inlineStr">
        <is>
          <t>ÅNGE</t>
        </is>
      </c>
      <c r="G787" t="n">
        <v>1</v>
      </c>
      <c r="H787" t="n">
        <v>0</v>
      </c>
      <c r="I787" t="n">
        <v>0</v>
      </c>
      <c r="J787" t="n">
        <v>0</v>
      </c>
      <c r="K787" t="n">
        <v>0</v>
      </c>
      <c r="L787" t="n">
        <v>0</v>
      </c>
      <c r="M787" t="n">
        <v>0</v>
      </c>
      <c r="N787" t="n">
        <v>0</v>
      </c>
      <c r="O787" t="n">
        <v>0</v>
      </c>
      <c r="P787" t="n">
        <v>0</v>
      </c>
      <c r="Q787" t="n">
        <v>0</v>
      </c>
      <c r="R787" s="2" t="inlineStr"/>
    </row>
    <row r="788" ht="15" customHeight="1">
      <c r="A788" t="inlineStr">
        <is>
          <t>A 35432-2025</t>
        </is>
      </c>
      <c r="B788" s="1" t="n">
        <v>45855.44831018519</v>
      </c>
      <c r="C788" s="1" t="n">
        <v>46002</v>
      </c>
      <c r="D788" t="inlineStr">
        <is>
          <t>VÄSTERNORRLANDS LÄN</t>
        </is>
      </c>
      <c r="E788" t="inlineStr">
        <is>
          <t>ÅNGE</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4359-2025</t>
        </is>
      </c>
      <c r="B789" s="1" t="n">
        <v>45686.33072916666</v>
      </c>
      <c r="C789" s="1" t="n">
        <v>46002</v>
      </c>
      <c r="D789" t="inlineStr">
        <is>
          <t>VÄSTERNORRLANDS LÄN</t>
        </is>
      </c>
      <c r="E789" t="inlineStr">
        <is>
          <t>ÅNGE</t>
        </is>
      </c>
      <c r="F789" t="inlineStr">
        <is>
          <t>Holmen skog AB</t>
        </is>
      </c>
      <c r="G789" t="n">
        <v>22</v>
      </c>
      <c r="H789" t="n">
        <v>0</v>
      </c>
      <c r="I789" t="n">
        <v>0</v>
      </c>
      <c r="J789" t="n">
        <v>0</v>
      </c>
      <c r="K789" t="n">
        <v>0</v>
      </c>
      <c r="L789" t="n">
        <v>0</v>
      </c>
      <c r="M789" t="n">
        <v>0</v>
      </c>
      <c r="N789" t="n">
        <v>0</v>
      </c>
      <c r="O789" t="n">
        <v>0</v>
      </c>
      <c r="P789" t="n">
        <v>0</v>
      </c>
      <c r="Q789" t="n">
        <v>0</v>
      </c>
      <c r="R789" s="2" t="inlineStr"/>
    </row>
    <row r="790" ht="15" customHeight="1">
      <c r="A790" t="inlineStr">
        <is>
          <t>A 24797-2024</t>
        </is>
      </c>
      <c r="B790" s="1" t="n">
        <v>45460.95269675926</v>
      </c>
      <c r="C790" s="1" t="n">
        <v>46002</v>
      </c>
      <c r="D790" t="inlineStr">
        <is>
          <t>VÄSTERNORRLANDS LÄN</t>
        </is>
      </c>
      <c r="E790" t="inlineStr">
        <is>
          <t>ÅNGE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55556-2025</t>
        </is>
      </c>
      <c r="B791" s="1" t="n">
        <v>45971.64694444444</v>
      </c>
      <c r="C791" s="1" t="n">
        <v>46002</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35497-2025</t>
        </is>
      </c>
      <c r="B792" s="1" t="n">
        <v>45856.29752314815</v>
      </c>
      <c r="C792" s="1" t="n">
        <v>46002</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46897-2025</t>
        </is>
      </c>
      <c r="B793" s="1" t="n">
        <v>45929.38597222222</v>
      </c>
      <c r="C793" s="1" t="n">
        <v>46002</v>
      </c>
      <c r="D793" t="inlineStr">
        <is>
          <t>VÄSTERNORRLANDS LÄN</t>
        </is>
      </c>
      <c r="E793" t="inlineStr">
        <is>
          <t>ÅNGE</t>
        </is>
      </c>
      <c r="G793" t="n">
        <v>10.6</v>
      </c>
      <c r="H793" t="n">
        <v>0</v>
      </c>
      <c r="I793" t="n">
        <v>0</v>
      </c>
      <c r="J793" t="n">
        <v>0</v>
      </c>
      <c r="K793" t="n">
        <v>0</v>
      </c>
      <c r="L793" t="n">
        <v>0</v>
      </c>
      <c r="M793" t="n">
        <v>0</v>
      </c>
      <c r="N793" t="n">
        <v>0</v>
      </c>
      <c r="O793" t="n">
        <v>0</v>
      </c>
      <c r="P793" t="n">
        <v>0</v>
      </c>
      <c r="Q793" t="n">
        <v>0</v>
      </c>
      <c r="R793" s="2" t="inlineStr"/>
    </row>
    <row r="794" ht="15" customHeight="1">
      <c r="A794" t="inlineStr">
        <is>
          <t>A 35577-2025</t>
        </is>
      </c>
      <c r="B794" s="1" t="n">
        <v>45856.67762731481</v>
      </c>
      <c r="C794" s="1" t="n">
        <v>46002</v>
      </c>
      <c r="D794" t="inlineStr">
        <is>
          <t>VÄSTERNORRLANDS LÄN</t>
        </is>
      </c>
      <c r="E794" t="inlineStr">
        <is>
          <t>ÅNGE</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32069-2023</t>
        </is>
      </c>
      <c r="B795" s="1" t="n">
        <v>45107</v>
      </c>
      <c r="C795" s="1" t="n">
        <v>46002</v>
      </c>
      <c r="D795" t="inlineStr">
        <is>
          <t>VÄSTERNORRLANDS LÄN</t>
        </is>
      </c>
      <c r="E795" t="inlineStr">
        <is>
          <t>ÅNGE</t>
        </is>
      </c>
      <c r="G795" t="n">
        <v>4.4</v>
      </c>
      <c r="H795" t="n">
        <v>0</v>
      </c>
      <c r="I795" t="n">
        <v>0</v>
      </c>
      <c r="J795" t="n">
        <v>0</v>
      </c>
      <c r="K795" t="n">
        <v>0</v>
      </c>
      <c r="L795" t="n">
        <v>0</v>
      </c>
      <c r="M795" t="n">
        <v>0</v>
      </c>
      <c r="N795" t="n">
        <v>0</v>
      </c>
      <c r="O795" t="n">
        <v>0</v>
      </c>
      <c r="P795" t="n">
        <v>0</v>
      </c>
      <c r="Q795" t="n">
        <v>0</v>
      </c>
      <c r="R795" s="2" t="inlineStr"/>
    </row>
    <row r="796" ht="15" customHeight="1">
      <c r="A796" t="inlineStr">
        <is>
          <t>A 35548-2025</t>
        </is>
      </c>
      <c r="B796" s="1" t="n">
        <v>45856.48995370371</v>
      </c>
      <c r="C796" s="1" t="n">
        <v>46002</v>
      </c>
      <c r="D796" t="inlineStr">
        <is>
          <t>VÄSTERNORRLANDS LÄN</t>
        </is>
      </c>
      <c r="E796" t="inlineStr">
        <is>
          <t>ÅNGE</t>
        </is>
      </c>
      <c r="F796" t="inlineStr">
        <is>
          <t>SCA</t>
        </is>
      </c>
      <c r="G796" t="n">
        <v>14.6</v>
      </c>
      <c r="H796" t="n">
        <v>0</v>
      </c>
      <c r="I796" t="n">
        <v>0</v>
      </c>
      <c r="J796" t="n">
        <v>0</v>
      </c>
      <c r="K796" t="n">
        <v>0</v>
      </c>
      <c r="L796" t="n">
        <v>0</v>
      </c>
      <c r="M796" t="n">
        <v>0</v>
      </c>
      <c r="N796" t="n">
        <v>0</v>
      </c>
      <c r="O796" t="n">
        <v>0</v>
      </c>
      <c r="P796" t="n">
        <v>0</v>
      </c>
      <c r="Q796" t="n">
        <v>0</v>
      </c>
      <c r="R796" s="2" t="inlineStr"/>
    </row>
    <row r="797" ht="15" customHeight="1">
      <c r="A797" t="inlineStr">
        <is>
          <t>A 35575-2025</t>
        </is>
      </c>
      <c r="B797" s="1" t="n">
        <v>45856.63591435185</v>
      </c>
      <c r="C797" s="1" t="n">
        <v>46002</v>
      </c>
      <c r="D797" t="inlineStr">
        <is>
          <t>VÄSTERNORRLANDS LÄN</t>
        </is>
      </c>
      <c r="E797" t="inlineStr">
        <is>
          <t>ÅNGE</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26013-2024</t>
        </is>
      </c>
      <c r="B798" s="1" t="n">
        <v>45467</v>
      </c>
      <c r="C798" s="1" t="n">
        <v>46002</v>
      </c>
      <c r="D798" t="inlineStr">
        <is>
          <t>VÄSTERNORRLANDS LÄN</t>
        </is>
      </c>
      <c r="E798" t="inlineStr">
        <is>
          <t>ÅNGE</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35503-2025</t>
        </is>
      </c>
      <c r="B799" s="1" t="n">
        <v>45856</v>
      </c>
      <c r="C799" s="1" t="n">
        <v>46002</v>
      </c>
      <c r="D799" t="inlineStr">
        <is>
          <t>VÄSTERNORRLANDS LÄN</t>
        </is>
      </c>
      <c r="E799" t="inlineStr">
        <is>
          <t>ÅNGE</t>
        </is>
      </c>
      <c r="G799" t="n">
        <v>5.2</v>
      </c>
      <c r="H799" t="n">
        <v>0</v>
      </c>
      <c r="I799" t="n">
        <v>0</v>
      </c>
      <c r="J799" t="n">
        <v>0</v>
      </c>
      <c r="K799" t="n">
        <v>0</v>
      </c>
      <c r="L799" t="n">
        <v>0</v>
      </c>
      <c r="M799" t="n">
        <v>0</v>
      </c>
      <c r="N799" t="n">
        <v>0</v>
      </c>
      <c r="O799" t="n">
        <v>0</v>
      </c>
      <c r="P799" t="n">
        <v>0</v>
      </c>
      <c r="Q799" t="n">
        <v>0</v>
      </c>
      <c r="R799" s="2" t="inlineStr"/>
    </row>
    <row r="800" ht="15" customHeight="1">
      <c r="A800" t="inlineStr">
        <is>
          <t>A 35540-2025</t>
        </is>
      </c>
      <c r="B800" s="1" t="n">
        <v>45856.46912037037</v>
      </c>
      <c r="C800" s="1" t="n">
        <v>46002</v>
      </c>
      <c r="D800" t="inlineStr">
        <is>
          <t>VÄSTERNORRLANDS LÄN</t>
        </is>
      </c>
      <c r="E800" t="inlineStr">
        <is>
          <t>ÅNGE</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35838-2025</t>
        </is>
      </c>
      <c r="B801" s="1" t="n">
        <v>45861.53829861111</v>
      </c>
      <c r="C801" s="1" t="n">
        <v>46002</v>
      </c>
      <c r="D801" t="inlineStr">
        <is>
          <t>VÄSTERNORRLANDS LÄN</t>
        </is>
      </c>
      <c r="E801" t="inlineStr">
        <is>
          <t>ÅNGE</t>
        </is>
      </c>
      <c r="F801" t="inlineStr">
        <is>
          <t>Sveaskog</t>
        </is>
      </c>
      <c r="G801" t="n">
        <v>3.9</v>
      </c>
      <c r="H801" t="n">
        <v>0</v>
      </c>
      <c r="I801" t="n">
        <v>0</v>
      </c>
      <c r="J801" t="n">
        <v>0</v>
      </c>
      <c r="K801" t="n">
        <v>0</v>
      </c>
      <c r="L801" t="n">
        <v>0</v>
      </c>
      <c r="M801" t="n">
        <v>0</v>
      </c>
      <c r="N801" t="n">
        <v>0</v>
      </c>
      <c r="O801" t="n">
        <v>0</v>
      </c>
      <c r="P801" t="n">
        <v>0</v>
      </c>
      <c r="Q801" t="n">
        <v>0</v>
      </c>
      <c r="R801" s="2" t="inlineStr"/>
    </row>
    <row r="802" ht="15" customHeight="1">
      <c r="A802" t="inlineStr">
        <is>
          <t>A 30683-2024</t>
        </is>
      </c>
      <c r="B802" s="1" t="n">
        <v>45495</v>
      </c>
      <c r="C802" s="1" t="n">
        <v>46002</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35781-2025</t>
        </is>
      </c>
      <c r="B803" s="1" t="n">
        <v>45860.70613425926</v>
      </c>
      <c r="C803" s="1" t="n">
        <v>46002</v>
      </c>
      <c r="D803" t="inlineStr">
        <is>
          <t>VÄSTERNORRLANDS LÄN</t>
        </is>
      </c>
      <c r="E803" t="inlineStr">
        <is>
          <t>ÅNGE</t>
        </is>
      </c>
      <c r="G803" t="n">
        <v>2.2</v>
      </c>
      <c r="H803" t="n">
        <v>0</v>
      </c>
      <c r="I803" t="n">
        <v>0</v>
      </c>
      <c r="J803" t="n">
        <v>0</v>
      </c>
      <c r="K803" t="n">
        <v>0</v>
      </c>
      <c r="L803" t="n">
        <v>0</v>
      </c>
      <c r="M803" t="n">
        <v>0</v>
      </c>
      <c r="N803" t="n">
        <v>0</v>
      </c>
      <c r="O803" t="n">
        <v>0</v>
      </c>
      <c r="P803" t="n">
        <v>0</v>
      </c>
      <c r="Q803" t="n">
        <v>0</v>
      </c>
      <c r="R803" s="2" t="inlineStr"/>
    </row>
    <row r="804" ht="15" customHeight="1">
      <c r="A804" t="inlineStr">
        <is>
          <t>A 35826-2025</t>
        </is>
      </c>
      <c r="B804" s="1" t="n">
        <v>45861.48997685185</v>
      </c>
      <c r="C804" s="1" t="n">
        <v>46002</v>
      </c>
      <c r="D804" t="inlineStr">
        <is>
          <t>VÄSTERNORRLANDS LÄN</t>
        </is>
      </c>
      <c r="E804" t="inlineStr">
        <is>
          <t>ÅNGE</t>
        </is>
      </c>
      <c r="G804" t="n">
        <v>2.5</v>
      </c>
      <c r="H804" t="n">
        <v>0</v>
      </c>
      <c r="I804" t="n">
        <v>0</v>
      </c>
      <c r="J804" t="n">
        <v>0</v>
      </c>
      <c r="K804" t="n">
        <v>0</v>
      </c>
      <c r="L804" t="n">
        <v>0</v>
      </c>
      <c r="M804" t="n">
        <v>0</v>
      </c>
      <c r="N804" t="n">
        <v>0</v>
      </c>
      <c r="O804" t="n">
        <v>0</v>
      </c>
      <c r="P804" t="n">
        <v>0</v>
      </c>
      <c r="Q804" t="n">
        <v>0</v>
      </c>
      <c r="R804" s="2" t="inlineStr"/>
    </row>
    <row r="805" ht="15" customHeight="1">
      <c r="A805" t="inlineStr">
        <is>
          <t>A 55160-2025</t>
        </is>
      </c>
      <c r="B805" s="1" t="n">
        <v>45968.46930555555</v>
      </c>
      <c r="C805" s="1" t="n">
        <v>46002</v>
      </c>
      <c r="D805" t="inlineStr">
        <is>
          <t>VÄSTERNORRLANDS LÄN</t>
        </is>
      </c>
      <c r="E805" t="inlineStr">
        <is>
          <t>ÅNGE</t>
        </is>
      </c>
      <c r="G805" t="n">
        <v>6.8</v>
      </c>
      <c r="H805" t="n">
        <v>0</v>
      </c>
      <c r="I805" t="n">
        <v>0</v>
      </c>
      <c r="J805" t="n">
        <v>0</v>
      </c>
      <c r="K805" t="n">
        <v>0</v>
      </c>
      <c r="L805" t="n">
        <v>0</v>
      </c>
      <c r="M805" t="n">
        <v>0</v>
      </c>
      <c r="N805" t="n">
        <v>0</v>
      </c>
      <c r="O805" t="n">
        <v>0</v>
      </c>
      <c r="P805" t="n">
        <v>0</v>
      </c>
      <c r="Q805" t="n">
        <v>0</v>
      </c>
      <c r="R805" s="2" t="inlineStr"/>
    </row>
    <row r="806" ht="15" customHeight="1">
      <c r="A806" t="inlineStr">
        <is>
          <t>A 35827-2025</t>
        </is>
      </c>
      <c r="B806" s="1" t="n">
        <v>45861.49017361111</v>
      </c>
      <c r="C806" s="1" t="n">
        <v>46002</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35690-2025</t>
        </is>
      </c>
      <c r="B807" s="1" t="n">
        <v>45860.34421296296</v>
      </c>
      <c r="C807" s="1" t="n">
        <v>46002</v>
      </c>
      <c r="D807" t="inlineStr">
        <is>
          <t>VÄSTERNORRLANDS LÄN</t>
        </is>
      </c>
      <c r="E807" t="inlineStr">
        <is>
          <t>ÅNGE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35766-2025</t>
        </is>
      </c>
      <c r="B808" s="1" t="n">
        <v>45860.63077546296</v>
      </c>
      <c r="C808" s="1" t="n">
        <v>46002</v>
      </c>
      <c r="D808" t="inlineStr">
        <is>
          <t>VÄSTERNORRLANDS LÄN</t>
        </is>
      </c>
      <c r="E808" t="inlineStr">
        <is>
          <t>ÅNGE</t>
        </is>
      </c>
      <c r="G808" t="n">
        <v>10.7</v>
      </c>
      <c r="H808" t="n">
        <v>0</v>
      </c>
      <c r="I808" t="n">
        <v>0</v>
      </c>
      <c r="J808" t="n">
        <v>0</v>
      </c>
      <c r="K808" t="n">
        <v>0</v>
      </c>
      <c r="L808" t="n">
        <v>0</v>
      </c>
      <c r="M808" t="n">
        <v>0</v>
      </c>
      <c r="N808" t="n">
        <v>0</v>
      </c>
      <c r="O808" t="n">
        <v>0</v>
      </c>
      <c r="P808" t="n">
        <v>0</v>
      </c>
      <c r="Q808" t="n">
        <v>0</v>
      </c>
      <c r="R808" s="2" t="inlineStr"/>
    </row>
    <row r="809" ht="15" customHeight="1">
      <c r="A809" t="inlineStr">
        <is>
          <t>A 46829-2025</t>
        </is>
      </c>
      <c r="B809" s="1" t="n">
        <v>45927.34513888889</v>
      </c>
      <c r="C809" s="1" t="n">
        <v>46002</v>
      </c>
      <c r="D809" t="inlineStr">
        <is>
          <t>VÄSTERNORRLANDS LÄN</t>
        </is>
      </c>
      <c r="E809" t="inlineStr">
        <is>
          <t>ÅNGE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47118-2025</t>
        </is>
      </c>
      <c r="B810" s="1" t="n">
        <v>45929.67770833334</v>
      </c>
      <c r="C810" s="1" t="n">
        <v>46002</v>
      </c>
      <c r="D810" t="inlineStr">
        <is>
          <t>VÄSTERNORRLANDS LÄN</t>
        </is>
      </c>
      <c r="E810" t="inlineStr">
        <is>
          <t>ÅNGE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16903-2024</t>
        </is>
      </c>
      <c r="B811" s="1" t="n">
        <v>45411.63106481481</v>
      </c>
      <c r="C811" s="1" t="n">
        <v>46002</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32439-2024</t>
        </is>
      </c>
      <c r="B812" s="1" t="n">
        <v>45512</v>
      </c>
      <c r="C812" s="1" t="n">
        <v>46002</v>
      </c>
      <c r="D812" t="inlineStr">
        <is>
          <t>VÄSTERNORRLANDS LÄN</t>
        </is>
      </c>
      <c r="E812" t="inlineStr">
        <is>
          <t>ÅNGE</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16572-2023</t>
        </is>
      </c>
      <c r="B813" s="1" t="n">
        <v>45029.94224537037</v>
      </c>
      <c r="C813" s="1" t="n">
        <v>46002</v>
      </c>
      <c r="D813" t="inlineStr">
        <is>
          <t>VÄSTERNORRLANDS LÄN</t>
        </is>
      </c>
      <c r="E813" t="inlineStr">
        <is>
          <t>ÅNGE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36237-2025</t>
        </is>
      </c>
      <c r="B814" s="1" t="n">
        <v>45867.55263888889</v>
      </c>
      <c r="C814" s="1" t="n">
        <v>46002</v>
      </c>
      <c r="D814" t="inlineStr">
        <is>
          <t>VÄSTERNORRLANDS LÄN</t>
        </is>
      </c>
      <c r="E814" t="inlineStr">
        <is>
          <t>ÅNGE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36240-2025</t>
        </is>
      </c>
      <c r="B815" s="1" t="n">
        <v>45867.55298611111</v>
      </c>
      <c r="C815" s="1" t="n">
        <v>46002</v>
      </c>
      <c r="D815" t="inlineStr">
        <is>
          <t>VÄSTERNORRLANDS LÄN</t>
        </is>
      </c>
      <c r="E815" t="inlineStr">
        <is>
          <t>ÅNGE</t>
        </is>
      </c>
      <c r="G815" t="n">
        <v>0.5</v>
      </c>
      <c r="H815" t="n">
        <v>0</v>
      </c>
      <c r="I815" t="n">
        <v>0</v>
      </c>
      <c r="J815" t="n">
        <v>0</v>
      </c>
      <c r="K815" t="n">
        <v>0</v>
      </c>
      <c r="L815" t="n">
        <v>0</v>
      </c>
      <c r="M815" t="n">
        <v>0</v>
      </c>
      <c r="N815" t="n">
        <v>0</v>
      </c>
      <c r="O815" t="n">
        <v>0</v>
      </c>
      <c r="P815" t="n">
        <v>0</v>
      </c>
      <c r="Q815" t="n">
        <v>0</v>
      </c>
      <c r="R815" s="2" t="inlineStr"/>
    </row>
    <row r="816" ht="15" customHeight="1">
      <c r="A816" t="inlineStr">
        <is>
          <t>A 47305-2025</t>
        </is>
      </c>
      <c r="B816" s="1" t="n">
        <v>45930</v>
      </c>
      <c r="C816" s="1" t="n">
        <v>46002</v>
      </c>
      <c r="D816" t="inlineStr">
        <is>
          <t>VÄSTERNORRLANDS LÄN</t>
        </is>
      </c>
      <c r="E816" t="inlineStr">
        <is>
          <t>ÅNGE</t>
        </is>
      </c>
      <c r="G816" t="n">
        <v>10.9</v>
      </c>
      <c r="H816" t="n">
        <v>0</v>
      </c>
      <c r="I816" t="n">
        <v>0</v>
      </c>
      <c r="J816" t="n">
        <v>0</v>
      </c>
      <c r="K816" t="n">
        <v>0</v>
      </c>
      <c r="L816" t="n">
        <v>0</v>
      </c>
      <c r="M816" t="n">
        <v>0</v>
      </c>
      <c r="N816" t="n">
        <v>0</v>
      </c>
      <c r="O816" t="n">
        <v>0</v>
      </c>
      <c r="P816" t="n">
        <v>0</v>
      </c>
      <c r="Q816" t="n">
        <v>0</v>
      </c>
      <c r="R816" s="2" t="inlineStr"/>
    </row>
    <row r="817" ht="15" customHeight="1">
      <c r="A817" t="inlineStr">
        <is>
          <t>A 36210-2025</t>
        </is>
      </c>
      <c r="B817" s="1" t="n">
        <v>45867.46930555555</v>
      </c>
      <c r="C817" s="1" t="n">
        <v>46002</v>
      </c>
      <c r="D817" t="inlineStr">
        <is>
          <t>VÄSTERNORRLANDS LÄN</t>
        </is>
      </c>
      <c r="E817" t="inlineStr">
        <is>
          <t>ÅNGE</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3256-2024</t>
        </is>
      </c>
      <c r="B818" s="1" t="n">
        <v>45316</v>
      </c>
      <c r="C818" s="1" t="n">
        <v>46002</v>
      </c>
      <c r="D818" t="inlineStr">
        <is>
          <t>VÄSTERNORRLANDS LÄN</t>
        </is>
      </c>
      <c r="E818" t="inlineStr">
        <is>
          <t>ÅNGE</t>
        </is>
      </c>
      <c r="G818" t="n">
        <v>3.7</v>
      </c>
      <c r="H818" t="n">
        <v>0</v>
      </c>
      <c r="I818" t="n">
        <v>0</v>
      </c>
      <c r="J818" t="n">
        <v>0</v>
      </c>
      <c r="K818" t="n">
        <v>0</v>
      </c>
      <c r="L818" t="n">
        <v>0</v>
      </c>
      <c r="M818" t="n">
        <v>0</v>
      </c>
      <c r="N818" t="n">
        <v>0</v>
      </c>
      <c r="O818" t="n">
        <v>0</v>
      </c>
      <c r="P818" t="n">
        <v>0</v>
      </c>
      <c r="Q818" t="n">
        <v>0</v>
      </c>
      <c r="R818" s="2" t="inlineStr"/>
    </row>
    <row r="819" ht="15" customHeight="1">
      <c r="A819" t="inlineStr">
        <is>
          <t>A 49487-2024</t>
        </is>
      </c>
      <c r="B819" s="1" t="n">
        <v>45596.35813657408</v>
      </c>
      <c r="C819" s="1" t="n">
        <v>46002</v>
      </c>
      <c r="D819" t="inlineStr">
        <is>
          <t>VÄSTERNORRLANDS LÄN</t>
        </is>
      </c>
      <c r="E819" t="inlineStr">
        <is>
          <t>ÅNGE</t>
        </is>
      </c>
      <c r="G819" t="n">
        <v>4.3</v>
      </c>
      <c r="H819" t="n">
        <v>0</v>
      </c>
      <c r="I819" t="n">
        <v>0</v>
      </c>
      <c r="J819" t="n">
        <v>0</v>
      </c>
      <c r="K819" t="n">
        <v>0</v>
      </c>
      <c r="L819" t="n">
        <v>0</v>
      </c>
      <c r="M819" t="n">
        <v>0</v>
      </c>
      <c r="N819" t="n">
        <v>0</v>
      </c>
      <c r="O819" t="n">
        <v>0</v>
      </c>
      <c r="P819" t="n">
        <v>0</v>
      </c>
      <c r="Q819" t="n">
        <v>0</v>
      </c>
      <c r="R819" s="2" t="inlineStr"/>
    </row>
    <row r="820" ht="15" customHeight="1">
      <c r="A820" t="inlineStr">
        <is>
          <t>A 36236-2025</t>
        </is>
      </c>
      <c r="B820" s="1" t="n">
        <v>45867.55245370371</v>
      </c>
      <c r="C820" s="1" t="n">
        <v>46002</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47752-2025</t>
        </is>
      </c>
      <c r="B821" s="1" t="n">
        <v>45931.66358796296</v>
      </c>
      <c r="C821" s="1" t="n">
        <v>46002</v>
      </c>
      <c r="D821" t="inlineStr">
        <is>
          <t>VÄSTERNORRLANDS LÄN</t>
        </is>
      </c>
      <c r="E821" t="inlineStr">
        <is>
          <t>ÅNGE</t>
        </is>
      </c>
      <c r="G821" t="n">
        <v>3.9</v>
      </c>
      <c r="H821" t="n">
        <v>0</v>
      </c>
      <c r="I821" t="n">
        <v>0</v>
      </c>
      <c r="J821" t="n">
        <v>0</v>
      </c>
      <c r="K821" t="n">
        <v>0</v>
      </c>
      <c r="L821" t="n">
        <v>0</v>
      </c>
      <c r="M821" t="n">
        <v>0</v>
      </c>
      <c r="N821" t="n">
        <v>0</v>
      </c>
      <c r="O821" t="n">
        <v>0</v>
      </c>
      <c r="P821" t="n">
        <v>0</v>
      </c>
      <c r="Q821" t="n">
        <v>0</v>
      </c>
      <c r="R821" s="2" t="inlineStr"/>
    </row>
    <row r="822" ht="15" customHeight="1">
      <c r="A822" t="inlineStr">
        <is>
          <t>A 56077-2025</t>
        </is>
      </c>
      <c r="B822" s="1" t="n">
        <v>45973.65759259259</v>
      </c>
      <c r="C822" s="1" t="n">
        <v>46002</v>
      </c>
      <c r="D822" t="inlineStr">
        <is>
          <t>VÄSTERNORRLANDS LÄN</t>
        </is>
      </c>
      <c r="E822" t="inlineStr">
        <is>
          <t>ÅNGE</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36248-2025</t>
        </is>
      </c>
      <c r="B823" s="1" t="n">
        <v>45867.57326388889</v>
      </c>
      <c r="C823" s="1" t="n">
        <v>46002</v>
      </c>
      <c r="D823" t="inlineStr">
        <is>
          <t>VÄSTERNORRLANDS LÄN</t>
        </is>
      </c>
      <c r="E823" t="inlineStr">
        <is>
          <t>ÅNGE</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36193-2025</t>
        </is>
      </c>
      <c r="B824" s="1" t="n">
        <v>45867.42741898148</v>
      </c>
      <c r="C824" s="1" t="n">
        <v>46002</v>
      </c>
      <c r="D824" t="inlineStr">
        <is>
          <t>VÄSTERNORRLANDS LÄN</t>
        </is>
      </c>
      <c r="E824" t="inlineStr">
        <is>
          <t>ÅNGE</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36205-2025</t>
        </is>
      </c>
      <c r="B825" s="1" t="n">
        <v>45867.44855324074</v>
      </c>
      <c r="C825" s="1" t="n">
        <v>46002</v>
      </c>
      <c r="D825" t="inlineStr">
        <is>
          <t>VÄSTERNORRLANDS LÄN</t>
        </is>
      </c>
      <c r="E825" t="inlineStr">
        <is>
          <t>ÅNGE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36491-2025</t>
        </is>
      </c>
      <c r="B826" s="1" t="n">
        <v>45869.53173611111</v>
      </c>
      <c r="C826" s="1" t="n">
        <v>46002</v>
      </c>
      <c r="D826" t="inlineStr">
        <is>
          <t>VÄSTERNORRLANDS LÄN</t>
        </is>
      </c>
      <c r="E826" t="inlineStr">
        <is>
          <t>ÅNGE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47440-2025</t>
        </is>
      </c>
      <c r="B827" s="1" t="n">
        <v>45930.63766203704</v>
      </c>
      <c r="C827" s="1" t="n">
        <v>46002</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57287-2022</t>
        </is>
      </c>
      <c r="B828" s="1" t="n">
        <v>44895.95</v>
      </c>
      <c r="C828" s="1" t="n">
        <v>46002</v>
      </c>
      <c r="D828" t="inlineStr">
        <is>
          <t>VÄSTERNORRLANDS LÄN</t>
        </is>
      </c>
      <c r="E828" t="inlineStr">
        <is>
          <t>ÅNGE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20576-2021</t>
        </is>
      </c>
      <c r="B829" s="1" t="n">
        <v>44316.3290162037</v>
      </c>
      <c r="C829" s="1" t="n">
        <v>46002</v>
      </c>
      <c r="D829" t="inlineStr">
        <is>
          <t>VÄSTERNORRLANDS LÄN</t>
        </is>
      </c>
      <c r="E829" t="inlineStr">
        <is>
          <t>ÅNGE</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36336-2025</t>
        </is>
      </c>
      <c r="B830" s="1" t="n">
        <v>45868.44751157407</v>
      </c>
      <c r="C830" s="1" t="n">
        <v>46002</v>
      </c>
      <c r="D830" t="inlineStr">
        <is>
          <t>VÄSTERNORRLANDS LÄN</t>
        </is>
      </c>
      <c r="E830" t="inlineStr">
        <is>
          <t>ÅNGE</t>
        </is>
      </c>
      <c r="G830" t="n">
        <v>7.3</v>
      </c>
      <c r="H830" t="n">
        <v>0</v>
      </c>
      <c r="I830" t="n">
        <v>0</v>
      </c>
      <c r="J830" t="n">
        <v>0</v>
      </c>
      <c r="K830" t="n">
        <v>0</v>
      </c>
      <c r="L830" t="n">
        <v>0</v>
      </c>
      <c r="M830" t="n">
        <v>0</v>
      </c>
      <c r="N830" t="n">
        <v>0</v>
      </c>
      <c r="O830" t="n">
        <v>0</v>
      </c>
      <c r="P830" t="n">
        <v>0</v>
      </c>
      <c r="Q830" t="n">
        <v>0</v>
      </c>
      <c r="R830" s="2" t="inlineStr"/>
    </row>
    <row r="831" ht="15" customHeight="1">
      <c r="A831" t="inlineStr">
        <is>
          <t>A 47488-2025</t>
        </is>
      </c>
      <c r="B831" s="1" t="n">
        <v>45930.69890046296</v>
      </c>
      <c r="C831" s="1" t="n">
        <v>46002</v>
      </c>
      <c r="D831" t="inlineStr">
        <is>
          <t>VÄSTERNORRLANDS LÄN</t>
        </is>
      </c>
      <c r="E831" t="inlineStr">
        <is>
          <t>ÅNGE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1090-2023</t>
        </is>
      </c>
      <c r="B832" s="1" t="n">
        <v>44929</v>
      </c>
      <c r="C832" s="1" t="n">
        <v>46002</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1116-2023</t>
        </is>
      </c>
      <c r="B833" s="1" t="n">
        <v>44929</v>
      </c>
      <c r="C833" s="1" t="n">
        <v>46002</v>
      </c>
      <c r="D833" t="inlineStr">
        <is>
          <t>VÄSTERNORRLANDS LÄN</t>
        </is>
      </c>
      <c r="E833" t="inlineStr">
        <is>
          <t>ÅNGE</t>
        </is>
      </c>
      <c r="G833" t="n">
        <v>17.2</v>
      </c>
      <c r="H833" t="n">
        <v>0</v>
      </c>
      <c r="I833" t="n">
        <v>0</v>
      </c>
      <c r="J833" t="n">
        <v>0</v>
      </c>
      <c r="K833" t="n">
        <v>0</v>
      </c>
      <c r="L833" t="n">
        <v>0</v>
      </c>
      <c r="M833" t="n">
        <v>0</v>
      </c>
      <c r="N833" t="n">
        <v>0</v>
      </c>
      <c r="O833" t="n">
        <v>0</v>
      </c>
      <c r="P833" t="n">
        <v>0</v>
      </c>
      <c r="Q833" t="n">
        <v>0</v>
      </c>
      <c r="R833" s="2" t="inlineStr"/>
    </row>
    <row r="834" ht="15" customHeight="1">
      <c r="A834" t="inlineStr">
        <is>
          <t>A 47196-2025</t>
        </is>
      </c>
      <c r="B834" s="1" t="n">
        <v>45930.34520833333</v>
      </c>
      <c r="C834" s="1" t="n">
        <v>46002</v>
      </c>
      <c r="D834" t="inlineStr">
        <is>
          <t>VÄSTERNORRLANDS LÄN</t>
        </is>
      </c>
      <c r="E834" t="inlineStr">
        <is>
          <t>ÅNGE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51609-2023</t>
        </is>
      </c>
      <c r="B835" s="1" t="n">
        <v>45215</v>
      </c>
      <c r="C835" s="1" t="n">
        <v>46002</v>
      </c>
      <c r="D835" t="inlineStr">
        <is>
          <t>VÄSTERNORRLANDS LÄN</t>
        </is>
      </c>
      <c r="E835" t="inlineStr">
        <is>
          <t>ÅNGE</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27661-2024</t>
        </is>
      </c>
      <c r="B836" s="1" t="n">
        <v>45474.95365740741</v>
      </c>
      <c r="C836" s="1" t="n">
        <v>46002</v>
      </c>
      <c r="D836" t="inlineStr">
        <is>
          <t>VÄSTERNORRLANDS LÄN</t>
        </is>
      </c>
      <c r="E836" t="inlineStr">
        <is>
          <t>ÅNGE</t>
        </is>
      </c>
      <c r="F836" t="inlineStr">
        <is>
          <t>SCA</t>
        </is>
      </c>
      <c r="G836" t="n">
        <v>19.1</v>
      </c>
      <c r="H836" t="n">
        <v>0</v>
      </c>
      <c r="I836" t="n">
        <v>0</v>
      </c>
      <c r="J836" t="n">
        <v>0</v>
      </c>
      <c r="K836" t="n">
        <v>0</v>
      </c>
      <c r="L836" t="n">
        <v>0</v>
      </c>
      <c r="M836" t="n">
        <v>0</v>
      </c>
      <c r="N836" t="n">
        <v>0</v>
      </c>
      <c r="O836" t="n">
        <v>0</v>
      </c>
      <c r="P836" t="n">
        <v>0</v>
      </c>
      <c r="Q836" t="n">
        <v>0</v>
      </c>
      <c r="R836" s="2" t="inlineStr"/>
    </row>
    <row r="837" ht="15" customHeight="1">
      <c r="A837" t="inlineStr">
        <is>
          <t>A 27668-2024</t>
        </is>
      </c>
      <c r="B837" s="1" t="n">
        <v>45474.95435185185</v>
      </c>
      <c r="C837" s="1" t="n">
        <v>46002</v>
      </c>
      <c r="D837" t="inlineStr">
        <is>
          <t>VÄSTERNORRLANDS LÄN</t>
        </is>
      </c>
      <c r="E837" t="inlineStr">
        <is>
          <t>ÅNGE</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12021-2022</t>
        </is>
      </c>
      <c r="B838" s="1" t="n">
        <v>44635</v>
      </c>
      <c r="C838" s="1" t="n">
        <v>46002</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36457-2025</t>
        </is>
      </c>
      <c r="B839" s="1" t="n">
        <v>45869.44842592593</v>
      </c>
      <c r="C839" s="1" t="n">
        <v>46002</v>
      </c>
      <c r="D839" t="inlineStr">
        <is>
          <t>VÄSTERNORRLANDS LÄN</t>
        </is>
      </c>
      <c r="E839" t="inlineStr">
        <is>
          <t>ÅNGE</t>
        </is>
      </c>
      <c r="F839" t="inlineStr">
        <is>
          <t>SCA</t>
        </is>
      </c>
      <c r="G839" t="n">
        <v>6.3</v>
      </c>
      <c r="H839" t="n">
        <v>0</v>
      </c>
      <c r="I839" t="n">
        <v>0</v>
      </c>
      <c r="J839" t="n">
        <v>0</v>
      </c>
      <c r="K839" t="n">
        <v>0</v>
      </c>
      <c r="L839" t="n">
        <v>0</v>
      </c>
      <c r="M839" t="n">
        <v>0</v>
      </c>
      <c r="N839" t="n">
        <v>0</v>
      </c>
      <c r="O839" t="n">
        <v>0</v>
      </c>
      <c r="P839" t="n">
        <v>0</v>
      </c>
      <c r="Q839" t="n">
        <v>0</v>
      </c>
      <c r="R839" s="2" t="inlineStr"/>
    </row>
    <row r="840" ht="15" customHeight="1">
      <c r="A840" t="inlineStr">
        <is>
          <t>A 55816-2025</t>
        </is>
      </c>
      <c r="B840" s="1" t="n">
        <v>45972.69851851852</v>
      </c>
      <c r="C840" s="1" t="n">
        <v>46002</v>
      </c>
      <c r="D840" t="inlineStr">
        <is>
          <t>VÄSTERNORRLANDS LÄN</t>
        </is>
      </c>
      <c r="E840" t="inlineStr">
        <is>
          <t>ÅNGE</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47377-2025</t>
        </is>
      </c>
      <c r="B841" s="1" t="n">
        <v>45930.59469907408</v>
      </c>
      <c r="C841" s="1" t="n">
        <v>46002</v>
      </c>
      <c r="D841" t="inlineStr">
        <is>
          <t>VÄSTERNORRLANDS LÄN</t>
        </is>
      </c>
      <c r="E841" t="inlineStr">
        <is>
          <t>ÅNGE</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35399-2024</t>
        </is>
      </c>
      <c r="B842" s="1" t="n">
        <v>45531.40438657408</v>
      </c>
      <c r="C842" s="1" t="n">
        <v>46002</v>
      </c>
      <c r="D842" t="inlineStr">
        <is>
          <t>VÄSTERNORRLANDS LÄN</t>
        </is>
      </c>
      <c r="E842" t="inlineStr">
        <is>
          <t>ÅNGE</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36723-2025</t>
        </is>
      </c>
      <c r="B843" s="1" t="n">
        <v>45873.47770833333</v>
      </c>
      <c r="C843" s="1" t="n">
        <v>46002</v>
      </c>
      <c r="D843" t="inlineStr">
        <is>
          <t>VÄSTERNORRLANDS LÄN</t>
        </is>
      </c>
      <c r="E843" t="inlineStr">
        <is>
          <t>ÅNGE</t>
        </is>
      </c>
      <c r="G843" t="n">
        <v>2.8</v>
      </c>
      <c r="H843" t="n">
        <v>0</v>
      </c>
      <c r="I843" t="n">
        <v>0</v>
      </c>
      <c r="J843" t="n">
        <v>0</v>
      </c>
      <c r="K843" t="n">
        <v>0</v>
      </c>
      <c r="L843" t="n">
        <v>0</v>
      </c>
      <c r="M843" t="n">
        <v>0</v>
      </c>
      <c r="N843" t="n">
        <v>0</v>
      </c>
      <c r="O843" t="n">
        <v>0</v>
      </c>
      <c r="P843" t="n">
        <v>0</v>
      </c>
      <c r="Q843" t="n">
        <v>0</v>
      </c>
      <c r="R843" s="2" t="inlineStr"/>
    </row>
    <row r="844" ht="15" customHeight="1">
      <c r="A844" t="inlineStr">
        <is>
          <t>A 36674-2025</t>
        </is>
      </c>
      <c r="B844" s="1" t="n">
        <v>45873.3930787037</v>
      </c>
      <c r="C844" s="1" t="n">
        <v>46002</v>
      </c>
      <c r="D844" t="inlineStr">
        <is>
          <t>VÄSTERNORRLANDS LÄN</t>
        </is>
      </c>
      <c r="E844" t="inlineStr">
        <is>
          <t>ÅNGE</t>
        </is>
      </c>
      <c r="G844" t="n">
        <v>0.5</v>
      </c>
      <c r="H844" t="n">
        <v>0</v>
      </c>
      <c r="I844" t="n">
        <v>0</v>
      </c>
      <c r="J844" t="n">
        <v>0</v>
      </c>
      <c r="K844" t="n">
        <v>0</v>
      </c>
      <c r="L844" t="n">
        <v>0</v>
      </c>
      <c r="M844" t="n">
        <v>0</v>
      </c>
      <c r="N844" t="n">
        <v>0</v>
      </c>
      <c r="O844" t="n">
        <v>0</v>
      </c>
      <c r="P844" t="n">
        <v>0</v>
      </c>
      <c r="Q844" t="n">
        <v>0</v>
      </c>
      <c r="R844" s="2" t="inlineStr"/>
    </row>
    <row r="845" ht="15" customHeight="1">
      <c r="A845" t="inlineStr">
        <is>
          <t>A 48234-2025</t>
        </is>
      </c>
      <c r="B845" s="1" t="n">
        <v>45933.53211805555</v>
      </c>
      <c r="C845" s="1" t="n">
        <v>46002</v>
      </c>
      <c r="D845" t="inlineStr">
        <is>
          <t>VÄSTERNORRLANDS LÄN</t>
        </is>
      </c>
      <c r="E845" t="inlineStr">
        <is>
          <t>ÅNGE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58613-2023</t>
        </is>
      </c>
      <c r="B846" s="1" t="n">
        <v>45251.50709490741</v>
      </c>
      <c r="C846" s="1" t="n">
        <v>46002</v>
      </c>
      <c r="D846" t="inlineStr">
        <is>
          <t>VÄSTERNORRLANDS LÄN</t>
        </is>
      </c>
      <c r="E846" t="inlineStr">
        <is>
          <t>ÅNGE</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48235-2025</t>
        </is>
      </c>
      <c r="B847" s="1" t="n">
        <v>45933.5321412037</v>
      </c>
      <c r="C847" s="1" t="n">
        <v>46002</v>
      </c>
      <c r="D847" t="inlineStr">
        <is>
          <t>VÄSTERNORRLANDS LÄN</t>
        </is>
      </c>
      <c r="E847" t="inlineStr">
        <is>
          <t>ÅNGE</t>
        </is>
      </c>
      <c r="G847" t="n">
        <v>3.1</v>
      </c>
      <c r="H847" t="n">
        <v>0</v>
      </c>
      <c r="I847" t="n">
        <v>0</v>
      </c>
      <c r="J847" t="n">
        <v>0</v>
      </c>
      <c r="K847" t="n">
        <v>0</v>
      </c>
      <c r="L847" t="n">
        <v>0</v>
      </c>
      <c r="M847" t="n">
        <v>0</v>
      </c>
      <c r="N847" t="n">
        <v>0</v>
      </c>
      <c r="O847" t="n">
        <v>0</v>
      </c>
      <c r="P847" t="n">
        <v>0</v>
      </c>
      <c r="Q847" t="n">
        <v>0</v>
      </c>
      <c r="R847" s="2" t="inlineStr"/>
    </row>
    <row r="848" ht="15" customHeight="1">
      <c r="A848" t="inlineStr">
        <is>
          <t>A 56423-2025</t>
        </is>
      </c>
      <c r="B848" s="1" t="n">
        <v>45975.34528935186</v>
      </c>
      <c r="C848" s="1" t="n">
        <v>46002</v>
      </c>
      <c r="D848" t="inlineStr">
        <is>
          <t>VÄSTERNORRLANDS LÄN</t>
        </is>
      </c>
      <c r="E848" t="inlineStr">
        <is>
          <t>ÅNGE</t>
        </is>
      </c>
      <c r="F848" t="inlineStr">
        <is>
          <t>SCA</t>
        </is>
      </c>
      <c r="G848" t="n">
        <v>1.5</v>
      </c>
      <c r="H848" t="n">
        <v>0</v>
      </c>
      <c r="I848" t="n">
        <v>0</v>
      </c>
      <c r="J848" t="n">
        <v>0</v>
      </c>
      <c r="K848" t="n">
        <v>0</v>
      </c>
      <c r="L848" t="n">
        <v>0</v>
      </c>
      <c r="M848" t="n">
        <v>0</v>
      </c>
      <c r="N848" t="n">
        <v>0</v>
      </c>
      <c r="O848" t="n">
        <v>0</v>
      </c>
      <c r="P848" t="n">
        <v>0</v>
      </c>
      <c r="Q848" t="n">
        <v>0</v>
      </c>
      <c r="R848" s="2" t="inlineStr"/>
      <c r="U848">
        <f>HYPERLINK("https://klasma.github.io/Logging_2260/knärot/A 56423-2025 karta knärot.png", "A 56423-2025")</f>
        <v/>
      </c>
      <c r="V848">
        <f>HYPERLINK("https://klasma.github.io/Logging_2260/klagomål/A 56423-2025 FSC-klagomål.docx", "A 56423-2025")</f>
        <v/>
      </c>
      <c r="W848">
        <f>HYPERLINK("https://klasma.github.io/Logging_2260/klagomålsmail/A 56423-2025 FSC-klagomål mail.docx", "A 56423-2025")</f>
        <v/>
      </c>
      <c r="X848">
        <f>HYPERLINK("https://klasma.github.io/Logging_2260/tillsyn/A 56423-2025 tillsynsbegäran.docx", "A 56423-2025")</f>
        <v/>
      </c>
      <c r="Y848">
        <f>HYPERLINK("https://klasma.github.io/Logging_2260/tillsynsmail/A 56423-2025 tillsynsbegäran mail.docx", "A 56423-2025")</f>
        <v/>
      </c>
    </row>
    <row r="849" ht="15" customHeight="1">
      <c r="A849" t="inlineStr">
        <is>
          <t>A 36740-2025</t>
        </is>
      </c>
      <c r="B849" s="1" t="n">
        <v>45873.53237268519</v>
      </c>
      <c r="C849" s="1" t="n">
        <v>46002</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36456-2025</t>
        </is>
      </c>
      <c r="B850" s="1" t="n">
        <v>45869.44827546296</v>
      </c>
      <c r="C850" s="1" t="n">
        <v>46002</v>
      </c>
      <c r="D850" t="inlineStr">
        <is>
          <t>VÄSTERNORRLANDS LÄN</t>
        </is>
      </c>
      <c r="E850" t="inlineStr">
        <is>
          <t>ÅNGE</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36873-2025</t>
        </is>
      </c>
      <c r="B851" s="1" t="n">
        <v>45874.42935185185</v>
      </c>
      <c r="C851" s="1" t="n">
        <v>46002</v>
      </c>
      <c r="D851" t="inlineStr">
        <is>
          <t>VÄSTERNORRLANDS LÄN</t>
        </is>
      </c>
      <c r="E851" t="inlineStr">
        <is>
          <t>ÅNGE</t>
        </is>
      </c>
      <c r="F851" t="inlineStr">
        <is>
          <t>SCA</t>
        </is>
      </c>
      <c r="G851" t="n">
        <v>16.9</v>
      </c>
      <c r="H851" t="n">
        <v>0</v>
      </c>
      <c r="I851" t="n">
        <v>0</v>
      </c>
      <c r="J851" t="n">
        <v>0</v>
      </c>
      <c r="K851" t="n">
        <v>0</v>
      </c>
      <c r="L851" t="n">
        <v>0</v>
      </c>
      <c r="M851" t="n">
        <v>0</v>
      </c>
      <c r="N851" t="n">
        <v>0</v>
      </c>
      <c r="O851" t="n">
        <v>0</v>
      </c>
      <c r="P851" t="n">
        <v>0</v>
      </c>
      <c r="Q851" t="n">
        <v>0</v>
      </c>
      <c r="R851" s="2" t="inlineStr"/>
    </row>
    <row r="852" ht="15" customHeight="1">
      <c r="A852" t="inlineStr">
        <is>
          <t>A 34815-2024</t>
        </is>
      </c>
      <c r="B852" s="1" t="n">
        <v>45526.70732638889</v>
      </c>
      <c r="C852" s="1" t="n">
        <v>46002</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37045-2025</t>
        </is>
      </c>
      <c r="B853" s="1" t="n">
        <v>45875.34451388889</v>
      </c>
      <c r="C853" s="1" t="n">
        <v>46002</v>
      </c>
      <c r="D853" t="inlineStr">
        <is>
          <t>VÄSTERNORRLANDS LÄN</t>
        </is>
      </c>
      <c r="E853" t="inlineStr">
        <is>
          <t>ÅNGE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37047-2025</t>
        </is>
      </c>
      <c r="B854" s="1" t="n">
        <v>45875.34489583333</v>
      </c>
      <c r="C854" s="1" t="n">
        <v>46002</v>
      </c>
      <c r="D854" t="inlineStr">
        <is>
          <t>VÄSTERNORRLANDS LÄN</t>
        </is>
      </c>
      <c r="E854" t="inlineStr">
        <is>
          <t>ÅNGE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54627-2025</t>
        </is>
      </c>
      <c r="B855" s="1" t="n">
        <v>45966.34565972222</v>
      </c>
      <c r="C855" s="1" t="n">
        <v>46002</v>
      </c>
      <c r="D855" t="inlineStr">
        <is>
          <t>VÄSTERNORRLANDS LÄN</t>
        </is>
      </c>
      <c r="E855" t="inlineStr">
        <is>
          <t>ÅNGE</t>
        </is>
      </c>
      <c r="F855" t="inlineStr">
        <is>
          <t>SCA</t>
        </is>
      </c>
      <c r="G855" t="n">
        <v>18.5</v>
      </c>
      <c r="H855" t="n">
        <v>0</v>
      </c>
      <c r="I855" t="n">
        <v>0</v>
      </c>
      <c r="J855" t="n">
        <v>0</v>
      </c>
      <c r="K855" t="n">
        <v>0</v>
      </c>
      <c r="L855" t="n">
        <v>0</v>
      </c>
      <c r="M855" t="n">
        <v>0</v>
      </c>
      <c r="N855" t="n">
        <v>0</v>
      </c>
      <c r="O855" t="n">
        <v>0</v>
      </c>
      <c r="P855" t="n">
        <v>0</v>
      </c>
      <c r="Q855" t="n">
        <v>0</v>
      </c>
      <c r="R855" s="2" t="inlineStr"/>
    </row>
    <row r="856" ht="15" customHeight="1">
      <c r="A856" t="inlineStr">
        <is>
          <t>A 37108-2025</t>
        </is>
      </c>
      <c r="B856" s="1" t="n">
        <v>45875</v>
      </c>
      <c r="C856" s="1" t="n">
        <v>46002</v>
      </c>
      <c r="D856" t="inlineStr">
        <is>
          <t>VÄSTERNORRLANDS LÄN</t>
        </is>
      </c>
      <c r="E856" t="inlineStr">
        <is>
          <t>ÅNGE</t>
        </is>
      </c>
      <c r="G856" t="n">
        <v>4</v>
      </c>
      <c r="H856" t="n">
        <v>0</v>
      </c>
      <c r="I856" t="n">
        <v>0</v>
      </c>
      <c r="J856" t="n">
        <v>0</v>
      </c>
      <c r="K856" t="n">
        <v>0</v>
      </c>
      <c r="L856" t="n">
        <v>0</v>
      </c>
      <c r="M856" t="n">
        <v>0</v>
      </c>
      <c r="N856" t="n">
        <v>0</v>
      </c>
      <c r="O856" t="n">
        <v>0</v>
      </c>
      <c r="P856" t="n">
        <v>0</v>
      </c>
      <c r="Q856" t="n">
        <v>0</v>
      </c>
      <c r="R856" s="2" t="inlineStr"/>
    </row>
    <row r="857" ht="15" customHeight="1">
      <c r="A857" t="inlineStr">
        <is>
          <t>A 3977-2025</t>
        </is>
      </c>
      <c r="B857" s="1" t="n">
        <v>45684</v>
      </c>
      <c r="C857" s="1" t="n">
        <v>46002</v>
      </c>
      <c r="D857" t="inlineStr">
        <is>
          <t>VÄSTERNORRLANDS LÄN</t>
        </is>
      </c>
      <c r="E857" t="inlineStr">
        <is>
          <t>ÅNGE</t>
        </is>
      </c>
      <c r="F857" t="inlineStr">
        <is>
          <t>Holmen skog AB</t>
        </is>
      </c>
      <c r="G857" t="n">
        <v>2.3</v>
      </c>
      <c r="H857" t="n">
        <v>0</v>
      </c>
      <c r="I857" t="n">
        <v>0</v>
      </c>
      <c r="J857" t="n">
        <v>0</v>
      </c>
      <c r="K857" t="n">
        <v>0</v>
      </c>
      <c r="L857" t="n">
        <v>0</v>
      </c>
      <c r="M857" t="n">
        <v>0</v>
      </c>
      <c r="N857" t="n">
        <v>0</v>
      </c>
      <c r="O857" t="n">
        <v>0</v>
      </c>
      <c r="P857" t="n">
        <v>0</v>
      </c>
      <c r="Q857" t="n">
        <v>0</v>
      </c>
      <c r="R857" s="2" t="inlineStr"/>
    </row>
    <row r="858" ht="15" customHeight="1">
      <c r="A858" t="inlineStr">
        <is>
          <t>A 56666-2025</t>
        </is>
      </c>
      <c r="B858" s="1" t="n">
        <v>45975.67747685185</v>
      </c>
      <c r="C858" s="1" t="n">
        <v>46002</v>
      </c>
      <c r="D858" t="inlineStr">
        <is>
          <t>VÄSTERNORRLANDS LÄN</t>
        </is>
      </c>
      <c r="E858" t="inlineStr">
        <is>
          <t>ÅNGE</t>
        </is>
      </c>
      <c r="G858" t="n">
        <v>5.2</v>
      </c>
      <c r="H858" t="n">
        <v>0</v>
      </c>
      <c r="I858" t="n">
        <v>0</v>
      </c>
      <c r="J858" t="n">
        <v>0</v>
      </c>
      <c r="K858" t="n">
        <v>0</v>
      </c>
      <c r="L858" t="n">
        <v>0</v>
      </c>
      <c r="M858" t="n">
        <v>0</v>
      </c>
      <c r="N858" t="n">
        <v>0</v>
      </c>
      <c r="O858" t="n">
        <v>0</v>
      </c>
      <c r="P858" t="n">
        <v>0</v>
      </c>
      <c r="Q858" t="n">
        <v>0</v>
      </c>
      <c r="R858" s="2" t="inlineStr"/>
    </row>
    <row r="859" ht="15" customHeight="1">
      <c r="A859" t="inlineStr">
        <is>
          <t>A 36249-2025</t>
        </is>
      </c>
      <c r="B859" s="1" t="n">
        <v>45867</v>
      </c>
      <c r="C859" s="1" t="n">
        <v>46002</v>
      </c>
      <c r="D859" t="inlineStr">
        <is>
          <t>VÄSTERNORRLANDS LÄN</t>
        </is>
      </c>
      <c r="E859" t="inlineStr">
        <is>
          <t>ÅNGE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37177-2025</t>
        </is>
      </c>
      <c r="B860" s="1" t="n">
        <v>45875.61539351852</v>
      </c>
      <c r="C860" s="1" t="n">
        <v>46002</v>
      </c>
      <c r="D860" t="inlineStr">
        <is>
          <t>VÄSTERNORRLANDS LÄN</t>
        </is>
      </c>
      <c r="E860" t="inlineStr">
        <is>
          <t>ÅNGE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31864-2024</t>
        </is>
      </c>
      <c r="B861" s="1" t="n">
        <v>45509.74791666667</v>
      </c>
      <c r="C861" s="1" t="n">
        <v>46002</v>
      </c>
      <c r="D861" t="inlineStr">
        <is>
          <t>VÄSTERNORRLANDS LÄN</t>
        </is>
      </c>
      <c r="E861" t="inlineStr">
        <is>
          <t>ÅNGE</t>
        </is>
      </c>
      <c r="G861" t="n">
        <v>0.9</v>
      </c>
      <c r="H861" t="n">
        <v>0</v>
      </c>
      <c r="I861" t="n">
        <v>0</v>
      </c>
      <c r="J861" t="n">
        <v>0</v>
      </c>
      <c r="K861" t="n">
        <v>0</v>
      </c>
      <c r="L861" t="n">
        <v>0</v>
      </c>
      <c r="M861" t="n">
        <v>0</v>
      </c>
      <c r="N861" t="n">
        <v>0</v>
      </c>
      <c r="O861" t="n">
        <v>0</v>
      </c>
      <c r="P861" t="n">
        <v>0</v>
      </c>
      <c r="Q861" t="n">
        <v>0</v>
      </c>
      <c r="R861" s="2" t="inlineStr"/>
    </row>
    <row r="862" ht="15" customHeight="1">
      <c r="A862" t="inlineStr">
        <is>
          <t>A 37275-2025</t>
        </is>
      </c>
      <c r="B862" s="1" t="n">
        <v>45876.49003472222</v>
      </c>
      <c r="C862" s="1" t="n">
        <v>46002</v>
      </c>
      <c r="D862" t="inlineStr">
        <is>
          <t>VÄSTERNORRLANDS LÄN</t>
        </is>
      </c>
      <c r="E862" t="inlineStr">
        <is>
          <t>ÅNGE</t>
        </is>
      </c>
      <c r="G862" t="n">
        <v>3.5</v>
      </c>
      <c r="H862" t="n">
        <v>0</v>
      </c>
      <c r="I862" t="n">
        <v>0</v>
      </c>
      <c r="J862" t="n">
        <v>0</v>
      </c>
      <c r="K862" t="n">
        <v>0</v>
      </c>
      <c r="L862" t="n">
        <v>0</v>
      </c>
      <c r="M862" t="n">
        <v>0</v>
      </c>
      <c r="N862" t="n">
        <v>0</v>
      </c>
      <c r="O862" t="n">
        <v>0</v>
      </c>
      <c r="P862" t="n">
        <v>0</v>
      </c>
      <c r="Q862" t="n">
        <v>0</v>
      </c>
      <c r="R862" s="2" t="inlineStr"/>
    </row>
    <row r="863" ht="15" customHeight="1">
      <c r="A863" t="inlineStr">
        <is>
          <t>A 37303-2025</t>
        </is>
      </c>
      <c r="B863" s="1" t="n">
        <v>45876.59445601852</v>
      </c>
      <c r="C863" s="1" t="n">
        <v>46002</v>
      </c>
      <c r="D863" t="inlineStr">
        <is>
          <t>VÄSTERNORRLANDS LÄN</t>
        </is>
      </c>
      <c r="E863" t="inlineStr">
        <is>
          <t>ÅNGE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37233-2025</t>
        </is>
      </c>
      <c r="B864" s="1" t="n">
        <v>45876.34474537037</v>
      </c>
      <c r="C864" s="1" t="n">
        <v>46002</v>
      </c>
      <c r="D864" t="inlineStr">
        <is>
          <t>VÄSTERNORRLANDS LÄN</t>
        </is>
      </c>
      <c r="E864" t="inlineStr">
        <is>
          <t>ÅNGE</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53512-2023</t>
        </is>
      </c>
      <c r="B865" s="1" t="n">
        <v>45230</v>
      </c>
      <c r="C865" s="1" t="n">
        <v>46002</v>
      </c>
      <c r="D865" t="inlineStr">
        <is>
          <t>VÄSTERNORRLANDS LÄN</t>
        </is>
      </c>
      <c r="E865" t="inlineStr">
        <is>
          <t>ÅNGE</t>
        </is>
      </c>
      <c r="F865" t="inlineStr">
        <is>
          <t>Holmen skog AB</t>
        </is>
      </c>
      <c r="G865" t="n">
        <v>3</v>
      </c>
      <c r="H865" t="n">
        <v>0</v>
      </c>
      <c r="I865" t="n">
        <v>0</v>
      </c>
      <c r="J865" t="n">
        <v>0</v>
      </c>
      <c r="K865" t="n">
        <v>0</v>
      </c>
      <c r="L865" t="n">
        <v>0</v>
      </c>
      <c r="M865" t="n">
        <v>0</v>
      </c>
      <c r="N865" t="n">
        <v>0</v>
      </c>
      <c r="O865" t="n">
        <v>0</v>
      </c>
      <c r="P865" t="n">
        <v>0</v>
      </c>
      <c r="Q865" t="n">
        <v>0</v>
      </c>
      <c r="R865" s="2" t="inlineStr"/>
    </row>
    <row r="866" ht="15" customHeight="1">
      <c r="A866" t="inlineStr">
        <is>
          <t>A 37558-2023</t>
        </is>
      </c>
      <c r="B866" s="1" t="n">
        <v>45159.34511574074</v>
      </c>
      <c r="C866" s="1" t="n">
        <v>46002</v>
      </c>
      <c r="D866" t="inlineStr">
        <is>
          <t>VÄSTERNORRLANDS LÄN</t>
        </is>
      </c>
      <c r="E866" t="inlineStr">
        <is>
          <t>ÅNGE</t>
        </is>
      </c>
      <c r="F866" t="inlineStr">
        <is>
          <t>Kyrkan</t>
        </is>
      </c>
      <c r="G866" t="n">
        <v>5.6</v>
      </c>
      <c r="H866" t="n">
        <v>0</v>
      </c>
      <c r="I866" t="n">
        <v>0</v>
      </c>
      <c r="J866" t="n">
        <v>0</v>
      </c>
      <c r="K866" t="n">
        <v>0</v>
      </c>
      <c r="L866" t="n">
        <v>0</v>
      </c>
      <c r="M866" t="n">
        <v>0</v>
      </c>
      <c r="N866" t="n">
        <v>0</v>
      </c>
      <c r="O866" t="n">
        <v>0</v>
      </c>
      <c r="P866" t="n">
        <v>0</v>
      </c>
      <c r="Q866" t="n">
        <v>0</v>
      </c>
      <c r="R866" s="2" t="inlineStr"/>
    </row>
    <row r="867" ht="15" customHeight="1">
      <c r="A867" t="inlineStr">
        <is>
          <t>A 37384-2025</t>
        </is>
      </c>
      <c r="B867" s="1" t="n">
        <v>45877.3859837963</v>
      </c>
      <c r="C867" s="1" t="n">
        <v>46002</v>
      </c>
      <c r="D867" t="inlineStr">
        <is>
          <t>VÄSTERNORRLANDS LÄN</t>
        </is>
      </c>
      <c r="E867" t="inlineStr">
        <is>
          <t>ÅNGE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56419-2025</t>
        </is>
      </c>
      <c r="B868" s="1" t="n">
        <v>45975.34445601852</v>
      </c>
      <c r="C868" s="1" t="n">
        <v>46002</v>
      </c>
      <c r="D868" t="inlineStr">
        <is>
          <t>VÄSTERNORRLANDS LÄN</t>
        </is>
      </c>
      <c r="E868" t="inlineStr">
        <is>
          <t>ÅNGE</t>
        </is>
      </c>
      <c r="F868" t="inlineStr">
        <is>
          <t>SCA</t>
        </is>
      </c>
      <c r="G868" t="n">
        <v>21.4</v>
      </c>
      <c r="H868" t="n">
        <v>0</v>
      </c>
      <c r="I868" t="n">
        <v>0</v>
      </c>
      <c r="J868" t="n">
        <v>0</v>
      </c>
      <c r="K868" t="n">
        <v>0</v>
      </c>
      <c r="L868" t="n">
        <v>0</v>
      </c>
      <c r="M868" t="n">
        <v>0</v>
      </c>
      <c r="N868" t="n">
        <v>0</v>
      </c>
      <c r="O868" t="n">
        <v>0</v>
      </c>
      <c r="P868" t="n">
        <v>0</v>
      </c>
      <c r="Q868" t="n">
        <v>0</v>
      </c>
      <c r="R868" s="2" t="inlineStr"/>
    </row>
    <row r="869" ht="15" customHeight="1">
      <c r="A869" t="inlineStr">
        <is>
          <t>A 37371-2025</t>
        </is>
      </c>
      <c r="B869" s="1" t="n">
        <v>45877.34472222222</v>
      </c>
      <c r="C869" s="1" t="n">
        <v>46002</v>
      </c>
      <c r="D869" t="inlineStr">
        <is>
          <t>VÄSTERNORRLANDS LÄN</t>
        </is>
      </c>
      <c r="E869" t="inlineStr">
        <is>
          <t>ÅNGE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58774-2023</t>
        </is>
      </c>
      <c r="B870" s="1" t="n">
        <v>45251</v>
      </c>
      <c r="C870" s="1" t="n">
        <v>46002</v>
      </c>
      <c r="D870" t="inlineStr">
        <is>
          <t>VÄSTERNORRLANDS LÄN</t>
        </is>
      </c>
      <c r="E870" t="inlineStr">
        <is>
          <t>ÅNGE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21089-2024</t>
        </is>
      </c>
      <c r="B871" s="1" t="n">
        <v>45439.94987268518</v>
      </c>
      <c r="C871" s="1" t="n">
        <v>46002</v>
      </c>
      <c r="D871" t="inlineStr">
        <is>
          <t>VÄSTERNORRLANDS LÄN</t>
        </is>
      </c>
      <c r="E871" t="inlineStr">
        <is>
          <t>ÅNGE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21151-2024</t>
        </is>
      </c>
      <c r="B872" s="1" t="n">
        <v>45440</v>
      </c>
      <c r="C872" s="1" t="n">
        <v>46002</v>
      </c>
      <c r="D872" t="inlineStr">
        <is>
          <t>VÄSTERNORRLANDS LÄN</t>
        </is>
      </c>
      <c r="E872" t="inlineStr">
        <is>
          <t>ÅNGE</t>
        </is>
      </c>
      <c r="G872" t="n">
        <v>3.7</v>
      </c>
      <c r="H872" t="n">
        <v>0</v>
      </c>
      <c r="I872" t="n">
        <v>0</v>
      </c>
      <c r="J872" t="n">
        <v>0</v>
      </c>
      <c r="K872" t="n">
        <v>0</v>
      </c>
      <c r="L872" t="n">
        <v>0</v>
      </c>
      <c r="M872" t="n">
        <v>0</v>
      </c>
      <c r="N872" t="n">
        <v>0</v>
      </c>
      <c r="O872" t="n">
        <v>0</v>
      </c>
      <c r="P872" t="n">
        <v>0</v>
      </c>
      <c r="Q872" t="n">
        <v>0</v>
      </c>
      <c r="R872" s="2" t="inlineStr"/>
    </row>
    <row r="873" ht="15" customHeight="1">
      <c r="A873" t="inlineStr">
        <is>
          <t>A 48055-2025</t>
        </is>
      </c>
      <c r="B873" s="1" t="n">
        <v>45932.67922453704</v>
      </c>
      <c r="C873" s="1" t="n">
        <v>46002</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37383-2025</t>
        </is>
      </c>
      <c r="B874" s="1" t="n">
        <v>45877.38581018519</v>
      </c>
      <c r="C874" s="1" t="n">
        <v>46002</v>
      </c>
      <c r="D874" t="inlineStr">
        <is>
          <t>VÄSTERNORRLANDS LÄN</t>
        </is>
      </c>
      <c r="E874" t="inlineStr">
        <is>
          <t>ÅNGE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48069-2025</t>
        </is>
      </c>
      <c r="B875" s="1" t="n">
        <v>45932.69865740741</v>
      </c>
      <c r="C875" s="1" t="n">
        <v>46002</v>
      </c>
      <c r="D875" t="inlineStr">
        <is>
          <t>VÄSTERNORRLANDS LÄN</t>
        </is>
      </c>
      <c r="E875" t="inlineStr">
        <is>
          <t>ÅNGE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37719-2025</t>
        </is>
      </c>
      <c r="B876" s="1" t="n">
        <v>45880.61505787037</v>
      </c>
      <c r="C876" s="1" t="n">
        <v>46002</v>
      </c>
      <c r="D876" t="inlineStr">
        <is>
          <t>VÄSTERNORRLANDS LÄN</t>
        </is>
      </c>
      <c r="E876" t="inlineStr">
        <is>
          <t>ÅNGE</t>
        </is>
      </c>
      <c r="G876" t="n">
        <v>1.7</v>
      </c>
      <c r="H876" t="n">
        <v>0</v>
      </c>
      <c r="I876" t="n">
        <v>0</v>
      </c>
      <c r="J876" t="n">
        <v>0</v>
      </c>
      <c r="K876" t="n">
        <v>0</v>
      </c>
      <c r="L876" t="n">
        <v>0</v>
      </c>
      <c r="M876" t="n">
        <v>0</v>
      </c>
      <c r="N876" t="n">
        <v>0</v>
      </c>
      <c r="O876" t="n">
        <v>0</v>
      </c>
      <c r="P876" t="n">
        <v>0</v>
      </c>
      <c r="Q876" t="n">
        <v>0</v>
      </c>
      <c r="R876" s="2" t="inlineStr"/>
    </row>
    <row r="877" ht="15" customHeight="1">
      <c r="A877" t="inlineStr">
        <is>
          <t>A 17923-2025</t>
        </is>
      </c>
      <c r="B877" s="1" t="n">
        <v>45759.34415509259</v>
      </c>
      <c r="C877" s="1" t="n">
        <v>46002</v>
      </c>
      <c r="D877" t="inlineStr">
        <is>
          <t>VÄSTERNORRLANDS LÄN</t>
        </is>
      </c>
      <c r="E877" t="inlineStr">
        <is>
          <t>ÅNGE</t>
        </is>
      </c>
      <c r="F877" t="inlineStr">
        <is>
          <t>SCA</t>
        </is>
      </c>
      <c r="G877" t="n">
        <v>9.6</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46002</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37663-2025</t>
        </is>
      </c>
      <c r="B879" s="1" t="n">
        <v>45880.51079861111</v>
      </c>
      <c r="C879" s="1" t="n">
        <v>46002</v>
      </c>
      <c r="D879" t="inlineStr">
        <is>
          <t>VÄSTERNORRLANDS LÄN</t>
        </is>
      </c>
      <c r="E879" t="inlineStr">
        <is>
          <t>ÅNGE</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37723-2025</t>
        </is>
      </c>
      <c r="B880" s="1" t="n">
        <v>45880.61528935185</v>
      </c>
      <c r="C880" s="1" t="n">
        <v>46002</v>
      </c>
      <c r="D880" t="inlineStr">
        <is>
          <t>VÄSTERNORRLANDS LÄN</t>
        </is>
      </c>
      <c r="E880" t="inlineStr">
        <is>
          <t>ÅNGE</t>
        </is>
      </c>
      <c r="G880" t="n">
        <v>3</v>
      </c>
      <c r="H880" t="n">
        <v>0</v>
      </c>
      <c r="I880" t="n">
        <v>0</v>
      </c>
      <c r="J880" t="n">
        <v>0</v>
      </c>
      <c r="K880" t="n">
        <v>0</v>
      </c>
      <c r="L880" t="n">
        <v>0</v>
      </c>
      <c r="M880" t="n">
        <v>0</v>
      </c>
      <c r="N880" t="n">
        <v>0</v>
      </c>
      <c r="O880" t="n">
        <v>0</v>
      </c>
      <c r="P880" t="n">
        <v>0</v>
      </c>
      <c r="Q880" t="n">
        <v>0</v>
      </c>
      <c r="R880" s="2" t="inlineStr"/>
    </row>
    <row r="881" ht="15" customHeight="1">
      <c r="A881" t="inlineStr">
        <is>
          <t>A 34726-2024</t>
        </is>
      </c>
      <c r="B881" s="1" t="n">
        <v>45526.5733912037</v>
      </c>
      <c r="C881" s="1" t="n">
        <v>46002</v>
      </c>
      <c r="D881" t="inlineStr">
        <is>
          <t>VÄSTERNORRLANDS LÄN</t>
        </is>
      </c>
      <c r="E881" t="inlineStr">
        <is>
          <t>ÅNGE</t>
        </is>
      </c>
      <c r="G881" t="n">
        <v>1.9</v>
      </c>
      <c r="H881" t="n">
        <v>0</v>
      </c>
      <c r="I881" t="n">
        <v>0</v>
      </c>
      <c r="J881" t="n">
        <v>0</v>
      </c>
      <c r="K881" t="n">
        <v>0</v>
      </c>
      <c r="L881" t="n">
        <v>0</v>
      </c>
      <c r="M881" t="n">
        <v>0</v>
      </c>
      <c r="N881" t="n">
        <v>0</v>
      </c>
      <c r="O881" t="n">
        <v>0</v>
      </c>
      <c r="P881" t="n">
        <v>0</v>
      </c>
      <c r="Q881" t="n">
        <v>0</v>
      </c>
      <c r="R881" s="2" t="inlineStr"/>
    </row>
    <row r="882" ht="15" customHeight="1">
      <c r="A882" t="inlineStr">
        <is>
          <t>A 20231-2022</t>
        </is>
      </c>
      <c r="B882" s="1" t="n">
        <v>44698</v>
      </c>
      <c r="C882" s="1" t="n">
        <v>46002</v>
      </c>
      <c r="D882" t="inlineStr">
        <is>
          <t>VÄSTERNORRLANDS LÄN</t>
        </is>
      </c>
      <c r="E882" t="inlineStr">
        <is>
          <t>ÅNGE</t>
        </is>
      </c>
      <c r="G882" t="n">
        <v>4.2</v>
      </c>
      <c r="H882" t="n">
        <v>0</v>
      </c>
      <c r="I882" t="n">
        <v>0</v>
      </c>
      <c r="J882" t="n">
        <v>0</v>
      </c>
      <c r="K882" t="n">
        <v>0</v>
      </c>
      <c r="L882" t="n">
        <v>0</v>
      </c>
      <c r="M882" t="n">
        <v>0</v>
      </c>
      <c r="N882" t="n">
        <v>0</v>
      </c>
      <c r="O882" t="n">
        <v>0</v>
      </c>
      <c r="P882" t="n">
        <v>0</v>
      </c>
      <c r="Q882" t="n">
        <v>0</v>
      </c>
      <c r="R882" s="2" t="inlineStr"/>
    </row>
    <row r="883" ht="15" customHeight="1">
      <c r="A883" t="inlineStr">
        <is>
          <t>A 60363-2024</t>
        </is>
      </c>
      <c r="B883" s="1" t="n">
        <v>45643</v>
      </c>
      <c r="C883" s="1" t="n">
        <v>46002</v>
      </c>
      <c r="D883" t="inlineStr">
        <is>
          <t>VÄSTERNORRLANDS LÄN</t>
        </is>
      </c>
      <c r="E883" t="inlineStr">
        <is>
          <t>ÅNGE</t>
        </is>
      </c>
      <c r="G883" t="n">
        <v>1.3</v>
      </c>
      <c r="H883" t="n">
        <v>0</v>
      </c>
      <c r="I883" t="n">
        <v>0</v>
      </c>
      <c r="J883" t="n">
        <v>0</v>
      </c>
      <c r="K883" t="n">
        <v>0</v>
      </c>
      <c r="L883" t="n">
        <v>0</v>
      </c>
      <c r="M883" t="n">
        <v>0</v>
      </c>
      <c r="N883" t="n">
        <v>0</v>
      </c>
      <c r="O883" t="n">
        <v>0</v>
      </c>
      <c r="P883" t="n">
        <v>0</v>
      </c>
      <c r="Q883" t="n">
        <v>0</v>
      </c>
      <c r="R883" s="2" t="inlineStr"/>
    </row>
    <row r="884" ht="15" customHeight="1">
      <c r="A884" t="inlineStr">
        <is>
          <t>A 15369-2024</t>
        </is>
      </c>
      <c r="B884" s="1" t="n">
        <v>45400.92290509259</v>
      </c>
      <c r="C884" s="1" t="n">
        <v>46002</v>
      </c>
      <c r="D884" t="inlineStr">
        <is>
          <t>VÄSTERNORRLANDS LÄN</t>
        </is>
      </c>
      <c r="E884" t="inlineStr">
        <is>
          <t>ÅNGE</t>
        </is>
      </c>
      <c r="G884" t="n">
        <v>0.4</v>
      </c>
      <c r="H884" t="n">
        <v>0</v>
      </c>
      <c r="I884" t="n">
        <v>0</v>
      </c>
      <c r="J884" t="n">
        <v>0</v>
      </c>
      <c r="K884" t="n">
        <v>0</v>
      </c>
      <c r="L884" t="n">
        <v>0</v>
      </c>
      <c r="M884" t="n">
        <v>0</v>
      </c>
      <c r="N884" t="n">
        <v>0</v>
      </c>
      <c r="O884" t="n">
        <v>0</v>
      </c>
      <c r="P884" t="n">
        <v>0</v>
      </c>
      <c r="Q884" t="n">
        <v>0</v>
      </c>
      <c r="R884" s="2" t="inlineStr"/>
    </row>
    <row r="885" ht="15" customHeight="1">
      <c r="A885" t="inlineStr">
        <is>
          <t>A 48679-2025</t>
        </is>
      </c>
      <c r="B885" s="1" t="n">
        <v>45936.59196759259</v>
      </c>
      <c r="C885" s="1" t="n">
        <v>46002</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56741-2025</t>
        </is>
      </c>
      <c r="B886" s="1" t="n">
        <v>45978.34726851852</v>
      </c>
      <c r="C886" s="1" t="n">
        <v>46002</v>
      </c>
      <c r="D886" t="inlineStr">
        <is>
          <t>VÄSTERNORRLANDS LÄN</t>
        </is>
      </c>
      <c r="E886" t="inlineStr">
        <is>
          <t>ÅNGE</t>
        </is>
      </c>
      <c r="G886" t="n">
        <v>11.4</v>
      </c>
      <c r="H886" t="n">
        <v>0</v>
      </c>
      <c r="I886" t="n">
        <v>0</v>
      </c>
      <c r="J886" t="n">
        <v>0</v>
      </c>
      <c r="K886" t="n">
        <v>0</v>
      </c>
      <c r="L886" t="n">
        <v>0</v>
      </c>
      <c r="M886" t="n">
        <v>0</v>
      </c>
      <c r="N886" t="n">
        <v>0</v>
      </c>
      <c r="O886" t="n">
        <v>0</v>
      </c>
      <c r="P886" t="n">
        <v>0</v>
      </c>
      <c r="Q886" t="n">
        <v>0</v>
      </c>
      <c r="R886" s="2" t="inlineStr"/>
    </row>
    <row r="887" ht="15" customHeight="1">
      <c r="A887" t="inlineStr">
        <is>
          <t>A 20110-2023</t>
        </is>
      </c>
      <c r="B887" s="1" t="n">
        <v>45051</v>
      </c>
      <c r="C887" s="1" t="n">
        <v>46002</v>
      </c>
      <c r="D887" t="inlineStr">
        <is>
          <t>VÄSTERNORRLANDS LÄN</t>
        </is>
      </c>
      <c r="E887" t="inlineStr">
        <is>
          <t>ÅNGE</t>
        </is>
      </c>
      <c r="G887" t="n">
        <v>2.5</v>
      </c>
      <c r="H887" t="n">
        <v>0</v>
      </c>
      <c r="I887" t="n">
        <v>0</v>
      </c>
      <c r="J887" t="n">
        <v>0</v>
      </c>
      <c r="K887" t="n">
        <v>0</v>
      </c>
      <c r="L887" t="n">
        <v>0</v>
      </c>
      <c r="M887" t="n">
        <v>0</v>
      </c>
      <c r="N887" t="n">
        <v>0</v>
      </c>
      <c r="O887" t="n">
        <v>0</v>
      </c>
      <c r="P887" t="n">
        <v>0</v>
      </c>
      <c r="Q887" t="n">
        <v>0</v>
      </c>
      <c r="R887" s="2" t="inlineStr"/>
    </row>
    <row r="888" ht="15" customHeight="1">
      <c r="A888" t="inlineStr">
        <is>
          <t>A 26010-2024</t>
        </is>
      </c>
      <c r="B888" s="1" t="n">
        <v>45467.95819444444</v>
      </c>
      <c r="C888" s="1" t="n">
        <v>46002</v>
      </c>
      <c r="D888" t="inlineStr">
        <is>
          <t>VÄSTERNORRLANDS LÄN</t>
        </is>
      </c>
      <c r="E888" t="inlineStr">
        <is>
          <t>ÅNGE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38078-2025</t>
        </is>
      </c>
      <c r="B889" s="1" t="n">
        <v>45882.46918981482</v>
      </c>
      <c r="C889" s="1" t="n">
        <v>46002</v>
      </c>
      <c r="D889" t="inlineStr">
        <is>
          <t>VÄSTERNORRLANDS LÄN</t>
        </is>
      </c>
      <c r="E889" t="inlineStr">
        <is>
          <t>ÅNGE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52785-2024</t>
        </is>
      </c>
      <c r="B890" s="1" t="n">
        <v>45610.55273148148</v>
      </c>
      <c r="C890" s="1" t="n">
        <v>46002</v>
      </c>
      <c r="D890" t="inlineStr">
        <is>
          <t>VÄSTERNORRLANDS LÄN</t>
        </is>
      </c>
      <c r="E890" t="inlineStr">
        <is>
          <t>ÅNGE</t>
        </is>
      </c>
      <c r="F890" t="inlineStr">
        <is>
          <t>SCA</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52786-2024</t>
        </is>
      </c>
      <c r="B891" s="1" t="n">
        <v>45610.55283564814</v>
      </c>
      <c r="C891" s="1" t="n">
        <v>46002</v>
      </c>
      <c r="D891" t="inlineStr">
        <is>
          <t>VÄSTERNORRLANDS LÄN</t>
        </is>
      </c>
      <c r="E891" t="inlineStr">
        <is>
          <t>ÅNGE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38332-2025</t>
        </is>
      </c>
      <c r="B892" s="1" t="n">
        <v>45883.49151620371</v>
      </c>
      <c r="C892" s="1" t="n">
        <v>46002</v>
      </c>
      <c r="D892" t="inlineStr">
        <is>
          <t>VÄSTERNORRLANDS LÄN</t>
        </is>
      </c>
      <c r="E892" t="inlineStr">
        <is>
          <t>ÅNGE</t>
        </is>
      </c>
      <c r="F892" t="inlineStr">
        <is>
          <t>SCA</t>
        </is>
      </c>
      <c r="G892" t="n">
        <v>5.9</v>
      </c>
      <c r="H892" t="n">
        <v>0</v>
      </c>
      <c r="I892" t="n">
        <v>0</v>
      </c>
      <c r="J892" t="n">
        <v>0</v>
      </c>
      <c r="K892" t="n">
        <v>0</v>
      </c>
      <c r="L892" t="n">
        <v>0</v>
      </c>
      <c r="M892" t="n">
        <v>0</v>
      </c>
      <c r="N892" t="n">
        <v>0</v>
      </c>
      <c r="O892" t="n">
        <v>0</v>
      </c>
      <c r="P892" t="n">
        <v>0</v>
      </c>
      <c r="Q892" t="n">
        <v>0</v>
      </c>
      <c r="R892" s="2" t="inlineStr"/>
    </row>
    <row r="893" ht="15" customHeight="1">
      <c r="A893" t="inlineStr">
        <is>
          <t>A 46254-2023</t>
        </is>
      </c>
      <c r="B893" s="1" t="n">
        <v>45196</v>
      </c>
      <c r="C893" s="1" t="n">
        <v>46002</v>
      </c>
      <c r="D893" t="inlineStr">
        <is>
          <t>VÄSTERNORRLANDS LÄN</t>
        </is>
      </c>
      <c r="E893" t="inlineStr">
        <is>
          <t>ÅNGE</t>
        </is>
      </c>
      <c r="F893" t="inlineStr">
        <is>
          <t>SCA</t>
        </is>
      </c>
      <c r="G893" t="n">
        <v>0.1</v>
      </c>
      <c r="H893" t="n">
        <v>0</v>
      </c>
      <c r="I893" t="n">
        <v>0</v>
      </c>
      <c r="J893" t="n">
        <v>0</v>
      </c>
      <c r="K893" t="n">
        <v>0</v>
      </c>
      <c r="L893" t="n">
        <v>0</v>
      </c>
      <c r="M893" t="n">
        <v>0</v>
      </c>
      <c r="N893" t="n">
        <v>0</v>
      </c>
      <c r="O893" t="n">
        <v>0</v>
      </c>
      <c r="P893" t="n">
        <v>0</v>
      </c>
      <c r="Q893" t="n">
        <v>0</v>
      </c>
      <c r="R893" s="2" t="inlineStr"/>
    </row>
    <row r="894" ht="15" customHeight="1">
      <c r="A894" t="inlineStr">
        <is>
          <t>A 46262-2023</t>
        </is>
      </c>
      <c r="B894" s="1" t="n">
        <v>45196.93855324074</v>
      </c>
      <c r="C894" s="1" t="n">
        <v>46002</v>
      </c>
      <c r="D894" t="inlineStr">
        <is>
          <t>VÄSTERNORRLANDS LÄN</t>
        </is>
      </c>
      <c r="E894" t="inlineStr">
        <is>
          <t>ÅNGE</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57022-2025</t>
        </is>
      </c>
      <c r="B895" s="1" t="n">
        <v>45978.88921296296</v>
      </c>
      <c r="C895" s="1" t="n">
        <v>46002</v>
      </c>
      <c r="D895" t="inlineStr">
        <is>
          <t>VÄSTERNORRLANDS LÄN</t>
        </is>
      </c>
      <c r="E895" t="inlineStr">
        <is>
          <t>ÅNGE</t>
        </is>
      </c>
      <c r="G895" t="n">
        <v>1.2</v>
      </c>
      <c r="H895" t="n">
        <v>0</v>
      </c>
      <c r="I895" t="n">
        <v>0</v>
      </c>
      <c r="J895" t="n">
        <v>0</v>
      </c>
      <c r="K895" t="n">
        <v>0</v>
      </c>
      <c r="L895" t="n">
        <v>0</v>
      </c>
      <c r="M895" t="n">
        <v>0</v>
      </c>
      <c r="N895" t="n">
        <v>0</v>
      </c>
      <c r="O895" t="n">
        <v>0</v>
      </c>
      <c r="P895" t="n">
        <v>0</v>
      </c>
      <c r="Q895" t="n">
        <v>0</v>
      </c>
      <c r="R895" s="2" t="inlineStr"/>
    </row>
    <row r="896" ht="15" customHeight="1">
      <c r="A896" t="inlineStr">
        <is>
          <t>A 38386-2025</t>
        </is>
      </c>
      <c r="B896" s="1" t="n">
        <v>45883.57430555556</v>
      </c>
      <c r="C896" s="1" t="n">
        <v>46002</v>
      </c>
      <c r="D896" t="inlineStr">
        <is>
          <t>VÄSTERNORRLANDS LÄN</t>
        </is>
      </c>
      <c r="E896" t="inlineStr">
        <is>
          <t>ÅNGE</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57081-2025</t>
        </is>
      </c>
      <c r="B897" s="1" t="n">
        <v>45979.40826388889</v>
      </c>
      <c r="C897" s="1" t="n">
        <v>46002</v>
      </c>
      <c r="D897" t="inlineStr">
        <is>
          <t>VÄSTERNORRLANDS LÄN</t>
        </is>
      </c>
      <c r="E897" t="inlineStr">
        <is>
          <t>ÅNGE</t>
        </is>
      </c>
      <c r="G897" t="n">
        <v>2.2</v>
      </c>
      <c r="H897" t="n">
        <v>0</v>
      </c>
      <c r="I897" t="n">
        <v>0</v>
      </c>
      <c r="J897" t="n">
        <v>0</v>
      </c>
      <c r="K897" t="n">
        <v>0</v>
      </c>
      <c r="L897" t="n">
        <v>0</v>
      </c>
      <c r="M897" t="n">
        <v>0</v>
      </c>
      <c r="N897" t="n">
        <v>0</v>
      </c>
      <c r="O897" t="n">
        <v>0</v>
      </c>
      <c r="P897" t="n">
        <v>0</v>
      </c>
      <c r="Q897" t="n">
        <v>0</v>
      </c>
      <c r="R897" s="2" t="inlineStr"/>
    </row>
    <row r="898" ht="15" customHeight="1">
      <c r="A898" t="inlineStr">
        <is>
          <t>A 38283-2025</t>
        </is>
      </c>
      <c r="B898" s="1" t="n">
        <v>45883.42740740741</v>
      </c>
      <c r="C898" s="1" t="n">
        <v>46002</v>
      </c>
      <c r="D898" t="inlineStr">
        <is>
          <t>VÄSTERNORRLANDS LÄN</t>
        </is>
      </c>
      <c r="E898" t="inlineStr">
        <is>
          <t>ÅNGE</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48725-2024</t>
        </is>
      </c>
      <c r="B899" s="1" t="n">
        <v>45593.55793981482</v>
      </c>
      <c r="C899" s="1" t="n">
        <v>46002</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37919-2025</t>
        </is>
      </c>
      <c r="B900" s="1" t="n">
        <v>45881.57478009259</v>
      </c>
      <c r="C900" s="1" t="n">
        <v>46002</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37802-2025</t>
        </is>
      </c>
      <c r="B901" s="1" t="n">
        <v>45881.34447916667</v>
      </c>
      <c r="C901" s="1" t="n">
        <v>46002</v>
      </c>
      <c r="D901" t="inlineStr">
        <is>
          <t>VÄSTERNORRLANDS LÄN</t>
        </is>
      </c>
      <c r="E901" t="inlineStr">
        <is>
          <t>ÅNGE</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38273-2025</t>
        </is>
      </c>
      <c r="B902" s="1" t="n">
        <v>45883.40740740741</v>
      </c>
      <c r="C902" s="1" t="n">
        <v>46002</v>
      </c>
      <c r="D902" t="inlineStr">
        <is>
          <t>VÄSTERNORRLANDS LÄN</t>
        </is>
      </c>
      <c r="E902" t="inlineStr">
        <is>
          <t>ÅNGE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39619-2024</t>
        </is>
      </c>
      <c r="B903" s="1" t="n">
        <v>45552</v>
      </c>
      <c r="C903" s="1" t="n">
        <v>46002</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37051-2021</t>
        </is>
      </c>
      <c r="B904" s="1" t="n">
        <v>44393</v>
      </c>
      <c r="C904" s="1" t="n">
        <v>46002</v>
      </c>
      <c r="D904" t="inlineStr">
        <is>
          <t>VÄSTERNORRLANDS LÄN</t>
        </is>
      </c>
      <c r="E904" t="inlineStr">
        <is>
          <t>ÅNGE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49562-2025</t>
        </is>
      </c>
      <c r="B905" s="1" t="n">
        <v>45939.46524305556</v>
      </c>
      <c r="C905" s="1" t="n">
        <v>46002</v>
      </c>
      <c r="D905" t="inlineStr">
        <is>
          <t>VÄSTERNORRLANDS LÄN</t>
        </is>
      </c>
      <c r="E905" t="inlineStr">
        <is>
          <t>ÅNGE</t>
        </is>
      </c>
      <c r="G905" t="n">
        <v>4.4</v>
      </c>
      <c r="H905" t="n">
        <v>0</v>
      </c>
      <c r="I905" t="n">
        <v>0</v>
      </c>
      <c r="J905" t="n">
        <v>0</v>
      </c>
      <c r="K905" t="n">
        <v>0</v>
      </c>
      <c r="L905" t="n">
        <v>0</v>
      </c>
      <c r="M905" t="n">
        <v>0</v>
      </c>
      <c r="N905" t="n">
        <v>0</v>
      </c>
      <c r="O905" t="n">
        <v>0</v>
      </c>
      <c r="P905" t="n">
        <v>0</v>
      </c>
      <c r="Q905" t="n">
        <v>0</v>
      </c>
      <c r="R905" s="2" t="inlineStr"/>
    </row>
    <row r="906" ht="15" customHeight="1">
      <c r="A906" t="inlineStr">
        <is>
          <t>A 5613-2024</t>
        </is>
      </c>
      <c r="B906" s="1" t="n">
        <v>45334</v>
      </c>
      <c r="C906" s="1" t="n">
        <v>46002</v>
      </c>
      <c r="D906" t="inlineStr">
        <is>
          <t>VÄSTERNORRLANDS LÄN</t>
        </is>
      </c>
      <c r="E906" t="inlineStr">
        <is>
          <t>ÅNGE</t>
        </is>
      </c>
      <c r="G906" t="n">
        <v>0.4</v>
      </c>
      <c r="H906" t="n">
        <v>0</v>
      </c>
      <c r="I906" t="n">
        <v>0</v>
      </c>
      <c r="J906" t="n">
        <v>0</v>
      </c>
      <c r="K906" t="n">
        <v>0</v>
      </c>
      <c r="L906" t="n">
        <v>0</v>
      </c>
      <c r="M906" t="n">
        <v>0</v>
      </c>
      <c r="N906" t="n">
        <v>0</v>
      </c>
      <c r="O906" t="n">
        <v>0</v>
      </c>
      <c r="P906" t="n">
        <v>0</v>
      </c>
      <c r="Q906" t="n">
        <v>0</v>
      </c>
      <c r="R906" s="2" t="inlineStr"/>
    </row>
    <row r="907" ht="15" customHeight="1">
      <c r="A907" t="inlineStr">
        <is>
          <t>A 61928-2021</t>
        </is>
      </c>
      <c r="B907" s="1" t="n">
        <v>44502.38475694445</v>
      </c>
      <c r="C907" s="1" t="n">
        <v>46002</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5367-2022</t>
        </is>
      </c>
      <c r="B908" s="1" t="n">
        <v>44594.92111111111</v>
      </c>
      <c r="C908" s="1" t="n">
        <v>46002</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54429-2024</t>
        </is>
      </c>
      <c r="B909" s="1" t="n">
        <v>45617.49087962963</v>
      </c>
      <c r="C909" s="1" t="n">
        <v>46002</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24293-2023</t>
        </is>
      </c>
      <c r="B910" s="1" t="n">
        <v>45079.92756944444</v>
      </c>
      <c r="C910" s="1" t="n">
        <v>46002</v>
      </c>
      <c r="D910" t="inlineStr">
        <is>
          <t>VÄSTERNORRLANDS LÄN</t>
        </is>
      </c>
      <c r="E910" t="inlineStr">
        <is>
          <t>ÅNGE</t>
        </is>
      </c>
      <c r="G910" t="n">
        <v>0.8</v>
      </c>
      <c r="H910" t="n">
        <v>0</v>
      </c>
      <c r="I910" t="n">
        <v>0</v>
      </c>
      <c r="J910" t="n">
        <v>0</v>
      </c>
      <c r="K910" t="n">
        <v>0</v>
      </c>
      <c r="L910" t="n">
        <v>0</v>
      </c>
      <c r="M910" t="n">
        <v>0</v>
      </c>
      <c r="N910" t="n">
        <v>0</v>
      </c>
      <c r="O910" t="n">
        <v>0</v>
      </c>
      <c r="P910" t="n">
        <v>0</v>
      </c>
      <c r="Q910" t="n">
        <v>0</v>
      </c>
      <c r="R910" s="2" t="inlineStr"/>
    </row>
    <row r="911" ht="15" customHeight="1">
      <c r="A911" t="inlineStr">
        <is>
          <t>A 361-2025</t>
        </is>
      </c>
      <c r="B911" s="1" t="n">
        <v>45660</v>
      </c>
      <c r="C911" s="1" t="n">
        <v>46002</v>
      </c>
      <c r="D911" t="inlineStr">
        <is>
          <t>VÄSTERNORRLANDS LÄN</t>
        </is>
      </c>
      <c r="E911" t="inlineStr">
        <is>
          <t>ÅNGE</t>
        </is>
      </c>
      <c r="G911" t="n">
        <v>4.2</v>
      </c>
      <c r="H911" t="n">
        <v>0</v>
      </c>
      <c r="I911" t="n">
        <v>0</v>
      </c>
      <c r="J911" t="n">
        <v>0</v>
      </c>
      <c r="K911" t="n">
        <v>0</v>
      </c>
      <c r="L911" t="n">
        <v>0</v>
      </c>
      <c r="M911" t="n">
        <v>0</v>
      </c>
      <c r="N911" t="n">
        <v>0</v>
      </c>
      <c r="O911" t="n">
        <v>0</v>
      </c>
      <c r="P911" t="n">
        <v>0</v>
      </c>
      <c r="Q911" t="n">
        <v>0</v>
      </c>
      <c r="R911" s="2" t="inlineStr"/>
    </row>
    <row r="912" ht="15" customHeight="1">
      <c r="A912" t="inlineStr">
        <is>
          <t>A 39985-2023</t>
        </is>
      </c>
      <c r="B912" s="1" t="n">
        <v>45168</v>
      </c>
      <c r="C912" s="1" t="n">
        <v>46002</v>
      </c>
      <c r="D912" t="inlineStr">
        <is>
          <t>VÄSTERNORRLANDS LÄN</t>
        </is>
      </c>
      <c r="E912" t="inlineStr">
        <is>
          <t>ÅNGE</t>
        </is>
      </c>
      <c r="G912" t="n">
        <v>0.1</v>
      </c>
      <c r="H912" t="n">
        <v>0</v>
      </c>
      <c r="I912" t="n">
        <v>0</v>
      </c>
      <c r="J912" t="n">
        <v>0</v>
      </c>
      <c r="K912" t="n">
        <v>0</v>
      </c>
      <c r="L912" t="n">
        <v>0</v>
      </c>
      <c r="M912" t="n">
        <v>0</v>
      </c>
      <c r="N912" t="n">
        <v>0</v>
      </c>
      <c r="O912" t="n">
        <v>0</v>
      </c>
      <c r="P912" t="n">
        <v>0</v>
      </c>
      <c r="Q912" t="n">
        <v>0</v>
      </c>
      <c r="R912" s="2" t="inlineStr"/>
    </row>
    <row r="913" ht="15" customHeight="1">
      <c r="A913" t="inlineStr">
        <is>
          <t>A 49377-2025</t>
        </is>
      </c>
      <c r="B913" s="1" t="n">
        <v>45938.63626157407</v>
      </c>
      <c r="C913" s="1" t="n">
        <v>46002</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49945-2023</t>
        </is>
      </c>
      <c r="B914" s="1" t="n">
        <v>45215.3625462963</v>
      </c>
      <c r="C914" s="1" t="n">
        <v>46002</v>
      </c>
      <c r="D914" t="inlineStr">
        <is>
          <t>VÄSTERNORRLANDS LÄN</t>
        </is>
      </c>
      <c r="E914" t="inlineStr">
        <is>
          <t>ÅNGE</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1420-2023</t>
        </is>
      </c>
      <c r="B915" s="1" t="n">
        <v>44936.92762731481</v>
      </c>
      <c r="C915" s="1" t="n">
        <v>46002</v>
      </c>
      <c r="D915" t="inlineStr">
        <is>
          <t>VÄSTERNORRLANDS LÄN</t>
        </is>
      </c>
      <c r="E915" t="inlineStr">
        <is>
          <t>ÅNGE</t>
        </is>
      </c>
      <c r="G915" t="n">
        <v>3.7</v>
      </c>
      <c r="H915" t="n">
        <v>0</v>
      </c>
      <c r="I915" t="n">
        <v>0</v>
      </c>
      <c r="J915" t="n">
        <v>0</v>
      </c>
      <c r="K915" t="n">
        <v>0</v>
      </c>
      <c r="L915" t="n">
        <v>0</v>
      </c>
      <c r="M915" t="n">
        <v>0</v>
      </c>
      <c r="N915" t="n">
        <v>0</v>
      </c>
      <c r="O915" t="n">
        <v>0</v>
      </c>
      <c r="P915" t="n">
        <v>0</v>
      </c>
      <c r="Q915" t="n">
        <v>0</v>
      </c>
      <c r="R915" s="2" t="inlineStr"/>
    </row>
    <row r="916" ht="15" customHeight="1">
      <c r="A916" t="inlineStr">
        <is>
          <t>A 49156-2025</t>
        </is>
      </c>
      <c r="B916" s="1" t="n">
        <v>45938.3458912037</v>
      </c>
      <c r="C916" s="1" t="n">
        <v>46002</v>
      </c>
      <c r="D916" t="inlineStr">
        <is>
          <t>VÄSTERNORRLANDS LÄN</t>
        </is>
      </c>
      <c r="E916" t="inlineStr">
        <is>
          <t>ÅNGE</t>
        </is>
      </c>
      <c r="G916" t="n">
        <v>2.3</v>
      </c>
      <c r="H916" t="n">
        <v>0</v>
      </c>
      <c r="I916" t="n">
        <v>0</v>
      </c>
      <c r="J916" t="n">
        <v>0</v>
      </c>
      <c r="K916" t="n">
        <v>0</v>
      </c>
      <c r="L916" t="n">
        <v>0</v>
      </c>
      <c r="M916" t="n">
        <v>0</v>
      </c>
      <c r="N916" t="n">
        <v>0</v>
      </c>
      <c r="O916" t="n">
        <v>0</v>
      </c>
      <c r="P916" t="n">
        <v>0</v>
      </c>
      <c r="Q916" t="n">
        <v>0</v>
      </c>
      <c r="R916" s="2" t="inlineStr"/>
    </row>
    <row r="917" ht="15" customHeight="1">
      <c r="A917" t="inlineStr">
        <is>
          <t>A 57302-2025</t>
        </is>
      </c>
      <c r="B917" s="1" t="n">
        <v>45979.87184027778</v>
      </c>
      <c r="C917" s="1" t="n">
        <v>46002</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34691-2024</t>
        </is>
      </c>
      <c r="B918" s="1" t="n">
        <v>45526.54516203704</v>
      </c>
      <c r="C918" s="1" t="n">
        <v>46002</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57371-2025</t>
        </is>
      </c>
      <c r="B919" s="1" t="n">
        <v>45980.38586805556</v>
      </c>
      <c r="C919" s="1" t="n">
        <v>46002</v>
      </c>
      <c r="D919" t="inlineStr">
        <is>
          <t>VÄSTERNORRLANDS LÄN</t>
        </is>
      </c>
      <c r="E919" t="inlineStr">
        <is>
          <t>ÅNGE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57283-2025</t>
        </is>
      </c>
      <c r="B920" s="1" t="n">
        <v>45979.71918981482</v>
      </c>
      <c r="C920" s="1" t="n">
        <v>46002</v>
      </c>
      <c r="D920" t="inlineStr">
        <is>
          <t>VÄSTERNORRLANDS LÄN</t>
        </is>
      </c>
      <c r="E920" t="inlineStr">
        <is>
          <t>ÅNGE</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15791-2025</t>
        </is>
      </c>
      <c r="B921" s="1" t="n">
        <v>45748.631875</v>
      </c>
      <c r="C921" s="1" t="n">
        <v>46002</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49179-2025</t>
        </is>
      </c>
      <c r="B922" s="1" t="n">
        <v>45938.38579861111</v>
      </c>
      <c r="C922" s="1" t="n">
        <v>46002</v>
      </c>
      <c r="D922" t="inlineStr">
        <is>
          <t>VÄSTERNORRLANDS LÄN</t>
        </is>
      </c>
      <c r="E922" t="inlineStr">
        <is>
          <t>ÅNGE</t>
        </is>
      </c>
      <c r="G922" t="n">
        <v>2.3</v>
      </c>
      <c r="H922" t="n">
        <v>0</v>
      </c>
      <c r="I922" t="n">
        <v>0</v>
      </c>
      <c r="J922" t="n">
        <v>0</v>
      </c>
      <c r="K922" t="n">
        <v>0</v>
      </c>
      <c r="L922" t="n">
        <v>0</v>
      </c>
      <c r="M922" t="n">
        <v>0</v>
      </c>
      <c r="N922" t="n">
        <v>0</v>
      </c>
      <c r="O922" t="n">
        <v>0</v>
      </c>
      <c r="P922" t="n">
        <v>0</v>
      </c>
      <c r="Q922" t="n">
        <v>0</v>
      </c>
      <c r="R922" s="2" t="inlineStr"/>
    </row>
    <row r="923" ht="15" customHeight="1">
      <c r="A923" t="inlineStr">
        <is>
          <t>A 54585-2024</t>
        </is>
      </c>
      <c r="B923" s="1" t="n">
        <v>45617.65762731482</v>
      </c>
      <c r="C923" s="1" t="n">
        <v>46002</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49669-2025</t>
        </is>
      </c>
      <c r="B924" s="1" t="n">
        <v>45939.63710648148</v>
      </c>
      <c r="C924" s="1" t="n">
        <v>46002</v>
      </c>
      <c r="D924" t="inlineStr">
        <is>
          <t>VÄSTERNORRLANDS LÄN</t>
        </is>
      </c>
      <c r="E924" t="inlineStr">
        <is>
          <t>ÅNGE</t>
        </is>
      </c>
      <c r="F924" t="inlineStr">
        <is>
          <t>SCA</t>
        </is>
      </c>
      <c r="G924" t="n">
        <v>7.1</v>
      </c>
      <c r="H924" t="n">
        <v>0</v>
      </c>
      <c r="I924" t="n">
        <v>0</v>
      </c>
      <c r="J924" t="n">
        <v>0</v>
      </c>
      <c r="K924" t="n">
        <v>0</v>
      </c>
      <c r="L924" t="n">
        <v>0</v>
      </c>
      <c r="M924" t="n">
        <v>0</v>
      </c>
      <c r="N924" t="n">
        <v>0</v>
      </c>
      <c r="O924" t="n">
        <v>0</v>
      </c>
      <c r="P924" t="n">
        <v>0</v>
      </c>
      <c r="Q924" t="n">
        <v>0</v>
      </c>
      <c r="R924" s="2" t="inlineStr"/>
    </row>
    <row r="925" ht="15" customHeight="1">
      <c r="A925" t="inlineStr">
        <is>
          <t>A 18112-2025</t>
        </is>
      </c>
      <c r="B925" s="1" t="n">
        <v>45761.57350694444</v>
      </c>
      <c r="C925" s="1" t="n">
        <v>46002</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17452-2025</t>
        </is>
      </c>
      <c r="B926" s="1" t="n">
        <v>45757.44842592593</v>
      </c>
      <c r="C926" s="1" t="n">
        <v>46002</v>
      </c>
      <c r="D926" t="inlineStr">
        <is>
          <t>VÄSTERNORRLANDS LÄN</t>
        </is>
      </c>
      <c r="E926" t="inlineStr">
        <is>
          <t>ÅNGE</t>
        </is>
      </c>
      <c r="F926" t="inlineStr">
        <is>
          <t>SCA</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49603-2025</t>
        </is>
      </c>
      <c r="B927" s="1" t="n">
        <v>45939.5484375</v>
      </c>
      <c r="C927" s="1" t="n">
        <v>46002</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57457-2025</t>
        </is>
      </c>
      <c r="B928" s="1" t="n">
        <v>45980.53001157408</v>
      </c>
      <c r="C928" s="1" t="n">
        <v>46002</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20716-2025</t>
        </is>
      </c>
      <c r="B929" s="1" t="n">
        <v>45776.49026620371</v>
      </c>
      <c r="C929" s="1" t="n">
        <v>46002</v>
      </c>
      <c r="D929" t="inlineStr">
        <is>
          <t>VÄSTERNORRLANDS LÄN</t>
        </is>
      </c>
      <c r="E929" t="inlineStr">
        <is>
          <t>ÅNGE</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49381-2025</t>
        </is>
      </c>
      <c r="B930" s="1" t="n">
        <v>45938.63694444444</v>
      </c>
      <c r="C930" s="1" t="n">
        <v>46002</v>
      </c>
      <c r="D930" t="inlineStr">
        <is>
          <t>VÄSTERNORRLANDS LÄN</t>
        </is>
      </c>
      <c r="E930" t="inlineStr">
        <is>
          <t>ÅNGE</t>
        </is>
      </c>
      <c r="F930" t="inlineStr">
        <is>
          <t>SCA</t>
        </is>
      </c>
      <c r="G930" t="n">
        <v>20.6</v>
      </c>
      <c r="H930" t="n">
        <v>0</v>
      </c>
      <c r="I930" t="n">
        <v>0</v>
      </c>
      <c r="J930" t="n">
        <v>0</v>
      </c>
      <c r="K930" t="n">
        <v>0</v>
      </c>
      <c r="L930" t="n">
        <v>0</v>
      </c>
      <c r="M930" t="n">
        <v>0</v>
      </c>
      <c r="N930" t="n">
        <v>0</v>
      </c>
      <c r="O930" t="n">
        <v>0</v>
      </c>
      <c r="P930" t="n">
        <v>0</v>
      </c>
      <c r="Q930" t="n">
        <v>0</v>
      </c>
      <c r="R930" s="2" t="inlineStr"/>
    </row>
    <row r="931" ht="15" customHeight="1">
      <c r="A931" t="inlineStr">
        <is>
          <t>A 49566-2025</t>
        </is>
      </c>
      <c r="B931" s="1" t="n">
        <v>45939.46939814815</v>
      </c>
      <c r="C931" s="1" t="n">
        <v>46002</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3966-2025</t>
        </is>
      </c>
      <c r="B932" s="1" t="n">
        <v>45684.51072916666</v>
      </c>
      <c r="C932" s="1" t="n">
        <v>46002</v>
      </c>
      <c r="D932" t="inlineStr">
        <is>
          <t>VÄSTERNORRLANDS LÄN</t>
        </is>
      </c>
      <c r="E932" t="inlineStr">
        <is>
          <t>ÅNGE</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49476-2025</t>
        </is>
      </c>
      <c r="B933" s="1" t="n">
        <v>45939.34506944445</v>
      </c>
      <c r="C933" s="1" t="n">
        <v>46002</v>
      </c>
      <c r="D933" t="inlineStr">
        <is>
          <t>VÄSTERNORRLANDS LÄN</t>
        </is>
      </c>
      <c r="E933" t="inlineStr">
        <is>
          <t>ÅNGE</t>
        </is>
      </c>
      <c r="F933" t="inlineStr">
        <is>
          <t>SCA</t>
        </is>
      </c>
      <c r="G933" t="n">
        <v>11.4</v>
      </c>
      <c r="H933" t="n">
        <v>0</v>
      </c>
      <c r="I933" t="n">
        <v>0</v>
      </c>
      <c r="J933" t="n">
        <v>0</v>
      </c>
      <c r="K933" t="n">
        <v>0</v>
      </c>
      <c r="L933" t="n">
        <v>0</v>
      </c>
      <c r="M933" t="n">
        <v>0</v>
      </c>
      <c r="N933" t="n">
        <v>0</v>
      </c>
      <c r="O933" t="n">
        <v>0</v>
      </c>
      <c r="P933" t="n">
        <v>0</v>
      </c>
      <c r="Q933" t="n">
        <v>0</v>
      </c>
      <c r="R933" s="2" t="inlineStr"/>
    </row>
    <row r="934" ht="15" customHeight="1">
      <c r="A934" t="inlineStr">
        <is>
          <t>A 57526-2024</t>
        </is>
      </c>
      <c r="B934" s="1" t="n">
        <v>45630</v>
      </c>
      <c r="C934" s="1" t="n">
        <v>46002</v>
      </c>
      <c r="D934" t="inlineStr">
        <is>
          <t>VÄSTERNORRLANDS LÄN</t>
        </is>
      </c>
      <c r="E934" t="inlineStr">
        <is>
          <t>ÅNGE</t>
        </is>
      </c>
      <c r="G934" t="n">
        <v>3.2</v>
      </c>
      <c r="H934" t="n">
        <v>0</v>
      </c>
      <c r="I934" t="n">
        <v>0</v>
      </c>
      <c r="J934" t="n">
        <v>0</v>
      </c>
      <c r="K934" t="n">
        <v>0</v>
      </c>
      <c r="L934" t="n">
        <v>0</v>
      </c>
      <c r="M934" t="n">
        <v>0</v>
      </c>
      <c r="N934" t="n">
        <v>0</v>
      </c>
      <c r="O934" t="n">
        <v>0</v>
      </c>
      <c r="P934" t="n">
        <v>0</v>
      </c>
      <c r="Q934" t="n">
        <v>0</v>
      </c>
      <c r="R934" s="2" t="inlineStr"/>
    </row>
    <row r="935" ht="15" customHeight="1">
      <c r="A935" t="inlineStr">
        <is>
          <t>A 57615-2025</t>
        </is>
      </c>
      <c r="B935" s="1" t="n">
        <v>45981.34431712963</v>
      </c>
      <c r="C935" s="1" t="n">
        <v>46002</v>
      </c>
      <c r="D935" t="inlineStr">
        <is>
          <t>VÄSTERNORRLANDS LÄN</t>
        </is>
      </c>
      <c r="E935" t="inlineStr">
        <is>
          <t>ÅNGE</t>
        </is>
      </c>
      <c r="G935" t="n">
        <v>3.4</v>
      </c>
      <c r="H935" t="n">
        <v>0</v>
      </c>
      <c r="I935" t="n">
        <v>0</v>
      </c>
      <c r="J935" t="n">
        <v>0</v>
      </c>
      <c r="K935" t="n">
        <v>0</v>
      </c>
      <c r="L935" t="n">
        <v>0</v>
      </c>
      <c r="M935" t="n">
        <v>0</v>
      </c>
      <c r="N935" t="n">
        <v>0</v>
      </c>
      <c r="O935" t="n">
        <v>0</v>
      </c>
      <c r="P935" t="n">
        <v>0</v>
      </c>
      <c r="Q935" t="n">
        <v>0</v>
      </c>
      <c r="R935" s="2" t="inlineStr"/>
    </row>
    <row r="936" ht="15" customHeight="1">
      <c r="A936" t="inlineStr">
        <is>
          <t>A 49600-2025</t>
        </is>
      </c>
      <c r="B936" s="1" t="n">
        <v>45939.54434027777</v>
      </c>
      <c r="C936" s="1" t="n">
        <v>46002</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5999-2025</t>
        </is>
      </c>
      <c r="B937" s="1" t="n">
        <v>45695</v>
      </c>
      <c r="C937" s="1" t="n">
        <v>46002</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35593-2024</t>
        </is>
      </c>
      <c r="B938" s="1" t="n">
        <v>45531</v>
      </c>
      <c r="C938" s="1" t="n">
        <v>46002</v>
      </c>
      <c r="D938" t="inlineStr">
        <is>
          <t>VÄSTERNORRLANDS LÄN</t>
        </is>
      </c>
      <c r="E938" t="inlineStr">
        <is>
          <t>ÅNGE</t>
        </is>
      </c>
      <c r="G938" t="n">
        <v>17.6</v>
      </c>
      <c r="H938" t="n">
        <v>0</v>
      </c>
      <c r="I938" t="n">
        <v>0</v>
      </c>
      <c r="J938" t="n">
        <v>0</v>
      </c>
      <c r="K938" t="n">
        <v>0</v>
      </c>
      <c r="L938" t="n">
        <v>0</v>
      </c>
      <c r="M938" t="n">
        <v>0</v>
      </c>
      <c r="N938" t="n">
        <v>0</v>
      </c>
      <c r="O938" t="n">
        <v>0</v>
      </c>
      <c r="P938" t="n">
        <v>0</v>
      </c>
      <c r="Q938" t="n">
        <v>0</v>
      </c>
      <c r="R938" s="2" t="inlineStr"/>
    </row>
    <row r="939" ht="15" customHeight="1">
      <c r="A939" t="inlineStr">
        <is>
          <t>A 56849-2025</t>
        </is>
      </c>
      <c r="B939" s="1" t="n">
        <v>45978.48989583334</v>
      </c>
      <c r="C939" s="1" t="n">
        <v>46002</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58366-2025</t>
        </is>
      </c>
      <c r="B940" s="1" t="n">
        <v>45985.52600694444</v>
      </c>
      <c r="C940" s="1" t="n">
        <v>46002</v>
      </c>
      <c r="D940" t="inlineStr">
        <is>
          <t>VÄSTERNORRLANDS LÄN</t>
        </is>
      </c>
      <c r="E940" t="inlineStr">
        <is>
          <t>ÅNGE</t>
        </is>
      </c>
      <c r="G940" t="n">
        <v>2</v>
      </c>
      <c r="H940" t="n">
        <v>0</v>
      </c>
      <c r="I940" t="n">
        <v>0</v>
      </c>
      <c r="J940" t="n">
        <v>0</v>
      </c>
      <c r="K940" t="n">
        <v>0</v>
      </c>
      <c r="L940" t="n">
        <v>0</v>
      </c>
      <c r="M940" t="n">
        <v>0</v>
      </c>
      <c r="N940" t="n">
        <v>0</v>
      </c>
      <c r="O940" t="n">
        <v>0</v>
      </c>
      <c r="P940" t="n">
        <v>0</v>
      </c>
      <c r="Q940" t="n">
        <v>0</v>
      </c>
      <c r="R940" s="2" t="inlineStr"/>
    </row>
    <row r="941" ht="15" customHeight="1">
      <c r="A941" t="inlineStr">
        <is>
          <t>A 50009-2025</t>
        </is>
      </c>
      <c r="B941" s="1" t="n">
        <v>45943.34527777778</v>
      </c>
      <c r="C941" s="1" t="n">
        <v>46002</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58439-2025</t>
        </is>
      </c>
      <c r="B942" s="1" t="n">
        <v>45985.61518518518</v>
      </c>
      <c r="C942" s="1" t="n">
        <v>46002</v>
      </c>
      <c r="D942" t="inlineStr">
        <is>
          <t>VÄSTERNORRLANDS LÄN</t>
        </is>
      </c>
      <c r="E942" t="inlineStr">
        <is>
          <t>ÅNGE</t>
        </is>
      </c>
      <c r="G942" t="n">
        <v>2.1</v>
      </c>
      <c r="H942" t="n">
        <v>0</v>
      </c>
      <c r="I942" t="n">
        <v>0</v>
      </c>
      <c r="J942" t="n">
        <v>0</v>
      </c>
      <c r="K942" t="n">
        <v>0</v>
      </c>
      <c r="L942" t="n">
        <v>0</v>
      </c>
      <c r="M942" t="n">
        <v>0</v>
      </c>
      <c r="N942" t="n">
        <v>0</v>
      </c>
      <c r="O942" t="n">
        <v>0</v>
      </c>
      <c r="P942" t="n">
        <v>0</v>
      </c>
      <c r="Q942" t="n">
        <v>0</v>
      </c>
      <c r="R942" s="2" t="inlineStr"/>
    </row>
    <row r="943" ht="15" customHeight="1">
      <c r="A943" t="inlineStr">
        <is>
          <t>A 58268-2025</t>
        </is>
      </c>
      <c r="B943" s="1" t="n">
        <v>45985.42450231482</v>
      </c>
      <c r="C943" s="1" t="n">
        <v>46002</v>
      </c>
      <c r="D943" t="inlineStr">
        <is>
          <t>VÄSTERNORRLANDS LÄN</t>
        </is>
      </c>
      <c r="E943" t="inlineStr">
        <is>
          <t>ÅNGE</t>
        </is>
      </c>
      <c r="G943" t="n">
        <v>0.9</v>
      </c>
      <c r="H943" t="n">
        <v>0</v>
      </c>
      <c r="I943" t="n">
        <v>0</v>
      </c>
      <c r="J943" t="n">
        <v>0</v>
      </c>
      <c r="K943" t="n">
        <v>0</v>
      </c>
      <c r="L943" t="n">
        <v>0</v>
      </c>
      <c r="M943" t="n">
        <v>0</v>
      </c>
      <c r="N943" t="n">
        <v>0</v>
      </c>
      <c r="O943" t="n">
        <v>0</v>
      </c>
      <c r="P943" t="n">
        <v>0</v>
      </c>
      <c r="Q943" t="n">
        <v>0</v>
      </c>
      <c r="R943" s="2" t="inlineStr"/>
    </row>
    <row r="944" ht="15" customHeight="1">
      <c r="A944" t="inlineStr">
        <is>
          <t>A 58240-2025</t>
        </is>
      </c>
      <c r="B944" s="1" t="n">
        <v>45985.38796296297</v>
      </c>
      <c r="C944" s="1" t="n">
        <v>46002</v>
      </c>
      <c r="D944" t="inlineStr">
        <is>
          <t>VÄSTERNORRLANDS LÄN</t>
        </is>
      </c>
      <c r="E944" t="inlineStr">
        <is>
          <t>ÅNGE</t>
        </is>
      </c>
      <c r="G944" t="n">
        <v>1.8</v>
      </c>
      <c r="H944" t="n">
        <v>0</v>
      </c>
      <c r="I944" t="n">
        <v>0</v>
      </c>
      <c r="J944" t="n">
        <v>0</v>
      </c>
      <c r="K944" t="n">
        <v>0</v>
      </c>
      <c r="L944" t="n">
        <v>0</v>
      </c>
      <c r="M944" t="n">
        <v>0</v>
      </c>
      <c r="N944" t="n">
        <v>0</v>
      </c>
      <c r="O944" t="n">
        <v>0</v>
      </c>
      <c r="P944" t="n">
        <v>0</v>
      </c>
      <c r="Q944" t="n">
        <v>0</v>
      </c>
      <c r="R944" s="2" t="inlineStr"/>
    </row>
    <row r="945" ht="15" customHeight="1">
      <c r="A945" t="inlineStr">
        <is>
          <t>A 36786-2024</t>
        </is>
      </c>
      <c r="B945" s="1" t="n">
        <v>45538</v>
      </c>
      <c r="C945" s="1" t="n">
        <v>46002</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57991-2025</t>
        </is>
      </c>
      <c r="B946" s="1" t="n">
        <v>45982.42438657407</v>
      </c>
      <c r="C946" s="1" t="n">
        <v>46002</v>
      </c>
      <c r="D946" t="inlineStr">
        <is>
          <t>VÄSTERNORRLANDS LÄN</t>
        </is>
      </c>
      <c r="E946" t="inlineStr">
        <is>
          <t>ÅNGE</t>
        </is>
      </c>
      <c r="G946" t="n">
        <v>3.2</v>
      </c>
      <c r="H946" t="n">
        <v>0</v>
      </c>
      <c r="I946" t="n">
        <v>0</v>
      </c>
      <c r="J946" t="n">
        <v>0</v>
      </c>
      <c r="K946" t="n">
        <v>0</v>
      </c>
      <c r="L946" t="n">
        <v>0</v>
      </c>
      <c r="M946" t="n">
        <v>0</v>
      </c>
      <c r="N946" t="n">
        <v>0</v>
      </c>
      <c r="O946" t="n">
        <v>0</v>
      </c>
      <c r="P946" t="n">
        <v>0</v>
      </c>
      <c r="Q946" t="n">
        <v>0</v>
      </c>
      <c r="R946" s="2" t="inlineStr"/>
    </row>
    <row r="947" ht="15" customHeight="1">
      <c r="A947" t="inlineStr">
        <is>
          <t>A 58406-2025</t>
        </is>
      </c>
      <c r="B947" s="1" t="n">
        <v>45985.56913194444</v>
      </c>
      <c r="C947" s="1" t="n">
        <v>46002</v>
      </c>
      <c r="D947" t="inlineStr">
        <is>
          <t>VÄSTERNORRLANDS LÄN</t>
        </is>
      </c>
      <c r="E947" t="inlineStr">
        <is>
          <t>ÅNGE</t>
        </is>
      </c>
      <c r="G947" t="n">
        <v>0.7</v>
      </c>
      <c r="H947" t="n">
        <v>0</v>
      </c>
      <c r="I947" t="n">
        <v>0</v>
      </c>
      <c r="J947" t="n">
        <v>0</v>
      </c>
      <c r="K947" t="n">
        <v>0</v>
      </c>
      <c r="L947" t="n">
        <v>0</v>
      </c>
      <c r="M947" t="n">
        <v>0</v>
      </c>
      <c r="N947" t="n">
        <v>0</v>
      </c>
      <c r="O947" t="n">
        <v>0</v>
      </c>
      <c r="P947" t="n">
        <v>0</v>
      </c>
      <c r="Q947" t="n">
        <v>0</v>
      </c>
      <c r="R947" s="2" t="inlineStr"/>
    </row>
    <row r="948" ht="15" customHeight="1">
      <c r="A948" t="inlineStr">
        <is>
          <t>A 58524-2025</t>
        </is>
      </c>
      <c r="B948" s="1" t="n">
        <v>45985.7190162037</v>
      </c>
      <c r="C948" s="1" t="n">
        <v>46002</v>
      </c>
      <c r="D948" t="inlineStr">
        <is>
          <t>VÄSTERNORRLANDS LÄN</t>
        </is>
      </c>
      <c r="E948" t="inlineStr">
        <is>
          <t>ÅNGE</t>
        </is>
      </c>
      <c r="G948" t="n">
        <v>2.2</v>
      </c>
      <c r="H948" t="n">
        <v>0</v>
      </c>
      <c r="I948" t="n">
        <v>0</v>
      </c>
      <c r="J948" t="n">
        <v>0</v>
      </c>
      <c r="K948" t="n">
        <v>0</v>
      </c>
      <c r="L948" t="n">
        <v>0</v>
      </c>
      <c r="M948" t="n">
        <v>0</v>
      </c>
      <c r="N948" t="n">
        <v>0</v>
      </c>
      <c r="O948" t="n">
        <v>0</v>
      </c>
      <c r="P948" t="n">
        <v>0</v>
      </c>
      <c r="Q948" t="n">
        <v>0</v>
      </c>
      <c r="R948" s="2" t="inlineStr"/>
    </row>
    <row r="949" ht="15" customHeight="1">
      <c r="A949" t="inlineStr">
        <is>
          <t>A 58536-2025</t>
        </is>
      </c>
      <c r="B949" s="1" t="n">
        <v>45985.83274305556</v>
      </c>
      <c r="C949" s="1" t="n">
        <v>46002</v>
      </c>
      <c r="D949" t="inlineStr">
        <is>
          <t>VÄSTERNORRLANDS LÄN</t>
        </is>
      </c>
      <c r="E949" t="inlineStr">
        <is>
          <t>ÅNGE</t>
        </is>
      </c>
      <c r="G949" t="n">
        <v>2</v>
      </c>
      <c r="H949" t="n">
        <v>0</v>
      </c>
      <c r="I949" t="n">
        <v>0</v>
      </c>
      <c r="J949" t="n">
        <v>0</v>
      </c>
      <c r="K949" t="n">
        <v>0</v>
      </c>
      <c r="L949" t="n">
        <v>0</v>
      </c>
      <c r="M949" t="n">
        <v>0</v>
      </c>
      <c r="N949" t="n">
        <v>0</v>
      </c>
      <c r="O949" t="n">
        <v>0</v>
      </c>
      <c r="P949" t="n">
        <v>0</v>
      </c>
      <c r="Q949" t="n">
        <v>0</v>
      </c>
      <c r="R949" s="2" t="inlineStr"/>
    </row>
    <row r="950" ht="15" customHeight="1">
      <c r="A950" t="inlineStr">
        <is>
          <t>A 50210-2025</t>
        </is>
      </c>
      <c r="B950" s="1" t="n">
        <v>45943.67379629629</v>
      </c>
      <c r="C950" s="1" t="n">
        <v>46002</v>
      </c>
      <c r="D950" t="inlineStr">
        <is>
          <t>VÄSTERNORRLANDS LÄN</t>
        </is>
      </c>
      <c r="E950" t="inlineStr">
        <is>
          <t>ÅNGE</t>
        </is>
      </c>
      <c r="G950" t="n">
        <v>2.5</v>
      </c>
      <c r="H950" t="n">
        <v>0</v>
      </c>
      <c r="I950" t="n">
        <v>0</v>
      </c>
      <c r="J950" t="n">
        <v>0</v>
      </c>
      <c r="K950" t="n">
        <v>0</v>
      </c>
      <c r="L950" t="n">
        <v>0</v>
      </c>
      <c r="M950" t="n">
        <v>0</v>
      </c>
      <c r="N950" t="n">
        <v>0</v>
      </c>
      <c r="O950" t="n">
        <v>0</v>
      </c>
      <c r="P950" t="n">
        <v>0</v>
      </c>
      <c r="Q950" t="n">
        <v>0</v>
      </c>
      <c r="R950" s="2" t="inlineStr"/>
    </row>
    <row r="951" ht="15" customHeight="1">
      <c r="A951" t="inlineStr">
        <is>
          <t>A 6487-2021</t>
        </is>
      </c>
      <c r="B951" s="1" t="n">
        <v>44235</v>
      </c>
      <c r="C951" s="1" t="n">
        <v>46002</v>
      </c>
      <c r="D951" t="inlineStr">
        <is>
          <t>VÄSTERNORRLANDS LÄN</t>
        </is>
      </c>
      <c r="E951" t="inlineStr">
        <is>
          <t>ÅNGE</t>
        </is>
      </c>
      <c r="G951" t="n">
        <v>2.1</v>
      </c>
      <c r="H951" t="n">
        <v>0</v>
      </c>
      <c r="I951" t="n">
        <v>0</v>
      </c>
      <c r="J951" t="n">
        <v>0</v>
      </c>
      <c r="K951" t="n">
        <v>0</v>
      </c>
      <c r="L951" t="n">
        <v>0</v>
      </c>
      <c r="M951" t="n">
        <v>0</v>
      </c>
      <c r="N951" t="n">
        <v>0</v>
      </c>
      <c r="O951" t="n">
        <v>0</v>
      </c>
      <c r="P951" t="n">
        <v>0</v>
      </c>
      <c r="Q951" t="n">
        <v>0</v>
      </c>
      <c r="R951" s="2" t="inlineStr"/>
    </row>
    <row r="952" ht="15" customHeight="1">
      <c r="A952" t="inlineStr">
        <is>
          <t>A 57950-2025</t>
        </is>
      </c>
      <c r="B952" s="1" t="n">
        <v>45982.34473379629</v>
      </c>
      <c r="C952" s="1" t="n">
        <v>46002</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57960-2025</t>
        </is>
      </c>
      <c r="B953" s="1" t="n">
        <v>45982.36494212963</v>
      </c>
      <c r="C953" s="1" t="n">
        <v>46002</v>
      </c>
      <c r="D953" t="inlineStr">
        <is>
          <t>VÄSTERNORRLANDS LÄN</t>
        </is>
      </c>
      <c r="E953" t="inlineStr">
        <is>
          <t>ÅNGE</t>
        </is>
      </c>
      <c r="F953" t="inlineStr">
        <is>
          <t>SCA</t>
        </is>
      </c>
      <c r="G953" t="n">
        <v>0.2</v>
      </c>
      <c r="H953" t="n">
        <v>0</v>
      </c>
      <c r="I953" t="n">
        <v>0</v>
      </c>
      <c r="J953" t="n">
        <v>0</v>
      </c>
      <c r="K953" t="n">
        <v>0</v>
      </c>
      <c r="L953" t="n">
        <v>0</v>
      </c>
      <c r="M953" t="n">
        <v>0</v>
      </c>
      <c r="N953" t="n">
        <v>0</v>
      </c>
      <c r="O953" t="n">
        <v>0</v>
      </c>
      <c r="P953" t="n">
        <v>0</v>
      </c>
      <c r="Q953" t="n">
        <v>0</v>
      </c>
      <c r="R953" s="2" t="inlineStr"/>
    </row>
    <row r="954" ht="15" customHeight="1">
      <c r="A954" t="inlineStr">
        <is>
          <t>A 54908-2021</t>
        </is>
      </c>
      <c r="B954" s="1" t="n">
        <v>44474.39769675926</v>
      </c>
      <c r="C954" s="1" t="n">
        <v>46002</v>
      </c>
      <c r="D954" t="inlineStr">
        <is>
          <t>VÄSTERNORRLANDS LÄN</t>
        </is>
      </c>
      <c r="E954" t="inlineStr">
        <is>
          <t>ÅNGE</t>
        </is>
      </c>
      <c r="G954" t="n">
        <v>7.8</v>
      </c>
      <c r="H954" t="n">
        <v>0</v>
      </c>
      <c r="I954" t="n">
        <v>0</v>
      </c>
      <c r="J954" t="n">
        <v>0</v>
      </c>
      <c r="K954" t="n">
        <v>0</v>
      </c>
      <c r="L954" t="n">
        <v>0</v>
      </c>
      <c r="M954" t="n">
        <v>0</v>
      </c>
      <c r="N954" t="n">
        <v>0</v>
      </c>
      <c r="O954" t="n">
        <v>0</v>
      </c>
      <c r="P954" t="n">
        <v>0</v>
      </c>
      <c r="Q954" t="n">
        <v>0</v>
      </c>
      <c r="R954" s="2" t="inlineStr"/>
    </row>
    <row r="955" ht="15" customHeight="1">
      <c r="A955" t="inlineStr">
        <is>
          <t>A 58048-2025</t>
        </is>
      </c>
      <c r="B955" s="1" t="n">
        <v>45982.5109837963</v>
      </c>
      <c r="C955" s="1" t="n">
        <v>46002</v>
      </c>
      <c r="D955" t="inlineStr">
        <is>
          <t>VÄSTERNORRLANDS LÄN</t>
        </is>
      </c>
      <c r="E955" t="inlineStr">
        <is>
          <t>ÅNGE</t>
        </is>
      </c>
      <c r="F955" t="inlineStr">
        <is>
          <t>SCA</t>
        </is>
      </c>
      <c r="G955" t="n">
        <v>6.5</v>
      </c>
      <c r="H955" t="n">
        <v>0</v>
      </c>
      <c r="I955" t="n">
        <v>0</v>
      </c>
      <c r="J955" t="n">
        <v>0</v>
      </c>
      <c r="K955" t="n">
        <v>0</v>
      </c>
      <c r="L955" t="n">
        <v>0</v>
      </c>
      <c r="M955" t="n">
        <v>0</v>
      </c>
      <c r="N955" t="n">
        <v>0</v>
      </c>
      <c r="O955" t="n">
        <v>0</v>
      </c>
      <c r="P955" t="n">
        <v>0</v>
      </c>
      <c r="Q955" t="n">
        <v>0</v>
      </c>
      <c r="R955" s="2" t="inlineStr"/>
    </row>
    <row r="956" ht="15" customHeight="1">
      <c r="A956" t="inlineStr">
        <is>
          <t>A 50001-2025</t>
        </is>
      </c>
      <c r="B956" s="1" t="n">
        <v>45943.34421296296</v>
      </c>
      <c r="C956" s="1" t="n">
        <v>46002</v>
      </c>
      <c r="D956" t="inlineStr">
        <is>
          <t>VÄSTERNORRLANDS LÄN</t>
        </is>
      </c>
      <c r="E956" t="inlineStr">
        <is>
          <t>ÅNGE</t>
        </is>
      </c>
      <c r="G956" t="n">
        <v>1.8</v>
      </c>
      <c r="H956" t="n">
        <v>0</v>
      </c>
      <c r="I956" t="n">
        <v>0</v>
      </c>
      <c r="J956" t="n">
        <v>0</v>
      </c>
      <c r="K956" t="n">
        <v>0</v>
      </c>
      <c r="L956" t="n">
        <v>0</v>
      </c>
      <c r="M956" t="n">
        <v>0</v>
      </c>
      <c r="N956" t="n">
        <v>0</v>
      </c>
      <c r="O956" t="n">
        <v>0</v>
      </c>
      <c r="P956" t="n">
        <v>0</v>
      </c>
      <c r="Q956" t="n">
        <v>0</v>
      </c>
      <c r="R956" s="2" t="inlineStr"/>
    </row>
    <row r="957" ht="15" customHeight="1">
      <c r="A957" t="inlineStr">
        <is>
          <t>A 50008-2025</t>
        </is>
      </c>
      <c r="B957" s="1" t="n">
        <v>45943.34515046296</v>
      </c>
      <c r="C957" s="1" t="n">
        <v>46002</v>
      </c>
      <c r="D957" t="inlineStr">
        <is>
          <t>VÄSTERNORRLANDS LÄN</t>
        </is>
      </c>
      <c r="E957" t="inlineStr">
        <is>
          <t>ÅNGE</t>
        </is>
      </c>
      <c r="G957" t="n">
        <v>13.9</v>
      </c>
      <c r="H957" t="n">
        <v>0</v>
      </c>
      <c r="I957" t="n">
        <v>0</v>
      </c>
      <c r="J957" t="n">
        <v>0</v>
      </c>
      <c r="K957" t="n">
        <v>0</v>
      </c>
      <c r="L957" t="n">
        <v>0</v>
      </c>
      <c r="M957" t="n">
        <v>0</v>
      </c>
      <c r="N957" t="n">
        <v>0</v>
      </c>
      <c r="O957" t="n">
        <v>0</v>
      </c>
      <c r="P957" t="n">
        <v>0</v>
      </c>
      <c r="Q957" t="n">
        <v>0</v>
      </c>
      <c r="R957" s="2" t="inlineStr"/>
    </row>
    <row r="958" ht="15" customHeight="1">
      <c r="A958" t="inlineStr">
        <is>
          <t>A 58486-2025</t>
        </is>
      </c>
      <c r="B958" s="1" t="n">
        <v>45985.65660879629</v>
      </c>
      <c r="C958" s="1" t="n">
        <v>46002</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45933-2023</t>
        </is>
      </c>
      <c r="B959" s="1" t="n">
        <v>45195</v>
      </c>
      <c r="C959" s="1" t="n">
        <v>46002</v>
      </c>
      <c r="D959" t="inlineStr">
        <is>
          <t>VÄSTERNORRLANDS LÄN</t>
        </is>
      </c>
      <c r="E959" t="inlineStr">
        <is>
          <t>ÅNGE</t>
        </is>
      </c>
      <c r="F959" t="inlineStr">
        <is>
          <t>SCA</t>
        </is>
      </c>
      <c r="G959" t="n">
        <v>0.4</v>
      </c>
      <c r="H959" t="n">
        <v>0</v>
      </c>
      <c r="I959" t="n">
        <v>0</v>
      </c>
      <c r="J959" t="n">
        <v>0</v>
      </c>
      <c r="K959" t="n">
        <v>0</v>
      </c>
      <c r="L959" t="n">
        <v>0</v>
      </c>
      <c r="M959" t="n">
        <v>0</v>
      </c>
      <c r="N959" t="n">
        <v>0</v>
      </c>
      <c r="O959" t="n">
        <v>0</v>
      </c>
      <c r="P959" t="n">
        <v>0</v>
      </c>
      <c r="Q959" t="n">
        <v>0</v>
      </c>
      <c r="R959" s="2" t="inlineStr"/>
    </row>
    <row r="960" ht="15" customHeight="1">
      <c r="A960" t="inlineStr">
        <is>
          <t>A 58270-2025</t>
        </is>
      </c>
      <c r="B960" s="1" t="n">
        <v>45985.42633101852</v>
      </c>
      <c r="C960" s="1" t="n">
        <v>46002</v>
      </c>
      <c r="D960" t="inlineStr">
        <is>
          <t>VÄSTERNORRLANDS LÄN</t>
        </is>
      </c>
      <c r="E960" t="inlineStr">
        <is>
          <t>ÅNGE</t>
        </is>
      </c>
      <c r="G960" t="n">
        <v>5.1</v>
      </c>
      <c r="H960" t="n">
        <v>0</v>
      </c>
      <c r="I960" t="n">
        <v>0</v>
      </c>
      <c r="J960" t="n">
        <v>0</v>
      </c>
      <c r="K960" t="n">
        <v>0</v>
      </c>
      <c r="L960" t="n">
        <v>0</v>
      </c>
      <c r="M960" t="n">
        <v>0</v>
      </c>
      <c r="N960" t="n">
        <v>0</v>
      </c>
      <c r="O960" t="n">
        <v>0</v>
      </c>
      <c r="P960" t="n">
        <v>0</v>
      </c>
      <c r="Q960" t="n">
        <v>0</v>
      </c>
      <c r="R960" s="2" t="inlineStr"/>
    </row>
    <row r="961" ht="15" customHeight="1">
      <c r="A961" t="inlineStr">
        <is>
          <t>A 57961-2025</t>
        </is>
      </c>
      <c r="B961" s="1" t="n">
        <v>45982.36502314815</v>
      </c>
      <c r="C961" s="1" t="n">
        <v>46002</v>
      </c>
      <c r="D961" t="inlineStr">
        <is>
          <t>VÄSTERNORRLANDS LÄN</t>
        </is>
      </c>
      <c r="E961" t="inlineStr">
        <is>
          <t>ÅNGE</t>
        </is>
      </c>
      <c r="G961" t="n">
        <v>1.9</v>
      </c>
      <c r="H961" t="n">
        <v>0</v>
      </c>
      <c r="I961" t="n">
        <v>0</v>
      </c>
      <c r="J961" t="n">
        <v>0</v>
      </c>
      <c r="K961" t="n">
        <v>0</v>
      </c>
      <c r="L961" t="n">
        <v>0</v>
      </c>
      <c r="M961" t="n">
        <v>0</v>
      </c>
      <c r="N961" t="n">
        <v>0</v>
      </c>
      <c r="O961" t="n">
        <v>0</v>
      </c>
      <c r="P961" t="n">
        <v>0</v>
      </c>
      <c r="Q961" t="n">
        <v>0</v>
      </c>
      <c r="R961" s="2" t="inlineStr"/>
    </row>
    <row r="962" ht="15" customHeight="1">
      <c r="A962" t="inlineStr">
        <is>
          <t>A 58388-2025</t>
        </is>
      </c>
      <c r="B962" s="1" t="n">
        <v>45985.54685185185</v>
      </c>
      <c r="C962" s="1" t="n">
        <v>46002</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58242-2025</t>
        </is>
      </c>
      <c r="B963" s="1" t="n">
        <v>45985.38802083334</v>
      </c>
      <c r="C963" s="1" t="n">
        <v>46002</v>
      </c>
      <c r="D963" t="inlineStr">
        <is>
          <t>VÄSTERNORRLANDS LÄN</t>
        </is>
      </c>
      <c r="E963" t="inlineStr">
        <is>
          <t>ÅNGE</t>
        </is>
      </c>
      <c r="G963" t="n">
        <v>2.1</v>
      </c>
      <c r="H963" t="n">
        <v>0</v>
      </c>
      <c r="I963" t="n">
        <v>0</v>
      </c>
      <c r="J963" t="n">
        <v>0</v>
      </c>
      <c r="K963" t="n">
        <v>0</v>
      </c>
      <c r="L963" t="n">
        <v>0</v>
      </c>
      <c r="M963" t="n">
        <v>0</v>
      </c>
      <c r="N963" t="n">
        <v>0</v>
      </c>
      <c r="O963" t="n">
        <v>0</v>
      </c>
      <c r="P963" t="n">
        <v>0</v>
      </c>
      <c r="Q963" t="n">
        <v>0</v>
      </c>
      <c r="R963" s="2" t="inlineStr"/>
    </row>
    <row r="964" ht="15" customHeight="1">
      <c r="A964" t="inlineStr">
        <is>
          <t>A 46015-2024</t>
        </is>
      </c>
      <c r="B964" s="1" t="n">
        <v>45580.67760416667</v>
      </c>
      <c r="C964" s="1" t="n">
        <v>46002</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58588-2025</t>
        </is>
      </c>
      <c r="B965" s="1" t="n">
        <v>45986.4065625</v>
      </c>
      <c r="C965" s="1" t="n">
        <v>46002</v>
      </c>
      <c r="D965" t="inlineStr">
        <is>
          <t>VÄSTERNORRLANDS LÄN</t>
        </is>
      </c>
      <c r="E965" t="inlineStr">
        <is>
          <t>ÅNGE</t>
        </is>
      </c>
      <c r="G965" t="n">
        <v>1.8</v>
      </c>
      <c r="H965" t="n">
        <v>0</v>
      </c>
      <c r="I965" t="n">
        <v>0</v>
      </c>
      <c r="J965" t="n">
        <v>0</v>
      </c>
      <c r="K965" t="n">
        <v>0</v>
      </c>
      <c r="L965" t="n">
        <v>0</v>
      </c>
      <c r="M965" t="n">
        <v>0</v>
      </c>
      <c r="N965" t="n">
        <v>0</v>
      </c>
      <c r="O965" t="n">
        <v>0</v>
      </c>
      <c r="P965" t="n">
        <v>0</v>
      </c>
      <c r="Q965" t="n">
        <v>0</v>
      </c>
      <c r="R965" s="2" t="inlineStr"/>
    </row>
    <row r="966" ht="15" customHeight="1">
      <c r="A966" t="inlineStr">
        <is>
          <t>A 44636-2024</t>
        </is>
      </c>
      <c r="B966" s="1" t="n">
        <v>45574.51491898148</v>
      </c>
      <c r="C966" s="1" t="n">
        <v>46002</v>
      </c>
      <c r="D966" t="inlineStr">
        <is>
          <t>VÄSTERNORRLANDS LÄN</t>
        </is>
      </c>
      <c r="E966" t="inlineStr">
        <is>
          <t>ÅNGE</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44979-2023</t>
        </is>
      </c>
      <c r="B967" s="1" t="n">
        <v>45190.95752314815</v>
      </c>
      <c r="C967" s="1" t="n">
        <v>46002</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50291-2025</t>
        </is>
      </c>
      <c r="B968" s="1" t="n">
        <v>45944.40677083333</v>
      </c>
      <c r="C968" s="1" t="n">
        <v>46002</v>
      </c>
      <c r="D968" t="inlineStr">
        <is>
          <t>VÄSTERNORRLANDS LÄN</t>
        </is>
      </c>
      <c r="E968" t="inlineStr">
        <is>
          <t>ÅNGE</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58750-2025</t>
        </is>
      </c>
      <c r="B969" s="1" t="n">
        <v>45986.64064814815</v>
      </c>
      <c r="C969" s="1" t="n">
        <v>46002</v>
      </c>
      <c r="D969" t="inlineStr">
        <is>
          <t>VÄSTERNORRLANDS LÄN</t>
        </is>
      </c>
      <c r="E969" t="inlineStr">
        <is>
          <t>ÅNGE</t>
        </is>
      </c>
      <c r="G969" t="n">
        <v>2</v>
      </c>
      <c r="H969" t="n">
        <v>0</v>
      </c>
      <c r="I969" t="n">
        <v>0</v>
      </c>
      <c r="J969" t="n">
        <v>0</v>
      </c>
      <c r="K969" t="n">
        <v>0</v>
      </c>
      <c r="L969" t="n">
        <v>0</v>
      </c>
      <c r="M969" t="n">
        <v>0</v>
      </c>
      <c r="N969" t="n">
        <v>0</v>
      </c>
      <c r="O969" t="n">
        <v>0</v>
      </c>
      <c r="P969" t="n">
        <v>0</v>
      </c>
      <c r="Q969" t="n">
        <v>0</v>
      </c>
      <c r="R969" s="2" t="inlineStr"/>
    </row>
    <row r="970" ht="15" customHeight="1">
      <c r="A970" t="inlineStr">
        <is>
          <t>A 1582-2025</t>
        </is>
      </c>
      <c r="B970" s="1" t="n">
        <v>45670</v>
      </c>
      <c r="C970" s="1" t="n">
        <v>46002</v>
      </c>
      <c r="D970" t="inlineStr">
        <is>
          <t>VÄSTERNORRLANDS LÄN</t>
        </is>
      </c>
      <c r="E970" t="inlineStr">
        <is>
          <t>ÅNGE</t>
        </is>
      </c>
      <c r="G970" t="n">
        <v>7.3</v>
      </c>
      <c r="H970" t="n">
        <v>0</v>
      </c>
      <c r="I970" t="n">
        <v>0</v>
      </c>
      <c r="J970" t="n">
        <v>0</v>
      </c>
      <c r="K970" t="n">
        <v>0</v>
      </c>
      <c r="L970" t="n">
        <v>0</v>
      </c>
      <c r="M970" t="n">
        <v>0</v>
      </c>
      <c r="N970" t="n">
        <v>0</v>
      </c>
      <c r="O970" t="n">
        <v>0</v>
      </c>
      <c r="P970" t="n">
        <v>0</v>
      </c>
      <c r="Q970" t="n">
        <v>0</v>
      </c>
      <c r="R970" s="2" t="inlineStr"/>
      <c r="U970">
        <f>HYPERLINK("https://klasma.github.io/Logging_2260/knärot/A 1582-2025 karta knärot.png", "A 1582-2025")</f>
        <v/>
      </c>
      <c r="V970">
        <f>HYPERLINK("https://klasma.github.io/Logging_2260/klagomål/A 1582-2025 FSC-klagomål.docx", "A 1582-2025")</f>
        <v/>
      </c>
      <c r="W970">
        <f>HYPERLINK("https://klasma.github.io/Logging_2260/klagomålsmail/A 1582-2025 FSC-klagomål mail.docx", "A 1582-2025")</f>
        <v/>
      </c>
      <c r="X970">
        <f>HYPERLINK("https://klasma.github.io/Logging_2260/tillsyn/A 1582-2025 tillsynsbegäran.docx", "A 1582-2025")</f>
        <v/>
      </c>
      <c r="Y970">
        <f>HYPERLINK("https://klasma.github.io/Logging_2260/tillsynsmail/A 1582-2025 tillsynsbegäran mail.docx", "A 1582-2025")</f>
        <v/>
      </c>
    </row>
    <row r="971" ht="15" customHeight="1">
      <c r="A971" t="inlineStr">
        <is>
          <t>A 58585-2025</t>
        </is>
      </c>
      <c r="B971" s="1" t="n">
        <v>45986.39733796296</v>
      </c>
      <c r="C971" s="1" t="n">
        <v>46002</v>
      </c>
      <c r="D971" t="inlineStr">
        <is>
          <t>VÄSTERNORRLANDS LÄN</t>
        </is>
      </c>
      <c r="E971" t="inlineStr">
        <is>
          <t>ÅNGE</t>
        </is>
      </c>
      <c r="G971" t="n">
        <v>3.1</v>
      </c>
      <c r="H971" t="n">
        <v>0</v>
      </c>
      <c r="I971" t="n">
        <v>0</v>
      </c>
      <c r="J971" t="n">
        <v>0</v>
      </c>
      <c r="K971" t="n">
        <v>0</v>
      </c>
      <c r="L971" t="n">
        <v>0</v>
      </c>
      <c r="M971" t="n">
        <v>0</v>
      </c>
      <c r="N971" t="n">
        <v>0</v>
      </c>
      <c r="O971" t="n">
        <v>0</v>
      </c>
      <c r="P971" t="n">
        <v>0</v>
      </c>
      <c r="Q971" t="n">
        <v>0</v>
      </c>
      <c r="R971" s="2" t="inlineStr"/>
    </row>
    <row r="972" ht="15" customHeight="1">
      <c r="A972" t="inlineStr">
        <is>
          <t>A 25377-2024</t>
        </is>
      </c>
      <c r="B972" s="1" t="n">
        <v>45462.96211805556</v>
      </c>
      <c r="C972" s="1" t="n">
        <v>46002</v>
      </c>
      <c r="D972" t="inlineStr">
        <is>
          <t>VÄSTERNORRLANDS LÄN</t>
        </is>
      </c>
      <c r="E972" t="inlineStr">
        <is>
          <t>ÅNGE</t>
        </is>
      </c>
      <c r="F972" t="inlineStr">
        <is>
          <t>SCA</t>
        </is>
      </c>
      <c r="G972" t="n">
        <v>20.7</v>
      </c>
      <c r="H972" t="n">
        <v>0</v>
      </c>
      <c r="I972" t="n">
        <v>0</v>
      </c>
      <c r="J972" t="n">
        <v>0</v>
      </c>
      <c r="K972" t="n">
        <v>0</v>
      </c>
      <c r="L972" t="n">
        <v>0</v>
      </c>
      <c r="M972" t="n">
        <v>0</v>
      </c>
      <c r="N972" t="n">
        <v>0</v>
      </c>
      <c r="O972" t="n">
        <v>0</v>
      </c>
      <c r="P972" t="n">
        <v>0</v>
      </c>
      <c r="Q972" t="n">
        <v>0</v>
      </c>
      <c r="R972" s="2" t="inlineStr"/>
    </row>
    <row r="973" ht="15" customHeight="1">
      <c r="A973" t="inlineStr">
        <is>
          <t>A 58890-2025</t>
        </is>
      </c>
      <c r="B973" s="1" t="n">
        <v>45987.49006944444</v>
      </c>
      <c r="C973" s="1" t="n">
        <v>46002</v>
      </c>
      <c r="D973" t="inlineStr">
        <is>
          <t>VÄSTERNORRLANDS LÄN</t>
        </is>
      </c>
      <c r="E973" t="inlineStr">
        <is>
          <t>ÅNGE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50460-2025</t>
        </is>
      </c>
      <c r="B974" s="1" t="n">
        <v>45945.345</v>
      </c>
      <c r="C974" s="1" t="n">
        <v>46002</v>
      </c>
      <c r="D974" t="inlineStr">
        <is>
          <t>VÄSTERNORRLANDS LÄN</t>
        </is>
      </c>
      <c r="E974" t="inlineStr">
        <is>
          <t>ÅNGE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50571-2025</t>
        </is>
      </c>
      <c r="B975" s="1" t="n">
        <v>45945.57443287037</v>
      </c>
      <c r="C975" s="1" t="n">
        <v>46002</v>
      </c>
      <c r="D975" t="inlineStr">
        <is>
          <t>VÄSTERNORRLANDS LÄN</t>
        </is>
      </c>
      <c r="E975" t="inlineStr">
        <is>
          <t>ÅNGE</t>
        </is>
      </c>
      <c r="G975" t="n">
        <v>2.5</v>
      </c>
      <c r="H975" t="n">
        <v>0</v>
      </c>
      <c r="I975" t="n">
        <v>0</v>
      </c>
      <c r="J975" t="n">
        <v>0</v>
      </c>
      <c r="K975" t="n">
        <v>0</v>
      </c>
      <c r="L975" t="n">
        <v>0</v>
      </c>
      <c r="M975" t="n">
        <v>0</v>
      </c>
      <c r="N975" t="n">
        <v>0</v>
      </c>
      <c r="O975" t="n">
        <v>0</v>
      </c>
      <c r="P975" t="n">
        <v>0</v>
      </c>
      <c r="Q975" t="n">
        <v>0</v>
      </c>
      <c r="R975" s="2" t="inlineStr"/>
    </row>
    <row r="976" ht="15" customHeight="1">
      <c r="A976" t="inlineStr">
        <is>
          <t>A 39975-2023</t>
        </is>
      </c>
      <c r="B976" s="1" t="n">
        <v>45168.58844907407</v>
      </c>
      <c r="C976" s="1" t="n">
        <v>46002</v>
      </c>
      <c r="D976" t="inlineStr">
        <is>
          <t>VÄSTERNORRLANDS LÄN</t>
        </is>
      </c>
      <c r="E976" t="inlineStr">
        <is>
          <t>ÅNGE</t>
        </is>
      </c>
      <c r="G976" t="n">
        <v>2.2</v>
      </c>
      <c r="H976" t="n">
        <v>0</v>
      </c>
      <c r="I976" t="n">
        <v>0</v>
      </c>
      <c r="J976" t="n">
        <v>0</v>
      </c>
      <c r="K976" t="n">
        <v>0</v>
      </c>
      <c r="L976" t="n">
        <v>0</v>
      </c>
      <c r="M976" t="n">
        <v>0</v>
      </c>
      <c r="N976" t="n">
        <v>0</v>
      </c>
      <c r="O976" t="n">
        <v>0</v>
      </c>
      <c r="P976" t="n">
        <v>0</v>
      </c>
      <c r="Q976" t="n">
        <v>0</v>
      </c>
      <c r="R976" s="2" t="inlineStr"/>
    </row>
    <row r="977" ht="15" customHeight="1">
      <c r="A977" t="inlineStr">
        <is>
          <t>A 58823-2025</t>
        </is>
      </c>
      <c r="B977" s="1" t="n">
        <v>45987.3453125</v>
      </c>
      <c r="C977" s="1" t="n">
        <v>46002</v>
      </c>
      <c r="D977" t="inlineStr">
        <is>
          <t>VÄSTERNORRLANDS LÄN</t>
        </is>
      </c>
      <c r="E977" t="inlineStr">
        <is>
          <t>ÅNGE</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58892-2025</t>
        </is>
      </c>
      <c r="B978" s="1" t="n">
        <v>45987.49056712963</v>
      </c>
      <c r="C978" s="1" t="n">
        <v>46002</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58906-2025</t>
        </is>
      </c>
      <c r="B979" s="1" t="n">
        <v>45987.51087962963</v>
      </c>
      <c r="C979" s="1" t="n">
        <v>46002</v>
      </c>
      <c r="D979" t="inlineStr">
        <is>
          <t>VÄSTERNORRLANDS LÄN</t>
        </is>
      </c>
      <c r="E979" t="inlineStr">
        <is>
          <t>ÅNGE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58907-2025</t>
        </is>
      </c>
      <c r="B980" s="1" t="n">
        <v>45987.51108796296</v>
      </c>
      <c r="C980" s="1" t="n">
        <v>46002</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53999-2025</t>
        </is>
      </c>
      <c r="B981" s="1" t="n">
        <v>45961</v>
      </c>
      <c r="C981" s="1" t="n">
        <v>46002</v>
      </c>
      <c r="D981" t="inlineStr">
        <is>
          <t>VÄSTERNORRLANDS LÄN</t>
        </is>
      </c>
      <c r="E981" t="inlineStr">
        <is>
          <t>ÅNGE</t>
        </is>
      </c>
      <c r="F981" t="inlineStr">
        <is>
          <t>SCA</t>
        </is>
      </c>
      <c r="G981" t="n">
        <v>6.7</v>
      </c>
      <c r="H981" t="n">
        <v>0</v>
      </c>
      <c r="I981" t="n">
        <v>0</v>
      </c>
      <c r="J981" t="n">
        <v>0</v>
      </c>
      <c r="K981" t="n">
        <v>0</v>
      </c>
      <c r="L981" t="n">
        <v>0</v>
      </c>
      <c r="M981" t="n">
        <v>0</v>
      </c>
      <c r="N981" t="n">
        <v>0</v>
      </c>
      <c r="O981" t="n">
        <v>0</v>
      </c>
      <c r="P981" t="n">
        <v>0</v>
      </c>
      <c r="Q981" t="n">
        <v>0</v>
      </c>
      <c r="R981" s="2" t="inlineStr"/>
    </row>
    <row r="982" ht="15" customHeight="1">
      <c r="A982" t="inlineStr">
        <is>
          <t>A 53970-2021</t>
        </is>
      </c>
      <c r="B982" s="1" t="n">
        <v>44469</v>
      </c>
      <c r="C982" s="1" t="n">
        <v>46002</v>
      </c>
      <c r="D982" t="inlineStr">
        <is>
          <t>VÄSTERNORRLANDS LÄN</t>
        </is>
      </c>
      <c r="E982" t="inlineStr">
        <is>
          <t>ÅNGE</t>
        </is>
      </c>
      <c r="G982" t="n">
        <v>3.4</v>
      </c>
      <c r="H982" t="n">
        <v>0</v>
      </c>
      <c r="I982" t="n">
        <v>0</v>
      </c>
      <c r="J982" t="n">
        <v>0</v>
      </c>
      <c r="K982" t="n">
        <v>0</v>
      </c>
      <c r="L982" t="n">
        <v>0</v>
      </c>
      <c r="M982" t="n">
        <v>0</v>
      </c>
      <c r="N982" t="n">
        <v>0</v>
      </c>
      <c r="O982" t="n">
        <v>0</v>
      </c>
      <c r="P982" t="n">
        <v>0</v>
      </c>
      <c r="Q982" t="n">
        <v>0</v>
      </c>
      <c r="R982" s="2" t="inlineStr"/>
    </row>
    <row r="983" ht="15" customHeight="1">
      <c r="A983" t="inlineStr">
        <is>
          <t>A 58639-2025</t>
        </is>
      </c>
      <c r="B983" s="1" t="n">
        <v>45986.49042824074</v>
      </c>
      <c r="C983" s="1" t="n">
        <v>46002</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58599-2025</t>
        </is>
      </c>
      <c r="B984" s="1" t="n">
        <v>45986.42644675926</v>
      </c>
      <c r="C984" s="1" t="n">
        <v>46002</v>
      </c>
      <c r="D984" t="inlineStr">
        <is>
          <t>VÄSTERNORRLANDS LÄN</t>
        </is>
      </c>
      <c r="E984" t="inlineStr">
        <is>
          <t>ÅNGE</t>
        </is>
      </c>
      <c r="G984" t="n">
        <v>2</v>
      </c>
      <c r="H984" t="n">
        <v>0</v>
      </c>
      <c r="I984" t="n">
        <v>0</v>
      </c>
      <c r="J984" t="n">
        <v>0</v>
      </c>
      <c r="K984" t="n">
        <v>0</v>
      </c>
      <c r="L984" t="n">
        <v>0</v>
      </c>
      <c r="M984" t="n">
        <v>0</v>
      </c>
      <c r="N984" t="n">
        <v>0</v>
      </c>
      <c r="O984" t="n">
        <v>0</v>
      </c>
      <c r="P984" t="n">
        <v>0</v>
      </c>
      <c r="Q984" t="n">
        <v>0</v>
      </c>
      <c r="R984" s="2" t="inlineStr"/>
    </row>
    <row r="985" ht="15" customHeight="1">
      <c r="A985" t="inlineStr">
        <is>
          <t>A 13491-2023</t>
        </is>
      </c>
      <c r="B985" s="1" t="n">
        <v>45005.93929398148</v>
      </c>
      <c r="C985" s="1" t="n">
        <v>46002</v>
      </c>
      <c r="D985" t="inlineStr">
        <is>
          <t>VÄSTERNORRLANDS LÄN</t>
        </is>
      </c>
      <c r="E985" t="inlineStr">
        <is>
          <t>ÅNGE</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33062-2022</t>
        </is>
      </c>
      <c r="B986" s="1" t="n">
        <v>44785</v>
      </c>
      <c r="C986" s="1" t="n">
        <v>46002</v>
      </c>
      <c r="D986" t="inlineStr">
        <is>
          <t>VÄSTERNORRLANDS LÄN</t>
        </is>
      </c>
      <c r="E986" t="inlineStr">
        <is>
          <t>ÅNGE</t>
        </is>
      </c>
      <c r="G986" t="n">
        <v>0.5</v>
      </c>
      <c r="H986" t="n">
        <v>0</v>
      </c>
      <c r="I986" t="n">
        <v>0</v>
      </c>
      <c r="J986" t="n">
        <v>0</v>
      </c>
      <c r="K986" t="n">
        <v>0</v>
      </c>
      <c r="L986" t="n">
        <v>0</v>
      </c>
      <c r="M986" t="n">
        <v>0</v>
      </c>
      <c r="N986" t="n">
        <v>0</v>
      </c>
      <c r="O986" t="n">
        <v>0</v>
      </c>
      <c r="P986" t="n">
        <v>0</v>
      </c>
      <c r="Q986" t="n">
        <v>0</v>
      </c>
      <c r="R986" s="2" t="inlineStr"/>
    </row>
    <row r="987" ht="15" customHeight="1">
      <c r="A987" t="inlineStr">
        <is>
          <t>A 30347-2024</t>
        </is>
      </c>
      <c r="B987" s="1" t="n">
        <v>45490.95515046296</v>
      </c>
      <c r="C987" s="1" t="n">
        <v>46002</v>
      </c>
      <c r="D987" t="inlineStr">
        <is>
          <t>VÄSTERNORRLANDS LÄN</t>
        </is>
      </c>
      <c r="E987" t="inlineStr">
        <is>
          <t>ÅNGE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45128-2022</t>
        </is>
      </c>
      <c r="B988" s="1" t="n">
        <v>44844.3146412037</v>
      </c>
      <c r="C988" s="1" t="n">
        <v>46002</v>
      </c>
      <c r="D988" t="inlineStr">
        <is>
          <t>VÄSTERNORRLANDS LÄN</t>
        </is>
      </c>
      <c r="E988" t="inlineStr">
        <is>
          <t>ÅNGE</t>
        </is>
      </c>
      <c r="G988" t="n">
        <v>4.1</v>
      </c>
      <c r="H988" t="n">
        <v>0</v>
      </c>
      <c r="I988" t="n">
        <v>0</v>
      </c>
      <c r="J988" t="n">
        <v>0</v>
      </c>
      <c r="K988" t="n">
        <v>0</v>
      </c>
      <c r="L988" t="n">
        <v>0</v>
      </c>
      <c r="M988" t="n">
        <v>0</v>
      </c>
      <c r="N988" t="n">
        <v>0</v>
      </c>
      <c r="O988" t="n">
        <v>0</v>
      </c>
      <c r="P988" t="n">
        <v>0</v>
      </c>
      <c r="Q988" t="n">
        <v>0</v>
      </c>
      <c r="R988" s="2" t="inlineStr"/>
    </row>
    <row r="989" ht="15" customHeight="1">
      <c r="A989" t="inlineStr">
        <is>
          <t>A 42040-2024</t>
        </is>
      </c>
      <c r="B989" s="1" t="n">
        <v>45561.80983796297</v>
      </c>
      <c r="C989" s="1" t="n">
        <v>46002</v>
      </c>
      <c r="D989" t="inlineStr">
        <is>
          <t>VÄSTERNORRLANDS LÄN</t>
        </is>
      </c>
      <c r="E989" t="inlineStr">
        <is>
          <t>ÅNGE</t>
        </is>
      </c>
      <c r="G989" t="n">
        <v>0.6</v>
      </c>
      <c r="H989" t="n">
        <v>0</v>
      </c>
      <c r="I989" t="n">
        <v>0</v>
      </c>
      <c r="J989" t="n">
        <v>0</v>
      </c>
      <c r="K989" t="n">
        <v>0</v>
      </c>
      <c r="L989" t="n">
        <v>0</v>
      </c>
      <c r="M989" t="n">
        <v>0</v>
      </c>
      <c r="N989" t="n">
        <v>0</v>
      </c>
      <c r="O989" t="n">
        <v>0</v>
      </c>
      <c r="P989" t="n">
        <v>0</v>
      </c>
      <c r="Q989" t="n">
        <v>0</v>
      </c>
      <c r="R989" s="2" t="inlineStr"/>
    </row>
    <row r="990" ht="15" customHeight="1">
      <c r="A990" t="inlineStr">
        <is>
          <t>A 50767-2025</t>
        </is>
      </c>
      <c r="B990" s="1" t="n">
        <v>45946</v>
      </c>
      <c r="C990" s="1" t="n">
        <v>46002</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50769-2025</t>
        </is>
      </c>
      <c r="B991" s="1" t="n">
        <v>45946.44864583333</v>
      </c>
      <c r="C991" s="1" t="n">
        <v>46002</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5433-2024</t>
        </is>
      </c>
      <c r="B992" s="1" t="n">
        <v>45331</v>
      </c>
      <c r="C992" s="1" t="n">
        <v>46002</v>
      </c>
      <c r="D992" t="inlineStr">
        <is>
          <t>VÄSTERNORRLANDS LÄN</t>
        </is>
      </c>
      <c r="E992" t="inlineStr">
        <is>
          <t>ÅNGE</t>
        </is>
      </c>
      <c r="G992" t="n">
        <v>2.1</v>
      </c>
      <c r="H992" t="n">
        <v>0</v>
      </c>
      <c r="I992" t="n">
        <v>0</v>
      </c>
      <c r="J992" t="n">
        <v>0</v>
      </c>
      <c r="K992" t="n">
        <v>0</v>
      </c>
      <c r="L992" t="n">
        <v>0</v>
      </c>
      <c r="M992" t="n">
        <v>0</v>
      </c>
      <c r="N992" t="n">
        <v>0</v>
      </c>
      <c r="O992" t="n">
        <v>0</v>
      </c>
      <c r="P992" t="n">
        <v>0</v>
      </c>
      <c r="Q992" t="n">
        <v>0</v>
      </c>
      <c r="R992" s="2" t="inlineStr"/>
    </row>
    <row r="993" ht="15" customHeight="1">
      <c r="A993" t="inlineStr">
        <is>
          <t>A 5456-2024</t>
        </is>
      </c>
      <c r="B993" s="1" t="n">
        <v>45331</v>
      </c>
      <c r="C993" s="1" t="n">
        <v>46002</v>
      </c>
      <c r="D993" t="inlineStr">
        <is>
          <t>VÄSTERNORRLANDS LÄN</t>
        </is>
      </c>
      <c r="E993" t="inlineStr">
        <is>
          <t>ÅNGE</t>
        </is>
      </c>
      <c r="G993" t="n">
        <v>13</v>
      </c>
      <c r="H993" t="n">
        <v>0</v>
      </c>
      <c r="I993" t="n">
        <v>0</v>
      </c>
      <c r="J993" t="n">
        <v>0</v>
      </c>
      <c r="K993" t="n">
        <v>0</v>
      </c>
      <c r="L993" t="n">
        <v>0</v>
      </c>
      <c r="M993" t="n">
        <v>0</v>
      </c>
      <c r="N993" t="n">
        <v>0</v>
      </c>
      <c r="O993" t="n">
        <v>0</v>
      </c>
      <c r="P993" t="n">
        <v>0</v>
      </c>
      <c r="Q993" t="n">
        <v>0</v>
      </c>
      <c r="R993" s="2" t="inlineStr"/>
    </row>
    <row r="994" ht="15" customHeight="1">
      <c r="A994" t="inlineStr">
        <is>
          <t>A 3357-2024</t>
        </is>
      </c>
      <c r="B994" s="1" t="n">
        <v>45317</v>
      </c>
      <c r="C994" s="1" t="n">
        <v>46002</v>
      </c>
      <c r="D994" t="inlineStr">
        <is>
          <t>VÄSTERNORRLANDS LÄN</t>
        </is>
      </c>
      <c r="E994" t="inlineStr">
        <is>
          <t>ÅNGE</t>
        </is>
      </c>
      <c r="G994" t="n">
        <v>8</v>
      </c>
      <c r="H994" t="n">
        <v>0</v>
      </c>
      <c r="I994" t="n">
        <v>0</v>
      </c>
      <c r="J994" t="n">
        <v>0</v>
      </c>
      <c r="K994" t="n">
        <v>0</v>
      </c>
      <c r="L994" t="n">
        <v>0</v>
      </c>
      <c r="M994" t="n">
        <v>0</v>
      </c>
      <c r="N994" t="n">
        <v>0</v>
      </c>
      <c r="O994" t="n">
        <v>0</v>
      </c>
      <c r="P994" t="n">
        <v>0</v>
      </c>
      <c r="Q994" t="n">
        <v>0</v>
      </c>
      <c r="R994" s="2" t="inlineStr"/>
    </row>
    <row r="995" ht="15" customHeight="1">
      <c r="A995" t="inlineStr">
        <is>
          <t>A 59065-2025</t>
        </is>
      </c>
      <c r="B995" s="1" t="n">
        <v>45988.40780092592</v>
      </c>
      <c r="C995" s="1" t="n">
        <v>46002</v>
      </c>
      <c r="D995" t="inlineStr">
        <is>
          <t>VÄSTERNORRLANDS LÄN</t>
        </is>
      </c>
      <c r="E995" t="inlineStr">
        <is>
          <t>ÅNGE</t>
        </is>
      </c>
      <c r="F995" t="inlineStr">
        <is>
          <t>SCA</t>
        </is>
      </c>
      <c r="G995" t="n">
        <v>5.7</v>
      </c>
      <c r="H995" t="n">
        <v>0</v>
      </c>
      <c r="I995" t="n">
        <v>0</v>
      </c>
      <c r="J995" t="n">
        <v>0</v>
      </c>
      <c r="K995" t="n">
        <v>0</v>
      </c>
      <c r="L995" t="n">
        <v>0</v>
      </c>
      <c r="M995" t="n">
        <v>0</v>
      </c>
      <c r="N995" t="n">
        <v>0</v>
      </c>
      <c r="O995" t="n">
        <v>0</v>
      </c>
      <c r="P995" t="n">
        <v>0</v>
      </c>
      <c r="Q995" t="n">
        <v>0</v>
      </c>
      <c r="R995" s="2" t="inlineStr"/>
    </row>
    <row r="996" ht="15" customHeight="1">
      <c r="A996" t="inlineStr">
        <is>
          <t>A 4095-2023</t>
        </is>
      </c>
      <c r="B996" s="1" t="n">
        <v>44952</v>
      </c>
      <c r="C996" s="1" t="n">
        <v>46002</v>
      </c>
      <c r="D996" t="inlineStr">
        <is>
          <t>VÄSTERNORRLANDS LÄN</t>
        </is>
      </c>
      <c r="E996" t="inlineStr">
        <is>
          <t>ÅNGE</t>
        </is>
      </c>
      <c r="G996" t="n">
        <v>13.4</v>
      </c>
      <c r="H996" t="n">
        <v>0</v>
      </c>
      <c r="I996" t="n">
        <v>0</v>
      </c>
      <c r="J996" t="n">
        <v>0</v>
      </c>
      <c r="K996" t="n">
        <v>0</v>
      </c>
      <c r="L996" t="n">
        <v>0</v>
      </c>
      <c r="M996" t="n">
        <v>0</v>
      </c>
      <c r="N996" t="n">
        <v>0</v>
      </c>
      <c r="O996" t="n">
        <v>0</v>
      </c>
      <c r="P996" t="n">
        <v>0</v>
      </c>
      <c r="Q996" t="n">
        <v>0</v>
      </c>
      <c r="R996" s="2" t="inlineStr"/>
    </row>
    <row r="997" ht="15" customHeight="1">
      <c r="A997" t="inlineStr">
        <is>
          <t>A 22752-2023</t>
        </is>
      </c>
      <c r="B997" s="1" t="n">
        <v>45071.94104166667</v>
      </c>
      <c r="C997" s="1" t="n">
        <v>46002</v>
      </c>
      <c r="D997" t="inlineStr">
        <is>
          <t>VÄSTERNORRLANDS LÄN</t>
        </is>
      </c>
      <c r="E997" t="inlineStr">
        <is>
          <t>ÅNGE</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11032-2025</t>
        </is>
      </c>
      <c r="B998" s="1" t="n">
        <v>45723.47601851852</v>
      </c>
      <c r="C998" s="1" t="n">
        <v>46002</v>
      </c>
      <c r="D998" t="inlineStr">
        <is>
          <t>VÄSTERNORRLANDS LÄN</t>
        </is>
      </c>
      <c r="E998" t="inlineStr">
        <is>
          <t>ÅNGE</t>
        </is>
      </c>
      <c r="G998" t="n">
        <v>4.4</v>
      </c>
      <c r="H998" t="n">
        <v>0</v>
      </c>
      <c r="I998" t="n">
        <v>0</v>
      </c>
      <c r="J998" t="n">
        <v>0</v>
      </c>
      <c r="K998" t="n">
        <v>0</v>
      </c>
      <c r="L998" t="n">
        <v>0</v>
      </c>
      <c r="M998" t="n">
        <v>0</v>
      </c>
      <c r="N998" t="n">
        <v>0</v>
      </c>
      <c r="O998" t="n">
        <v>0</v>
      </c>
      <c r="P998" t="n">
        <v>0</v>
      </c>
      <c r="Q998" t="n">
        <v>0</v>
      </c>
      <c r="R998" s="2" t="inlineStr"/>
    </row>
    <row r="999" ht="15" customHeight="1">
      <c r="A999" t="inlineStr">
        <is>
          <t>A 60779-2024</t>
        </is>
      </c>
      <c r="B999" s="1" t="n">
        <v>45644</v>
      </c>
      <c r="C999" s="1" t="n">
        <v>46002</v>
      </c>
      <c r="D999" t="inlineStr">
        <is>
          <t>VÄSTERNORRLANDS LÄN</t>
        </is>
      </c>
      <c r="E999" t="inlineStr">
        <is>
          <t>ÅNGE</t>
        </is>
      </c>
      <c r="G999" t="n">
        <v>3.1</v>
      </c>
      <c r="H999" t="n">
        <v>0</v>
      </c>
      <c r="I999" t="n">
        <v>0</v>
      </c>
      <c r="J999" t="n">
        <v>0</v>
      </c>
      <c r="K999" t="n">
        <v>0</v>
      </c>
      <c r="L999" t="n">
        <v>0</v>
      </c>
      <c r="M999" t="n">
        <v>0</v>
      </c>
      <c r="N999" t="n">
        <v>0</v>
      </c>
      <c r="O999" t="n">
        <v>0</v>
      </c>
      <c r="P999" t="n">
        <v>0</v>
      </c>
      <c r="Q999" t="n">
        <v>0</v>
      </c>
      <c r="R999" s="2" t="inlineStr"/>
    </row>
    <row r="1000" ht="15" customHeight="1">
      <c r="A1000" t="inlineStr">
        <is>
          <t>A 59062-2025</t>
        </is>
      </c>
      <c r="B1000" s="1" t="n">
        <v>45988.40723379629</v>
      </c>
      <c r="C1000" s="1" t="n">
        <v>46002</v>
      </c>
      <c r="D1000" t="inlineStr">
        <is>
          <t>VÄSTERNORRLANDS LÄN</t>
        </is>
      </c>
      <c r="E1000" t="inlineStr">
        <is>
          <t>ÅNGE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51109-2025</t>
        </is>
      </c>
      <c r="B1001" s="1" t="n">
        <v>45947.50263888889</v>
      </c>
      <c r="C1001" s="1" t="n">
        <v>46002</v>
      </c>
      <c r="D1001" t="inlineStr">
        <is>
          <t>VÄSTERNORRLANDS LÄN</t>
        </is>
      </c>
      <c r="E1001" t="inlineStr">
        <is>
          <t>ÅNGE</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59319-2025</t>
        </is>
      </c>
      <c r="B1002" s="1" t="n">
        <v>45989.33283564815</v>
      </c>
      <c r="C1002" s="1" t="n">
        <v>46002</v>
      </c>
      <c r="D1002" t="inlineStr">
        <is>
          <t>VÄSTERNORRLANDS LÄN</t>
        </is>
      </c>
      <c r="E1002" t="inlineStr">
        <is>
          <t>ÅNGE</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59331-2025</t>
        </is>
      </c>
      <c r="B1003" s="1" t="n">
        <v>45989.35978009259</v>
      </c>
      <c r="C1003" s="1" t="n">
        <v>46002</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50651-2021</t>
        </is>
      </c>
      <c r="B1004" s="1" t="n">
        <v>44459</v>
      </c>
      <c r="C1004" s="1" t="n">
        <v>46002</v>
      </c>
      <c r="D1004" t="inlineStr">
        <is>
          <t>VÄSTERNORRLANDS LÄN</t>
        </is>
      </c>
      <c r="E1004" t="inlineStr">
        <is>
          <t>ÅNGE</t>
        </is>
      </c>
      <c r="G1004" t="n">
        <v>20.6</v>
      </c>
      <c r="H1004" t="n">
        <v>0</v>
      </c>
      <c r="I1004" t="n">
        <v>0</v>
      </c>
      <c r="J1004" t="n">
        <v>0</v>
      </c>
      <c r="K1004" t="n">
        <v>0</v>
      </c>
      <c r="L1004" t="n">
        <v>0</v>
      </c>
      <c r="M1004" t="n">
        <v>0</v>
      </c>
      <c r="N1004" t="n">
        <v>0</v>
      </c>
      <c r="O1004" t="n">
        <v>0</v>
      </c>
      <c r="P1004" t="n">
        <v>0</v>
      </c>
      <c r="Q1004" t="n">
        <v>0</v>
      </c>
      <c r="R1004" s="2" t="inlineStr"/>
    </row>
    <row r="1005" ht="15" customHeight="1">
      <c r="A1005" t="inlineStr">
        <is>
          <t>A 59063-2025</t>
        </is>
      </c>
      <c r="B1005" s="1" t="n">
        <v>45988.40734953704</v>
      </c>
      <c r="C1005" s="1" t="n">
        <v>46002</v>
      </c>
      <c r="D1005" t="inlineStr">
        <is>
          <t>VÄSTERNORRLANDS LÄN</t>
        </is>
      </c>
      <c r="E1005" t="inlineStr">
        <is>
          <t>ÅNGE</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59064-2025</t>
        </is>
      </c>
      <c r="B1006" s="1" t="n">
        <v>45988.40768518519</v>
      </c>
      <c r="C1006" s="1" t="n">
        <v>46002</v>
      </c>
      <c r="D1006" t="inlineStr">
        <is>
          <t>VÄSTERNORRLANDS LÄN</t>
        </is>
      </c>
      <c r="E1006" t="inlineStr">
        <is>
          <t>ÅNGE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59259-2025</t>
        </is>
      </c>
      <c r="B1007" s="1" t="n">
        <v>45988.65748842592</v>
      </c>
      <c r="C1007" s="1" t="n">
        <v>46002</v>
      </c>
      <c r="D1007" t="inlineStr">
        <is>
          <t>VÄSTERNORRLANDS LÄN</t>
        </is>
      </c>
      <c r="E1007" t="inlineStr">
        <is>
          <t>ÅNGE</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60003-2023</t>
        </is>
      </c>
      <c r="B1008" s="1" t="n">
        <v>45257</v>
      </c>
      <c r="C1008" s="1" t="n">
        <v>46002</v>
      </c>
      <c r="D1008" t="inlineStr">
        <is>
          <t>VÄSTERNORRLANDS LÄN</t>
        </is>
      </c>
      <c r="E1008" t="inlineStr">
        <is>
          <t>ÅNGE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4876-2023</t>
        </is>
      </c>
      <c r="B1009" s="1" t="n">
        <v>44957.94023148148</v>
      </c>
      <c r="C1009" s="1" t="n">
        <v>46002</v>
      </c>
      <c r="D1009" t="inlineStr">
        <is>
          <t>VÄSTERNORRLANDS LÄN</t>
        </is>
      </c>
      <c r="E1009" t="inlineStr">
        <is>
          <t>ÅNGE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55751-2024</t>
        </is>
      </c>
      <c r="B1010" s="1" t="n">
        <v>45623.34409722222</v>
      </c>
      <c r="C1010" s="1" t="n">
        <v>46002</v>
      </c>
      <c r="D1010" t="inlineStr">
        <is>
          <t>VÄSTERNORRLANDS LÄN</t>
        </is>
      </c>
      <c r="E1010" t="inlineStr">
        <is>
          <t>ÅNGE</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57591-2022</t>
        </is>
      </c>
      <c r="B1011" s="1" t="n">
        <v>44896.97834490741</v>
      </c>
      <c r="C1011" s="1" t="n">
        <v>46002</v>
      </c>
      <c r="D1011" t="inlineStr">
        <is>
          <t>VÄSTERNORRLANDS LÄN</t>
        </is>
      </c>
      <c r="E1011" t="inlineStr">
        <is>
          <t>ÅNGE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51370-2025</t>
        </is>
      </c>
      <c r="B1012" s="1" t="n">
        <v>45950.44818287037</v>
      </c>
      <c r="C1012" s="1" t="n">
        <v>46002</v>
      </c>
      <c r="D1012" t="inlineStr">
        <is>
          <t>VÄSTERNORRLANDS LÄN</t>
        </is>
      </c>
      <c r="E1012" t="inlineStr">
        <is>
          <t>ÅNGE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25034-2023</t>
        </is>
      </c>
      <c r="B1013" s="1" t="n">
        <v>45085</v>
      </c>
      <c r="C1013" s="1" t="n">
        <v>46002</v>
      </c>
      <c r="D1013" t="inlineStr">
        <is>
          <t>VÄSTERNORRLANDS LÄN</t>
        </is>
      </c>
      <c r="E1013" t="inlineStr">
        <is>
          <t>ÅNGE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13875-2022</t>
        </is>
      </c>
      <c r="B1014" s="1" t="n">
        <v>44649</v>
      </c>
      <c r="C1014" s="1" t="n">
        <v>46002</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51382-2025</t>
        </is>
      </c>
      <c r="B1015" s="1" t="n">
        <v>45950.46019675926</v>
      </c>
      <c r="C1015" s="1" t="n">
        <v>46002</v>
      </c>
      <c r="D1015" t="inlineStr">
        <is>
          <t>VÄSTERNORRLANDS LÄN</t>
        </is>
      </c>
      <c r="E1015" t="inlineStr">
        <is>
          <t>ÅNGE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51416-2025</t>
        </is>
      </c>
      <c r="B1016" s="1" t="n">
        <v>45950.51097222222</v>
      </c>
      <c r="C1016" s="1" t="n">
        <v>46002</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9605-2025</t>
        </is>
      </c>
      <c r="B1017" s="1" t="n">
        <v>45715.65657407408</v>
      </c>
      <c r="C1017" s="1" t="n">
        <v>46002</v>
      </c>
      <c r="D1017" t="inlineStr">
        <is>
          <t>VÄSTERNORRLANDS LÄN</t>
        </is>
      </c>
      <c r="E1017" t="inlineStr">
        <is>
          <t>ÅNGE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16563-2025</t>
        </is>
      </c>
      <c r="B1018" s="1" t="n">
        <v>45752.34430555555</v>
      </c>
      <c r="C1018" s="1" t="n">
        <v>46002</v>
      </c>
      <c r="D1018" t="inlineStr">
        <is>
          <t>VÄSTERNORRLANDS LÄN</t>
        </is>
      </c>
      <c r="E1018" t="inlineStr">
        <is>
          <t>ÅNGE</t>
        </is>
      </c>
      <c r="F1018" t="inlineStr">
        <is>
          <t>SCA</t>
        </is>
      </c>
      <c r="G1018" t="n">
        <v>24.7</v>
      </c>
      <c r="H1018" t="n">
        <v>0</v>
      </c>
      <c r="I1018" t="n">
        <v>0</v>
      </c>
      <c r="J1018" t="n">
        <v>0</v>
      </c>
      <c r="K1018" t="n">
        <v>0</v>
      </c>
      <c r="L1018" t="n">
        <v>0</v>
      </c>
      <c r="M1018" t="n">
        <v>0</v>
      </c>
      <c r="N1018" t="n">
        <v>0</v>
      </c>
      <c r="O1018" t="n">
        <v>0</v>
      </c>
      <c r="P1018" t="n">
        <v>0</v>
      </c>
      <c r="Q1018" t="n">
        <v>0</v>
      </c>
      <c r="R1018" s="2" t="inlineStr"/>
    </row>
    <row r="1019" ht="15" customHeight="1">
      <c r="A1019" t="inlineStr">
        <is>
          <t>A 42881-2024</t>
        </is>
      </c>
      <c r="B1019" s="1" t="n">
        <v>45566.70916666667</v>
      </c>
      <c r="C1019" s="1" t="n">
        <v>46002</v>
      </c>
      <c r="D1019" t="inlineStr">
        <is>
          <t>VÄSTERNORRLANDS LÄN</t>
        </is>
      </c>
      <c r="E1019" t="inlineStr">
        <is>
          <t>ÅNGE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59641-2025</t>
        </is>
      </c>
      <c r="B1020" s="1" t="n">
        <v>45992.4175925926</v>
      </c>
      <c r="C1020" s="1" t="n">
        <v>46002</v>
      </c>
      <c r="D1020" t="inlineStr">
        <is>
          <t>VÄSTERNORRLANDS LÄN</t>
        </is>
      </c>
      <c r="E1020" t="inlineStr">
        <is>
          <t>ÅNGE</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54316-2024</t>
        </is>
      </c>
      <c r="B1021" s="1" t="n">
        <v>45617.34443287037</v>
      </c>
      <c r="C1021" s="1" t="n">
        <v>46002</v>
      </c>
      <c r="D1021" t="inlineStr">
        <is>
          <t>VÄSTERNORRLANDS LÄN</t>
        </is>
      </c>
      <c r="E1021" t="inlineStr">
        <is>
          <t>ÅNGE</t>
        </is>
      </c>
      <c r="F1021" t="inlineStr">
        <is>
          <t>SCA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17718-2025</t>
        </is>
      </c>
      <c r="B1022" s="1" t="n">
        <v>45758.44815972223</v>
      </c>
      <c r="C1022" s="1" t="n">
        <v>46002</v>
      </c>
      <c r="D1022" t="inlineStr">
        <is>
          <t>VÄSTERNORRLANDS LÄN</t>
        </is>
      </c>
      <c r="E1022" t="inlineStr">
        <is>
          <t>ÅNGE</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60061-2025</t>
        </is>
      </c>
      <c r="B1023" s="1" t="n">
        <v>45993.65673611111</v>
      </c>
      <c r="C1023" s="1" t="n">
        <v>46002</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8650-2024</t>
        </is>
      </c>
      <c r="B1024" s="1" t="n">
        <v>45356</v>
      </c>
      <c r="C1024" s="1" t="n">
        <v>46002</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59815-2025</t>
        </is>
      </c>
      <c r="B1025" s="1" t="n">
        <v>45992.6359837963</v>
      </c>
      <c r="C1025" s="1" t="n">
        <v>46002</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45631-2021</t>
        </is>
      </c>
      <c r="B1026" s="1" t="n">
        <v>44440.98045138889</v>
      </c>
      <c r="C1026" s="1" t="n">
        <v>46002</v>
      </c>
      <c r="D1026" t="inlineStr">
        <is>
          <t>VÄSTERNORRLANDS LÄN</t>
        </is>
      </c>
      <c r="E1026" t="inlineStr">
        <is>
          <t>ÅNGE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10878-2024</t>
        </is>
      </c>
      <c r="B1027" s="1" t="n">
        <v>45370</v>
      </c>
      <c r="C1027" s="1" t="n">
        <v>46002</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51393-2025</t>
        </is>
      </c>
      <c r="B1028" s="1" t="n">
        <v>45950.46957175926</v>
      </c>
      <c r="C1028" s="1" t="n">
        <v>46002</v>
      </c>
      <c r="D1028" t="inlineStr">
        <is>
          <t>VÄSTERNORRLANDS LÄN</t>
        </is>
      </c>
      <c r="E1028" t="inlineStr">
        <is>
          <t>ÅNGE</t>
        </is>
      </c>
      <c r="F1028" t="inlineStr">
        <is>
          <t>SCA</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4006-2022</t>
        </is>
      </c>
      <c r="B1029" s="1" t="n">
        <v>44587.92019675926</v>
      </c>
      <c r="C1029" s="1" t="n">
        <v>46002</v>
      </c>
      <c r="D1029" t="inlineStr">
        <is>
          <t>VÄSTERNORRLANDS LÄN</t>
        </is>
      </c>
      <c r="E1029" t="inlineStr">
        <is>
          <t>ÅNGE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61781-2023</t>
        </is>
      </c>
      <c r="B1030" s="1" t="n">
        <v>45265.95708333333</v>
      </c>
      <c r="C1030" s="1" t="n">
        <v>46002</v>
      </c>
      <c r="D1030" t="inlineStr">
        <is>
          <t>VÄSTERNORRLANDS LÄN</t>
        </is>
      </c>
      <c r="E1030" t="inlineStr">
        <is>
          <t>ÅNGE</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17744-2025</t>
        </is>
      </c>
      <c r="B1031" s="1" t="n">
        <v>45758</v>
      </c>
      <c r="C1031" s="1" t="n">
        <v>46002</v>
      </c>
      <c r="D1031" t="inlineStr">
        <is>
          <t>VÄSTERNORRLANDS LÄN</t>
        </is>
      </c>
      <c r="E1031" t="inlineStr">
        <is>
          <t>ÅNGE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51389-2025</t>
        </is>
      </c>
      <c r="B1032" s="1" t="n">
        <v>45950.46767361111</v>
      </c>
      <c r="C1032" s="1" t="n">
        <v>46002</v>
      </c>
      <c r="D1032" t="inlineStr">
        <is>
          <t>VÄSTERNORRLANDS LÄN</t>
        </is>
      </c>
      <c r="E1032" t="inlineStr">
        <is>
          <t>ÅNGE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60118-2025</t>
        </is>
      </c>
      <c r="B1033" s="1" t="n">
        <v>45994.3242824074</v>
      </c>
      <c r="C1033" s="1" t="n">
        <v>46002</v>
      </c>
      <c r="D1033" t="inlineStr">
        <is>
          <t>VÄSTERNORRLANDS LÄN</t>
        </is>
      </c>
      <c r="E1033" t="inlineStr">
        <is>
          <t>ÅNGE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60079-2025</t>
        </is>
      </c>
      <c r="B1034" s="1" t="n">
        <v>45993.6834375</v>
      </c>
      <c r="C1034" s="1" t="n">
        <v>46002</v>
      </c>
      <c r="D1034" t="inlineStr">
        <is>
          <t>VÄSTERNORRLANDS LÄN</t>
        </is>
      </c>
      <c r="E1034" t="inlineStr">
        <is>
          <t>ÅNGE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52060-2025</t>
        </is>
      </c>
      <c r="B1035" s="1" t="n">
        <v>45952.63641203703</v>
      </c>
      <c r="C1035" s="1" t="n">
        <v>46002</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33783-2024</t>
        </is>
      </c>
      <c r="B1036" s="1" t="n">
        <v>45520</v>
      </c>
      <c r="C1036" s="1" t="n">
        <v>46002</v>
      </c>
      <c r="D1036" t="inlineStr">
        <is>
          <t>VÄSTERNORRLANDS LÄN</t>
        </is>
      </c>
      <c r="E1036" t="inlineStr">
        <is>
          <t>ÅNGE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63170-2023</t>
        </is>
      </c>
      <c r="B1037" s="1" t="n">
        <v>45273.57087962963</v>
      </c>
      <c r="C1037" s="1" t="n">
        <v>46002</v>
      </c>
      <c r="D1037" t="inlineStr">
        <is>
          <t>VÄSTERNORRLANDS LÄN</t>
        </is>
      </c>
      <c r="E1037" t="inlineStr">
        <is>
          <t>ÅNGE</t>
        </is>
      </c>
      <c r="F1037" t="inlineStr">
        <is>
          <t>Holmen skog AB</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60119-2025</t>
        </is>
      </c>
      <c r="B1038" s="1" t="n">
        <v>45994.33081018519</v>
      </c>
      <c r="C1038" s="1" t="n">
        <v>46002</v>
      </c>
      <c r="D1038" t="inlineStr">
        <is>
          <t>VÄSTERNORRLANDS LÄN</t>
        </is>
      </c>
      <c r="E1038" t="inlineStr">
        <is>
          <t>ÅNGE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60124-2025</t>
        </is>
      </c>
      <c r="B1039" s="1" t="n">
        <v>45994.33722222222</v>
      </c>
      <c r="C1039" s="1" t="n">
        <v>46002</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47792-2022</t>
        </is>
      </c>
      <c r="B1040" s="1" t="n">
        <v>44854.95238425926</v>
      </c>
      <c r="C1040" s="1" t="n">
        <v>46002</v>
      </c>
      <c r="D1040" t="inlineStr">
        <is>
          <t>VÄSTERNORRLANDS LÄN</t>
        </is>
      </c>
      <c r="E1040" t="inlineStr">
        <is>
          <t>ÅNGE</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60403-2025</t>
        </is>
      </c>
      <c r="B1041" s="1" t="n">
        <v>45995.42762731481</v>
      </c>
      <c r="C1041" s="1" t="n">
        <v>46002</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60422-2025</t>
        </is>
      </c>
      <c r="B1042" s="1" t="n">
        <v>45995.46922453704</v>
      </c>
      <c r="C1042" s="1" t="n">
        <v>46002</v>
      </c>
      <c r="D1042" t="inlineStr">
        <is>
          <t>VÄSTERNORRLANDS LÄN</t>
        </is>
      </c>
      <c r="E1042" t="inlineStr">
        <is>
          <t>ÅNGE</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52121-2025</t>
        </is>
      </c>
      <c r="B1043" s="1" t="n">
        <v>45952.71921296296</v>
      </c>
      <c r="C1043" s="1" t="n">
        <v>46002</v>
      </c>
      <c r="D1043" t="inlineStr">
        <is>
          <t>VÄSTERNORRLANDS LÄN</t>
        </is>
      </c>
      <c r="E1043" t="inlineStr">
        <is>
          <t>ÅNGE</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52306-2025</t>
        </is>
      </c>
      <c r="B1044" s="1" t="n">
        <v>45953.63600694444</v>
      </c>
      <c r="C1044" s="1" t="n">
        <v>46002</v>
      </c>
      <c r="D1044" t="inlineStr">
        <is>
          <t>VÄSTERNORRLANDS LÄN</t>
        </is>
      </c>
      <c r="E1044" t="inlineStr">
        <is>
          <t>ÅNGE</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1975-2025</t>
        </is>
      </c>
      <c r="B1045" s="1" t="n">
        <v>45672.39332175926</v>
      </c>
      <c r="C1045" s="1" t="n">
        <v>46002</v>
      </c>
      <c r="D1045" t="inlineStr">
        <is>
          <t>VÄSTERNORRLANDS LÄN</t>
        </is>
      </c>
      <c r="E1045" t="inlineStr">
        <is>
          <t>ÅNGE</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15404-2025</t>
        </is>
      </c>
      <c r="B1046" s="1" t="n">
        <v>45747.44665509259</v>
      </c>
      <c r="C1046" s="1" t="n">
        <v>46002</v>
      </c>
      <c r="D1046" t="inlineStr">
        <is>
          <t>VÄSTERNORRLANDS LÄN</t>
        </is>
      </c>
      <c r="E1046" t="inlineStr">
        <is>
          <t>ÅNGE</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38099-2024</t>
        </is>
      </c>
      <c r="B1047" s="1" t="n">
        <v>45545.35920138889</v>
      </c>
      <c r="C1047" s="1" t="n">
        <v>46002</v>
      </c>
      <c r="D1047" t="inlineStr">
        <is>
          <t>VÄSTERNORRLANDS LÄN</t>
        </is>
      </c>
      <c r="E1047" t="inlineStr">
        <is>
          <t>ÅNGE</t>
        </is>
      </c>
      <c r="F1047" t="inlineStr">
        <is>
          <t>Holmen skog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51857-2025</t>
        </is>
      </c>
      <c r="B1048" s="1" t="n">
        <v>45952.36506944444</v>
      </c>
      <c r="C1048" s="1" t="n">
        <v>46002</v>
      </c>
      <c r="D1048" t="inlineStr">
        <is>
          <t>VÄSTERNORRLANDS LÄN</t>
        </is>
      </c>
      <c r="E1048" t="inlineStr">
        <is>
          <t>ÅNGE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60286-2025</t>
        </is>
      </c>
      <c r="B1049" s="1" t="n">
        <v>45994.64612268518</v>
      </c>
      <c r="C1049" s="1" t="n">
        <v>46002</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60278-2025</t>
        </is>
      </c>
      <c r="B1050" s="1" t="n">
        <v>45994.63739583334</v>
      </c>
      <c r="C1050" s="1" t="n">
        <v>46002</v>
      </c>
      <c r="D1050" t="inlineStr">
        <is>
          <t>VÄSTERNORRLANDS LÄN</t>
        </is>
      </c>
      <c r="E1050" t="inlineStr">
        <is>
          <t>ÅNGE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60342-2025</t>
        </is>
      </c>
      <c r="B1051" s="1" t="n">
        <v>45994.86804398148</v>
      </c>
      <c r="C1051" s="1" t="n">
        <v>46002</v>
      </c>
      <c r="D1051" t="inlineStr">
        <is>
          <t>VÄSTERNORRLANDS LÄN</t>
        </is>
      </c>
      <c r="E1051" t="inlineStr">
        <is>
          <t>ÅNGE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51813-2025</t>
        </is>
      </c>
      <c r="B1052" s="1" t="n">
        <v>45951.83082175926</v>
      </c>
      <c r="C1052" s="1" t="n">
        <v>46002</v>
      </c>
      <c r="D1052" t="inlineStr">
        <is>
          <t>VÄSTERNORRLANDS LÄN</t>
        </is>
      </c>
      <c r="E1052" t="inlineStr">
        <is>
          <t>ÅNGE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59023-2025</t>
        </is>
      </c>
      <c r="B1053" s="1" t="n">
        <v>45988</v>
      </c>
      <c r="C1053" s="1" t="n">
        <v>46002</v>
      </c>
      <c r="D1053" t="inlineStr">
        <is>
          <t>VÄSTERNORRLANDS LÄN</t>
        </is>
      </c>
      <c r="E1053" t="inlineStr">
        <is>
          <t>ÅNGE</t>
        </is>
      </c>
      <c r="F1053" t="inlineStr">
        <is>
          <t>SCA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60134-2025</t>
        </is>
      </c>
      <c r="B1054" s="1" t="n">
        <v>45994.34793981481</v>
      </c>
      <c r="C1054" s="1" t="n">
        <v>46002</v>
      </c>
      <c r="D1054" t="inlineStr">
        <is>
          <t>VÄSTERNORRLANDS LÄN</t>
        </is>
      </c>
      <c r="E1054" t="inlineStr">
        <is>
          <t>ÅNGE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60520-2025</t>
        </is>
      </c>
      <c r="B1055" s="1" t="n">
        <v>45995.63694444444</v>
      </c>
      <c r="C1055" s="1" t="n">
        <v>46002</v>
      </c>
      <c r="D1055" t="inlineStr">
        <is>
          <t>VÄSTERNORRLANDS LÄN</t>
        </is>
      </c>
      <c r="E1055" t="inlineStr">
        <is>
          <t>ÅNGE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59022-2025</t>
        </is>
      </c>
      <c r="B1056" s="1" t="n">
        <v>45988</v>
      </c>
      <c r="C1056" s="1" t="n">
        <v>46002</v>
      </c>
      <c r="D1056" t="inlineStr">
        <is>
          <t>VÄSTERNORRLANDS LÄN</t>
        </is>
      </c>
      <c r="E1056" t="inlineStr">
        <is>
          <t>ÅNGE</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52335-2025</t>
        </is>
      </c>
      <c r="B1057" s="1" t="n">
        <v>45953.68591435185</v>
      </c>
      <c r="C1057" s="1" t="n">
        <v>46002</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60296-2025</t>
        </is>
      </c>
      <c r="B1058" s="1" t="n">
        <v>45994.6568287037</v>
      </c>
      <c r="C1058" s="1" t="n">
        <v>46002</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1403-2025</t>
        </is>
      </c>
      <c r="B1059" s="1" t="n">
        <v>45667.70548611111</v>
      </c>
      <c r="C1059" s="1" t="n">
        <v>46002</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52283-2025</t>
        </is>
      </c>
      <c r="B1060" s="1" t="n">
        <v>45953.57346064815</v>
      </c>
      <c r="C1060" s="1" t="n">
        <v>46002</v>
      </c>
      <c r="D1060" t="inlineStr">
        <is>
          <t>VÄSTERNORRLANDS LÄN</t>
        </is>
      </c>
      <c r="E1060" t="inlineStr">
        <is>
          <t>ÅNGE</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60960-2025</t>
        </is>
      </c>
      <c r="B1061" s="1" t="n">
        <v>45999</v>
      </c>
      <c r="C1061" s="1" t="n">
        <v>46002</v>
      </c>
      <c r="D1061" t="inlineStr">
        <is>
          <t>VÄSTERNORRLANDS LÄN</t>
        </is>
      </c>
      <c r="E1061" t="inlineStr">
        <is>
          <t>ÅNGE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60950-2025</t>
        </is>
      </c>
      <c r="B1062" s="1" t="n">
        <v>45999</v>
      </c>
      <c r="C1062" s="1" t="n">
        <v>46002</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60365-2024</t>
        </is>
      </c>
      <c r="B1063" s="1" t="n">
        <v>45643</v>
      </c>
      <c r="C1063" s="1" t="n">
        <v>46002</v>
      </c>
      <c r="D1063" t="inlineStr">
        <is>
          <t>VÄSTERNORRLANDS LÄN</t>
        </is>
      </c>
      <c r="E1063" t="inlineStr">
        <is>
          <t>ÅNGE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20393-2022</t>
        </is>
      </c>
      <c r="B1064" s="1" t="n">
        <v>44699</v>
      </c>
      <c r="C1064" s="1" t="n">
        <v>46002</v>
      </c>
      <c r="D1064" t="inlineStr">
        <is>
          <t>VÄSTERNORRLANDS LÄN</t>
        </is>
      </c>
      <c r="E1064" t="inlineStr">
        <is>
          <t>ÅNGE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25320-2023</t>
        </is>
      </c>
      <c r="B1065" s="1" t="n">
        <v>45086.93929398148</v>
      </c>
      <c r="C1065" s="1" t="n">
        <v>46002</v>
      </c>
      <c r="D1065" t="inlineStr">
        <is>
          <t>VÄSTERNORRLANDS LÄN</t>
        </is>
      </c>
      <c r="E1065" t="inlineStr">
        <is>
          <t>ÅNGE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59626-2022</t>
        </is>
      </c>
      <c r="B1066" s="1" t="n">
        <v>44907.92354166666</v>
      </c>
      <c r="C1066" s="1" t="n">
        <v>46002</v>
      </c>
      <c r="D1066" t="inlineStr">
        <is>
          <t>VÄSTERNORRLANDS LÄN</t>
        </is>
      </c>
      <c r="E1066" t="inlineStr">
        <is>
          <t>ÅNGE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60582-2025</t>
        </is>
      </c>
      <c r="B1067" s="1" t="n">
        <v>45994</v>
      </c>
      <c r="C1067" s="1" t="n">
        <v>46002</v>
      </c>
      <c r="D1067" t="inlineStr">
        <is>
          <t>VÄSTERNORRLANDS LÄN</t>
        </is>
      </c>
      <c r="E1067" t="inlineStr">
        <is>
          <t>ÅNGE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34852-2023</t>
        </is>
      </c>
      <c r="B1068" s="1" t="n">
        <v>45141</v>
      </c>
      <c r="C1068" s="1" t="n">
        <v>46002</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15032-2025</t>
        </is>
      </c>
      <c r="B1069" s="1" t="n">
        <v>45743.67748842593</v>
      </c>
      <c r="C1069" s="1" t="n">
        <v>46002</v>
      </c>
      <c r="D1069" t="inlineStr">
        <is>
          <t>VÄSTERNORRLANDS LÄN</t>
        </is>
      </c>
      <c r="E1069" t="inlineStr">
        <is>
          <t>ÅNGE</t>
        </is>
      </c>
      <c r="F1069" t="inlineStr">
        <is>
          <t>SCA</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60604-2025</t>
        </is>
      </c>
      <c r="B1070" s="1" t="n">
        <v>45995</v>
      </c>
      <c r="C1070" s="1" t="n">
        <v>46002</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44415-2021</t>
        </is>
      </c>
      <c r="B1071" s="1" t="n">
        <v>44435</v>
      </c>
      <c r="C1071" s="1" t="n">
        <v>46002</v>
      </c>
      <c r="D1071" t="inlineStr">
        <is>
          <t>VÄSTERNORRLANDS LÄN</t>
        </is>
      </c>
      <c r="E1071" t="inlineStr">
        <is>
          <t>ÅNGE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52392-2025</t>
        </is>
      </c>
      <c r="B1072" s="1" t="n">
        <v>45954.34424768519</v>
      </c>
      <c r="C1072" s="1" t="n">
        <v>46002</v>
      </c>
      <c r="D1072" t="inlineStr">
        <is>
          <t>VÄSTERNORRLANDS LÄN</t>
        </is>
      </c>
      <c r="E1072" t="inlineStr">
        <is>
          <t>ÅNGE</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58605-2025</t>
        </is>
      </c>
      <c r="B1073" s="1" t="n">
        <v>45986</v>
      </c>
      <c r="C1073" s="1" t="n">
        <v>46002</v>
      </c>
      <c r="D1073" t="inlineStr">
        <is>
          <t>VÄSTERNORRLANDS LÄN</t>
        </is>
      </c>
      <c r="E1073" t="inlineStr">
        <is>
          <t>ÅNGE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40788-2024</t>
        </is>
      </c>
      <c r="B1074" s="1" t="n">
        <v>45558.50974537037</v>
      </c>
      <c r="C1074" s="1" t="n">
        <v>46002</v>
      </c>
      <c r="D1074" t="inlineStr">
        <is>
          <t>VÄSTERNORRLANDS LÄN</t>
        </is>
      </c>
      <c r="E1074" t="inlineStr">
        <is>
          <t>ÅNGE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27306-2024</t>
        </is>
      </c>
      <c r="B1075" s="1" t="n">
        <v>45471.94454861111</v>
      </c>
      <c r="C1075" s="1" t="n">
        <v>46002</v>
      </c>
      <c r="D1075" t="inlineStr">
        <is>
          <t>VÄSTERNORRLANDS LÄN</t>
        </is>
      </c>
      <c r="E1075" t="inlineStr">
        <is>
          <t>ÅNGE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59818-2024</t>
        </is>
      </c>
      <c r="B1076" s="1" t="n">
        <v>45639.63572916666</v>
      </c>
      <c r="C1076" s="1" t="n">
        <v>46002</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16978-2024</t>
        </is>
      </c>
      <c r="B1077" s="1" t="n">
        <v>45412.02416666667</v>
      </c>
      <c r="C1077" s="1" t="n">
        <v>46002</v>
      </c>
      <c r="D1077" t="inlineStr">
        <is>
          <t>VÄSTERNORRLANDS LÄN</t>
        </is>
      </c>
      <c r="E1077" t="inlineStr">
        <is>
          <t>ÅNGE</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57286-2022</t>
        </is>
      </c>
      <c r="B1078" s="1" t="n">
        <v>44895.94991898148</v>
      </c>
      <c r="C1078" s="1" t="n">
        <v>46002</v>
      </c>
      <c r="D1078" t="inlineStr">
        <is>
          <t>VÄSTERNORRLANDS LÄN</t>
        </is>
      </c>
      <c r="E1078" t="inlineStr">
        <is>
          <t>ÅNGE</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52642-2025</t>
        </is>
      </c>
      <c r="B1079" s="1" t="n">
        <v>45955.34576388889</v>
      </c>
      <c r="C1079" s="1" t="n">
        <v>46002</v>
      </c>
      <c r="D1079" t="inlineStr">
        <is>
          <t>VÄSTERNORRLANDS LÄN</t>
        </is>
      </c>
      <c r="E1079" t="inlineStr">
        <is>
          <t>ÅNGE</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52411-2025</t>
        </is>
      </c>
      <c r="B1080" s="1" t="n">
        <v>45954.36518518518</v>
      </c>
      <c r="C1080" s="1" t="n">
        <v>46002</v>
      </c>
      <c r="D1080" t="inlineStr">
        <is>
          <t>VÄSTERNORRLANDS LÄN</t>
        </is>
      </c>
      <c r="E1080" t="inlineStr">
        <is>
          <t>ÅNGE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60864-2025</t>
        </is>
      </c>
      <c r="B1081" s="1" t="n">
        <v>45999.53170138889</v>
      </c>
      <c r="C1081" s="1" t="n">
        <v>46002</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60590-2025</t>
        </is>
      </c>
      <c r="B1082" s="1" t="n">
        <v>45994</v>
      </c>
      <c r="C1082" s="1" t="n">
        <v>46002</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60599-2025</t>
        </is>
      </c>
      <c r="B1083" s="1" t="n">
        <v>45994</v>
      </c>
      <c r="C1083" s="1" t="n">
        <v>46002</v>
      </c>
      <c r="D1083" t="inlineStr">
        <is>
          <t>VÄSTERNORRLANDS LÄN</t>
        </is>
      </c>
      <c r="E1083" t="inlineStr">
        <is>
          <t>ÅNGE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52858-2025</t>
        </is>
      </c>
      <c r="B1084" s="1" t="n">
        <v>45957.50284722223</v>
      </c>
      <c r="C1084" s="1" t="n">
        <v>46002</v>
      </c>
      <c r="D1084" t="inlineStr">
        <is>
          <t>VÄSTERNORRLANDS LÄN</t>
        </is>
      </c>
      <c r="E1084" t="inlineStr">
        <is>
          <t>ÅNGE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54707-2025</t>
        </is>
      </c>
      <c r="B1085" s="1" t="n">
        <v>45966</v>
      </c>
      <c r="C1085" s="1" t="n">
        <v>46002</v>
      </c>
      <c r="D1085" t="inlineStr">
        <is>
          <t>VÄSTERNORRLANDS LÄN</t>
        </is>
      </c>
      <c r="E1085" t="inlineStr">
        <is>
          <t>ÅNGE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61486-2025</t>
        </is>
      </c>
      <c r="B1086" s="1" t="n">
        <v>46001.63607638889</v>
      </c>
      <c r="C1086" s="1" t="n">
        <v>46002</v>
      </c>
      <c r="D1086" t="inlineStr">
        <is>
          <t>VÄSTERNORRLANDS LÄN</t>
        </is>
      </c>
      <c r="E1086" t="inlineStr">
        <is>
          <t>ÅNGE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61500-2025</t>
        </is>
      </c>
      <c r="B1087" s="1" t="n">
        <v>46001.65667824074</v>
      </c>
      <c r="C1087" s="1" t="n">
        <v>46002</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41766-2024</t>
        </is>
      </c>
      <c r="B1088" s="1" t="n">
        <v>45561.34594907407</v>
      </c>
      <c r="C1088" s="1" t="n">
        <v>46002</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61279-2025</t>
        </is>
      </c>
      <c r="B1089" s="1" t="n">
        <v>46000.69841435185</v>
      </c>
      <c r="C1089" s="1" t="n">
        <v>46002</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61308-2025</t>
        </is>
      </c>
      <c r="B1090" s="1" t="n">
        <v>46000.81952546296</v>
      </c>
      <c r="C1090" s="1" t="n">
        <v>46002</v>
      </c>
      <c r="D1090" t="inlineStr">
        <is>
          <t>VÄSTERNORRLANDS LÄN</t>
        </is>
      </c>
      <c r="E1090" t="inlineStr">
        <is>
          <t>ÅNGE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39178-2024</t>
        </is>
      </c>
      <c r="B1091" s="1" t="n">
        <v>45548.65692129629</v>
      </c>
      <c r="C1091" s="1" t="n">
        <v>46002</v>
      </c>
      <c r="D1091" t="inlineStr">
        <is>
          <t>VÄSTERNORRLANDS LÄN</t>
        </is>
      </c>
      <c r="E1091" t="inlineStr">
        <is>
          <t>ÅNGE</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61075-2025</t>
        </is>
      </c>
      <c r="B1092" s="1" t="n">
        <v>46000.3959837963</v>
      </c>
      <c r="C1092" s="1" t="n">
        <v>46002</v>
      </c>
      <c r="D1092" t="inlineStr">
        <is>
          <t>VÄSTERNORRLANDS LÄN</t>
        </is>
      </c>
      <c r="E1092" t="inlineStr">
        <is>
          <t>ÅNGE</t>
        </is>
      </c>
      <c r="F1092" t="inlineStr">
        <is>
          <t>Holmen skog AB</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53381-2025</t>
        </is>
      </c>
      <c r="B1093" s="1" t="n">
        <v>45959.53690972222</v>
      </c>
      <c r="C1093" s="1" t="n">
        <v>46002</v>
      </c>
      <c r="D1093" t="inlineStr">
        <is>
          <t>VÄSTERNORRLANDS LÄN</t>
        </is>
      </c>
      <c r="E1093" t="inlineStr">
        <is>
          <t>ÅNGE</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51383-2022</t>
        </is>
      </c>
      <c r="B1094" s="1" t="n">
        <v>44866</v>
      </c>
      <c r="C1094" s="1" t="n">
        <v>46002</v>
      </c>
      <c r="D1094" t="inlineStr">
        <is>
          <t>VÄSTERNORRLANDS LÄN</t>
        </is>
      </c>
      <c r="E1094" t="inlineStr">
        <is>
          <t>ÅNGE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51393-2022</t>
        </is>
      </c>
      <c r="B1095" s="1" t="n">
        <v>44869.43277777778</v>
      </c>
      <c r="C1095" s="1" t="n">
        <v>46002</v>
      </c>
      <c r="D1095" t="inlineStr">
        <is>
          <t>VÄSTERNORRLANDS LÄN</t>
        </is>
      </c>
      <c r="E1095" t="inlineStr">
        <is>
          <t>ÅNGE</t>
        </is>
      </c>
      <c r="F1095" t="inlineStr">
        <is>
          <t>Holmen skog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4236-2025</t>
        </is>
      </c>
      <c r="B1096" s="1" t="n">
        <v>45685.56534722223</v>
      </c>
      <c r="C1096" s="1" t="n">
        <v>46002</v>
      </c>
      <c r="D1096" t="inlineStr">
        <is>
          <t>VÄSTERNORRLANDS LÄN</t>
        </is>
      </c>
      <c r="E1096" t="inlineStr">
        <is>
          <t>ÅNGE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2415-2024</t>
        </is>
      </c>
      <c r="B1097" s="1" t="n">
        <v>45310</v>
      </c>
      <c r="C1097" s="1" t="n">
        <v>46002</v>
      </c>
      <c r="D1097" t="inlineStr">
        <is>
          <t>VÄSTERNORRLANDS LÄN</t>
        </is>
      </c>
      <c r="E1097" t="inlineStr">
        <is>
          <t>ÅNGE</t>
        </is>
      </c>
      <c r="F1097" t="inlineStr">
        <is>
          <t>Kyrkan</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4361-2024</t>
        </is>
      </c>
      <c r="B1098" s="1" t="n">
        <v>45325.65047453704</v>
      </c>
      <c r="C1098" s="1" t="n">
        <v>46002</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26490-2024</t>
        </is>
      </c>
      <c r="B1099" s="1" t="n">
        <v>45469</v>
      </c>
      <c r="C1099" s="1" t="n">
        <v>46002</v>
      </c>
      <c r="D1099" t="inlineStr">
        <is>
          <t>VÄSTERNORRLANDS LÄN</t>
        </is>
      </c>
      <c r="E1099" t="inlineStr">
        <is>
          <t>ÅNGE</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47779-2023</t>
        </is>
      </c>
      <c r="B1100" s="1" t="n">
        <v>45203.92232638889</v>
      </c>
      <c r="C1100" s="1" t="n">
        <v>46002</v>
      </c>
      <c r="D1100" t="inlineStr">
        <is>
          <t>VÄSTERNORRLANDS LÄN</t>
        </is>
      </c>
      <c r="E1100" t="inlineStr">
        <is>
          <t>ÅNGE</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38246-2024</t>
        </is>
      </c>
      <c r="B1101" s="1" t="n">
        <v>45545.57327546296</v>
      </c>
      <c r="C1101" s="1" t="n">
        <v>46002</v>
      </c>
      <c r="D1101" t="inlineStr">
        <is>
          <t>VÄSTERNORRLANDS LÄN</t>
        </is>
      </c>
      <c r="E1101" t="inlineStr">
        <is>
          <t>ÅNGE</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64946-2023</t>
        </is>
      </c>
      <c r="B1102" s="1" t="n">
        <v>45282.94678240741</v>
      </c>
      <c r="C1102" s="1" t="n">
        <v>46002</v>
      </c>
      <c r="D1102" t="inlineStr">
        <is>
          <t>VÄSTERNORRLANDS LÄN</t>
        </is>
      </c>
      <c r="E1102" t="inlineStr">
        <is>
          <t>ÅNGE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61439-2025</t>
        </is>
      </c>
      <c r="B1103" s="1" t="n">
        <v>46001.57010416667</v>
      </c>
      <c r="C1103" s="1" t="n">
        <v>46002</v>
      </c>
      <c r="D1103" t="inlineStr">
        <is>
          <t>VÄSTERNORRLANDS LÄN</t>
        </is>
      </c>
      <c r="E1103" t="inlineStr">
        <is>
          <t>ÅNGE</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60402-2025</t>
        </is>
      </c>
      <c r="B1104" s="1" t="n">
        <v>45995.4262962963</v>
      </c>
      <c r="C1104" s="1" t="n">
        <v>46002</v>
      </c>
      <c r="D1104" t="inlineStr">
        <is>
          <t>VÄSTERNORRLANDS LÄN</t>
        </is>
      </c>
      <c r="E1104" t="inlineStr">
        <is>
          <t>ÅNGE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61332-2025</t>
        </is>
      </c>
      <c r="B1105" s="1" t="n">
        <v>46001.34416666667</v>
      </c>
      <c r="C1105" s="1" t="n">
        <v>46002</v>
      </c>
      <c r="D1105" t="inlineStr">
        <is>
          <t>VÄSTERNORRLANDS LÄN</t>
        </is>
      </c>
      <c r="E1105" t="inlineStr">
        <is>
          <t>ÅNGE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61349-2025</t>
        </is>
      </c>
      <c r="B1106" s="1" t="n">
        <v>46001.3866087963</v>
      </c>
      <c r="C1106" s="1" t="n">
        <v>46002</v>
      </c>
      <c r="D1106" t="inlineStr">
        <is>
          <t>VÄSTERNORRLANDS LÄN</t>
        </is>
      </c>
      <c r="E1106" t="inlineStr">
        <is>
          <t>ÅNGE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53012-2025</t>
        </is>
      </c>
      <c r="B1107" s="1" t="n">
        <v>45957.80320601852</v>
      </c>
      <c r="C1107" s="1" t="n">
        <v>46002</v>
      </c>
      <c r="D1107" t="inlineStr">
        <is>
          <t>VÄSTERNORRLANDS LÄN</t>
        </is>
      </c>
      <c r="E1107" t="inlineStr">
        <is>
          <t>ÅNGE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53033-2025</t>
        </is>
      </c>
      <c r="B1108" s="1" t="n">
        <v>45958.34479166667</v>
      </c>
      <c r="C1108" s="1" t="n">
        <v>46002</v>
      </c>
      <c r="D1108" t="inlineStr">
        <is>
          <t>VÄSTERNORRLANDS LÄN</t>
        </is>
      </c>
      <c r="E1108" t="inlineStr">
        <is>
          <t>ÅNGE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61585-2022</t>
        </is>
      </c>
      <c r="B1109" s="1" t="n">
        <v>44916.63380787037</v>
      </c>
      <c r="C1109" s="1" t="n">
        <v>46002</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61200-2025</t>
        </is>
      </c>
      <c r="B1110" s="1" t="n">
        <v>46000.60918981482</v>
      </c>
      <c r="C1110" s="1" t="n">
        <v>46002</v>
      </c>
      <c r="D1110" t="inlineStr">
        <is>
          <t>VÄSTERNORRLANDS LÄN</t>
        </is>
      </c>
      <c r="E1110" t="inlineStr">
        <is>
          <t>ÅNGE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61203-2025</t>
        </is>
      </c>
      <c r="B1111" s="1" t="n">
        <v>46000.61237268519</v>
      </c>
      <c r="C1111" s="1" t="n">
        <v>46002</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53013-2025</t>
        </is>
      </c>
      <c r="B1112" s="1" t="n">
        <v>45957.81732638889</v>
      </c>
      <c r="C1112" s="1" t="n">
        <v>46002</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16365-2023</t>
        </is>
      </c>
      <c r="B1113" s="1" t="n">
        <v>45028</v>
      </c>
      <c r="C1113" s="1" t="n">
        <v>46002</v>
      </c>
      <c r="D1113" t="inlineStr">
        <is>
          <t>VÄSTERNORRLANDS LÄN</t>
        </is>
      </c>
      <c r="E1113" t="inlineStr">
        <is>
          <t>ÅNGE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53221-2025</t>
        </is>
      </c>
      <c r="B1114" s="1" t="n">
        <v>45958.60331018519</v>
      </c>
      <c r="C1114" s="1" t="n">
        <v>46002</v>
      </c>
      <c r="D1114" t="inlineStr">
        <is>
          <t>VÄSTERNORRLANDS LÄN</t>
        </is>
      </c>
      <c r="E1114" t="inlineStr">
        <is>
          <t>ÅNGE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69790-2021</t>
        </is>
      </c>
      <c r="B1115" s="1" t="n">
        <v>44532.605625</v>
      </c>
      <c r="C1115" s="1" t="n">
        <v>46002</v>
      </c>
      <c r="D1115" t="inlineStr">
        <is>
          <t>VÄSTERNORRLANDS LÄN</t>
        </is>
      </c>
      <c r="E1115" t="inlineStr">
        <is>
          <t>ÅNGE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53209-2024</t>
        </is>
      </c>
      <c r="B1116" s="1" t="n">
        <v>45612.51079861111</v>
      </c>
      <c r="C1116" s="1" t="n">
        <v>46002</v>
      </c>
      <c r="D1116" t="inlineStr">
        <is>
          <t>VÄSTERNORRLANDS LÄN</t>
        </is>
      </c>
      <c r="E1116" t="inlineStr">
        <is>
          <t>ÅNGE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3574-2025</t>
        </is>
      </c>
      <c r="B1117" s="1" t="n">
        <v>45680.71916666667</v>
      </c>
      <c r="C1117" s="1" t="n">
        <v>46002</v>
      </c>
      <c r="D1117" t="inlineStr">
        <is>
          <t>VÄSTERNORRLANDS LÄN</t>
        </is>
      </c>
      <c r="E1117" t="inlineStr">
        <is>
          <t>ÅNGE</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61321-2025</t>
        </is>
      </c>
      <c r="B1118" s="1" t="n">
        <v>46000.96894675926</v>
      </c>
      <c r="C1118" s="1" t="n">
        <v>46002</v>
      </c>
      <c r="D1118" t="inlineStr">
        <is>
          <t>VÄSTERNORRLANDS LÄN</t>
        </is>
      </c>
      <c r="E1118" t="inlineStr">
        <is>
          <t>ÅNGE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30803-2022</t>
        </is>
      </c>
      <c r="B1119" s="1" t="n">
        <v>44764</v>
      </c>
      <c r="C1119" s="1" t="n">
        <v>46002</v>
      </c>
      <c r="D1119" t="inlineStr">
        <is>
          <t>VÄSTERNORRLANDS LÄN</t>
        </is>
      </c>
      <c r="E1119" t="inlineStr">
        <is>
          <t>ÅNGE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34750-2023</t>
        </is>
      </c>
      <c r="B1120" s="1" t="n">
        <v>45139</v>
      </c>
      <c r="C1120" s="1" t="n">
        <v>46002</v>
      </c>
      <c r="D1120" t="inlineStr">
        <is>
          <t>VÄSTERNORRLANDS LÄN</t>
        </is>
      </c>
      <c r="E1120" t="inlineStr">
        <is>
          <t>ÅNGE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44180-2023</t>
        </is>
      </c>
      <c r="B1121" s="1" t="n">
        <v>45183</v>
      </c>
      <c r="C1121" s="1" t="n">
        <v>46002</v>
      </c>
      <c r="D1121" t="inlineStr">
        <is>
          <t>VÄSTERNORRLANDS LÄN</t>
        </is>
      </c>
      <c r="E1121" t="inlineStr">
        <is>
          <t>ÅNGE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14888-2022</t>
        </is>
      </c>
      <c r="B1122" s="1" t="n">
        <v>44656</v>
      </c>
      <c r="C1122" s="1" t="n">
        <v>46002</v>
      </c>
      <c r="D1122" t="inlineStr">
        <is>
          <t>VÄSTERNORRLANDS LÄN</t>
        </is>
      </c>
      <c r="E1122" t="inlineStr">
        <is>
          <t>ÅNGE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22990-2024</t>
        </is>
      </c>
      <c r="B1123" s="1" t="n">
        <v>45449.94548611111</v>
      </c>
      <c r="C1123" s="1" t="n">
        <v>46002</v>
      </c>
      <c r="D1123" t="inlineStr">
        <is>
          <t>VÄSTERNORRLANDS LÄN</t>
        </is>
      </c>
      <c r="E1123" t="inlineStr">
        <is>
          <t>ÅNGE</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27260-2023</t>
        </is>
      </c>
      <c r="B1124" s="1" t="n">
        <v>45092</v>
      </c>
      <c r="C1124" s="1" t="n">
        <v>46002</v>
      </c>
      <c r="D1124" t="inlineStr">
        <is>
          <t>VÄSTERNORRLANDS LÄN</t>
        </is>
      </c>
      <c r="E1124" t="inlineStr">
        <is>
          <t>ÅNGE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58637-2023</t>
        </is>
      </c>
      <c r="B1125" s="1" t="n">
        <v>45251</v>
      </c>
      <c r="C1125" s="1" t="n">
        <v>46002</v>
      </c>
      <c r="D1125" t="inlineStr">
        <is>
          <t>VÄSTERNORRLANDS LÄN</t>
        </is>
      </c>
      <c r="E1125" t="inlineStr">
        <is>
          <t>ÅNGE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30753-2024</t>
        </is>
      </c>
      <c r="B1126" s="1" t="n">
        <v>45496</v>
      </c>
      <c r="C1126" s="1" t="n">
        <v>46002</v>
      </c>
      <c r="D1126" t="inlineStr">
        <is>
          <t>VÄSTERNORRLANDS LÄN</t>
        </is>
      </c>
      <c r="E1126" t="inlineStr">
        <is>
          <t>ÅNGE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30754-2024</t>
        </is>
      </c>
      <c r="B1127" s="1" t="n">
        <v>45496</v>
      </c>
      <c r="C1127" s="1" t="n">
        <v>46002</v>
      </c>
      <c r="D1127" t="inlineStr">
        <is>
          <t>VÄSTERNORRLANDS LÄN</t>
        </is>
      </c>
      <c r="E1127" t="inlineStr">
        <is>
          <t>ÅNGE</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57271-2024</t>
        </is>
      </c>
      <c r="B1128" s="1" t="n">
        <v>45629.57364583333</v>
      </c>
      <c r="C1128" s="1" t="n">
        <v>46002</v>
      </c>
      <c r="D1128" t="inlineStr">
        <is>
          <t>VÄSTERNORRLANDS LÄN</t>
        </is>
      </c>
      <c r="E1128" t="inlineStr">
        <is>
          <t>ÅNGE</t>
        </is>
      </c>
      <c r="F1128" t="inlineStr">
        <is>
          <t>SCA</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9480-2022</t>
        </is>
      </c>
      <c r="B1129" s="1" t="n">
        <v>44616</v>
      </c>
      <c r="C1129" s="1" t="n">
        <v>46002</v>
      </c>
      <c r="D1129" t="inlineStr">
        <is>
          <t>VÄSTERNORRLANDS LÄN</t>
        </is>
      </c>
      <c r="E1129" t="inlineStr">
        <is>
          <t>ÅNGE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37503-2023</t>
        </is>
      </c>
      <c r="B1130" s="1" t="n">
        <v>45157.5796875</v>
      </c>
      <c r="C1130" s="1" t="n">
        <v>46002</v>
      </c>
      <c r="D1130" t="inlineStr">
        <is>
          <t>VÄSTERNORRLANDS LÄN</t>
        </is>
      </c>
      <c r="E1130" t="inlineStr">
        <is>
          <t>ÅNGE</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51124-2024</t>
        </is>
      </c>
      <c r="B1131" s="1" t="n">
        <v>45603.50716435185</v>
      </c>
      <c r="C1131" s="1" t="n">
        <v>46002</v>
      </c>
      <c r="D1131" t="inlineStr">
        <is>
          <t>VÄSTERNORRLANDS LÄN</t>
        </is>
      </c>
      <c r="E1131" t="inlineStr">
        <is>
          <t>ÅNGE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51377-2024</t>
        </is>
      </c>
      <c r="B1132" s="1" t="n">
        <v>45604.38142361111</v>
      </c>
      <c r="C1132" s="1" t="n">
        <v>46002</v>
      </c>
      <c r="D1132" t="inlineStr">
        <is>
          <t>VÄSTERNORRLANDS LÄN</t>
        </is>
      </c>
      <c r="E1132" t="inlineStr">
        <is>
          <t>ÅNGE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44876-2024</t>
        </is>
      </c>
      <c r="B1133" s="1" t="n">
        <v>45575.34474537037</v>
      </c>
      <c r="C1133" s="1" t="n">
        <v>46002</v>
      </c>
      <c r="D1133" t="inlineStr">
        <is>
          <t>VÄSTERNORRLANDS LÄN</t>
        </is>
      </c>
      <c r="E1133" t="inlineStr">
        <is>
          <t>ÅNGE</t>
        </is>
      </c>
      <c r="F1133" t="inlineStr">
        <is>
          <t>SCA</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20229-2022</t>
        </is>
      </c>
      <c r="B1134" s="1" t="n">
        <v>44698.61150462963</v>
      </c>
      <c r="C1134" s="1" t="n">
        <v>46002</v>
      </c>
      <c r="D1134" t="inlineStr">
        <is>
          <t>VÄSTERNORRLANDS LÄN</t>
        </is>
      </c>
      <c r="E1134" t="inlineStr">
        <is>
          <t>ÅNGE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14097-2022</t>
        </is>
      </c>
      <c r="B1135" s="1" t="n">
        <v>44651</v>
      </c>
      <c r="C1135" s="1" t="n">
        <v>46002</v>
      </c>
      <c r="D1135" t="inlineStr">
        <is>
          <t>VÄSTERNORRLANDS LÄN</t>
        </is>
      </c>
      <c r="E1135" t="inlineStr">
        <is>
          <t>ÅNGE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32901-2023</t>
        </is>
      </c>
      <c r="B1136" s="1" t="n">
        <v>45124.95063657407</v>
      </c>
      <c r="C1136" s="1" t="n">
        <v>46002</v>
      </c>
      <c r="D1136" t="inlineStr">
        <is>
          <t>VÄSTERNORRLANDS LÄN</t>
        </is>
      </c>
      <c r="E1136" t="inlineStr">
        <is>
          <t>ÅNGE</t>
        </is>
      </c>
      <c r="F1136" t="inlineStr">
        <is>
          <t>SCA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15603-2024</t>
        </is>
      </c>
      <c r="B1137" s="1" t="n">
        <v>45401.92501157407</v>
      </c>
      <c r="C1137" s="1" t="n">
        <v>46002</v>
      </c>
      <c r="D1137" t="inlineStr">
        <is>
          <t>VÄSTERNORRLANDS LÄN</t>
        </is>
      </c>
      <c r="E1137" t="inlineStr">
        <is>
          <t>ÅNGE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11310-2023</t>
        </is>
      </c>
      <c r="B1138" s="1" t="n">
        <v>44993.01190972222</v>
      </c>
      <c r="C1138" s="1" t="n">
        <v>46002</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21409-2022</t>
        </is>
      </c>
      <c r="B1139" s="1" t="n">
        <v>44705.9406712963</v>
      </c>
      <c r="C1139" s="1" t="n">
        <v>46002</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48632-2023</t>
        </is>
      </c>
      <c r="B1140" s="1" t="n">
        <v>45208.57944444445</v>
      </c>
      <c r="C1140" s="1" t="n">
        <v>46002</v>
      </c>
      <c r="D1140" t="inlineStr">
        <is>
          <t>VÄSTERNORRLANDS LÄN</t>
        </is>
      </c>
      <c r="E1140" t="inlineStr">
        <is>
          <t>ÅNGE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20761-2024</t>
        </is>
      </c>
      <c r="B1141" s="1" t="n">
        <v>45436</v>
      </c>
      <c r="C1141" s="1" t="n">
        <v>46002</v>
      </c>
      <c r="D1141" t="inlineStr">
        <is>
          <t>VÄSTERNORRLANDS LÄN</t>
        </is>
      </c>
      <c r="E1141" t="inlineStr">
        <is>
          <t>ÅNGE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6619-2025</t>
        </is>
      </c>
      <c r="B1142" s="1" t="n">
        <v>45700.36541666667</v>
      </c>
      <c r="C1142" s="1" t="n">
        <v>46002</v>
      </c>
      <c r="D1142" t="inlineStr">
        <is>
          <t>VÄSTERNORRLANDS LÄN</t>
        </is>
      </c>
      <c r="E1142" t="inlineStr">
        <is>
          <t>ÅNGE</t>
        </is>
      </c>
      <c r="F1142" t="inlineStr">
        <is>
          <t>SCA</t>
        </is>
      </c>
      <c r="G1142" t="n">
        <v>10.3</v>
      </c>
      <c r="H1142" t="n">
        <v>0</v>
      </c>
      <c r="I1142" t="n">
        <v>0</v>
      </c>
      <c r="J1142" t="n">
        <v>0</v>
      </c>
      <c r="K1142" t="n">
        <v>0</v>
      </c>
      <c r="L1142" t="n">
        <v>0</v>
      </c>
      <c r="M1142" t="n">
        <v>0</v>
      </c>
      <c r="N1142" t="n">
        <v>0</v>
      </c>
      <c r="O1142" t="n">
        <v>0</v>
      </c>
      <c r="P1142" t="n">
        <v>0</v>
      </c>
      <c r="Q1142" t="n">
        <v>0</v>
      </c>
      <c r="R1142" s="2" t="inlineStr"/>
    </row>
    <row r="1143" ht="15" customHeight="1">
      <c r="A1143" t="inlineStr">
        <is>
          <t>A 10339-2025</t>
        </is>
      </c>
      <c r="B1143" s="1" t="n">
        <v>45720</v>
      </c>
      <c r="C1143" s="1" t="n">
        <v>46002</v>
      </c>
      <c r="D1143" t="inlineStr">
        <is>
          <t>VÄSTERNORRLANDS LÄN</t>
        </is>
      </c>
      <c r="E1143" t="inlineStr">
        <is>
          <t>ÅNGE</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12581-2024</t>
        </is>
      </c>
      <c r="B1144" s="1" t="n">
        <v>45379</v>
      </c>
      <c r="C1144" s="1" t="n">
        <v>46002</v>
      </c>
      <c r="D1144" t="inlineStr">
        <is>
          <t>VÄSTERNORRLANDS LÄN</t>
        </is>
      </c>
      <c r="E1144" t="inlineStr">
        <is>
          <t>ÅNGE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55558-2024</t>
        </is>
      </c>
      <c r="B1145" s="1" t="n">
        <v>45622.52586805556</v>
      </c>
      <c r="C1145" s="1" t="n">
        <v>46002</v>
      </c>
      <c r="D1145" t="inlineStr">
        <is>
          <t>VÄSTERNORRLANDS LÄN</t>
        </is>
      </c>
      <c r="E1145" t="inlineStr">
        <is>
          <t>ÅNGE</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52665-2024</t>
        </is>
      </c>
      <c r="B1146" s="1" t="n">
        <v>45610.36549768518</v>
      </c>
      <c r="C1146" s="1" t="n">
        <v>46002</v>
      </c>
      <c r="D1146" t="inlineStr">
        <is>
          <t>VÄSTERNORRLANDS LÄN</t>
        </is>
      </c>
      <c r="E1146" t="inlineStr">
        <is>
          <t>ÅNGE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20338-2025</t>
        </is>
      </c>
      <c r="B1147" s="1" t="n">
        <v>45775</v>
      </c>
      <c r="C1147" s="1" t="n">
        <v>46002</v>
      </c>
      <c r="D1147" t="inlineStr">
        <is>
          <t>VÄSTERNORRLANDS LÄN</t>
        </is>
      </c>
      <c r="E1147" t="inlineStr">
        <is>
          <t>ÅNGE</t>
        </is>
      </c>
      <c r="F1147" t="inlineStr">
        <is>
          <t>SCA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14751-2025</t>
        </is>
      </c>
      <c r="B1148" s="1" t="n">
        <v>45742.65863425926</v>
      </c>
      <c r="C1148" s="1" t="n">
        <v>46002</v>
      </c>
      <c r="D1148" t="inlineStr">
        <is>
          <t>VÄSTERNORRLANDS LÄN</t>
        </is>
      </c>
      <c r="E1148" t="inlineStr">
        <is>
          <t>ÅNGE</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54342-2023</t>
        </is>
      </c>
      <c r="B1149" s="1" t="n">
        <v>45232</v>
      </c>
      <c r="C1149" s="1" t="n">
        <v>46002</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34091-2022</t>
        </is>
      </c>
      <c r="B1150" s="1" t="n">
        <v>44791</v>
      </c>
      <c r="C1150" s="1" t="n">
        <v>46002</v>
      </c>
      <c r="D1150" t="inlineStr">
        <is>
          <t>VÄSTERNORRLANDS LÄN</t>
        </is>
      </c>
      <c r="E1150" t="inlineStr">
        <is>
          <t>ÅNGE</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19066-2024</t>
        </is>
      </c>
      <c r="B1151" s="1" t="n">
        <v>45427</v>
      </c>
      <c r="C1151" s="1" t="n">
        <v>46002</v>
      </c>
      <c r="D1151" t="inlineStr">
        <is>
          <t>VÄSTERNORRLANDS LÄN</t>
        </is>
      </c>
      <c r="E1151" t="inlineStr">
        <is>
          <t>ÅNGE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14976-2025</t>
        </is>
      </c>
      <c r="B1152" s="1" t="n">
        <v>45743</v>
      </c>
      <c r="C1152" s="1" t="n">
        <v>46002</v>
      </c>
      <c r="D1152" t="inlineStr">
        <is>
          <t>VÄSTERNORRLANDS LÄN</t>
        </is>
      </c>
      <c r="E1152" t="inlineStr">
        <is>
          <t>ÅNGE</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8070-2022</t>
        </is>
      </c>
      <c r="B1153" s="1" t="n">
        <v>44609.48665509259</v>
      </c>
      <c r="C1153" s="1" t="n">
        <v>46002</v>
      </c>
      <c r="D1153" t="inlineStr">
        <is>
          <t>VÄSTERNORRLANDS LÄN</t>
        </is>
      </c>
      <c r="E1153" t="inlineStr">
        <is>
          <t>ÅNGE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52805-2024</t>
        </is>
      </c>
      <c r="B1154" s="1" t="n">
        <v>45610.57344907407</v>
      </c>
      <c r="C1154" s="1" t="n">
        <v>46002</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4651-2022</t>
        </is>
      </c>
      <c r="B1155" s="1" t="n">
        <v>44592</v>
      </c>
      <c r="C1155" s="1" t="n">
        <v>46002</v>
      </c>
      <c r="D1155" t="inlineStr">
        <is>
          <t>VÄSTERNORRLANDS LÄN</t>
        </is>
      </c>
      <c r="E1155" t="inlineStr">
        <is>
          <t>ÅNGE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19342-2024</t>
        </is>
      </c>
      <c r="B1156" s="1" t="n">
        <v>45428</v>
      </c>
      <c r="C1156" s="1" t="n">
        <v>46002</v>
      </c>
      <c r="D1156" t="inlineStr">
        <is>
          <t>VÄSTERNORRLANDS LÄN</t>
        </is>
      </c>
      <c r="E1156" t="inlineStr">
        <is>
          <t>ÅNGE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24977-2021</t>
        </is>
      </c>
      <c r="B1157" s="1" t="n">
        <v>44341.51386574074</v>
      </c>
      <c r="C1157" s="1" t="n">
        <v>46002</v>
      </c>
      <c r="D1157" t="inlineStr">
        <is>
          <t>VÄSTERNORRLANDS LÄN</t>
        </is>
      </c>
      <c r="E1157" t="inlineStr">
        <is>
          <t>ÅNGE</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5246-2025</t>
        </is>
      </c>
      <c r="B1158" s="1" t="n">
        <v>45692.34427083333</v>
      </c>
      <c r="C1158" s="1" t="n">
        <v>46002</v>
      </c>
      <c r="D1158" t="inlineStr">
        <is>
          <t>VÄSTERNORRLANDS LÄN</t>
        </is>
      </c>
      <c r="E1158" t="inlineStr">
        <is>
          <t>ÅNGE</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16973-2025</t>
        </is>
      </c>
      <c r="B1159" s="1" t="n">
        <v>45755.46967592592</v>
      </c>
      <c r="C1159" s="1" t="n">
        <v>46002</v>
      </c>
      <c r="D1159" t="inlineStr">
        <is>
          <t>VÄSTERNORRLANDS LÄN</t>
        </is>
      </c>
      <c r="E1159" t="inlineStr">
        <is>
          <t>ÅNGE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34679-2024</t>
        </is>
      </c>
      <c r="B1160" s="1" t="n">
        <v>45526</v>
      </c>
      <c r="C1160" s="1" t="n">
        <v>46002</v>
      </c>
      <c r="D1160" t="inlineStr">
        <is>
          <t>VÄSTERNORRLANDS LÄN</t>
        </is>
      </c>
      <c r="E1160" t="inlineStr">
        <is>
          <t>ÅNGE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43096-2023</t>
        </is>
      </c>
      <c r="B1161" s="1" t="n">
        <v>45182</v>
      </c>
      <c r="C1161" s="1" t="n">
        <v>46002</v>
      </c>
      <c r="D1161" t="inlineStr">
        <is>
          <t>VÄSTERNORRLANDS LÄN</t>
        </is>
      </c>
      <c r="E1161" t="inlineStr">
        <is>
          <t>ÅNGE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60296-2021</t>
        </is>
      </c>
      <c r="B1162" s="1" t="n">
        <v>44495</v>
      </c>
      <c r="C1162" s="1" t="n">
        <v>46002</v>
      </c>
      <c r="D1162" t="inlineStr">
        <is>
          <t>VÄSTERNORRLANDS LÄN</t>
        </is>
      </c>
      <c r="E1162" t="inlineStr">
        <is>
          <t>ÅNGE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25023-2022</t>
        </is>
      </c>
      <c r="B1163" s="1" t="n">
        <v>44728</v>
      </c>
      <c r="C1163" s="1" t="n">
        <v>46002</v>
      </c>
      <c r="D1163" t="inlineStr">
        <is>
          <t>VÄSTERNORRLANDS LÄN</t>
        </is>
      </c>
      <c r="E1163" t="inlineStr">
        <is>
          <t>ÅNGE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31545-2024</t>
        </is>
      </c>
      <c r="B1164" s="1" t="n">
        <v>45505</v>
      </c>
      <c r="C1164" s="1" t="n">
        <v>46002</v>
      </c>
      <c r="D1164" t="inlineStr">
        <is>
          <t>VÄSTERNORRLANDS LÄN</t>
        </is>
      </c>
      <c r="E1164" t="inlineStr">
        <is>
          <t>ÅNGE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5197-2025</t>
        </is>
      </c>
      <c r="B1165" s="1" t="n">
        <v>45691.65701388889</v>
      </c>
      <c r="C1165" s="1" t="n">
        <v>46002</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50179-2024</t>
        </is>
      </c>
      <c r="B1166" s="1" t="n">
        <v>45600</v>
      </c>
      <c r="C1166" s="1" t="n">
        <v>46002</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44565-2024</t>
        </is>
      </c>
      <c r="B1167" s="1" t="n">
        <v>45574.47518518518</v>
      </c>
      <c r="C1167" s="1" t="n">
        <v>46002</v>
      </c>
      <c r="D1167" t="inlineStr">
        <is>
          <t>VÄSTERNORRLANDS LÄN</t>
        </is>
      </c>
      <c r="E1167" t="inlineStr">
        <is>
          <t>ÅNGE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40755-2023</t>
        </is>
      </c>
      <c r="B1168" s="1" t="n">
        <v>45170</v>
      </c>
      <c r="C1168" s="1" t="n">
        <v>46002</v>
      </c>
      <c r="D1168" t="inlineStr">
        <is>
          <t>VÄSTERNORRLANDS LÄN</t>
        </is>
      </c>
      <c r="E1168" t="inlineStr">
        <is>
          <t>ÅNGE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31696-2022</t>
        </is>
      </c>
      <c r="B1169" s="1" t="n">
        <v>44776</v>
      </c>
      <c r="C1169" s="1" t="n">
        <v>46002</v>
      </c>
      <c r="D1169" t="inlineStr">
        <is>
          <t>VÄSTERNORRLANDS LÄN</t>
        </is>
      </c>
      <c r="E1169" t="inlineStr">
        <is>
          <t>ÅNGE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10084-2023</t>
        </is>
      </c>
      <c r="B1170" s="1" t="n">
        <v>44985.94465277778</v>
      </c>
      <c r="C1170" s="1" t="n">
        <v>46002</v>
      </c>
      <c r="D1170" t="inlineStr">
        <is>
          <t>VÄSTERNORRLANDS LÄN</t>
        </is>
      </c>
      <c r="E1170" t="inlineStr">
        <is>
          <t>ÅNGE</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37038-2024</t>
        </is>
      </c>
      <c r="B1171" s="1" t="n">
        <v>45539.40881944444</v>
      </c>
      <c r="C1171" s="1" t="n">
        <v>46002</v>
      </c>
      <c r="D1171" t="inlineStr">
        <is>
          <t>VÄSTERNORRLANDS LÄN</t>
        </is>
      </c>
      <c r="E1171" t="inlineStr">
        <is>
          <t>ÅNGE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60860-2022</t>
        </is>
      </c>
      <c r="B1172" s="1" t="n">
        <v>44914</v>
      </c>
      <c r="C1172" s="1" t="n">
        <v>46002</v>
      </c>
      <c r="D1172" t="inlineStr">
        <is>
          <t>VÄSTERNORRLANDS LÄN</t>
        </is>
      </c>
      <c r="E1172" t="inlineStr">
        <is>
          <t>ÅNGE</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46002</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41284-2024</t>
        </is>
      </c>
      <c r="B1174" s="1" t="n">
        <v>45559.59520833333</v>
      </c>
      <c r="C1174" s="1" t="n">
        <v>46002</v>
      </c>
      <c r="D1174" t="inlineStr">
        <is>
          <t>VÄSTERNORRLANDS LÄN</t>
        </is>
      </c>
      <c r="E1174" t="inlineStr">
        <is>
          <t>ÅNGE</t>
        </is>
      </c>
      <c r="F1174" t="inlineStr">
        <is>
          <t>SCA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39682-2024</t>
        </is>
      </c>
      <c r="B1175" s="1" t="n">
        <v>45552</v>
      </c>
      <c r="C1175" s="1" t="n">
        <v>46002</v>
      </c>
      <c r="D1175" t="inlineStr">
        <is>
          <t>VÄSTERNORRLANDS LÄN</t>
        </is>
      </c>
      <c r="E1175" t="inlineStr">
        <is>
          <t>ÅNGE</t>
        </is>
      </c>
      <c r="G1175" t="n">
        <v>35.4</v>
      </c>
      <c r="H1175" t="n">
        <v>0</v>
      </c>
      <c r="I1175" t="n">
        <v>0</v>
      </c>
      <c r="J1175" t="n">
        <v>0</v>
      </c>
      <c r="K1175" t="n">
        <v>0</v>
      </c>
      <c r="L1175" t="n">
        <v>0</v>
      </c>
      <c r="M1175" t="n">
        <v>0</v>
      </c>
      <c r="N1175" t="n">
        <v>0</v>
      </c>
      <c r="O1175" t="n">
        <v>0</v>
      </c>
      <c r="P1175" t="n">
        <v>0</v>
      </c>
      <c r="Q1175" t="n">
        <v>0</v>
      </c>
      <c r="R1175" s="2" t="inlineStr"/>
    </row>
    <row r="1176" ht="15" customHeight="1">
      <c r="A1176" t="inlineStr">
        <is>
          <t>A 19798-2025</t>
        </is>
      </c>
      <c r="B1176" s="1" t="n">
        <v>45771.44824074074</v>
      </c>
      <c r="C1176" s="1" t="n">
        <v>46002</v>
      </c>
      <c r="D1176" t="inlineStr">
        <is>
          <t>VÄSTERNORRLANDS LÄN</t>
        </is>
      </c>
      <c r="E1176" t="inlineStr">
        <is>
          <t>ÅNGE</t>
        </is>
      </c>
      <c r="F1176" t="inlineStr">
        <is>
          <t>SCA</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2984-2025</t>
        </is>
      </c>
      <c r="B1177" s="1" t="n">
        <v>45678.51094907407</v>
      </c>
      <c r="C1177" s="1" t="n">
        <v>46002</v>
      </c>
      <c r="D1177" t="inlineStr">
        <is>
          <t>VÄSTERNORRLANDS LÄN</t>
        </is>
      </c>
      <c r="E1177" t="inlineStr">
        <is>
          <t>ÅNGE</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3133-2024</t>
        </is>
      </c>
      <c r="B1178" s="1" t="n">
        <v>45316.55885416667</v>
      </c>
      <c r="C1178" s="1" t="n">
        <v>46002</v>
      </c>
      <c r="D1178" t="inlineStr">
        <is>
          <t>VÄSTERNORRLANDS LÄN</t>
        </is>
      </c>
      <c r="E1178" t="inlineStr">
        <is>
          <t>ÅNGE</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56569-2024</t>
        </is>
      </c>
      <c r="B1179" s="1" t="n">
        <v>45625</v>
      </c>
      <c r="C1179" s="1" t="n">
        <v>46002</v>
      </c>
      <c r="D1179" t="inlineStr">
        <is>
          <t>VÄSTERNORRLANDS LÄN</t>
        </is>
      </c>
      <c r="E1179" t="inlineStr">
        <is>
          <t>ÅNGE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53663-2022</t>
        </is>
      </c>
      <c r="B1180" s="1" t="n">
        <v>44879</v>
      </c>
      <c r="C1180" s="1" t="n">
        <v>46002</v>
      </c>
      <c r="D1180" t="inlineStr">
        <is>
          <t>VÄSTERNORRLANDS LÄN</t>
        </is>
      </c>
      <c r="E1180" t="inlineStr">
        <is>
          <t>ÅNGE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10089-2023</t>
        </is>
      </c>
      <c r="B1181" s="1" t="n">
        <v>44985</v>
      </c>
      <c r="C1181" s="1" t="n">
        <v>46002</v>
      </c>
      <c r="D1181" t="inlineStr">
        <is>
          <t>VÄSTERNORRLANDS LÄN</t>
        </is>
      </c>
      <c r="E1181" t="inlineStr">
        <is>
          <t>ÅNGE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10090-2023</t>
        </is>
      </c>
      <c r="B1182" s="1" t="n">
        <v>44985.94511574074</v>
      </c>
      <c r="C1182" s="1" t="n">
        <v>46002</v>
      </c>
      <c r="D1182" t="inlineStr">
        <is>
          <t>VÄSTERNORRLANDS LÄN</t>
        </is>
      </c>
      <c r="E1182" t="inlineStr">
        <is>
          <t>ÅNGE</t>
        </is>
      </c>
      <c r="F1182" t="inlineStr">
        <is>
          <t>SCA</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19997-2023</t>
        </is>
      </c>
      <c r="B1183" s="1" t="n">
        <v>45054</v>
      </c>
      <c r="C1183" s="1" t="n">
        <v>46002</v>
      </c>
      <c r="D1183" t="inlineStr">
        <is>
          <t>VÄSTERNORRLANDS LÄN</t>
        </is>
      </c>
      <c r="E1183" t="inlineStr">
        <is>
          <t>ÅNGE</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38284-2022</t>
        </is>
      </c>
      <c r="B1184" s="1" t="n">
        <v>44812.55149305556</v>
      </c>
      <c r="C1184" s="1" t="n">
        <v>46002</v>
      </c>
      <c r="D1184" t="inlineStr">
        <is>
          <t>VÄSTERNORRLANDS LÄN</t>
        </is>
      </c>
      <c r="E1184" t="inlineStr">
        <is>
          <t>ÅNGE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5393-2025</t>
        </is>
      </c>
      <c r="B1185" s="1" t="n">
        <v>45692.63574074074</v>
      </c>
      <c r="C1185" s="1" t="n">
        <v>46002</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57529-2024</t>
        </is>
      </c>
      <c r="B1186" s="1" t="n">
        <v>45630</v>
      </c>
      <c r="C1186" s="1" t="n">
        <v>46002</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1769-2023</t>
        </is>
      </c>
      <c r="B1187" s="1" t="n">
        <v>44938.58025462963</v>
      </c>
      <c r="C1187" s="1" t="n">
        <v>46002</v>
      </c>
      <c r="D1187" t="inlineStr">
        <is>
          <t>VÄSTERNORRLANDS LÄN</t>
        </is>
      </c>
      <c r="E1187" t="inlineStr">
        <is>
          <t>ÅNGE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32776-2022</t>
        </is>
      </c>
      <c r="B1188" s="1" t="n">
        <v>44783.94607638889</v>
      </c>
      <c r="C1188" s="1" t="n">
        <v>46002</v>
      </c>
      <c r="D1188" t="inlineStr">
        <is>
          <t>VÄSTERNORRLANDS LÄN</t>
        </is>
      </c>
      <c r="E1188" t="inlineStr">
        <is>
          <t>ÅNGE</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25779-2023</t>
        </is>
      </c>
      <c r="B1189" s="1" t="n">
        <v>45090.47439814815</v>
      </c>
      <c r="C1189" s="1" t="n">
        <v>46002</v>
      </c>
      <c r="D1189" t="inlineStr">
        <is>
          <t>VÄSTERNORRLANDS LÄN</t>
        </is>
      </c>
      <c r="E1189" t="inlineStr">
        <is>
          <t>ÅNGE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23225-2024</t>
        </is>
      </c>
      <c r="B1190" s="1" t="n">
        <v>45452.9490162037</v>
      </c>
      <c r="C1190" s="1" t="n">
        <v>46002</v>
      </c>
      <c r="D1190" t="inlineStr">
        <is>
          <t>VÄSTERNORRLANDS LÄN</t>
        </is>
      </c>
      <c r="E1190" t="inlineStr">
        <is>
          <t>ÅNGE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29696-2024</t>
        </is>
      </c>
      <c r="B1191" s="1" t="n">
        <v>45484.94524305555</v>
      </c>
      <c r="C1191" s="1" t="n">
        <v>46002</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6462-2024</t>
        </is>
      </c>
      <c r="B1192" s="1" t="n">
        <v>45338</v>
      </c>
      <c r="C1192" s="1" t="n">
        <v>46002</v>
      </c>
      <c r="D1192" t="inlineStr">
        <is>
          <t>VÄSTERNORRLANDS LÄN</t>
        </is>
      </c>
      <c r="E1192" t="inlineStr">
        <is>
          <t>ÅNGE</t>
        </is>
      </c>
      <c r="F1192" t="inlineStr">
        <is>
          <t>Kyrkan</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26018-2024</t>
        </is>
      </c>
      <c r="B1193" s="1" t="n">
        <v>45467.95998842592</v>
      </c>
      <c r="C1193" s="1" t="n">
        <v>46002</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26021-2024</t>
        </is>
      </c>
      <c r="B1194" s="1" t="n">
        <v>45467</v>
      </c>
      <c r="C1194" s="1" t="n">
        <v>46002</v>
      </c>
      <c r="D1194" t="inlineStr">
        <is>
          <t>VÄSTERNORRLANDS LÄN</t>
        </is>
      </c>
      <c r="E1194" t="inlineStr">
        <is>
          <t>ÅNGE</t>
        </is>
      </c>
      <c r="F1194" t="inlineStr">
        <is>
          <t>SCA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29673-2024</t>
        </is>
      </c>
      <c r="B1195" s="1" t="n">
        <v>45484.94210648148</v>
      </c>
      <c r="C1195" s="1" t="n">
        <v>46002</v>
      </c>
      <c r="D1195" t="inlineStr">
        <is>
          <t>VÄSTERNORRLANDS LÄN</t>
        </is>
      </c>
      <c r="E1195" t="inlineStr">
        <is>
          <t>ÅNGE</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48690-2024</t>
        </is>
      </c>
      <c r="B1196" s="1" t="n">
        <v>45593.50704861111</v>
      </c>
      <c r="C1196" s="1" t="n">
        <v>46002</v>
      </c>
      <c r="D1196" t="inlineStr">
        <is>
          <t>VÄSTERNORRLANDS LÄN</t>
        </is>
      </c>
      <c r="E1196" t="inlineStr">
        <is>
          <t>ÅNGE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11399-2025</t>
        </is>
      </c>
      <c r="B1197" s="1" t="n">
        <v>45726.57364583333</v>
      </c>
      <c r="C1197" s="1" t="n">
        <v>46002</v>
      </c>
      <c r="D1197" t="inlineStr">
        <is>
          <t>VÄSTERNORRLANDS LÄN</t>
        </is>
      </c>
      <c r="E1197" t="inlineStr">
        <is>
          <t>ÅNGE</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39021-2024</t>
        </is>
      </c>
      <c r="B1198" s="1" t="n">
        <v>45548</v>
      </c>
      <c r="C1198" s="1" t="n">
        <v>46002</v>
      </c>
      <c r="D1198" t="inlineStr">
        <is>
          <t>VÄSTERNORRLANDS LÄN</t>
        </is>
      </c>
      <c r="E1198" t="inlineStr">
        <is>
          <t>ÅNGE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27915-2024</t>
        </is>
      </c>
      <c r="B1199" s="1" t="n">
        <v>45475</v>
      </c>
      <c r="C1199" s="1" t="n">
        <v>46002</v>
      </c>
      <c r="D1199" t="inlineStr">
        <is>
          <t>VÄSTERNORRLANDS LÄN</t>
        </is>
      </c>
      <c r="E1199" t="inlineStr">
        <is>
          <t>ÅNGE</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2433-2024</t>
        </is>
      </c>
      <c r="B1200" s="1" t="n">
        <v>45310</v>
      </c>
      <c r="C1200" s="1" t="n">
        <v>46002</v>
      </c>
      <c r="D1200" t="inlineStr">
        <is>
          <t>VÄSTERNORRLANDS LÄN</t>
        </is>
      </c>
      <c r="E1200" t="inlineStr">
        <is>
          <t>ÅNGE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57846-2022</t>
        </is>
      </c>
      <c r="B1201" s="1" t="n">
        <v>44897.95008101852</v>
      </c>
      <c r="C1201" s="1" t="n">
        <v>46002</v>
      </c>
      <c r="D1201" t="inlineStr">
        <is>
          <t>VÄSTERNORRLANDS LÄN</t>
        </is>
      </c>
      <c r="E1201" t="inlineStr">
        <is>
          <t>ÅNGE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46249-2024</t>
        </is>
      </c>
      <c r="B1202" s="1" t="n">
        <v>45581.59409722222</v>
      </c>
      <c r="C1202" s="1" t="n">
        <v>46002</v>
      </c>
      <c r="D1202" t="inlineStr">
        <is>
          <t>VÄSTERNORRLANDS LÄN</t>
        </is>
      </c>
      <c r="E1202" t="inlineStr">
        <is>
          <t>ÅNGE</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8868-2023</t>
        </is>
      </c>
      <c r="B1203" s="1" t="n">
        <v>44978</v>
      </c>
      <c r="C1203" s="1" t="n">
        <v>46002</v>
      </c>
      <c r="D1203" t="inlineStr">
        <is>
          <t>VÄSTERNORRLANDS LÄN</t>
        </is>
      </c>
      <c r="E1203" t="inlineStr">
        <is>
          <t>ÅNGE</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65229-2021</t>
        </is>
      </c>
      <c r="B1204" s="1" t="n">
        <v>44515</v>
      </c>
      <c r="C1204" s="1" t="n">
        <v>46002</v>
      </c>
      <c r="D1204" t="inlineStr">
        <is>
          <t>VÄSTERNORRLANDS LÄN</t>
        </is>
      </c>
      <c r="E1204" t="inlineStr">
        <is>
          <t>ÅNGE</t>
        </is>
      </c>
      <c r="G1204" t="n">
        <v>12.1</v>
      </c>
      <c r="H1204" t="n">
        <v>0</v>
      </c>
      <c r="I1204" t="n">
        <v>0</v>
      </c>
      <c r="J1204" t="n">
        <v>0</v>
      </c>
      <c r="K1204" t="n">
        <v>0</v>
      </c>
      <c r="L1204" t="n">
        <v>0</v>
      </c>
      <c r="M1204" t="n">
        <v>0</v>
      </c>
      <c r="N1204" t="n">
        <v>0</v>
      </c>
      <c r="O1204" t="n">
        <v>0</v>
      </c>
      <c r="P1204" t="n">
        <v>0</v>
      </c>
      <c r="Q1204" t="n">
        <v>0</v>
      </c>
      <c r="R1204" s="2" t="inlineStr"/>
    </row>
    <row r="1205" ht="15" customHeight="1">
      <c r="A1205" t="inlineStr">
        <is>
          <t>A 57291-2022</t>
        </is>
      </c>
      <c r="B1205" s="1" t="n">
        <v>44895</v>
      </c>
      <c r="C1205" s="1" t="n">
        <v>46002</v>
      </c>
      <c r="D1205" t="inlineStr">
        <is>
          <t>VÄSTERNORRLANDS LÄN</t>
        </is>
      </c>
      <c r="E1205" t="inlineStr">
        <is>
          <t>ÅNGE</t>
        </is>
      </c>
      <c r="F1205" t="inlineStr">
        <is>
          <t>SCA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4883-2023</t>
        </is>
      </c>
      <c r="B1206" s="1" t="n">
        <v>44957</v>
      </c>
      <c r="C1206" s="1" t="n">
        <v>46002</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64945-2023</t>
        </is>
      </c>
      <c r="B1207" s="1" t="n">
        <v>45282.94668981482</v>
      </c>
      <c r="C1207" s="1" t="n">
        <v>46002</v>
      </c>
      <c r="D1207" t="inlineStr">
        <is>
          <t>VÄSTERNORRLANDS LÄN</t>
        </is>
      </c>
      <c r="E1207" t="inlineStr">
        <is>
          <t>ÅNGE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26951-2024</t>
        </is>
      </c>
      <c r="B1208" s="1" t="n">
        <v>45470.96991898148</v>
      </c>
      <c r="C1208" s="1" t="n">
        <v>46002</v>
      </c>
      <c r="D1208" t="inlineStr">
        <is>
          <t>VÄSTERNORRLANDS LÄN</t>
        </is>
      </c>
      <c r="E1208" t="inlineStr">
        <is>
          <t>ÅNGE</t>
        </is>
      </c>
      <c r="F1208" t="inlineStr">
        <is>
          <t>SCA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26952-2024</t>
        </is>
      </c>
      <c r="B1209" s="1" t="n">
        <v>45470</v>
      </c>
      <c r="C1209" s="1" t="n">
        <v>46002</v>
      </c>
      <c r="D1209" t="inlineStr">
        <is>
          <t>VÄSTERNORRLANDS LÄN</t>
        </is>
      </c>
      <c r="E1209" t="inlineStr">
        <is>
          <t>ÅNGE</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56399-2022</t>
        </is>
      </c>
      <c r="B1210" s="1" t="n">
        <v>44890</v>
      </c>
      <c r="C1210" s="1" t="n">
        <v>46002</v>
      </c>
      <c r="D1210" t="inlineStr">
        <is>
          <t>VÄSTERNORRLANDS LÄN</t>
        </is>
      </c>
      <c r="E1210" t="inlineStr">
        <is>
          <t>ÅNGE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23058-2024</t>
        </is>
      </c>
      <c r="B1211" s="1" t="n">
        <v>45450.44020833333</v>
      </c>
      <c r="C1211" s="1" t="n">
        <v>46002</v>
      </c>
      <c r="D1211" t="inlineStr">
        <is>
          <t>VÄSTERNORRLANDS LÄN</t>
        </is>
      </c>
      <c r="E1211" t="inlineStr">
        <is>
          <t>ÅNGE</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35979-2023</t>
        </is>
      </c>
      <c r="B1212" s="1" t="n">
        <v>45148</v>
      </c>
      <c r="C1212" s="1" t="n">
        <v>46002</v>
      </c>
      <c r="D1212" t="inlineStr">
        <is>
          <t>VÄSTERNORRLANDS LÄN</t>
        </is>
      </c>
      <c r="E1212" t="inlineStr">
        <is>
          <t>ÅNGE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3986-2025</t>
        </is>
      </c>
      <c r="B1213" s="1" t="n">
        <v>45684.55262731481</v>
      </c>
      <c r="C1213" s="1" t="n">
        <v>46002</v>
      </c>
      <c r="D1213" t="inlineStr">
        <is>
          <t>VÄSTERNORRLANDS LÄN</t>
        </is>
      </c>
      <c r="E1213" t="inlineStr">
        <is>
          <t>ÅNGE</t>
        </is>
      </c>
      <c r="F1213" t="inlineStr">
        <is>
          <t>SCA</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50674-2024</t>
        </is>
      </c>
      <c r="B1214" s="1" t="n">
        <v>45601.85402777778</v>
      </c>
      <c r="C1214" s="1" t="n">
        <v>46002</v>
      </c>
      <c r="D1214" t="inlineStr">
        <is>
          <t>VÄSTERNORRLANDS LÄN</t>
        </is>
      </c>
      <c r="E1214" t="inlineStr">
        <is>
          <t>ÅNGE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3322-2025</t>
        </is>
      </c>
      <c r="B1215" s="1" t="n">
        <v>45679.6989699074</v>
      </c>
      <c r="C1215" s="1" t="n">
        <v>46002</v>
      </c>
      <c r="D1215" t="inlineStr">
        <is>
          <t>VÄSTERNORRLANDS LÄN</t>
        </is>
      </c>
      <c r="E1215" t="inlineStr">
        <is>
          <t>ÅNGE</t>
        </is>
      </c>
      <c r="F1215" t="inlineStr">
        <is>
          <t>SCA</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3327-2025</t>
        </is>
      </c>
      <c r="B1216" s="1" t="n">
        <v>45679.69967592593</v>
      </c>
      <c r="C1216" s="1" t="n">
        <v>46002</v>
      </c>
      <c r="D1216" t="inlineStr">
        <is>
          <t>VÄSTERNORRLANDS LÄN</t>
        </is>
      </c>
      <c r="E1216" t="inlineStr">
        <is>
          <t>ÅNGE</t>
        </is>
      </c>
      <c r="F1216" t="inlineStr">
        <is>
          <t>SCA</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31729-2024</t>
        </is>
      </c>
      <c r="B1217" s="1" t="n">
        <v>45509.35844907408</v>
      </c>
      <c r="C1217" s="1" t="n">
        <v>46002</v>
      </c>
      <c r="D1217" t="inlineStr">
        <is>
          <t>VÄSTERNORRLANDS LÄN</t>
        </is>
      </c>
      <c r="E1217" t="inlineStr">
        <is>
          <t>ÅNGE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4071-2025</t>
        </is>
      </c>
      <c r="B1218" s="1" t="n">
        <v>45684.63579861111</v>
      </c>
      <c r="C1218" s="1" t="n">
        <v>46002</v>
      </c>
      <c r="D1218" t="inlineStr">
        <is>
          <t>VÄSTERNORRLANDS LÄN</t>
        </is>
      </c>
      <c r="E1218" t="inlineStr">
        <is>
          <t>ÅNGE</t>
        </is>
      </c>
      <c r="F1218" t="inlineStr">
        <is>
          <t>SCA</t>
        </is>
      </c>
      <c r="G1218" t="n">
        <v>13.7</v>
      </c>
      <c r="H1218" t="n">
        <v>0</v>
      </c>
      <c r="I1218" t="n">
        <v>0</v>
      </c>
      <c r="J1218" t="n">
        <v>0</v>
      </c>
      <c r="K1218" t="n">
        <v>0</v>
      </c>
      <c r="L1218" t="n">
        <v>0</v>
      </c>
      <c r="M1218" t="n">
        <v>0</v>
      </c>
      <c r="N1218" t="n">
        <v>0</v>
      </c>
      <c r="O1218" t="n">
        <v>0</v>
      </c>
      <c r="P1218" t="n">
        <v>0</v>
      </c>
      <c r="Q1218" t="n">
        <v>0</v>
      </c>
      <c r="R1218" s="2" t="inlineStr"/>
    </row>
    <row r="1219" ht="15" customHeight="1">
      <c r="A1219" t="inlineStr">
        <is>
          <t>A 44606-2024</t>
        </is>
      </c>
      <c r="B1219" s="1" t="n">
        <v>45574.51195601852</v>
      </c>
      <c r="C1219" s="1" t="n">
        <v>46002</v>
      </c>
      <c r="D1219" t="inlineStr">
        <is>
          <t>VÄSTERNORRLANDS LÄN</t>
        </is>
      </c>
      <c r="E1219" t="inlineStr">
        <is>
          <t>ÅNGE</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44626-2024</t>
        </is>
      </c>
      <c r="B1220" s="1" t="n">
        <v>45574.51378472222</v>
      </c>
      <c r="C1220" s="1" t="n">
        <v>46002</v>
      </c>
      <c r="D1220" t="inlineStr">
        <is>
          <t>VÄSTERNORRLANDS LÄN</t>
        </is>
      </c>
      <c r="E1220" t="inlineStr">
        <is>
          <t>ÅNGE</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18668-2023</t>
        </is>
      </c>
      <c r="B1221" s="1" t="n">
        <v>45043.57108796296</v>
      </c>
      <c r="C1221" s="1" t="n">
        <v>46002</v>
      </c>
      <c r="D1221" t="inlineStr">
        <is>
          <t>VÄSTERNORRLANDS LÄN</t>
        </is>
      </c>
      <c r="E1221" t="inlineStr">
        <is>
          <t>ÅNGE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1964-2022</t>
        </is>
      </c>
      <c r="B1222" s="1" t="n">
        <v>44575.5050462963</v>
      </c>
      <c r="C1222" s="1" t="n">
        <v>46002</v>
      </c>
      <c r="D1222" t="inlineStr">
        <is>
          <t>VÄSTERNORRLANDS LÄN</t>
        </is>
      </c>
      <c r="E1222" t="inlineStr">
        <is>
          <t>ÅNGE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18880-2024</t>
        </is>
      </c>
      <c r="B1223" s="1" t="n">
        <v>45426</v>
      </c>
      <c r="C1223" s="1" t="n">
        <v>46002</v>
      </c>
      <c r="D1223" t="inlineStr">
        <is>
          <t>VÄSTERNORRLANDS LÄN</t>
        </is>
      </c>
      <c r="E1223" t="inlineStr">
        <is>
          <t>ÅNGE</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48787-2024</t>
        </is>
      </c>
      <c r="B1224" s="1" t="n">
        <v>45593.63888888889</v>
      </c>
      <c r="C1224" s="1" t="n">
        <v>46002</v>
      </c>
      <c r="D1224" t="inlineStr">
        <is>
          <t>VÄSTERNORRLANDS LÄN</t>
        </is>
      </c>
      <c r="E1224" t="inlineStr">
        <is>
          <t>ÅNGE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1886-2024</t>
        </is>
      </c>
      <c r="B1225" s="1" t="n">
        <v>45307.96335648148</v>
      </c>
      <c r="C1225" s="1" t="n">
        <v>46002</v>
      </c>
      <c r="D1225" t="inlineStr">
        <is>
          <t>VÄSTERNORRLANDS LÄN</t>
        </is>
      </c>
      <c r="E1225" t="inlineStr">
        <is>
          <t>ÅNGE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41370-2023</t>
        </is>
      </c>
      <c r="B1226" s="1" t="n">
        <v>45174.85951388889</v>
      </c>
      <c r="C1226" s="1" t="n">
        <v>46002</v>
      </c>
      <c r="D1226" t="inlineStr">
        <is>
          <t>VÄSTERNORRLANDS LÄN</t>
        </is>
      </c>
      <c r="E1226" t="inlineStr">
        <is>
          <t>ÅNGE</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30235-2024</t>
        </is>
      </c>
      <c r="B1227" s="1" t="n">
        <v>45490.49040509259</v>
      </c>
      <c r="C1227" s="1" t="n">
        <v>46002</v>
      </c>
      <c r="D1227" t="inlineStr">
        <is>
          <t>VÄSTERNORRLANDS LÄN</t>
        </is>
      </c>
      <c r="E1227" t="inlineStr">
        <is>
          <t>ÅNGE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60817-2024</t>
        </is>
      </c>
      <c r="B1228" s="1" t="n">
        <v>45644</v>
      </c>
      <c r="C1228" s="1" t="n">
        <v>46002</v>
      </c>
      <c r="D1228" t="inlineStr">
        <is>
          <t>VÄSTERNORRLANDS LÄN</t>
        </is>
      </c>
      <c r="E1228" t="inlineStr">
        <is>
          <t>ÅNGE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18456-2024</t>
        </is>
      </c>
      <c r="B1229" s="1" t="n">
        <v>45425.46831018518</v>
      </c>
      <c r="C1229" s="1" t="n">
        <v>46002</v>
      </c>
      <c r="D1229" t="inlineStr">
        <is>
          <t>VÄSTERNORRLANDS LÄN</t>
        </is>
      </c>
      <c r="E1229" t="inlineStr">
        <is>
          <t>ÅNGE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25047-2023</t>
        </is>
      </c>
      <c r="B1230" s="1" t="n">
        <v>45085.94569444445</v>
      </c>
      <c r="C1230" s="1" t="n">
        <v>46002</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57815-2024</t>
        </is>
      </c>
      <c r="B1231" s="1" t="n">
        <v>45631.37068287037</v>
      </c>
      <c r="C1231" s="1" t="n">
        <v>46002</v>
      </c>
      <c r="D1231" t="inlineStr">
        <is>
          <t>VÄSTERNORRLANDS LÄN</t>
        </is>
      </c>
      <c r="E1231" t="inlineStr">
        <is>
          <t>ÅNGE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42044-2024</t>
        </is>
      </c>
      <c r="B1232" s="1" t="n">
        <v>45561</v>
      </c>
      <c r="C1232" s="1" t="n">
        <v>46002</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42090-2024</t>
        </is>
      </c>
      <c r="B1233" s="1" t="n">
        <v>45562</v>
      </c>
      <c r="C1233" s="1" t="n">
        <v>46002</v>
      </c>
      <c r="D1233" t="inlineStr">
        <is>
          <t>VÄSTERNORRLANDS LÄN</t>
        </is>
      </c>
      <c r="E1233" t="inlineStr">
        <is>
          <t>ÅNGE</t>
        </is>
      </c>
      <c r="F1233" t="inlineStr">
        <is>
          <t>SCA</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11764-2024</t>
        </is>
      </c>
      <c r="B1234" s="1" t="n">
        <v>45373.94837962963</v>
      </c>
      <c r="C1234" s="1" t="n">
        <v>46002</v>
      </c>
      <c r="D1234" t="inlineStr">
        <is>
          <t>VÄSTERNORRLANDS LÄN</t>
        </is>
      </c>
      <c r="E1234" t="inlineStr">
        <is>
          <t>ÅNGE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25035-2023</t>
        </is>
      </c>
      <c r="B1235" s="1" t="n">
        <v>45085</v>
      </c>
      <c r="C1235" s="1" t="n">
        <v>46002</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10195-2024</t>
        </is>
      </c>
      <c r="B1236" s="1" t="n">
        <v>45364</v>
      </c>
      <c r="C1236" s="1" t="n">
        <v>46002</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42488-2024</t>
        </is>
      </c>
      <c r="B1237" s="1" t="n">
        <v>45565.49420138889</v>
      </c>
      <c r="C1237" s="1" t="n">
        <v>46002</v>
      </c>
      <c r="D1237" t="inlineStr">
        <is>
          <t>VÄSTERNORRLANDS LÄN</t>
        </is>
      </c>
      <c r="E1237" t="inlineStr">
        <is>
          <t>ÅNGE</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42529-2024</t>
        </is>
      </c>
      <c r="B1238" s="1" t="n">
        <v>45565.57324074074</v>
      </c>
      <c r="C1238" s="1" t="n">
        <v>46002</v>
      </c>
      <c r="D1238" t="inlineStr">
        <is>
          <t>VÄSTERNORRLANDS LÄN</t>
        </is>
      </c>
      <c r="E1238" t="inlineStr">
        <is>
          <t>ÅNGE</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9211-2023</t>
        </is>
      </c>
      <c r="B1239" s="1" t="n">
        <v>44980</v>
      </c>
      <c r="C1239" s="1" t="n">
        <v>46002</v>
      </c>
      <c r="D1239" t="inlineStr">
        <is>
          <t>VÄSTERNORRLANDS LÄN</t>
        </is>
      </c>
      <c r="E1239" t="inlineStr">
        <is>
          <t>ÅNGE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29193-2024</t>
        </is>
      </c>
      <c r="B1240" s="1" t="n">
        <v>45482.56510416666</v>
      </c>
      <c r="C1240" s="1" t="n">
        <v>46002</v>
      </c>
      <c r="D1240" t="inlineStr">
        <is>
          <t>VÄSTERNORRLANDS LÄN</t>
        </is>
      </c>
      <c r="E1240" t="inlineStr">
        <is>
          <t>ÅNGE</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3023-2023</t>
        </is>
      </c>
      <c r="B1241" s="1" t="n">
        <v>44945</v>
      </c>
      <c r="C1241" s="1" t="n">
        <v>46002</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3025-2023</t>
        </is>
      </c>
      <c r="B1242" s="1" t="n">
        <v>44945</v>
      </c>
      <c r="C1242" s="1" t="n">
        <v>46002</v>
      </c>
      <c r="D1242" t="inlineStr">
        <is>
          <t>VÄSTERNORRLANDS LÄN</t>
        </is>
      </c>
      <c r="E1242" t="inlineStr">
        <is>
          <t>ÅNGE</t>
        </is>
      </c>
      <c r="F1242" t="inlineStr">
        <is>
          <t>SCA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56232-2024</t>
        </is>
      </c>
      <c r="B1243" s="1" t="n">
        <v>45624</v>
      </c>
      <c r="C1243" s="1" t="n">
        <v>46002</v>
      </c>
      <c r="D1243" t="inlineStr">
        <is>
          <t>VÄSTERNORRLANDS LÄN</t>
        </is>
      </c>
      <c r="E1243" t="inlineStr">
        <is>
          <t>ÅNGE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16853-2023</t>
        </is>
      </c>
      <c r="B1244" s="1" t="n">
        <v>45033</v>
      </c>
      <c r="C1244" s="1" t="n">
        <v>46002</v>
      </c>
      <c r="D1244" t="inlineStr">
        <is>
          <t>VÄSTERNORRLANDS LÄN</t>
        </is>
      </c>
      <c r="E1244" t="inlineStr">
        <is>
          <t>ÅNGE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7528-2023</t>
        </is>
      </c>
      <c r="B1245" s="1" t="n">
        <v>44971.97662037037</v>
      </c>
      <c r="C1245" s="1" t="n">
        <v>46002</v>
      </c>
      <c r="D1245" t="inlineStr">
        <is>
          <t>VÄSTERNORRLANDS LÄN</t>
        </is>
      </c>
      <c r="E1245" t="inlineStr">
        <is>
          <t>ÅNGE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53988-2024</t>
        </is>
      </c>
      <c r="B1246" s="1" t="n">
        <v>45616.34408564815</v>
      </c>
      <c r="C1246" s="1" t="n">
        <v>46002</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54002-2024</t>
        </is>
      </c>
      <c r="B1247" s="1" t="n">
        <v>45616.36491898148</v>
      </c>
      <c r="C1247" s="1" t="n">
        <v>46002</v>
      </c>
      <c r="D1247" t="inlineStr">
        <is>
          <t>VÄSTERNORRLANDS LÄN</t>
        </is>
      </c>
      <c r="E1247" t="inlineStr">
        <is>
          <t>ÅNGE</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54059-2024</t>
        </is>
      </c>
      <c r="B1248" s="1" t="n">
        <v>45616.46943287037</v>
      </c>
      <c r="C1248" s="1" t="n">
        <v>46002</v>
      </c>
      <c r="D1248" t="inlineStr">
        <is>
          <t>VÄSTERNORRLANDS LÄN</t>
        </is>
      </c>
      <c r="E1248" t="inlineStr">
        <is>
          <t>ÅNGE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50235-2021</t>
        </is>
      </c>
      <c r="B1249" s="1" t="n">
        <v>44457</v>
      </c>
      <c r="C1249" s="1" t="n">
        <v>46002</v>
      </c>
      <c r="D1249" t="inlineStr">
        <is>
          <t>VÄSTERNORRLANDS LÄN</t>
        </is>
      </c>
      <c r="E1249" t="inlineStr">
        <is>
          <t>ÅNGE</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44600-2024</t>
        </is>
      </c>
      <c r="B1250" s="1" t="n">
        <v>45574.51113425926</v>
      </c>
      <c r="C1250" s="1" t="n">
        <v>46002</v>
      </c>
      <c r="D1250" t="inlineStr">
        <is>
          <t>VÄSTERNORRLANDS LÄN</t>
        </is>
      </c>
      <c r="E1250" t="inlineStr">
        <is>
          <t>ÅNGE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12806-2025</t>
        </is>
      </c>
      <c r="B1251" s="1" t="n">
        <v>45733.61518518518</v>
      </c>
      <c r="C1251" s="1" t="n">
        <v>46002</v>
      </c>
      <c r="D1251" t="inlineStr">
        <is>
          <t>VÄSTERNORRLANDS LÄN</t>
        </is>
      </c>
      <c r="E1251" t="inlineStr">
        <is>
          <t>ÅNGE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45890-2021</t>
        </is>
      </c>
      <c r="B1252" s="1" t="n">
        <v>44441</v>
      </c>
      <c r="C1252" s="1" t="n">
        <v>46002</v>
      </c>
      <c r="D1252" t="inlineStr">
        <is>
          <t>VÄSTERNORRLANDS LÄN</t>
        </is>
      </c>
      <c r="E1252" t="inlineStr">
        <is>
          <t>ÅNGE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1869-2022</t>
        </is>
      </c>
      <c r="B1253" s="1" t="n">
        <v>44574</v>
      </c>
      <c r="C1253" s="1" t="n">
        <v>46002</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48988-2021</t>
        </is>
      </c>
      <c r="B1254" s="1" t="n">
        <v>44453.43</v>
      </c>
      <c r="C1254" s="1" t="n">
        <v>46002</v>
      </c>
      <c r="D1254" t="inlineStr">
        <is>
          <t>VÄSTERNORRLANDS LÄN</t>
        </is>
      </c>
      <c r="E1254" t="inlineStr">
        <is>
          <t>ÅNGE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60812-2024</t>
        </is>
      </c>
      <c r="B1255" s="1" t="n">
        <v>45644</v>
      </c>
      <c r="C1255" s="1" t="n">
        <v>46002</v>
      </c>
      <c r="D1255" t="inlineStr">
        <is>
          <t>VÄSTERNORRLANDS LÄN</t>
        </is>
      </c>
      <c r="E1255" t="inlineStr">
        <is>
          <t>ÅNGE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54611-2023</t>
        </is>
      </c>
      <c r="B1256" s="1" t="n">
        <v>45233</v>
      </c>
      <c r="C1256" s="1" t="n">
        <v>46002</v>
      </c>
      <c r="D1256" t="inlineStr">
        <is>
          <t>VÄSTERNORRLANDS LÄN</t>
        </is>
      </c>
      <c r="E1256" t="inlineStr">
        <is>
          <t>ÅNGE</t>
        </is>
      </c>
      <c r="F1256" t="inlineStr">
        <is>
          <t>SCA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49187-2024</t>
        </is>
      </c>
      <c r="B1257" s="1" t="n">
        <v>45595.34490740741</v>
      </c>
      <c r="C1257" s="1" t="n">
        <v>46002</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51810-2023</t>
        </is>
      </c>
      <c r="B1258" s="1" t="n">
        <v>45222.96583333334</v>
      </c>
      <c r="C1258" s="1" t="n">
        <v>46002</v>
      </c>
      <c r="D1258" t="inlineStr">
        <is>
          <t>VÄSTERNORRLANDS LÄN</t>
        </is>
      </c>
      <c r="E1258" t="inlineStr">
        <is>
          <t>ÅNGE</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5520-2022</t>
        </is>
      </c>
      <c r="B1259" s="1" t="n">
        <v>44595</v>
      </c>
      <c r="C1259" s="1" t="n">
        <v>46002</v>
      </c>
      <c r="D1259" t="inlineStr">
        <is>
          <t>VÄSTERNORRLANDS LÄN</t>
        </is>
      </c>
      <c r="E1259" t="inlineStr">
        <is>
          <t>ÅNGE</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58469-2023</t>
        </is>
      </c>
      <c r="B1260" s="1" t="n">
        <v>45250</v>
      </c>
      <c r="C1260" s="1" t="n">
        <v>46002</v>
      </c>
      <c r="D1260" t="inlineStr">
        <is>
          <t>VÄSTERNORRLANDS LÄN</t>
        </is>
      </c>
      <c r="E1260" t="inlineStr">
        <is>
          <t>ÅNGE</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31177-2024</t>
        </is>
      </c>
      <c r="B1261" s="1" t="n">
        <v>45503</v>
      </c>
      <c r="C1261" s="1" t="n">
        <v>46002</v>
      </c>
      <c r="D1261" t="inlineStr">
        <is>
          <t>VÄSTERNORRLANDS LÄN</t>
        </is>
      </c>
      <c r="E1261" t="inlineStr">
        <is>
          <t>ÅNGE</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29063-2023</t>
        </is>
      </c>
      <c r="B1262" s="1" t="n">
        <v>45104.94068287037</v>
      </c>
      <c r="C1262" s="1" t="n">
        <v>46002</v>
      </c>
      <c r="D1262" t="inlineStr">
        <is>
          <t>VÄSTERNORRLANDS LÄN</t>
        </is>
      </c>
      <c r="E1262" t="inlineStr">
        <is>
          <t>ÅNGE</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59412-2024</t>
        </is>
      </c>
      <c r="B1263" s="1" t="n">
        <v>45638</v>
      </c>
      <c r="C1263" s="1" t="n">
        <v>46002</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9567-2024</t>
        </is>
      </c>
      <c r="B1264" s="1" t="n">
        <v>45360.03635416667</v>
      </c>
      <c r="C1264" s="1" t="n">
        <v>46002</v>
      </c>
      <c r="D1264" t="inlineStr">
        <is>
          <t>VÄSTERNORRLANDS LÄN</t>
        </is>
      </c>
      <c r="E1264" t="inlineStr">
        <is>
          <t>ÅNGE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22988-2024</t>
        </is>
      </c>
      <c r="B1265" s="1" t="n">
        <v>45449.94530092592</v>
      </c>
      <c r="C1265" s="1" t="n">
        <v>46002</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56908-2021</t>
        </is>
      </c>
      <c r="B1266" s="1" t="n">
        <v>44481.93844907408</v>
      </c>
      <c r="C1266" s="1" t="n">
        <v>46002</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17210-2022</t>
        </is>
      </c>
      <c r="B1267" s="1" t="n">
        <v>44677.92701388889</v>
      </c>
      <c r="C1267" s="1" t="n">
        <v>46002</v>
      </c>
      <c r="D1267" t="inlineStr">
        <is>
          <t>VÄSTERNORRLANDS LÄN</t>
        </is>
      </c>
      <c r="E1267" t="inlineStr">
        <is>
          <t>ÅNGE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56574-2024</t>
        </is>
      </c>
      <c r="B1268" s="1" t="n">
        <v>45625.59616898148</v>
      </c>
      <c r="C1268" s="1" t="n">
        <v>46002</v>
      </c>
      <c r="D1268" t="inlineStr">
        <is>
          <t>VÄSTERNORRLANDS LÄN</t>
        </is>
      </c>
      <c r="E1268" t="inlineStr">
        <is>
          <t>ÅNGE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31568-2024</t>
        </is>
      </c>
      <c r="B1269" s="1" t="n">
        <v>45505.96721064814</v>
      </c>
      <c r="C1269" s="1" t="n">
        <v>46002</v>
      </c>
      <c r="D1269" t="inlineStr">
        <is>
          <t>VÄSTERNORRLANDS LÄN</t>
        </is>
      </c>
      <c r="E1269" t="inlineStr">
        <is>
          <t>ÅNGE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27468-2024</t>
        </is>
      </c>
      <c r="B1270" s="1" t="n">
        <v>45474</v>
      </c>
      <c r="C1270" s="1" t="n">
        <v>46002</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12123-2024</t>
        </is>
      </c>
      <c r="B1271" s="1" t="n">
        <v>45377</v>
      </c>
      <c r="C1271" s="1" t="n">
        <v>46002</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11299-2023</t>
        </is>
      </c>
      <c r="B1272" s="1" t="n">
        <v>44993.01074074074</v>
      </c>
      <c r="C1272" s="1" t="n">
        <v>46002</v>
      </c>
      <c r="D1272" t="inlineStr">
        <is>
          <t>VÄSTERNORRLANDS LÄN</t>
        </is>
      </c>
      <c r="E1272" t="inlineStr">
        <is>
          <t>ÅNGE</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11309-2023</t>
        </is>
      </c>
      <c r="B1273" s="1" t="n">
        <v>44993.0118287037</v>
      </c>
      <c r="C1273" s="1" t="n">
        <v>46002</v>
      </c>
      <c r="D1273" t="inlineStr">
        <is>
          <t>VÄSTERNORRLANDS LÄN</t>
        </is>
      </c>
      <c r="E1273" t="inlineStr">
        <is>
          <t>ÅNGE</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45932-2023</t>
        </is>
      </c>
      <c r="B1274" s="1" t="n">
        <v>45195</v>
      </c>
      <c r="C1274" s="1" t="n">
        <v>46002</v>
      </c>
      <c r="D1274" t="inlineStr">
        <is>
          <t>VÄSTERNORRLANDS LÄN</t>
        </is>
      </c>
      <c r="E1274" t="inlineStr">
        <is>
          <t>ÅNGE</t>
        </is>
      </c>
      <c r="F1274" t="inlineStr">
        <is>
          <t>SCA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8648-2025</t>
        </is>
      </c>
      <c r="B1275" s="1" t="n">
        <v>45712.34501157407</v>
      </c>
      <c r="C1275" s="1" t="n">
        <v>46002</v>
      </c>
      <c r="D1275" t="inlineStr">
        <is>
          <t>VÄSTERNORRLANDS LÄN</t>
        </is>
      </c>
      <c r="E1275" t="inlineStr">
        <is>
          <t>ÅNGE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24541-2023</t>
        </is>
      </c>
      <c r="B1276" s="1" t="n">
        <v>45082.94135416667</v>
      </c>
      <c r="C1276" s="1" t="n">
        <v>46002</v>
      </c>
      <c r="D1276" t="inlineStr">
        <is>
          <t>VÄSTERNORRLANDS LÄN</t>
        </is>
      </c>
      <c r="E1276" t="inlineStr">
        <is>
          <t>ÅNGE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51131-2022</t>
        </is>
      </c>
      <c r="B1277" s="1" t="n">
        <v>44868</v>
      </c>
      <c r="C1277" s="1" t="n">
        <v>46002</v>
      </c>
      <c r="D1277" t="inlineStr">
        <is>
          <t>VÄSTERNORRLANDS LÄN</t>
        </is>
      </c>
      <c r="E1277" t="inlineStr">
        <is>
          <t>ÅNGE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33631-2024</t>
        </is>
      </c>
      <c r="B1278" s="1" t="n">
        <v>45520</v>
      </c>
      <c r="C1278" s="1" t="n">
        <v>46002</v>
      </c>
      <c r="D1278" t="inlineStr">
        <is>
          <t>VÄSTERNORRLANDS LÄN</t>
        </is>
      </c>
      <c r="E1278" t="inlineStr">
        <is>
          <t>ÅNGE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63522-2021</t>
        </is>
      </c>
      <c r="B1279" s="1" t="n">
        <v>44508</v>
      </c>
      <c r="C1279" s="1" t="n">
        <v>46002</v>
      </c>
      <c r="D1279" t="inlineStr">
        <is>
          <t>VÄSTERNORRLANDS LÄN</t>
        </is>
      </c>
      <c r="E1279" t="inlineStr">
        <is>
          <t>ÅNGE</t>
        </is>
      </c>
      <c r="F1279" t="inlineStr">
        <is>
          <t>Övriga Aktiebolag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51411-2023</t>
        </is>
      </c>
      <c r="B1280" s="1" t="n">
        <v>45219</v>
      </c>
      <c r="C1280" s="1" t="n">
        <v>46002</v>
      </c>
      <c r="D1280" t="inlineStr">
        <is>
          <t>VÄSTERNORRLANDS LÄN</t>
        </is>
      </c>
      <c r="E1280" t="inlineStr">
        <is>
          <t>ÅNGE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31229-2023</t>
        </is>
      </c>
      <c r="B1281" s="1" t="n">
        <v>45114</v>
      </c>
      <c r="C1281" s="1" t="n">
        <v>46002</v>
      </c>
      <c r="D1281" t="inlineStr">
        <is>
          <t>VÄSTERNORRLANDS LÄN</t>
        </is>
      </c>
      <c r="E1281" t="inlineStr">
        <is>
          <t>ÅNGE</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53336-2024</t>
        </is>
      </c>
      <c r="B1282" s="1" t="n">
        <v>45614.42753472222</v>
      </c>
      <c r="C1282" s="1" t="n">
        <v>46002</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7692-2024</t>
        </is>
      </c>
      <c r="B1283" s="1" t="n">
        <v>45349</v>
      </c>
      <c r="C1283" s="1" t="n">
        <v>46002</v>
      </c>
      <c r="D1283" t="inlineStr">
        <is>
          <t>VÄSTERNORRLANDS LÄN</t>
        </is>
      </c>
      <c r="E1283" t="inlineStr">
        <is>
          <t>ÅNGE</t>
        </is>
      </c>
      <c r="F1283" t="inlineStr">
        <is>
          <t>SCA</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47950-2024</t>
        </is>
      </c>
      <c r="B1284" s="1" t="n">
        <v>45589.36511574074</v>
      </c>
      <c r="C1284" s="1" t="n">
        <v>46002</v>
      </c>
      <c r="D1284" t="inlineStr">
        <is>
          <t>VÄSTERNORRLANDS LÄN</t>
        </is>
      </c>
      <c r="E1284" t="inlineStr">
        <is>
          <t>ÅNGE</t>
        </is>
      </c>
      <c r="F1284" t="inlineStr">
        <is>
          <t>SCA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39589-2022</t>
        </is>
      </c>
      <c r="B1285" s="1" t="n">
        <v>44818</v>
      </c>
      <c r="C1285" s="1" t="n">
        <v>46002</v>
      </c>
      <c r="D1285" t="inlineStr">
        <is>
          <t>VÄSTERNORRLANDS LÄN</t>
        </is>
      </c>
      <c r="E1285" t="inlineStr">
        <is>
          <t>ÅNGE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42098-2024</t>
        </is>
      </c>
      <c r="B1286" s="1" t="n">
        <v>45562.34532407407</v>
      </c>
      <c r="C1286" s="1" t="n">
        <v>46002</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10071-2023</t>
        </is>
      </c>
      <c r="B1287" s="1" t="n">
        <v>44985.92418981482</v>
      </c>
      <c r="C1287" s="1" t="n">
        <v>46002</v>
      </c>
      <c r="D1287" t="inlineStr">
        <is>
          <t>VÄSTERNORRLANDS LÄN</t>
        </is>
      </c>
      <c r="E1287" t="inlineStr">
        <is>
          <t>ÅNGE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44518-2024</t>
        </is>
      </c>
      <c r="B1288" s="1" t="n">
        <v>45574.43376157407</v>
      </c>
      <c r="C1288" s="1" t="n">
        <v>46002</v>
      </c>
      <c r="D1288" t="inlineStr">
        <is>
          <t>VÄSTERNORRLANDS LÄN</t>
        </is>
      </c>
      <c r="E1288" t="inlineStr">
        <is>
          <t>ÅNGE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15822-2025</t>
        </is>
      </c>
      <c r="B1289" s="1" t="n">
        <v>45748.70172453704</v>
      </c>
      <c r="C1289" s="1" t="n">
        <v>46002</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41083-2024</t>
        </is>
      </c>
      <c r="B1290" s="1" t="n">
        <v>45559.40684027778</v>
      </c>
      <c r="C1290" s="1" t="n">
        <v>46002</v>
      </c>
      <c r="D1290" t="inlineStr">
        <is>
          <t>VÄSTERNORRLANDS LÄN</t>
        </is>
      </c>
      <c r="E1290" t="inlineStr">
        <is>
          <t>ÅNGE</t>
        </is>
      </c>
      <c r="F1290" t="inlineStr">
        <is>
          <t>SCA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4094-2025</t>
        </is>
      </c>
      <c r="B1291" s="1" t="n">
        <v>45684.6778125</v>
      </c>
      <c r="C1291" s="1" t="n">
        <v>46002</v>
      </c>
      <c r="D1291" t="inlineStr">
        <is>
          <t>VÄSTERNORRLANDS LÄN</t>
        </is>
      </c>
      <c r="E1291" t="inlineStr">
        <is>
          <t>ÅNGE</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41507-2024</t>
        </is>
      </c>
      <c r="B1292" s="1" t="n">
        <v>45560</v>
      </c>
      <c r="C1292" s="1" t="n">
        <v>46002</v>
      </c>
      <c r="D1292" t="inlineStr">
        <is>
          <t>VÄSTERNORRLANDS LÄN</t>
        </is>
      </c>
      <c r="E1292" t="inlineStr">
        <is>
          <t>ÅNGE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26019-2024</t>
        </is>
      </c>
      <c r="B1293" s="1" t="n">
        <v>45467.96015046296</v>
      </c>
      <c r="C1293" s="1" t="n">
        <v>46002</v>
      </c>
      <c r="D1293" t="inlineStr">
        <is>
          <t>VÄSTERNORRLANDS LÄN</t>
        </is>
      </c>
      <c r="E1293" t="inlineStr">
        <is>
          <t>ÅNGE</t>
        </is>
      </c>
      <c r="F1293" t="inlineStr">
        <is>
          <t>SCA</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8747-2022</t>
        </is>
      </c>
      <c r="B1294" s="1" t="n">
        <v>44614.33912037037</v>
      </c>
      <c r="C1294" s="1" t="n">
        <v>46002</v>
      </c>
      <c r="D1294" t="inlineStr">
        <is>
          <t>VÄSTERNORRLANDS LÄN</t>
        </is>
      </c>
      <c r="E1294" t="inlineStr">
        <is>
          <t>ÅNGE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8755-2022</t>
        </is>
      </c>
      <c r="B1295" s="1" t="n">
        <v>44614</v>
      </c>
      <c r="C1295" s="1" t="n">
        <v>46002</v>
      </c>
      <c r="D1295" t="inlineStr">
        <is>
          <t>VÄSTERNORRLANDS LÄN</t>
        </is>
      </c>
      <c r="E1295" t="inlineStr">
        <is>
          <t>ÅNGE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6690-2024</t>
        </is>
      </c>
      <c r="B1296" s="1" t="n">
        <v>45341</v>
      </c>
      <c r="C1296" s="1" t="n">
        <v>46002</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64375-2023</t>
        </is>
      </c>
      <c r="B1297" s="1" t="n">
        <v>45280</v>
      </c>
      <c r="C1297" s="1" t="n">
        <v>46002</v>
      </c>
      <c r="D1297" t="inlineStr">
        <is>
          <t>VÄSTERNORRLANDS LÄN</t>
        </is>
      </c>
      <c r="E1297" t="inlineStr">
        <is>
          <t>ÅNGE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1235-2023</t>
        </is>
      </c>
      <c r="B1298" s="1" t="n">
        <v>44935</v>
      </c>
      <c r="C1298" s="1" t="n">
        <v>46002</v>
      </c>
      <c r="D1298" t="inlineStr">
        <is>
          <t>VÄSTERNORRLANDS LÄN</t>
        </is>
      </c>
      <c r="E1298" t="inlineStr">
        <is>
          <t>ÅNGE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62261-2022</t>
        </is>
      </c>
      <c r="B1299" s="1" t="n">
        <v>44922.94378472222</v>
      </c>
      <c r="C1299" s="1" t="n">
        <v>46002</v>
      </c>
      <c r="D1299" t="inlineStr">
        <is>
          <t>VÄSTERNORRLANDS LÄN</t>
        </is>
      </c>
      <c r="E1299" t="inlineStr">
        <is>
          <t>ÅNGE</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41302-2024</t>
        </is>
      </c>
      <c r="B1300" s="1" t="n">
        <v>45559.62077546296</v>
      </c>
      <c r="C1300" s="1" t="n">
        <v>46002</v>
      </c>
      <c r="D1300" t="inlineStr">
        <is>
          <t>VÄSTERNORRLANDS LÄN</t>
        </is>
      </c>
      <c r="E1300" t="inlineStr">
        <is>
          <t>ÅNGE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5249-2025</t>
        </is>
      </c>
      <c r="B1301" s="1" t="n">
        <v>45692.34465277778</v>
      </c>
      <c r="C1301" s="1" t="n">
        <v>46002</v>
      </c>
      <c r="D1301" t="inlineStr">
        <is>
          <t>VÄSTERNORRLANDS LÄN</t>
        </is>
      </c>
      <c r="E1301" t="inlineStr">
        <is>
          <t>ÅNGE</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43366-2024</t>
        </is>
      </c>
      <c r="B1302" s="1" t="n">
        <v>45568</v>
      </c>
      <c r="C1302" s="1" t="n">
        <v>46002</v>
      </c>
      <c r="D1302" t="inlineStr">
        <is>
          <t>VÄSTERNORRLANDS LÄN</t>
        </is>
      </c>
      <c r="E1302" t="inlineStr">
        <is>
          <t>ÅNGE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35577-2024</t>
        </is>
      </c>
      <c r="B1303" s="1" t="n">
        <v>45531</v>
      </c>
      <c r="C1303" s="1" t="n">
        <v>46002</v>
      </c>
      <c r="D1303" t="inlineStr">
        <is>
          <t>VÄSTERNORRLANDS LÄN</t>
        </is>
      </c>
      <c r="E1303" t="inlineStr">
        <is>
          <t>ÅNGE</t>
        </is>
      </c>
      <c r="F1303" t="inlineStr">
        <is>
          <t>SCA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35580-2024</t>
        </is>
      </c>
      <c r="B1304" s="1" t="n">
        <v>45531</v>
      </c>
      <c r="C1304" s="1" t="n">
        <v>46002</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28428-2023</t>
        </is>
      </c>
      <c r="B1305" s="1" t="n">
        <v>45102</v>
      </c>
      <c r="C1305" s="1" t="n">
        <v>46002</v>
      </c>
      <c r="D1305" t="inlineStr">
        <is>
          <t>VÄSTERNORRLANDS LÄN</t>
        </is>
      </c>
      <c r="E1305" t="inlineStr">
        <is>
          <t>ÅNGE</t>
        </is>
      </c>
      <c r="F1305" t="inlineStr">
        <is>
          <t>Kyrkan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72239-2021</t>
        </is>
      </c>
      <c r="B1306" s="1" t="n">
        <v>44544.9203587963</v>
      </c>
      <c r="C1306" s="1" t="n">
        <v>46002</v>
      </c>
      <c r="D1306" t="inlineStr">
        <is>
          <t>VÄSTERNORRLANDS LÄN</t>
        </is>
      </c>
      <c r="E1306" t="inlineStr">
        <is>
          <t>ÅNGE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59986-2021</t>
        </is>
      </c>
      <c r="B1307" s="1" t="n">
        <v>44494</v>
      </c>
      <c r="C1307" s="1" t="n">
        <v>46002</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30556-2023</t>
        </is>
      </c>
      <c r="B1308" s="1" t="n">
        <v>45111.87935185185</v>
      </c>
      <c r="C1308" s="1" t="n">
        <v>46002</v>
      </c>
      <c r="D1308" t="inlineStr">
        <is>
          <t>VÄSTERNORRLANDS LÄN</t>
        </is>
      </c>
      <c r="E1308" t="inlineStr">
        <is>
          <t>ÅNGE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53549-2023</t>
        </is>
      </c>
      <c r="B1309" s="1" t="n">
        <v>45230</v>
      </c>
      <c r="C1309" s="1" t="n">
        <v>46002</v>
      </c>
      <c r="D1309" t="inlineStr">
        <is>
          <t>VÄSTERNORRLANDS LÄN</t>
        </is>
      </c>
      <c r="E1309" t="inlineStr">
        <is>
          <t>ÅNGE</t>
        </is>
      </c>
      <c r="F1309" t="inlineStr">
        <is>
          <t>Holmen skog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34705-2023</t>
        </is>
      </c>
      <c r="B1310" s="1" t="n">
        <v>45140.96452546296</v>
      </c>
      <c r="C1310" s="1" t="n">
        <v>46002</v>
      </c>
      <c r="D1310" t="inlineStr">
        <is>
          <t>VÄSTERNORRLANDS LÄN</t>
        </is>
      </c>
      <c r="E1310" t="inlineStr">
        <is>
          <t>ÅNGE</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50186-2021</t>
        </is>
      </c>
      <c r="B1311" s="1" t="n">
        <v>44456</v>
      </c>
      <c r="C1311" s="1" t="n">
        <v>46002</v>
      </c>
      <c r="D1311" t="inlineStr">
        <is>
          <t>VÄSTERNORRLANDS LÄN</t>
        </is>
      </c>
      <c r="E1311" t="inlineStr">
        <is>
          <t>ÅNGE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35392-2024</t>
        </is>
      </c>
      <c r="B1312" s="1" t="n">
        <v>45531.4025462963</v>
      </c>
      <c r="C1312" s="1" t="n">
        <v>46002</v>
      </c>
      <c r="D1312" t="inlineStr">
        <is>
          <t>VÄSTERNORRLANDS LÄN</t>
        </is>
      </c>
      <c r="E1312" t="inlineStr">
        <is>
          <t>ÅNGE</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27952-2024</t>
        </is>
      </c>
      <c r="B1313" s="1" t="n">
        <v>45476.33063657407</v>
      </c>
      <c r="C1313" s="1" t="n">
        <v>46002</v>
      </c>
      <c r="D1313" t="inlineStr">
        <is>
          <t>VÄSTERNORRLANDS LÄN</t>
        </is>
      </c>
      <c r="E1313" t="inlineStr">
        <is>
          <t>ÅNGE</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58634-2023</t>
        </is>
      </c>
      <c r="B1314" s="1" t="n">
        <v>45251</v>
      </c>
      <c r="C1314" s="1" t="n">
        <v>46002</v>
      </c>
      <c r="D1314" t="inlineStr">
        <is>
          <t>VÄSTERNORRLANDS LÄN</t>
        </is>
      </c>
      <c r="E1314" t="inlineStr">
        <is>
          <t>ÅNGE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41825-2022</t>
        </is>
      </c>
      <c r="B1315" s="1" t="n">
        <v>44827</v>
      </c>
      <c r="C1315" s="1" t="n">
        <v>46002</v>
      </c>
      <c r="D1315" t="inlineStr">
        <is>
          <t>VÄSTERNORRLANDS LÄN</t>
        </is>
      </c>
      <c r="E1315" t="inlineStr">
        <is>
          <t>ÅNGE</t>
        </is>
      </c>
      <c r="F1315" t="inlineStr">
        <is>
          <t>SCA</t>
        </is>
      </c>
      <c r="G1315" t="n">
        <v>3.3</v>
      </c>
      <c r="H1315" t="n">
        <v>0</v>
      </c>
      <c r="I1315" t="n">
        <v>0</v>
      </c>
      <c r="J1315" t="n">
        <v>0</v>
      </c>
      <c r="K1315" t="n">
        <v>0</v>
      </c>
      <c r="L1315" t="n">
        <v>0</v>
      </c>
      <c r="M1315" t="n">
        <v>0</v>
      </c>
      <c r="N1315" t="n">
        <v>0</v>
      </c>
      <c r="O1315" t="n">
        <v>0</v>
      </c>
      <c r="P1315" t="n">
        <v>0</v>
      </c>
      <c r="Q1315" t="n">
        <v>0</v>
      </c>
      <c r="R1315" s="2" t="inlineStr"/>
      <c r="U1315">
        <f>HYPERLINK("https://klasma.github.io/Logging_2260/knärot/A 41825-2022 karta knärot.png", "A 41825-2022")</f>
        <v/>
      </c>
      <c r="V1315">
        <f>HYPERLINK("https://klasma.github.io/Logging_2260/klagomål/A 41825-2022 FSC-klagomål.docx", "A 41825-2022")</f>
        <v/>
      </c>
      <c r="W1315">
        <f>HYPERLINK("https://klasma.github.io/Logging_2260/klagomålsmail/A 41825-2022 FSC-klagomål mail.docx", "A 41825-2022")</f>
        <v/>
      </c>
      <c r="X1315">
        <f>HYPERLINK("https://klasma.github.io/Logging_2260/tillsyn/A 41825-2022 tillsynsbegäran.docx", "A 41825-2022")</f>
        <v/>
      </c>
      <c r="Y1315">
        <f>HYPERLINK("https://klasma.github.io/Logging_2260/tillsynsmail/A 41825-2022 tillsynsbegäran mail.docx", "A 41825-2022")</f>
        <v/>
      </c>
    </row>
    <row r="1316" ht="15" customHeight="1">
      <c r="A1316" t="inlineStr">
        <is>
          <t>A 35581-2024</t>
        </is>
      </c>
      <c r="B1316" s="1" t="n">
        <v>45531</v>
      </c>
      <c r="C1316" s="1" t="n">
        <v>46002</v>
      </c>
      <c r="D1316" t="inlineStr">
        <is>
          <t>VÄSTERNORRLANDS LÄN</t>
        </is>
      </c>
      <c r="E1316" t="inlineStr">
        <is>
          <t>ÅNGE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35582-2024</t>
        </is>
      </c>
      <c r="B1317" s="1" t="n">
        <v>45531.64800925926</v>
      </c>
      <c r="C1317" s="1" t="n">
        <v>46002</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4904-2024</t>
        </is>
      </c>
      <c r="B1318" s="1" t="n">
        <v>45329.47856481482</v>
      </c>
      <c r="C1318" s="1" t="n">
        <v>46002</v>
      </c>
      <c r="D1318" t="inlineStr">
        <is>
          <t>VÄSTERNORRLANDS LÄN</t>
        </is>
      </c>
      <c r="E1318" t="inlineStr">
        <is>
          <t>ÅNGE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57592-2022</t>
        </is>
      </c>
      <c r="B1319" s="1" t="n">
        <v>44896.97841435186</v>
      </c>
      <c r="C1319" s="1" t="n">
        <v>46002</v>
      </c>
      <c r="D1319" t="inlineStr">
        <is>
          <t>VÄSTERNORRLANDS LÄN</t>
        </is>
      </c>
      <c r="E1319" t="inlineStr">
        <is>
          <t>ÅNGE</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57602-2022</t>
        </is>
      </c>
      <c r="B1320" s="1" t="n">
        <v>44896</v>
      </c>
      <c r="C1320" s="1" t="n">
        <v>46002</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22680-2024</t>
        </is>
      </c>
      <c r="B1321" s="1" t="n">
        <v>45447.94548611111</v>
      </c>
      <c r="C1321" s="1" t="n">
        <v>46002</v>
      </c>
      <c r="D1321" t="inlineStr">
        <is>
          <t>VÄSTERNORRLANDS LÄN</t>
        </is>
      </c>
      <c r="E1321" t="inlineStr">
        <is>
          <t>ÅNGE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18430-2025</t>
        </is>
      </c>
      <c r="B1322" s="1" t="n">
        <v>45762.63576388889</v>
      </c>
      <c r="C1322" s="1" t="n">
        <v>46002</v>
      </c>
      <c r="D1322" t="inlineStr">
        <is>
          <t>VÄSTERNORRLANDS LÄN</t>
        </is>
      </c>
      <c r="E1322" t="inlineStr">
        <is>
          <t>ÅNGE</t>
        </is>
      </c>
      <c r="F1322" t="inlineStr">
        <is>
          <t>SCA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13501-2021</t>
        </is>
      </c>
      <c r="B1323" s="1" t="n">
        <v>44273</v>
      </c>
      <c r="C1323" s="1" t="n">
        <v>46002</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3624-2024</t>
        </is>
      </c>
      <c r="B1324" s="1" t="n">
        <v>45320.95305555555</v>
      </c>
      <c r="C1324" s="1" t="n">
        <v>46002</v>
      </c>
      <c r="D1324" t="inlineStr">
        <is>
          <t>VÄSTERNORRLANDS LÄN</t>
        </is>
      </c>
      <c r="E1324" t="inlineStr">
        <is>
          <t>ÅNGE</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10922-2024</t>
        </is>
      </c>
      <c r="B1325" s="1" t="n">
        <v>45370</v>
      </c>
      <c r="C1325" s="1" t="n">
        <v>46002</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46681-2023</t>
        </is>
      </c>
      <c r="B1326" s="1" t="n">
        <v>45198</v>
      </c>
      <c r="C1326" s="1" t="n">
        <v>46002</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46255-2023</t>
        </is>
      </c>
      <c r="B1327" s="1" t="n">
        <v>45196</v>
      </c>
      <c r="C1327" s="1" t="n">
        <v>46002</v>
      </c>
      <c r="D1327" t="inlineStr">
        <is>
          <t>VÄSTERNORRLANDS LÄN</t>
        </is>
      </c>
      <c r="E1327" t="inlineStr">
        <is>
          <t>ÅNGE</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55197-2022</t>
        </is>
      </c>
      <c r="B1328" s="1" t="n">
        <v>44886.93714120371</v>
      </c>
      <c r="C1328" s="1" t="n">
        <v>46002</v>
      </c>
      <c r="D1328" t="inlineStr">
        <is>
          <t>VÄSTERNORRLANDS LÄN</t>
        </is>
      </c>
      <c r="E1328" t="inlineStr">
        <is>
          <t>ÅNGE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18617-2024</t>
        </is>
      </c>
      <c r="B1329" s="1" t="n">
        <v>45425</v>
      </c>
      <c r="C1329" s="1" t="n">
        <v>46002</v>
      </c>
      <c r="D1329" t="inlineStr">
        <is>
          <t>VÄSTERNORRLANDS LÄN</t>
        </is>
      </c>
      <c r="E1329" t="inlineStr">
        <is>
          <t>ÅNGE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18869-2024</t>
        </is>
      </c>
      <c r="B1330" s="1" t="n">
        <v>45426</v>
      </c>
      <c r="C1330" s="1" t="n">
        <v>46002</v>
      </c>
      <c r="D1330" t="inlineStr">
        <is>
          <t>VÄSTERNORRLANDS LÄN</t>
        </is>
      </c>
      <c r="E1330" t="inlineStr">
        <is>
          <t>ÅNGE</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37540-2024</t>
        </is>
      </c>
      <c r="B1331" s="1" t="n">
        <v>45541.42111111111</v>
      </c>
      <c r="C1331" s="1" t="n">
        <v>46002</v>
      </c>
      <c r="D1331" t="inlineStr">
        <is>
          <t>VÄSTERNORRLANDS LÄN</t>
        </is>
      </c>
      <c r="E1331" t="inlineStr">
        <is>
          <t>ÅNGE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42958-2024</t>
        </is>
      </c>
      <c r="B1332" s="1" t="n">
        <v>45567.37131944444</v>
      </c>
      <c r="C1332" s="1" t="n">
        <v>46002</v>
      </c>
      <c r="D1332" t="inlineStr">
        <is>
          <t>VÄSTERNORRLANDS LÄN</t>
        </is>
      </c>
      <c r="E1332" t="inlineStr">
        <is>
          <t>ÅNGE</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42969-2024</t>
        </is>
      </c>
      <c r="B1333" s="1" t="n">
        <v>45567.37300925926</v>
      </c>
      <c r="C1333" s="1" t="n">
        <v>46002</v>
      </c>
      <c r="D1333" t="inlineStr">
        <is>
          <t>VÄSTERNORRLANDS LÄN</t>
        </is>
      </c>
      <c r="E1333" t="inlineStr">
        <is>
          <t>ÅNGE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49502-2022</t>
        </is>
      </c>
      <c r="B1334" s="1" t="n">
        <v>44861.92613425926</v>
      </c>
      <c r="C1334" s="1" t="n">
        <v>46002</v>
      </c>
      <c r="D1334" t="inlineStr">
        <is>
          <t>VÄSTERNORRLANDS LÄN</t>
        </is>
      </c>
      <c r="E1334" t="inlineStr">
        <is>
          <t>ÅNGE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38795-2023</t>
        </is>
      </c>
      <c r="B1335" s="1" t="n">
        <v>45162</v>
      </c>
      <c r="C1335" s="1" t="n">
        <v>46002</v>
      </c>
      <c r="D1335" t="inlineStr">
        <is>
          <t>VÄSTERNORRLANDS LÄN</t>
        </is>
      </c>
      <c r="E1335" t="inlineStr">
        <is>
          <t>ÅNGE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17601-2024</t>
        </is>
      </c>
      <c r="B1336" s="1" t="n">
        <v>45415</v>
      </c>
      <c r="C1336" s="1" t="n">
        <v>46002</v>
      </c>
      <c r="D1336" t="inlineStr">
        <is>
          <t>VÄSTERNORRLANDS LÄN</t>
        </is>
      </c>
      <c r="E1336" t="inlineStr">
        <is>
          <t>ÅNGE</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34649-2024</t>
        </is>
      </c>
      <c r="B1337" s="1" t="n">
        <v>45526.48325231481</v>
      </c>
      <c r="C1337" s="1" t="n">
        <v>46002</v>
      </c>
      <c r="D1337" t="inlineStr">
        <is>
          <t>VÄSTERNORRLANDS LÄN</t>
        </is>
      </c>
      <c r="E1337" t="inlineStr">
        <is>
          <t>ÅNGE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13091-2024</t>
        </is>
      </c>
      <c r="B1338" s="1" t="n">
        <v>45385</v>
      </c>
      <c r="C1338" s="1" t="n">
        <v>46002</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20108-2025</t>
        </is>
      </c>
      <c r="B1339" s="1" t="n">
        <v>45772.47006944445</v>
      </c>
      <c r="C1339" s="1" t="n">
        <v>46002</v>
      </c>
      <c r="D1339" t="inlineStr">
        <is>
          <t>VÄSTERNORRLANDS LÄN</t>
        </is>
      </c>
      <c r="E1339" t="inlineStr">
        <is>
          <t>ÅNGE</t>
        </is>
      </c>
      <c r="F1339" t="inlineStr">
        <is>
          <t>Naturvårdsverket</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50419-2022</t>
        </is>
      </c>
      <c r="B1340" s="1" t="n">
        <v>44861</v>
      </c>
      <c r="C1340" s="1" t="n">
        <v>46002</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8627-2023</t>
        </is>
      </c>
      <c r="B1341" s="1" t="n">
        <v>44977</v>
      </c>
      <c r="C1341" s="1" t="n">
        <v>46002</v>
      </c>
      <c r="D1341" t="inlineStr">
        <is>
          <t>VÄSTERNORRLANDS LÄN</t>
        </is>
      </c>
      <c r="E1341" t="inlineStr">
        <is>
          <t>ÅNGE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49532-2024</t>
        </is>
      </c>
      <c r="B1342" s="1" t="n">
        <v>45596.41797453703</v>
      </c>
      <c r="C1342" s="1" t="n">
        <v>46002</v>
      </c>
      <c r="D1342" t="inlineStr">
        <is>
          <t>VÄSTERNORRLANDS LÄN</t>
        </is>
      </c>
      <c r="E1342" t="inlineStr">
        <is>
          <t>ÅNGE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11088-2024</t>
        </is>
      </c>
      <c r="B1343" s="1" t="n">
        <v>45370</v>
      </c>
      <c r="C1343" s="1" t="n">
        <v>46002</v>
      </c>
      <c r="D1343" t="inlineStr">
        <is>
          <t>VÄSTERNORRLANDS LÄN</t>
        </is>
      </c>
      <c r="E1343" t="inlineStr">
        <is>
          <t>ÅNGE</t>
        </is>
      </c>
      <c r="F1343" t="inlineStr">
        <is>
          <t>SCA</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13773-2024</t>
        </is>
      </c>
      <c r="B1344" s="1" t="n">
        <v>45390.95297453704</v>
      </c>
      <c r="C1344" s="1" t="n">
        <v>46002</v>
      </c>
      <c r="D1344" t="inlineStr">
        <is>
          <t>VÄSTERNORRLANDS LÄN</t>
        </is>
      </c>
      <c r="E1344" t="inlineStr">
        <is>
          <t>ÅNGE</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30348-2024</t>
        </is>
      </c>
      <c r="B1345" s="1" t="n">
        <v>45490.95524305556</v>
      </c>
      <c r="C1345" s="1" t="n">
        <v>46002</v>
      </c>
      <c r="D1345" t="inlineStr">
        <is>
          <t>VÄSTERNORRLANDS LÄN</t>
        </is>
      </c>
      <c r="E1345" t="inlineStr">
        <is>
          <t>ÅNGE</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54210-2024</t>
        </is>
      </c>
      <c r="B1346" s="1" t="n">
        <v>45616.65662037037</v>
      </c>
      <c r="C1346" s="1" t="n">
        <v>46002</v>
      </c>
      <c r="D1346" t="inlineStr">
        <is>
          <t>VÄSTERNORRLANDS LÄN</t>
        </is>
      </c>
      <c r="E1346" t="inlineStr">
        <is>
          <t>ÅNGE</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12807-2025</t>
        </is>
      </c>
      <c r="B1347" s="1" t="n">
        <v>45733.61537037037</v>
      </c>
      <c r="C1347" s="1" t="n">
        <v>46002</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5602-2025</t>
        </is>
      </c>
      <c r="B1348" s="1" t="n">
        <v>45693</v>
      </c>
      <c r="C1348" s="1" t="n">
        <v>46002</v>
      </c>
      <c r="D1348" t="inlineStr">
        <is>
          <t>VÄSTERNORRLANDS LÄN</t>
        </is>
      </c>
      <c r="E1348" t="inlineStr">
        <is>
          <t>ÅNGE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60578-2024</t>
        </is>
      </c>
      <c r="B1349" s="1" t="n">
        <v>45644.34434027778</v>
      </c>
      <c r="C1349" s="1" t="n">
        <v>46002</v>
      </c>
      <c r="D1349" t="inlineStr">
        <is>
          <t>VÄSTERNORRLANDS LÄN</t>
        </is>
      </c>
      <c r="E1349" t="inlineStr">
        <is>
          <t>ÅNGE</t>
        </is>
      </c>
      <c r="F1349" t="inlineStr">
        <is>
          <t>SCA</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33302-2024</t>
        </is>
      </c>
      <c r="B1350" s="1" t="n">
        <v>45518.96967592592</v>
      </c>
      <c r="C1350" s="1" t="n">
        <v>46002</v>
      </c>
      <c r="D1350" t="inlineStr">
        <is>
          <t>VÄSTERNORRLANDS LÄN</t>
        </is>
      </c>
      <c r="E1350" t="inlineStr">
        <is>
          <t>ÅNGE</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16593-2023</t>
        </is>
      </c>
      <c r="B1351" s="1" t="n">
        <v>45030</v>
      </c>
      <c r="C1351" s="1" t="n">
        <v>46002</v>
      </c>
      <c r="D1351" t="inlineStr">
        <is>
          <t>VÄSTERNORRLANDS LÄN</t>
        </is>
      </c>
      <c r="E1351" t="inlineStr">
        <is>
          <t>ÅNGE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16600-2023</t>
        </is>
      </c>
      <c r="B1352" s="1" t="n">
        <v>45030</v>
      </c>
      <c r="C1352" s="1" t="n">
        <v>46002</v>
      </c>
      <c r="D1352" t="inlineStr">
        <is>
          <t>VÄSTERNORRLANDS LÄN</t>
        </is>
      </c>
      <c r="E1352" t="inlineStr">
        <is>
          <t>ÅNGE</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10917-2024</t>
        </is>
      </c>
      <c r="B1353" s="1" t="n">
        <v>45370</v>
      </c>
      <c r="C1353" s="1" t="n">
        <v>46002</v>
      </c>
      <c r="D1353" t="inlineStr">
        <is>
          <t>VÄSTERNORRLANDS LÄN</t>
        </is>
      </c>
      <c r="E1353" t="inlineStr">
        <is>
          <t>ÅNGE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3022-2023</t>
        </is>
      </c>
      <c r="B1354" s="1" t="n">
        <v>44945</v>
      </c>
      <c r="C1354" s="1" t="n">
        <v>46002</v>
      </c>
      <c r="D1354" t="inlineStr">
        <is>
          <t>VÄSTERNORRLANDS LÄN</t>
        </is>
      </c>
      <c r="E1354" t="inlineStr">
        <is>
          <t>ÅNGE</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34491-2023</t>
        </is>
      </c>
      <c r="B1355" s="1" t="n">
        <v>45139.94775462963</v>
      </c>
      <c r="C1355" s="1" t="n">
        <v>46002</v>
      </c>
      <c r="D1355" t="inlineStr">
        <is>
          <t>VÄSTERNORRLANDS LÄN</t>
        </is>
      </c>
      <c r="E1355" t="inlineStr">
        <is>
          <t>ÅNGE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3947-2025</t>
        </is>
      </c>
      <c r="B1356" s="1" t="n">
        <v>45684.49001157407</v>
      </c>
      <c r="C1356" s="1" t="n">
        <v>46002</v>
      </c>
      <c r="D1356" t="inlineStr">
        <is>
          <t>VÄSTERNORRLANDS LÄN</t>
        </is>
      </c>
      <c r="E1356" t="inlineStr">
        <is>
          <t>ÅNGE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65633-2021</t>
        </is>
      </c>
      <c r="B1357" s="1" t="n">
        <v>44516.56181712963</v>
      </c>
      <c r="C1357" s="1" t="n">
        <v>46002</v>
      </c>
      <c r="D1357" t="inlineStr">
        <is>
          <t>VÄSTERNORRLANDS LÄN</t>
        </is>
      </c>
      <c r="E1357" t="inlineStr">
        <is>
          <t>ÅNGE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36457-2021</t>
        </is>
      </c>
      <c r="B1358" s="1" t="n">
        <v>44390.93858796296</v>
      </c>
      <c r="C1358" s="1" t="n">
        <v>46002</v>
      </c>
      <c r="D1358" t="inlineStr">
        <is>
          <t>VÄSTERNORRLANDS LÄN</t>
        </is>
      </c>
      <c r="E1358" t="inlineStr">
        <is>
          <t>ÅNGE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14927-2025</t>
        </is>
      </c>
      <c r="B1359" s="1" t="n">
        <v>45743</v>
      </c>
      <c r="C1359" s="1" t="n">
        <v>46002</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15167-2025</t>
        </is>
      </c>
      <c r="B1360" s="1" t="n">
        <v>45744.49009259259</v>
      </c>
      <c r="C1360" s="1" t="n">
        <v>46002</v>
      </c>
      <c r="D1360" t="inlineStr">
        <is>
          <t>VÄSTERNORRLANDS LÄN</t>
        </is>
      </c>
      <c r="E1360" t="inlineStr">
        <is>
          <t>ÅNGE</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64950-2023</t>
        </is>
      </c>
      <c r="B1361" s="1" t="n">
        <v>45282</v>
      </c>
      <c r="C1361" s="1" t="n">
        <v>46002</v>
      </c>
      <c r="D1361" t="inlineStr">
        <is>
          <t>VÄSTERNORRLANDS LÄN</t>
        </is>
      </c>
      <c r="E1361" t="inlineStr">
        <is>
          <t>ÅNGE</t>
        </is>
      </c>
      <c r="F1361" t="inlineStr">
        <is>
          <t>SCA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24063-2023</t>
        </is>
      </c>
      <c r="B1362" s="1" t="n">
        <v>45078.94140046297</v>
      </c>
      <c r="C1362" s="1" t="n">
        <v>46002</v>
      </c>
      <c r="D1362" t="inlineStr">
        <is>
          <t>VÄSTERNORRLANDS LÄN</t>
        </is>
      </c>
      <c r="E1362" t="inlineStr">
        <is>
          <t>ÅNGE</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49711-2024</t>
        </is>
      </c>
      <c r="B1363" s="1" t="n">
        <v>45596.69891203703</v>
      </c>
      <c r="C1363" s="1" t="n">
        <v>46002</v>
      </c>
      <c r="D1363" t="inlineStr">
        <is>
          <t>VÄSTERNORRLANDS LÄN</t>
        </is>
      </c>
      <c r="E1363" t="inlineStr">
        <is>
          <t>ÅNGE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3323-2023</t>
        </is>
      </c>
      <c r="B1364" s="1" t="n">
        <v>44945</v>
      </c>
      <c r="C1364" s="1" t="n">
        <v>46002</v>
      </c>
      <c r="D1364" t="inlineStr">
        <is>
          <t>VÄSTERNORRLANDS LÄN</t>
        </is>
      </c>
      <c r="E1364" t="inlineStr">
        <is>
          <t>ÅNGE</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1711-2025</t>
        </is>
      </c>
      <c r="B1365" s="1" t="n">
        <v>45671.31184027778</v>
      </c>
      <c r="C1365" s="1" t="n">
        <v>46002</v>
      </c>
      <c r="D1365" t="inlineStr">
        <is>
          <t>VÄSTERNORRLANDS LÄN</t>
        </is>
      </c>
      <c r="E1365" t="inlineStr">
        <is>
          <t>ÅNGE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1714-2025</t>
        </is>
      </c>
      <c r="B1366" s="1" t="n">
        <v>45671.32474537037</v>
      </c>
      <c r="C1366" s="1" t="n">
        <v>46002</v>
      </c>
      <c r="D1366" t="inlineStr">
        <is>
          <t>VÄSTERNORRLANDS LÄN</t>
        </is>
      </c>
      <c r="E1366" t="inlineStr">
        <is>
          <t>ÅNGE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31866-2024</t>
        </is>
      </c>
      <c r="B1367" s="1" t="n">
        <v>45509</v>
      </c>
      <c r="C1367" s="1" t="n">
        <v>46002</v>
      </c>
      <c r="D1367" t="inlineStr">
        <is>
          <t>VÄSTERNORRLANDS LÄN</t>
        </is>
      </c>
      <c r="E1367" t="inlineStr">
        <is>
          <t>ÅNGE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31867-2024</t>
        </is>
      </c>
      <c r="B1368" s="1" t="n">
        <v>45509</v>
      </c>
      <c r="C1368" s="1" t="n">
        <v>46002</v>
      </c>
      <c r="D1368" t="inlineStr">
        <is>
          <t>VÄSTERNORRLANDS LÄN</t>
        </is>
      </c>
      <c r="E1368" t="inlineStr">
        <is>
          <t>ÅNGE</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33428-2023</t>
        </is>
      </c>
      <c r="B1369" s="1" t="n">
        <v>45128.94976851852</v>
      </c>
      <c r="C1369" s="1" t="n">
        <v>46002</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10557-2023</t>
        </is>
      </c>
      <c r="B1370" s="1" t="n">
        <v>44987</v>
      </c>
      <c r="C1370" s="1" t="n">
        <v>46002</v>
      </c>
      <c r="D1370" t="inlineStr">
        <is>
          <t>VÄSTERNORRLANDS LÄN</t>
        </is>
      </c>
      <c r="E1370" t="inlineStr">
        <is>
          <t>ÅNGE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19926-2025</t>
        </is>
      </c>
      <c r="B1371" s="1" t="n">
        <v>45771.6357175926</v>
      </c>
      <c r="C1371" s="1" t="n">
        <v>46002</v>
      </c>
      <c r="D1371" t="inlineStr">
        <is>
          <t>VÄSTERNORRLANDS LÄN</t>
        </is>
      </c>
      <c r="E1371" t="inlineStr">
        <is>
          <t>ÅNGE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6610-2025</t>
        </is>
      </c>
      <c r="B1372" s="1" t="n">
        <v>45700</v>
      </c>
      <c r="C1372" s="1" t="n">
        <v>46002</v>
      </c>
      <c r="D1372" t="inlineStr">
        <is>
          <t>VÄSTERNORRLANDS LÄN</t>
        </is>
      </c>
      <c r="E1372" t="inlineStr">
        <is>
          <t>ÅNGE</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58997-2023</t>
        </is>
      </c>
      <c r="B1373" s="1" t="n">
        <v>45252.6352662037</v>
      </c>
      <c r="C1373" s="1" t="n">
        <v>46002</v>
      </c>
      <c r="D1373" t="inlineStr">
        <is>
          <t>VÄSTERNORRLANDS LÄN</t>
        </is>
      </c>
      <c r="E1373" t="inlineStr">
        <is>
          <t>ÅNGE</t>
        </is>
      </c>
      <c r="F1373" t="inlineStr">
        <is>
          <t>Övriga Aktiebolag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44639-2023</t>
        </is>
      </c>
      <c r="B1374" s="1" t="n">
        <v>45184</v>
      </c>
      <c r="C1374" s="1" t="n">
        <v>46002</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43552-2023</t>
        </is>
      </c>
      <c r="B1375" s="1" t="n">
        <v>45181</v>
      </c>
      <c r="C1375" s="1" t="n">
        <v>46002</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1735-2025</t>
        </is>
      </c>
      <c r="B1376" s="1" t="n">
        <v>45671.38594907407</v>
      </c>
      <c r="C1376" s="1" t="n">
        <v>46002</v>
      </c>
      <c r="D1376" t="inlineStr">
        <is>
          <t>VÄSTERNORRLANDS LÄN</t>
        </is>
      </c>
      <c r="E1376" t="inlineStr">
        <is>
          <t>ÅNGE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23018-2021</t>
        </is>
      </c>
      <c r="B1377" s="1" t="n">
        <v>44328</v>
      </c>
      <c r="C1377" s="1" t="n">
        <v>46002</v>
      </c>
      <c r="D1377" t="inlineStr">
        <is>
          <t>VÄSTERNORRLANDS LÄN</t>
        </is>
      </c>
      <c r="E1377" t="inlineStr">
        <is>
          <t>ÅNGE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50231-2024</t>
        </is>
      </c>
      <c r="B1378" s="1" t="n">
        <v>45600.55251157407</v>
      </c>
      <c r="C1378" s="1" t="n">
        <v>46002</v>
      </c>
      <c r="D1378" t="inlineStr">
        <is>
          <t>VÄSTERNORRLANDS LÄN</t>
        </is>
      </c>
      <c r="E1378" t="inlineStr">
        <is>
          <t>ÅNGE</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60205-2023</t>
        </is>
      </c>
      <c r="B1379" s="1" t="n">
        <v>45257</v>
      </c>
      <c r="C1379" s="1" t="n">
        <v>46002</v>
      </c>
      <c r="D1379" t="inlineStr">
        <is>
          <t>VÄSTERNORRLANDS LÄN</t>
        </is>
      </c>
      <c r="E1379" t="inlineStr">
        <is>
          <t>ÅNGE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15287-2025</t>
        </is>
      </c>
      <c r="B1380" s="1" t="n">
        <v>45745</v>
      </c>
      <c r="C1380" s="1" t="n">
        <v>46002</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4186-2025</t>
        </is>
      </c>
      <c r="B1381" s="1" t="n">
        <v>45685.44827546296</v>
      </c>
      <c r="C1381" s="1" t="n">
        <v>46002</v>
      </c>
      <c r="D1381" t="inlineStr">
        <is>
          <t>VÄSTERNORRLANDS LÄN</t>
        </is>
      </c>
      <c r="E1381" t="inlineStr">
        <is>
          <t>ÅNGE</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39991-2023</t>
        </is>
      </c>
      <c r="B1382" s="1" t="n">
        <v>45168.6043287037</v>
      </c>
      <c r="C1382" s="1" t="n">
        <v>46002</v>
      </c>
      <c r="D1382" t="inlineStr">
        <is>
          <t>VÄSTERNORRLANDS LÄN</t>
        </is>
      </c>
      <c r="E1382" t="inlineStr">
        <is>
          <t>ÅNGE</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1775-2023</t>
        </is>
      </c>
      <c r="B1383" s="1" t="n">
        <v>44938</v>
      </c>
      <c r="C1383" s="1" t="n">
        <v>46002</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31182-2024</t>
        </is>
      </c>
      <c r="B1384" s="1" t="n">
        <v>45503</v>
      </c>
      <c r="C1384" s="1" t="n">
        <v>46002</v>
      </c>
      <c r="D1384" t="inlineStr">
        <is>
          <t>VÄSTERNORRLANDS LÄN</t>
        </is>
      </c>
      <c r="E1384" t="inlineStr">
        <is>
          <t>ÅNGE</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56956-2022</t>
        </is>
      </c>
      <c r="B1385" s="1" t="n">
        <v>44894</v>
      </c>
      <c r="C1385" s="1" t="n">
        <v>46002</v>
      </c>
      <c r="D1385" t="inlineStr">
        <is>
          <t>VÄSTERNORRLANDS LÄN</t>
        </is>
      </c>
      <c r="E1385" t="inlineStr">
        <is>
          <t>ÅNGE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27321-2024</t>
        </is>
      </c>
      <c r="B1386" s="1" t="n">
        <v>45471</v>
      </c>
      <c r="C1386" s="1" t="n">
        <v>46002</v>
      </c>
      <c r="D1386" t="inlineStr">
        <is>
          <t>VÄSTERNORRLANDS LÄN</t>
        </is>
      </c>
      <c r="E1386" t="inlineStr">
        <is>
          <t>ÅNGE</t>
        </is>
      </c>
      <c r="F1386" t="inlineStr">
        <is>
          <t>SCA</t>
        </is>
      </c>
      <c r="G1386" t="n">
        <v>14.1</v>
      </c>
      <c r="H1386" t="n">
        <v>0</v>
      </c>
      <c r="I1386" t="n">
        <v>0</v>
      </c>
      <c r="J1386" t="n">
        <v>0</v>
      </c>
      <c r="K1386" t="n">
        <v>0</v>
      </c>
      <c r="L1386" t="n">
        <v>0</v>
      </c>
      <c r="M1386" t="n">
        <v>0</v>
      </c>
      <c r="N1386" t="n">
        <v>0</v>
      </c>
      <c r="O1386" t="n">
        <v>0</v>
      </c>
      <c r="P1386" t="n">
        <v>0</v>
      </c>
      <c r="Q1386" t="n">
        <v>0</v>
      </c>
      <c r="R1386" s="2" t="inlineStr"/>
    </row>
    <row r="1387" ht="15" customHeight="1">
      <c r="A1387" t="inlineStr">
        <is>
          <t>A 29667-2024</t>
        </is>
      </c>
      <c r="B1387" s="1" t="n">
        <v>45484.94041666666</v>
      </c>
      <c r="C1387" s="1" t="n">
        <v>46002</v>
      </c>
      <c r="D1387" t="inlineStr">
        <is>
          <t>VÄSTERNORRLANDS LÄN</t>
        </is>
      </c>
      <c r="E1387" t="inlineStr">
        <is>
          <t>ÅNGE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8418-2023</t>
        </is>
      </c>
      <c r="B1388" s="1" t="n">
        <v>44971</v>
      </c>
      <c r="C1388" s="1" t="n">
        <v>46002</v>
      </c>
      <c r="D1388" t="inlineStr">
        <is>
          <t>VÄSTERNORRLANDS LÄN</t>
        </is>
      </c>
      <c r="E1388" t="inlineStr">
        <is>
          <t>ÅNGE</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20024-2023</t>
        </is>
      </c>
      <c r="B1389" s="1" t="n">
        <v>45051</v>
      </c>
      <c r="C1389" s="1" t="n">
        <v>46002</v>
      </c>
      <c r="D1389" t="inlineStr">
        <is>
          <t>VÄSTERNORRLANDS LÄN</t>
        </is>
      </c>
      <c r="E1389" t="inlineStr">
        <is>
          <t>ÅNGE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54982-2023</t>
        </is>
      </c>
      <c r="B1390" s="1" t="n">
        <v>45236</v>
      </c>
      <c r="C1390" s="1" t="n">
        <v>46002</v>
      </c>
      <c r="D1390" t="inlineStr">
        <is>
          <t>VÄSTERNORRLANDS LÄN</t>
        </is>
      </c>
      <c r="E1390" t="inlineStr">
        <is>
          <t>ÅNGE</t>
        </is>
      </c>
      <c r="F1390" t="inlineStr">
        <is>
          <t>SCA</t>
        </is>
      </c>
      <c r="G1390" t="n">
        <v>26.2</v>
      </c>
      <c r="H1390" t="n">
        <v>0</v>
      </c>
      <c r="I1390" t="n">
        <v>0</v>
      </c>
      <c r="J1390" t="n">
        <v>0</v>
      </c>
      <c r="K1390" t="n">
        <v>0</v>
      </c>
      <c r="L1390" t="n">
        <v>0</v>
      </c>
      <c r="M1390" t="n">
        <v>0</v>
      </c>
      <c r="N1390" t="n">
        <v>0</v>
      </c>
      <c r="O1390" t="n">
        <v>0</v>
      </c>
      <c r="P1390" t="n">
        <v>0</v>
      </c>
      <c r="Q1390" t="n">
        <v>0</v>
      </c>
      <c r="R1390" s="2" t="inlineStr"/>
    </row>
    <row r="1391" ht="15" customHeight="1">
      <c r="A1391" t="inlineStr">
        <is>
          <t>A 45939-2023</t>
        </is>
      </c>
      <c r="B1391" s="1" t="n">
        <v>45195.94578703704</v>
      </c>
      <c r="C1391" s="1" t="n">
        <v>46002</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51311-2022</t>
        </is>
      </c>
      <c r="B1392" s="1" t="n">
        <v>44868</v>
      </c>
      <c r="C1392" s="1" t="n">
        <v>46002</v>
      </c>
      <c r="D1392" t="inlineStr">
        <is>
          <t>VÄSTERNORRLANDS LÄN</t>
        </is>
      </c>
      <c r="E1392" t="inlineStr">
        <is>
          <t>ÅNGE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63216-2023</t>
        </is>
      </c>
      <c r="B1393" s="1" t="n">
        <v>45273.62721064815</v>
      </c>
      <c r="C1393" s="1" t="n">
        <v>46002</v>
      </c>
      <c r="D1393" t="inlineStr">
        <is>
          <t>VÄSTERNORRLANDS LÄN</t>
        </is>
      </c>
      <c r="E1393" t="inlineStr">
        <is>
          <t>ÅNGE</t>
        </is>
      </c>
      <c r="F1393" t="inlineStr">
        <is>
          <t>Holmen skog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43916-2023</t>
        </is>
      </c>
      <c r="B1394" s="1" t="n">
        <v>45187.72152777778</v>
      </c>
      <c r="C1394" s="1" t="n">
        <v>46002</v>
      </c>
      <c r="D1394" t="inlineStr">
        <is>
          <t>VÄSTERNORRLANDS LÄN</t>
        </is>
      </c>
      <c r="E1394" t="inlineStr">
        <is>
          <t>ÅNGE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19065-2025</t>
        </is>
      </c>
      <c r="B1395" s="1" t="n">
        <v>45765</v>
      </c>
      <c r="C1395" s="1" t="n">
        <v>46002</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36492-2023</t>
        </is>
      </c>
      <c r="B1396" s="1" t="n">
        <v>45152.92479166666</v>
      </c>
      <c r="C1396" s="1" t="n">
        <v>46002</v>
      </c>
      <c r="D1396" t="inlineStr">
        <is>
          <t>VÄSTERNORRLANDS LÄN</t>
        </is>
      </c>
      <c r="E1396" t="inlineStr">
        <is>
          <t>ÅNGE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46332-2023</t>
        </is>
      </c>
      <c r="B1397" s="1" t="n">
        <v>45196</v>
      </c>
      <c r="C1397" s="1" t="n">
        <v>46002</v>
      </c>
      <c r="D1397" t="inlineStr">
        <is>
          <t>VÄSTERNORRLANDS LÄN</t>
        </is>
      </c>
      <c r="E1397" t="inlineStr">
        <is>
          <t>ÅNGE</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26943-2024</t>
        </is>
      </c>
      <c r="B1398" s="1" t="n">
        <v>45470</v>
      </c>
      <c r="C1398" s="1" t="n">
        <v>46002</v>
      </c>
      <c r="D1398" t="inlineStr">
        <is>
          <t>VÄSTERNORRLANDS LÄN</t>
        </is>
      </c>
      <c r="E1398" t="inlineStr">
        <is>
          <t>ÅNGE</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55882-2022</t>
        </is>
      </c>
      <c r="B1399" s="1" t="n">
        <v>44888</v>
      </c>
      <c r="C1399" s="1" t="n">
        <v>46002</v>
      </c>
      <c r="D1399" t="inlineStr">
        <is>
          <t>VÄSTERNORRLANDS LÄN</t>
        </is>
      </c>
      <c r="E1399" t="inlineStr">
        <is>
          <t>ÅNGE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6686-2024</t>
        </is>
      </c>
      <c r="B1400" s="1" t="n">
        <v>45341</v>
      </c>
      <c r="C1400" s="1" t="n">
        <v>46002</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63556-2021</t>
        </is>
      </c>
      <c r="B1401" s="1" t="n">
        <v>44508.70231481481</v>
      </c>
      <c r="C1401" s="1" t="n">
        <v>46002</v>
      </c>
      <c r="D1401" t="inlineStr">
        <is>
          <t>VÄSTERNORRLANDS LÄN</t>
        </is>
      </c>
      <c r="E1401" t="inlineStr">
        <is>
          <t>ÅNGE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6608-2025</t>
        </is>
      </c>
      <c r="B1402" s="1" t="n">
        <v>45700.34415509259</v>
      </c>
      <c r="C1402" s="1" t="n">
        <v>46002</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30682-2024</t>
        </is>
      </c>
      <c r="B1403" s="1" t="n">
        <v>45495.95109953704</v>
      </c>
      <c r="C1403" s="1" t="n">
        <v>46002</v>
      </c>
      <c r="D1403" t="inlineStr">
        <is>
          <t>VÄSTERNORRLANDS LÄN</t>
        </is>
      </c>
      <c r="E1403" t="inlineStr">
        <is>
          <t>ÅNGE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2451-2024</t>
        </is>
      </c>
      <c r="B1404" s="1" t="n">
        <v>45312.58627314815</v>
      </c>
      <c r="C1404" s="1" t="n">
        <v>46002</v>
      </c>
      <c r="D1404" t="inlineStr">
        <is>
          <t>VÄSTERNORRLANDS LÄN</t>
        </is>
      </c>
      <c r="E1404" t="inlineStr">
        <is>
          <t>ÅNGE</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3352-2021</t>
        </is>
      </c>
      <c r="B1405" s="1" t="n">
        <v>44217</v>
      </c>
      <c r="C1405" s="1" t="n">
        <v>46002</v>
      </c>
      <c r="D1405" t="inlineStr">
        <is>
          <t>VÄSTERNORRLANDS LÄN</t>
        </is>
      </c>
      <c r="E1405" t="inlineStr">
        <is>
          <t>ÅNGE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3253-2024</t>
        </is>
      </c>
      <c r="B1406" s="1" t="n">
        <v>45316</v>
      </c>
      <c r="C1406" s="1" t="n">
        <v>46002</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34783-2021</t>
        </is>
      </c>
      <c r="B1407" s="1" t="n">
        <v>44382</v>
      </c>
      <c r="C1407" s="1" t="n">
        <v>46002</v>
      </c>
      <c r="D1407" t="inlineStr">
        <is>
          <t>VÄSTERNORRLANDS LÄN</t>
        </is>
      </c>
      <c r="E1407" t="inlineStr">
        <is>
          <t>ÅNGE</t>
        </is>
      </c>
      <c r="F1407" t="inlineStr">
        <is>
          <t>SCA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58748-2023</t>
        </is>
      </c>
      <c r="B1408" s="1" t="n">
        <v>45251.92936342592</v>
      </c>
      <c r="C1408" s="1" t="n">
        <v>46002</v>
      </c>
      <c r="D1408" t="inlineStr">
        <is>
          <t>VÄSTERNORRLANDS LÄN</t>
        </is>
      </c>
      <c r="E1408" t="inlineStr">
        <is>
          <t>ÅNGE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51070-2024</t>
        </is>
      </c>
      <c r="B1409" s="1" t="n">
        <v>45603</v>
      </c>
      <c r="C1409" s="1" t="n">
        <v>46002</v>
      </c>
      <c r="D1409" t="inlineStr">
        <is>
          <t>VÄSTERNORRLANDS LÄN</t>
        </is>
      </c>
      <c r="E1409" t="inlineStr">
        <is>
          <t>ÅNGE</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51871-2024</t>
        </is>
      </c>
      <c r="B1410" s="1" t="n">
        <v>45607</v>
      </c>
      <c r="C1410" s="1" t="n">
        <v>46002</v>
      </c>
      <c r="D1410" t="inlineStr">
        <is>
          <t>VÄSTERNORRLANDS LÄN</t>
        </is>
      </c>
      <c r="E1410" t="inlineStr">
        <is>
          <t>ÅNGE</t>
        </is>
      </c>
      <c r="F1410" t="inlineStr">
        <is>
          <t>SCA</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57636-2022</t>
        </is>
      </c>
      <c r="B1411" s="1" t="n">
        <v>44897</v>
      </c>
      <c r="C1411" s="1" t="n">
        <v>46002</v>
      </c>
      <c r="D1411" t="inlineStr">
        <is>
          <t>VÄSTERNORRLANDS LÄN</t>
        </is>
      </c>
      <c r="E1411" t="inlineStr">
        <is>
          <t>ÅNGE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34971-2023</t>
        </is>
      </c>
      <c r="B1412" s="1" t="n">
        <v>45142.61635416667</v>
      </c>
      <c r="C1412" s="1" t="n">
        <v>46002</v>
      </c>
      <c r="D1412" t="inlineStr">
        <is>
          <t>VÄSTERNORRLANDS LÄN</t>
        </is>
      </c>
      <c r="E1412" t="inlineStr">
        <is>
          <t>ÅNGE</t>
        </is>
      </c>
      <c r="F1412" t="inlineStr">
        <is>
          <t>Sveaskog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55329-2023</t>
        </is>
      </c>
      <c r="B1413" s="1" t="n">
        <v>45237</v>
      </c>
      <c r="C1413" s="1" t="n">
        <v>46002</v>
      </c>
      <c r="D1413" t="inlineStr">
        <is>
          <t>VÄSTERNORRLANDS LÄN</t>
        </is>
      </c>
      <c r="E1413" t="inlineStr">
        <is>
          <t>ÅNGE</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44178-2023</t>
        </is>
      </c>
      <c r="B1414" s="1" t="n">
        <v>45183</v>
      </c>
      <c r="C1414" s="1" t="n">
        <v>46002</v>
      </c>
      <c r="D1414" t="inlineStr">
        <is>
          <t>VÄSTERNORRLANDS LÄN</t>
        </is>
      </c>
      <c r="E1414" t="inlineStr">
        <is>
          <t>ÅNGE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52804-2024</t>
        </is>
      </c>
      <c r="B1415" s="1" t="n">
        <v>45610.57322916666</v>
      </c>
      <c r="C1415" s="1" t="n">
        <v>46002</v>
      </c>
      <c r="D1415" t="inlineStr">
        <is>
          <t>VÄSTERNORRLANDS LÄN</t>
        </is>
      </c>
      <c r="E1415" t="inlineStr">
        <is>
          <t>ÅNGE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30055-2024</t>
        </is>
      </c>
      <c r="B1416" s="1" t="n">
        <v>45488.94767361111</v>
      </c>
      <c r="C1416" s="1" t="n">
        <v>46002</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42346-2023</t>
        </is>
      </c>
      <c r="B1417" s="1" t="n">
        <v>45180</v>
      </c>
      <c r="C1417" s="1" t="n">
        <v>46002</v>
      </c>
      <c r="D1417" t="inlineStr">
        <is>
          <t>VÄSTERNORRLANDS LÄN</t>
        </is>
      </c>
      <c r="E1417" t="inlineStr">
        <is>
          <t>ÅNGE</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137-2025</t>
        </is>
      </c>
      <c r="B1418" s="1" t="n">
        <v>45659.57684027778</v>
      </c>
      <c r="C1418" s="1" t="n">
        <v>46002</v>
      </c>
      <c r="D1418" t="inlineStr">
        <is>
          <t>VÄSTERNORRLANDS LÄN</t>
        </is>
      </c>
      <c r="E1418" t="inlineStr">
        <is>
          <t>ÅNGE</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55380-2024</t>
        </is>
      </c>
      <c r="B1419" s="1" t="n">
        <v>45622.28810185185</v>
      </c>
      <c r="C1419" s="1" t="n">
        <v>46002</v>
      </c>
      <c r="D1419" t="inlineStr">
        <is>
          <t>VÄSTERNORRLANDS LÄN</t>
        </is>
      </c>
      <c r="E1419" t="inlineStr">
        <is>
          <t>ÅNGE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56615-2023</t>
        </is>
      </c>
      <c r="B1420" s="1" t="n">
        <v>45243</v>
      </c>
      <c r="C1420" s="1" t="n">
        <v>46002</v>
      </c>
      <c r="D1420" t="inlineStr">
        <is>
          <t>VÄSTERNORRLANDS LÄN</t>
        </is>
      </c>
      <c r="E1420" t="inlineStr">
        <is>
          <t>ÅNGE</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57601-2022</t>
        </is>
      </c>
      <c r="B1421" s="1" t="n">
        <v>44896</v>
      </c>
      <c r="C1421" s="1" t="n">
        <v>46002</v>
      </c>
      <c r="D1421" t="inlineStr">
        <is>
          <t>VÄSTERNORRLANDS LÄN</t>
        </is>
      </c>
      <c r="E1421" t="inlineStr">
        <is>
          <t>ÅNGE</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22678-2024</t>
        </is>
      </c>
      <c r="B1422" s="1" t="n">
        <v>45447.94533564815</v>
      </c>
      <c r="C1422" s="1" t="n">
        <v>46002</v>
      </c>
      <c r="D1422" t="inlineStr">
        <is>
          <t>VÄSTERNORRLANDS LÄN</t>
        </is>
      </c>
      <c r="E1422" t="inlineStr">
        <is>
          <t>ÅNGE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64121-2021</t>
        </is>
      </c>
      <c r="B1423" s="1" t="n">
        <v>44510.4730787037</v>
      </c>
      <c r="C1423" s="1" t="n">
        <v>46002</v>
      </c>
      <c r="D1423" t="inlineStr">
        <is>
          <t>VÄSTERNORRLANDS LÄN</t>
        </is>
      </c>
      <c r="E1423" t="inlineStr">
        <is>
          <t>ÅNGE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71965-2021</t>
        </is>
      </c>
      <c r="B1424" s="1" t="n">
        <v>44544.32483796297</v>
      </c>
      <c r="C1424" s="1" t="n">
        <v>46002</v>
      </c>
      <c r="D1424" t="inlineStr">
        <is>
          <t>VÄSTERNORRLANDS LÄN</t>
        </is>
      </c>
      <c r="E1424" t="inlineStr">
        <is>
          <t>ÅNGE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62834-2021</t>
        </is>
      </c>
      <c r="B1425" s="1" t="n">
        <v>44503</v>
      </c>
      <c r="C1425" s="1" t="n">
        <v>46002</v>
      </c>
      <c r="D1425" t="inlineStr">
        <is>
          <t>VÄSTERNORRLANDS LÄN</t>
        </is>
      </c>
      <c r="E1425" t="inlineStr">
        <is>
          <t>ÅNGE</t>
        </is>
      </c>
      <c r="F1425" t="inlineStr">
        <is>
          <t>Övriga statliga verk och myndigheter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7535-2023</t>
        </is>
      </c>
      <c r="B1426" s="1" t="n">
        <v>44971</v>
      </c>
      <c r="C1426" s="1" t="n">
        <v>46002</v>
      </c>
      <c r="D1426" t="inlineStr">
        <is>
          <t>VÄSTERNORRLANDS LÄN</t>
        </is>
      </c>
      <c r="E1426" t="inlineStr">
        <is>
          <t>ÅNGE</t>
        </is>
      </c>
      <c r="F1426" t="inlineStr">
        <is>
          <t>SCA</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41586-2024</t>
        </is>
      </c>
      <c r="B1427" s="1" t="n">
        <v>45560.56089120371</v>
      </c>
      <c r="C1427" s="1" t="n">
        <v>46002</v>
      </c>
      <c r="D1427" t="inlineStr">
        <is>
          <t>VÄSTERNORRLANDS LÄN</t>
        </is>
      </c>
      <c r="E1427" t="inlineStr">
        <is>
          <t>ÅNGE</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48946-2024</t>
        </is>
      </c>
      <c r="B1428" s="1" t="n">
        <v>45594.42736111111</v>
      </c>
      <c r="C1428" s="1" t="n">
        <v>46002</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33429-2023</t>
        </is>
      </c>
      <c r="B1429" s="1" t="n">
        <v>45128.94983796297</v>
      </c>
      <c r="C1429" s="1" t="n">
        <v>46002</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22597-2021</t>
        </is>
      </c>
      <c r="B1430" s="1" t="n">
        <v>44326</v>
      </c>
      <c r="C1430" s="1" t="n">
        <v>46002</v>
      </c>
      <c r="D1430" t="inlineStr">
        <is>
          <t>VÄSTERNORRLANDS LÄN</t>
        </is>
      </c>
      <c r="E1430" t="inlineStr">
        <is>
          <t>ÅNGE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20255-2023</t>
        </is>
      </c>
      <c r="B1431" s="1" t="n">
        <v>45055</v>
      </c>
      <c r="C1431" s="1" t="n">
        <v>46002</v>
      </c>
      <c r="D1431" t="inlineStr">
        <is>
          <t>VÄSTERNORRLANDS LÄN</t>
        </is>
      </c>
      <c r="E1431" t="inlineStr">
        <is>
          <t>ÅNGE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11871-2025</t>
        </is>
      </c>
      <c r="B1432" s="1" t="n">
        <v>45728.42740740741</v>
      </c>
      <c r="C1432" s="1" t="n">
        <v>46002</v>
      </c>
      <c r="D1432" t="inlineStr">
        <is>
          <t>VÄSTERNORRLANDS LÄN</t>
        </is>
      </c>
      <c r="E1432" t="inlineStr">
        <is>
          <t>ÅNGE</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16934-2025</t>
        </is>
      </c>
      <c r="B1433" s="1" t="n">
        <v>45755.40671296296</v>
      </c>
      <c r="C1433" s="1" t="n">
        <v>46002</v>
      </c>
      <c r="D1433" t="inlineStr">
        <is>
          <t>VÄSTERNORRLANDS LÄN</t>
        </is>
      </c>
      <c r="E1433" t="inlineStr">
        <is>
          <t>ÅNGE</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16281-2023</t>
        </is>
      </c>
      <c r="B1434" s="1" t="n">
        <v>45028</v>
      </c>
      <c r="C1434" s="1" t="n">
        <v>46002</v>
      </c>
      <c r="D1434" t="inlineStr">
        <is>
          <t>VÄSTERNORRLANDS LÄN</t>
        </is>
      </c>
      <c r="E1434" t="inlineStr">
        <is>
          <t>ÅNGE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26012-2024</t>
        </is>
      </c>
      <c r="B1435" s="1" t="n">
        <v>45467</v>
      </c>
      <c r="C1435" s="1" t="n">
        <v>46002</v>
      </c>
      <c r="D1435" t="inlineStr">
        <is>
          <t>VÄSTERNORRLANDS LÄN</t>
        </is>
      </c>
      <c r="E1435" t="inlineStr">
        <is>
          <t>ÅNGE</t>
        </is>
      </c>
      <c r="F1435" t="inlineStr">
        <is>
          <t>SCA</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26015-2024</t>
        </is>
      </c>
      <c r="B1436" s="1" t="n">
        <v>45467.95872685185</v>
      </c>
      <c r="C1436" s="1" t="n">
        <v>46002</v>
      </c>
      <c r="D1436" t="inlineStr">
        <is>
          <t>VÄSTERNORRLANDS LÄN</t>
        </is>
      </c>
      <c r="E1436" t="inlineStr">
        <is>
          <t>ÅNGE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48697-2024</t>
        </is>
      </c>
      <c r="B1437" s="1" t="n">
        <v>45593.51136574074</v>
      </c>
      <c r="C1437" s="1" t="n">
        <v>46002</v>
      </c>
      <c r="D1437" t="inlineStr">
        <is>
          <t>VÄSTERNORRLANDS LÄN</t>
        </is>
      </c>
      <c r="E1437" t="inlineStr">
        <is>
          <t>ÅNGE</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1095-2023</t>
        </is>
      </c>
      <c r="B1438" s="1" t="n">
        <v>44929</v>
      </c>
      <c r="C1438" s="1" t="n">
        <v>46002</v>
      </c>
      <c r="D1438" t="inlineStr">
        <is>
          <t>VÄSTERNORRLANDS LÄN</t>
        </is>
      </c>
      <c r="E1438" t="inlineStr">
        <is>
          <t>ÅNGE</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46795-2023</t>
        </is>
      </c>
      <c r="B1439" s="1" t="n">
        <v>45198</v>
      </c>
      <c r="C1439" s="1" t="n">
        <v>46002</v>
      </c>
      <c r="D1439" t="inlineStr">
        <is>
          <t>VÄSTERNORRLANDS LÄN</t>
        </is>
      </c>
      <c r="E1439" t="inlineStr">
        <is>
          <t>ÅNGE</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16657-2025</t>
        </is>
      </c>
      <c r="B1440" s="1" t="n">
        <v>45754.40700231482</v>
      </c>
      <c r="C1440" s="1" t="n">
        <v>46002</v>
      </c>
      <c r="D1440" t="inlineStr">
        <is>
          <t>VÄSTERNORRLANDS LÄN</t>
        </is>
      </c>
      <c r="E1440" t="inlineStr">
        <is>
          <t>ÅNGE</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63709-2023</t>
        </is>
      </c>
      <c r="B1441" s="1" t="n">
        <v>45275.95069444444</v>
      </c>
      <c r="C1441" s="1" t="n">
        <v>46002</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30353-2024</t>
        </is>
      </c>
      <c r="B1442" s="1" t="n">
        <v>45490.95567129629</v>
      </c>
      <c r="C1442" s="1" t="n">
        <v>46002</v>
      </c>
      <c r="D1442" t="inlineStr">
        <is>
          <t>VÄSTERNORRLANDS LÄN</t>
        </is>
      </c>
      <c r="E1442" t="inlineStr">
        <is>
          <t>ÅNGE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4187-2025</t>
        </is>
      </c>
      <c r="B1443" s="1" t="n">
        <v>45685.44842592593</v>
      </c>
      <c r="C1443" s="1" t="n">
        <v>46002</v>
      </c>
      <c r="D1443" t="inlineStr">
        <is>
          <t>VÄSTERNORRLANDS LÄN</t>
        </is>
      </c>
      <c r="E1443" t="inlineStr">
        <is>
          <t>ÅNGE</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58929-2024</t>
        </is>
      </c>
      <c r="B1444" s="1" t="n">
        <v>45636.51090277778</v>
      </c>
      <c r="C1444" s="1" t="n">
        <v>46002</v>
      </c>
      <c r="D1444" t="inlineStr">
        <is>
          <t>VÄSTERNORRLANDS LÄN</t>
        </is>
      </c>
      <c r="E1444" t="inlineStr">
        <is>
          <t>ÅNGE</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42100-2023</t>
        </is>
      </c>
      <c r="B1445" s="1" t="n">
        <v>45174</v>
      </c>
      <c r="C1445" s="1" t="n">
        <v>46002</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2365-2024</t>
        </is>
      </c>
      <c r="B1446" s="1" t="n">
        <v>45310.59778935185</v>
      </c>
      <c r="C1446" s="1" t="n">
        <v>46002</v>
      </c>
      <c r="D1446" t="inlineStr">
        <is>
          <t>VÄSTERNORRLANDS LÄN</t>
        </is>
      </c>
      <c r="E1446" t="inlineStr">
        <is>
          <t>ÅNGE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2372-2024</t>
        </is>
      </c>
      <c r="B1447" s="1" t="n">
        <v>45310.6115625</v>
      </c>
      <c r="C1447" s="1" t="n">
        <v>46002</v>
      </c>
      <c r="D1447" t="inlineStr">
        <is>
          <t>VÄSTERNORRLANDS LÄN</t>
        </is>
      </c>
      <c r="E1447" t="inlineStr">
        <is>
          <t>ÅNGE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21068-2025</t>
        </is>
      </c>
      <c r="B1448" s="1" t="n">
        <v>45777.59413194445</v>
      </c>
      <c r="C1448" s="1" t="n">
        <v>46002</v>
      </c>
      <c r="D1448" t="inlineStr">
        <is>
          <t>VÄSTERNORRLANDS LÄN</t>
        </is>
      </c>
      <c r="E1448" t="inlineStr">
        <is>
          <t>ÅNGE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20864-2025</t>
        </is>
      </c>
      <c r="B1449" s="1" t="n">
        <v>45777.34417824074</v>
      </c>
      <c r="C1449" s="1" t="n">
        <v>46002</v>
      </c>
      <c r="D1449" t="inlineStr">
        <is>
          <t>VÄSTERNORRLANDS LÄN</t>
        </is>
      </c>
      <c r="E1449" t="inlineStr">
        <is>
          <t>ÅNGE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20868-2025</t>
        </is>
      </c>
      <c r="B1450" s="1" t="n">
        <v>45777.34483796296</v>
      </c>
      <c r="C1450" s="1" t="n">
        <v>46002</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20718-2025</t>
        </is>
      </c>
      <c r="B1451" s="1" t="n">
        <v>45776.49047453704</v>
      </c>
      <c r="C1451" s="1" t="n">
        <v>46002</v>
      </c>
      <c r="D1451" t="inlineStr">
        <is>
          <t>VÄSTERNORRLANDS LÄN</t>
        </is>
      </c>
      <c r="E1451" t="inlineStr">
        <is>
          <t>ÅNGE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20776-2025</t>
        </is>
      </c>
      <c r="B1452" s="1" t="n">
        <v>45776.59410879629</v>
      </c>
      <c r="C1452" s="1" t="n">
        <v>46002</v>
      </c>
      <c r="D1452" t="inlineStr">
        <is>
          <t>VÄSTERNORRLANDS LÄN</t>
        </is>
      </c>
      <c r="E1452" t="inlineStr">
        <is>
          <t>ÅNGE</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21174-2025</t>
        </is>
      </c>
      <c r="B1453" s="1" t="n">
        <v>45779.42746527777</v>
      </c>
      <c r="C1453" s="1" t="n">
        <v>46002</v>
      </c>
      <c r="D1453" t="inlineStr">
        <is>
          <t>VÄSTERNORRLANDS LÄN</t>
        </is>
      </c>
      <c r="E1453" t="inlineStr">
        <is>
          <t>ÅNGE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21197-2025</t>
        </is>
      </c>
      <c r="B1454" s="1" t="n">
        <v>45779.46949074074</v>
      </c>
      <c r="C1454" s="1" t="n">
        <v>46002</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45030-2024</t>
        </is>
      </c>
      <c r="B1455" s="1" t="n">
        <v>45575.52089120371</v>
      </c>
      <c r="C1455" s="1" t="n">
        <v>46002</v>
      </c>
      <c r="D1455" t="inlineStr">
        <is>
          <t>VÄSTERNORRLANDS LÄN</t>
        </is>
      </c>
      <c r="E1455" t="inlineStr">
        <is>
          <t>ÅNGE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21263-2025</t>
        </is>
      </c>
      <c r="B1456" s="1" t="n">
        <v>45779.61233796296</v>
      </c>
      <c r="C1456" s="1" t="n">
        <v>46002</v>
      </c>
      <c r="D1456" t="inlineStr">
        <is>
          <t>VÄSTERNORRLANDS LÄN</t>
        </is>
      </c>
      <c r="E1456" t="inlineStr">
        <is>
          <t>ÅNGE</t>
        </is>
      </c>
      <c r="F1456" t="inlineStr">
        <is>
          <t>Sveaskog</t>
        </is>
      </c>
      <c r="G1456" t="n">
        <v>14.9</v>
      </c>
      <c r="H1456" t="n">
        <v>0</v>
      </c>
      <c r="I1456" t="n">
        <v>0</v>
      </c>
      <c r="J1456" t="n">
        <v>0</v>
      </c>
      <c r="K1456" t="n">
        <v>0</v>
      </c>
      <c r="L1456" t="n">
        <v>0</v>
      </c>
      <c r="M1456" t="n">
        <v>0</v>
      </c>
      <c r="N1456" t="n">
        <v>0</v>
      </c>
      <c r="O1456" t="n">
        <v>0</v>
      </c>
      <c r="P1456" t="n">
        <v>0</v>
      </c>
      <c r="Q1456" t="n">
        <v>0</v>
      </c>
      <c r="R1456" s="2" t="inlineStr"/>
    </row>
    <row r="1457" ht="15" customHeight="1">
      <c r="A1457" t="inlineStr">
        <is>
          <t>A 21251-2025</t>
        </is>
      </c>
      <c r="B1457" s="1" t="n">
        <v>45779.57417824074</v>
      </c>
      <c r="C1457" s="1" t="n">
        <v>46002</v>
      </c>
      <c r="D1457" t="inlineStr">
        <is>
          <t>VÄSTERNORRLANDS LÄN</t>
        </is>
      </c>
      <c r="E1457" t="inlineStr">
        <is>
          <t>ÅNGE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21176-2025</t>
        </is>
      </c>
      <c r="B1458" s="1" t="n">
        <v>45779.42798611111</v>
      </c>
      <c r="C1458" s="1" t="n">
        <v>46002</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21741-2025</t>
        </is>
      </c>
      <c r="B1459" s="1" t="n">
        <v>45783.59415509259</v>
      </c>
      <c r="C1459" s="1" t="n">
        <v>46002</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21685-2025</t>
        </is>
      </c>
      <c r="B1460" s="1" t="n">
        <v>45783.49050925926</v>
      </c>
      <c r="C1460" s="1" t="n">
        <v>46002</v>
      </c>
      <c r="D1460" t="inlineStr">
        <is>
          <t>VÄSTERNORRLANDS LÄN</t>
        </is>
      </c>
      <c r="E1460" t="inlineStr">
        <is>
          <t>ÅNGE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21597-2025</t>
        </is>
      </c>
      <c r="B1461" s="1" t="n">
        <v>45783.34493055556</v>
      </c>
      <c r="C1461" s="1" t="n">
        <v>46002</v>
      </c>
      <c r="D1461" t="inlineStr">
        <is>
          <t>VÄSTERNORRLANDS LÄN</t>
        </is>
      </c>
      <c r="E1461" t="inlineStr">
        <is>
          <t>ÅNGE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17669-2023</t>
        </is>
      </c>
      <c r="B1462" s="1" t="n">
        <v>45036.94457175926</v>
      </c>
      <c r="C1462" s="1" t="n">
        <v>46002</v>
      </c>
      <c r="D1462" t="inlineStr">
        <is>
          <t>VÄSTERNORRLANDS LÄN</t>
        </is>
      </c>
      <c r="E1462" t="inlineStr">
        <is>
          <t>ÅNGE</t>
        </is>
      </c>
      <c r="F1462" t="inlineStr">
        <is>
          <t>SCA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25867-2024</t>
        </is>
      </c>
      <c r="B1463" s="1" t="n">
        <v>45463</v>
      </c>
      <c r="C1463" s="1" t="n">
        <v>46002</v>
      </c>
      <c r="D1463" t="inlineStr">
        <is>
          <t>VÄSTERNORRLANDS LÄN</t>
        </is>
      </c>
      <c r="E1463" t="inlineStr">
        <is>
          <t>ÅNGE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2539-2025</t>
        </is>
      </c>
      <c r="B1464" s="1" t="n">
        <v>45674.61581018518</v>
      </c>
      <c r="C1464" s="1" t="n">
        <v>46002</v>
      </c>
      <c r="D1464" t="inlineStr">
        <is>
          <t>VÄSTERNORRLANDS LÄN</t>
        </is>
      </c>
      <c r="E1464" t="inlineStr">
        <is>
          <t>ÅNGE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21686-2025</t>
        </is>
      </c>
      <c r="B1465" s="1" t="n">
        <v>45783.490625</v>
      </c>
      <c r="C1465" s="1" t="n">
        <v>46002</v>
      </c>
      <c r="D1465" t="inlineStr">
        <is>
          <t>VÄSTERNORRLANDS LÄN</t>
        </is>
      </c>
      <c r="E1465" t="inlineStr">
        <is>
          <t>ÅNGE</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54295-2024</t>
        </is>
      </c>
      <c r="B1466" s="1" t="n">
        <v>45617</v>
      </c>
      <c r="C1466" s="1" t="n">
        <v>46002</v>
      </c>
      <c r="D1466" t="inlineStr">
        <is>
          <t>VÄSTERNORRLANDS LÄN</t>
        </is>
      </c>
      <c r="E1466" t="inlineStr">
        <is>
          <t>ÅNGE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21563-2025</t>
        </is>
      </c>
      <c r="B1467" s="1" t="n">
        <v>45782.69822916666</v>
      </c>
      <c r="C1467" s="1" t="n">
        <v>46002</v>
      </c>
      <c r="D1467" t="inlineStr">
        <is>
          <t>VÄSTERNORRLANDS LÄN</t>
        </is>
      </c>
      <c r="E1467" t="inlineStr">
        <is>
          <t>ÅNGE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21712-2025</t>
        </is>
      </c>
      <c r="B1468" s="1" t="n">
        <v>45783.53210648148</v>
      </c>
      <c r="C1468" s="1" t="n">
        <v>46002</v>
      </c>
      <c r="D1468" t="inlineStr">
        <is>
          <t>VÄSTERNORRLANDS LÄN</t>
        </is>
      </c>
      <c r="E1468" t="inlineStr">
        <is>
          <t>ÅNGE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26640-2024</t>
        </is>
      </c>
      <c r="B1469" s="1" t="n">
        <v>45469.92831018518</v>
      </c>
      <c r="C1469" s="1" t="n">
        <v>46002</v>
      </c>
      <c r="D1469" t="inlineStr">
        <is>
          <t>VÄSTERNORRLANDS LÄN</t>
        </is>
      </c>
      <c r="E1469" t="inlineStr">
        <is>
          <t>ÅNGE</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39119-2024</t>
        </is>
      </c>
      <c r="B1470" s="1" t="n">
        <v>45548.58939814815</v>
      </c>
      <c r="C1470" s="1" t="n">
        <v>46002</v>
      </c>
      <c r="D1470" t="inlineStr">
        <is>
          <t>VÄSTERNORRLANDS LÄN</t>
        </is>
      </c>
      <c r="E1470" t="inlineStr">
        <is>
          <t>ÅNGE</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32257-2024</t>
        </is>
      </c>
      <c r="B1471" s="1" t="n">
        <v>45511</v>
      </c>
      <c r="C1471" s="1" t="n">
        <v>46002</v>
      </c>
      <c r="D1471" t="inlineStr">
        <is>
          <t>VÄSTERNORRLANDS LÄN</t>
        </is>
      </c>
      <c r="E1471" t="inlineStr">
        <is>
          <t>ÅNGE</t>
        </is>
      </c>
      <c r="F1471" t="inlineStr">
        <is>
          <t>SCA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20880-2025</t>
        </is>
      </c>
      <c r="B1472" s="1" t="n">
        <v>45777</v>
      </c>
      <c r="C1472" s="1" t="n">
        <v>46002</v>
      </c>
      <c r="D1472" t="inlineStr">
        <is>
          <t>VÄSTERNORRLANDS LÄN</t>
        </is>
      </c>
      <c r="E1472" t="inlineStr">
        <is>
          <t>ÅNGE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22219-2025</t>
        </is>
      </c>
      <c r="B1473" s="1" t="n">
        <v>45785.65849537037</v>
      </c>
      <c r="C1473" s="1" t="n">
        <v>46002</v>
      </c>
      <c r="D1473" t="inlineStr">
        <is>
          <t>VÄSTERNORRLANDS LÄN</t>
        </is>
      </c>
      <c r="E1473" t="inlineStr">
        <is>
          <t>ÅNGE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21862-2025</t>
        </is>
      </c>
      <c r="B1474" s="1" t="n">
        <v>45784.36519675926</v>
      </c>
      <c r="C1474" s="1" t="n">
        <v>46002</v>
      </c>
      <c r="D1474" t="inlineStr">
        <is>
          <t>VÄSTERNORRLANDS LÄN</t>
        </is>
      </c>
      <c r="E1474" t="inlineStr">
        <is>
          <t>ÅNGE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22206-2025</t>
        </is>
      </c>
      <c r="B1475" s="1" t="n">
        <v>45785.65699074074</v>
      </c>
      <c r="C1475" s="1" t="n">
        <v>46002</v>
      </c>
      <c r="D1475" t="inlineStr">
        <is>
          <t>VÄSTERNORRLANDS LÄN</t>
        </is>
      </c>
      <c r="E1475" t="inlineStr">
        <is>
          <t>ÅNGE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29395-2023</t>
        </is>
      </c>
      <c r="B1476" s="1" t="n">
        <v>45106.4359837963</v>
      </c>
      <c r="C1476" s="1" t="n">
        <v>46002</v>
      </c>
      <c r="D1476" t="inlineStr">
        <is>
          <t>VÄSTERNORRLANDS LÄN</t>
        </is>
      </c>
      <c r="E1476" t="inlineStr">
        <is>
          <t>ÅNGE</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38800-2024</t>
        </is>
      </c>
      <c r="B1477" s="1" t="n">
        <v>45547</v>
      </c>
      <c r="C1477" s="1" t="n">
        <v>46002</v>
      </c>
      <c r="D1477" t="inlineStr">
        <is>
          <t>VÄSTERNORRLANDS LÄN</t>
        </is>
      </c>
      <c r="E1477" t="inlineStr">
        <is>
          <t>ÅNGE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21883-2025</t>
        </is>
      </c>
      <c r="B1478" s="1" t="n">
        <v>45784.41361111111</v>
      </c>
      <c r="C1478" s="1" t="n">
        <v>46002</v>
      </c>
      <c r="D1478" t="inlineStr">
        <is>
          <t>VÄSTERNORRLANDS LÄN</t>
        </is>
      </c>
      <c r="E1478" t="inlineStr">
        <is>
          <t>ÅNGE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31492-2024</t>
        </is>
      </c>
      <c r="B1479" s="1" t="n">
        <v>45505</v>
      </c>
      <c r="C1479" s="1" t="n">
        <v>46002</v>
      </c>
      <c r="D1479" t="inlineStr">
        <is>
          <t>VÄSTERNORRLANDS LÄN</t>
        </is>
      </c>
      <c r="E1479" t="inlineStr">
        <is>
          <t>ÅNGE</t>
        </is>
      </c>
      <c r="F1479" t="inlineStr">
        <is>
          <t>SCA</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21982-2025</t>
        </is>
      </c>
      <c r="B1480" s="1" t="n">
        <v>45784.65660879629</v>
      </c>
      <c r="C1480" s="1" t="n">
        <v>46002</v>
      </c>
      <c r="D1480" t="inlineStr">
        <is>
          <t>VÄSTERNORRLANDS LÄN</t>
        </is>
      </c>
      <c r="E1480" t="inlineStr">
        <is>
          <t>ÅNGE</t>
        </is>
      </c>
      <c r="F1480" t="inlineStr">
        <is>
          <t>SCA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22187-2024</t>
        </is>
      </c>
      <c r="B1481" s="1" t="n">
        <v>45446.35222222222</v>
      </c>
      <c r="C1481" s="1" t="n">
        <v>46002</v>
      </c>
      <c r="D1481" t="inlineStr">
        <is>
          <t>VÄSTERNORRLANDS LÄN</t>
        </is>
      </c>
      <c r="E1481" t="inlineStr">
        <is>
          <t>ÅNGE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22489-2025</t>
        </is>
      </c>
      <c r="B1482" s="1" t="n">
        <v>45786.64946759259</v>
      </c>
      <c r="C1482" s="1" t="n">
        <v>46002</v>
      </c>
      <c r="D1482" t="inlineStr">
        <is>
          <t>VÄSTERNORRLANDS LÄN</t>
        </is>
      </c>
      <c r="E1482" t="inlineStr">
        <is>
          <t>ÅNGE</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22791-2025</t>
        </is>
      </c>
      <c r="B1483" s="1" t="n">
        <v>45789.65663194445</v>
      </c>
      <c r="C1483" s="1" t="n">
        <v>46002</v>
      </c>
      <c r="D1483" t="inlineStr">
        <is>
          <t>VÄSTERNORRLANDS LÄN</t>
        </is>
      </c>
      <c r="E1483" t="inlineStr">
        <is>
          <t>ÅNGE</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22549-2025</t>
        </is>
      </c>
      <c r="B1484" s="1" t="n">
        <v>45788.48113425926</v>
      </c>
      <c r="C1484" s="1" t="n">
        <v>46002</v>
      </c>
      <c r="D1484" t="inlineStr">
        <is>
          <t>VÄSTERNORRLANDS LÄN</t>
        </is>
      </c>
      <c r="E1484" t="inlineStr">
        <is>
          <t>ÅNGE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23091-2025</t>
        </is>
      </c>
      <c r="B1485" s="1" t="n">
        <v>45791.34456018519</v>
      </c>
      <c r="C1485" s="1" t="n">
        <v>46002</v>
      </c>
      <c r="D1485" t="inlineStr">
        <is>
          <t>VÄSTERNORRLANDS LÄN</t>
        </is>
      </c>
      <c r="E1485" t="inlineStr">
        <is>
          <t>ÅNGE</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23343-2025</t>
        </is>
      </c>
      <c r="B1486" s="1" t="n">
        <v>45791.65702546296</v>
      </c>
      <c r="C1486" s="1" t="n">
        <v>46002</v>
      </c>
      <c r="D1486" t="inlineStr">
        <is>
          <t>VÄSTERNORRLANDS LÄN</t>
        </is>
      </c>
      <c r="E1486" t="inlineStr">
        <is>
          <t>ÅNGE</t>
        </is>
      </c>
      <c r="F1486" t="inlineStr">
        <is>
          <t>SCA</t>
        </is>
      </c>
      <c r="G1486" t="n">
        <v>12.6</v>
      </c>
      <c r="H1486" t="n">
        <v>0</v>
      </c>
      <c r="I1486" t="n">
        <v>0</v>
      </c>
      <c r="J1486" t="n">
        <v>0</v>
      </c>
      <c r="K1486" t="n">
        <v>0</v>
      </c>
      <c r="L1486" t="n">
        <v>0</v>
      </c>
      <c r="M1486" t="n">
        <v>0</v>
      </c>
      <c r="N1486" t="n">
        <v>0</v>
      </c>
      <c r="O1486" t="n">
        <v>0</v>
      </c>
      <c r="P1486" t="n">
        <v>0</v>
      </c>
      <c r="Q1486" t="n">
        <v>0</v>
      </c>
      <c r="R1486" s="2" t="inlineStr"/>
    </row>
    <row r="1487">
      <c r="A1487" t="inlineStr">
        <is>
          <t>A 23252-2025</t>
        </is>
      </c>
      <c r="B1487" s="1" t="n">
        <v>45791.53157407408</v>
      </c>
      <c r="C1487" s="1" t="n">
        <v>46002</v>
      </c>
      <c r="D1487" t="inlineStr">
        <is>
          <t>VÄSTERNORRLANDS LÄN</t>
        </is>
      </c>
      <c r="E1487" t="inlineStr">
        <is>
          <t>ÅNGE</t>
        </is>
      </c>
      <c r="F1487" t="inlineStr">
        <is>
          <t>SCA</t>
        </is>
      </c>
      <c r="G1487" t="n">
        <v>1.5</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2025-12-11T10:29:51Z</dcterms:created>
  <dcterms:modified xmlns:dcterms="http://purl.org/dc/terms/" xmlns:xsi="http://www.w3.org/2001/XMLSchema-instance" xsi:type="dcterms:W3CDTF">2025-12-11T10:29:52Z</dcterms:modified>
</cp:coreProperties>
</file>