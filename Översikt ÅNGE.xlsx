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45349</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45349</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45349</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45349</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45349</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45349</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45349</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45349</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45349</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45349</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45349</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45349</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45349</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45349</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45349</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45349</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45349</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45349</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45349</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45349</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45349</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45349</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45349</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45349</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45349</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45349</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45349</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45349</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45349</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45349</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45349</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45349</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45349</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45349</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45349</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45349</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45349</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45349</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45349</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45349</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45349</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45349</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45349</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45349</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45349</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45349</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45349</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45349</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45349</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45349</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45349</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45349</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45349</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45349</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45349</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45349</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45349</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45349</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45349</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45349</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45349</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45349</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45349</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45349</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45349</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45349</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45349</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45349</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45349</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45349</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45349</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45349</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45349</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45349</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45349</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45349</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45349</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45349</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45349</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45349</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45349</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45349</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45349</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45349</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45349</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45349</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45349</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45349</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45349</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45349</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45349</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45349</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45349</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45349</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45349</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45349</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45349</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45349</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45349</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45349</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45349</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45349</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45349</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45349</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45349</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45349</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45349</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45349</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45349</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45349</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45349</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45349</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45349</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45349</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45349</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45349</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45349</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45349</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45349</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45349</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45349</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45349</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45349</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45349</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45349</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45349</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45349</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45349</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45349</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45349</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45349</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45349</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45349</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45349</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45349</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45349</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45349</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45349</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45349</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45349</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45349</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45349</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45349</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45349</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45349</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45349</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45349</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45349</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45349</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45349</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45349</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45349</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45349</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45349</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35018-2021</t>
        </is>
      </c>
      <c r="B156" s="1" t="n">
        <v>44383</v>
      </c>
      <c r="C156" s="1" t="n">
        <v>45349</v>
      </c>
      <c r="D156" t="inlineStr">
        <is>
          <t>VÄSTERNORRLANDS LÄN</t>
        </is>
      </c>
      <c r="E156" t="inlineStr">
        <is>
          <t>ÅNGE</t>
        </is>
      </c>
      <c r="F156" t="inlineStr">
        <is>
          <t>Sveaskog</t>
        </is>
      </c>
      <c r="G156" t="n">
        <v>9.5</v>
      </c>
      <c r="H156" t="n">
        <v>1</v>
      </c>
      <c r="I156" t="n">
        <v>0</v>
      </c>
      <c r="J156" t="n">
        <v>1</v>
      </c>
      <c r="K156" t="n">
        <v>0</v>
      </c>
      <c r="L156" t="n">
        <v>0</v>
      </c>
      <c r="M156" t="n">
        <v>0</v>
      </c>
      <c r="N156" t="n">
        <v>0</v>
      </c>
      <c r="O156" t="n">
        <v>1</v>
      </c>
      <c r="P156" t="n">
        <v>0</v>
      </c>
      <c r="Q156" t="n">
        <v>1</v>
      </c>
      <c r="R156" s="2" t="inlineStr">
        <is>
          <t>Utter</t>
        </is>
      </c>
      <c r="S156">
        <f>HYPERLINK("https://klasma.github.io/Logging_2260/artfynd/A 35018-2021 artfynd.xlsx", "A 35018-2021")</f>
        <v/>
      </c>
      <c r="T156">
        <f>HYPERLINK("https://klasma.github.io/Logging_2260/kartor/A 35018-2021 karta.png", "A 35018-2021")</f>
        <v/>
      </c>
      <c r="V156">
        <f>HYPERLINK("https://klasma.github.io/Logging_2260/klagomål/A 35018-2021 FSC-klagomål.docx", "A 35018-2021")</f>
        <v/>
      </c>
      <c r="W156">
        <f>HYPERLINK("https://klasma.github.io/Logging_2260/klagomålsmail/A 35018-2021 FSC-klagomål mail.docx", "A 35018-2021")</f>
        <v/>
      </c>
      <c r="X156">
        <f>HYPERLINK("https://klasma.github.io/Logging_2260/tillsyn/A 35018-2021 tillsynsbegäran.docx", "A 35018-2021")</f>
        <v/>
      </c>
      <c r="Y156">
        <f>HYPERLINK("https://klasma.github.io/Logging_2260/tillsynsmail/A 35018-2021 tillsynsbegäran mail.docx", "A 35018-2021")</f>
        <v/>
      </c>
    </row>
    <row r="157" ht="15" customHeight="1">
      <c r="A157" t="inlineStr">
        <is>
          <t>A 41493-2021</t>
        </is>
      </c>
      <c r="B157" s="1" t="n">
        <v>44424</v>
      </c>
      <c r="C157" s="1" t="n">
        <v>45349</v>
      </c>
      <c r="D157" t="inlineStr">
        <is>
          <t>VÄSTERNORRLANDS LÄN</t>
        </is>
      </c>
      <c r="E157" t="inlineStr">
        <is>
          <t>ÅNGE</t>
        </is>
      </c>
      <c r="F157" t="inlineStr">
        <is>
          <t>SCA</t>
        </is>
      </c>
      <c r="G157" t="n">
        <v>8</v>
      </c>
      <c r="H157" t="n">
        <v>1</v>
      </c>
      <c r="I157" t="n">
        <v>0</v>
      </c>
      <c r="J157" t="n">
        <v>0</v>
      </c>
      <c r="K157" t="n">
        <v>1</v>
      </c>
      <c r="L157" t="n">
        <v>0</v>
      </c>
      <c r="M157" t="n">
        <v>0</v>
      </c>
      <c r="N157" t="n">
        <v>0</v>
      </c>
      <c r="O157" t="n">
        <v>1</v>
      </c>
      <c r="P157" t="n">
        <v>1</v>
      </c>
      <c r="Q157" t="n">
        <v>1</v>
      </c>
      <c r="R157" s="2" t="inlineStr">
        <is>
          <t>Knärot</t>
        </is>
      </c>
      <c r="S157">
        <f>HYPERLINK("https://klasma.github.io/Logging_2260/artfynd/A 41493-2021 artfynd.xlsx", "A 41493-2021")</f>
        <v/>
      </c>
      <c r="T157">
        <f>HYPERLINK("https://klasma.github.io/Logging_2260/kartor/A 41493-2021 karta.png", "A 41493-2021")</f>
        <v/>
      </c>
      <c r="U157">
        <f>HYPERLINK("https://klasma.github.io/Logging_2260/knärot/A 41493-2021 karta knärot.png", "A 41493-2021")</f>
        <v/>
      </c>
      <c r="V157">
        <f>HYPERLINK("https://klasma.github.io/Logging_2260/klagomål/A 41493-2021 FSC-klagomål.docx", "A 41493-2021")</f>
        <v/>
      </c>
      <c r="W157">
        <f>HYPERLINK("https://klasma.github.io/Logging_2260/klagomålsmail/A 41493-2021 FSC-klagomål mail.docx", "A 41493-2021")</f>
        <v/>
      </c>
      <c r="X157">
        <f>HYPERLINK("https://klasma.github.io/Logging_2260/tillsyn/A 41493-2021 tillsynsbegäran.docx", "A 41493-2021")</f>
        <v/>
      </c>
      <c r="Y157">
        <f>HYPERLINK("https://klasma.github.io/Logging_2260/tillsynsmail/A 41493-2021 tillsynsbegäran mail.docx", "A 41493-2021")</f>
        <v/>
      </c>
    </row>
    <row r="158" ht="15" customHeight="1">
      <c r="A158" t="inlineStr">
        <is>
          <t>A 45355-2021</t>
        </is>
      </c>
      <c r="B158" s="1" t="n">
        <v>44439</v>
      </c>
      <c r="C158" s="1" t="n">
        <v>45349</v>
      </c>
      <c r="D158" t="inlineStr">
        <is>
          <t>VÄSTERNORRLANDS LÄN</t>
        </is>
      </c>
      <c r="E158" t="inlineStr">
        <is>
          <t>ÅNGE</t>
        </is>
      </c>
      <c r="F158" t="inlineStr">
        <is>
          <t>SCA</t>
        </is>
      </c>
      <c r="G158" t="n">
        <v>1.7</v>
      </c>
      <c r="H158" t="n">
        <v>0</v>
      </c>
      <c r="I158" t="n">
        <v>0</v>
      </c>
      <c r="J158" t="n">
        <v>1</v>
      </c>
      <c r="K158" t="n">
        <v>0</v>
      </c>
      <c r="L158" t="n">
        <v>0</v>
      </c>
      <c r="M158" t="n">
        <v>0</v>
      </c>
      <c r="N158" t="n">
        <v>0</v>
      </c>
      <c r="O158" t="n">
        <v>1</v>
      </c>
      <c r="P158" t="n">
        <v>0</v>
      </c>
      <c r="Q158" t="n">
        <v>1</v>
      </c>
      <c r="R158" s="2" t="inlineStr">
        <is>
          <t>Stiftgelélav</t>
        </is>
      </c>
      <c r="S158">
        <f>HYPERLINK("https://klasma.github.io/Logging_2260/artfynd/A 45355-2021 artfynd.xlsx", "A 45355-2021")</f>
        <v/>
      </c>
      <c r="T158">
        <f>HYPERLINK("https://klasma.github.io/Logging_2260/kartor/A 45355-2021 karta.png", "A 45355-2021")</f>
        <v/>
      </c>
      <c r="V158">
        <f>HYPERLINK("https://klasma.github.io/Logging_2260/klagomål/A 45355-2021 FSC-klagomål.docx", "A 45355-2021")</f>
        <v/>
      </c>
      <c r="W158">
        <f>HYPERLINK("https://klasma.github.io/Logging_2260/klagomålsmail/A 45355-2021 FSC-klagomål mail.docx", "A 45355-2021")</f>
        <v/>
      </c>
      <c r="X158">
        <f>HYPERLINK("https://klasma.github.io/Logging_2260/tillsyn/A 45355-2021 tillsynsbegäran.docx", "A 45355-2021")</f>
        <v/>
      </c>
      <c r="Y158">
        <f>HYPERLINK("https://klasma.github.io/Logging_2260/tillsynsmail/A 45355-2021 tillsynsbegäran mail.docx", "A 45355-2021")</f>
        <v/>
      </c>
    </row>
    <row r="159" ht="15" customHeight="1">
      <c r="A159" t="inlineStr">
        <is>
          <t>A 54751-2021</t>
        </is>
      </c>
      <c r="B159" s="1" t="n">
        <v>44473</v>
      </c>
      <c r="C159" s="1" t="n">
        <v>45349</v>
      </c>
      <c r="D159" t="inlineStr">
        <is>
          <t>VÄSTERNORRLANDS LÄN</t>
        </is>
      </c>
      <c r="E159" t="inlineStr">
        <is>
          <t>ÅNGE</t>
        </is>
      </c>
      <c r="G159" t="n">
        <v>6.5</v>
      </c>
      <c r="H159" t="n">
        <v>0</v>
      </c>
      <c r="I159" t="n">
        <v>0</v>
      </c>
      <c r="J159" t="n">
        <v>0</v>
      </c>
      <c r="K159" t="n">
        <v>1</v>
      </c>
      <c r="L159" t="n">
        <v>0</v>
      </c>
      <c r="M159" t="n">
        <v>0</v>
      </c>
      <c r="N159" t="n">
        <v>0</v>
      </c>
      <c r="O159" t="n">
        <v>1</v>
      </c>
      <c r="P159" t="n">
        <v>1</v>
      </c>
      <c r="Q159" t="n">
        <v>1</v>
      </c>
      <c r="R159" s="2" t="inlineStr">
        <is>
          <t>Gräddporing</t>
        </is>
      </c>
      <c r="S159">
        <f>HYPERLINK("https://klasma.github.io/Logging_2260/artfynd/A 54751-2021 artfynd.xlsx", "A 54751-2021")</f>
        <v/>
      </c>
      <c r="T159">
        <f>HYPERLINK("https://klasma.github.io/Logging_2260/kartor/A 54751-2021 karta.png", "A 54751-2021")</f>
        <v/>
      </c>
      <c r="V159">
        <f>HYPERLINK("https://klasma.github.io/Logging_2260/klagomål/A 54751-2021 FSC-klagomål.docx", "A 54751-2021")</f>
        <v/>
      </c>
      <c r="W159">
        <f>HYPERLINK("https://klasma.github.io/Logging_2260/klagomålsmail/A 54751-2021 FSC-klagomål mail.docx", "A 54751-2021")</f>
        <v/>
      </c>
      <c r="X159">
        <f>HYPERLINK("https://klasma.github.io/Logging_2260/tillsyn/A 54751-2021 tillsynsbegäran.docx", "A 54751-2021")</f>
        <v/>
      </c>
      <c r="Y159">
        <f>HYPERLINK("https://klasma.github.io/Logging_2260/tillsynsmail/A 54751-2021 tillsynsbegäran mail.docx", "A 54751-2021")</f>
        <v/>
      </c>
    </row>
    <row r="160" ht="15" customHeight="1">
      <c r="A160" t="inlineStr">
        <is>
          <t>A 57562-2021</t>
        </is>
      </c>
      <c r="B160" s="1" t="n">
        <v>44483</v>
      </c>
      <c r="C160" s="1" t="n">
        <v>45349</v>
      </c>
      <c r="D160" t="inlineStr">
        <is>
          <t>VÄSTERNORRLANDS LÄN</t>
        </is>
      </c>
      <c r="E160" t="inlineStr">
        <is>
          <t>ÅNGE</t>
        </is>
      </c>
      <c r="F160" t="inlineStr">
        <is>
          <t>SCA</t>
        </is>
      </c>
      <c r="G160" t="n">
        <v>10.7</v>
      </c>
      <c r="H160" t="n">
        <v>0</v>
      </c>
      <c r="I160" t="n">
        <v>1</v>
      </c>
      <c r="J160" t="n">
        <v>0</v>
      </c>
      <c r="K160" t="n">
        <v>0</v>
      </c>
      <c r="L160" t="n">
        <v>0</v>
      </c>
      <c r="M160" t="n">
        <v>0</v>
      </c>
      <c r="N160" t="n">
        <v>0</v>
      </c>
      <c r="O160" t="n">
        <v>0</v>
      </c>
      <c r="P160" t="n">
        <v>0</v>
      </c>
      <c r="Q160" t="n">
        <v>1</v>
      </c>
      <c r="R160" s="2" t="inlineStr">
        <is>
          <t>Ögonpyrola</t>
        </is>
      </c>
      <c r="S160">
        <f>HYPERLINK("https://klasma.github.io/Logging_2260/artfynd/A 57562-2021 artfynd.xlsx", "A 57562-2021")</f>
        <v/>
      </c>
      <c r="T160">
        <f>HYPERLINK("https://klasma.github.io/Logging_2260/kartor/A 57562-2021 karta.png", "A 57562-2021")</f>
        <v/>
      </c>
      <c r="V160">
        <f>HYPERLINK("https://klasma.github.io/Logging_2260/klagomål/A 57562-2021 FSC-klagomål.docx", "A 57562-2021")</f>
        <v/>
      </c>
      <c r="W160">
        <f>HYPERLINK("https://klasma.github.io/Logging_2260/klagomålsmail/A 57562-2021 FSC-klagomål mail.docx", "A 57562-2021")</f>
        <v/>
      </c>
      <c r="X160">
        <f>HYPERLINK("https://klasma.github.io/Logging_2260/tillsyn/A 57562-2021 tillsynsbegäran.docx", "A 57562-2021")</f>
        <v/>
      </c>
      <c r="Y160">
        <f>HYPERLINK("https://klasma.github.io/Logging_2260/tillsynsmail/A 57562-2021 tillsynsbegäran mail.docx", "A 57562-2021")</f>
        <v/>
      </c>
    </row>
    <row r="161" ht="15" customHeight="1">
      <c r="A161" t="inlineStr">
        <is>
          <t>A 60767-2021</t>
        </is>
      </c>
      <c r="B161" s="1" t="n">
        <v>44496</v>
      </c>
      <c r="C161" s="1" t="n">
        <v>45349</v>
      </c>
      <c r="D161" t="inlineStr">
        <is>
          <t>VÄSTERNORRLANDS LÄN</t>
        </is>
      </c>
      <c r="E161" t="inlineStr">
        <is>
          <t>ÅNGE</t>
        </is>
      </c>
      <c r="F161" t="inlineStr">
        <is>
          <t>SCA</t>
        </is>
      </c>
      <c r="G161" t="n">
        <v>4.5</v>
      </c>
      <c r="H161" t="n">
        <v>1</v>
      </c>
      <c r="I161" t="n">
        <v>0</v>
      </c>
      <c r="J161" t="n">
        <v>0</v>
      </c>
      <c r="K161" t="n">
        <v>1</v>
      </c>
      <c r="L161" t="n">
        <v>0</v>
      </c>
      <c r="M161" t="n">
        <v>0</v>
      </c>
      <c r="N161" t="n">
        <v>0</v>
      </c>
      <c r="O161" t="n">
        <v>1</v>
      </c>
      <c r="P161" t="n">
        <v>1</v>
      </c>
      <c r="Q161" t="n">
        <v>1</v>
      </c>
      <c r="R161" s="2" t="inlineStr">
        <is>
          <t>Knärot</t>
        </is>
      </c>
      <c r="S161">
        <f>HYPERLINK("https://klasma.github.io/Logging_2260/artfynd/A 60767-2021 artfynd.xlsx", "A 60767-2021")</f>
        <v/>
      </c>
      <c r="T161">
        <f>HYPERLINK("https://klasma.github.io/Logging_2260/kartor/A 60767-2021 karta.png", "A 60767-2021")</f>
        <v/>
      </c>
      <c r="U161">
        <f>HYPERLINK("https://klasma.github.io/Logging_2260/knärot/A 60767-2021 karta knärot.png", "A 60767-2021")</f>
        <v/>
      </c>
      <c r="V161">
        <f>HYPERLINK("https://klasma.github.io/Logging_2260/klagomål/A 60767-2021 FSC-klagomål.docx", "A 60767-2021")</f>
        <v/>
      </c>
      <c r="W161">
        <f>HYPERLINK("https://klasma.github.io/Logging_2260/klagomålsmail/A 60767-2021 FSC-klagomål mail.docx", "A 60767-2021")</f>
        <v/>
      </c>
      <c r="X161">
        <f>HYPERLINK("https://klasma.github.io/Logging_2260/tillsyn/A 60767-2021 tillsynsbegäran.docx", "A 60767-2021")</f>
        <v/>
      </c>
      <c r="Y161">
        <f>HYPERLINK("https://klasma.github.io/Logging_2260/tillsynsmail/A 60767-2021 tillsynsbegäran mail.docx", "A 60767-2021")</f>
        <v/>
      </c>
    </row>
    <row r="162" ht="15" customHeight="1">
      <c r="A162" t="inlineStr">
        <is>
          <t>A 61458-2021</t>
        </is>
      </c>
      <c r="B162" s="1" t="n">
        <v>44500</v>
      </c>
      <c r="C162" s="1" t="n">
        <v>45349</v>
      </c>
      <c r="D162" t="inlineStr">
        <is>
          <t>VÄSTERNORRLANDS LÄN</t>
        </is>
      </c>
      <c r="E162" t="inlineStr">
        <is>
          <t>ÅNGE</t>
        </is>
      </c>
      <c r="F162" t="inlineStr">
        <is>
          <t>SCA</t>
        </is>
      </c>
      <c r="G162" t="n">
        <v>11.1</v>
      </c>
      <c r="H162" t="n">
        <v>1</v>
      </c>
      <c r="I162" t="n">
        <v>0</v>
      </c>
      <c r="J162" t="n">
        <v>0</v>
      </c>
      <c r="K162" t="n">
        <v>1</v>
      </c>
      <c r="L162" t="n">
        <v>0</v>
      </c>
      <c r="M162" t="n">
        <v>0</v>
      </c>
      <c r="N162" t="n">
        <v>0</v>
      </c>
      <c r="O162" t="n">
        <v>1</v>
      </c>
      <c r="P162" t="n">
        <v>1</v>
      </c>
      <c r="Q162" t="n">
        <v>1</v>
      </c>
      <c r="R162" s="2" t="inlineStr">
        <is>
          <t>Knärot</t>
        </is>
      </c>
      <c r="S162">
        <f>HYPERLINK("https://klasma.github.io/Logging_2260/artfynd/A 61458-2021 artfynd.xlsx", "A 61458-2021")</f>
        <v/>
      </c>
      <c r="T162">
        <f>HYPERLINK("https://klasma.github.io/Logging_2260/kartor/A 61458-2021 karta.png", "A 61458-2021")</f>
        <v/>
      </c>
      <c r="U162">
        <f>HYPERLINK("https://klasma.github.io/Logging_2260/knärot/A 61458-2021 karta knärot.png", "A 61458-2021")</f>
        <v/>
      </c>
      <c r="V162">
        <f>HYPERLINK("https://klasma.github.io/Logging_2260/klagomål/A 61458-2021 FSC-klagomål.docx", "A 61458-2021")</f>
        <v/>
      </c>
      <c r="W162">
        <f>HYPERLINK("https://klasma.github.io/Logging_2260/klagomålsmail/A 61458-2021 FSC-klagomål mail.docx", "A 61458-2021")</f>
        <v/>
      </c>
      <c r="X162">
        <f>HYPERLINK("https://klasma.github.io/Logging_2260/tillsyn/A 61458-2021 tillsynsbegäran.docx", "A 61458-2021")</f>
        <v/>
      </c>
      <c r="Y162">
        <f>HYPERLINK("https://klasma.github.io/Logging_2260/tillsynsmail/A 61458-2021 tillsynsbegäran mail.docx", "A 61458-2021")</f>
        <v/>
      </c>
    </row>
    <row r="163" ht="15" customHeight="1">
      <c r="A163" t="inlineStr">
        <is>
          <t>A 61479-2021</t>
        </is>
      </c>
      <c r="B163" s="1" t="n">
        <v>44500</v>
      </c>
      <c r="C163" s="1" t="n">
        <v>45349</v>
      </c>
      <c r="D163" t="inlineStr">
        <is>
          <t>VÄSTERNORRLANDS LÄN</t>
        </is>
      </c>
      <c r="E163" t="inlineStr">
        <is>
          <t>ÅNGE</t>
        </is>
      </c>
      <c r="F163" t="inlineStr">
        <is>
          <t>SCA</t>
        </is>
      </c>
      <c r="G163" t="n">
        <v>7.2</v>
      </c>
      <c r="H163" t="n">
        <v>1</v>
      </c>
      <c r="I163" t="n">
        <v>0</v>
      </c>
      <c r="J163" t="n">
        <v>0</v>
      </c>
      <c r="K163" t="n">
        <v>1</v>
      </c>
      <c r="L163" t="n">
        <v>0</v>
      </c>
      <c r="M163" t="n">
        <v>0</v>
      </c>
      <c r="N163" t="n">
        <v>0</v>
      </c>
      <c r="O163" t="n">
        <v>1</v>
      </c>
      <c r="P163" t="n">
        <v>1</v>
      </c>
      <c r="Q163" t="n">
        <v>1</v>
      </c>
      <c r="R163" s="2" t="inlineStr">
        <is>
          <t>Knärot</t>
        </is>
      </c>
      <c r="S163">
        <f>HYPERLINK("https://klasma.github.io/Logging_2260/artfynd/A 61479-2021 artfynd.xlsx", "A 61479-2021")</f>
        <v/>
      </c>
      <c r="T163">
        <f>HYPERLINK("https://klasma.github.io/Logging_2260/kartor/A 61479-2021 karta.png", "A 61479-2021")</f>
        <v/>
      </c>
      <c r="U163">
        <f>HYPERLINK("https://klasma.github.io/Logging_2260/knärot/A 61479-2021 karta knärot.png", "A 61479-2021")</f>
        <v/>
      </c>
      <c r="V163">
        <f>HYPERLINK("https://klasma.github.io/Logging_2260/klagomål/A 61479-2021 FSC-klagomål.docx", "A 61479-2021")</f>
        <v/>
      </c>
      <c r="W163">
        <f>HYPERLINK("https://klasma.github.io/Logging_2260/klagomålsmail/A 61479-2021 FSC-klagomål mail.docx", "A 61479-2021")</f>
        <v/>
      </c>
      <c r="X163">
        <f>HYPERLINK("https://klasma.github.io/Logging_2260/tillsyn/A 61479-2021 tillsynsbegäran.docx", "A 61479-2021")</f>
        <v/>
      </c>
      <c r="Y163">
        <f>HYPERLINK("https://klasma.github.io/Logging_2260/tillsynsmail/A 61479-2021 tillsynsbegäran mail.docx", "A 61479-2021")</f>
        <v/>
      </c>
    </row>
    <row r="164" ht="15" customHeight="1">
      <c r="A164" t="inlineStr">
        <is>
          <t>A 71366-2021</t>
        </is>
      </c>
      <c r="B164" s="1" t="n">
        <v>44539</v>
      </c>
      <c r="C164" s="1" t="n">
        <v>45349</v>
      </c>
      <c r="D164" t="inlineStr">
        <is>
          <t>VÄSTERNORRLANDS LÄN</t>
        </is>
      </c>
      <c r="E164" t="inlineStr">
        <is>
          <t>ÅNGE</t>
        </is>
      </c>
      <c r="F164" t="inlineStr">
        <is>
          <t>SCA</t>
        </is>
      </c>
      <c r="G164" t="n">
        <v>2.3</v>
      </c>
      <c r="H164" t="n">
        <v>1</v>
      </c>
      <c r="I164" t="n">
        <v>0</v>
      </c>
      <c r="J164" t="n">
        <v>0</v>
      </c>
      <c r="K164" t="n">
        <v>1</v>
      </c>
      <c r="L164" t="n">
        <v>0</v>
      </c>
      <c r="M164" t="n">
        <v>0</v>
      </c>
      <c r="N164" t="n">
        <v>0</v>
      </c>
      <c r="O164" t="n">
        <v>1</v>
      </c>
      <c r="P164" t="n">
        <v>1</v>
      </c>
      <c r="Q164" t="n">
        <v>1</v>
      </c>
      <c r="R164" s="2" t="inlineStr">
        <is>
          <t>Knärot</t>
        </is>
      </c>
      <c r="S164">
        <f>HYPERLINK("https://klasma.github.io/Logging_2260/artfynd/A 71366-2021 artfynd.xlsx", "A 71366-2021")</f>
        <v/>
      </c>
      <c r="T164">
        <f>HYPERLINK("https://klasma.github.io/Logging_2260/kartor/A 71366-2021 karta.png", "A 71366-2021")</f>
        <v/>
      </c>
      <c r="U164">
        <f>HYPERLINK("https://klasma.github.io/Logging_2260/knärot/A 71366-2021 karta knärot.png", "A 71366-2021")</f>
        <v/>
      </c>
      <c r="V164">
        <f>HYPERLINK("https://klasma.github.io/Logging_2260/klagomål/A 71366-2021 FSC-klagomål.docx", "A 71366-2021")</f>
        <v/>
      </c>
      <c r="W164">
        <f>HYPERLINK("https://klasma.github.io/Logging_2260/klagomålsmail/A 71366-2021 FSC-klagomål mail.docx", "A 71366-2021")</f>
        <v/>
      </c>
      <c r="X164">
        <f>HYPERLINK("https://klasma.github.io/Logging_2260/tillsyn/A 71366-2021 tillsynsbegäran.docx", "A 71366-2021")</f>
        <v/>
      </c>
      <c r="Y164">
        <f>HYPERLINK("https://klasma.github.io/Logging_2260/tillsynsmail/A 71366-2021 tillsynsbegäran mail.docx", "A 71366-2021")</f>
        <v/>
      </c>
    </row>
    <row r="165" ht="15" customHeight="1">
      <c r="A165" t="inlineStr">
        <is>
          <t>A 16053-2022</t>
        </is>
      </c>
      <c r="B165" s="1" t="n">
        <v>44665</v>
      </c>
      <c r="C165" s="1" t="n">
        <v>45349</v>
      </c>
      <c r="D165" t="inlineStr">
        <is>
          <t>VÄSTERNORRLANDS LÄN</t>
        </is>
      </c>
      <c r="E165" t="inlineStr">
        <is>
          <t>ÅNGE</t>
        </is>
      </c>
      <c r="G165" t="n">
        <v>3.8</v>
      </c>
      <c r="H165" t="n">
        <v>1</v>
      </c>
      <c r="I165" t="n">
        <v>0</v>
      </c>
      <c r="J165" t="n">
        <v>1</v>
      </c>
      <c r="K165" t="n">
        <v>0</v>
      </c>
      <c r="L165" t="n">
        <v>0</v>
      </c>
      <c r="M165" t="n">
        <v>0</v>
      </c>
      <c r="N165" t="n">
        <v>0</v>
      </c>
      <c r="O165" t="n">
        <v>1</v>
      </c>
      <c r="P165" t="n">
        <v>0</v>
      </c>
      <c r="Q165" t="n">
        <v>1</v>
      </c>
      <c r="R165" s="2" t="inlineStr">
        <is>
          <t>Järpe</t>
        </is>
      </c>
      <c r="S165">
        <f>HYPERLINK("https://klasma.github.io/Logging_2260/artfynd/A 16053-2022 artfynd.xlsx", "A 16053-2022")</f>
        <v/>
      </c>
      <c r="T165">
        <f>HYPERLINK("https://klasma.github.io/Logging_2260/kartor/A 16053-2022 karta.png", "A 16053-2022")</f>
        <v/>
      </c>
      <c r="V165">
        <f>HYPERLINK("https://klasma.github.io/Logging_2260/klagomål/A 16053-2022 FSC-klagomål.docx", "A 16053-2022")</f>
        <v/>
      </c>
      <c r="W165">
        <f>HYPERLINK("https://klasma.github.io/Logging_2260/klagomålsmail/A 16053-2022 FSC-klagomål mail.docx", "A 16053-2022")</f>
        <v/>
      </c>
      <c r="X165">
        <f>HYPERLINK("https://klasma.github.io/Logging_2260/tillsyn/A 16053-2022 tillsynsbegäran.docx", "A 16053-2022")</f>
        <v/>
      </c>
      <c r="Y165">
        <f>HYPERLINK("https://klasma.github.io/Logging_2260/tillsynsmail/A 16053-2022 tillsynsbegäran mail.docx", "A 16053-2022")</f>
        <v/>
      </c>
      <c r="Z165">
        <f>HYPERLINK("https://klasma.github.io/Logging_2260/fåglar/A 16053-2022 prioriterade fågelarter.docx", "A 16053-2022")</f>
        <v/>
      </c>
    </row>
    <row r="166" ht="15" customHeight="1">
      <c r="A166" t="inlineStr">
        <is>
          <t>A 20367-2022</t>
        </is>
      </c>
      <c r="B166" s="1" t="n">
        <v>44699</v>
      </c>
      <c r="C166" s="1" t="n">
        <v>45349</v>
      </c>
      <c r="D166" t="inlineStr">
        <is>
          <t>VÄSTERNORRLANDS LÄN</t>
        </is>
      </c>
      <c r="E166" t="inlineStr">
        <is>
          <t>ÅNGE</t>
        </is>
      </c>
      <c r="G166" t="n">
        <v>9.6</v>
      </c>
      <c r="H166" t="n">
        <v>1</v>
      </c>
      <c r="I166" t="n">
        <v>0</v>
      </c>
      <c r="J166" t="n">
        <v>0</v>
      </c>
      <c r="K166" t="n">
        <v>0</v>
      </c>
      <c r="L166" t="n">
        <v>0</v>
      </c>
      <c r="M166" t="n">
        <v>0</v>
      </c>
      <c r="N166" t="n">
        <v>0</v>
      </c>
      <c r="O166" t="n">
        <v>0</v>
      </c>
      <c r="P166" t="n">
        <v>0</v>
      </c>
      <c r="Q166" t="n">
        <v>1</v>
      </c>
      <c r="R166" s="2" t="inlineStr">
        <is>
          <t>Fläcknycklar</t>
        </is>
      </c>
      <c r="S166">
        <f>HYPERLINK("https://klasma.github.io/Logging_2260/artfynd/A 20367-2022 artfynd.xlsx", "A 20367-2022")</f>
        <v/>
      </c>
      <c r="T166">
        <f>HYPERLINK("https://klasma.github.io/Logging_2260/kartor/A 20367-2022 karta.png", "A 20367-2022")</f>
        <v/>
      </c>
      <c r="V166">
        <f>HYPERLINK("https://klasma.github.io/Logging_2260/klagomål/A 20367-2022 FSC-klagomål.docx", "A 20367-2022")</f>
        <v/>
      </c>
      <c r="W166">
        <f>HYPERLINK("https://klasma.github.io/Logging_2260/klagomålsmail/A 20367-2022 FSC-klagomål mail.docx", "A 20367-2022")</f>
        <v/>
      </c>
      <c r="X166">
        <f>HYPERLINK("https://klasma.github.io/Logging_2260/tillsyn/A 20367-2022 tillsynsbegäran.docx", "A 20367-2022")</f>
        <v/>
      </c>
      <c r="Y166">
        <f>HYPERLINK("https://klasma.github.io/Logging_2260/tillsynsmail/A 20367-2022 tillsynsbegäran mail.docx", "A 20367-2022")</f>
        <v/>
      </c>
    </row>
    <row r="167" ht="15" customHeight="1">
      <c r="A167" t="inlineStr">
        <is>
          <t>A 39933-2022</t>
        </is>
      </c>
      <c r="B167" s="1" t="n">
        <v>44819</v>
      </c>
      <c r="C167" s="1" t="n">
        <v>45349</v>
      </c>
      <c r="D167" t="inlineStr">
        <is>
          <t>VÄSTERNORRLANDS LÄN</t>
        </is>
      </c>
      <c r="E167" t="inlineStr">
        <is>
          <t>ÅNGE</t>
        </is>
      </c>
      <c r="F167" t="inlineStr">
        <is>
          <t>SCA</t>
        </is>
      </c>
      <c r="G167" t="n">
        <v>13.8</v>
      </c>
      <c r="H167" t="n">
        <v>1</v>
      </c>
      <c r="I167" t="n">
        <v>0</v>
      </c>
      <c r="J167" t="n">
        <v>0</v>
      </c>
      <c r="K167" t="n">
        <v>1</v>
      </c>
      <c r="L167" t="n">
        <v>0</v>
      </c>
      <c r="M167" t="n">
        <v>0</v>
      </c>
      <c r="N167" t="n">
        <v>0</v>
      </c>
      <c r="O167" t="n">
        <v>1</v>
      </c>
      <c r="P167" t="n">
        <v>1</v>
      </c>
      <c r="Q167" t="n">
        <v>1</v>
      </c>
      <c r="R167" s="2" t="inlineStr">
        <is>
          <t>Knärot</t>
        </is>
      </c>
      <c r="S167">
        <f>HYPERLINK("https://klasma.github.io/Logging_2260/artfynd/A 39933-2022 artfynd.xlsx", "A 39933-2022")</f>
        <v/>
      </c>
      <c r="T167">
        <f>HYPERLINK("https://klasma.github.io/Logging_2260/kartor/A 39933-2022 karta.png", "A 39933-2022")</f>
        <v/>
      </c>
      <c r="U167">
        <f>HYPERLINK("https://klasma.github.io/Logging_2260/knärot/A 39933-2022 karta knärot.png", "A 39933-2022")</f>
        <v/>
      </c>
      <c r="V167">
        <f>HYPERLINK("https://klasma.github.io/Logging_2260/klagomål/A 39933-2022 FSC-klagomål.docx", "A 39933-2022")</f>
        <v/>
      </c>
      <c r="W167">
        <f>HYPERLINK("https://klasma.github.io/Logging_2260/klagomålsmail/A 39933-2022 FSC-klagomål mail.docx", "A 39933-2022")</f>
        <v/>
      </c>
      <c r="X167">
        <f>HYPERLINK("https://klasma.github.io/Logging_2260/tillsyn/A 39933-2022 tillsynsbegäran.docx", "A 39933-2022")</f>
        <v/>
      </c>
      <c r="Y167">
        <f>HYPERLINK("https://klasma.github.io/Logging_2260/tillsynsmail/A 39933-2022 tillsynsbegäran mail.docx", "A 39933-2022")</f>
        <v/>
      </c>
    </row>
    <row r="168" ht="15" customHeight="1">
      <c r="A168" t="inlineStr">
        <is>
          <t>A 47784-2022</t>
        </is>
      </c>
      <c r="B168" s="1" t="n">
        <v>44854</v>
      </c>
      <c r="C168" s="1" t="n">
        <v>45349</v>
      </c>
      <c r="D168" t="inlineStr">
        <is>
          <t>VÄSTERNORRLANDS LÄN</t>
        </is>
      </c>
      <c r="E168" t="inlineStr">
        <is>
          <t>ÅNGE</t>
        </is>
      </c>
      <c r="F168" t="inlineStr">
        <is>
          <t>SCA</t>
        </is>
      </c>
      <c r="G168" t="n">
        <v>14.8</v>
      </c>
      <c r="H168" t="n">
        <v>0</v>
      </c>
      <c r="I168" t="n">
        <v>0</v>
      </c>
      <c r="J168" t="n">
        <v>1</v>
      </c>
      <c r="K168" t="n">
        <v>0</v>
      </c>
      <c r="L168" t="n">
        <v>0</v>
      </c>
      <c r="M168" t="n">
        <v>0</v>
      </c>
      <c r="N168" t="n">
        <v>0</v>
      </c>
      <c r="O168" t="n">
        <v>1</v>
      </c>
      <c r="P168" t="n">
        <v>0</v>
      </c>
      <c r="Q168" t="n">
        <v>1</v>
      </c>
      <c r="R168" s="2" t="inlineStr">
        <is>
          <t>Reliktbock</t>
        </is>
      </c>
      <c r="S168">
        <f>HYPERLINK("https://klasma.github.io/Logging_2260/artfynd/A 47784-2022 artfynd.xlsx", "A 47784-2022")</f>
        <v/>
      </c>
      <c r="T168">
        <f>HYPERLINK("https://klasma.github.io/Logging_2260/kartor/A 47784-2022 karta.png", "A 47784-2022")</f>
        <v/>
      </c>
      <c r="V168">
        <f>HYPERLINK("https://klasma.github.io/Logging_2260/klagomål/A 47784-2022 FSC-klagomål.docx", "A 47784-2022")</f>
        <v/>
      </c>
      <c r="W168">
        <f>HYPERLINK("https://klasma.github.io/Logging_2260/klagomålsmail/A 47784-2022 FSC-klagomål mail.docx", "A 47784-2022")</f>
        <v/>
      </c>
      <c r="X168">
        <f>HYPERLINK("https://klasma.github.io/Logging_2260/tillsyn/A 47784-2022 tillsynsbegäran.docx", "A 47784-2022")</f>
        <v/>
      </c>
      <c r="Y168">
        <f>HYPERLINK("https://klasma.github.io/Logging_2260/tillsynsmail/A 47784-2022 tillsynsbegäran mail.docx", "A 47784-2022")</f>
        <v/>
      </c>
    </row>
    <row r="169" ht="15" customHeight="1">
      <c r="A169" t="inlineStr">
        <is>
          <t>A 7485-2023</t>
        </is>
      </c>
      <c r="B169" s="1" t="n">
        <v>44964</v>
      </c>
      <c r="C169" s="1" t="n">
        <v>45349</v>
      </c>
      <c r="D169" t="inlineStr">
        <is>
          <t>VÄSTERNORRLANDS LÄN</t>
        </is>
      </c>
      <c r="E169" t="inlineStr">
        <is>
          <t>ÅNGE</t>
        </is>
      </c>
      <c r="G169" t="n">
        <v>2.9</v>
      </c>
      <c r="H169" t="n">
        <v>0</v>
      </c>
      <c r="I169" t="n">
        <v>0</v>
      </c>
      <c r="J169" t="n">
        <v>1</v>
      </c>
      <c r="K169" t="n">
        <v>0</v>
      </c>
      <c r="L169" t="n">
        <v>0</v>
      </c>
      <c r="M169" t="n">
        <v>0</v>
      </c>
      <c r="N169" t="n">
        <v>0</v>
      </c>
      <c r="O169" t="n">
        <v>1</v>
      </c>
      <c r="P169" t="n">
        <v>0</v>
      </c>
      <c r="Q169" t="n">
        <v>1</v>
      </c>
      <c r="R169" s="2" t="inlineStr">
        <is>
          <t>Rosenticka</t>
        </is>
      </c>
      <c r="S169">
        <f>HYPERLINK("https://klasma.github.io/Logging_2260/artfynd/A 7485-2023 artfynd.xlsx", "A 7485-2023")</f>
        <v/>
      </c>
      <c r="T169">
        <f>HYPERLINK("https://klasma.github.io/Logging_2260/kartor/A 7485-2023 karta.png", "A 7485-2023")</f>
        <v/>
      </c>
      <c r="V169">
        <f>HYPERLINK("https://klasma.github.io/Logging_2260/klagomål/A 7485-2023 FSC-klagomål.docx", "A 7485-2023")</f>
        <v/>
      </c>
      <c r="W169">
        <f>HYPERLINK("https://klasma.github.io/Logging_2260/klagomålsmail/A 7485-2023 FSC-klagomål mail.docx", "A 7485-2023")</f>
        <v/>
      </c>
      <c r="X169">
        <f>HYPERLINK("https://klasma.github.io/Logging_2260/tillsyn/A 7485-2023 tillsynsbegäran.docx", "A 7485-2023")</f>
        <v/>
      </c>
      <c r="Y169">
        <f>HYPERLINK("https://klasma.github.io/Logging_2260/tillsynsmail/A 7485-2023 tillsynsbegäran mail.docx", "A 7485-2023")</f>
        <v/>
      </c>
    </row>
    <row r="170" ht="15" customHeight="1">
      <c r="A170" t="inlineStr">
        <is>
          <t>A 22998-2023</t>
        </is>
      </c>
      <c r="B170" s="1" t="n">
        <v>45072</v>
      </c>
      <c r="C170" s="1" t="n">
        <v>45349</v>
      </c>
      <c r="D170" t="inlineStr">
        <is>
          <t>VÄSTERNORRLANDS LÄN</t>
        </is>
      </c>
      <c r="E170" t="inlineStr">
        <is>
          <t>ÅNGE</t>
        </is>
      </c>
      <c r="F170" t="inlineStr">
        <is>
          <t>SCA</t>
        </is>
      </c>
      <c r="G170" t="n">
        <v>3.8</v>
      </c>
      <c r="H170" t="n">
        <v>0</v>
      </c>
      <c r="I170" t="n">
        <v>0</v>
      </c>
      <c r="J170" t="n">
        <v>1</v>
      </c>
      <c r="K170" t="n">
        <v>0</v>
      </c>
      <c r="L170" t="n">
        <v>0</v>
      </c>
      <c r="M170" t="n">
        <v>0</v>
      </c>
      <c r="N170" t="n">
        <v>0</v>
      </c>
      <c r="O170" t="n">
        <v>1</v>
      </c>
      <c r="P170" t="n">
        <v>0</v>
      </c>
      <c r="Q170" t="n">
        <v>1</v>
      </c>
      <c r="R170" s="2" t="inlineStr">
        <is>
          <t>Blågrå svartspik</t>
        </is>
      </c>
      <c r="S170">
        <f>HYPERLINK("https://klasma.github.io/Logging_2260/artfynd/A 22998-2023 artfynd.xlsx", "A 22998-2023")</f>
        <v/>
      </c>
      <c r="T170">
        <f>HYPERLINK("https://klasma.github.io/Logging_2260/kartor/A 22998-2023 karta.png", "A 22998-2023")</f>
        <v/>
      </c>
      <c r="V170">
        <f>HYPERLINK("https://klasma.github.io/Logging_2260/klagomål/A 22998-2023 FSC-klagomål.docx", "A 22998-2023")</f>
        <v/>
      </c>
      <c r="W170">
        <f>HYPERLINK("https://klasma.github.io/Logging_2260/klagomålsmail/A 22998-2023 FSC-klagomål mail.docx", "A 22998-2023")</f>
        <v/>
      </c>
      <c r="X170">
        <f>HYPERLINK("https://klasma.github.io/Logging_2260/tillsyn/A 22998-2023 tillsynsbegäran.docx", "A 22998-2023")</f>
        <v/>
      </c>
      <c r="Y170">
        <f>HYPERLINK("https://klasma.github.io/Logging_2260/tillsynsmail/A 22998-2023 tillsynsbegäran mail.docx", "A 22998-2023")</f>
        <v/>
      </c>
    </row>
    <row r="171" ht="15" customHeight="1">
      <c r="A171" t="inlineStr">
        <is>
          <t>A 25322-2023</t>
        </is>
      </c>
      <c r="B171" s="1" t="n">
        <v>45086</v>
      </c>
      <c r="C171" s="1" t="n">
        <v>45349</v>
      </c>
      <c r="D171" t="inlineStr">
        <is>
          <t>VÄSTERNORRLANDS LÄN</t>
        </is>
      </c>
      <c r="E171" t="inlineStr">
        <is>
          <t>ÅNGE</t>
        </is>
      </c>
      <c r="F171" t="inlineStr">
        <is>
          <t>SCA</t>
        </is>
      </c>
      <c r="G171" t="n">
        <v>6.9</v>
      </c>
      <c r="H171" t="n">
        <v>0</v>
      </c>
      <c r="I171" t="n">
        <v>0</v>
      </c>
      <c r="J171" t="n">
        <v>1</v>
      </c>
      <c r="K171" t="n">
        <v>0</v>
      </c>
      <c r="L171" t="n">
        <v>0</v>
      </c>
      <c r="M171" t="n">
        <v>0</v>
      </c>
      <c r="N171" t="n">
        <v>0</v>
      </c>
      <c r="O171" t="n">
        <v>1</v>
      </c>
      <c r="P171" t="n">
        <v>0</v>
      </c>
      <c r="Q171" t="n">
        <v>1</v>
      </c>
      <c r="R171" s="2" t="inlineStr">
        <is>
          <t>Lunglav</t>
        </is>
      </c>
      <c r="S171">
        <f>HYPERLINK("https://klasma.github.io/Logging_2260/artfynd/A 25322-2023 artfynd.xlsx", "A 25322-2023")</f>
        <v/>
      </c>
      <c r="T171">
        <f>HYPERLINK("https://klasma.github.io/Logging_2260/kartor/A 25322-2023 karta.png", "A 25322-2023")</f>
        <v/>
      </c>
      <c r="V171">
        <f>HYPERLINK("https://klasma.github.io/Logging_2260/klagomål/A 25322-2023 FSC-klagomål.docx", "A 25322-2023")</f>
        <v/>
      </c>
      <c r="W171">
        <f>HYPERLINK("https://klasma.github.io/Logging_2260/klagomålsmail/A 25322-2023 FSC-klagomål mail.docx", "A 25322-2023")</f>
        <v/>
      </c>
      <c r="X171">
        <f>HYPERLINK("https://klasma.github.io/Logging_2260/tillsyn/A 25322-2023 tillsynsbegäran.docx", "A 25322-2023")</f>
        <v/>
      </c>
      <c r="Y171">
        <f>HYPERLINK("https://klasma.github.io/Logging_2260/tillsynsmail/A 25322-2023 tillsynsbegäran mail.docx", "A 25322-2023")</f>
        <v/>
      </c>
    </row>
    <row r="172" ht="15" customHeight="1">
      <c r="A172" t="inlineStr">
        <is>
          <t>A 26514-2023</t>
        </is>
      </c>
      <c r="B172" s="1" t="n">
        <v>45092</v>
      </c>
      <c r="C172" s="1" t="n">
        <v>45349</v>
      </c>
      <c r="D172" t="inlineStr">
        <is>
          <t>VÄSTERNORRLANDS LÄN</t>
        </is>
      </c>
      <c r="E172" t="inlineStr">
        <is>
          <t>ÅNGE</t>
        </is>
      </c>
      <c r="F172" t="inlineStr">
        <is>
          <t>Sveaskog</t>
        </is>
      </c>
      <c r="G172" t="n">
        <v>3.3</v>
      </c>
      <c r="H172" t="n">
        <v>0</v>
      </c>
      <c r="I172" t="n">
        <v>0</v>
      </c>
      <c r="J172" t="n">
        <v>1</v>
      </c>
      <c r="K172" t="n">
        <v>0</v>
      </c>
      <c r="L172" t="n">
        <v>0</v>
      </c>
      <c r="M172" t="n">
        <v>0</v>
      </c>
      <c r="N172" t="n">
        <v>0</v>
      </c>
      <c r="O172" t="n">
        <v>1</v>
      </c>
      <c r="P172" t="n">
        <v>0</v>
      </c>
      <c r="Q172" t="n">
        <v>1</v>
      </c>
      <c r="R172" s="2" t="inlineStr">
        <is>
          <t>Garnlav</t>
        </is>
      </c>
      <c r="S172">
        <f>HYPERLINK("https://klasma.github.io/Logging_2260/artfynd/A 26514-2023 artfynd.xlsx", "A 26514-2023")</f>
        <v/>
      </c>
      <c r="T172">
        <f>HYPERLINK("https://klasma.github.io/Logging_2260/kartor/A 26514-2023 karta.png", "A 26514-2023")</f>
        <v/>
      </c>
      <c r="V172">
        <f>HYPERLINK("https://klasma.github.io/Logging_2260/klagomål/A 26514-2023 FSC-klagomål.docx", "A 26514-2023")</f>
        <v/>
      </c>
      <c r="W172">
        <f>HYPERLINK("https://klasma.github.io/Logging_2260/klagomålsmail/A 26514-2023 FSC-klagomål mail.docx", "A 26514-2023")</f>
        <v/>
      </c>
      <c r="X172">
        <f>HYPERLINK("https://klasma.github.io/Logging_2260/tillsyn/A 26514-2023 tillsynsbegäran.docx", "A 26514-2023")</f>
        <v/>
      </c>
      <c r="Y172">
        <f>HYPERLINK("https://klasma.github.io/Logging_2260/tillsynsmail/A 26514-2023 tillsynsbegäran mail.docx", "A 26514-2023")</f>
        <v/>
      </c>
    </row>
    <row r="173" ht="15" customHeight="1">
      <c r="A173" t="inlineStr">
        <is>
          <t>A 30838-2023</t>
        </is>
      </c>
      <c r="B173" s="1" t="n">
        <v>45112</v>
      </c>
      <c r="C173" s="1" t="n">
        <v>45349</v>
      </c>
      <c r="D173" t="inlineStr">
        <is>
          <t>VÄSTERNORRLANDS LÄN</t>
        </is>
      </c>
      <c r="E173" t="inlineStr">
        <is>
          <t>ÅNGE</t>
        </is>
      </c>
      <c r="F173" t="inlineStr">
        <is>
          <t>SCA</t>
        </is>
      </c>
      <c r="G173" t="n">
        <v>5.6</v>
      </c>
      <c r="H173" t="n">
        <v>0</v>
      </c>
      <c r="I173" t="n">
        <v>0</v>
      </c>
      <c r="J173" t="n">
        <v>1</v>
      </c>
      <c r="K173" t="n">
        <v>0</v>
      </c>
      <c r="L173" t="n">
        <v>0</v>
      </c>
      <c r="M173" t="n">
        <v>0</v>
      </c>
      <c r="N173" t="n">
        <v>0</v>
      </c>
      <c r="O173" t="n">
        <v>1</v>
      </c>
      <c r="P173" t="n">
        <v>0</v>
      </c>
      <c r="Q173" t="n">
        <v>1</v>
      </c>
      <c r="R173" s="2" t="inlineStr">
        <is>
          <t>Kortskaftad ärgspik</t>
        </is>
      </c>
      <c r="S173">
        <f>HYPERLINK("https://klasma.github.io/Logging_2260/artfynd/A 30838-2023 artfynd.xlsx", "A 30838-2023")</f>
        <v/>
      </c>
      <c r="T173">
        <f>HYPERLINK("https://klasma.github.io/Logging_2260/kartor/A 30838-2023 karta.png", "A 30838-2023")</f>
        <v/>
      </c>
      <c r="U173">
        <f>HYPERLINK("https://klasma.github.io/Logging_2260/knärot/A 30838-2023 karta knärot.png", "A 30838-2023")</f>
        <v/>
      </c>
      <c r="V173">
        <f>HYPERLINK("https://klasma.github.io/Logging_2260/klagomål/A 30838-2023 FSC-klagomål.docx", "A 30838-2023")</f>
        <v/>
      </c>
      <c r="W173">
        <f>HYPERLINK("https://klasma.github.io/Logging_2260/klagomålsmail/A 30838-2023 FSC-klagomål mail.docx", "A 30838-2023")</f>
        <v/>
      </c>
      <c r="X173">
        <f>HYPERLINK("https://klasma.github.io/Logging_2260/tillsyn/A 30838-2023 tillsynsbegäran.docx", "A 30838-2023")</f>
        <v/>
      </c>
      <c r="Y173">
        <f>HYPERLINK("https://klasma.github.io/Logging_2260/tillsynsmail/A 30838-2023 tillsynsbegäran mail.docx", "A 30838-2023")</f>
        <v/>
      </c>
    </row>
    <row r="174" ht="15" customHeight="1">
      <c r="A174" t="inlineStr">
        <is>
          <t>A 34489-2023</t>
        </is>
      </c>
      <c r="B174" s="1" t="n">
        <v>45139</v>
      </c>
      <c r="C174" s="1" t="n">
        <v>45349</v>
      </c>
      <c r="D174" t="inlineStr">
        <is>
          <t>VÄSTERNORRLANDS LÄN</t>
        </is>
      </c>
      <c r="E174" t="inlineStr">
        <is>
          <t>ÅNGE</t>
        </is>
      </c>
      <c r="F174" t="inlineStr">
        <is>
          <t>SCA</t>
        </is>
      </c>
      <c r="G174" t="n">
        <v>11.1</v>
      </c>
      <c r="H174" t="n">
        <v>1</v>
      </c>
      <c r="I174" t="n">
        <v>0</v>
      </c>
      <c r="J174" t="n">
        <v>0</v>
      </c>
      <c r="K174" t="n">
        <v>1</v>
      </c>
      <c r="L174" t="n">
        <v>0</v>
      </c>
      <c r="M174" t="n">
        <v>0</v>
      </c>
      <c r="N174" t="n">
        <v>0</v>
      </c>
      <c r="O174" t="n">
        <v>1</v>
      </c>
      <c r="P174" t="n">
        <v>1</v>
      </c>
      <c r="Q174" t="n">
        <v>1</v>
      </c>
      <c r="R174" s="2" t="inlineStr">
        <is>
          <t>Knärot</t>
        </is>
      </c>
      <c r="S174">
        <f>HYPERLINK("https://klasma.github.io/Logging_2260/artfynd/A 34489-2023 artfynd.xlsx", "A 34489-2023")</f>
        <v/>
      </c>
      <c r="T174">
        <f>HYPERLINK("https://klasma.github.io/Logging_2260/kartor/A 34489-2023 karta.png", "A 34489-2023")</f>
        <v/>
      </c>
      <c r="U174">
        <f>HYPERLINK("https://klasma.github.io/Logging_2260/knärot/A 34489-2023 karta knärot.png", "A 34489-2023")</f>
        <v/>
      </c>
      <c r="V174">
        <f>HYPERLINK("https://klasma.github.io/Logging_2260/klagomål/A 34489-2023 FSC-klagomål.docx", "A 34489-2023")</f>
        <v/>
      </c>
      <c r="W174">
        <f>HYPERLINK("https://klasma.github.io/Logging_2260/klagomålsmail/A 34489-2023 FSC-klagomål mail.docx", "A 34489-2023")</f>
        <v/>
      </c>
      <c r="X174">
        <f>HYPERLINK("https://klasma.github.io/Logging_2260/tillsyn/A 34489-2023 tillsynsbegäran.docx", "A 34489-2023")</f>
        <v/>
      </c>
      <c r="Y174">
        <f>HYPERLINK("https://klasma.github.io/Logging_2260/tillsynsmail/A 34489-2023 tillsynsbegäran mail.docx", "A 34489-2023")</f>
        <v/>
      </c>
    </row>
    <row r="175" ht="15" customHeight="1">
      <c r="A175" t="inlineStr">
        <is>
          <t>A 35973-2023</t>
        </is>
      </c>
      <c r="B175" s="1" t="n">
        <v>45148</v>
      </c>
      <c r="C175" s="1" t="n">
        <v>45349</v>
      </c>
      <c r="D175" t="inlineStr">
        <is>
          <t>VÄSTERNORRLANDS LÄN</t>
        </is>
      </c>
      <c r="E175" t="inlineStr">
        <is>
          <t>ÅNGE</t>
        </is>
      </c>
      <c r="F175" t="inlineStr">
        <is>
          <t>SCA</t>
        </is>
      </c>
      <c r="G175" t="n">
        <v>1.3</v>
      </c>
      <c r="H175" t="n">
        <v>1</v>
      </c>
      <c r="I175" t="n">
        <v>1</v>
      </c>
      <c r="J175" t="n">
        <v>0</v>
      </c>
      <c r="K175" t="n">
        <v>0</v>
      </c>
      <c r="L175" t="n">
        <v>0</v>
      </c>
      <c r="M175" t="n">
        <v>0</v>
      </c>
      <c r="N175" t="n">
        <v>0</v>
      </c>
      <c r="O175" t="n">
        <v>0</v>
      </c>
      <c r="P175" t="n">
        <v>0</v>
      </c>
      <c r="Q175" t="n">
        <v>1</v>
      </c>
      <c r="R175" s="2" t="inlineStr">
        <is>
          <t>Korallrot</t>
        </is>
      </c>
      <c r="S175">
        <f>HYPERLINK("https://klasma.github.io/Logging_2260/artfynd/A 35973-2023 artfynd.xlsx", "A 35973-2023")</f>
        <v/>
      </c>
      <c r="T175">
        <f>HYPERLINK("https://klasma.github.io/Logging_2260/kartor/A 35973-2023 karta.png", "A 35973-2023")</f>
        <v/>
      </c>
      <c r="V175">
        <f>HYPERLINK("https://klasma.github.io/Logging_2260/klagomål/A 35973-2023 FSC-klagomål.docx", "A 35973-2023")</f>
        <v/>
      </c>
      <c r="W175">
        <f>HYPERLINK("https://klasma.github.io/Logging_2260/klagomålsmail/A 35973-2023 FSC-klagomål mail.docx", "A 35973-2023")</f>
        <v/>
      </c>
      <c r="X175">
        <f>HYPERLINK("https://klasma.github.io/Logging_2260/tillsyn/A 35973-2023 tillsynsbegäran.docx", "A 35973-2023")</f>
        <v/>
      </c>
      <c r="Y175">
        <f>HYPERLINK("https://klasma.github.io/Logging_2260/tillsynsmail/A 35973-2023 tillsynsbegäran mail.docx", "A 35973-2023")</f>
        <v/>
      </c>
    </row>
    <row r="176" ht="15" customHeight="1">
      <c r="A176" t="inlineStr">
        <is>
          <t>A 36230-2023</t>
        </is>
      </c>
      <c r="B176" s="1" t="n">
        <v>45150</v>
      </c>
      <c r="C176" s="1" t="n">
        <v>45349</v>
      </c>
      <c r="D176" t="inlineStr">
        <is>
          <t>VÄSTERNORRLANDS LÄN</t>
        </is>
      </c>
      <c r="E176" t="inlineStr">
        <is>
          <t>ÅNGE</t>
        </is>
      </c>
      <c r="F176" t="inlineStr">
        <is>
          <t>SCA</t>
        </is>
      </c>
      <c r="G176" t="n">
        <v>6.3</v>
      </c>
      <c r="H176" t="n">
        <v>1</v>
      </c>
      <c r="I176" t="n">
        <v>0</v>
      </c>
      <c r="J176" t="n">
        <v>0</v>
      </c>
      <c r="K176" t="n">
        <v>1</v>
      </c>
      <c r="L176" t="n">
        <v>0</v>
      </c>
      <c r="M176" t="n">
        <v>0</v>
      </c>
      <c r="N176" t="n">
        <v>0</v>
      </c>
      <c r="O176" t="n">
        <v>1</v>
      </c>
      <c r="P176" t="n">
        <v>1</v>
      </c>
      <c r="Q176" t="n">
        <v>1</v>
      </c>
      <c r="R176" s="2" t="inlineStr">
        <is>
          <t>Lappuggla</t>
        </is>
      </c>
      <c r="S176">
        <f>HYPERLINK("https://klasma.github.io/Logging_2260/artfynd/A 36230-2023 artfynd.xlsx", "A 36230-2023")</f>
        <v/>
      </c>
      <c r="T176">
        <f>HYPERLINK("https://klasma.github.io/Logging_2260/kartor/A 36230-2023 karta.png", "A 36230-2023")</f>
        <v/>
      </c>
      <c r="V176">
        <f>HYPERLINK("https://klasma.github.io/Logging_2260/klagomål/A 36230-2023 FSC-klagomål.docx", "A 36230-2023")</f>
        <v/>
      </c>
      <c r="W176">
        <f>HYPERLINK("https://klasma.github.io/Logging_2260/klagomålsmail/A 36230-2023 FSC-klagomål mail.docx", "A 36230-2023")</f>
        <v/>
      </c>
      <c r="X176">
        <f>HYPERLINK("https://klasma.github.io/Logging_2260/tillsyn/A 36230-2023 tillsynsbegäran.docx", "A 36230-2023")</f>
        <v/>
      </c>
      <c r="Y176">
        <f>HYPERLINK("https://klasma.github.io/Logging_2260/tillsynsmail/A 36230-2023 tillsynsbegäran mail.docx", "A 36230-2023")</f>
        <v/>
      </c>
      <c r="Z176">
        <f>HYPERLINK("https://klasma.github.io/Logging_2260/fåglar/A 36230-2023 prioriterade fågelarter.docx", "A 36230-2023")</f>
        <v/>
      </c>
    </row>
    <row r="177" ht="15" customHeight="1">
      <c r="A177" t="inlineStr">
        <is>
          <t>A 38774-2023</t>
        </is>
      </c>
      <c r="B177" s="1" t="n">
        <v>45163</v>
      </c>
      <c r="C177" s="1" t="n">
        <v>45349</v>
      </c>
      <c r="D177" t="inlineStr">
        <is>
          <t>VÄSTERNORRLANDS LÄN</t>
        </is>
      </c>
      <c r="E177" t="inlineStr">
        <is>
          <t>ÅNGE</t>
        </is>
      </c>
      <c r="G177" t="n">
        <v>7</v>
      </c>
      <c r="H177" t="n">
        <v>1</v>
      </c>
      <c r="I177" t="n">
        <v>0</v>
      </c>
      <c r="J177" t="n">
        <v>1</v>
      </c>
      <c r="K177" t="n">
        <v>0</v>
      </c>
      <c r="L177" t="n">
        <v>0</v>
      </c>
      <c r="M177" t="n">
        <v>0</v>
      </c>
      <c r="N177" t="n">
        <v>0</v>
      </c>
      <c r="O177" t="n">
        <v>1</v>
      </c>
      <c r="P177" t="n">
        <v>0</v>
      </c>
      <c r="Q177" t="n">
        <v>1</v>
      </c>
      <c r="R177" s="2" t="inlineStr">
        <is>
          <t>Tretåig hackspett</t>
        </is>
      </c>
      <c r="S177">
        <f>HYPERLINK("https://klasma.github.io/Logging_2260/artfynd/A 38774-2023 artfynd.xlsx", "A 38774-2023")</f>
        <v/>
      </c>
      <c r="T177">
        <f>HYPERLINK("https://klasma.github.io/Logging_2260/kartor/A 38774-2023 karta.png", "A 38774-2023")</f>
        <v/>
      </c>
      <c r="V177">
        <f>HYPERLINK("https://klasma.github.io/Logging_2260/klagomål/A 38774-2023 FSC-klagomål.docx", "A 38774-2023")</f>
        <v/>
      </c>
      <c r="W177">
        <f>HYPERLINK("https://klasma.github.io/Logging_2260/klagomålsmail/A 38774-2023 FSC-klagomål mail.docx", "A 38774-2023")</f>
        <v/>
      </c>
      <c r="X177">
        <f>HYPERLINK("https://klasma.github.io/Logging_2260/tillsyn/A 38774-2023 tillsynsbegäran.docx", "A 38774-2023")</f>
        <v/>
      </c>
      <c r="Y177">
        <f>HYPERLINK("https://klasma.github.io/Logging_2260/tillsynsmail/A 38774-2023 tillsynsbegäran mail.docx", "A 38774-2023")</f>
        <v/>
      </c>
      <c r="Z177">
        <f>HYPERLINK("https://klasma.github.io/Logging_2260/fåglar/A 38774-2023 prioriterade fågelarter.docx", "A 38774-2023")</f>
        <v/>
      </c>
    </row>
    <row r="178" ht="15" customHeight="1">
      <c r="A178" t="inlineStr">
        <is>
          <t>A 39499-2023</t>
        </is>
      </c>
      <c r="B178" s="1" t="n">
        <v>45166</v>
      </c>
      <c r="C178" s="1" t="n">
        <v>45349</v>
      </c>
      <c r="D178" t="inlineStr">
        <is>
          <t>VÄSTERNORRLANDS LÄN</t>
        </is>
      </c>
      <c r="E178" t="inlineStr">
        <is>
          <t>ÅNGE</t>
        </is>
      </c>
      <c r="F178" t="inlineStr">
        <is>
          <t>SCA</t>
        </is>
      </c>
      <c r="G178" t="n">
        <v>9</v>
      </c>
      <c r="H178" t="n">
        <v>1</v>
      </c>
      <c r="I178" t="n">
        <v>0</v>
      </c>
      <c r="J178" t="n">
        <v>1</v>
      </c>
      <c r="K178" t="n">
        <v>0</v>
      </c>
      <c r="L178" t="n">
        <v>0</v>
      </c>
      <c r="M178" t="n">
        <v>0</v>
      </c>
      <c r="N178" t="n">
        <v>0</v>
      </c>
      <c r="O178" t="n">
        <v>1</v>
      </c>
      <c r="P178" t="n">
        <v>0</v>
      </c>
      <c r="Q178" t="n">
        <v>1</v>
      </c>
      <c r="R178" s="2" t="inlineStr">
        <is>
          <t>Rödvingetrast</t>
        </is>
      </c>
      <c r="S178">
        <f>HYPERLINK("https://klasma.github.io/Logging_2260/artfynd/A 39499-2023 artfynd.xlsx", "A 39499-2023")</f>
        <v/>
      </c>
      <c r="T178">
        <f>HYPERLINK("https://klasma.github.io/Logging_2260/kartor/A 39499-2023 karta.png", "A 39499-2023")</f>
        <v/>
      </c>
      <c r="V178">
        <f>HYPERLINK("https://klasma.github.io/Logging_2260/klagomål/A 39499-2023 FSC-klagomål.docx", "A 39499-2023")</f>
        <v/>
      </c>
      <c r="W178">
        <f>HYPERLINK("https://klasma.github.io/Logging_2260/klagomålsmail/A 39499-2023 FSC-klagomål mail.docx", "A 39499-2023")</f>
        <v/>
      </c>
      <c r="X178">
        <f>HYPERLINK("https://klasma.github.io/Logging_2260/tillsyn/A 39499-2023 tillsynsbegäran.docx", "A 39499-2023")</f>
        <v/>
      </c>
      <c r="Y178">
        <f>HYPERLINK("https://klasma.github.io/Logging_2260/tillsynsmail/A 39499-2023 tillsynsbegäran mail.docx", "A 39499-2023")</f>
        <v/>
      </c>
    </row>
    <row r="179" ht="15" customHeight="1">
      <c r="A179" t="inlineStr">
        <is>
          <t>A 40776-2023</t>
        </is>
      </c>
      <c r="B179" s="1" t="n">
        <v>45170</v>
      </c>
      <c r="C179" s="1" t="n">
        <v>45349</v>
      </c>
      <c r="D179" t="inlineStr">
        <is>
          <t>VÄSTERNORRLANDS LÄN</t>
        </is>
      </c>
      <c r="E179" t="inlineStr">
        <is>
          <t>ÅNGE</t>
        </is>
      </c>
      <c r="F179" t="inlineStr">
        <is>
          <t>SCA</t>
        </is>
      </c>
      <c r="G179" t="n">
        <v>3</v>
      </c>
      <c r="H179" t="n">
        <v>1</v>
      </c>
      <c r="I179" t="n">
        <v>0</v>
      </c>
      <c r="J179" t="n">
        <v>1</v>
      </c>
      <c r="K179" t="n">
        <v>0</v>
      </c>
      <c r="L179" t="n">
        <v>0</v>
      </c>
      <c r="M179" t="n">
        <v>0</v>
      </c>
      <c r="N179" t="n">
        <v>0</v>
      </c>
      <c r="O179" t="n">
        <v>1</v>
      </c>
      <c r="P179" t="n">
        <v>0</v>
      </c>
      <c r="Q179" t="n">
        <v>1</v>
      </c>
      <c r="R179" s="2" t="inlineStr">
        <is>
          <t>Tretåig hackspett</t>
        </is>
      </c>
      <c r="S179">
        <f>HYPERLINK("https://klasma.github.io/Logging_2260/artfynd/A 40776-2023 artfynd.xlsx", "A 40776-2023")</f>
        <v/>
      </c>
      <c r="T179">
        <f>HYPERLINK("https://klasma.github.io/Logging_2260/kartor/A 40776-2023 karta.png", "A 40776-2023")</f>
        <v/>
      </c>
      <c r="V179">
        <f>HYPERLINK("https://klasma.github.io/Logging_2260/klagomål/A 40776-2023 FSC-klagomål.docx", "A 40776-2023")</f>
        <v/>
      </c>
      <c r="W179">
        <f>HYPERLINK("https://klasma.github.io/Logging_2260/klagomålsmail/A 40776-2023 FSC-klagomål mail.docx", "A 40776-2023")</f>
        <v/>
      </c>
      <c r="X179">
        <f>HYPERLINK("https://klasma.github.io/Logging_2260/tillsyn/A 40776-2023 tillsynsbegäran.docx", "A 40776-2023")</f>
        <v/>
      </c>
      <c r="Y179">
        <f>HYPERLINK("https://klasma.github.io/Logging_2260/tillsynsmail/A 40776-2023 tillsynsbegäran mail.docx", "A 40776-2023")</f>
        <v/>
      </c>
      <c r="Z179">
        <f>HYPERLINK("https://klasma.github.io/Logging_2260/fåglar/A 40776-2023 prioriterade fågelarter.docx", "A 40776-2023")</f>
        <v/>
      </c>
    </row>
    <row r="180" ht="15" customHeight="1">
      <c r="A180" t="inlineStr">
        <is>
          <t>A 45018-2023</t>
        </is>
      </c>
      <c r="B180" s="1" t="n">
        <v>45190</v>
      </c>
      <c r="C180" s="1" t="n">
        <v>45349</v>
      </c>
      <c r="D180" t="inlineStr">
        <is>
          <t>VÄSTERNORRLANDS LÄN</t>
        </is>
      </c>
      <c r="E180" t="inlineStr">
        <is>
          <t>ÅNGE</t>
        </is>
      </c>
      <c r="F180" t="inlineStr">
        <is>
          <t>SCA</t>
        </is>
      </c>
      <c r="G180" t="n">
        <v>4.8</v>
      </c>
      <c r="H180" t="n">
        <v>1</v>
      </c>
      <c r="I180" t="n">
        <v>0</v>
      </c>
      <c r="J180" t="n">
        <v>0</v>
      </c>
      <c r="K180" t="n">
        <v>1</v>
      </c>
      <c r="L180" t="n">
        <v>0</v>
      </c>
      <c r="M180" t="n">
        <v>0</v>
      </c>
      <c r="N180" t="n">
        <v>0</v>
      </c>
      <c r="O180" t="n">
        <v>1</v>
      </c>
      <c r="P180" t="n">
        <v>1</v>
      </c>
      <c r="Q180" t="n">
        <v>1</v>
      </c>
      <c r="R180" s="2" t="inlineStr">
        <is>
          <t>Knärot</t>
        </is>
      </c>
      <c r="S180">
        <f>HYPERLINK("https://klasma.github.io/Logging_2260/artfynd/A 45018-2023 artfynd.xlsx", "A 45018-2023")</f>
        <v/>
      </c>
      <c r="T180">
        <f>HYPERLINK("https://klasma.github.io/Logging_2260/kartor/A 45018-2023 karta.png", "A 45018-2023")</f>
        <v/>
      </c>
      <c r="U180">
        <f>HYPERLINK("https://klasma.github.io/Logging_2260/knärot/A 45018-2023 karta knärot.png", "A 45018-2023")</f>
        <v/>
      </c>
      <c r="V180">
        <f>HYPERLINK("https://klasma.github.io/Logging_2260/klagomål/A 45018-2023 FSC-klagomål.docx", "A 45018-2023")</f>
        <v/>
      </c>
      <c r="W180">
        <f>HYPERLINK("https://klasma.github.io/Logging_2260/klagomålsmail/A 45018-2023 FSC-klagomål mail.docx", "A 45018-2023")</f>
        <v/>
      </c>
      <c r="X180">
        <f>HYPERLINK("https://klasma.github.io/Logging_2260/tillsyn/A 45018-2023 tillsynsbegäran.docx", "A 45018-2023")</f>
        <v/>
      </c>
      <c r="Y180">
        <f>HYPERLINK("https://klasma.github.io/Logging_2260/tillsynsmail/A 45018-2023 tillsynsbegäran mail.docx", "A 45018-2023")</f>
        <v/>
      </c>
    </row>
    <row r="181" ht="15" customHeight="1">
      <c r="A181" t="inlineStr">
        <is>
          <t>A 52424-2023</t>
        </is>
      </c>
      <c r="B181" s="1" t="n">
        <v>45217</v>
      </c>
      <c r="C181" s="1" t="n">
        <v>45349</v>
      </c>
      <c r="D181" t="inlineStr">
        <is>
          <t>VÄSTERNORRLANDS LÄN</t>
        </is>
      </c>
      <c r="E181" t="inlineStr">
        <is>
          <t>ÅNGE</t>
        </is>
      </c>
      <c r="F181" t="inlineStr">
        <is>
          <t>SCA</t>
        </is>
      </c>
      <c r="G181" t="n">
        <v>3.8</v>
      </c>
      <c r="H181" t="n">
        <v>1</v>
      </c>
      <c r="I181" t="n">
        <v>0</v>
      </c>
      <c r="J181" t="n">
        <v>0</v>
      </c>
      <c r="K181" t="n">
        <v>0</v>
      </c>
      <c r="L181" t="n">
        <v>0</v>
      </c>
      <c r="M181" t="n">
        <v>0</v>
      </c>
      <c r="N181" t="n">
        <v>0</v>
      </c>
      <c r="O181" t="n">
        <v>0</v>
      </c>
      <c r="P181" t="n">
        <v>0</v>
      </c>
      <c r="Q181" t="n">
        <v>1</v>
      </c>
      <c r="R181" s="2" t="inlineStr">
        <is>
          <t>Revlummer</t>
        </is>
      </c>
      <c r="S181">
        <f>HYPERLINK("https://klasma.github.io/Logging_2260/artfynd/A 52424-2023 artfynd.xlsx", "A 52424-2023")</f>
        <v/>
      </c>
      <c r="T181">
        <f>HYPERLINK("https://klasma.github.io/Logging_2260/kartor/A 52424-2023 karta.png", "A 52424-2023")</f>
        <v/>
      </c>
      <c r="V181">
        <f>HYPERLINK("https://klasma.github.io/Logging_2260/klagomål/A 52424-2023 FSC-klagomål.docx", "A 52424-2023")</f>
        <v/>
      </c>
      <c r="W181">
        <f>HYPERLINK("https://klasma.github.io/Logging_2260/klagomålsmail/A 52424-2023 FSC-klagomål mail.docx", "A 52424-2023")</f>
        <v/>
      </c>
      <c r="X181">
        <f>HYPERLINK("https://klasma.github.io/Logging_2260/tillsyn/A 52424-2023 tillsynsbegäran.docx", "A 52424-2023")</f>
        <v/>
      </c>
      <c r="Y181">
        <f>HYPERLINK("https://klasma.github.io/Logging_2260/tillsynsmail/A 52424-2023 tillsynsbegäran mail.docx", "A 52424-2023")</f>
        <v/>
      </c>
    </row>
    <row r="182" ht="15" customHeight="1">
      <c r="A182" t="inlineStr">
        <is>
          <t>A 54567-2023</t>
        </is>
      </c>
      <c r="B182" s="1" t="n">
        <v>45233</v>
      </c>
      <c r="C182" s="1" t="n">
        <v>45349</v>
      </c>
      <c r="D182" t="inlineStr">
        <is>
          <t>VÄSTERNORRLANDS LÄN</t>
        </is>
      </c>
      <c r="E182" t="inlineStr">
        <is>
          <t>ÅNGE</t>
        </is>
      </c>
      <c r="F182" t="inlineStr">
        <is>
          <t>Sveaskog</t>
        </is>
      </c>
      <c r="G182" t="n">
        <v>1.4</v>
      </c>
      <c r="H182" t="n">
        <v>0</v>
      </c>
      <c r="I182" t="n">
        <v>0</v>
      </c>
      <c r="J182" t="n">
        <v>1</v>
      </c>
      <c r="K182" t="n">
        <v>0</v>
      </c>
      <c r="L182" t="n">
        <v>0</v>
      </c>
      <c r="M182" t="n">
        <v>0</v>
      </c>
      <c r="N182" t="n">
        <v>0</v>
      </c>
      <c r="O182" t="n">
        <v>1</v>
      </c>
      <c r="P182" t="n">
        <v>0</v>
      </c>
      <c r="Q182" t="n">
        <v>1</v>
      </c>
      <c r="R182" s="2" t="inlineStr">
        <is>
          <t>Lunglav</t>
        </is>
      </c>
      <c r="S182">
        <f>HYPERLINK("https://klasma.github.io/Logging_2260/artfynd/A 54567-2023 artfynd.xlsx", "A 54567-2023")</f>
        <v/>
      </c>
      <c r="T182">
        <f>HYPERLINK("https://klasma.github.io/Logging_2260/kartor/A 54567-2023 karta.png", "A 54567-2023")</f>
        <v/>
      </c>
      <c r="V182">
        <f>HYPERLINK("https://klasma.github.io/Logging_2260/klagomål/A 54567-2023 FSC-klagomål.docx", "A 54567-2023")</f>
        <v/>
      </c>
      <c r="W182">
        <f>HYPERLINK("https://klasma.github.io/Logging_2260/klagomålsmail/A 54567-2023 FSC-klagomål mail.docx", "A 54567-2023")</f>
        <v/>
      </c>
      <c r="X182">
        <f>HYPERLINK("https://klasma.github.io/Logging_2260/tillsyn/A 54567-2023 tillsynsbegäran.docx", "A 54567-2023")</f>
        <v/>
      </c>
      <c r="Y182">
        <f>HYPERLINK("https://klasma.github.io/Logging_2260/tillsynsmail/A 54567-2023 tillsynsbegäran mail.docx", "A 54567-2023")</f>
        <v/>
      </c>
    </row>
    <row r="183" ht="15" customHeight="1">
      <c r="A183" t="inlineStr">
        <is>
          <t>A 54676-2023</t>
        </is>
      </c>
      <c r="B183" s="1" t="n">
        <v>45235</v>
      </c>
      <c r="C183" s="1" t="n">
        <v>45349</v>
      </c>
      <c r="D183" t="inlineStr">
        <is>
          <t>VÄSTERNORRLANDS LÄN</t>
        </is>
      </c>
      <c r="E183" t="inlineStr">
        <is>
          <t>ÅNGE</t>
        </is>
      </c>
      <c r="G183" t="n">
        <v>9</v>
      </c>
      <c r="H183" t="n">
        <v>0</v>
      </c>
      <c r="I183" t="n">
        <v>0</v>
      </c>
      <c r="J183" t="n">
        <v>0</v>
      </c>
      <c r="K183" t="n">
        <v>1</v>
      </c>
      <c r="L183" t="n">
        <v>0</v>
      </c>
      <c r="M183" t="n">
        <v>0</v>
      </c>
      <c r="N183" t="n">
        <v>0</v>
      </c>
      <c r="O183" t="n">
        <v>1</v>
      </c>
      <c r="P183" t="n">
        <v>1</v>
      </c>
      <c r="Q183" t="n">
        <v>1</v>
      </c>
      <c r="R183" s="2" t="inlineStr">
        <is>
          <t>Rynkskinn</t>
        </is>
      </c>
      <c r="S183">
        <f>HYPERLINK("https://klasma.github.io/Logging_2260/artfynd/A 54676-2023 artfynd.xlsx", "A 54676-2023")</f>
        <v/>
      </c>
      <c r="T183">
        <f>HYPERLINK("https://klasma.github.io/Logging_2260/kartor/A 54676-2023 karta.png", "A 54676-2023")</f>
        <v/>
      </c>
      <c r="U183">
        <f>HYPERLINK("https://klasma.github.io/Logging_2260/knärot/A 54676-2023 karta knärot.png", "A 54676-2023")</f>
        <v/>
      </c>
      <c r="V183">
        <f>HYPERLINK("https://klasma.github.io/Logging_2260/klagomål/A 54676-2023 FSC-klagomål.docx", "A 54676-2023")</f>
        <v/>
      </c>
      <c r="W183">
        <f>HYPERLINK("https://klasma.github.io/Logging_2260/klagomålsmail/A 54676-2023 FSC-klagomål mail.docx", "A 54676-2023")</f>
        <v/>
      </c>
      <c r="X183">
        <f>HYPERLINK("https://klasma.github.io/Logging_2260/tillsyn/A 54676-2023 tillsynsbegäran.docx", "A 54676-2023")</f>
        <v/>
      </c>
      <c r="Y183">
        <f>HYPERLINK("https://klasma.github.io/Logging_2260/tillsynsmail/A 54676-2023 tillsynsbegäran mail.docx", "A 54676-2023")</f>
        <v/>
      </c>
    </row>
    <row r="184" ht="15" customHeight="1">
      <c r="A184" t="inlineStr">
        <is>
          <t>A 55015-2023</t>
        </is>
      </c>
      <c r="B184" s="1" t="n">
        <v>45237</v>
      </c>
      <c r="C184" s="1" t="n">
        <v>45349</v>
      </c>
      <c r="D184" t="inlineStr">
        <is>
          <t>VÄSTERNORRLANDS LÄN</t>
        </is>
      </c>
      <c r="E184" t="inlineStr">
        <is>
          <t>ÅNGE</t>
        </is>
      </c>
      <c r="F184" t="inlineStr">
        <is>
          <t>Sveaskog</t>
        </is>
      </c>
      <c r="G184" t="n">
        <v>2.7</v>
      </c>
      <c r="H184" t="n">
        <v>0</v>
      </c>
      <c r="I184" t="n">
        <v>0</v>
      </c>
      <c r="J184" t="n">
        <v>1</v>
      </c>
      <c r="K184" t="n">
        <v>0</v>
      </c>
      <c r="L184" t="n">
        <v>0</v>
      </c>
      <c r="M184" t="n">
        <v>0</v>
      </c>
      <c r="N184" t="n">
        <v>0</v>
      </c>
      <c r="O184" t="n">
        <v>1</v>
      </c>
      <c r="P184" t="n">
        <v>0</v>
      </c>
      <c r="Q184" t="n">
        <v>1</v>
      </c>
      <c r="R184" s="2" t="inlineStr">
        <is>
          <t>Lunglav</t>
        </is>
      </c>
      <c r="S184">
        <f>HYPERLINK("https://klasma.github.io/Logging_2260/artfynd/A 55015-2023 artfynd.xlsx", "A 55015-2023")</f>
        <v/>
      </c>
      <c r="T184">
        <f>HYPERLINK("https://klasma.github.io/Logging_2260/kartor/A 55015-2023 karta.png", "A 55015-2023")</f>
        <v/>
      </c>
      <c r="V184">
        <f>HYPERLINK("https://klasma.github.io/Logging_2260/klagomål/A 55015-2023 FSC-klagomål.docx", "A 55015-2023")</f>
        <v/>
      </c>
      <c r="W184">
        <f>HYPERLINK("https://klasma.github.io/Logging_2260/klagomålsmail/A 55015-2023 FSC-klagomål mail.docx", "A 55015-2023")</f>
        <v/>
      </c>
      <c r="X184">
        <f>HYPERLINK("https://klasma.github.io/Logging_2260/tillsyn/A 55015-2023 tillsynsbegäran.docx", "A 55015-2023")</f>
        <v/>
      </c>
      <c r="Y184">
        <f>HYPERLINK("https://klasma.github.io/Logging_2260/tillsynsmail/A 55015-2023 tillsynsbegäran mail.docx", "A 55015-2023")</f>
        <v/>
      </c>
    </row>
    <row r="185" ht="15" customHeight="1">
      <c r="A185" t="inlineStr">
        <is>
          <t>A 58775-2023</t>
        </is>
      </c>
      <c r="B185" s="1" t="n">
        <v>45251</v>
      </c>
      <c r="C185" s="1" t="n">
        <v>45349</v>
      </c>
      <c r="D185" t="inlineStr">
        <is>
          <t>VÄSTERNORRLANDS LÄN</t>
        </is>
      </c>
      <c r="E185" t="inlineStr">
        <is>
          <t>ÅNGE</t>
        </is>
      </c>
      <c r="F185" t="inlineStr">
        <is>
          <t>SCA</t>
        </is>
      </c>
      <c r="G185" t="n">
        <v>1.4</v>
      </c>
      <c r="H185" t="n">
        <v>0</v>
      </c>
      <c r="I185" t="n">
        <v>0</v>
      </c>
      <c r="J185" t="n">
        <v>1</v>
      </c>
      <c r="K185" t="n">
        <v>0</v>
      </c>
      <c r="L185" t="n">
        <v>0</v>
      </c>
      <c r="M185" t="n">
        <v>0</v>
      </c>
      <c r="N185" t="n">
        <v>0</v>
      </c>
      <c r="O185" t="n">
        <v>1</v>
      </c>
      <c r="P185" t="n">
        <v>0</v>
      </c>
      <c r="Q185" t="n">
        <v>1</v>
      </c>
      <c r="R185" s="2" t="inlineStr">
        <is>
          <t>Lunglav</t>
        </is>
      </c>
      <c r="S185">
        <f>HYPERLINK("https://klasma.github.io/Logging_2260/artfynd/A 58775-2023 artfynd.xlsx", "A 58775-2023")</f>
        <v/>
      </c>
      <c r="T185">
        <f>HYPERLINK("https://klasma.github.io/Logging_2260/kartor/A 58775-2023 karta.png", "A 58775-2023")</f>
        <v/>
      </c>
      <c r="V185">
        <f>HYPERLINK("https://klasma.github.io/Logging_2260/klagomål/A 58775-2023 FSC-klagomål.docx", "A 58775-2023")</f>
        <v/>
      </c>
      <c r="W185">
        <f>HYPERLINK("https://klasma.github.io/Logging_2260/klagomålsmail/A 58775-2023 FSC-klagomål mail.docx", "A 58775-2023")</f>
        <v/>
      </c>
      <c r="X185">
        <f>HYPERLINK("https://klasma.github.io/Logging_2260/tillsyn/A 58775-2023 tillsynsbegäran.docx", "A 58775-2023")</f>
        <v/>
      </c>
      <c r="Y185">
        <f>HYPERLINK("https://klasma.github.io/Logging_2260/tillsynsmail/A 58775-2023 tillsynsbegäran mail.docx", "A 58775-2023")</f>
        <v/>
      </c>
    </row>
    <row r="186" ht="15" customHeight="1">
      <c r="A186" t="inlineStr">
        <is>
          <t>A 2431-2024</t>
        </is>
      </c>
      <c r="B186" s="1" t="n">
        <v>45310</v>
      </c>
      <c r="C186" s="1" t="n">
        <v>45349</v>
      </c>
      <c r="D186" t="inlineStr">
        <is>
          <t>VÄSTERNORRLANDS LÄN</t>
        </is>
      </c>
      <c r="E186" t="inlineStr">
        <is>
          <t>ÅNGE</t>
        </is>
      </c>
      <c r="F186" t="inlineStr">
        <is>
          <t>SCA</t>
        </is>
      </c>
      <c r="G186" t="n">
        <v>9</v>
      </c>
      <c r="H186" t="n">
        <v>0</v>
      </c>
      <c r="I186" t="n">
        <v>0</v>
      </c>
      <c r="J186" t="n">
        <v>1</v>
      </c>
      <c r="K186" t="n">
        <v>0</v>
      </c>
      <c r="L186" t="n">
        <v>0</v>
      </c>
      <c r="M186" t="n">
        <v>0</v>
      </c>
      <c r="N186" t="n">
        <v>0</v>
      </c>
      <c r="O186" t="n">
        <v>1</v>
      </c>
      <c r="P186" t="n">
        <v>0</v>
      </c>
      <c r="Q186" t="n">
        <v>1</v>
      </c>
      <c r="R186" s="2" t="inlineStr">
        <is>
          <t>Lunglav</t>
        </is>
      </c>
      <c r="S186">
        <f>HYPERLINK("https://klasma.github.io/Logging_2260/artfynd/A 2431-2024 artfynd.xlsx", "A 2431-2024")</f>
        <v/>
      </c>
      <c r="T186">
        <f>HYPERLINK("https://klasma.github.io/Logging_2260/kartor/A 2431-2024 karta.png", "A 2431-2024")</f>
        <v/>
      </c>
      <c r="V186">
        <f>HYPERLINK("https://klasma.github.io/Logging_2260/klagomål/A 2431-2024 FSC-klagomål.docx", "A 2431-2024")</f>
        <v/>
      </c>
      <c r="W186">
        <f>HYPERLINK("https://klasma.github.io/Logging_2260/klagomålsmail/A 2431-2024 FSC-klagomål mail.docx", "A 2431-2024")</f>
        <v/>
      </c>
      <c r="X186">
        <f>HYPERLINK("https://klasma.github.io/Logging_2260/tillsyn/A 2431-2024 tillsynsbegäran.docx", "A 2431-2024")</f>
        <v/>
      </c>
      <c r="Y186">
        <f>HYPERLINK("https://klasma.github.io/Logging_2260/tillsynsmail/A 2431-2024 tillsynsbegäran mail.docx", "A 2431-2024")</f>
        <v/>
      </c>
    </row>
    <row r="187" ht="15" customHeight="1">
      <c r="A187" t="inlineStr">
        <is>
          <t>A 2429-2024</t>
        </is>
      </c>
      <c r="B187" s="1" t="n">
        <v>45310</v>
      </c>
      <c r="C187" s="1" t="n">
        <v>45349</v>
      </c>
      <c r="D187" t="inlineStr">
        <is>
          <t>VÄSTERNORRLANDS LÄN</t>
        </is>
      </c>
      <c r="E187" t="inlineStr">
        <is>
          <t>ÅNGE</t>
        </is>
      </c>
      <c r="F187" t="inlineStr">
        <is>
          <t>SCA</t>
        </is>
      </c>
      <c r="G187" t="n">
        <v>8.199999999999999</v>
      </c>
      <c r="H187" t="n">
        <v>0</v>
      </c>
      <c r="I187" t="n">
        <v>0</v>
      </c>
      <c r="J187" t="n">
        <v>1</v>
      </c>
      <c r="K187" t="n">
        <v>0</v>
      </c>
      <c r="L187" t="n">
        <v>0</v>
      </c>
      <c r="M187" t="n">
        <v>0</v>
      </c>
      <c r="N187" t="n">
        <v>0</v>
      </c>
      <c r="O187" t="n">
        <v>1</v>
      </c>
      <c r="P187" t="n">
        <v>0</v>
      </c>
      <c r="Q187" t="n">
        <v>1</v>
      </c>
      <c r="R187" s="2" t="inlineStr">
        <is>
          <t>Kolflarnlav</t>
        </is>
      </c>
      <c r="S187">
        <f>HYPERLINK("https://klasma.github.io/Logging_2260/artfynd/A 2429-2024 artfynd.xlsx", "A 2429-2024")</f>
        <v/>
      </c>
      <c r="T187">
        <f>HYPERLINK("https://klasma.github.io/Logging_2260/kartor/A 2429-2024 karta.png", "A 2429-2024")</f>
        <v/>
      </c>
      <c r="V187">
        <f>HYPERLINK("https://klasma.github.io/Logging_2260/klagomål/A 2429-2024 FSC-klagomål.docx", "A 2429-2024")</f>
        <v/>
      </c>
      <c r="W187">
        <f>HYPERLINK("https://klasma.github.io/Logging_2260/klagomålsmail/A 2429-2024 FSC-klagomål mail.docx", "A 2429-2024")</f>
        <v/>
      </c>
      <c r="X187">
        <f>HYPERLINK("https://klasma.github.io/Logging_2260/tillsyn/A 2429-2024 tillsynsbegäran.docx", "A 2429-2024")</f>
        <v/>
      </c>
      <c r="Y187">
        <f>HYPERLINK("https://klasma.github.io/Logging_2260/tillsynsmail/A 2429-2024 tillsynsbegäran mail.docx", "A 2429-2024")</f>
        <v/>
      </c>
    </row>
    <row r="188" ht="15" customHeight="1">
      <c r="A188" t="inlineStr">
        <is>
          <t>A 4922-2024</t>
        </is>
      </c>
      <c r="B188" s="1" t="n">
        <v>45329</v>
      </c>
      <c r="C188" s="1" t="n">
        <v>45349</v>
      </c>
      <c r="D188" t="inlineStr">
        <is>
          <t>VÄSTERNORRLANDS LÄN</t>
        </is>
      </c>
      <c r="E188" t="inlineStr">
        <is>
          <t>ÅNGE</t>
        </is>
      </c>
      <c r="G188" t="n">
        <v>3.1</v>
      </c>
      <c r="H188" t="n">
        <v>1</v>
      </c>
      <c r="I188" t="n">
        <v>1</v>
      </c>
      <c r="J188" t="n">
        <v>0</v>
      </c>
      <c r="K188" t="n">
        <v>0</v>
      </c>
      <c r="L188" t="n">
        <v>0</v>
      </c>
      <c r="M188" t="n">
        <v>0</v>
      </c>
      <c r="N188" t="n">
        <v>0</v>
      </c>
      <c r="O188" t="n">
        <v>0</v>
      </c>
      <c r="P188" t="n">
        <v>0</v>
      </c>
      <c r="Q188" t="n">
        <v>1</v>
      </c>
      <c r="R188" s="2" t="inlineStr">
        <is>
          <t>Guckusko</t>
        </is>
      </c>
      <c r="S188">
        <f>HYPERLINK("https://klasma.github.io/Logging_2260/artfynd/A 4922-2024 artfynd.xlsx", "A 4922-2024")</f>
        <v/>
      </c>
      <c r="T188">
        <f>HYPERLINK("https://klasma.github.io/Logging_2260/kartor/A 4922-2024 karta.png", "A 4922-2024")</f>
        <v/>
      </c>
      <c r="V188">
        <f>HYPERLINK("https://klasma.github.io/Logging_2260/klagomål/A 4922-2024 FSC-klagomål.docx", "A 4922-2024")</f>
        <v/>
      </c>
      <c r="W188">
        <f>HYPERLINK("https://klasma.github.io/Logging_2260/klagomålsmail/A 4922-2024 FSC-klagomål mail.docx", "A 4922-2024")</f>
        <v/>
      </c>
      <c r="X188">
        <f>HYPERLINK("https://klasma.github.io/Logging_2260/tillsyn/A 4922-2024 tillsynsbegäran.docx", "A 4922-2024")</f>
        <v/>
      </c>
      <c r="Y188">
        <f>HYPERLINK("https://klasma.github.io/Logging_2260/tillsynsmail/A 4922-2024 tillsynsbegäran mail.docx", "A 4922-2024")</f>
        <v/>
      </c>
    </row>
    <row r="189" ht="15" customHeight="1">
      <c r="A189" t="inlineStr">
        <is>
          <t>A 37755-2018</t>
        </is>
      </c>
      <c r="B189" s="1" t="n">
        <v>43334</v>
      </c>
      <c r="C189" s="1" t="n">
        <v>45349</v>
      </c>
      <c r="D189" t="inlineStr">
        <is>
          <t>VÄSTERNORRLANDS LÄN</t>
        </is>
      </c>
      <c r="E189" t="inlineStr">
        <is>
          <t>ÅNGE</t>
        </is>
      </c>
      <c r="G189" t="n">
        <v>0.2</v>
      </c>
      <c r="H189" t="n">
        <v>0</v>
      </c>
      <c r="I189" t="n">
        <v>0</v>
      </c>
      <c r="J189" t="n">
        <v>0</v>
      </c>
      <c r="K189" t="n">
        <v>0</v>
      </c>
      <c r="L189" t="n">
        <v>0</v>
      </c>
      <c r="M189" t="n">
        <v>0</v>
      </c>
      <c r="N189" t="n">
        <v>0</v>
      </c>
      <c r="O189" t="n">
        <v>0</v>
      </c>
      <c r="P189" t="n">
        <v>0</v>
      </c>
      <c r="Q189" t="n">
        <v>0</v>
      </c>
      <c r="R189" s="2" t="inlineStr"/>
    </row>
    <row r="190" ht="15" customHeight="1">
      <c r="A190" t="inlineStr">
        <is>
          <t>A 37747-2018</t>
        </is>
      </c>
      <c r="B190" s="1" t="n">
        <v>43334</v>
      </c>
      <c r="C190" s="1" t="n">
        <v>45349</v>
      </c>
      <c r="D190" t="inlineStr">
        <is>
          <t>VÄSTERNORRLANDS LÄN</t>
        </is>
      </c>
      <c r="E190" t="inlineStr">
        <is>
          <t>ÅNGE</t>
        </is>
      </c>
      <c r="G190" t="n">
        <v>0.1</v>
      </c>
      <c r="H190" t="n">
        <v>0</v>
      </c>
      <c r="I190" t="n">
        <v>0</v>
      </c>
      <c r="J190" t="n">
        <v>0</v>
      </c>
      <c r="K190" t="n">
        <v>0</v>
      </c>
      <c r="L190" t="n">
        <v>0</v>
      </c>
      <c r="M190" t="n">
        <v>0</v>
      </c>
      <c r="N190" t="n">
        <v>0</v>
      </c>
      <c r="O190" t="n">
        <v>0</v>
      </c>
      <c r="P190" t="n">
        <v>0</v>
      </c>
      <c r="Q190" t="n">
        <v>0</v>
      </c>
      <c r="R190" s="2" t="inlineStr"/>
    </row>
    <row r="191" ht="15" customHeight="1">
      <c r="A191" t="inlineStr">
        <is>
          <t>A 38943-2018</t>
        </is>
      </c>
      <c r="B191" s="1" t="n">
        <v>43336</v>
      </c>
      <c r="C191" s="1" t="n">
        <v>45349</v>
      </c>
      <c r="D191" t="inlineStr">
        <is>
          <t>VÄSTERNORRLANDS LÄN</t>
        </is>
      </c>
      <c r="E191" t="inlineStr">
        <is>
          <t>ÅNGE</t>
        </is>
      </c>
      <c r="G191" t="n">
        <v>2.7</v>
      </c>
      <c r="H191" t="n">
        <v>0</v>
      </c>
      <c r="I191" t="n">
        <v>0</v>
      </c>
      <c r="J191" t="n">
        <v>0</v>
      </c>
      <c r="K191" t="n">
        <v>0</v>
      </c>
      <c r="L191" t="n">
        <v>0</v>
      </c>
      <c r="M191" t="n">
        <v>0</v>
      </c>
      <c r="N191" t="n">
        <v>0</v>
      </c>
      <c r="O191" t="n">
        <v>0</v>
      </c>
      <c r="P191" t="n">
        <v>0</v>
      </c>
      <c r="Q191" t="n">
        <v>0</v>
      </c>
      <c r="R191" s="2" t="inlineStr"/>
    </row>
    <row r="192" ht="15" customHeight="1">
      <c r="A192" t="inlineStr">
        <is>
          <t>A 39508-2018</t>
        </is>
      </c>
      <c r="B192" s="1" t="n">
        <v>43340</v>
      </c>
      <c r="C192" s="1" t="n">
        <v>45349</v>
      </c>
      <c r="D192" t="inlineStr">
        <is>
          <t>VÄSTERNORRLANDS LÄN</t>
        </is>
      </c>
      <c r="E192" t="inlineStr">
        <is>
          <t>ÅNGE</t>
        </is>
      </c>
      <c r="G192" t="n">
        <v>0.6</v>
      </c>
      <c r="H192" t="n">
        <v>0</v>
      </c>
      <c r="I192" t="n">
        <v>0</v>
      </c>
      <c r="J192" t="n">
        <v>0</v>
      </c>
      <c r="K192" t="n">
        <v>0</v>
      </c>
      <c r="L192" t="n">
        <v>0</v>
      </c>
      <c r="M192" t="n">
        <v>0</v>
      </c>
      <c r="N192" t="n">
        <v>0</v>
      </c>
      <c r="O192" t="n">
        <v>0</v>
      </c>
      <c r="P192" t="n">
        <v>0</v>
      </c>
      <c r="Q192" t="n">
        <v>0</v>
      </c>
      <c r="R192" s="2" t="inlineStr"/>
    </row>
    <row r="193" ht="15" customHeight="1">
      <c r="A193" t="inlineStr">
        <is>
          <t>A 49165-2018</t>
        </is>
      </c>
      <c r="B193" s="1" t="n">
        <v>43375</v>
      </c>
      <c r="C193" s="1" t="n">
        <v>45349</v>
      </c>
      <c r="D193" t="inlineStr">
        <is>
          <t>VÄSTERNORRLANDS LÄN</t>
        </is>
      </c>
      <c r="E193" t="inlineStr">
        <is>
          <t>ÅNGE</t>
        </is>
      </c>
      <c r="G193" t="n">
        <v>7.8</v>
      </c>
      <c r="H193" t="n">
        <v>0</v>
      </c>
      <c r="I193" t="n">
        <v>0</v>
      </c>
      <c r="J193" t="n">
        <v>0</v>
      </c>
      <c r="K193" t="n">
        <v>0</v>
      </c>
      <c r="L193" t="n">
        <v>0</v>
      </c>
      <c r="M193" t="n">
        <v>0</v>
      </c>
      <c r="N193" t="n">
        <v>0</v>
      </c>
      <c r="O193" t="n">
        <v>0</v>
      </c>
      <c r="P193" t="n">
        <v>0</v>
      </c>
      <c r="Q193" t="n">
        <v>0</v>
      </c>
      <c r="R193" s="2" t="inlineStr"/>
    </row>
    <row r="194" ht="15" customHeight="1">
      <c r="A194" t="inlineStr">
        <is>
          <t>A 49658-2018</t>
        </is>
      </c>
      <c r="B194" s="1" t="n">
        <v>43376</v>
      </c>
      <c r="C194" s="1" t="n">
        <v>45349</v>
      </c>
      <c r="D194" t="inlineStr">
        <is>
          <t>VÄSTERNORRLANDS LÄN</t>
        </is>
      </c>
      <c r="E194" t="inlineStr">
        <is>
          <t>ÅNGE</t>
        </is>
      </c>
      <c r="F194" t="inlineStr">
        <is>
          <t>Kyrkan</t>
        </is>
      </c>
      <c r="G194" t="n">
        <v>1.3</v>
      </c>
      <c r="H194" t="n">
        <v>0</v>
      </c>
      <c r="I194" t="n">
        <v>0</v>
      </c>
      <c r="J194" t="n">
        <v>0</v>
      </c>
      <c r="K194" t="n">
        <v>0</v>
      </c>
      <c r="L194" t="n">
        <v>0</v>
      </c>
      <c r="M194" t="n">
        <v>0</v>
      </c>
      <c r="N194" t="n">
        <v>0</v>
      </c>
      <c r="O194" t="n">
        <v>0</v>
      </c>
      <c r="P194" t="n">
        <v>0</v>
      </c>
      <c r="Q194" t="n">
        <v>0</v>
      </c>
      <c r="R194" s="2" t="inlineStr"/>
    </row>
    <row r="195" ht="15" customHeight="1">
      <c r="A195" t="inlineStr">
        <is>
          <t>A 52621-2018</t>
        </is>
      </c>
      <c r="B195" s="1" t="n">
        <v>43383</v>
      </c>
      <c r="C195" s="1" t="n">
        <v>45349</v>
      </c>
      <c r="D195" t="inlineStr">
        <is>
          <t>VÄSTERNORRLANDS LÄN</t>
        </is>
      </c>
      <c r="E195" t="inlineStr">
        <is>
          <t>ÅNGE</t>
        </is>
      </c>
      <c r="G195" t="n">
        <v>2.1</v>
      </c>
      <c r="H195" t="n">
        <v>0</v>
      </c>
      <c r="I195" t="n">
        <v>0</v>
      </c>
      <c r="J195" t="n">
        <v>0</v>
      </c>
      <c r="K195" t="n">
        <v>0</v>
      </c>
      <c r="L195" t="n">
        <v>0</v>
      </c>
      <c r="M195" t="n">
        <v>0</v>
      </c>
      <c r="N195" t="n">
        <v>0</v>
      </c>
      <c r="O195" t="n">
        <v>0</v>
      </c>
      <c r="P195" t="n">
        <v>0</v>
      </c>
      <c r="Q195" t="n">
        <v>0</v>
      </c>
      <c r="R195" s="2" t="inlineStr"/>
    </row>
    <row r="196" ht="15" customHeight="1">
      <c r="A196" t="inlineStr">
        <is>
          <t>A 56839-2018</t>
        </is>
      </c>
      <c r="B196" s="1" t="n">
        <v>43402</v>
      </c>
      <c r="C196" s="1" t="n">
        <v>45349</v>
      </c>
      <c r="D196" t="inlineStr">
        <is>
          <t>VÄSTERNORRLANDS LÄN</t>
        </is>
      </c>
      <c r="E196" t="inlineStr">
        <is>
          <t>ÅNGE</t>
        </is>
      </c>
      <c r="F196" t="inlineStr">
        <is>
          <t>SCA</t>
        </is>
      </c>
      <c r="G196" t="n">
        <v>2.5</v>
      </c>
      <c r="H196" t="n">
        <v>0</v>
      </c>
      <c r="I196" t="n">
        <v>0</v>
      </c>
      <c r="J196" t="n">
        <v>0</v>
      </c>
      <c r="K196" t="n">
        <v>0</v>
      </c>
      <c r="L196" t="n">
        <v>0</v>
      </c>
      <c r="M196" t="n">
        <v>0</v>
      </c>
      <c r="N196" t="n">
        <v>0</v>
      </c>
      <c r="O196" t="n">
        <v>0</v>
      </c>
      <c r="P196" t="n">
        <v>0</v>
      </c>
      <c r="Q196" t="n">
        <v>0</v>
      </c>
      <c r="R196" s="2" t="inlineStr"/>
    </row>
    <row r="197" ht="15" customHeight="1">
      <c r="A197" t="inlineStr">
        <is>
          <t>A 56838-2018</t>
        </is>
      </c>
      <c r="B197" s="1" t="n">
        <v>43402</v>
      </c>
      <c r="C197" s="1" t="n">
        <v>45349</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57613-2018</t>
        </is>
      </c>
      <c r="B198" s="1" t="n">
        <v>43404</v>
      </c>
      <c r="C198" s="1" t="n">
        <v>45349</v>
      </c>
      <c r="D198" t="inlineStr">
        <is>
          <t>VÄSTERNORRLANDS LÄN</t>
        </is>
      </c>
      <c r="E198" t="inlineStr">
        <is>
          <t>ÅNGE</t>
        </is>
      </c>
      <c r="G198" t="n">
        <v>1.4</v>
      </c>
      <c r="H198" t="n">
        <v>0</v>
      </c>
      <c r="I198" t="n">
        <v>0</v>
      </c>
      <c r="J198" t="n">
        <v>0</v>
      </c>
      <c r="K198" t="n">
        <v>0</v>
      </c>
      <c r="L198" t="n">
        <v>0</v>
      </c>
      <c r="M198" t="n">
        <v>0</v>
      </c>
      <c r="N198" t="n">
        <v>0</v>
      </c>
      <c r="O198" t="n">
        <v>0</v>
      </c>
      <c r="P198" t="n">
        <v>0</v>
      </c>
      <c r="Q198" t="n">
        <v>0</v>
      </c>
      <c r="R198" s="2" t="inlineStr"/>
    </row>
    <row r="199" ht="15" customHeight="1">
      <c r="A199" t="inlineStr">
        <is>
          <t>A 57616-2018</t>
        </is>
      </c>
      <c r="B199" s="1" t="n">
        <v>43404</v>
      </c>
      <c r="C199" s="1" t="n">
        <v>45349</v>
      </c>
      <c r="D199" t="inlineStr">
        <is>
          <t>VÄSTERNORRLANDS LÄN</t>
        </is>
      </c>
      <c r="E199" t="inlineStr">
        <is>
          <t>ÅNGE</t>
        </is>
      </c>
      <c r="G199" t="n">
        <v>0.6</v>
      </c>
      <c r="H199" t="n">
        <v>0</v>
      </c>
      <c r="I199" t="n">
        <v>0</v>
      </c>
      <c r="J199" t="n">
        <v>0</v>
      </c>
      <c r="K199" t="n">
        <v>0</v>
      </c>
      <c r="L199" t="n">
        <v>0</v>
      </c>
      <c r="M199" t="n">
        <v>0</v>
      </c>
      <c r="N199" t="n">
        <v>0</v>
      </c>
      <c r="O199" t="n">
        <v>0</v>
      </c>
      <c r="P199" t="n">
        <v>0</v>
      </c>
      <c r="Q199" t="n">
        <v>0</v>
      </c>
      <c r="R199" s="2" t="inlineStr"/>
    </row>
    <row r="200" ht="15" customHeight="1">
      <c r="A200" t="inlineStr">
        <is>
          <t>A 58567-2018</t>
        </is>
      </c>
      <c r="B200" s="1" t="n">
        <v>43409</v>
      </c>
      <c r="C200" s="1" t="n">
        <v>45349</v>
      </c>
      <c r="D200" t="inlineStr">
        <is>
          <t>VÄSTERNORRLANDS LÄN</t>
        </is>
      </c>
      <c r="E200" t="inlineStr">
        <is>
          <t>ÅNGE</t>
        </is>
      </c>
      <c r="F200" t="inlineStr">
        <is>
          <t>SCA</t>
        </is>
      </c>
      <c r="G200" t="n">
        <v>12.7</v>
      </c>
      <c r="H200" t="n">
        <v>0</v>
      </c>
      <c r="I200" t="n">
        <v>0</v>
      </c>
      <c r="J200" t="n">
        <v>0</v>
      </c>
      <c r="K200" t="n">
        <v>0</v>
      </c>
      <c r="L200" t="n">
        <v>0</v>
      </c>
      <c r="M200" t="n">
        <v>0</v>
      </c>
      <c r="N200" t="n">
        <v>0</v>
      </c>
      <c r="O200" t="n">
        <v>0</v>
      </c>
      <c r="P200" t="n">
        <v>0</v>
      </c>
      <c r="Q200" t="n">
        <v>0</v>
      </c>
      <c r="R200" s="2" t="inlineStr"/>
    </row>
    <row r="201" ht="15" customHeight="1">
      <c r="A201" t="inlineStr">
        <is>
          <t>A 58920-2018</t>
        </is>
      </c>
      <c r="B201" s="1" t="n">
        <v>43410</v>
      </c>
      <c r="C201" s="1" t="n">
        <v>45349</v>
      </c>
      <c r="D201" t="inlineStr">
        <is>
          <t>VÄSTERNORRLANDS LÄN</t>
        </is>
      </c>
      <c r="E201" t="inlineStr">
        <is>
          <t>ÅNGE</t>
        </is>
      </c>
      <c r="G201" t="n">
        <v>2.4</v>
      </c>
      <c r="H201" t="n">
        <v>0</v>
      </c>
      <c r="I201" t="n">
        <v>0</v>
      </c>
      <c r="J201" t="n">
        <v>0</v>
      </c>
      <c r="K201" t="n">
        <v>0</v>
      </c>
      <c r="L201" t="n">
        <v>0</v>
      </c>
      <c r="M201" t="n">
        <v>0</v>
      </c>
      <c r="N201" t="n">
        <v>0</v>
      </c>
      <c r="O201" t="n">
        <v>0</v>
      </c>
      <c r="P201" t="n">
        <v>0</v>
      </c>
      <c r="Q201" t="n">
        <v>0</v>
      </c>
      <c r="R201" s="2" t="inlineStr"/>
    </row>
    <row r="202" ht="15" customHeight="1">
      <c r="A202" t="inlineStr">
        <is>
          <t>A 58790-2018</t>
        </is>
      </c>
      <c r="B202" s="1" t="n">
        <v>43410</v>
      </c>
      <c r="C202" s="1" t="n">
        <v>45349</v>
      </c>
      <c r="D202" t="inlineStr">
        <is>
          <t>VÄSTERNORRLANDS LÄN</t>
        </is>
      </c>
      <c r="E202" t="inlineStr">
        <is>
          <t>ÅNGE</t>
        </is>
      </c>
      <c r="G202" t="n">
        <v>0.7</v>
      </c>
      <c r="H202" t="n">
        <v>0</v>
      </c>
      <c r="I202" t="n">
        <v>0</v>
      </c>
      <c r="J202" t="n">
        <v>0</v>
      </c>
      <c r="K202" t="n">
        <v>0</v>
      </c>
      <c r="L202" t="n">
        <v>0</v>
      </c>
      <c r="M202" t="n">
        <v>0</v>
      </c>
      <c r="N202" t="n">
        <v>0</v>
      </c>
      <c r="O202" t="n">
        <v>0</v>
      </c>
      <c r="P202" t="n">
        <v>0</v>
      </c>
      <c r="Q202" t="n">
        <v>0</v>
      </c>
      <c r="R202" s="2" t="inlineStr"/>
    </row>
    <row r="203" ht="15" customHeight="1">
      <c r="A203" t="inlineStr">
        <is>
          <t>A 59691-2018</t>
        </is>
      </c>
      <c r="B203" s="1" t="n">
        <v>43411</v>
      </c>
      <c r="C203" s="1" t="n">
        <v>45349</v>
      </c>
      <c r="D203" t="inlineStr">
        <is>
          <t>VÄSTERNORRLANDS LÄN</t>
        </is>
      </c>
      <c r="E203" t="inlineStr">
        <is>
          <t>ÅNGE</t>
        </is>
      </c>
      <c r="G203" t="n">
        <v>2.6</v>
      </c>
      <c r="H203" t="n">
        <v>0</v>
      </c>
      <c r="I203" t="n">
        <v>0</v>
      </c>
      <c r="J203" t="n">
        <v>0</v>
      </c>
      <c r="K203" t="n">
        <v>0</v>
      </c>
      <c r="L203" t="n">
        <v>0</v>
      </c>
      <c r="M203" t="n">
        <v>0</v>
      </c>
      <c r="N203" t="n">
        <v>0</v>
      </c>
      <c r="O203" t="n">
        <v>0</v>
      </c>
      <c r="P203" t="n">
        <v>0</v>
      </c>
      <c r="Q203" t="n">
        <v>0</v>
      </c>
      <c r="R203" s="2" t="inlineStr"/>
    </row>
    <row r="204" ht="15" customHeight="1">
      <c r="A204" t="inlineStr">
        <is>
          <t>A 59989-2018</t>
        </is>
      </c>
      <c r="B204" s="1" t="n">
        <v>43411</v>
      </c>
      <c r="C204" s="1" t="n">
        <v>45349</v>
      </c>
      <c r="D204" t="inlineStr">
        <is>
          <t>VÄSTERNORRLANDS LÄN</t>
        </is>
      </c>
      <c r="E204" t="inlineStr">
        <is>
          <t>ÅNGE</t>
        </is>
      </c>
      <c r="F204" t="inlineStr">
        <is>
          <t>SCA</t>
        </is>
      </c>
      <c r="G204" t="n">
        <v>14.2</v>
      </c>
      <c r="H204" t="n">
        <v>0</v>
      </c>
      <c r="I204" t="n">
        <v>0</v>
      </c>
      <c r="J204" t="n">
        <v>0</v>
      </c>
      <c r="K204" t="n">
        <v>0</v>
      </c>
      <c r="L204" t="n">
        <v>0</v>
      </c>
      <c r="M204" t="n">
        <v>0</v>
      </c>
      <c r="N204" t="n">
        <v>0</v>
      </c>
      <c r="O204" t="n">
        <v>0</v>
      </c>
      <c r="P204" t="n">
        <v>0</v>
      </c>
      <c r="Q204" t="n">
        <v>0</v>
      </c>
      <c r="R204" s="2" t="inlineStr"/>
    </row>
    <row r="205" ht="15" customHeight="1">
      <c r="A205" t="inlineStr">
        <is>
          <t>A 58971-2018</t>
        </is>
      </c>
      <c r="B205" s="1" t="n">
        <v>43411</v>
      </c>
      <c r="C205" s="1" t="n">
        <v>45349</v>
      </c>
      <c r="D205" t="inlineStr">
        <is>
          <t>VÄSTERNORRLANDS LÄN</t>
        </is>
      </c>
      <c r="E205" t="inlineStr">
        <is>
          <t>ÅNGE</t>
        </is>
      </c>
      <c r="G205" t="n">
        <v>4.3</v>
      </c>
      <c r="H205" t="n">
        <v>0</v>
      </c>
      <c r="I205" t="n">
        <v>0</v>
      </c>
      <c r="J205" t="n">
        <v>0</v>
      </c>
      <c r="K205" t="n">
        <v>0</v>
      </c>
      <c r="L205" t="n">
        <v>0</v>
      </c>
      <c r="M205" t="n">
        <v>0</v>
      </c>
      <c r="N205" t="n">
        <v>0</v>
      </c>
      <c r="O205" t="n">
        <v>0</v>
      </c>
      <c r="P205" t="n">
        <v>0</v>
      </c>
      <c r="Q205" t="n">
        <v>0</v>
      </c>
      <c r="R205" s="2" t="inlineStr"/>
    </row>
    <row r="206" ht="15" customHeight="1">
      <c r="A206" t="inlineStr">
        <is>
          <t>A 60015-2018</t>
        </is>
      </c>
      <c r="B206" s="1" t="n">
        <v>43412</v>
      </c>
      <c r="C206" s="1" t="n">
        <v>45349</v>
      </c>
      <c r="D206" t="inlineStr">
        <is>
          <t>VÄSTERNORRLANDS LÄN</t>
        </is>
      </c>
      <c r="E206" t="inlineStr">
        <is>
          <t>ÅNGE</t>
        </is>
      </c>
      <c r="G206" t="n">
        <v>0.4</v>
      </c>
      <c r="H206" t="n">
        <v>0</v>
      </c>
      <c r="I206" t="n">
        <v>0</v>
      </c>
      <c r="J206" t="n">
        <v>0</v>
      </c>
      <c r="K206" t="n">
        <v>0</v>
      </c>
      <c r="L206" t="n">
        <v>0</v>
      </c>
      <c r="M206" t="n">
        <v>0</v>
      </c>
      <c r="N206" t="n">
        <v>0</v>
      </c>
      <c r="O206" t="n">
        <v>0</v>
      </c>
      <c r="P206" t="n">
        <v>0</v>
      </c>
      <c r="Q206" t="n">
        <v>0</v>
      </c>
      <c r="R206" s="2" t="inlineStr"/>
    </row>
    <row r="207" ht="15" customHeight="1">
      <c r="A207" t="inlineStr">
        <is>
          <t>A 60176-2018</t>
        </is>
      </c>
      <c r="B207" s="1" t="n">
        <v>43412</v>
      </c>
      <c r="C207" s="1" t="n">
        <v>45349</v>
      </c>
      <c r="D207" t="inlineStr">
        <is>
          <t>VÄSTERNORRLANDS LÄN</t>
        </is>
      </c>
      <c r="E207" t="inlineStr">
        <is>
          <t>ÅNGE</t>
        </is>
      </c>
      <c r="F207" t="inlineStr">
        <is>
          <t>SCA</t>
        </is>
      </c>
      <c r="G207" t="n">
        <v>14</v>
      </c>
      <c r="H207" t="n">
        <v>0</v>
      </c>
      <c r="I207" t="n">
        <v>0</v>
      </c>
      <c r="J207" t="n">
        <v>0</v>
      </c>
      <c r="K207" t="n">
        <v>0</v>
      </c>
      <c r="L207" t="n">
        <v>0</v>
      </c>
      <c r="M207" t="n">
        <v>0</v>
      </c>
      <c r="N207" t="n">
        <v>0</v>
      </c>
      <c r="O207" t="n">
        <v>0</v>
      </c>
      <c r="P207" t="n">
        <v>0</v>
      </c>
      <c r="Q207" t="n">
        <v>0</v>
      </c>
      <c r="R207" s="2" t="inlineStr"/>
    </row>
    <row r="208" ht="15" customHeight="1">
      <c r="A208" t="inlineStr">
        <is>
          <t>A 60023-2018</t>
        </is>
      </c>
      <c r="B208" s="1" t="n">
        <v>43412</v>
      </c>
      <c r="C208" s="1" t="n">
        <v>45349</v>
      </c>
      <c r="D208" t="inlineStr">
        <is>
          <t>VÄSTERNORRLANDS LÄN</t>
        </is>
      </c>
      <c r="E208" t="inlineStr">
        <is>
          <t>ÅNGE</t>
        </is>
      </c>
      <c r="G208" t="n">
        <v>1.9</v>
      </c>
      <c r="H208" t="n">
        <v>0</v>
      </c>
      <c r="I208" t="n">
        <v>0</v>
      </c>
      <c r="J208" t="n">
        <v>0</v>
      </c>
      <c r="K208" t="n">
        <v>0</v>
      </c>
      <c r="L208" t="n">
        <v>0</v>
      </c>
      <c r="M208" t="n">
        <v>0</v>
      </c>
      <c r="N208" t="n">
        <v>0</v>
      </c>
      <c r="O208" t="n">
        <v>0</v>
      </c>
      <c r="P208" t="n">
        <v>0</v>
      </c>
      <c r="Q208" t="n">
        <v>0</v>
      </c>
      <c r="R208" s="2" t="inlineStr"/>
    </row>
    <row r="209" ht="15" customHeight="1">
      <c r="A209" t="inlineStr">
        <is>
          <t>A 62533-2018</t>
        </is>
      </c>
      <c r="B209" s="1" t="n">
        <v>43413</v>
      </c>
      <c r="C209" s="1" t="n">
        <v>45349</v>
      </c>
      <c r="D209" t="inlineStr">
        <is>
          <t>VÄSTERNORRLANDS LÄN</t>
        </is>
      </c>
      <c r="E209" t="inlineStr">
        <is>
          <t>ÅNGE</t>
        </is>
      </c>
      <c r="F209" t="inlineStr">
        <is>
          <t>SCA</t>
        </is>
      </c>
      <c r="G209" t="n">
        <v>18</v>
      </c>
      <c r="H209" t="n">
        <v>0</v>
      </c>
      <c r="I209" t="n">
        <v>0</v>
      </c>
      <c r="J209" t="n">
        <v>0</v>
      </c>
      <c r="K209" t="n">
        <v>0</v>
      </c>
      <c r="L209" t="n">
        <v>0</v>
      </c>
      <c r="M209" t="n">
        <v>0</v>
      </c>
      <c r="N209" t="n">
        <v>0</v>
      </c>
      <c r="O209" t="n">
        <v>0</v>
      </c>
      <c r="P209" t="n">
        <v>0</v>
      </c>
      <c r="Q209" t="n">
        <v>0</v>
      </c>
      <c r="R209" s="2" t="inlineStr"/>
    </row>
    <row r="210" ht="15" customHeight="1">
      <c r="A210" t="inlineStr">
        <is>
          <t>A 61684-2018</t>
        </is>
      </c>
      <c r="B210" s="1" t="n">
        <v>43413</v>
      </c>
      <c r="C210" s="1" t="n">
        <v>45349</v>
      </c>
      <c r="D210" t="inlineStr">
        <is>
          <t>VÄSTERNORRLANDS LÄN</t>
        </is>
      </c>
      <c r="E210" t="inlineStr">
        <is>
          <t>ÅNGE</t>
        </is>
      </c>
      <c r="G210" t="n">
        <v>5.6</v>
      </c>
      <c r="H210" t="n">
        <v>0</v>
      </c>
      <c r="I210" t="n">
        <v>0</v>
      </c>
      <c r="J210" t="n">
        <v>0</v>
      </c>
      <c r="K210" t="n">
        <v>0</v>
      </c>
      <c r="L210" t="n">
        <v>0</v>
      </c>
      <c r="M210" t="n">
        <v>0</v>
      </c>
      <c r="N210" t="n">
        <v>0</v>
      </c>
      <c r="O210" t="n">
        <v>0</v>
      </c>
      <c r="P210" t="n">
        <v>0</v>
      </c>
      <c r="Q210" t="n">
        <v>0</v>
      </c>
      <c r="R210" s="2" t="inlineStr"/>
    </row>
    <row r="211" ht="15" customHeight="1">
      <c r="A211" t="inlineStr">
        <is>
          <t>A 62072-2018</t>
        </is>
      </c>
      <c r="B211" s="1" t="n">
        <v>43416</v>
      </c>
      <c r="C211" s="1" t="n">
        <v>45349</v>
      </c>
      <c r="D211" t="inlineStr">
        <is>
          <t>VÄSTERNORRLANDS LÄN</t>
        </is>
      </c>
      <c r="E211" t="inlineStr">
        <is>
          <t>ÅNGE</t>
        </is>
      </c>
      <c r="F211" t="inlineStr">
        <is>
          <t>Holmen skog AB</t>
        </is>
      </c>
      <c r="G211" t="n">
        <v>2.8</v>
      </c>
      <c r="H211" t="n">
        <v>0</v>
      </c>
      <c r="I211" t="n">
        <v>0</v>
      </c>
      <c r="J211" t="n">
        <v>0</v>
      </c>
      <c r="K211" t="n">
        <v>0</v>
      </c>
      <c r="L211" t="n">
        <v>0</v>
      </c>
      <c r="M211" t="n">
        <v>0</v>
      </c>
      <c r="N211" t="n">
        <v>0</v>
      </c>
      <c r="O211" t="n">
        <v>0</v>
      </c>
      <c r="P211" t="n">
        <v>0</v>
      </c>
      <c r="Q211" t="n">
        <v>0</v>
      </c>
      <c r="R211" s="2" t="inlineStr"/>
    </row>
    <row r="212" ht="15" customHeight="1">
      <c r="A212" t="inlineStr">
        <is>
          <t>A 63387-2018</t>
        </is>
      </c>
      <c r="B212" s="1" t="n">
        <v>43416</v>
      </c>
      <c r="C212" s="1" t="n">
        <v>45349</v>
      </c>
      <c r="D212" t="inlineStr">
        <is>
          <t>VÄSTERNORRLANDS LÄN</t>
        </is>
      </c>
      <c r="E212" t="inlineStr">
        <is>
          <t>ÅNGE</t>
        </is>
      </c>
      <c r="G212" t="n">
        <v>6.7</v>
      </c>
      <c r="H212" t="n">
        <v>0</v>
      </c>
      <c r="I212" t="n">
        <v>0</v>
      </c>
      <c r="J212" t="n">
        <v>0</v>
      </c>
      <c r="K212" t="n">
        <v>0</v>
      </c>
      <c r="L212" t="n">
        <v>0</v>
      </c>
      <c r="M212" t="n">
        <v>0</v>
      </c>
      <c r="N212" t="n">
        <v>0</v>
      </c>
      <c r="O212" t="n">
        <v>0</v>
      </c>
      <c r="P212" t="n">
        <v>0</v>
      </c>
      <c r="Q212" t="n">
        <v>0</v>
      </c>
      <c r="R212" s="2" t="inlineStr"/>
    </row>
    <row r="213" ht="15" customHeight="1">
      <c r="A213" t="inlineStr">
        <is>
          <t>A 59936-2018</t>
        </is>
      </c>
      <c r="B213" s="1" t="n">
        <v>43419</v>
      </c>
      <c r="C213" s="1" t="n">
        <v>45349</v>
      </c>
      <c r="D213" t="inlineStr">
        <is>
          <t>VÄSTERNORRLANDS LÄN</t>
        </is>
      </c>
      <c r="E213" t="inlineStr">
        <is>
          <t>ÅNGE</t>
        </is>
      </c>
      <c r="F213" t="inlineStr">
        <is>
          <t>SCA</t>
        </is>
      </c>
      <c r="G213" t="n">
        <v>9.5</v>
      </c>
      <c r="H213" t="n">
        <v>0</v>
      </c>
      <c r="I213" t="n">
        <v>0</v>
      </c>
      <c r="J213" t="n">
        <v>0</v>
      </c>
      <c r="K213" t="n">
        <v>0</v>
      </c>
      <c r="L213" t="n">
        <v>0</v>
      </c>
      <c r="M213" t="n">
        <v>0</v>
      </c>
      <c r="N213" t="n">
        <v>0</v>
      </c>
      <c r="O213" t="n">
        <v>0</v>
      </c>
      <c r="P213" t="n">
        <v>0</v>
      </c>
      <c r="Q213" t="n">
        <v>0</v>
      </c>
      <c r="R213" s="2" t="inlineStr"/>
    </row>
    <row r="214" ht="15" customHeight="1">
      <c r="A214" t="inlineStr">
        <is>
          <t>A 60598-2018</t>
        </is>
      </c>
      <c r="B214" s="1" t="n">
        <v>43420</v>
      </c>
      <c r="C214" s="1" t="n">
        <v>45349</v>
      </c>
      <c r="D214" t="inlineStr">
        <is>
          <t>VÄSTERNORRLANDS LÄN</t>
        </is>
      </c>
      <c r="E214" t="inlineStr">
        <is>
          <t>ÅNGE</t>
        </is>
      </c>
      <c r="G214" t="n">
        <v>5.8</v>
      </c>
      <c r="H214" t="n">
        <v>0</v>
      </c>
      <c r="I214" t="n">
        <v>0</v>
      </c>
      <c r="J214" t="n">
        <v>0</v>
      </c>
      <c r="K214" t="n">
        <v>0</v>
      </c>
      <c r="L214" t="n">
        <v>0</v>
      </c>
      <c r="M214" t="n">
        <v>0</v>
      </c>
      <c r="N214" t="n">
        <v>0</v>
      </c>
      <c r="O214" t="n">
        <v>0</v>
      </c>
      <c r="P214" t="n">
        <v>0</v>
      </c>
      <c r="Q214" t="n">
        <v>0</v>
      </c>
      <c r="R214" s="2" t="inlineStr"/>
    </row>
    <row r="215" ht="15" customHeight="1">
      <c r="A215" t="inlineStr">
        <is>
          <t>A 60656-2018</t>
        </is>
      </c>
      <c r="B215" s="1" t="n">
        <v>43420</v>
      </c>
      <c r="C215" s="1" t="n">
        <v>45349</v>
      </c>
      <c r="D215" t="inlineStr">
        <is>
          <t>VÄSTERNORRLANDS LÄN</t>
        </is>
      </c>
      <c r="E215" t="inlineStr">
        <is>
          <t>ÅNGE</t>
        </is>
      </c>
      <c r="G215" t="n">
        <v>6.2</v>
      </c>
      <c r="H215" t="n">
        <v>0</v>
      </c>
      <c r="I215" t="n">
        <v>0</v>
      </c>
      <c r="J215" t="n">
        <v>0</v>
      </c>
      <c r="K215" t="n">
        <v>0</v>
      </c>
      <c r="L215" t="n">
        <v>0</v>
      </c>
      <c r="M215" t="n">
        <v>0</v>
      </c>
      <c r="N215" t="n">
        <v>0</v>
      </c>
      <c r="O215" t="n">
        <v>0</v>
      </c>
      <c r="P215" t="n">
        <v>0</v>
      </c>
      <c r="Q215" t="n">
        <v>0</v>
      </c>
      <c r="R215" s="2" t="inlineStr"/>
    </row>
    <row r="216" ht="15" customHeight="1">
      <c r="A216" t="inlineStr">
        <is>
          <t>A 61640-2018</t>
        </is>
      </c>
      <c r="B216" s="1" t="n">
        <v>43424</v>
      </c>
      <c r="C216" s="1" t="n">
        <v>45349</v>
      </c>
      <c r="D216" t="inlineStr">
        <is>
          <t>VÄSTERNORRLANDS LÄN</t>
        </is>
      </c>
      <c r="E216" t="inlineStr">
        <is>
          <t>ÅNGE</t>
        </is>
      </c>
      <c r="G216" t="n">
        <v>5.2</v>
      </c>
      <c r="H216" t="n">
        <v>0</v>
      </c>
      <c r="I216" t="n">
        <v>0</v>
      </c>
      <c r="J216" t="n">
        <v>0</v>
      </c>
      <c r="K216" t="n">
        <v>0</v>
      </c>
      <c r="L216" t="n">
        <v>0</v>
      </c>
      <c r="M216" t="n">
        <v>0</v>
      </c>
      <c r="N216" t="n">
        <v>0</v>
      </c>
      <c r="O216" t="n">
        <v>0</v>
      </c>
      <c r="P216" t="n">
        <v>0</v>
      </c>
      <c r="Q216" t="n">
        <v>0</v>
      </c>
      <c r="R216" s="2" t="inlineStr"/>
    </row>
    <row r="217" ht="15" customHeight="1">
      <c r="A217" t="inlineStr">
        <is>
          <t>A 61638-2018</t>
        </is>
      </c>
      <c r="B217" s="1" t="n">
        <v>43424</v>
      </c>
      <c r="C217" s="1" t="n">
        <v>45349</v>
      </c>
      <c r="D217" t="inlineStr">
        <is>
          <t>VÄSTERNORRLANDS LÄN</t>
        </is>
      </c>
      <c r="E217" t="inlineStr">
        <is>
          <t>ÅNGE</t>
        </is>
      </c>
      <c r="F217" t="inlineStr">
        <is>
          <t>SCA</t>
        </is>
      </c>
      <c r="G217" t="n">
        <v>3.8</v>
      </c>
      <c r="H217" t="n">
        <v>0</v>
      </c>
      <c r="I217" t="n">
        <v>0</v>
      </c>
      <c r="J217" t="n">
        <v>0</v>
      </c>
      <c r="K217" t="n">
        <v>0</v>
      </c>
      <c r="L217" t="n">
        <v>0</v>
      </c>
      <c r="M217" t="n">
        <v>0</v>
      </c>
      <c r="N217" t="n">
        <v>0</v>
      </c>
      <c r="O217" t="n">
        <v>0</v>
      </c>
      <c r="P217" t="n">
        <v>0</v>
      </c>
      <c r="Q217" t="n">
        <v>0</v>
      </c>
      <c r="R217" s="2" t="inlineStr"/>
    </row>
    <row r="218" ht="15" customHeight="1">
      <c r="A218" t="inlineStr">
        <is>
          <t>A 63998-2018</t>
        </is>
      </c>
      <c r="B218" s="1" t="n">
        <v>43430</v>
      </c>
      <c r="C218" s="1" t="n">
        <v>45349</v>
      </c>
      <c r="D218" t="inlineStr">
        <is>
          <t>VÄSTERNORRLANDS LÄN</t>
        </is>
      </c>
      <c r="E218" t="inlineStr">
        <is>
          <t>ÅNGE</t>
        </is>
      </c>
      <c r="G218" t="n">
        <v>1.1</v>
      </c>
      <c r="H218" t="n">
        <v>0</v>
      </c>
      <c r="I218" t="n">
        <v>0</v>
      </c>
      <c r="J218" t="n">
        <v>0</v>
      </c>
      <c r="K218" t="n">
        <v>0</v>
      </c>
      <c r="L218" t="n">
        <v>0</v>
      </c>
      <c r="M218" t="n">
        <v>0</v>
      </c>
      <c r="N218" t="n">
        <v>0</v>
      </c>
      <c r="O218" t="n">
        <v>0</v>
      </c>
      <c r="P218" t="n">
        <v>0</v>
      </c>
      <c r="Q218" t="n">
        <v>0</v>
      </c>
      <c r="R218" s="2" t="inlineStr"/>
    </row>
    <row r="219" ht="15" customHeight="1">
      <c r="A219" t="inlineStr">
        <is>
          <t>A 67425-2018</t>
        </is>
      </c>
      <c r="B219" s="1" t="n">
        <v>43432</v>
      </c>
      <c r="C219" s="1" t="n">
        <v>45349</v>
      </c>
      <c r="D219" t="inlineStr">
        <is>
          <t>VÄSTERNORRLANDS LÄN</t>
        </is>
      </c>
      <c r="E219" t="inlineStr">
        <is>
          <t>ÅNGE</t>
        </is>
      </c>
      <c r="G219" t="n">
        <v>5.5</v>
      </c>
      <c r="H219" t="n">
        <v>0</v>
      </c>
      <c r="I219" t="n">
        <v>0</v>
      </c>
      <c r="J219" t="n">
        <v>0</v>
      </c>
      <c r="K219" t="n">
        <v>0</v>
      </c>
      <c r="L219" t="n">
        <v>0</v>
      </c>
      <c r="M219" t="n">
        <v>0</v>
      </c>
      <c r="N219" t="n">
        <v>0</v>
      </c>
      <c r="O219" t="n">
        <v>0</v>
      </c>
      <c r="P219" t="n">
        <v>0</v>
      </c>
      <c r="Q219" t="n">
        <v>0</v>
      </c>
      <c r="R219" s="2" t="inlineStr"/>
    </row>
    <row r="220" ht="15" customHeight="1">
      <c r="A220" t="inlineStr">
        <is>
          <t>A 65430-2018</t>
        </is>
      </c>
      <c r="B220" s="1" t="n">
        <v>43433</v>
      </c>
      <c r="C220" s="1" t="n">
        <v>45349</v>
      </c>
      <c r="D220" t="inlineStr">
        <is>
          <t>VÄSTERNORRLANDS LÄN</t>
        </is>
      </c>
      <c r="E220" t="inlineStr">
        <is>
          <t>ÅNGE</t>
        </is>
      </c>
      <c r="G220" t="n">
        <v>3.9</v>
      </c>
      <c r="H220" t="n">
        <v>0</v>
      </c>
      <c r="I220" t="n">
        <v>0</v>
      </c>
      <c r="J220" t="n">
        <v>0</v>
      </c>
      <c r="K220" t="n">
        <v>0</v>
      </c>
      <c r="L220" t="n">
        <v>0</v>
      </c>
      <c r="M220" t="n">
        <v>0</v>
      </c>
      <c r="N220" t="n">
        <v>0</v>
      </c>
      <c r="O220" t="n">
        <v>0</v>
      </c>
      <c r="P220" t="n">
        <v>0</v>
      </c>
      <c r="Q220" t="n">
        <v>0</v>
      </c>
      <c r="R220" s="2" t="inlineStr"/>
    </row>
    <row r="221" ht="15" customHeight="1">
      <c r="A221" t="inlineStr">
        <is>
          <t>A 66195-2018</t>
        </is>
      </c>
      <c r="B221" s="1" t="n">
        <v>43434</v>
      </c>
      <c r="C221" s="1" t="n">
        <v>45349</v>
      </c>
      <c r="D221" t="inlineStr">
        <is>
          <t>VÄSTERNORRLANDS LÄN</t>
        </is>
      </c>
      <c r="E221" t="inlineStr">
        <is>
          <t>ÅNGE</t>
        </is>
      </c>
      <c r="G221" t="n">
        <v>4.8</v>
      </c>
      <c r="H221" t="n">
        <v>0</v>
      </c>
      <c r="I221" t="n">
        <v>0</v>
      </c>
      <c r="J221" t="n">
        <v>0</v>
      </c>
      <c r="K221" t="n">
        <v>0</v>
      </c>
      <c r="L221" t="n">
        <v>0</v>
      </c>
      <c r="M221" t="n">
        <v>0</v>
      </c>
      <c r="N221" t="n">
        <v>0</v>
      </c>
      <c r="O221" t="n">
        <v>0</v>
      </c>
      <c r="P221" t="n">
        <v>0</v>
      </c>
      <c r="Q221" t="n">
        <v>0</v>
      </c>
      <c r="R221" s="2" t="inlineStr"/>
    </row>
    <row r="222" ht="15" customHeight="1">
      <c r="A222" t="inlineStr">
        <is>
          <t>A 67802-2018</t>
        </is>
      </c>
      <c r="B222" s="1" t="n">
        <v>43440</v>
      </c>
      <c r="C222" s="1" t="n">
        <v>45349</v>
      </c>
      <c r="D222" t="inlineStr">
        <is>
          <t>VÄSTERNORRLANDS LÄN</t>
        </is>
      </c>
      <c r="E222" t="inlineStr">
        <is>
          <t>ÅNGE</t>
        </is>
      </c>
      <c r="G222" t="n">
        <v>1.6</v>
      </c>
      <c r="H222" t="n">
        <v>0</v>
      </c>
      <c r="I222" t="n">
        <v>0</v>
      </c>
      <c r="J222" t="n">
        <v>0</v>
      </c>
      <c r="K222" t="n">
        <v>0</v>
      </c>
      <c r="L222" t="n">
        <v>0</v>
      </c>
      <c r="M222" t="n">
        <v>0</v>
      </c>
      <c r="N222" t="n">
        <v>0</v>
      </c>
      <c r="O222" t="n">
        <v>0</v>
      </c>
      <c r="P222" t="n">
        <v>0</v>
      </c>
      <c r="Q222" t="n">
        <v>0</v>
      </c>
      <c r="R222" s="2" t="inlineStr"/>
    </row>
    <row r="223" ht="15" customHeight="1">
      <c r="A223" t="inlineStr">
        <is>
          <t>A 68339-2018</t>
        </is>
      </c>
      <c r="B223" s="1" t="n">
        <v>43441</v>
      </c>
      <c r="C223" s="1" t="n">
        <v>45349</v>
      </c>
      <c r="D223" t="inlineStr">
        <is>
          <t>VÄSTERNORRLANDS LÄN</t>
        </is>
      </c>
      <c r="E223" t="inlineStr">
        <is>
          <t>ÅNGE</t>
        </is>
      </c>
      <c r="G223" t="n">
        <v>1.9</v>
      </c>
      <c r="H223" t="n">
        <v>0</v>
      </c>
      <c r="I223" t="n">
        <v>0</v>
      </c>
      <c r="J223" t="n">
        <v>0</v>
      </c>
      <c r="K223" t="n">
        <v>0</v>
      </c>
      <c r="L223" t="n">
        <v>0</v>
      </c>
      <c r="M223" t="n">
        <v>0</v>
      </c>
      <c r="N223" t="n">
        <v>0</v>
      </c>
      <c r="O223" t="n">
        <v>0</v>
      </c>
      <c r="P223" t="n">
        <v>0</v>
      </c>
      <c r="Q223" t="n">
        <v>0</v>
      </c>
      <c r="R223" s="2" t="inlineStr"/>
    </row>
    <row r="224" ht="15" customHeight="1">
      <c r="A224" t="inlineStr">
        <is>
          <t>A 69604-2018</t>
        </is>
      </c>
      <c r="B224" s="1" t="n">
        <v>43446</v>
      </c>
      <c r="C224" s="1" t="n">
        <v>45349</v>
      </c>
      <c r="D224" t="inlineStr">
        <is>
          <t>VÄSTERNORRLANDS LÄN</t>
        </is>
      </c>
      <c r="E224" t="inlineStr">
        <is>
          <t>ÅNGE</t>
        </is>
      </c>
      <c r="G224" t="n">
        <v>1.1</v>
      </c>
      <c r="H224" t="n">
        <v>0</v>
      </c>
      <c r="I224" t="n">
        <v>0</v>
      </c>
      <c r="J224" t="n">
        <v>0</v>
      </c>
      <c r="K224" t="n">
        <v>0</v>
      </c>
      <c r="L224" t="n">
        <v>0</v>
      </c>
      <c r="M224" t="n">
        <v>0</v>
      </c>
      <c r="N224" t="n">
        <v>0</v>
      </c>
      <c r="O224" t="n">
        <v>0</v>
      </c>
      <c r="P224" t="n">
        <v>0</v>
      </c>
      <c r="Q224" t="n">
        <v>0</v>
      </c>
      <c r="R224" s="2" t="inlineStr"/>
    </row>
    <row r="225" ht="15" customHeight="1">
      <c r="A225" t="inlineStr">
        <is>
          <t>A 69655-2018</t>
        </is>
      </c>
      <c r="B225" s="1" t="n">
        <v>43447</v>
      </c>
      <c r="C225" s="1" t="n">
        <v>45349</v>
      </c>
      <c r="D225" t="inlineStr">
        <is>
          <t>VÄSTERNORRLANDS LÄN</t>
        </is>
      </c>
      <c r="E225" t="inlineStr">
        <is>
          <t>ÅNGE</t>
        </is>
      </c>
      <c r="G225" t="n">
        <v>6.3</v>
      </c>
      <c r="H225" t="n">
        <v>0</v>
      </c>
      <c r="I225" t="n">
        <v>0</v>
      </c>
      <c r="J225" t="n">
        <v>0</v>
      </c>
      <c r="K225" t="n">
        <v>0</v>
      </c>
      <c r="L225" t="n">
        <v>0</v>
      </c>
      <c r="M225" t="n">
        <v>0</v>
      </c>
      <c r="N225" t="n">
        <v>0</v>
      </c>
      <c r="O225" t="n">
        <v>0</v>
      </c>
      <c r="P225" t="n">
        <v>0</v>
      </c>
      <c r="Q225" t="n">
        <v>0</v>
      </c>
      <c r="R225" s="2" t="inlineStr"/>
    </row>
    <row r="226" ht="15" customHeight="1">
      <c r="A226" t="inlineStr">
        <is>
          <t>A 69908-2018</t>
        </is>
      </c>
      <c r="B226" s="1" t="n">
        <v>43447</v>
      </c>
      <c r="C226" s="1" t="n">
        <v>45349</v>
      </c>
      <c r="D226" t="inlineStr">
        <is>
          <t>VÄSTERNORRLANDS LÄN</t>
        </is>
      </c>
      <c r="E226" t="inlineStr">
        <is>
          <t>ÅNGE</t>
        </is>
      </c>
      <c r="G226" t="n">
        <v>2.6</v>
      </c>
      <c r="H226" t="n">
        <v>0</v>
      </c>
      <c r="I226" t="n">
        <v>0</v>
      </c>
      <c r="J226" t="n">
        <v>0</v>
      </c>
      <c r="K226" t="n">
        <v>0</v>
      </c>
      <c r="L226" t="n">
        <v>0</v>
      </c>
      <c r="M226" t="n">
        <v>0</v>
      </c>
      <c r="N226" t="n">
        <v>0</v>
      </c>
      <c r="O226" t="n">
        <v>0</v>
      </c>
      <c r="P226" t="n">
        <v>0</v>
      </c>
      <c r="Q226" t="n">
        <v>0</v>
      </c>
      <c r="R226" s="2" t="inlineStr"/>
    </row>
    <row r="227" ht="15" customHeight="1">
      <c r="A227" t="inlineStr">
        <is>
          <t>A 70549-2018</t>
        </is>
      </c>
      <c r="B227" s="1" t="n">
        <v>43447</v>
      </c>
      <c r="C227" s="1" t="n">
        <v>45349</v>
      </c>
      <c r="D227" t="inlineStr">
        <is>
          <t>VÄSTERNORRLANDS LÄN</t>
        </is>
      </c>
      <c r="E227" t="inlineStr">
        <is>
          <t>ÅNGE</t>
        </is>
      </c>
      <c r="G227" t="n">
        <v>5</v>
      </c>
      <c r="H227" t="n">
        <v>0</v>
      </c>
      <c r="I227" t="n">
        <v>0</v>
      </c>
      <c r="J227" t="n">
        <v>0</v>
      </c>
      <c r="K227" t="n">
        <v>0</v>
      </c>
      <c r="L227" t="n">
        <v>0</v>
      </c>
      <c r="M227" t="n">
        <v>0</v>
      </c>
      <c r="N227" t="n">
        <v>0</v>
      </c>
      <c r="O227" t="n">
        <v>0</v>
      </c>
      <c r="P227" t="n">
        <v>0</v>
      </c>
      <c r="Q227" t="n">
        <v>0</v>
      </c>
      <c r="R227" s="2" t="inlineStr"/>
    </row>
    <row r="228" ht="15" customHeight="1">
      <c r="A228" t="inlineStr">
        <is>
          <t>A 69973-2018</t>
        </is>
      </c>
      <c r="B228" s="1" t="n">
        <v>43447</v>
      </c>
      <c r="C228" s="1" t="n">
        <v>45349</v>
      </c>
      <c r="D228" t="inlineStr">
        <is>
          <t>VÄSTERNORRLANDS LÄN</t>
        </is>
      </c>
      <c r="E228" t="inlineStr">
        <is>
          <t>ÅNGE</t>
        </is>
      </c>
      <c r="F228" t="inlineStr">
        <is>
          <t>SCA</t>
        </is>
      </c>
      <c r="G228" t="n">
        <v>2.8</v>
      </c>
      <c r="H228" t="n">
        <v>0</v>
      </c>
      <c r="I228" t="n">
        <v>0</v>
      </c>
      <c r="J228" t="n">
        <v>0</v>
      </c>
      <c r="K228" t="n">
        <v>0</v>
      </c>
      <c r="L228" t="n">
        <v>0</v>
      </c>
      <c r="M228" t="n">
        <v>0</v>
      </c>
      <c r="N228" t="n">
        <v>0</v>
      </c>
      <c r="O228" t="n">
        <v>0</v>
      </c>
      <c r="P228" t="n">
        <v>0</v>
      </c>
      <c r="Q228" t="n">
        <v>0</v>
      </c>
      <c r="R228" s="2" t="inlineStr"/>
    </row>
    <row r="229" ht="15" customHeight="1">
      <c r="A229" t="inlineStr">
        <is>
          <t>A 69906-2018</t>
        </is>
      </c>
      <c r="B229" s="1" t="n">
        <v>43447</v>
      </c>
      <c r="C229" s="1" t="n">
        <v>45349</v>
      </c>
      <c r="D229" t="inlineStr">
        <is>
          <t>VÄSTERNORRLANDS LÄN</t>
        </is>
      </c>
      <c r="E229" t="inlineStr">
        <is>
          <t>ÅNGE</t>
        </is>
      </c>
      <c r="G229" t="n">
        <v>2.7</v>
      </c>
      <c r="H229" t="n">
        <v>0</v>
      </c>
      <c r="I229" t="n">
        <v>0</v>
      </c>
      <c r="J229" t="n">
        <v>0</v>
      </c>
      <c r="K229" t="n">
        <v>0</v>
      </c>
      <c r="L229" t="n">
        <v>0</v>
      </c>
      <c r="M229" t="n">
        <v>0</v>
      </c>
      <c r="N229" t="n">
        <v>0</v>
      </c>
      <c r="O229" t="n">
        <v>0</v>
      </c>
      <c r="P229" t="n">
        <v>0</v>
      </c>
      <c r="Q229" t="n">
        <v>0</v>
      </c>
      <c r="R229" s="2" t="inlineStr"/>
    </row>
    <row r="230" ht="15" customHeight="1">
      <c r="A230" t="inlineStr">
        <is>
          <t>A 69853-2018</t>
        </is>
      </c>
      <c r="B230" s="1" t="n">
        <v>43447</v>
      </c>
      <c r="C230" s="1" t="n">
        <v>45349</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70547-2018</t>
        </is>
      </c>
      <c r="B231" s="1" t="n">
        <v>43447</v>
      </c>
      <c r="C231" s="1" t="n">
        <v>45349</v>
      </c>
      <c r="D231" t="inlineStr">
        <is>
          <t>VÄSTERNORRLANDS LÄN</t>
        </is>
      </c>
      <c r="E231" t="inlineStr">
        <is>
          <t>ÅNGE</t>
        </is>
      </c>
      <c r="G231" t="n">
        <v>1.6</v>
      </c>
      <c r="H231" t="n">
        <v>0</v>
      </c>
      <c r="I231" t="n">
        <v>0</v>
      </c>
      <c r="J231" t="n">
        <v>0</v>
      </c>
      <c r="K231" t="n">
        <v>0</v>
      </c>
      <c r="L231" t="n">
        <v>0</v>
      </c>
      <c r="M231" t="n">
        <v>0</v>
      </c>
      <c r="N231" t="n">
        <v>0</v>
      </c>
      <c r="O231" t="n">
        <v>0</v>
      </c>
      <c r="P231" t="n">
        <v>0</v>
      </c>
      <c r="Q231" t="n">
        <v>0</v>
      </c>
      <c r="R231" s="2" t="inlineStr"/>
    </row>
    <row r="232" ht="15" customHeight="1">
      <c r="A232" t="inlineStr">
        <is>
          <t>A 69850-2018</t>
        </is>
      </c>
      <c r="B232" s="1" t="n">
        <v>43447</v>
      </c>
      <c r="C232" s="1" t="n">
        <v>45349</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71422-2018</t>
        </is>
      </c>
      <c r="B233" s="1" t="n">
        <v>43453</v>
      </c>
      <c r="C233" s="1" t="n">
        <v>45349</v>
      </c>
      <c r="D233" t="inlineStr">
        <is>
          <t>VÄSTERNORRLANDS LÄN</t>
        </is>
      </c>
      <c r="E233" t="inlineStr">
        <is>
          <t>ÅNGE</t>
        </is>
      </c>
      <c r="G233" t="n">
        <v>0.5</v>
      </c>
      <c r="H233" t="n">
        <v>0</v>
      </c>
      <c r="I233" t="n">
        <v>0</v>
      </c>
      <c r="J233" t="n">
        <v>0</v>
      </c>
      <c r="K233" t="n">
        <v>0</v>
      </c>
      <c r="L233" t="n">
        <v>0</v>
      </c>
      <c r="M233" t="n">
        <v>0</v>
      </c>
      <c r="N233" t="n">
        <v>0</v>
      </c>
      <c r="O233" t="n">
        <v>0</v>
      </c>
      <c r="P233" t="n">
        <v>0</v>
      </c>
      <c r="Q233" t="n">
        <v>0</v>
      </c>
      <c r="R233" s="2" t="inlineStr"/>
    </row>
    <row r="234" ht="15" customHeight="1">
      <c r="A234" t="inlineStr">
        <is>
          <t>A 71211-2018</t>
        </is>
      </c>
      <c r="B234" s="1" t="n">
        <v>43453</v>
      </c>
      <c r="C234" s="1" t="n">
        <v>45349</v>
      </c>
      <c r="D234" t="inlineStr">
        <is>
          <t>VÄSTERNORRLANDS LÄN</t>
        </is>
      </c>
      <c r="E234" t="inlineStr">
        <is>
          <t>ÅNGE</t>
        </is>
      </c>
      <c r="F234" t="inlineStr">
        <is>
          <t>Holmen skog AB</t>
        </is>
      </c>
      <c r="G234" t="n">
        <v>12.9</v>
      </c>
      <c r="H234" t="n">
        <v>0</v>
      </c>
      <c r="I234" t="n">
        <v>0</v>
      </c>
      <c r="J234" t="n">
        <v>0</v>
      </c>
      <c r="K234" t="n">
        <v>0</v>
      </c>
      <c r="L234" t="n">
        <v>0</v>
      </c>
      <c r="M234" t="n">
        <v>0</v>
      </c>
      <c r="N234" t="n">
        <v>0</v>
      </c>
      <c r="O234" t="n">
        <v>0</v>
      </c>
      <c r="P234" t="n">
        <v>0</v>
      </c>
      <c r="Q234" t="n">
        <v>0</v>
      </c>
      <c r="R234" s="2" t="inlineStr"/>
    </row>
    <row r="235" ht="15" customHeight="1">
      <c r="A235" t="inlineStr">
        <is>
          <t>A 72166-2018</t>
        </is>
      </c>
      <c r="B235" s="1" t="n">
        <v>43455</v>
      </c>
      <c r="C235" s="1" t="n">
        <v>45349</v>
      </c>
      <c r="D235" t="inlineStr">
        <is>
          <t>VÄSTERNORRLANDS LÄN</t>
        </is>
      </c>
      <c r="E235" t="inlineStr">
        <is>
          <t>ÅNGE</t>
        </is>
      </c>
      <c r="G235" t="n">
        <v>2.5</v>
      </c>
      <c r="H235" t="n">
        <v>0</v>
      </c>
      <c r="I235" t="n">
        <v>0</v>
      </c>
      <c r="J235" t="n">
        <v>0</v>
      </c>
      <c r="K235" t="n">
        <v>0</v>
      </c>
      <c r="L235" t="n">
        <v>0</v>
      </c>
      <c r="M235" t="n">
        <v>0</v>
      </c>
      <c r="N235" t="n">
        <v>0</v>
      </c>
      <c r="O235" t="n">
        <v>0</v>
      </c>
      <c r="P235" t="n">
        <v>0</v>
      </c>
      <c r="Q235" t="n">
        <v>0</v>
      </c>
      <c r="R235" s="2" t="inlineStr"/>
    </row>
    <row r="236" ht="15" customHeight="1">
      <c r="A236" t="inlineStr">
        <is>
          <t>A 72136-2018</t>
        </is>
      </c>
      <c r="B236" s="1" t="n">
        <v>43455</v>
      </c>
      <c r="C236" s="1" t="n">
        <v>45349</v>
      </c>
      <c r="D236" t="inlineStr">
        <is>
          <t>VÄSTERNORRLANDS LÄN</t>
        </is>
      </c>
      <c r="E236" t="inlineStr">
        <is>
          <t>ÅNGE</t>
        </is>
      </c>
      <c r="G236" t="n">
        <v>0.3</v>
      </c>
      <c r="H236" t="n">
        <v>0</v>
      </c>
      <c r="I236" t="n">
        <v>0</v>
      </c>
      <c r="J236" t="n">
        <v>0</v>
      </c>
      <c r="K236" t="n">
        <v>0</v>
      </c>
      <c r="L236" t="n">
        <v>0</v>
      </c>
      <c r="M236" t="n">
        <v>0</v>
      </c>
      <c r="N236" t="n">
        <v>0</v>
      </c>
      <c r="O236" t="n">
        <v>0</v>
      </c>
      <c r="P236" t="n">
        <v>0</v>
      </c>
      <c r="Q236" t="n">
        <v>0</v>
      </c>
      <c r="R236" s="2" t="inlineStr"/>
    </row>
    <row r="237" ht="15" customHeight="1">
      <c r="A237" t="inlineStr">
        <is>
          <t>A 72099-2018</t>
        </is>
      </c>
      <c r="B237" s="1" t="n">
        <v>43455</v>
      </c>
      <c r="C237" s="1" t="n">
        <v>45349</v>
      </c>
      <c r="D237" t="inlineStr">
        <is>
          <t>VÄSTERNORRLANDS LÄN</t>
        </is>
      </c>
      <c r="E237" t="inlineStr">
        <is>
          <t>ÅNGE</t>
        </is>
      </c>
      <c r="G237" t="n">
        <v>1.4</v>
      </c>
      <c r="H237" t="n">
        <v>0</v>
      </c>
      <c r="I237" t="n">
        <v>0</v>
      </c>
      <c r="J237" t="n">
        <v>0</v>
      </c>
      <c r="K237" t="n">
        <v>0</v>
      </c>
      <c r="L237" t="n">
        <v>0</v>
      </c>
      <c r="M237" t="n">
        <v>0</v>
      </c>
      <c r="N237" t="n">
        <v>0</v>
      </c>
      <c r="O237" t="n">
        <v>0</v>
      </c>
      <c r="P237" t="n">
        <v>0</v>
      </c>
      <c r="Q237" t="n">
        <v>0</v>
      </c>
      <c r="R237" s="2" t="inlineStr"/>
    </row>
    <row r="238" ht="15" customHeight="1">
      <c r="A238" t="inlineStr">
        <is>
          <t>A 2098-2019</t>
        </is>
      </c>
      <c r="B238" s="1" t="n">
        <v>43467</v>
      </c>
      <c r="C238" s="1" t="n">
        <v>45349</v>
      </c>
      <c r="D238" t="inlineStr">
        <is>
          <t>VÄSTERNORRLANDS LÄN</t>
        </is>
      </c>
      <c r="E238" t="inlineStr">
        <is>
          <t>ÅNGE</t>
        </is>
      </c>
      <c r="G238" t="n">
        <v>3.6</v>
      </c>
      <c r="H238" t="n">
        <v>0</v>
      </c>
      <c r="I238" t="n">
        <v>0</v>
      </c>
      <c r="J238" t="n">
        <v>0</v>
      </c>
      <c r="K238" t="n">
        <v>0</v>
      </c>
      <c r="L238" t="n">
        <v>0</v>
      </c>
      <c r="M238" t="n">
        <v>0</v>
      </c>
      <c r="N238" t="n">
        <v>0</v>
      </c>
      <c r="O238" t="n">
        <v>0</v>
      </c>
      <c r="P238" t="n">
        <v>0</v>
      </c>
      <c r="Q238" t="n">
        <v>0</v>
      </c>
      <c r="R238" s="2" t="inlineStr"/>
    </row>
    <row r="239" ht="15" customHeight="1">
      <c r="A239" t="inlineStr">
        <is>
          <t>A 2798-2019</t>
        </is>
      </c>
      <c r="B239" s="1" t="n">
        <v>43469</v>
      </c>
      <c r="C239" s="1" t="n">
        <v>45349</v>
      </c>
      <c r="D239" t="inlineStr">
        <is>
          <t>VÄSTERNORRLANDS LÄN</t>
        </is>
      </c>
      <c r="E239" t="inlineStr">
        <is>
          <t>ÅNGE</t>
        </is>
      </c>
      <c r="G239" t="n">
        <v>1.2</v>
      </c>
      <c r="H239" t="n">
        <v>0</v>
      </c>
      <c r="I239" t="n">
        <v>0</v>
      </c>
      <c r="J239" t="n">
        <v>0</v>
      </c>
      <c r="K239" t="n">
        <v>0</v>
      </c>
      <c r="L239" t="n">
        <v>0</v>
      </c>
      <c r="M239" t="n">
        <v>0</v>
      </c>
      <c r="N239" t="n">
        <v>0</v>
      </c>
      <c r="O239" t="n">
        <v>0</v>
      </c>
      <c r="P239" t="n">
        <v>0</v>
      </c>
      <c r="Q239" t="n">
        <v>0</v>
      </c>
      <c r="R239" s="2" t="inlineStr"/>
    </row>
    <row r="240" ht="15" customHeight="1">
      <c r="A240" t="inlineStr">
        <is>
          <t>A 546-2019</t>
        </is>
      </c>
      <c r="B240" s="1" t="n">
        <v>43469</v>
      </c>
      <c r="C240" s="1" t="n">
        <v>45349</v>
      </c>
      <c r="D240" t="inlineStr">
        <is>
          <t>VÄSTERNORRLANDS LÄN</t>
        </is>
      </c>
      <c r="E240" t="inlineStr">
        <is>
          <t>ÅNGE</t>
        </is>
      </c>
      <c r="G240" t="n">
        <v>3.7</v>
      </c>
      <c r="H240" t="n">
        <v>0</v>
      </c>
      <c r="I240" t="n">
        <v>0</v>
      </c>
      <c r="J240" t="n">
        <v>0</v>
      </c>
      <c r="K240" t="n">
        <v>0</v>
      </c>
      <c r="L240" t="n">
        <v>0</v>
      </c>
      <c r="M240" t="n">
        <v>0</v>
      </c>
      <c r="N240" t="n">
        <v>0</v>
      </c>
      <c r="O240" t="n">
        <v>0</v>
      </c>
      <c r="P240" t="n">
        <v>0</v>
      </c>
      <c r="Q240" t="n">
        <v>0</v>
      </c>
      <c r="R240" s="2" t="inlineStr"/>
    </row>
    <row r="241" ht="15" customHeight="1">
      <c r="A241" t="inlineStr">
        <is>
          <t>A 1538-2019</t>
        </is>
      </c>
      <c r="B241" s="1" t="n">
        <v>43473</v>
      </c>
      <c r="C241" s="1" t="n">
        <v>45349</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4891-2019</t>
        </is>
      </c>
      <c r="B242" s="1" t="n">
        <v>43479</v>
      </c>
      <c r="C242" s="1" t="n">
        <v>45349</v>
      </c>
      <c r="D242" t="inlineStr">
        <is>
          <t>VÄSTERNORRLANDS LÄN</t>
        </is>
      </c>
      <c r="E242" t="inlineStr">
        <is>
          <t>ÅNGE</t>
        </is>
      </c>
      <c r="F242" t="inlineStr">
        <is>
          <t>SCA</t>
        </is>
      </c>
      <c r="G242" t="n">
        <v>7.7</v>
      </c>
      <c r="H242" t="n">
        <v>0</v>
      </c>
      <c r="I242" t="n">
        <v>0</v>
      </c>
      <c r="J242" t="n">
        <v>0</v>
      </c>
      <c r="K242" t="n">
        <v>0</v>
      </c>
      <c r="L242" t="n">
        <v>0</v>
      </c>
      <c r="M242" t="n">
        <v>0</v>
      </c>
      <c r="N242" t="n">
        <v>0</v>
      </c>
      <c r="O242" t="n">
        <v>0</v>
      </c>
      <c r="P242" t="n">
        <v>0</v>
      </c>
      <c r="Q242" t="n">
        <v>0</v>
      </c>
      <c r="R242" s="2" t="inlineStr"/>
    </row>
    <row r="243" ht="15" customHeight="1">
      <c r="A243" t="inlineStr">
        <is>
          <t>A 3080-2019</t>
        </is>
      </c>
      <c r="B243" s="1" t="n">
        <v>43479</v>
      </c>
      <c r="C243" s="1" t="n">
        <v>45349</v>
      </c>
      <c r="D243" t="inlineStr">
        <is>
          <t>VÄSTERNORRLANDS LÄN</t>
        </is>
      </c>
      <c r="E243" t="inlineStr">
        <is>
          <t>ÅNGE</t>
        </is>
      </c>
      <c r="G243" t="n">
        <v>1.3</v>
      </c>
      <c r="H243" t="n">
        <v>0</v>
      </c>
      <c r="I243" t="n">
        <v>0</v>
      </c>
      <c r="J243" t="n">
        <v>0</v>
      </c>
      <c r="K243" t="n">
        <v>0</v>
      </c>
      <c r="L243" t="n">
        <v>0</v>
      </c>
      <c r="M243" t="n">
        <v>0</v>
      </c>
      <c r="N243" t="n">
        <v>0</v>
      </c>
      <c r="O243" t="n">
        <v>0</v>
      </c>
      <c r="P243" t="n">
        <v>0</v>
      </c>
      <c r="Q243" t="n">
        <v>0</v>
      </c>
      <c r="R243" s="2" t="inlineStr"/>
    </row>
    <row r="244" ht="15" customHeight="1">
      <c r="A244" t="inlineStr">
        <is>
          <t>A 4913-2019</t>
        </is>
      </c>
      <c r="B244" s="1" t="n">
        <v>43479</v>
      </c>
      <c r="C244" s="1" t="n">
        <v>45349</v>
      </c>
      <c r="D244" t="inlineStr">
        <is>
          <t>VÄSTERNORRLANDS LÄN</t>
        </is>
      </c>
      <c r="E244" t="inlineStr">
        <is>
          <t>ÅNGE</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4901-2019</t>
        </is>
      </c>
      <c r="B245" s="1" t="n">
        <v>43479</v>
      </c>
      <c r="C245" s="1" t="n">
        <v>45349</v>
      </c>
      <c r="D245" t="inlineStr">
        <is>
          <t>VÄSTERNORRLANDS LÄN</t>
        </is>
      </c>
      <c r="E245" t="inlineStr">
        <is>
          <t>ÅNGE</t>
        </is>
      </c>
      <c r="F245" t="inlineStr">
        <is>
          <t>SCA</t>
        </is>
      </c>
      <c r="G245" t="n">
        <v>1.3</v>
      </c>
      <c r="H245" t="n">
        <v>0</v>
      </c>
      <c r="I245" t="n">
        <v>0</v>
      </c>
      <c r="J245" t="n">
        <v>0</v>
      </c>
      <c r="K245" t="n">
        <v>0</v>
      </c>
      <c r="L245" t="n">
        <v>0</v>
      </c>
      <c r="M245" t="n">
        <v>0</v>
      </c>
      <c r="N245" t="n">
        <v>0</v>
      </c>
      <c r="O245" t="n">
        <v>0</v>
      </c>
      <c r="P245" t="n">
        <v>0</v>
      </c>
      <c r="Q245" t="n">
        <v>0</v>
      </c>
      <c r="R245" s="2" t="inlineStr"/>
    </row>
    <row r="246" ht="15" customHeight="1">
      <c r="A246" t="inlineStr">
        <is>
          <t>A 4068-2019</t>
        </is>
      </c>
      <c r="B246" s="1" t="n">
        <v>43482</v>
      </c>
      <c r="C246" s="1" t="n">
        <v>45349</v>
      </c>
      <c r="D246" t="inlineStr">
        <is>
          <t>VÄSTERNORRLANDS LÄN</t>
        </is>
      </c>
      <c r="E246" t="inlineStr">
        <is>
          <t>ÅNGE</t>
        </is>
      </c>
      <c r="G246" t="n">
        <v>14.4</v>
      </c>
      <c r="H246" t="n">
        <v>0</v>
      </c>
      <c r="I246" t="n">
        <v>0</v>
      </c>
      <c r="J246" t="n">
        <v>0</v>
      </c>
      <c r="K246" t="n">
        <v>0</v>
      </c>
      <c r="L246" t="n">
        <v>0</v>
      </c>
      <c r="M246" t="n">
        <v>0</v>
      </c>
      <c r="N246" t="n">
        <v>0</v>
      </c>
      <c r="O246" t="n">
        <v>0</v>
      </c>
      <c r="P246" t="n">
        <v>0</v>
      </c>
      <c r="Q246" t="n">
        <v>0</v>
      </c>
      <c r="R246" s="2" t="inlineStr"/>
    </row>
    <row r="247" ht="15" customHeight="1">
      <c r="A247" t="inlineStr">
        <is>
          <t>A 4144-2019</t>
        </is>
      </c>
      <c r="B247" s="1" t="n">
        <v>43483</v>
      </c>
      <c r="C247" s="1" t="n">
        <v>45349</v>
      </c>
      <c r="D247" t="inlineStr">
        <is>
          <t>VÄSTERNORRLANDS LÄN</t>
        </is>
      </c>
      <c r="E247" t="inlineStr">
        <is>
          <t>ÅNGE</t>
        </is>
      </c>
      <c r="F247" t="inlineStr">
        <is>
          <t>Holmen skog AB</t>
        </is>
      </c>
      <c r="G247" t="n">
        <v>18.9</v>
      </c>
      <c r="H247" t="n">
        <v>0</v>
      </c>
      <c r="I247" t="n">
        <v>0</v>
      </c>
      <c r="J247" t="n">
        <v>0</v>
      </c>
      <c r="K247" t="n">
        <v>0</v>
      </c>
      <c r="L247" t="n">
        <v>0</v>
      </c>
      <c r="M247" t="n">
        <v>0</v>
      </c>
      <c r="N247" t="n">
        <v>0</v>
      </c>
      <c r="O247" t="n">
        <v>0</v>
      </c>
      <c r="P247" t="n">
        <v>0</v>
      </c>
      <c r="Q247" t="n">
        <v>0</v>
      </c>
      <c r="R247" s="2" t="inlineStr"/>
    </row>
    <row r="248" ht="15" customHeight="1">
      <c r="A248" t="inlineStr">
        <is>
          <t>A 6267-2019</t>
        </is>
      </c>
      <c r="B248" s="1" t="n">
        <v>43486</v>
      </c>
      <c r="C248" s="1" t="n">
        <v>45349</v>
      </c>
      <c r="D248" t="inlineStr">
        <is>
          <t>VÄSTERNORRLANDS LÄN</t>
        </is>
      </c>
      <c r="E248" t="inlineStr">
        <is>
          <t>ÅNGE</t>
        </is>
      </c>
      <c r="G248" t="n">
        <v>1.6</v>
      </c>
      <c r="H248" t="n">
        <v>0</v>
      </c>
      <c r="I248" t="n">
        <v>0</v>
      </c>
      <c r="J248" t="n">
        <v>0</v>
      </c>
      <c r="K248" t="n">
        <v>0</v>
      </c>
      <c r="L248" t="n">
        <v>0</v>
      </c>
      <c r="M248" t="n">
        <v>0</v>
      </c>
      <c r="N248" t="n">
        <v>0</v>
      </c>
      <c r="O248" t="n">
        <v>0</v>
      </c>
      <c r="P248" t="n">
        <v>0</v>
      </c>
      <c r="Q248" t="n">
        <v>0</v>
      </c>
      <c r="R248" s="2" t="inlineStr"/>
    </row>
    <row r="249" ht="15" customHeight="1">
      <c r="A249" t="inlineStr">
        <is>
          <t>A 6075-2019</t>
        </is>
      </c>
      <c r="B249" s="1" t="n">
        <v>43493</v>
      </c>
      <c r="C249" s="1" t="n">
        <v>45349</v>
      </c>
      <c r="D249" t="inlineStr">
        <is>
          <t>VÄSTERNORRLANDS LÄN</t>
        </is>
      </c>
      <c r="E249" t="inlineStr">
        <is>
          <t>ÅNGE</t>
        </is>
      </c>
      <c r="G249" t="n">
        <v>1.8</v>
      </c>
      <c r="H249" t="n">
        <v>0</v>
      </c>
      <c r="I249" t="n">
        <v>0</v>
      </c>
      <c r="J249" t="n">
        <v>0</v>
      </c>
      <c r="K249" t="n">
        <v>0</v>
      </c>
      <c r="L249" t="n">
        <v>0</v>
      </c>
      <c r="M249" t="n">
        <v>0</v>
      </c>
      <c r="N249" t="n">
        <v>0</v>
      </c>
      <c r="O249" t="n">
        <v>0</v>
      </c>
      <c r="P249" t="n">
        <v>0</v>
      </c>
      <c r="Q249" t="n">
        <v>0</v>
      </c>
      <c r="R249" s="2" t="inlineStr"/>
    </row>
    <row r="250" ht="15" customHeight="1">
      <c r="A250" t="inlineStr">
        <is>
          <t>A 7992-2019</t>
        </is>
      </c>
      <c r="B250" s="1" t="n">
        <v>43493</v>
      </c>
      <c r="C250" s="1" t="n">
        <v>45349</v>
      </c>
      <c r="D250" t="inlineStr">
        <is>
          <t>VÄSTERNORRLANDS LÄN</t>
        </is>
      </c>
      <c r="E250" t="inlineStr">
        <is>
          <t>ÅNGE</t>
        </is>
      </c>
      <c r="G250" t="n">
        <v>1.7</v>
      </c>
      <c r="H250" t="n">
        <v>0</v>
      </c>
      <c r="I250" t="n">
        <v>0</v>
      </c>
      <c r="J250" t="n">
        <v>0</v>
      </c>
      <c r="K250" t="n">
        <v>0</v>
      </c>
      <c r="L250" t="n">
        <v>0</v>
      </c>
      <c r="M250" t="n">
        <v>0</v>
      </c>
      <c r="N250" t="n">
        <v>0</v>
      </c>
      <c r="O250" t="n">
        <v>0</v>
      </c>
      <c r="P250" t="n">
        <v>0</v>
      </c>
      <c r="Q250" t="n">
        <v>0</v>
      </c>
      <c r="R250" s="2" t="inlineStr"/>
    </row>
    <row r="251" ht="15" customHeight="1">
      <c r="A251" t="inlineStr">
        <is>
          <t>A 7990-2019</t>
        </is>
      </c>
      <c r="B251" s="1" t="n">
        <v>43493</v>
      </c>
      <c r="C251" s="1" t="n">
        <v>45349</v>
      </c>
      <c r="D251" t="inlineStr">
        <is>
          <t>VÄSTERNORRLANDS LÄN</t>
        </is>
      </c>
      <c r="E251" t="inlineStr">
        <is>
          <t>ÅNGE</t>
        </is>
      </c>
      <c r="G251" t="n">
        <v>2.8</v>
      </c>
      <c r="H251" t="n">
        <v>0</v>
      </c>
      <c r="I251" t="n">
        <v>0</v>
      </c>
      <c r="J251" t="n">
        <v>0</v>
      </c>
      <c r="K251" t="n">
        <v>0</v>
      </c>
      <c r="L251" t="n">
        <v>0</v>
      </c>
      <c r="M251" t="n">
        <v>0</v>
      </c>
      <c r="N251" t="n">
        <v>0</v>
      </c>
      <c r="O251" t="n">
        <v>0</v>
      </c>
      <c r="P251" t="n">
        <v>0</v>
      </c>
      <c r="Q251" t="n">
        <v>0</v>
      </c>
      <c r="R251" s="2" t="inlineStr"/>
    </row>
    <row r="252" ht="15" customHeight="1">
      <c r="A252" t="inlineStr">
        <is>
          <t>A 7075-2019</t>
        </is>
      </c>
      <c r="B252" s="1" t="n">
        <v>43496</v>
      </c>
      <c r="C252" s="1" t="n">
        <v>45349</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7131-2019</t>
        </is>
      </c>
      <c r="B253" s="1" t="n">
        <v>43496</v>
      </c>
      <c r="C253" s="1" t="n">
        <v>45349</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7079-2019</t>
        </is>
      </c>
      <c r="B254" s="1" t="n">
        <v>43496</v>
      </c>
      <c r="C254" s="1" t="n">
        <v>45349</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7148-2019</t>
        </is>
      </c>
      <c r="B255" s="1" t="n">
        <v>43496</v>
      </c>
      <c r="C255" s="1" t="n">
        <v>45349</v>
      </c>
      <c r="D255" t="inlineStr">
        <is>
          <t>VÄSTERNORRLANDS LÄN</t>
        </is>
      </c>
      <c r="E255" t="inlineStr">
        <is>
          <t>ÅNGE</t>
        </is>
      </c>
      <c r="G255" t="n">
        <v>12.8</v>
      </c>
      <c r="H255" t="n">
        <v>0</v>
      </c>
      <c r="I255" t="n">
        <v>0</v>
      </c>
      <c r="J255" t="n">
        <v>0</v>
      </c>
      <c r="K255" t="n">
        <v>0</v>
      </c>
      <c r="L255" t="n">
        <v>0</v>
      </c>
      <c r="M255" t="n">
        <v>0</v>
      </c>
      <c r="N255" t="n">
        <v>0</v>
      </c>
      <c r="O255" t="n">
        <v>0</v>
      </c>
      <c r="P255" t="n">
        <v>0</v>
      </c>
      <c r="Q255" t="n">
        <v>0</v>
      </c>
      <c r="R255" s="2" t="inlineStr"/>
    </row>
    <row r="256" ht="15" customHeight="1">
      <c r="A256" t="inlineStr">
        <is>
          <t>A 8276-2019</t>
        </is>
      </c>
      <c r="B256" s="1" t="n">
        <v>43501</v>
      </c>
      <c r="C256" s="1" t="n">
        <v>45349</v>
      </c>
      <c r="D256" t="inlineStr">
        <is>
          <t>VÄSTERNORRLANDS LÄN</t>
        </is>
      </c>
      <c r="E256" t="inlineStr">
        <is>
          <t>ÅNGE</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8278-2019</t>
        </is>
      </c>
      <c r="B257" s="1" t="n">
        <v>43501</v>
      </c>
      <c r="C257" s="1" t="n">
        <v>45349</v>
      </c>
      <c r="D257" t="inlineStr">
        <is>
          <t>VÄSTERNORRLANDS LÄN</t>
        </is>
      </c>
      <c r="E257" t="inlineStr">
        <is>
          <t>ÅNGE</t>
        </is>
      </c>
      <c r="F257" t="inlineStr">
        <is>
          <t>SCA</t>
        </is>
      </c>
      <c r="G257" t="n">
        <v>1.7</v>
      </c>
      <c r="H257" t="n">
        <v>0</v>
      </c>
      <c r="I257" t="n">
        <v>0</v>
      </c>
      <c r="J257" t="n">
        <v>0</v>
      </c>
      <c r="K257" t="n">
        <v>0</v>
      </c>
      <c r="L257" t="n">
        <v>0</v>
      </c>
      <c r="M257" t="n">
        <v>0</v>
      </c>
      <c r="N257" t="n">
        <v>0</v>
      </c>
      <c r="O257" t="n">
        <v>0</v>
      </c>
      <c r="P257" t="n">
        <v>0</v>
      </c>
      <c r="Q257" t="n">
        <v>0</v>
      </c>
      <c r="R257" s="2" t="inlineStr"/>
    </row>
    <row r="258" ht="15" customHeight="1">
      <c r="A258" t="inlineStr">
        <is>
          <t>A 12014-2019</t>
        </is>
      </c>
      <c r="B258" s="1" t="n">
        <v>43521</v>
      </c>
      <c r="C258" s="1" t="n">
        <v>45349</v>
      </c>
      <c r="D258" t="inlineStr">
        <is>
          <t>VÄSTERNORRLANDS LÄN</t>
        </is>
      </c>
      <c r="E258" t="inlineStr">
        <is>
          <t>ÅNGE</t>
        </is>
      </c>
      <c r="G258" t="n">
        <v>3.6</v>
      </c>
      <c r="H258" t="n">
        <v>0</v>
      </c>
      <c r="I258" t="n">
        <v>0</v>
      </c>
      <c r="J258" t="n">
        <v>0</v>
      </c>
      <c r="K258" t="n">
        <v>0</v>
      </c>
      <c r="L258" t="n">
        <v>0</v>
      </c>
      <c r="M258" t="n">
        <v>0</v>
      </c>
      <c r="N258" t="n">
        <v>0</v>
      </c>
      <c r="O258" t="n">
        <v>0</v>
      </c>
      <c r="P258" t="n">
        <v>0</v>
      </c>
      <c r="Q258" t="n">
        <v>0</v>
      </c>
      <c r="R258" s="2" t="inlineStr"/>
    </row>
    <row r="259" ht="15" customHeight="1">
      <c r="A259" t="inlineStr">
        <is>
          <t>A 13905-2019</t>
        </is>
      </c>
      <c r="B259" s="1" t="n">
        <v>43531</v>
      </c>
      <c r="C259" s="1" t="n">
        <v>45349</v>
      </c>
      <c r="D259" t="inlineStr">
        <is>
          <t>VÄSTERNORRLANDS LÄN</t>
        </is>
      </c>
      <c r="E259" t="inlineStr">
        <is>
          <t>ÅNGE</t>
        </is>
      </c>
      <c r="F259" t="inlineStr">
        <is>
          <t>SCA</t>
        </is>
      </c>
      <c r="G259" t="n">
        <v>1.2</v>
      </c>
      <c r="H259" t="n">
        <v>0</v>
      </c>
      <c r="I259" t="n">
        <v>0</v>
      </c>
      <c r="J259" t="n">
        <v>0</v>
      </c>
      <c r="K259" t="n">
        <v>0</v>
      </c>
      <c r="L259" t="n">
        <v>0</v>
      </c>
      <c r="M259" t="n">
        <v>0</v>
      </c>
      <c r="N259" t="n">
        <v>0</v>
      </c>
      <c r="O259" t="n">
        <v>0</v>
      </c>
      <c r="P259" t="n">
        <v>0</v>
      </c>
      <c r="Q259" t="n">
        <v>0</v>
      </c>
      <c r="R259" s="2" t="inlineStr"/>
    </row>
    <row r="260" ht="15" customHeight="1">
      <c r="A260" t="inlineStr">
        <is>
          <t>A 14734-2019</t>
        </is>
      </c>
      <c r="B260" s="1" t="n">
        <v>43535</v>
      </c>
      <c r="C260" s="1" t="n">
        <v>45349</v>
      </c>
      <c r="D260" t="inlineStr">
        <is>
          <t>VÄSTERNORRLANDS LÄN</t>
        </is>
      </c>
      <c r="E260" t="inlineStr">
        <is>
          <t>ÅNGE</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14722-2019</t>
        </is>
      </c>
      <c r="B261" s="1" t="n">
        <v>43535</v>
      </c>
      <c r="C261" s="1" t="n">
        <v>45349</v>
      </c>
      <c r="D261" t="inlineStr">
        <is>
          <t>VÄSTERNORRLANDS LÄN</t>
        </is>
      </c>
      <c r="E261" t="inlineStr">
        <is>
          <t>ÅNGE</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14730-2019</t>
        </is>
      </c>
      <c r="B262" s="1" t="n">
        <v>43535</v>
      </c>
      <c r="C262" s="1" t="n">
        <v>45349</v>
      </c>
      <c r="D262" t="inlineStr">
        <is>
          <t>VÄSTERNORRLANDS LÄN</t>
        </is>
      </c>
      <c r="E262" t="inlineStr">
        <is>
          <t>ÅNGE</t>
        </is>
      </c>
      <c r="F262" t="inlineStr">
        <is>
          <t>SCA</t>
        </is>
      </c>
      <c r="G262" t="n">
        <v>10.9</v>
      </c>
      <c r="H262" t="n">
        <v>0</v>
      </c>
      <c r="I262" t="n">
        <v>0</v>
      </c>
      <c r="J262" t="n">
        <v>0</v>
      </c>
      <c r="K262" t="n">
        <v>0</v>
      </c>
      <c r="L262" t="n">
        <v>0</v>
      </c>
      <c r="M262" t="n">
        <v>0</v>
      </c>
      <c r="N262" t="n">
        <v>0</v>
      </c>
      <c r="O262" t="n">
        <v>0</v>
      </c>
      <c r="P262" t="n">
        <v>0</v>
      </c>
      <c r="Q262" t="n">
        <v>0</v>
      </c>
      <c r="R262" s="2" t="inlineStr"/>
    </row>
    <row r="263" ht="15" customHeight="1">
      <c r="A263" t="inlineStr">
        <is>
          <t>A 14827-2019</t>
        </is>
      </c>
      <c r="B263" s="1" t="n">
        <v>43538</v>
      </c>
      <c r="C263" s="1" t="n">
        <v>45349</v>
      </c>
      <c r="D263" t="inlineStr">
        <is>
          <t>VÄSTERNORRLANDS LÄN</t>
        </is>
      </c>
      <c r="E263" t="inlineStr">
        <is>
          <t>ÅNGE</t>
        </is>
      </c>
      <c r="G263" t="n">
        <v>1</v>
      </c>
      <c r="H263" t="n">
        <v>0</v>
      </c>
      <c r="I263" t="n">
        <v>0</v>
      </c>
      <c r="J263" t="n">
        <v>0</v>
      </c>
      <c r="K263" t="n">
        <v>0</v>
      </c>
      <c r="L263" t="n">
        <v>0</v>
      </c>
      <c r="M263" t="n">
        <v>0</v>
      </c>
      <c r="N263" t="n">
        <v>0</v>
      </c>
      <c r="O263" t="n">
        <v>0</v>
      </c>
      <c r="P263" t="n">
        <v>0</v>
      </c>
      <c r="Q263" t="n">
        <v>0</v>
      </c>
      <c r="R263" s="2" t="inlineStr"/>
    </row>
    <row r="264" ht="15" customHeight="1">
      <c r="A264" t="inlineStr">
        <is>
          <t>A 15439-2019</t>
        </is>
      </c>
      <c r="B264" s="1" t="n">
        <v>43542</v>
      </c>
      <c r="C264" s="1" t="n">
        <v>45349</v>
      </c>
      <c r="D264" t="inlineStr">
        <is>
          <t>VÄSTERNORRLANDS LÄN</t>
        </is>
      </c>
      <c r="E264" t="inlineStr">
        <is>
          <t>ÅNGE</t>
        </is>
      </c>
      <c r="G264" t="n">
        <v>1.6</v>
      </c>
      <c r="H264" t="n">
        <v>0</v>
      </c>
      <c r="I264" t="n">
        <v>0</v>
      </c>
      <c r="J264" t="n">
        <v>0</v>
      </c>
      <c r="K264" t="n">
        <v>0</v>
      </c>
      <c r="L264" t="n">
        <v>0</v>
      </c>
      <c r="M264" t="n">
        <v>0</v>
      </c>
      <c r="N264" t="n">
        <v>0</v>
      </c>
      <c r="O264" t="n">
        <v>0</v>
      </c>
      <c r="P264" t="n">
        <v>0</v>
      </c>
      <c r="Q264" t="n">
        <v>0</v>
      </c>
      <c r="R264" s="2" t="inlineStr"/>
    </row>
    <row r="265" ht="15" customHeight="1">
      <c r="A265" t="inlineStr">
        <is>
          <t>A 15905-2019</t>
        </is>
      </c>
      <c r="B265" s="1" t="n">
        <v>43543</v>
      </c>
      <c r="C265" s="1" t="n">
        <v>45349</v>
      </c>
      <c r="D265" t="inlineStr">
        <is>
          <t>VÄSTERNORRLANDS LÄN</t>
        </is>
      </c>
      <c r="E265" t="inlineStr">
        <is>
          <t>ÅNGE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16536-2019</t>
        </is>
      </c>
      <c r="B266" s="1" t="n">
        <v>43546</v>
      </c>
      <c r="C266" s="1" t="n">
        <v>45349</v>
      </c>
      <c r="D266" t="inlineStr">
        <is>
          <t>VÄSTERNORRLANDS LÄN</t>
        </is>
      </c>
      <c r="E266" t="inlineStr">
        <is>
          <t>ÅNGE</t>
        </is>
      </c>
      <c r="F266" t="inlineStr">
        <is>
          <t>SCA</t>
        </is>
      </c>
      <c r="G266" t="n">
        <v>27.8</v>
      </c>
      <c r="H266" t="n">
        <v>0</v>
      </c>
      <c r="I266" t="n">
        <v>0</v>
      </c>
      <c r="J266" t="n">
        <v>0</v>
      </c>
      <c r="K266" t="n">
        <v>0</v>
      </c>
      <c r="L266" t="n">
        <v>0</v>
      </c>
      <c r="M266" t="n">
        <v>0</v>
      </c>
      <c r="N266" t="n">
        <v>0</v>
      </c>
      <c r="O266" t="n">
        <v>0</v>
      </c>
      <c r="P266" t="n">
        <v>0</v>
      </c>
      <c r="Q266" t="n">
        <v>0</v>
      </c>
      <c r="R266" s="2" t="inlineStr"/>
    </row>
    <row r="267" ht="15" customHeight="1">
      <c r="A267" t="inlineStr">
        <is>
          <t>A 17188-2019</t>
        </is>
      </c>
      <c r="B267" s="1" t="n">
        <v>43551</v>
      </c>
      <c r="C267" s="1" t="n">
        <v>45349</v>
      </c>
      <c r="D267" t="inlineStr">
        <is>
          <t>VÄSTERNORRLANDS LÄN</t>
        </is>
      </c>
      <c r="E267" t="inlineStr">
        <is>
          <t>ÅNGE</t>
        </is>
      </c>
      <c r="G267" t="n">
        <v>2.5</v>
      </c>
      <c r="H267" t="n">
        <v>0</v>
      </c>
      <c r="I267" t="n">
        <v>0</v>
      </c>
      <c r="J267" t="n">
        <v>0</v>
      </c>
      <c r="K267" t="n">
        <v>0</v>
      </c>
      <c r="L267" t="n">
        <v>0</v>
      </c>
      <c r="M267" t="n">
        <v>0</v>
      </c>
      <c r="N267" t="n">
        <v>0</v>
      </c>
      <c r="O267" t="n">
        <v>0</v>
      </c>
      <c r="P267" t="n">
        <v>0</v>
      </c>
      <c r="Q267" t="n">
        <v>0</v>
      </c>
      <c r="R267" s="2" t="inlineStr"/>
    </row>
    <row r="268" ht="15" customHeight="1">
      <c r="A268" t="inlineStr">
        <is>
          <t>A 17278-2019</t>
        </is>
      </c>
      <c r="B268" s="1" t="n">
        <v>43552</v>
      </c>
      <c r="C268" s="1" t="n">
        <v>45349</v>
      </c>
      <c r="D268" t="inlineStr">
        <is>
          <t>VÄSTERNORRLANDS LÄN</t>
        </is>
      </c>
      <c r="E268" t="inlineStr">
        <is>
          <t>ÅNGE</t>
        </is>
      </c>
      <c r="G268" t="n">
        <v>1.4</v>
      </c>
      <c r="H268" t="n">
        <v>0</v>
      </c>
      <c r="I268" t="n">
        <v>0</v>
      </c>
      <c r="J268" t="n">
        <v>0</v>
      </c>
      <c r="K268" t="n">
        <v>0</v>
      </c>
      <c r="L268" t="n">
        <v>0</v>
      </c>
      <c r="M268" t="n">
        <v>0</v>
      </c>
      <c r="N268" t="n">
        <v>0</v>
      </c>
      <c r="O268" t="n">
        <v>0</v>
      </c>
      <c r="P268" t="n">
        <v>0</v>
      </c>
      <c r="Q268" t="n">
        <v>0</v>
      </c>
      <c r="R268" s="2" t="inlineStr"/>
    </row>
    <row r="269" ht="15" customHeight="1">
      <c r="A269" t="inlineStr">
        <is>
          <t>A 17281-2019</t>
        </is>
      </c>
      <c r="B269" s="1" t="n">
        <v>43552</v>
      </c>
      <c r="C269" s="1" t="n">
        <v>45349</v>
      </c>
      <c r="D269" t="inlineStr">
        <is>
          <t>VÄSTERNORRLANDS LÄN</t>
        </is>
      </c>
      <c r="E269" t="inlineStr">
        <is>
          <t>ÅNGE</t>
        </is>
      </c>
      <c r="G269" t="n">
        <v>0.4</v>
      </c>
      <c r="H269" t="n">
        <v>0</v>
      </c>
      <c r="I269" t="n">
        <v>0</v>
      </c>
      <c r="J269" t="n">
        <v>0</v>
      </c>
      <c r="K269" t="n">
        <v>0</v>
      </c>
      <c r="L269" t="n">
        <v>0</v>
      </c>
      <c r="M269" t="n">
        <v>0</v>
      </c>
      <c r="N269" t="n">
        <v>0</v>
      </c>
      <c r="O269" t="n">
        <v>0</v>
      </c>
      <c r="P269" t="n">
        <v>0</v>
      </c>
      <c r="Q269" t="n">
        <v>0</v>
      </c>
      <c r="R269" s="2" t="inlineStr"/>
    </row>
    <row r="270" ht="15" customHeight="1">
      <c r="A270" t="inlineStr">
        <is>
          <t>A 17357-2019</t>
        </is>
      </c>
      <c r="B270" s="1" t="n">
        <v>43552</v>
      </c>
      <c r="C270" s="1" t="n">
        <v>45349</v>
      </c>
      <c r="D270" t="inlineStr">
        <is>
          <t>VÄSTERNORRLANDS LÄN</t>
        </is>
      </c>
      <c r="E270" t="inlineStr">
        <is>
          <t>ÅNGE</t>
        </is>
      </c>
      <c r="G270" t="n">
        <v>6.5</v>
      </c>
      <c r="H270" t="n">
        <v>0</v>
      </c>
      <c r="I270" t="n">
        <v>0</v>
      </c>
      <c r="J270" t="n">
        <v>0</v>
      </c>
      <c r="K270" t="n">
        <v>0</v>
      </c>
      <c r="L270" t="n">
        <v>0</v>
      </c>
      <c r="M270" t="n">
        <v>0</v>
      </c>
      <c r="N270" t="n">
        <v>0</v>
      </c>
      <c r="O270" t="n">
        <v>0</v>
      </c>
      <c r="P270" t="n">
        <v>0</v>
      </c>
      <c r="Q270" t="n">
        <v>0</v>
      </c>
      <c r="R270" s="2" t="inlineStr"/>
    </row>
    <row r="271" ht="15" customHeight="1">
      <c r="A271" t="inlineStr">
        <is>
          <t>A 17513-2019</t>
        </is>
      </c>
      <c r="B271" s="1" t="n">
        <v>43553</v>
      </c>
      <c r="C271" s="1" t="n">
        <v>45349</v>
      </c>
      <c r="D271" t="inlineStr">
        <is>
          <t>VÄSTERNORRLANDS LÄN</t>
        </is>
      </c>
      <c r="E271" t="inlineStr">
        <is>
          <t>ÅNGE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17587-2019</t>
        </is>
      </c>
      <c r="B272" s="1" t="n">
        <v>43553</v>
      </c>
      <c r="C272" s="1" t="n">
        <v>45349</v>
      </c>
      <c r="D272" t="inlineStr">
        <is>
          <t>VÄSTERNORRLANDS LÄN</t>
        </is>
      </c>
      <c r="E272" t="inlineStr">
        <is>
          <t>ÅNGE</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17588-2019</t>
        </is>
      </c>
      <c r="B273" s="1" t="n">
        <v>43553</v>
      </c>
      <c r="C273" s="1" t="n">
        <v>45349</v>
      </c>
      <c r="D273" t="inlineStr">
        <is>
          <t>VÄSTERNORRLANDS LÄN</t>
        </is>
      </c>
      <c r="E273" t="inlineStr">
        <is>
          <t>ÅNGE</t>
        </is>
      </c>
      <c r="F273" t="inlineStr">
        <is>
          <t>SCA</t>
        </is>
      </c>
      <c r="G273" t="n">
        <v>11.6</v>
      </c>
      <c r="H273" t="n">
        <v>0</v>
      </c>
      <c r="I273" t="n">
        <v>0</v>
      </c>
      <c r="J273" t="n">
        <v>0</v>
      </c>
      <c r="K273" t="n">
        <v>0</v>
      </c>
      <c r="L273" t="n">
        <v>0</v>
      </c>
      <c r="M273" t="n">
        <v>0</v>
      </c>
      <c r="N273" t="n">
        <v>0</v>
      </c>
      <c r="O273" t="n">
        <v>0</v>
      </c>
      <c r="P273" t="n">
        <v>0</v>
      </c>
      <c r="Q273" t="n">
        <v>0</v>
      </c>
      <c r="R273" s="2" t="inlineStr"/>
    </row>
    <row r="274" ht="15" customHeight="1">
      <c r="A274" t="inlineStr">
        <is>
          <t>A 17854-2019</t>
        </is>
      </c>
      <c r="B274" s="1" t="n">
        <v>43556</v>
      </c>
      <c r="C274" s="1" t="n">
        <v>45349</v>
      </c>
      <c r="D274" t="inlineStr">
        <is>
          <t>VÄSTERNORRLANDS LÄN</t>
        </is>
      </c>
      <c r="E274" t="inlineStr">
        <is>
          <t>ÅNGE</t>
        </is>
      </c>
      <c r="G274" t="n">
        <v>0.6</v>
      </c>
      <c r="H274" t="n">
        <v>0</v>
      </c>
      <c r="I274" t="n">
        <v>0</v>
      </c>
      <c r="J274" t="n">
        <v>0</v>
      </c>
      <c r="K274" t="n">
        <v>0</v>
      </c>
      <c r="L274" t="n">
        <v>0</v>
      </c>
      <c r="M274" t="n">
        <v>0</v>
      </c>
      <c r="N274" t="n">
        <v>0</v>
      </c>
      <c r="O274" t="n">
        <v>0</v>
      </c>
      <c r="P274" t="n">
        <v>0</v>
      </c>
      <c r="Q274" t="n">
        <v>0</v>
      </c>
      <c r="R274" s="2" t="inlineStr"/>
    </row>
    <row r="275" ht="15" customHeight="1">
      <c r="A275" t="inlineStr">
        <is>
          <t>A 17857-2019</t>
        </is>
      </c>
      <c r="B275" s="1" t="n">
        <v>43556</v>
      </c>
      <c r="C275" s="1" t="n">
        <v>45349</v>
      </c>
      <c r="D275" t="inlineStr">
        <is>
          <t>VÄSTERNORRLANDS LÄN</t>
        </is>
      </c>
      <c r="E275" t="inlineStr">
        <is>
          <t>ÅNGE</t>
        </is>
      </c>
      <c r="G275" t="n">
        <v>1.1</v>
      </c>
      <c r="H275" t="n">
        <v>0</v>
      </c>
      <c r="I275" t="n">
        <v>0</v>
      </c>
      <c r="J275" t="n">
        <v>0</v>
      </c>
      <c r="K275" t="n">
        <v>0</v>
      </c>
      <c r="L275" t="n">
        <v>0</v>
      </c>
      <c r="M275" t="n">
        <v>0</v>
      </c>
      <c r="N275" t="n">
        <v>0</v>
      </c>
      <c r="O275" t="n">
        <v>0</v>
      </c>
      <c r="P275" t="n">
        <v>0</v>
      </c>
      <c r="Q275" t="n">
        <v>0</v>
      </c>
      <c r="R275" s="2" t="inlineStr"/>
    </row>
    <row r="276" ht="15" customHeight="1">
      <c r="A276" t="inlineStr">
        <is>
          <t>A 17764-2019</t>
        </is>
      </c>
      <c r="B276" s="1" t="n">
        <v>43556</v>
      </c>
      <c r="C276" s="1" t="n">
        <v>45349</v>
      </c>
      <c r="D276" t="inlineStr">
        <is>
          <t>VÄSTERNORRLANDS LÄN</t>
        </is>
      </c>
      <c r="E276" t="inlineStr">
        <is>
          <t>ÅNGE</t>
        </is>
      </c>
      <c r="F276" t="inlineStr">
        <is>
          <t>Kyrkan</t>
        </is>
      </c>
      <c r="G276" t="n">
        <v>20.7</v>
      </c>
      <c r="H276" t="n">
        <v>0</v>
      </c>
      <c r="I276" t="n">
        <v>0</v>
      </c>
      <c r="J276" t="n">
        <v>0</v>
      </c>
      <c r="K276" t="n">
        <v>0</v>
      </c>
      <c r="L276" t="n">
        <v>0</v>
      </c>
      <c r="M276" t="n">
        <v>0</v>
      </c>
      <c r="N276" t="n">
        <v>0</v>
      </c>
      <c r="O276" t="n">
        <v>0</v>
      </c>
      <c r="P276" t="n">
        <v>0</v>
      </c>
      <c r="Q276" t="n">
        <v>0</v>
      </c>
      <c r="R276" s="2" t="inlineStr"/>
    </row>
    <row r="277" ht="15" customHeight="1">
      <c r="A277" t="inlineStr">
        <is>
          <t>A 18069-2019</t>
        </is>
      </c>
      <c r="B277" s="1" t="n">
        <v>43557</v>
      </c>
      <c r="C277" s="1" t="n">
        <v>45349</v>
      </c>
      <c r="D277" t="inlineStr">
        <is>
          <t>VÄSTERNORRLANDS LÄN</t>
        </is>
      </c>
      <c r="E277" t="inlineStr">
        <is>
          <t>ÅNGE</t>
        </is>
      </c>
      <c r="F277" t="inlineStr">
        <is>
          <t>SCA</t>
        </is>
      </c>
      <c r="G277" t="n">
        <v>21.2</v>
      </c>
      <c r="H277" t="n">
        <v>0</v>
      </c>
      <c r="I277" t="n">
        <v>0</v>
      </c>
      <c r="J277" t="n">
        <v>0</v>
      </c>
      <c r="K277" t="n">
        <v>0</v>
      </c>
      <c r="L277" t="n">
        <v>0</v>
      </c>
      <c r="M277" t="n">
        <v>0</v>
      </c>
      <c r="N277" t="n">
        <v>0</v>
      </c>
      <c r="O277" t="n">
        <v>0</v>
      </c>
      <c r="P277" t="n">
        <v>0</v>
      </c>
      <c r="Q277" t="n">
        <v>0</v>
      </c>
      <c r="R277" s="2" t="inlineStr"/>
    </row>
    <row r="278" ht="15" customHeight="1">
      <c r="A278" t="inlineStr">
        <is>
          <t>A 18304-2019</t>
        </is>
      </c>
      <c r="B278" s="1" t="n">
        <v>43558</v>
      </c>
      <c r="C278" s="1" t="n">
        <v>45349</v>
      </c>
      <c r="D278" t="inlineStr">
        <is>
          <t>VÄSTERNORRLANDS LÄN</t>
        </is>
      </c>
      <c r="E278" t="inlineStr">
        <is>
          <t>ÅNGE</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19008-2019</t>
        </is>
      </c>
      <c r="B279" s="1" t="n">
        <v>43563</v>
      </c>
      <c r="C279" s="1" t="n">
        <v>45349</v>
      </c>
      <c r="D279" t="inlineStr">
        <is>
          <t>VÄSTERNORRLANDS LÄN</t>
        </is>
      </c>
      <c r="E279" t="inlineStr">
        <is>
          <t>ÅNGE</t>
        </is>
      </c>
      <c r="G279" t="n">
        <v>5.7</v>
      </c>
      <c r="H279" t="n">
        <v>0</v>
      </c>
      <c r="I279" t="n">
        <v>0</v>
      </c>
      <c r="J279" t="n">
        <v>0</v>
      </c>
      <c r="K279" t="n">
        <v>0</v>
      </c>
      <c r="L279" t="n">
        <v>0</v>
      </c>
      <c r="M279" t="n">
        <v>0</v>
      </c>
      <c r="N279" t="n">
        <v>0</v>
      </c>
      <c r="O279" t="n">
        <v>0</v>
      </c>
      <c r="P279" t="n">
        <v>0</v>
      </c>
      <c r="Q279" t="n">
        <v>0</v>
      </c>
      <c r="R279" s="2" t="inlineStr"/>
    </row>
    <row r="280" ht="15" customHeight="1">
      <c r="A280" t="inlineStr">
        <is>
          <t>A 19273-2019</t>
        </is>
      </c>
      <c r="B280" s="1" t="n">
        <v>43564</v>
      </c>
      <c r="C280" s="1" t="n">
        <v>45349</v>
      </c>
      <c r="D280" t="inlineStr">
        <is>
          <t>VÄSTERNORRLANDS LÄN</t>
        </is>
      </c>
      <c r="E280" t="inlineStr">
        <is>
          <t>ÅNGE</t>
        </is>
      </c>
      <c r="G280" t="n">
        <v>5.3</v>
      </c>
      <c r="H280" t="n">
        <v>0</v>
      </c>
      <c r="I280" t="n">
        <v>0</v>
      </c>
      <c r="J280" t="n">
        <v>0</v>
      </c>
      <c r="K280" t="n">
        <v>0</v>
      </c>
      <c r="L280" t="n">
        <v>0</v>
      </c>
      <c r="M280" t="n">
        <v>0</v>
      </c>
      <c r="N280" t="n">
        <v>0</v>
      </c>
      <c r="O280" t="n">
        <v>0</v>
      </c>
      <c r="P280" t="n">
        <v>0</v>
      </c>
      <c r="Q280" t="n">
        <v>0</v>
      </c>
      <c r="R280" s="2" t="inlineStr"/>
    </row>
    <row r="281" ht="15" customHeight="1">
      <c r="A281" t="inlineStr">
        <is>
          <t>A 19274-2019</t>
        </is>
      </c>
      <c r="B281" s="1" t="n">
        <v>43564</v>
      </c>
      <c r="C281" s="1" t="n">
        <v>45349</v>
      </c>
      <c r="D281" t="inlineStr">
        <is>
          <t>VÄSTERNORRLANDS LÄN</t>
        </is>
      </c>
      <c r="E281" t="inlineStr">
        <is>
          <t>ÅNGE</t>
        </is>
      </c>
      <c r="G281" t="n">
        <v>2.1</v>
      </c>
      <c r="H281" t="n">
        <v>0</v>
      </c>
      <c r="I281" t="n">
        <v>0</v>
      </c>
      <c r="J281" t="n">
        <v>0</v>
      </c>
      <c r="K281" t="n">
        <v>0</v>
      </c>
      <c r="L281" t="n">
        <v>0</v>
      </c>
      <c r="M281" t="n">
        <v>0</v>
      </c>
      <c r="N281" t="n">
        <v>0</v>
      </c>
      <c r="O281" t="n">
        <v>0</v>
      </c>
      <c r="P281" t="n">
        <v>0</v>
      </c>
      <c r="Q281" t="n">
        <v>0</v>
      </c>
      <c r="R281" s="2" t="inlineStr"/>
    </row>
    <row r="282" ht="15" customHeight="1">
      <c r="A282" t="inlineStr">
        <is>
          <t>A 19266-2019</t>
        </is>
      </c>
      <c r="B282" s="1" t="n">
        <v>43564</v>
      </c>
      <c r="C282" s="1" t="n">
        <v>45349</v>
      </c>
      <c r="D282" t="inlineStr">
        <is>
          <t>VÄSTERNORRLANDS LÄN</t>
        </is>
      </c>
      <c r="E282" t="inlineStr">
        <is>
          <t>ÅNGE</t>
        </is>
      </c>
      <c r="G282" t="n">
        <v>4</v>
      </c>
      <c r="H282" t="n">
        <v>0</v>
      </c>
      <c r="I282" t="n">
        <v>0</v>
      </c>
      <c r="J282" t="n">
        <v>0</v>
      </c>
      <c r="K282" t="n">
        <v>0</v>
      </c>
      <c r="L282" t="n">
        <v>0</v>
      </c>
      <c r="M282" t="n">
        <v>0</v>
      </c>
      <c r="N282" t="n">
        <v>0</v>
      </c>
      <c r="O282" t="n">
        <v>0</v>
      </c>
      <c r="P282" t="n">
        <v>0</v>
      </c>
      <c r="Q282" t="n">
        <v>0</v>
      </c>
      <c r="R282" s="2" t="inlineStr"/>
    </row>
    <row r="283" ht="15" customHeight="1">
      <c r="A283" t="inlineStr">
        <is>
          <t>A 19270-2019</t>
        </is>
      </c>
      <c r="B283" s="1" t="n">
        <v>43564</v>
      </c>
      <c r="C283" s="1" t="n">
        <v>45349</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19310-2019</t>
        </is>
      </c>
      <c r="B284" s="1" t="n">
        <v>43565</v>
      </c>
      <c r="C284" s="1" t="n">
        <v>45349</v>
      </c>
      <c r="D284" t="inlineStr">
        <is>
          <t>VÄSTERNORRLANDS LÄN</t>
        </is>
      </c>
      <c r="E284" t="inlineStr">
        <is>
          <t>ÅNGE</t>
        </is>
      </c>
      <c r="G284" t="n">
        <v>1.4</v>
      </c>
      <c r="H284" t="n">
        <v>0</v>
      </c>
      <c r="I284" t="n">
        <v>0</v>
      </c>
      <c r="J284" t="n">
        <v>0</v>
      </c>
      <c r="K284" t="n">
        <v>0</v>
      </c>
      <c r="L284" t="n">
        <v>0</v>
      </c>
      <c r="M284" t="n">
        <v>0</v>
      </c>
      <c r="N284" t="n">
        <v>0</v>
      </c>
      <c r="O284" t="n">
        <v>0</v>
      </c>
      <c r="P284" t="n">
        <v>0</v>
      </c>
      <c r="Q284" t="n">
        <v>0</v>
      </c>
      <c r="R284" s="2" t="inlineStr"/>
    </row>
    <row r="285" ht="15" customHeight="1">
      <c r="A285" t="inlineStr">
        <is>
          <t>A 20062-2019</t>
        </is>
      </c>
      <c r="B285" s="1" t="n">
        <v>43570</v>
      </c>
      <c r="C285" s="1" t="n">
        <v>45349</v>
      </c>
      <c r="D285" t="inlineStr">
        <is>
          <t>VÄSTERNORRLANDS LÄN</t>
        </is>
      </c>
      <c r="E285" t="inlineStr">
        <is>
          <t>ÅNGE</t>
        </is>
      </c>
      <c r="G285" t="n">
        <v>4.3</v>
      </c>
      <c r="H285" t="n">
        <v>0</v>
      </c>
      <c r="I285" t="n">
        <v>0</v>
      </c>
      <c r="J285" t="n">
        <v>0</v>
      </c>
      <c r="K285" t="n">
        <v>0</v>
      </c>
      <c r="L285" t="n">
        <v>0</v>
      </c>
      <c r="M285" t="n">
        <v>0</v>
      </c>
      <c r="N285" t="n">
        <v>0</v>
      </c>
      <c r="O285" t="n">
        <v>0</v>
      </c>
      <c r="P285" t="n">
        <v>0</v>
      </c>
      <c r="Q285" t="n">
        <v>0</v>
      </c>
      <c r="R285" s="2" t="inlineStr"/>
    </row>
    <row r="286" ht="15" customHeight="1">
      <c r="A286" t="inlineStr">
        <is>
          <t>A 20102-2019</t>
        </is>
      </c>
      <c r="B286" s="1" t="n">
        <v>43570</v>
      </c>
      <c r="C286" s="1" t="n">
        <v>45349</v>
      </c>
      <c r="D286" t="inlineStr">
        <is>
          <t>VÄSTERNORRLANDS LÄN</t>
        </is>
      </c>
      <c r="E286" t="inlineStr">
        <is>
          <t>ÅNGE</t>
        </is>
      </c>
      <c r="F286" t="inlineStr">
        <is>
          <t>Övriga Aktiebolag</t>
        </is>
      </c>
      <c r="G286" t="n">
        <v>3.6</v>
      </c>
      <c r="H286" t="n">
        <v>0</v>
      </c>
      <c r="I286" t="n">
        <v>0</v>
      </c>
      <c r="J286" t="n">
        <v>0</v>
      </c>
      <c r="K286" t="n">
        <v>0</v>
      </c>
      <c r="L286" t="n">
        <v>0</v>
      </c>
      <c r="M286" t="n">
        <v>0</v>
      </c>
      <c r="N286" t="n">
        <v>0</v>
      </c>
      <c r="O286" t="n">
        <v>0</v>
      </c>
      <c r="P286" t="n">
        <v>0</v>
      </c>
      <c r="Q286" t="n">
        <v>0</v>
      </c>
      <c r="R286" s="2" t="inlineStr"/>
    </row>
    <row r="287" ht="15" customHeight="1">
      <c r="A287" t="inlineStr">
        <is>
          <t>A 20397-2019</t>
        </is>
      </c>
      <c r="B287" s="1" t="n">
        <v>43571</v>
      </c>
      <c r="C287" s="1" t="n">
        <v>45349</v>
      </c>
      <c r="D287" t="inlineStr">
        <is>
          <t>VÄSTERNORRLANDS LÄN</t>
        </is>
      </c>
      <c r="E287" t="inlineStr">
        <is>
          <t>ÅNGE</t>
        </is>
      </c>
      <c r="G287" t="n">
        <v>2.4</v>
      </c>
      <c r="H287" t="n">
        <v>0</v>
      </c>
      <c r="I287" t="n">
        <v>0</v>
      </c>
      <c r="J287" t="n">
        <v>0</v>
      </c>
      <c r="K287" t="n">
        <v>0</v>
      </c>
      <c r="L287" t="n">
        <v>0</v>
      </c>
      <c r="M287" t="n">
        <v>0</v>
      </c>
      <c r="N287" t="n">
        <v>0</v>
      </c>
      <c r="O287" t="n">
        <v>0</v>
      </c>
      <c r="P287" t="n">
        <v>0</v>
      </c>
      <c r="Q287" t="n">
        <v>0</v>
      </c>
      <c r="R287" s="2" t="inlineStr"/>
    </row>
    <row r="288" ht="15" customHeight="1">
      <c r="A288" t="inlineStr">
        <is>
          <t>A 20400-2019</t>
        </is>
      </c>
      <c r="B288" s="1" t="n">
        <v>43571</v>
      </c>
      <c r="C288" s="1" t="n">
        <v>45349</v>
      </c>
      <c r="D288" t="inlineStr">
        <is>
          <t>VÄSTERNORRLANDS LÄN</t>
        </is>
      </c>
      <c r="E288" t="inlineStr">
        <is>
          <t>ÅNGE</t>
        </is>
      </c>
      <c r="G288" t="n">
        <v>0.2</v>
      </c>
      <c r="H288" t="n">
        <v>0</v>
      </c>
      <c r="I288" t="n">
        <v>0</v>
      </c>
      <c r="J288" t="n">
        <v>0</v>
      </c>
      <c r="K288" t="n">
        <v>0</v>
      </c>
      <c r="L288" t="n">
        <v>0</v>
      </c>
      <c r="M288" t="n">
        <v>0</v>
      </c>
      <c r="N288" t="n">
        <v>0</v>
      </c>
      <c r="O288" t="n">
        <v>0</v>
      </c>
      <c r="P288" t="n">
        <v>0</v>
      </c>
      <c r="Q288" t="n">
        <v>0</v>
      </c>
      <c r="R288" s="2" t="inlineStr"/>
    </row>
    <row r="289" ht="15" customHeight="1">
      <c r="A289" t="inlineStr">
        <is>
          <t>A 20600-2019</t>
        </is>
      </c>
      <c r="B289" s="1" t="n">
        <v>43572</v>
      </c>
      <c r="C289" s="1" t="n">
        <v>45349</v>
      </c>
      <c r="D289" t="inlineStr">
        <is>
          <t>VÄSTERNORRLANDS LÄN</t>
        </is>
      </c>
      <c r="E289" t="inlineStr">
        <is>
          <t>ÅNGE</t>
        </is>
      </c>
      <c r="G289" t="n">
        <v>3.9</v>
      </c>
      <c r="H289" t="n">
        <v>0</v>
      </c>
      <c r="I289" t="n">
        <v>0</v>
      </c>
      <c r="J289" t="n">
        <v>0</v>
      </c>
      <c r="K289" t="n">
        <v>0</v>
      </c>
      <c r="L289" t="n">
        <v>0</v>
      </c>
      <c r="M289" t="n">
        <v>0</v>
      </c>
      <c r="N289" t="n">
        <v>0</v>
      </c>
      <c r="O289" t="n">
        <v>0</v>
      </c>
      <c r="P289" t="n">
        <v>0</v>
      </c>
      <c r="Q289" t="n">
        <v>0</v>
      </c>
      <c r="R289" s="2" t="inlineStr"/>
    </row>
    <row r="290" ht="15" customHeight="1">
      <c r="A290" t="inlineStr">
        <is>
          <t>A 21375-2019</t>
        </is>
      </c>
      <c r="B290" s="1" t="n">
        <v>43579</v>
      </c>
      <c r="C290" s="1" t="n">
        <v>45349</v>
      </c>
      <c r="D290" t="inlineStr">
        <is>
          <t>VÄSTERNORRLANDS LÄN</t>
        </is>
      </c>
      <c r="E290" t="inlineStr">
        <is>
          <t>ÅNGE</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21715-2019</t>
        </is>
      </c>
      <c r="B291" s="1" t="n">
        <v>43581</v>
      </c>
      <c r="C291" s="1" t="n">
        <v>45349</v>
      </c>
      <c r="D291" t="inlineStr">
        <is>
          <t>VÄSTERNORRLANDS LÄN</t>
        </is>
      </c>
      <c r="E291" t="inlineStr">
        <is>
          <t>ÅNGE</t>
        </is>
      </c>
      <c r="G291" t="n">
        <v>1.7</v>
      </c>
      <c r="H291" t="n">
        <v>0</v>
      </c>
      <c r="I291" t="n">
        <v>0</v>
      </c>
      <c r="J291" t="n">
        <v>0</v>
      </c>
      <c r="K291" t="n">
        <v>0</v>
      </c>
      <c r="L291" t="n">
        <v>0</v>
      </c>
      <c r="M291" t="n">
        <v>0</v>
      </c>
      <c r="N291" t="n">
        <v>0</v>
      </c>
      <c r="O291" t="n">
        <v>0</v>
      </c>
      <c r="P291" t="n">
        <v>0</v>
      </c>
      <c r="Q291" t="n">
        <v>0</v>
      </c>
      <c r="R291" s="2" t="inlineStr"/>
    </row>
    <row r="292" ht="15" customHeight="1">
      <c r="A292" t="inlineStr">
        <is>
          <t>A 21726-2019</t>
        </is>
      </c>
      <c r="B292" s="1" t="n">
        <v>43581</v>
      </c>
      <c r="C292" s="1" t="n">
        <v>45349</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21795-2019</t>
        </is>
      </c>
      <c r="B293" s="1" t="n">
        <v>43581</v>
      </c>
      <c r="C293" s="1" t="n">
        <v>45349</v>
      </c>
      <c r="D293" t="inlineStr">
        <is>
          <t>VÄSTERNORRLANDS LÄN</t>
        </is>
      </c>
      <c r="E293" t="inlineStr">
        <is>
          <t>ÅNGE</t>
        </is>
      </c>
      <c r="F293" t="inlineStr">
        <is>
          <t>SCA</t>
        </is>
      </c>
      <c r="G293" t="n">
        <v>7.2</v>
      </c>
      <c r="H293" t="n">
        <v>0</v>
      </c>
      <c r="I293" t="n">
        <v>0</v>
      </c>
      <c r="J293" t="n">
        <v>0</v>
      </c>
      <c r="K293" t="n">
        <v>0</v>
      </c>
      <c r="L293" t="n">
        <v>0</v>
      </c>
      <c r="M293" t="n">
        <v>0</v>
      </c>
      <c r="N293" t="n">
        <v>0</v>
      </c>
      <c r="O293" t="n">
        <v>0</v>
      </c>
      <c r="P293" t="n">
        <v>0</v>
      </c>
      <c r="Q293" t="n">
        <v>0</v>
      </c>
      <c r="R293" s="2" t="inlineStr"/>
    </row>
    <row r="294" ht="15" customHeight="1">
      <c r="A294" t="inlineStr">
        <is>
          <t>A 21633-2019</t>
        </is>
      </c>
      <c r="B294" s="1" t="n">
        <v>43581</v>
      </c>
      <c r="C294" s="1" t="n">
        <v>45349</v>
      </c>
      <c r="D294" t="inlineStr">
        <is>
          <t>VÄSTERNORRLANDS LÄN</t>
        </is>
      </c>
      <c r="E294" t="inlineStr">
        <is>
          <t>ÅNGE</t>
        </is>
      </c>
      <c r="G294" t="n">
        <v>7.1</v>
      </c>
      <c r="H294" t="n">
        <v>0</v>
      </c>
      <c r="I294" t="n">
        <v>0</v>
      </c>
      <c r="J294" t="n">
        <v>0</v>
      </c>
      <c r="K294" t="n">
        <v>0</v>
      </c>
      <c r="L294" t="n">
        <v>0</v>
      </c>
      <c r="M294" t="n">
        <v>0</v>
      </c>
      <c r="N294" t="n">
        <v>0</v>
      </c>
      <c r="O294" t="n">
        <v>0</v>
      </c>
      <c r="P294" t="n">
        <v>0</v>
      </c>
      <c r="Q294" t="n">
        <v>0</v>
      </c>
      <c r="R294" s="2" t="inlineStr"/>
    </row>
    <row r="295" ht="15" customHeight="1">
      <c r="A295" t="inlineStr">
        <is>
          <t>A 22202-2019</t>
        </is>
      </c>
      <c r="B295" s="1" t="n">
        <v>43585</v>
      </c>
      <c r="C295" s="1" t="n">
        <v>45349</v>
      </c>
      <c r="D295" t="inlineStr">
        <is>
          <t>VÄSTERNORRLANDS LÄN</t>
        </is>
      </c>
      <c r="E295" t="inlineStr">
        <is>
          <t>ÅNGE</t>
        </is>
      </c>
      <c r="F295" t="inlineStr">
        <is>
          <t>Holmen skog AB</t>
        </is>
      </c>
      <c r="G295" t="n">
        <v>1.8</v>
      </c>
      <c r="H295" t="n">
        <v>0</v>
      </c>
      <c r="I295" t="n">
        <v>0</v>
      </c>
      <c r="J295" t="n">
        <v>0</v>
      </c>
      <c r="K295" t="n">
        <v>0</v>
      </c>
      <c r="L295" t="n">
        <v>0</v>
      </c>
      <c r="M295" t="n">
        <v>0</v>
      </c>
      <c r="N295" t="n">
        <v>0</v>
      </c>
      <c r="O295" t="n">
        <v>0</v>
      </c>
      <c r="P295" t="n">
        <v>0</v>
      </c>
      <c r="Q295" t="n">
        <v>0</v>
      </c>
      <c r="R295" s="2" t="inlineStr"/>
    </row>
    <row r="296" ht="15" customHeight="1">
      <c r="A296" t="inlineStr">
        <is>
          <t>A 23403-2019</t>
        </is>
      </c>
      <c r="B296" s="1" t="n">
        <v>43592</v>
      </c>
      <c r="C296" s="1" t="n">
        <v>45349</v>
      </c>
      <c r="D296" t="inlineStr">
        <is>
          <t>VÄSTERNORRLANDS LÄN</t>
        </is>
      </c>
      <c r="E296" t="inlineStr">
        <is>
          <t>ÅNGE</t>
        </is>
      </c>
      <c r="G296" t="n">
        <v>2.2</v>
      </c>
      <c r="H296" t="n">
        <v>0</v>
      </c>
      <c r="I296" t="n">
        <v>0</v>
      </c>
      <c r="J296" t="n">
        <v>0</v>
      </c>
      <c r="K296" t="n">
        <v>0</v>
      </c>
      <c r="L296" t="n">
        <v>0</v>
      </c>
      <c r="M296" t="n">
        <v>0</v>
      </c>
      <c r="N296" t="n">
        <v>0</v>
      </c>
      <c r="O296" t="n">
        <v>0</v>
      </c>
      <c r="P296" t="n">
        <v>0</v>
      </c>
      <c r="Q296" t="n">
        <v>0</v>
      </c>
      <c r="R296" s="2" t="inlineStr"/>
    </row>
    <row r="297" ht="15" customHeight="1">
      <c r="A297" t="inlineStr">
        <is>
          <t>A 23288-2019</t>
        </is>
      </c>
      <c r="B297" s="1" t="n">
        <v>43593</v>
      </c>
      <c r="C297" s="1" t="n">
        <v>45349</v>
      </c>
      <c r="D297" t="inlineStr">
        <is>
          <t>VÄSTERNORRLANDS LÄN</t>
        </is>
      </c>
      <c r="E297" t="inlineStr">
        <is>
          <t>ÅNGE</t>
        </is>
      </c>
      <c r="G297" t="n">
        <v>2.9</v>
      </c>
      <c r="H297" t="n">
        <v>0</v>
      </c>
      <c r="I297" t="n">
        <v>0</v>
      </c>
      <c r="J297" t="n">
        <v>0</v>
      </c>
      <c r="K297" t="n">
        <v>0</v>
      </c>
      <c r="L297" t="n">
        <v>0</v>
      </c>
      <c r="M297" t="n">
        <v>0</v>
      </c>
      <c r="N297" t="n">
        <v>0</v>
      </c>
      <c r="O297" t="n">
        <v>0</v>
      </c>
      <c r="P297" t="n">
        <v>0</v>
      </c>
      <c r="Q297" t="n">
        <v>0</v>
      </c>
      <c r="R297" s="2" t="inlineStr"/>
    </row>
    <row r="298" ht="15" customHeight="1">
      <c r="A298" t="inlineStr">
        <is>
          <t>A 24567-2019</t>
        </is>
      </c>
      <c r="B298" s="1" t="n">
        <v>43600</v>
      </c>
      <c r="C298" s="1" t="n">
        <v>45349</v>
      </c>
      <c r="D298" t="inlineStr">
        <is>
          <t>VÄSTERNORRLANDS LÄN</t>
        </is>
      </c>
      <c r="E298" t="inlineStr">
        <is>
          <t>ÅNGE</t>
        </is>
      </c>
      <c r="G298" t="n">
        <v>2.7</v>
      </c>
      <c r="H298" t="n">
        <v>0</v>
      </c>
      <c r="I298" t="n">
        <v>0</v>
      </c>
      <c r="J298" t="n">
        <v>0</v>
      </c>
      <c r="K298" t="n">
        <v>0</v>
      </c>
      <c r="L298" t="n">
        <v>0</v>
      </c>
      <c r="M298" t="n">
        <v>0</v>
      </c>
      <c r="N298" t="n">
        <v>0</v>
      </c>
      <c r="O298" t="n">
        <v>0</v>
      </c>
      <c r="P298" t="n">
        <v>0</v>
      </c>
      <c r="Q298" t="n">
        <v>0</v>
      </c>
      <c r="R298" s="2" t="inlineStr"/>
    </row>
    <row r="299" ht="15" customHeight="1">
      <c r="A299" t="inlineStr">
        <is>
          <t>A 24568-2019</t>
        </is>
      </c>
      <c r="B299" s="1" t="n">
        <v>43600</v>
      </c>
      <c r="C299" s="1" t="n">
        <v>45349</v>
      </c>
      <c r="D299" t="inlineStr">
        <is>
          <t>VÄSTERNORRLANDS LÄN</t>
        </is>
      </c>
      <c r="E299" t="inlineStr">
        <is>
          <t>ÅNGE</t>
        </is>
      </c>
      <c r="G299" t="n">
        <v>3.2</v>
      </c>
      <c r="H299" t="n">
        <v>0</v>
      </c>
      <c r="I299" t="n">
        <v>0</v>
      </c>
      <c r="J299" t="n">
        <v>0</v>
      </c>
      <c r="K299" t="n">
        <v>0</v>
      </c>
      <c r="L299" t="n">
        <v>0</v>
      </c>
      <c r="M299" t="n">
        <v>0</v>
      </c>
      <c r="N299" t="n">
        <v>0</v>
      </c>
      <c r="O299" t="n">
        <v>0</v>
      </c>
      <c r="P299" t="n">
        <v>0</v>
      </c>
      <c r="Q299" t="n">
        <v>0</v>
      </c>
      <c r="R299" s="2" t="inlineStr"/>
    </row>
    <row r="300" ht="15" customHeight="1">
      <c r="A300" t="inlineStr">
        <is>
          <t>A 24569-2019</t>
        </is>
      </c>
      <c r="B300" s="1" t="n">
        <v>43600</v>
      </c>
      <c r="C300" s="1" t="n">
        <v>45349</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24781-2019</t>
        </is>
      </c>
      <c r="B301" s="1" t="n">
        <v>43601</v>
      </c>
      <c r="C301" s="1" t="n">
        <v>45349</v>
      </c>
      <c r="D301" t="inlineStr">
        <is>
          <t>VÄSTERNORRLANDS LÄN</t>
        </is>
      </c>
      <c r="E301" t="inlineStr">
        <is>
          <t>ÅNGE</t>
        </is>
      </c>
      <c r="F301" t="inlineStr">
        <is>
          <t>SCA</t>
        </is>
      </c>
      <c r="G301" t="n">
        <v>14.6</v>
      </c>
      <c r="H301" t="n">
        <v>0</v>
      </c>
      <c r="I301" t="n">
        <v>0</v>
      </c>
      <c r="J301" t="n">
        <v>0</v>
      </c>
      <c r="K301" t="n">
        <v>0</v>
      </c>
      <c r="L301" t="n">
        <v>0</v>
      </c>
      <c r="M301" t="n">
        <v>0</v>
      </c>
      <c r="N301" t="n">
        <v>0</v>
      </c>
      <c r="O301" t="n">
        <v>0</v>
      </c>
      <c r="P301" t="n">
        <v>0</v>
      </c>
      <c r="Q301" t="n">
        <v>0</v>
      </c>
      <c r="R301" s="2" t="inlineStr"/>
    </row>
    <row r="302" ht="15" customHeight="1">
      <c r="A302" t="inlineStr">
        <is>
          <t>A 25453-2019</t>
        </is>
      </c>
      <c r="B302" s="1" t="n">
        <v>43606</v>
      </c>
      <c r="C302" s="1" t="n">
        <v>45349</v>
      </c>
      <c r="D302" t="inlineStr">
        <is>
          <t>VÄSTERNORRLANDS LÄN</t>
        </is>
      </c>
      <c r="E302" t="inlineStr">
        <is>
          <t>ÅNGE</t>
        </is>
      </c>
      <c r="G302" t="n">
        <v>2.1</v>
      </c>
      <c r="H302" t="n">
        <v>0</v>
      </c>
      <c r="I302" t="n">
        <v>0</v>
      </c>
      <c r="J302" t="n">
        <v>0</v>
      </c>
      <c r="K302" t="n">
        <v>0</v>
      </c>
      <c r="L302" t="n">
        <v>0</v>
      </c>
      <c r="M302" t="n">
        <v>0</v>
      </c>
      <c r="N302" t="n">
        <v>0</v>
      </c>
      <c r="O302" t="n">
        <v>0</v>
      </c>
      <c r="P302" t="n">
        <v>0</v>
      </c>
      <c r="Q302" t="n">
        <v>0</v>
      </c>
      <c r="R302" s="2" t="inlineStr"/>
    </row>
    <row r="303" ht="15" customHeight="1">
      <c r="A303" t="inlineStr">
        <is>
          <t>A 25549-2019</t>
        </is>
      </c>
      <c r="B303" s="1" t="n">
        <v>43607</v>
      </c>
      <c r="C303" s="1" t="n">
        <v>45349</v>
      </c>
      <c r="D303" t="inlineStr">
        <is>
          <t>VÄSTERNORRLANDS LÄN</t>
        </is>
      </c>
      <c r="E303" t="inlineStr">
        <is>
          <t>ÅNGE</t>
        </is>
      </c>
      <c r="G303" t="n">
        <v>2.8</v>
      </c>
      <c r="H303" t="n">
        <v>0</v>
      </c>
      <c r="I303" t="n">
        <v>0</v>
      </c>
      <c r="J303" t="n">
        <v>0</v>
      </c>
      <c r="K303" t="n">
        <v>0</v>
      </c>
      <c r="L303" t="n">
        <v>0</v>
      </c>
      <c r="M303" t="n">
        <v>0</v>
      </c>
      <c r="N303" t="n">
        <v>0</v>
      </c>
      <c r="O303" t="n">
        <v>0</v>
      </c>
      <c r="P303" t="n">
        <v>0</v>
      </c>
      <c r="Q303" t="n">
        <v>0</v>
      </c>
      <c r="R303" s="2" t="inlineStr"/>
    </row>
    <row r="304" ht="15" customHeight="1">
      <c r="A304" t="inlineStr">
        <is>
          <t>A 26545-2019</t>
        </is>
      </c>
      <c r="B304" s="1" t="n">
        <v>43612</v>
      </c>
      <c r="C304" s="1" t="n">
        <v>45349</v>
      </c>
      <c r="D304" t="inlineStr">
        <is>
          <t>VÄSTERNORRLANDS LÄN</t>
        </is>
      </c>
      <c r="E304" t="inlineStr">
        <is>
          <t>ÅNGE</t>
        </is>
      </c>
      <c r="G304" t="n">
        <v>1</v>
      </c>
      <c r="H304" t="n">
        <v>0</v>
      </c>
      <c r="I304" t="n">
        <v>0</v>
      </c>
      <c r="J304" t="n">
        <v>0</v>
      </c>
      <c r="K304" t="n">
        <v>0</v>
      </c>
      <c r="L304" t="n">
        <v>0</v>
      </c>
      <c r="M304" t="n">
        <v>0</v>
      </c>
      <c r="N304" t="n">
        <v>0</v>
      </c>
      <c r="O304" t="n">
        <v>0</v>
      </c>
      <c r="P304" t="n">
        <v>0</v>
      </c>
      <c r="Q304" t="n">
        <v>0</v>
      </c>
      <c r="R304" s="2" t="inlineStr"/>
    </row>
    <row r="305" ht="15" customHeight="1">
      <c r="A305" t="inlineStr">
        <is>
          <t>A 27211-2019</t>
        </is>
      </c>
      <c r="B305" s="1" t="n">
        <v>43614</v>
      </c>
      <c r="C305" s="1" t="n">
        <v>45349</v>
      </c>
      <c r="D305" t="inlineStr">
        <is>
          <t>VÄSTERNORRLANDS LÄN</t>
        </is>
      </c>
      <c r="E305" t="inlineStr">
        <is>
          <t>ÅNGE</t>
        </is>
      </c>
      <c r="F305" t="inlineStr">
        <is>
          <t>SCA</t>
        </is>
      </c>
      <c r="G305" t="n">
        <v>1.7</v>
      </c>
      <c r="H305" t="n">
        <v>0</v>
      </c>
      <c r="I305" t="n">
        <v>0</v>
      </c>
      <c r="J305" t="n">
        <v>0</v>
      </c>
      <c r="K305" t="n">
        <v>0</v>
      </c>
      <c r="L305" t="n">
        <v>0</v>
      </c>
      <c r="M305" t="n">
        <v>0</v>
      </c>
      <c r="N305" t="n">
        <v>0</v>
      </c>
      <c r="O305" t="n">
        <v>0</v>
      </c>
      <c r="P305" t="n">
        <v>0</v>
      </c>
      <c r="Q305" t="n">
        <v>0</v>
      </c>
      <c r="R305" s="2" t="inlineStr"/>
    </row>
    <row r="306" ht="15" customHeight="1">
      <c r="A306" t="inlineStr">
        <is>
          <t>A 27759-2019</t>
        </is>
      </c>
      <c r="B306" s="1" t="n">
        <v>43619</v>
      </c>
      <c r="C306" s="1" t="n">
        <v>45349</v>
      </c>
      <c r="D306" t="inlineStr">
        <is>
          <t>VÄSTERNORRLANDS LÄN</t>
        </is>
      </c>
      <c r="E306" t="inlineStr">
        <is>
          <t>ÅNGE</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28856-2019</t>
        </is>
      </c>
      <c r="B307" s="1" t="n">
        <v>43627</v>
      </c>
      <c r="C307" s="1" t="n">
        <v>45349</v>
      </c>
      <c r="D307" t="inlineStr">
        <is>
          <t>VÄSTERNORRLANDS LÄN</t>
        </is>
      </c>
      <c r="E307" t="inlineStr">
        <is>
          <t>ÅNGE</t>
        </is>
      </c>
      <c r="G307" t="n">
        <v>6.9</v>
      </c>
      <c r="H307" t="n">
        <v>0</v>
      </c>
      <c r="I307" t="n">
        <v>0</v>
      </c>
      <c r="J307" t="n">
        <v>0</v>
      </c>
      <c r="K307" t="n">
        <v>0</v>
      </c>
      <c r="L307" t="n">
        <v>0</v>
      </c>
      <c r="M307" t="n">
        <v>0</v>
      </c>
      <c r="N307" t="n">
        <v>0</v>
      </c>
      <c r="O307" t="n">
        <v>0</v>
      </c>
      <c r="P307" t="n">
        <v>0</v>
      </c>
      <c r="Q307" t="n">
        <v>0</v>
      </c>
      <c r="R307" s="2" t="inlineStr"/>
    </row>
    <row r="308" ht="15" customHeight="1">
      <c r="A308" t="inlineStr">
        <is>
          <t>A 28858-2019</t>
        </is>
      </c>
      <c r="B308" s="1" t="n">
        <v>43627</v>
      </c>
      <c r="C308" s="1" t="n">
        <v>45349</v>
      </c>
      <c r="D308" t="inlineStr">
        <is>
          <t>VÄSTERNORRLANDS LÄN</t>
        </is>
      </c>
      <c r="E308" t="inlineStr">
        <is>
          <t>ÅNGE</t>
        </is>
      </c>
      <c r="G308" t="n">
        <v>0.7</v>
      </c>
      <c r="H308" t="n">
        <v>0</v>
      </c>
      <c r="I308" t="n">
        <v>0</v>
      </c>
      <c r="J308" t="n">
        <v>0</v>
      </c>
      <c r="K308" t="n">
        <v>0</v>
      </c>
      <c r="L308" t="n">
        <v>0</v>
      </c>
      <c r="M308" t="n">
        <v>0</v>
      </c>
      <c r="N308" t="n">
        <v>0</v>
      </c>
      <c r="O308" t="n">
        <v>0</v>
      </c>
      <c r="P308" t="n">
        <v>0</v>
      </c>
      <c r="Q308" t="n">
        <v>0</v>
      </c>
      <c r="R308" s="2" t="inlineStr"/>
    </row>
    <row r="309" ht="15" customHeight="1">
      <c r="A309" t="inlineStr">
        <is>
          <t>A 28857-2019</t>
        </is>
      </c>
      <c r="B309" s="1" t="n">
        <v>43627</v>
      </c>
      <c r="C309" s="1" t="n">
        <v>45349</v>
      </c>
      <c r="D309" t="inlineStr">
        <is>
          <t>VÄSTERNORRLANDS LÄN</t>
        </is>
      </c>
      <c r="E309" t="inlineStr">
        <is>
          <t>ÅNGE</t>
        </is>
      </c>
      <c r="G309" t="n">
        <v>4.1</v>
      </c>
      <c r="H309" t="n">
        <v>0</v>
      </c>
      <c r="I309" t="n">
        <v>0</v>
      </c>
      <c r="J309" t="n">
        <v>0</v>
      </c>
      <c r="K309" t="n">
        <v>0</v>
      </c>
      <c r="L309" t="n">
        <v>0</v>
      </c>
      <c r="M309" t="n">
        <v>0</v>
      </c>
      <c r="N309" t="n">
        <v>0</v>
      </c>
      <c r="O309" t="n">
        <v>0</v>
      </c>
      <c r="P309" t="n">
        <v>0</v>
      </c>
      <c r="Q309" t="n">
        <v>0</v>
      </c>
      <c r="R309" s="2" t="inlineStr"/>
    </row>
    <row r="310" ht="15" customHeight="1">
      <c r="A310" t="inlineStr">
        <is>
          <t>A 28855-2019</t>
        </is>
      </c>
      <c r="B310" s="1" t="n">
        <v>43627</v>
      </c>
      <c r="C310" s="1" t="n">
        <v>45349</v>
      </c>
      <c r="D310" t="inlineStr">
        <is>
          <t>VÄSTERNORRLANDS LÄN</t>
        </is>
      </c>
      <c r="E310" t="inlineStr">
        <is>
          <t>ÅNGE</t>
        </is>
      </c>
      <c r="G310" t="n">
        <v>8.6</v>
      </c>
      <c r="H310" t="n">
        <v>0</v>
      </c>
      <c r="I310" t="n">
        <v>0</v>
      </c>
      <c r="J310" t="n">
        <v>0</v>
      </c>
      <c r="K310" t="n">
        <v>0</v>
      </c>
      <c r="L310" t="n">
        <v>0</v>
      </c>
      <c r="M310" t="n">
        <v>0</v>
      </c>
      <c r="N310" t="n">
        <v>0</v>
      </c>
      <c r="O310" t="n">
        <v>0</v>
      </c>
      <c r="P310" t="n">
        <v>0</v>
      </c>
      <c r="Q310" t="n">
        <v>0</v>
      </c>
      <c r="R310" s="2" t="inlineStr"/>
    </row>
    <row r="311" ht="15" customHeight="1">
      <c r="A311" t="inlineStr">
        <is>
          <t>A 29141-2019</t>
        </is>
      </c>
      <c r="B311" s="1" t="n">
        <v>43628</v>
      </c>
      <c r="C311" s="1" t="n">
        <v>45349</v>
      </c>
      <c r="D311" t="inlineStr">
        <is>
          <t>VÄSTERNORRLANDS LÄN</t>
        </is>
      </c>
      <c r="E311" t="inlineStr">
        <is>
          <t>ÅNGE</t>
        </is>
      </c>
      <c r="G311" t="n">
        <v>0.2</v>
      </c>
      <c r="H311" t="n">
        <v>0</v>
      </c>
      <c r="I311" t="n">
        <v>0</v>
      </c>
      <c r="J311" t="n">
        <v>0</v>
      </c>
      <c r="K311" t="n">
        <v>0</v>
      </c>
      <c r="L311" t="n">
        <v>0</v>
      </c>
      <c r="M311" t="n">
        <v>0</v>
      </c>
      <c r="N311" t="n">
        <v>0</v>
      </c>
      <c r="O311" t="n">
        <v>0</v>
      </c>
      <c r="P311" t="n">
        <v>0</v>
      </c>
      <c r="Q311" t="n">
        <v>0</v>
      </c>
      <c r="R311" s="2" t="inlineStr"/>
    </row>
    <row r="312" ht="15" customHeight="1">
      <c r="A312" t="inlineStr">
        <is>
          <t>A 29794-2019</t>
        </is>
      </c>
      <c r="B312" s="1" t="n">
        <v>43633</v>
      </c>
      <c r="C312" s="1" t="n">
        <v>45349</v>
      </c>
      <c r="D312" t="inlineStr">
        <is>
          <t>VÄSTERNORRLANDS LÄN</t>
        </is>
      </c>
      <c r="E312" t="inlineStr">
        <is>
          <t>ÅNGE</t>
        </is>
      </c>
      <c r="G312" t="n">
        <v>0.8</v>
      </c>
      <c r="H312" t="n">
        <v>0</v>
      </c>
      <c r="I312" t="n">
        <v>0</v>
      </c>
      <c r="J312" t="n">
        <v>0</v>
      </c>
      <c r="K312" t="n">
        <v>0</v>
      </c>
      <c r="L312" t="n">
        <v>0</v>
      </c>
      <c r="M312" t="n">
        <v>0</v>
      </c>
      <c r="N312" t="n">
        <v>0</v>
      </c>
      <c r="O312" t="n">
        <v>0</v>
      </c>
      <c r="P312" t="n">
        <v>0</v>
      </c>
      <c r="Q312" t="n">
        <v>0</v>
      </c>
      <c r="R312" s="2" t="inlineStr"/>
    </row>
    <row r="313" ht="15" customHeight="1">
      <c r="A313" t="inlineStr">
        <is>
          <t>A 29786-2019</t>
        </is>
      </c>
      <c r="B313" s="1" t="n">
        <v>43633</v>
      </c>
      <c r="C313" s="1" t="n">
        <v>45349</v>
      </c>
      <c r="D313" t="inlineStr">
        <is>
          <t>VÄSTERNORRLANDS LÄN</t>
        </is>
      </c>
      <c r="E313" t="inlineStr">
        <is>
          <t>ÅNGE</t>
        </is>
      </c>
      <c r="G313" t="n">
        <v>1.8</v>
      </c>
      <c r="H313" t="n">
        <v>0</v>
      </c>
      <c r="I313" t="n">
        <v>0</v>
      </c>
      <c r="J313" t="n">
        <v>0</v>
      </c>
      <c r="K313" t="n">
        <v>0</v>
      </c>
      <c r="L313" t="n">
        <v>0</v>
      </c>
      <c r="M313" t="n">
        <v>0</v>
      </c>
      <c r="N313" t="n">
        <v>0</v>
      </c>
      <c r="O313" t="n">
        <v>0</v>
      </c>
      <c r="P313" t="n">
        <v>0</v>
      </c>
      <c r="Q313" t="n">
        <v>0</v>
      </c>
      <c r="R313" s="2" t="inlineStr"/>
    </row>
    <row r="314" ht="15" customHeight="1">
      <c r="A314" t="inlineStr">
        <is>
          <t>A 31001-2019</t>
        </is>
      </c>
      <c r="B314" s="1" t="n">
        <v>43640</v>
      </c>
      <c r="C314" s="1" t="n">
        <v>45349</v>
      </c>
      <c r="D314" t="inlineStr">
        <is>
          <t>VÄSTERNORRLANDS LÄN</t>
        </is>
      </c>
      <c r="E314" t="inlineStr">
        <is>
          <t>ÅNGE</t>
        </is>
      </c>
      <c r="G314" t="n">
        <v>0.2</v>
      </c>
      <c r="H314" t="n">
        <v>0</v>
      </c>
      <c r="I314" t="n">
        <v>0</v>
      </c>
      <c r="J314" t="n">
        <v>0</v>
      </c>
      <c r="K314" t="n">
        <v>0</v>
      </c>
      <c r="L314" t="n">
        <v>0</v>
      </c>
      <c r="M314" t="n">
        <v>0</v>
      </c>
      <c r="N314" t="n">
        <v>0</v>
      </c>
      <c r="O314" t="n">
        <v>0</v>
      </c>
      <c r="P314" t="n">
        <v>0</v>
      </c>
      <c r="Q314" t="n">
        <v>0</v>
      </c>
      <c r="R314" s="2" t="inlineStr"/>
    </row>
    <row r="315" ht="15" customHeight="1">
      <c r="A315" t="inlineStr">
        <is>
          <t>A 31804-2019</t>
        </is>
      </c>
      <c r="B315" s="1" t="n">
        <v>43642</v>
      </c>
      <c r="C315" s="1" t="n">
        <v>45349</v>
      </c>
      <c r="D315" t="inlineStr">
        <is>
          <t>VÄSTERNORRLANDS LÄN</t>
        </is>
      </c>
      <c r="E315" t="inlineStr">
        <is>
          <t>ÅNGE</t>
        </is>
      </c>
      <c r="G315" t="n">
        <v>10.3</v>
      </c>
      <c r="H315" t="n">
        <v>0</v>
      </c>
      <c r="I315" t="n">
        <v>0</v>
      </c>
      <c r="J315" t="n">
        <v>0</v>
      </c>
      <c r="K315" t="n">
        <v>0</v>
      </c>
      <c r="L315" t="n">
        <v>0</v>
      </c>
      <c r="M315" t="n">
        <v>0</v>
      </c>
      <c r="N315" t="n">
        <v>0</v>
      </c>
      <c r="O315" t="n">
        <v>0</v>
      </c>
      <c r="P315" t="n">
        <v>0</v>
      </c>
      <c r="Q315" t="n">
        <v>0</v>
      </c>
      <c r="R315" s="2" t="inlineStr"/>
    </row>
    <row r="316" ht="15" customHeight="1">
      <c r="A316" t="inlineStr">
        <is>
          <t>A 32740-2019</t>
        </is>
      </c>
      <c r="B316" s="1" t="n">
        <v>43647</v>
      </c>
      <c r="C316" s="1" t="n">
        <v>45349</v>
      </c>
      <c r="D316" t="inlineStr">
        <is>
          <t>VÄSTERNORRLANDS LÄN</t>
        </is>
      </c>
      <c r="E316" t="inlineStr">
        <is>
          <t>ÅNGE</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33471-2019</t>
        </is>
      </c>
      <c r="B317" s="1" t="n">
        <v>43650</v>
      </c>
      <c r="C317" s="1" t="n">
        <v>45349</v>
      </c>
      <c r="D317" t="inlineStr">
        <is>
          <t>VÄSTERNORRLANDS LÄN</t>
        </is>
      </c>
      <c r="E317" t="inlineStr">
        <is>
          <t>ÅNGE</t>
        </is>
      </c>
      <c r="F317" t="inlineStr">
        <is>
          <t>SCA</t>
        </is>
      </c>
      <c r="G317" t="n">
        <v>11</v>
      </c>
      <c r="H317" t="n">
        <v>0</v>
      </c>
      <c r="I317" t="n">
        <v>0</v>
      </c>
      <c r="J317" t="n">
        <v>0</v>
      </c>
      <c r="K317" t="n">
        <v>0</v>
      </c>
      <c r="L317" t="n">
        <v>0</v>
      </c>
      <c r="M317" t="n">
        <v>0</v>
      </c>
      <c r="N317" t="n">
        <v>0</v>
      </c>
      <c r="O317" t="n">
        <v>0</v>
      </c>
      <c r="P317" t="n">
        <v>0</v>
      </c>
      <c r="Q317" t="n">
        <v>0</v>
      </c>
      <c r="R317" s="2" t="inlineStr"/>
    </row>
    <row r="318" ht="15" customHeight="1">
      <c r="A318" t="inlineStr">
        <is>
          <t>A 33470-2019</t>
        </is>
      </c>
      <c r="B318" s="1" t="n">
        <v>43650</v>
      </c>
      <c r="C318" s="1" t="n">
        <v>45349</v>
      </c>
      <c r="D318" t="inlineStr">
        <is>
          <t>VÄSTERNORRLANDS LÄN</t>
        </is>
      </c>
      <c r="E318" t="inlineStr">
        <is>
          <t>ÅNGE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34135-2019</t>
        </is>
      </c>
      <c r="B319" s="1" t="n">
        <v>43654</v>
      </c>
      <c r="C319" s="1" t="n">
        <v>45349</v>
      </c>
      <c r="D319" t="inlineStr">
        <is>
          <t>VÄSTERNORRLANDS LÄN</t>
        </is>
      </c>
      <c r="E319" t="inlineStr">
        <is>
          <t>ÅNGE</t>
        </is>
      </c>
      <c r="G319" t="n">
        <v>0.3</v>
      </c>
      <c r="H319" t="n">
        <v>0</v>
      </c>
      <c r="I319" t="n">
        <v>0</v>
      </c>
      <c r="J319" t="n">
        <v>0</v>
      </c>
      <c r="K319" t="n">
        <v>0</v>
      </c>
      <c r="L319" t="n">
        <v>0</v>
      </c>
      <c r="M319" t="n">
        <v>0</v>
      </c>
      <c r="N319" t="n">
        <v>0</v>
      </c>
      <c r="O319" t="n">
        <v>0</v>
      </c>
      <c r="P319" t="n">
        <v>0</v>
      </c>
      <c r="Q319" t="n">
        <v>0</v>
      </c>
      <c r="R319" s="2" t="inlineStr"/>
      <c r="U319">
        <f>HYPERLINK("https://klasma.github.io/Logging_2260/knärot/A 34135-2019 karta knärot.png", "A 34135-2019")</f>
        <v/>
      </c>
      <c r="V319">
        <f>HYPERLINK("https://klasma.github.io/Logging_2260/klagomål/A 34135-2019 FSC-klagomål.docx", "A 34135-2019")</f>
        <v/>
      </c>
      <c r="W319">
        <f>HYPERLINK("https://klasma.github.io/Logging_2260/klagomålsmail/A 34135-2019 FSC-klagomål mail.docx", "A 34135-2019")</f>
        <v/>
      </c>
      <c r="X319">
        <f>HYPERLINK("https://klasma.github.io/Logging_2260/tillsyn/A 34135-2019 tillsynsbegäran.docx", "A 34135-2019")</f>
        <v/>
      </c>
      <c r="Y319">
        <f>HYPERLINK("https://klasma.github.io/Logging_2260/tillsynsmail/A 34135-2019 tillsynsbegäran mail.docx", "A 34135-2019")</f>
        <v/>
      </c>
    </row>
    <row r="320" ht="15" customHeight="1">
      <c r="A320" t="inlineStr">
        <is>
          <t>A 36438-2019</t>
        </is>
      </c>
      <c r="B320" s="1" t="n">
        <v>43664</v>
      </c>
      <c r="C320" s="1" t="n">
        <v>45349</v>
      </c>
      <c r="D320" t="inlineStr">
        <is>
          <t>VÄSTERNORRLANDS LÄN</t>
        </is>
      </c>
      <c r="E320" t="inlineStr">
        <is>
          <t>ÅNGE</t>
        </is>
      </c>
      <c r="G320" t="n">
        <v>1.1</v>
      </c>
      <c r="H320" t="n">
        <v>0</v>
      </c>
      <c r="I320" t="n">
        <v>0</v>
      </c>
      <c r="J320" t="n">
        <v>0</v>
      </c>
      <c r="K320" t="n">
        <v>0</v>
      </c>
      <c r="L320" t="n">
        <v>0</v>
      </c>
      <c r="M320" t="n">
        <v>0</v>
      </c>
      <c r="N320" t="n">
        <v>0</v>
      </c>
      <c r="O320" t="n">
        <v>0</v>
      </c>
      <c r="P320" t="n">
        <v>0</v>
      </c>
      <c r="Q320" t="n">
        <v>0</v>
      </c>
      <c r="R320" s="2" t="inlineStr"/>
    </row>
    <row r="321" ht="15" customHeight="1">
      <c r="A321" t="inlineStr">
        <is>
          <t>A 36311-2019</t>
        </is>
      </c>
      <c r="B321" s="1" t="n">
        <v>43670</v>
      </c>
      <c r="C321" s="1" t="n">
        <v>45349</v>
      </c>
      <c r="D321" t="inlineStr">
        <is>
          <t>VÄSTERNORRLANDS LÄN</t>
        </is>
      </c>
      <c r="E321" t="inlineStr">
        <is>
          <t>ÅNGE</t>
        </is>
      </c>
      <c r="G321" t="n">
        <v>3.1</v>
      </c>
      <c r="H321" t="n">
        <v>0</v>
      </c>
      <c r="I321" t="n">
        <v>0</v>
      </c>
      <c r="J321" t="n">
        <v>0</v>
      </c>
      <c r="K321" t="n">
        <v>0</v>
      </c>
      <c r="L321" t="n">
        <v>0</v>
      </c>
      <c r="M321" t="n">
        <v>0</v>
      </c>
      <c r="N321" t="n">
        <v>0</v>
      </c>
      <c r="O321" t="n">
        <v>0</v>
      </c>
      <c r="P321" t="n">
        <v>0</v>
      </c>
      <c r="Q321" t="n">
        <v>0</v>
      </c>
      <c r="R321" s="2" t="inlineStr"/>
    </row>
    <row r="322" ht="15" customHeight="1">
      <c r="A322" t="inlineStr">
        <is>
          <t>A 37745-2019</t>
        </is>
      </c>
      <c r="B322" s="1" t="n">
        <v>43679</v>
      </c>
      <c r="C322" s="1" t="n">
        <v>45349</v>
      </c>
      <c r="D322" t="inlineStr">
        <is>
          <t>VÄSTERNORRLANDS LÄN</t>
        </is>
      </c>
      <c r="E322" t="inlineStr">
        <is>
          <t>ÅNGE</t>
        </is>
      </c>
      <c r="G322" t="n">
        <v>11.4</v>
      </c>
      <c r="H322" t="n">
        <v>0</v>
      </c>
      <c r="I322" t="n">
        <v>0</v>
      </c>
      <c r="J322" t="n">
        <v>0</v>
      </c>
      <c r="K322" t="n">
        <v>0</v>
      </c>
      <c r="L322" t="n">
        <v>0</v>
      </c>
      <c r="M322" t="n">
        <v>0</v>
      </c>
      <c r="N322" t="n">
        <v>0</v>
      </c>
      <c r="O322" t="n">
        <v>0</v>
      </c>
      <c r="P322" t="n">
        <v>0</v>
      </c>
      <c r="Q322" t="n">
        <v>0</v>
      </c>
      <c r="R322" s="2" t="inlineStr"/>
    </row>
    <row r="323" ht="15" customHeight="1">
      <c r="A323" t="inlineStr">
        <is>
          <t>A 37887-2019</t>
        </is>
      </c>
      <c r="B323" s="1" t="n">
        <v>43682</v>
      </c>
      <c r="C323" s="1" t="n">
        <v>45349</v>
      </c>
      <c r="D323" t="inlineStr">
        <is>
          <t>VÄSTERNORRLANDS LÄN</t>
        </is>
      </c>
      <c r="E323" t="inlineStr">
        <is>
          <t>ÅNGE</t>
        </is>
      </c>
      <c r="G323" t="n">
        <v>3</v>
      </c>
      <c r="H323" t="n">
        <v>0</v>
      </c>
      <c r="I323" t="n">
        <v>0</v>
      </c>
      <c r="J323" t="n">
        <v>0</v>
      </c>
      <c r="K323" t="n">
        <v>0</v>
      </c>
      <c r="L323" t="n">
        <v>0</v>
      </c>
      <c r="M323" t="n">
        <v>0</v>
      </c>
      <c r="N323" t="n">
        <v>0</v>
      </c>
      <c r="O323" t="n">
        <v>0</v>
      </c>
      <c r="P323" t="n">
        <v>0</v>
      </c>
      <c r="Q323" t="n">
        <v>0</v>
      </c>
      <c r="R323" s="2" t="inlineStr"/>
    </row>
    <row r="324" ht="15" customHeight="1">
      <c r="A324" t="inlineStr">
        <is>
          <t>A 37954-2019</t>
        </is>
      </c>
      <c r="B324" s="1" t="n">
        <v>43683</v>
      </c>
      <c r="C324" s="1" t="n">
        <v>45349</v>
      </c>
      <c r="D324" t="inlineStr">
        <is>
          <t>VÄSTERNORRLANDS LÄN</t>
        </is>
      </c>
      <c r="E324" t="inlineStr">
        <is>
          <t>ÅNGE</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38222-2019</t>
        </is>
      </c>
      <c r="B325" s="1" t="n">
        <v>43684</v>
      </c>
      <c r="C325" s="1" t="n">
        <v>45349</v>
      </c>
      <c r="D325" t="inlineStr">
        <is>
          <t>VÄSTERNORRLANDS LÄN</t>
        </is>
      </c>
      <c r="E325" t="inlineStr">
        <is>
          <t>ÅNGE</t>
        </is>
      </c>
      <c r="G325" t="n">
        <v>4.4</v>
      </c>
      <c r="H325" t="n">
        <v>0</v>
      </c>
      <c r="I325" t="n">
        <v>0</v>
      </c>
      <c r="J325" t="n">
        <v>0</v>
      </c>
      <c r="K325" t="n">
        <v>0</v>
      </c>
      <c r="L325" t="n">
        <v>0</v>
      </c>
      <c r="M325" t="n">
        <v>0</v>
      </c>
      <c r="N325" t="n">
        <v>0</v>
      </c>
      <c r="O325" t="n">
        <v>0</v>
      </c>
      <c r="P325" t="n">
        <v>0</v>
      </c>
      <c r="Q325" t="n">
        <v>0</v>
      </c>
      <c r="R325" s="2" t="inlineStr"/>
    </row>
    <row r="326" ht="15" customHeight="1">
      <c r="A326" t="inlineStr">
        <is>
          <t>A 38215-2019</t>
        </is>
      </c>
      <c r="B326" s="1" t="n">
        <v>43684</v>
      </c>
      <c r="C326" s="1" t="n">
        <v>45349</v>
      </c>
      <c r="D326" t="inlineStr">
        <is>
          <t>VÄSTERNORRLANDS LÄN</t>
        </is>
      </c>
      <c r="E326" t="inlineStr">
        <is>
          <t>ÅNGE</t>
        </is>
      </c>
      <c r="G326" t="n">
        <v>5.6</v>
      </c>
      <c r="H326" t="n">
        <v>0</v>
      </c>
      <c r="I326" t="n">
        <v>0</v>
      </c>
      <c r="J326" t="n">
        <v>0</v>
      </c>
      <c r="K326" t="n">
        <v>0</v>
      </c>
      <c r="L326" t="n">
        <v>0</v>
      </c>
      <c r="M326" t="n">
        <v>0</v>
      </c>
      <c r="N326" t="n">
        <v>0</v>
      </c>
      <c r="O326" t="n">
        <v>0</v>
      </c>
      <c r="P326" t="n">
        <v>0</v>
      </c>
      <c r="Q326" t="n">
        <v>0</v>
      </c>
      <c r="R326" s="2" t="inlineStr"/>
    </row>
    <row r="327" ht="15" customHeight="1">
      <c r="A327" t="inlineStr">
        <is>
          <t>A 38310-2019</t>
        </is>
      </c>
      <c r="B327" s="1" t="n">
        <v>43684</v>
      </c>
      <c r="C327" s="1" t="n">
        <v>45349</v>
      </c>
      <c r="D327" t="inlineStr">
        <is>
          <t>VÄSTERNORRLANDS LÄN</t>
        </is>
      </c>
      <c r="E327" t="inlineStr">
        <is>
          <t>ÅNGE</t>
        </is>
      </c>
      <c r="F327" t="inlineStr">
        <is>
          <t>SCA</t>
        </is>
      </c>
      <c r="G327" t="n">
        <v>6.1</v>
      </c>
      <c r="H327" t="n">
        <v>0</v>
      </c>
      <c r="I327" t="n">
        <v>0</v>
      </c>
      <c r="J327" t="n">
        <v>0</v>
      </c>
      <c r="K327" t="n">
        <v>0</v>
      </c>
      <c r="L327" t="n">
        <v>0</v>
      </c>
      <c r="M327" t="n">
        <v>0</v>
      </c>
      <c r="N327" t="n">
        <v>0</v>
      </c>
      <c r="O327" t="n">
        <v>0</v>
      </c>
      <c r="P327" t="n">
        <v>0</v>
      </c>
      <c r="Q327" t="n">
        <v>0</v>
      </c>
      <c r="R327" s="2" t="inlineStr"/>
    </row>
    <row r="328" ht="15" customHeight="1">
      <c r="A328" t="inlineStr">
        <is>
          <t>A 38573-2019</t>
        </is>
      </c>
      <c r="B328" s="1" t="n">
        <v>43685</v>
      </c>
      <c r="C328" s="1" t="n">
        <v>45349</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39403-2019</t>
        </is>
      </c>
      <c r="B329" s="1" t="n">
        <v>43690</v>
      </c>
      <c r="C329" s="1" t="n">
        <v>45349</v>
      </c>
      <c r="D329" t="inlineStr">
        <is>
          <t>VÄSTERNORRLANDS LÄN</t>
        </is>
      </c>
      <c r="E329" t="inlineStr">
        <is>
          <t>ÅNGE</t>
        </is>
      </c>
      <c r="F329" t="inlineStr">
        <is>
          <t>SCA</t>
        </is>
      </c>
      <c r="G329" t="n">
        <v>3.8</v>
      </c>
      <c r="H329" t="n">
        <v>0</v>
      </c>
      <c r="I329" t="n">
        <v>0</v>
      </c>
      <c r="J329" t="n">
        <v>0</v>
      </c>
      <c r="K329" t="n">
        <v>0</v>
      </c>
      <c r="L329" t="n">
        <v>0</v>
      </c>
      <c r="M329" t="n">
        <v>0</v>
      </c>
      <c r="N329" t="n">
        <v>0</v>
      </c>
      <c r="O329" t="n">
        <v>0</v>
      </c>
      <c r="P329" t="n">
        <v>0</v>
      </c>
      <c r="Q329" t="n">
        <v>0</v>
      </c>
      <c r="R329" s="2" t="inlineStr"/>
    </row>
    <row r="330" ht="15" customHeight="1">
      <c r="A330" t="inlineStr">
        <is>
          <t>A 41510-2019</t>
        </is>
      </c>
      <c r="B330" s="1" t="n">
        <v>43696</v>
      </c>
      <c r="C330" s="1" t="n">
        <v>45349</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41018-2019</t>
        </is>
      </c>
      <c r="B331" s="1" t="n">
        <v>43697</v>
      </c>
      <c r="C331" s="1" t="n">
        <v>45349</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42066-2019</t>
        </is>
      </c>
      <c r="B332" s="1" t="n">
        <v>43700</v>
      </c>
      <c r="C332" s="1" t="n">
        <v>45349</v>
      </c>
      <c r="D332" t="inlineStr">
        <is>
          <t>VÄSTERNORRLANDS LÄN</t>
        </is>
      </c>
      <c r="E332" t="inlineStr">
        <is>
          <t>ÅNGE</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43240-2019</t>
        </is>
      </c>
      <c r="B333" s="1" t="n">
        <v>43706</v>
      </c>
      <c r="C333" s="1" t="n">
        <v>45349</v>
      </c>
      <c r="D333" t="inlineStr">
        <is>
          <t>VÄSTERNORRLANDS LÄN</t>
        </is>
      </c>
      <c r="E333" t="inlineStr">
        <is>
          <t>ÅNGE</t>
        </is>
      </c>
      <c r="G333" t="n">
        <v>2.5</v>
      </c>
      <c r="H333" t="n">
        <v>0</v>
      </c>
      <c r="I333" t="n">
        <v>0</v>
      </c>
      <c r="J333" t="n">
        <v>0</v>
      </c>
      <c r="K333" t="n">
        <v>0</v>
      </c>
      <c r="L333" t="n">
        <v>0</v>
      </c>
      <c r="M333" t="n">
        <v>0</v>
      </c>
      <c r="N333" t="n">
        <v>0</v>
      </c>
      <c r="O333" t="n">
        <v>0</v>
      </c>
      <c r="P333" t="n">
        <v>0</v>
      </c>
      <c r="Q333" t="n">
        <v>0</v>
      </c>
      <c r="R333" s="2" t="inlineStr"/>
    </row>
    <row r="334" ht="15" customHeight="1">
      <c r="A334" t="inlineStr">
        <is>
          <t>A 43250-2019</t>
        </is>
      </c>
      <c r="B334" s="1" t="n">
        <v>43706</v>
      </c>
      <c r="C334" s="1" t="n">
        <v>45349</v>
      </c>
      <c r="D334" t="inlineStr">
        <is>
          <t>VÄSTERNORRLANDS LÄN</t>
        </is>
      </c>
      <c r="E334" t="inlineStr">
        <is>
          <t>ÅNGE</t>
        </is>
      </c>
      <c r="G334" t="n">
        <v>2</v>
      </c>
      <c r="H334" t="n">
        <v>0</v>
      </c>
      <c r="I334" t="n">
        <v>0</v>
      </c>
      <c r="J334" t="n">
        <v>0</v>
      </c>
      <c r="K334" t="n">
        <v>0</v>
      </c>
      <c r="L334" t="n">
        <v>0</v>
      </c>
      <c r="M334" t="n">
        <v>0</v>
      </c>
      <c r="N334" t="n">
        <v>0</v>
      </c>
      <c r="O334" t="n">
        <v>0</v>
      </c>
      <c r="P334" t="n">
        <v>0</v>
      </c>
      <c r="Q334" t="n">
        <v>0</v>
      </c>
      <c r="R334" s="2" t="inlineStr"/>
    </row>
    <row r="335" ht="15" customHeight="1">
      <c r="A335" t="inlineStr">
        <is>
          <t>A 43236-2019</t>
        </is>
      </c>
      <c r="B335" s="1" t="n">
        <v>43706</v>
      </c>
      <c r="C335" s="1" t="n">
        <v>45349</v>
      </c>
      <c r="D335" t="inlineStr">
        <is>
          <t>VÄSTERNORRLANDS LÄN</t>
        </is>
      </c>
      <c r="E335" t="inlineStr">
        <is>
          <t>ÅNGE</t>
        </is>
      </c>
      <c r="G335" t="n">
        <v>33.1</v>
      </c>
      <c r="H335" t="n">
        <v>0</v>
      </c>
      <c r="I335" t="n">
        <v>0</v>
      </c>
      <c r="J335" t="n">
        <v>0</v>
      </c>
      <c r="K335" t="n">
        <v>0</v>
      </c>
      <c r="L335" t="n">
        <v>0</v>
      </c>
      <c r="M335" t="n">
        <v>0</v>
      </c>
      <c r="N335" t="n">
        <v>0</v>
      </c>
      <c r="O335" t="n">
        <v>0</v>
      </c>
      <c r="P335" t="n">
        <v>0</v>
      </c>
      <c r="Q335" t="n">
        <v>0</v>
      </c>
      <c r="R335" s="2" t="inlineStr"/>
    </row>
    <row r="336" ht="15" customHeight="1">
      <c r="A336" t="inlineStr">
        <is>
          <t>A 43248-2019</t>
        </is>
      </c>
      <c r="B336" s="1" t="n">
        <v>43706</v>
      </c>
      <c r="C336" s="1" t="n">
        <v>45349</v>
      </c>
      <c r="D336" t="inlineStr">
        <is>
          <t>VÄSTERNORRLANDS LÄN</t>
        </is>
      </c>
      <c r="E336" t="inlineStr">
        <is>
          <t>ÅNGE</t>
        </is>
      </c>
      <c r="G336" t="n">
        <v>2</v>
      </c>
      <c r="H336" t="n">
        <v>0</v>
      </c>
      <c r="I336" t="n">
        <v>0</v>
      </c>
      <c r="J336" t="n">
        <v>0</v>
      </c>
      <c r="K336" t="n">
        <v>0</v>
      </c>
      <c r="L336" t="n">
        <v>0</v>
      </c>
      <c r="M336" t="n">
        <v>0</v>
      </c>
      <c r="N336" t="n">
        <v>0</v>
      </c>
      <c r="O336" t="n">
        <v>0</v>
      </c>
      <c r="P336" t="n">
        <v>0</v>
      </c>
      <c r="Q336" t="n">
        <v>0</v>
      </c>
      <c r="R336" s="2" t="inlineStr"/>
    </row>
    <row r="337" ht="15" customHeight="1">
      <c r="A337" t="inlineStr">
        <is>
          <t>A 43241-2019</t>
        </is>
      </c>
      <c r="B337" s="1" t="n">
        <v>43706</v>
      </c>
      <c r="C337" s="1" t="n">
        <v>45349</v>
      </c>
      <c r="D337" t="inlineStr">
        <is>
          <t>VÄSTERNORRLANDS LÄN</t>
        </is>
      </c>
      <c r="E337" t="inlineStr">
        <is>
          <t>ÅNGE</t>
        </is>
      </c>
      <c r="G337" t="n">
        <v>8.1</v>
      </c>
      <c r="H337" t="n">
        <v>0</v>
      </c>
      <c r="I337" t="n">
        <v>0</v>
      </c>
      <c r="J337" t="n">
        <v>0</v>
      </c>
      <c r="K337" t="n">
        <v>0</v>
      </c>
      <c r="L337" t="n">
        <v>0</v>
      </c>
      <c r="M337" t="n">
        <v>0</v>
      </c>
      <c r="N337" t="n">
        <v>0</v>
      </c>
      <c r="O337" t="n">
        <v>0</v>
      </c>
      <c r="P337" t="n">
        <v>0</v>
      </c>
      <c r="Q337" t="n">
        <v>0</v>
      </c>
      <c r="R337" s="2" t="inlineStr"/>
    </row>
    <row r="338" ht="15" customHeight="1">
      <c r="A338" t="inlineStr">
        <is>
          <t>A 43254-2019</t>
        </is>
      </c>
      <c r="B338" s="1" t="n">
        <v>43706</v>
      </c>
      <c r="C338" s="1" t="n">
        <v>45349</v>
      </c>
      <c r="D338" t="inlineStr">
        <is>
          <t>VÄSTERNORRLANDS LÄN</t>
        </is>
      </c>
      <c r="E338" t="inlineStr">
        <is>
          <t>ÅNGE</t>
        </is>
      </c>
      <c r="G338" t="n">
        <v>2.6</v>
      </c>
      <c r="H338" t="n">
        <v>0</v>
      </c>
      <c r="I338" t="n">
        <v>0</v>
      </c>
      <c r="J338" t="n">
        <v>0</v>
      </c>
      <c r="K338" t="n">
        <v>0</v>
      </c>
      <c r="L338" t="n">
        <v>0</v>
      </c>
      <c r="M338" t="n">
        <v>0</v>
      </c>
      <c r="N338" t="n">
        <v>0</v>
      </c>
      <c r="O338" t="n">
        <v>0</v>
      </c>
      <c r="P338" t="n">
        <v>0</v>
      </c>
      <c r="Q338" t="n">
        <v>0</v>
      </c>
      <c r="R338" s="2" t="inlineStr"/>
    </row>
    <row r="339" ht="15" customHeight="1">
      <c r="A339" t="inlineStr">
        <is>
          <t>A 43509-2019</t>
        </is>
      </c>
      <c r="B339" s="1" t="n">
        <v>43706</v>
      </c>
      <c r="C339" s="1" t="n">
        <v>45349</v>
      </c>
      <c r="D339" t="inlineStr">
        <is>
          <t>VÄSTERNORRLANDS LÄN</t>
        </is>
      </c>
      <c r="E339" t="inlineStr">
        <is>
          <t>ÅNGE</t>
        </is>
      </c>
      <c r="G339" t="n">
        <v>4.2</v>
      </c>
      <c r="H339" t="n">
        <v>0</v>
      </c>
      <c r="I339" t="n">
        <v>0</v>
      </c>
      <c r="J339" t="n">
        <v>0</v>
      </c>
      <c r="K339" t="n">
        <v>0</v>
      </c>
      <c r="L339" t="n">
        <v>0</v>
      </c>
      <c r="M339" t="n">
        <v>0</v>
      </c>
      <c r="N339" t="n">
        <v>0</v>
      </c>
      <c r="O339" t="n">
        <v>0</v>
      </c>
      <c r="P339" t="n">
        <v>0</v>
      </c>
      <c r="Q339" t="n">
        <v>0</v>
      </c>
      <c r="R339" s="2" t="inlineStr"/>
    </row>
    <row r="340" ht="15" customHeight="1">
      <c r="A340" t="inlineStr">
        <is>
          <t>A 43517-2019</t>
        </is>
      </c>
      <c r="B340" s="1" t="n">
        <v>43706</v>
      </c>
      <c r="C340" s="1" t="n">
        <v>45349</v>
      </c>
      <c r="D340" t="inlineStr">
        <is>
          <t>VÄSTERNORRLANDS LÄN</t>
        </is>
      </c>
      <c r="E340" t="inlineStr">
        <is>
          <t>ÅNGE</t>
        </is>
      </c>
      <c r="G340" t="n">
        <v>2.1</v>
      </c>
      <c r="H340" t="n">
        <v>0</v>
      </c>
      <c r="I340" t="n">
        <v>0</v>
      </c>
      <c r="J340" t="n">
        <v>0</v>
      </c>
      <c r="K340" t="n">
        <v>0</v>
      </c>
      <c r="L340" t="n">
        <v>0</v>
      </c>
      <c r="M340" t="n">
        <v>0</v>
      </c>
      <c r="N340" t="n">
        <v>0</v>
      </c>
      <c r="O340" t="n">
        <v>0</v>
      </c>
      <c r="P340" t="n">
        <v>0</v>
      </c>
      <c r="Q340" t="n">
        <v>0</v>
      </c>
      <c r="R340" s="2" t="inlineStr"/>
    </row>
    <row r="341" ht="15" customHeight="1">
      <c r="A341" t="inlineStr">
        <is>
          <t>A 43895-2019</t>
        </is>
      </c>
      <c r="B341" s="1" t="n">
        <v>43707</v>
      </c>
      <c r="C341" s="1" t="n">
        <v>45349</v>
      </c>
      <c r="D341" t="inlineStr">
        <is>
          <t>VÄSTERNORRLANDS LÄN</t>
        </is>
      </c>
      <c r="E341" t="inlineStr">
        <is>
          <t>ÅNGE</t>
        </is>
      </c>
      <c r="G341" t="n">
        <v>5.1</v>
      </c>
      <c r="H341" t="n">
        <v>0</v>
      </c>
      <c r="I341" t="n">
        <v>0</v>
      </c>
      <c r="J341" t="n">
        <v>0</v>
      </c>
      <c r="K341" t="n">
        <v>0</v>
      </c>
      <c r="L341" t="n">
        <v>0</v>
      </c>
      <c r="M341" t="n">
        <v>0</v>
      </c>
      <c r="N341" t="n">
        <v>0</v>
      </c>
      <c r="O341" t="n">
        <v>0</v>
      </c>
      <c r="P341" t="n">
        <v>0</v>
      </c>
      <c r="Q341" t="n">
        <v>0</v>
      </c>
      <c r="R341" s="2" t="inlineStr"/>
    </row>
    <row r="342" ht="15" customHeight="1">
      <c r="A342" t="inlineStr">
        <is>
          <t>A 44313-2019</t>
        </is>
      </c>
      <c r="B342" s="1" t="n">
        <v>43710</v>
      </c>
      <c r="C342" s="1" t="n">
        <v>45349</v>
      </c>
      <c r="D342" t="inlineStr">
        <is>
          <t>VÄSTERNORRLANDS LÄN</t>
        </is>
      </c>
      <c r="E342" t="inlineStr">
        <is>
          <t>ÅNGE</t>
        </is>
      </c>
      <c r="F342" t="inlineStr">
        <is>
          <t>SCA</t>
        </is>
      </c>
      <c r="G342" t="n">
        <v>8.9</v>
      </c>
      <c r="H342" t="n">
        <v>0</v>
      </c>
      <c r="I342" t="n">
        <v>0</v>
      </c>
      <c r="J342" t="n">
        <v>0</v>
      </c>
      <c r="K342" t="n">
        <v>0</v>
      </c>
      <c r="L342" t="n">
        <v>0</v>
      </c>
      <c r="M342" t="n">
        <v>0</v>
      </c>
      <c r="N342" t="n">
        <v>0</v>
      </c>
      <c r="O342" t="n">
        <v>0</v>
      </c>
      <c r="P342" t="n">
        <v>0</v>
      </c>
      <c r="Q342" t="n">
        <v>0</v>
      </c>
      <c r="R342" s="2" t="inlineStr"/>
    </row>
    <row r="343" ht="15" customHeight="1">
      <c r="A343" t="inlineStr">
        <is>
          <t>A 45274-2019</t>
        </is>
      </c>
      <c r="B343" s="1" t="n">
        <v>43713</v>
      </c>
      <c r="C343" s="1" t="n">
        <v>45349</v>
      </c>
      <c r="D343" t="inlineStr">
        <is>
          <t>VÄSTERNORRLANDS LÄN</t>
        </is>
      </c>
      <c r="E343" t="inlineStr">
        <is>
          <t>ÅNGE</t>
        </is>
      </c>
      <c r="G343" t="n">
        <v>0.7</v>
      </c>
      <c r="H343" t="n">
        <v>0</v>
      </c>
      <c r="I343" t="n">
        <v>0</v>
      </c>
      <c r="J343" t="n">
        <v>0</v>
      </c>
      <c r="K343" t="n">
        <v>0</v>
      </c>
      <c r="L343" t="n">
        <v>0</v>
      </c>
      <c r="M343" t="n">
        <v>0</v>
      </c>
      <c r="N343" t="n">
        <v>0</v>
      </c>
      <c r="O343" t="n">
        <v>0</v>
      </c>
      <c r="P343" t="n">
        <v>0</v>
      </c>
      <c r="Q343" t="n">
        <v>0</v>
      </c>
      <c r="R343" s="2" t="inlineStr"/>
    </row>
    <row r="344" ht="15" customHeight="1">
      <c r="A344" t="inlineStr">
        <is>
          <t>A 48958-2019</t>
        </is>
      </c>
      <c r="B344" s="1" t="n">
        <v>43728</v>
      </c>
      <c r="C344" s="1" t="n">
        <v>45349</v>
      </c>
      <c r="D344" t="inlineStr">
        <is>
          <t>VÄSTERNORRLANDS LÄN</t>
        </is>
      </c>
      <c r="E344" t="inlineStr">
        <is>
          <t>ÅNGE</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50278-2019</t>
        </is>
      </c>
      <c r="B345" s="1" t="n">
        <v>43734</v>
      </c>
      <c r="C345" s="1" t="n">
        <v>45349</v>
      </c>
      <c r="D345" t="inlineStr">
        <is>
          <t>VÄSTERNORRLANDS LÄN</t>
        </is>
      </c>
      <c r="E345" t="inlineStr">
        <is>
          <t>ÅNGE</t>
        </is>
      </c>
      <c r="F345" t="inlineStr">
        <is>
          <t>SCA</t>
        </is>
      </c>
      <c r="G345" t="n">
        <v>8.5</v>
      </c>
      <c r="H345" t="n">
        <v>0</v>
      </c>
      <c r="I345" t="n">
        <v>0</v>
      </c>
      <c r="J345" t="n">
        <v>0</v>
      </c>
      <c r="K345" t="n">
        <v>0</v>
      </c>
      <c r="L345" t="n">
        <v>0</v>
      </c>
      <c r="M345" t="n">
        <v>0</v>
      </c>
      <c r="N345" t="n">
        <v>0</v>
      </c>
      <c r="O345" t="n">
        <v>0</v>
      </c>
      <c r="P345" t="n">
        <v>0</v>
      </c>
      <c r="Q345" t="n">
        <v>0</v>
      </c>
      <c r="R345" s="2" t="inlineStr"/>
    </row>
    <row r="346" ht="15" customHeight="1">
      <c r="A346" t="inlineStr">
        <is>
          <t>A 50280-2019</t>
        </is>
      </c>
      <c r="B346" s="1" t="n">
        <v>43734</v>
      </c>
      <c r="C346" s="1" t="n">
        <v>45349</v>
      </c>
      <c r="D346" t="inlineStr">
        <is>
          <t>VÄSTERNORRLANDS LÄN</t>
        </is>
      </c>
      <c r="E346" t="inlineStr">
        <is>
          <t>ÅNGE</t>
        </is>
      </c>
      <c r="F346" t="inlineStr">
        <is>
          <t>SCA</t>
        </is>
      </c>
      <c r="G346" t="n">
        <v>7.7</v>
      </c>
      <c r="H346" t="n">
        <v>0</v>
      </c>
      <c r="I346" t="n">
        <v>0</v>
      </c>
      <c r="J346" t="n">
        <v>0</v>
      </c>
      <c r="K346" t="n">
        <v>0</v>
      </c>
      <c r="L346" t="n">
        <v>0</v>
      </c>
      <c r="M346" t="n">
        <v>0</v>
      </c>
      <c r="N346" t="n">
        <v>0</v>
      </c>
      <c r="O346" t="n">
        <v>0</v>
      </c>
      <c r="P346" t="n">
        <v>0</v>
      </c>
      <c r="Q346" t="n">
        <v>0</v>
      </c>
      <c r="R346" s="2" t="inlineStr"/>
    </row>
    <row r="347" ht="15" customHeight="1">
      <c r="A347" t="inlineStr">
        <is>
          <t>A 50352-2019</t>
        </is>
      </c>
      <c r="B347" s="1" t="n">
        <v>43735</v>
      </c>
      <c r="C347" s="1" t="n">
        <v>45349</v>
      </c>
      <c r="D347" t="inlineStr">
        <is>
          <t>VÄSTERNORRLANDS LÄN</t>
        </is>
      </c>
      <c r="E347" t="inlineStr">
        <is>
          <t>ÅNGE</t>
        </is>
      </c>
      <c r="G347" t="n">
        <v>1.3</v>
      </c>
      <c r="H347" t="n">
        <v>0</v>
      </c>
      <c r="I347" t="n">
        <v>0</v>
      </c>
      <c r="J347" t="n">
        <v>0</v>
      </c>
      <c r="K347" t="n">
        <v>0</v>
      </c>
      <c r="L347" t="n">
        <v>0</v>
      </c>
      <c r="M347" t="n">
        <v>0</v>
      </c>
      <c r="N347" t="n">
        <v>0</v>
      </c>
      <c r="O347" t="n">
        <v>0</v>
      </c>
      <c r="P347" t="n">
        <v>0</v>
      </c>
      <c r="Q347" t="n">
        <v>0</v>
      </c>
      <c r="R347" s="2" t="inlineStr"/>
    </row>
    <row r="348" ht="15" customHeight="1">
      <c r="A348" t="inlineStr">
        <is>
          <t>A 50997-2019</t>
        </is>
      </c>
      <c r="B348" s="1" t="n">
        <v>43738</v>
      </c>
      <c r="C348" s="1" t="n">
        <v>45349</v>
      </c>
      <c r="D348" t="inlineStr">
        <is>
          <t>VÄSTERNORRLANDS LÄN</t>
        </is>
      </c>
      <c r="E348" t="inlineStr">
        <is>
          <t>ÅNGE</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52505-2019</t>
        </is>
      </c>
      <c r="B349" s="1" t="n">
        <v>43738</v>
      </c>
      <c r="C349" s="1" t="n">
        <v>45349</v>
      </c>
      <c r="D349" t="inlineStr">
        <is>
          <t>VÄSTERNORRLANDS LÄN</t>
        </is>
      </c>
      <c r="E349" t="inlineStr">
        <is>
          <t>ÅNGE</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51321-2019</t>
        </is>
      </c>
      <c r="B350" s="1" t="n">
        <v>43739</v>
      </c>
      <c r="C350" s="1" t="n">
        <v>45349</v>
      </c>
      <c r="D350" t="inlineStr">
        <is>
          <t>VÄSTERNORRLANDS LÄN</t>
        </is>
      </c>
      <c r="E350" t="inlineStr">
        <is>
          <t>ÅNGE</t>
        </is>
      </c>
      <c r="G350" t="n">
        <v>9.4</v>
      </c>
      <c r="H350" t="n">
        <v>0</v>
      </c>
      <c r="I350" t="n">
        <v>0</v>
      </c>
      <c r="J350" t="n">
        <v>0</v>
      </c>
      <c r="K350" t="n">
        <v>0</v>
      </c>
      <c r="L350" t="n">
        <v>0</v>
      </c>
      <c r="M350" t="n">
        <v>0</v>
      </c>
      <c r="N350" t="n">
        <v>0</v>
      </c>
      <c r="O350" t="n">
        <v>0</v>
      </c>
      <c r="P350" t="n">
        <v>0</v>
      </c>
      <c r="Q350" t="n">
        <v>0</v>
      </c>
      <c r="R350" s="2" t="inlineStr"/>
    </row>
    <row r="351" ht="15" customHeight="1">
      <c r="A351" t="inlineStr">
        <is>
          <t>A 51947-2019</t>
        </is>
      </c>
      <c r="B351" s="1" t="n">
        <v>43741</v>
      </c>
      <c r="C351" s="1" t="n">
        <v>45349</v>
      </c>
      <c r="D351" t="inlineStr">
        <is>
          <t>VÄSTERNORRLANDS LÄN</t>
        </is>
      </c>
      <c r="E351" t="inlineStr">
        <is>
          <t>ÅNGE</t>
        </is>
      </c>
      <c r="G351" t="n">
        <v>1</v>
      </c>
      <c r="H351" t="n">
        <v>0</v>
      </c>
      <c r="I351" t="n">
        <v>0</v>
      </c>
      <c r="J351" t="n">
        <v>0</v>
      </c>
      <c r="K351" t="n">
        <v>0</v>
      </c>
      <c r="L351" t="n">
        <v>0</v>
      </c>
      <c r="M351" t="n">
        <v>0</v>
      </c>
      <c r="N351" t="n">
        <v>0</v>
      </c>
      <c r="O351" t="n">
        <v>0</v>
      </c>
      <c r="P351" t="n">
        <v>0</v>
      </c>
      <c r="Q351" t="n">
        <v>0</v>
      </c>
      <c r="R351" s="2" t="inlineStr"/>
    </row>
    <row r="352" ht="15" customHeight="1">
      <c r="A352" t="inlineStr">
        <is>
          <t>A 51946-2019</t>
        </is>
      </c>
      <c r="B352" s="1" t="n">
        <v>43741</v>
      </c>
      <c r="C352" s="1" t="n">
        <v>45349</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52171-2019</t>
        </is>
      </c>
      <c r="B353" s="1" t="n">
        <v>43742</v>
      </c>
      <c r="C353" s="1" t="n">
        <v>45349</v>
      </c>
      <c r="D353" t="inlineStr">
        <is>
          <t>VÄSTERNORRLANDS LÄN</t>
        </is>
      </c>
      <c r="E353" t="inlineStr">
        <is>
          <t>ÅNGE</t>
        </is>
      </c>
      <c r="G353" t="n">
        <v>2.9</v>
      </c>
      <c r="H353" t="n">
        <v>0</v>
      </c>
      <c r="I353" t="n">
        <v>0</v>
      </c>
      <c r="J353" t="n">
        <v>0</v>
      </c>
      <c r="K353" t="n">
        <v>0</v>
      </c>
      <c r="L353" t="n">
        <v>0</v>
      </c>
      <c r="M353" t="n">
        <v>0</v>
      </c>
      <c r="N353" t="n">
        <v>0</v>
      </c>
      <c r="O353" t="n">
        <v>0</v>
      </c>
      <c r="P353" t="n">
        <v>0</v>
      </c>
      <c r="Q353" t="n">
        <v>0</v>
      </c>
      <c r="R353" s="2" t="inlineStr"/>
    </row>
    <row r="354" ht="15" customHeight="1">
      <c r="A354" t="inlineStr">
        <is>
          <t>A 52684-2019</t>
        </is>
      </c>
      <c r="B354" s="1" t="n">
        <v>43746</v>
      </c>
      <c r="C354" s="1" t="n">
        <v>45349</v>
      </c>
      <c r="D354" t="inlineStr">
        <is>
          <t>VÄSTERNORRLANDS LÄN</t>
        </is>
      </c>
      <c r="E354" t="inlineStr">
        <is>
          <t>ÅNGE</t>
        </is>
      </c>
      <c r="G354" t="n">
        <v>1.4</v>
      </c>
      <c r="H354" t="n">
        <v>0</v>
      </c>
      <c r="I354" t="n">
        <v>0</v>
      </c>
      <c r="J354" t="n">
        <v>0</v>
      </c>
      <c r="K354" t="n">
        <v>0</v>
      </c>
      <c r="L354" t="n">
        <v>0</v>
      </c>
      <c r="M354" t="n">
        <v>0</v>
      </c>
      <c r="N354" t="n">
        <v>0</v>
      </c>
      <c r="O354" t="n">
        <v>0</v>
      </c>
      <c r="P354" t="n">
        <v>0</v>
      </c>
      <c r="Q354" t="n">
        <v>0</v>
      </c>
      <c r="R354" s="2" t="inlineStr"/>
    </row>
    <row r="355" ht="15" customHeight="1">
      <c r="A355" t="inlineStr">
        <is>
          <t>A 52660-2019</t>
        </is>
      </c>
      <c r="B355" s="1" t="n">
        <v>43746</v>
      </c>
      <c r="C355" s="1" t="n">
        <v>45349</v>
      </c>
      <c r="D355" t="inlineStr">
        <is>
          <t>VÄSTERNORRLANDS LÄN</t>
        </is>
      </c>
      <c r="E355" t="inlineStr">
        <is>
          <t>ÅNGE</t>
        </is>
      </c>
      <c r="G355" t="n">
        <v>2.3</v>
      </c>
      <c r="H355" t="n">
        <v>0</v>
      </c>
      <c r="I355" t="n">
        <v>0</v>
      </c>
      <c r="J355" t="n">
        <v>0</v>
      </c>
      <c r="K355" t="n">
        <v>0</v>
      </c>
      <c r="L355" t="n">
        <v>0</v>
      </c>
      <c r="M355" t="n">
        <v>0</v>
      </c>
      <c r="N355" t="n">
        <v>0</v>
      </c>
      <c r="O355" t="n">
        <v>0</v>
      </c>
      <c r="P355" t="n">
        <v>0</v>
      </c>
      <c r="Q355" t="n">
        <v>0</v>
      </c>
      <c r="R355" s="2" t="inlineStr"/>
    </row>
    <row r="356" ht="15" customHeight="1">
      <c r="A356" t="inlineStr">
        <is>
          <t>A 53107-2019</t>
        </is>
      </c>
      <c r="B356" s="1" t="n">
        <v>43747</v>
      </c>
      <c r="C356" s="1" t="n">
        <v>45349</v>
      </c>
      <c r="D356" t="inlineStr">
        <is>
          <t>VÄSTERNORRLANDS LÄN</t>
        </is>
      </c>
      <c r="E356" t="inlineStr">
        <is>
          <t>ÅNGE</t>
        </is>
      </c>
      <c r="G356" t="n">
        <v>2.1</v>
      </c>
      <c r="H356" t="n">
        <v>0</v>
      </c>
      <c r="I356" t="n">
        <v>0</v>
      </c>
      <c r="J356" t="n">
        <v>0</v>
      </c>
      <c r="K356" t="n">
        <v>0</v>
      </c>
      <c r="L356" t="n">
        <v>0</v>
      </c>
      <c r="M356" t="n">
        <v>0</v>
      </c>
      <c r="N356" t="n">
        <v>0</v>
      </c>
      <c r="O356" t="n">
        <v>0</v>
      </c>
      <c r="P356" t="n">
        <v>0</v>
      </c>
      <c r="Q356" t="n">
        <v>0</v>
      </c>
      <c r="R356" s="2" t="inlineStr"/>
    </row>
    <row r="357" ht="15" customHeight="1">
      <c r="A357" t="inlineStr">
        <is>
          <t>A 53579-2019</t>
        </is>
      </c>
      <c r="B357" s="1" t="n">
        <v>43749</v>
      </c>
      <c r="C357" s="1" t="n">
        <v>45349</v>
      </c>
      <c r="D357" t="inlineStr">
        <is>
          <t>VÄSTERNORRLANDS LÄN</t>
        </is>
      </c>
      <c r="E357" t="inlineStr">
        <is>
          <t>ÅNGE</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54025-2019</t>
        </is>
      </c>
      <c r="B358" s="1" t="n">
        <v>43752</v>
      </c>
      <c r="C358" s="1" t="n">
        <v>45349</v>
      </c>
      <c r="D358" t="inlineStr">
        <is>
          <t>VÄSTERNORRLANDS LÄN</t>
        </is>
      </c>
      <c r="E358" t="inlineStr">
        <is>
          <t>ÅNGE</t>
        </is>
      </c>
      <c r="G358" t="n">
        <v>1.7</v>
      </c>
      <c r="H358" t="n">
        <v>0</v>
      </c>
      <c r="I358" t="n">
        <v>0</v>
      </c>
      <c r="J358" t="n">
        <v>0</v>
      </c>
      <c r="K358" t="n">
        <v>0</v>
      </c>
      <c r="L358" t="n">
        <v>0</v>
      </c>
      <c r="M358" t="n">
        <v>0</v>
      </c>
      <c r="N358" t="n">
        <v>0</v>
      </c>
      <c r="O358" t="n">
        <v>0</v>
      </c>
      <c r="P358" t="n">
        <v>0</v>
      </c>
      <c r="Q358" t="n">
        <v>0</v>
      </c>
      <c r="R358" s="2" t="inlineStr"/>
    </row>
    <row r="359" ht="15" customHeight="1">
      <c r="A359" t="inlineStr">
        <is>
          <t>A 54027-2019</t>
        </is>
      </c>
      <c r="B359" s="1" t="n">
        <v>43752</v>
      </c>
      <c r="C359" s="1" t="n">
        <v>45349</v>
      </c>
      <c r="D359" t="inlineStr">
        <is>
          <t>VÄSTERNORRLANDS LÄN</t>
        </is>
      </c>
      <c r="E359" t="inlineStr">
        <is>
          <t>ÅNGE</t>
        </is>
      </c>
      <c r="G359" t="n">
        <v>3.8</v>
      </c>
      <c r="H359" t="n">
        <v>0</v>
      </c>
      <c r="I359" t="n">
        <v>0</v>
      </c>
      <c r="J359" t="n">
        <v>0</v>
      </c>
      <c r="K359" t="n">
        <v>0</v>
      </c>
      <c r="L359" t="n">
        <v>0</v>
      </c>
      <c r="M359" t="n">
        <v>0</v>
      </c>
      <c r="N359" t="n">
        <v>0</v>
      </c>
      <c r="O359" t="n">
        <v>0</v>
      </c>
      <c r="P359" t="n">
        <v>0</v>
      </c>
      <c r="Q359" t="n">
        <v>0</v>
      </c>
      <c r="R359" s="2" t="inlineStr"/>
    </row>
    <row r="360" ht="15" customHeight="1">
      <c r="A360" t="inlineStr">
        <is>
          <t>A 55352-2019</t>
        </is>
      </c>
      <c r="B360" s="1" t="n">
        <v>43756</v>
      </c>
      <c r="C360" s="1" t="n">
        <v>45349</v>
      </c>
      <c r="D360" t="inlineStr">
        <is>
          <t>VÄSTERNORRLANDS LÄN</t>
        </is>
      </c>
      <c r="E360" t="inlineStr">
        <is>
          <t>ÅNGE</t>
        </is>
      </c>
      <c r="G360" t="n">
        <v>10.9</v>
      </c>
      <c r="H360" t="n">
        <v>0</v>
      </c>
      <c r="I360" t="n">
        <v>0</v>
      </c>
      <c r="J360" t="n">
        <v>0</v>
      </c>
      <c r="K360" t="n">
        <v>0</v>
      </c>
      <c r="L360" t="n">
        <v>0</v>
      </c>
      <c r="M360" t="n">
        <v>0</v>
      </c>
      <c r="N360" t="n">
        <v>0</v>
      </c>
      <c r="O360" t="n">
        <v>0</v>
      </c>
      <c r="P360" t="n">
        <v>0</v>
      </c>
      <c r="Q360" t="n">
        <v>0</v>
      </c>
      <c r="R360" s="2" t="inlineStr"/>
    </row>
    <row r="361" ht="15" customHeight="1">
      <c r="A361" t="inlineStr">
        <is>
          <t>A 55637-2019</t>
        </is>
      </c>
      <c r="B361" s="1" t="n">
        <v>43760</v>
      </c>
      <c r="C361" s="1" t="n">
        <v>45349</v>
      </c>
      <c r="D361" t="inlineStr">
        <is>
          <t>VÄSTERNORRLANDS LÄN</t>
        </is>
      </c>
      <c r="E361" t="inlineStr">
        <is>
          <t>ÅNGE</t>
        </is>
      </c>
      <c r="G361" t="n">
        <v>0.1</v>
      </c>
      <c r="H361" t="n">
        <v>0</v>
      </c>
      <c r="I361" t="n">
        <v>0</v>
      </c>
      <c r="J361" t="n">
        <v>0</v>
      </c>
      <c r="K361" t="n">
        <v>0</v>
      </c>
      <c r="L361" t="n">
        <v>0</v>
      </c>
      <c r="M361" t="n">
        <v>0</v>
      </c>
      <c r="N361" t="n">
        <v>0</v>
      </c>
      <c r="O361" t="n">
        <v>0</v>
      </c>
      <c r="P361" t="n">
        <v>0</v>
      </c>
      <c r="Q361" t="n">
        <v>0</v>
      </c>
      <c r="R361" s="2" t="inlineStr"/>
    </row>
    <row r="362" ht="15" customHeight="1">
      <c r="A362" t="inlineStr">
        <is>
          <t>A 55634-2019</t>
        </is>
      </c>
      <c r="B362" s="1" t="n">
        <v>43760</v>
      </c>
      <c r="C362" s="1" t="n">
        <v>45349</v>
      </c>
      <c r="D362" t="inlineStr">
        <is>
          <t>VÄSTERNORRLANDS LÄN</t>
        </is>
      </c>
      <c r="E362" t="inlineStr">
        <is>
          <t>ÅNGE</t>
        </is>
      </c>
      <c r="G362" t="n">
        <v>3.1</v>
      </c>
      <c r="H362" t="n">
        <v>0</v>
      </c>
      <c r="I362" t="n">
        <v>0</v>
      </c>
      <c r="J362" t="n">
        <v>0</v>
      </c>
      <c r="K362" t="n">
        <v>0</v>
      </c>
      <c r="L362" t="n">
        <v>0</v>
      </c>
      <c r="M362" t="n">
        <v>0</v>
      </c>
      <c r="N362" t="n">
        <v>0</v>
      </c>
      <c r="O362" t="n">
        <v>0</v>
      </c>
      <c r="P362" t="n">
        <v>0</v>
      </c>
      <c r="Q362" t="n">
        <v>0</v>
      </c>
      <c r="R362" s="2" t="inlineStr"/>
    </row>
    <row r="363" ht="15" customHeight="1">
      <c r="A363" t="inlineStr">
        <is>
          <t>A 55730-2019</t>
        </is>
      </c>
      <c r="B363" s="1" t="n">
        <v>43760</v>
      </c>
      <c r="C363" s="1" t="n">
        <v>45349</v>
      </c>
      <c r="D363" t="inlineStr">
        <is>
          <t>VÄSTERNORRLANDS LÄN</t>
        </is>
      </c>
      <c r="E363" t="inlineStr">
        <is>
          <t>ÅNGE</t>
        </is>
      </c>
      <c r="F363" t="inlineStr">
        <is>
          <t>SCA</t>
        </is>
      </c>
      <c r="G363" t="n">
        <v>2.8</v>
      </c>
      <c r="H363" t="n">
        <v>0</v>
      </c>
      <c r="I363" t="n">
        <v>0</v>
      </c>
      <c r="J363" t="n">
        <v>0</v>
      </c>
      <c r="K363" t="n">
        <v>0</v>
      </c>
      <c r="L363" t="n">
        <v>0</v>
      </c>
      <c r="M363" t="n">
        <v>0</v>
      </c>
      <c r="N363" t="n">
        <v>0</v>
      </c>
      <c r="O363" t="n">
        <v>0</v>
      </c>
      <c r="P363" t="n">
        <v>0</v>
      </c>
      <c r="Q363" t="n">
        <v>0</v>
      </c>
      <c r="R363" s="2" t="inlineStr"/>
    </row>
    <row r="364" ht="15" customHeight="1">
      <c r="A364" t="inlineStr">
        <is>
          <t>A 55729-2019</t>
        </is>
      </c>
      <c r="B364" s="1" t="n">
        <v>43760</v>
      </c>
      <c r="C364" s="1" t="n">
        <v>45349</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56137-2019</t>
        </is>
      </c>
      <c r="B365" s="1" t="n">
        <v>43761</v>
      </c>
      <c r="C365" s="1" t="n">
        <v>45349</v>
      </c>
      <c r="D365" t="inlineStr">
        <is>
          <t>VÄSTERNORRLANDS LÄN</t>
        </is>
      </c>
      <c r="E365" t="inlineStr">
        <is>
          <t>ÅNGE</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56171-2019</t>
        </is>
      </c>
      <c r="B366" s="1" t="n">
        <v>43761</v>
      </c>
      <c r="C366" s="1" t="n">
        <v>45349</v>
      </c>
      <c r="D366" t="inlineStr">
        <is>
          <t>VÄSTERNORRLANDS LÄN</t>
        </is>
      </c>
      <c r="E366" t="inlineStr">
        <is>
          <t>ÅNGE</t>
        </is>
      </c>
      <c r="G366" t="n">
        <v>5.1</v>
      </c>
      <c r="H366" t="n">
        <v>0</v>
      </c>
      <c r="I366" t="n">
        <v>0</v>
      </c>
      <c r="J366" t="n">
        <v>0</v>
      </c>
      <c r="K366" t="n">
        <v>0</v>
      </c>
      <c r="L366" t="n">
        <v>0</v>
      </c>
      <c r="M366" t="n">
        <v>0</v>
      </c>
      <c r="N366" t="n">
        <v>0</v>
      </c>
      <c r="O366" t="n">
        <v>0</v>
      </c>
      <c r="P366" t="n">
        <v>0</v>
      </c>
      <c r="Q366" t="n">
        <v>0</v>
      </c>
      <c r="R366" s="2" t="inlineStr"/>
    </row>
    <row r="367" ht="15" customHeight="1">
      <c r="A367" t="inlineStr">
        <is>
          <t>A 56186-2019</t>
        </is>
      </c>
      <c r="B367" s="1" t="n">
        <v>43761</v>
      </c>
      <c r="C367" s="1" t="n">
        <v>45349</v>
      </c>
      <c r="D367" t="inlineStr">
        <is>
          <t>VÄSTERNORRLANDS LÄN</t>
        </is>
      </c>
      <c r="E367" t="inlineStr">
        <is>
          <t>ÅNGE</t>
        </is>
      </c>
      <c r="F367" t="inlineStr">
        <is>
          <t>SCA</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56490-2019</t>
        </is>
      </c>
      <c r="B368" s="1" t="n">
        <v>43762</v>
      </c>
      <c r="C368" s="1" t="n">
        <v>45349</v>
      </c>
      <c r="D368" t="inlineStr">
        <is>
          <t>VÄSTERNORRLANDS LÄN</t>
        </is>
      </c>
      <c r="E368" t="inlineStr">
        <is>
          <t>ÅNGE</t>
        </is>
      </c>
      <c r="F368" t="inlineStr">
        <is>
          <t>SCA</t>
        </is>
      </c>
      <c r="G368" t="n">
        <v>8</v>
      </c>
      <c r="H368" t="n">
        <v>0</v>
      </c>
      <c r="I368" t="n">
        <v>0</v>
      </c>
      <c r="J368" t="n">
        <v>0</v>
      </c>
      <c r="K368" t="n">
        <v>0</v>
      </c>
      <c r="L368" t="n">
        <v>0</v>
      </c>
      <c r="M368" t="n">
        <v>0</v>
      </c>
      <c r="N368" t="n">
        <v>0</v>
      </c>
      <c r="O368" t="n">
        <v>0</v>
      </c>
      <c r="P368" t="n">
        <v>0</v>
      </c>
      <c r="Q368" t="n">
        <v>0</v>
      </c>
      <c r="R368" s="2" t="inlineStr"/>
    </row>
    <row r="369" ht="15" customHeight="1">
      <c r="A369" t="inlineStr">
        <is>
          <t>A 57184-2019</t>
        </is>
      </c>
      <c r="B369" s="1" t="n">
        <v>43766</v>
      </c>
      <c r="C369" s="1" t="n">
        <v>45349</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57183-2019</t>
        </is>
      </c>
      <c r="B370" s="1" t="n">
        <v>43766</v>
      </c>
      <c r="C370" s="1" t="n">
        <v>45349</v>
      </c>
      <c r="D370" t="inlineStr">
        <is>
          <t>VÄSTERNORRLANDS LÄN</t>
        </is>
      </c>
      <c r="E370" t="inlineStr">
        <is>
          <t>ÅNGE</t>
        </is>
      </c>
      <c r="G370" t="n">
        <v>1.2</v>
      </c>
      <c r="H370" t="n">
        <v>0</v>
      </c>
      <c r="I370" t="n">
        <v>0</v>
      </c>
      <c r="J370" t="n">
        <v>0</v>
      </c>
      <c r="K370" t="n">
        <v>0</v>
      </c>
      <c r="L370" t="n">
        <v>0</v>
      </c>
      <c r="M370" t="n">
        <v>0</v>
      </c>
      <c r="N370" t="n">
        <v>0</v>
      </c>
      <c r="O370" t="n">
        <v>0</v>
      </c>
      <c r="P370" t="n">
        <v>0</v>
      </c>
      <c r="Q370" t="n">
        <v>0</v>
      </c>
      <c r="R370" s="2" t="inlineStr"/>
    </row>
    <row r="371" ht="15" customHeight="1">
      <c r="A371" t="inlineStr">
        <is>
          <t>A 58720-2019</t>
        </is>
      </c>
      <c r="B371" s="1" t="n">
        <v>43773</v>
      </c>
      <c r="C371" s="1" t="n">
        <v>45349</v>
      </c>
      <c r="D371" t="inlineStr">
        <is>
          <t>VÄSTERNORRLANDS LÄN</t>
        </is>
      </c>
      <c r="E371" t="inlineStr">
        <is>
          <t>ÅNGE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58790-2019</t>
        </is>
      </c>
      <c r="B372" s="1" t="n">
        <v>43773</v>
      </c>
      <c r="C372" s="1" t="n">
        <v>45349</v>
      </c>
      <c r="D372" t="inlineStr">
        <is>
          <t>VÄSTERNORRLANDS LÄN</t>
        </is>
      </c>
      <c r="E372" t="inlineStr">
        <is>
          <t>ÅNGE</t>
        </is>
      </c>
      <c r="G372" t="n">
        <v>0.1</v>
      </c>
      <c r="H372" t="n">
        <v>0</v>
      </c>
      <c r="I372" t="n">
        <v>0</v>
      </c>
      <c r="J372" t="n">
        <v>0</v>
      </c>
      <c r="K372" t="n">
        <v>0</v>
      </c>
      <c r="L372" t="n">
        <v>0</v>
      </c>
      <c r="M372" t="n">
        <v>0</v>
      </c>
      <c r="N372" t="n">
        <v>0</v>
      </c>
      <c r="O372" t="n">
        <v>0</v>
      </c>
      <c r="P372" t="n">
        <v>0</v>
      </c>
      <c r="Q372" t="n">
        <v>0</v>
      </c>
      <c r="R372" s="2" t="inlineStr"/>
    </row>
    <row r="373" ht="15" customHeight="1">
      <c r="A373" t="inlineStr">
        <is>
          <t>A 58941-2019</t>
        </is>
      </c>
      <c r="B373" s="1" t="n">
        <v>43774</v>
      </c>
      <c r="C373" s="1" t="n">
        <v>45349</v>
      </c>
      <c r="D373" t="inlineStr">
        <is>
          <t>VÄSTERNORRLANDS LÄN</t>
        </is>
      </c>
      <c r="E373" t="inlineStr">
        <is>
          <t>ÅNGE</t>
        </is>
      </c>
      <c r="G373" t="n">
        <v>4</v>
      </c>
      <c r="H373" t="n">
        <v>0</v>
      </c>
      <c r="I373" t="n">
        <v>0</v>
      </c>
      <c r="J373" t="n">
        <v>0</v>
      </c>
      <c r="K373" t="n">
        <v>0</v>
      </c>
      <c r="L373" t="n">
        <v>0</v>
      </c>
      <c r="M373" t="n">
        <v>0</v>
      </c>
      <c r="N373" t="n">
        <v>0</v>
      </c>
      <c r="O373" t="n">
        <v>0</v>
      </c>
      <c r="P373" t="n">
        <v>0</v>
      </c>
      <c r="Q373" t="n">
        <v>0</v>
      </c>
      <c r="R373" s="2" t="inlineStr"/>
    </row>
    <row r="374" ht="15" customHeight="1">
      <c r="A374" t="inlineStr">
        <is>
          <t>A 58932-2019</t>
        </is>
      </c>
      <c r="B374" s="1" t="n">
        <v>43774</v>
      </c>
      <c r="C374" s="1" t="n">
        <v>45349</v>
      </c>
      <c r="D374" t="inlineStr">
        <is>
          <t>VÄSTERNORRLANDS LÄN</t>
        </is>
      </c>
      <c r="E374" t="inlineStr">
        <is>
          <t>ÅNGE</t>
        </is>
      </c>
      <c r="G374" t="n">
        <v>3.2</v>
      </c>
      <c r="H374" t="n">
        <v>0</v>
      </c>
      <c r="I374" t="n">
        <v>0</v>
      </c>
      <c r="J374" t="n">
        <v>0</v>
      </c>
      <c r="K374" t="n">
        <v>0</v>
      </c>
      <c r="L374" t="n">
        <v>0</v>
      </c>
      <c r="M374" t="n">
        <v>0</v>
      </c>
      <c r="N374" t="n">
        <v>0</v>
      </c>
      <c r="O374" t="n">
        <v>0</v>
      </c>
      <c r="P374" t="n">
        <v>0</v>
      </c>
      <c r="Q374" t="n">
        <v>0</v>
      </c>
      <c r="R374" s="2" t="inlineStr"/>
    </row>
    <row r="375" ht="15" customHeight="1">
      <c r="A375" t="inlineStr">
        <is>
          <t>A 58951-2019</t>
        </is>
      </c>
      <c r="B375" s="1" t="n">
        <v>43774</v>
      </c>
      <c r="C375" s="1" t="n">
        <v>45349</v>
      </c>
      <c r="D375" t="inlineStr">
        <is>
          <t>VÄSTERNORRLANDS LÄN</t>
        </is>
      </c>
      <c r="E375" t="inlineStr">
        <is>
          <t>ÅNGE</t>
        </is>
      </c>
      <c r="G375" t="n">
        <v>6.9</v>
      </c>
      <c r="H375" t="n">
        <v>0</v>
      </c>
      <c r="I375" t="n">
        <v>0</v>
      </c>
      <c r="J375" t="n">
        <v>0</v>
      </c>
      <c r="K375" t="n">
        <v>0</v>
      </c>
      <c r="L375" t="n">
        <v>0</v>
      </c>
      <c r="M375" t="n">
        <v>0</v>
      </c>
      <c r="N375" t="n">
        <v>0</v>
      </c>
      <c r="O375" t="n">
        <v>0</v>
      </c>
      <c r="P375" t="n">
        <v>0</v>
      </c>
      <c r="Q375" t="n">
        <v>0</v>
      </c>
      <c r="R375" s="2" t="inlineStr"/>
    </row>
    <row r="376" ht="15" customHeight="1">
      <c r="A376" t="inlineStr">
        <is>
          <t>A 60577-2019</t>
        </is>
      </c>
      <c r="B376" s="1" t="n">
        <v>43781</v>
      </c>
      <c r="C376" s="1" t="n">
        <v>45349</v>
      </c>
      <c r="D376" t="inlineStr">
        <is>
          <t>VÄSTERNORRLANDS LÄN</t>
        </is>
      </c>
      <c r="E376" t="inlineStr">
        <is>
          <t>ÅNGE</t>
        </is>
      </c>
      <c r="G376" t="n">
        <v>1.1</v>
      </c>
      <c r="H376" t="n">
        <v>0</v>
      </c>
      <c r="I376" t="n">
        <v>0</v>
      </c>
      <c r="J376" t="n">
        <v>0</v>
      </c>
      <c r="K376" t="n">
        <v>0</v>
      </c>
      <c r="L376" t="n">
        <v>0</v>
      </c>
      <c r="M376" t="n">
        <v>0</v>
      </c>
      <c r="N376" t="n">
        <v>0</v>
      </c>
      <c r="O376" t="n">
        <v>0</v>
      </c>
      <c r="P376" t="n">
        <v>0</v>
      </c>
      <c r="Q376" t="n">
        <v>0</v>
      </c>
      <c r="R376" s="2" t="inlineStr"/>
    </row>
    <row r="377" ht="15" customHeight="1">
      <c r="A377" t="inlineStr">
        <is>
          <t>A 60687-2019</t>
        </is>
      </c>
      <c r="B377" s="1" t="n">
        <v>43781</v>
      </c>
      <c r="C377" s="1" t="n">
        <v>45349</v>
      </c>
      <c r="D377" t="inlineStr">
        <is>
          <t>VÄSTERNORRLANDS LÄN</t>
        </is>
      </c>
      <c r="E377" t="inlineStr">
        <is>
          <t>ÅNGE</t>
        </is>
      </c>
      <c r="G377" t="n">
        <v>0.6</v>
      </c>
      <c r="H377" t="n">
        <v>0</v>
      </c>
      <c r="I377" t="n">
        <v>0</v>
      </c>
      <c r="J377" t="n">
        <v>0</v>
      </c>
      <c r="K377" t="n">
        <v>0</v>
      </c>
      <c r="L377" t="n">
        <v>0</v>
      </c>
      <c r="M377" t="n">
        <v>0</v>
      </c>
      <c r="N377" t="n">
        <v>0</v>
      </c>
      <c r="O377" t="n">
        <v>0</v>
      </c>
      <c r="P377" t="n">
        <v>0</v>
      </c>
      <c r="Q377" t="n">
        <v>0</v>
      </c>
      <c r="R377" s="2" t="inlineStr"/>
    </row>
    <row r="378" ht="15" customHeight="1">
      <c r="A378" t="inlineStr">
        <is>
          <t>A 60868-2019</t>
        </is>
      </c>
      <c r="B378" s="1" t="n">
        <v>43781</v>
      </c>
      <c r="C378" s="1" t="n">
        <v>45349</v>
      </c>
      <c r="D378" t="inlineStr">
        <is>
          <t>VÄSTERNORRLANDS LÄN</t>
        </is>
      </c>
      <c r="E378" t="inlineStr">
        <is>
          <t>ÅNGE</t>
        </is>
      </c>
      <c r="F378" t="inlineStr">
        <is>
          <t>SCA</t>
        </is>
      </c>
      <c r="G378" t="n">
        <v>3.8</v>
      </c>
      <c r="H378" t="n">
        <v>0</v>
      </c>
      <c r="I378" t="n">
        <v>0</v>
      </c>
      <c r="J378" t="n">
        <v>0</v>
      </c>
      <c r="K378" t="n">
        <v>0</v>
      </c>
      <c r="L378" t="n">
        <v>0</v>
      </c>
      <c r="M378" t="n">
        <v>0</v>
      </c>
      <c r="N378" t="n">
        <v>0</v>
      </c>
      <c r="O378" t="n">
        <v>0</v>
      </c>
      <c r="P378" t="n">
        <v>0</v>
      </c>
      <c r="Q378" t="n">
        <v>0</v>
      </c>
      <c r="R378" s="2" t="inlineStr"/>
    </row>
    <row r="379" ht="15" customHeight="1">
      <c r="A379" t="inlineStr">
        <is>
          <t>A 61521-2019</t>
        </is>
      </c>
      <c r="B379" s="1" t="n">
        <v>43783</v>
      </c>
      <c r="C379" s="1" t="n">
        <v>45349</v>
      </c>
      <c r="D379" t="inlineStr">
        <is>
          <t>VÄSTERNORRLANDS LÄN</t>
        </is>
      </c>
      <c r="E379" t="inlineStr">
        <is>
          <t>ÅNGE</t>
        </is>
      </c>
      <c r="F379" t="inlineStr">
        <is>
          <t>SCA</t>
        </is>
      </c>
      <c r="G379" t="n">
        <v>40.5</v>
      </c>
      <c r="H379" t="n">
        <v>0</v>
      </c>
      <c r="I379" t="n">
        <v>0</v>
      </c>
      <c r="J379" t="n">
        <v>0</v>
      </c>
      <c r="K379" t="n">
        <v>0</v>
      </c>
      <c r="L379" t="n">
        <v>0</v>
      </c>
      <c r="M379" t="n">
        <v>0</v>
      </c>
      <c r="N379" t="n">
        <v>0</v>
      </c>
      <c r="O379" t="n">
        <v>0</v>
      </c>
      <c r="P379" t="n">
        <v>0</v>
      </c>
      <c r="Q379" t="n">
        <v>0</v>
      </c>
      <c r="R379" s="2" t="inlineStr"/>
    </row>
    <row r="380" ht="15" customHeight="1">
      <c r="A380" t="inlineStr">
        <is>
          <t>A 61520-2019</t>
        </is>
      </c>
      <c r="B380" s="1" t="n">
        <v>43783</v>
      </c>
      <c r="C380" s="1" t="n">
        <v>45349</v>
      </c>
      <c r="D380" t="inlineStr">
        <is>
          <t>VÄSTERNORRLANDS LÄN</t>
        </is>
      </c>
      <c r="E380" t="inlineStr">
        <is>
          <t>ÅNGE</t>
        </is>
      </c>
      <c r="F380" t="inlineStr">
        <is>
          <t>SCA</t>
        </is>
      </c>
      <c r="G380" t="n">
        <v>2.2</v>
      </c>
      <c r="H380" t="n">
        <v>0</v>
      </c>
      <c r="I380" t="n">
        <v>0</v>
      </c>
      <c r="J380" t="n">
        <v>0</v>
      </c>
      <c r="K380" t="n">
        <v>0</v>
      </c>
      <c r="L380" t="n">
        <v>0</v>
      </c>
      <c r="M380" t="n">
        <v>0</v>
      </c>
      <c r="N380" t="n">
        <v>0</v>
      </c>
      <c r="O380" t="n">
        <v>0</v>
      </c>
      <c r="P380" t="n">
        <v>0</v>
      </c>
      <c r="Q380" t="n">
        <v>0</v>
      </c>
      <c r="R380" s="2" t="inlineStr"/>
    </row>
    <row r="381" ht="15" customHeight="1">
      <c r="A381" t="inlineStr">
        <is>
          <t>A 61918-2019</t>
        </is>
      </c>
      <c r="B381" s="1" t="n">
        <v>43787</v>
      </c>
      <c r="C381" s="1" t="n">
        <v>45349</v>
      </c>
      <c r="D381" t="inlineStr">
        <is>
          <t>VÄSTERNORRLANDS LÄN</t>
        </is>
      </c>
      <c r="E381" t="inlineStr">
        <is>
          <t>ÅNGE</t>
        </is>
      </c>
      <c r="G381" t="n">
        <v>1</v>
      </c>
      <c r="H381" t="n">
        <v>0</v>
      </c>
      <c r="I381" t="n">
        <v>0</v>
      </c>
      <c r="J381" t="n">
        <v>0</v>
      </c>
      <c r="K381" t="n">
        <v>0</v>
      </c>
      <c r="L381" t="n">
        <v>0</v>
      </c>
      <c r="M381" t="n">
        <v>0</v>
      </c>
      <c r="N381" t="n">
        <v>0</v>
      </c>
      <c r="O381" t="n">
        <v>0</v>
      </c>
      <c r="P381" t="n">
        <v>0</v>
      </c>
      <c r="Q381" t="n">
        <v>0</v>
      </c>
      <c r="R381" s="2" t="inlineStr"/>
    </row>
    <row r="382" ht="15" customHeight="1">
      <c r="A382" t="inlineStr">
        <is>
          <t>A 61862-2019</t>
        </is>
      </c>
      <c r="B382" s="1" t="n">
        <v>43787</v>
      </c>
      <c r="C382" s="1" t="n">
        <v>45349</v>
      </c>
      <c r="D382" t="inlineStr">
        <is>
          <t>VÄSTERNORRLANDS LÄN</t>
        </is>
      </c>
      <c r="E382" t="inlineStr">
        <is>
          <t>ÅNGE</t>
        </is>
      </c>
      <c r="G382" t="n">
        <v>1.1</v>
      </c>
      <c r="H382" t="n">
        <v>0</v>
      </c>
      <c r="I382" t="n">
        <v>0</v>
      </c>
      <c r="J382" t="n">
        <v>0</v>
      </c>
      <c r="K382" t="n">
        <v>0</v>
      </c>
      <c r="L382" t="n">
        <v>0</v>
      </c>
      <c r="M382" t="n">
        <v>0</v>
      </c>
      <c r="N382" t="n">
        <v>0</v>
      </c>
      <c r="O382" t="n">
        <v>0</v>
      </c>
      <c r="P382" t="n">
        <v>0</v>
      </c>
      <c r="Q382" t="n">
        <v>0</v>
      </c>
      <c r="R382" s="2" t="inlineStr"/>
    </row>
    <row r="383" ht="15" customHeight="1">
      <c r="A383" t="inlineStr">
        <is>
          <t>A 62222-2019</t>
        </is>
      </c>
      <c r="B383" s="1" t="n">
        <v>43788</v>
      </c>
      <c r="C383" s="1" t="n">
        <v>45349</v>
      </c>
      <c r="D383" t="inlineStr">
        <is>
          <t>VÄSTERNORRLANDS LÄN</t>
        </is>
      </c>
      <c r="E383" t="inlineStr">
        <is>
          <t>ÅNGE</t>
        </is>
      </c>
      <c r="G383" t="n">
        <v>2.9</v>
      </c>
      <c r="H383" t="n">
        <v>0</v>
      </c>
      <c r="I383" t="n">
        <v>0</v>
      </c>
      <c r="J383" t="n">
        <v>0</v>
      </c>
      <c r="K383" t="n">
        <v>0</v>
      </c>
      <c r="L383" t="n">
        <v>0</v>
      </c>
      <c r="M383" t="n">
        <v>0</v>
      </c>
      <c r="N383" t="n">
        <v>0</v>
      </c>
      <c r="O383" t="n">
        <v>0</v>
      </c>
      <c r="P383" t="n">
        <v>0</v>
      </c>
      <c r="Q383" t="n">
        <v>0</v>
      </c>
      <c r="R383" s="2" t="inlineStr"/>
    </row>
    <row r="384" ht="15" customHeight="1">
      <c r="A384" t="inlineStr">
        <is>
          <t>A 62547-2019</t>
        </is>
      </c>
      <c r="B384" s="1" t="n">
        <v>43789</v>
      </c>
      <c r="C384" s="1" t="n">
        <v>45349</v>
      </c>
      <c r="D384" t="inlineStr">
        <is>
          <t>VÄSTERNORRLANDS LÄN</t>
        </is>
      </c>
      <c r="E384" t="inlineStr">
        <is>
          <t>ÅNGE</t>
        </is>
      </c>
      <c r="F384" t="inlineStr">
        <is>
          <t>Övriga Aktiebolag</t>
        </is>
      </c>
      <c r="G384" t="n">
        <v>2.1</v>
      </c>
      <c r="H384" t="n">
        <v>0</v>
      </c>
      <c r="I384" t="n">
        <v>0</v>
      </c>
      <c r="J384" t="n">
        <v>0</v>
      </c>
      <c r="K384" t="n">
        <v>0</v>
      </c>
      <c r="L384" t="n">
        <v>0</v>
      </c>
      <c r="M384" t="n">
        <v>0</v>
      </c>
      <c r="N384" t="n">
        <v>0</v>
      </c>
      <c r="O384" t="n">
        <v>0</v>
      </c>
      <c r="P384" t="n">
        <v>0</v>
      </c>
      <c r="Q384" t="n">
        <v>0</v>
      </c>
      <c r="R384" s="2" t="inlineStr"/>
    </row>
    <row r="385" ht="15" customHeight="1">
      <c r="A385" t="inlineStr">
        <is>
          <t>A 62925-2019</t>
        </is>
      </c>
      <c r="B385" s="1" t="n">
        <v>43790</v>
      </c>
      <c r="C385" s="1" t="n">
        <v>45349</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63300-2019</t>
        </is>
      </c>
      <c r="B386" s="1" t="n">
        <v>43794</v>
      </c>
      <c r="C386" s="1" t="n">
        <v>45349</v>
      </c>
      <c r="D386" t="inlineStr">
        <is>
          <t>VÄSTERNORRLANDS LÄN</t>
        </is>
      </c>
      <c r="E386" t="inlineStr">
        <is>
          <t>ÅNGE</t>
        </is>
      </c>
      <c r="G386" t="n">
        <v>3</v>
      </c>
      <c r="H386" t="n">
        <v>0</v>
      </c>
      <c r="I386" t="n">
        <v>0</v>
      </c>
      <c r="J386" t="n">
        <v>0</v>
      </c>
      <c r="K386" t="n">
        <v>0</v>
      </c>
      <c r="L386" t="n">
        <v>0</v>
      </c>
      <c r="M386" t="n">
        <v>0</v>
      </c>
      <c r="N386" t="n">
        <v>0</v>
      </c>
      <c r="O386" t="n">
        <v>0</v>
      </c>
      <c r="P386" t="n">
        <v>0</v>
      </c>
      <c r="Q386" t="n">
        <v>0</v>
      </c>
      <c r="R386" s="2" t="inlineStr"/>
    </row>
    <row r="387" ht="15" customHeight="1">
      <c r="A387" t="inlineStr">
        <is>
          <t>A 63329-2019</t>
        </is>
      </c>
      <c r="B387" s="1" t="n">
        <v>43794</v>
      </c>
      <c r="C387" s="1" t="n">
        <v>45349</v>
      </c>
      <c r="D387" t="inlineStr">
        <is>
          <t>VÄSTERNORRLANDS LÄN</t>
        </is>
      </c>
      <c r="E387" t="inlineStr">
        <is>
          <t>ÅNGE</t>
        </is>
      </c>
      <c r="G387" t="n">
        <v>1.8</v>
      </c>
      <c r="H387" t="n">
        <v>0</v>
      </c>
      <c r="I387" t="n">
        <v>0</v>
      </c>
      <c r="J387" t="n">
        <v>0</v>
      </c>
      <c r="K387" t="n">
        <v>0</v>
      </c>
      <c r="L387" t="n">
        <v>0</v>
      </c>
      <c r="M387" t="n">
        <v>0</v>
      </c>
      <c r="N387" t="n">
        <v>0</v>
      </c>
      <c r="O387" t="n">
        <v>0</v>
      </c>
      <c r="P387" t="n">
        <v>0</v>
      </c>
      <c r="Q387" t="n">
        <v>0</v>
      </c>
      <c r="R387" s="2" t="inlineStr"/>
    </row>
    <row r="388" ht="15" customHeight="1">
      <c r="A388" t="inlineStr">
        <is>
          <t>A 63453-2019</t>
        </is>
      </c>
      <c r="B388" s="1" t="n">
        <v>43794</v>
      </c>
      <c r="C388" s="1" t="n">
        <v>45349</v>
      </c>
      <c r="D388" t="inlineStr">
        <is>
          <t>VÄSTERNORRLANDS LÄN</t>
        </is>
      </c>
      <c r="E388" t="inlineStr">
        <is>
          <t>ÅNGE</t>
        </is>
      </c>
      <c r="G388" t="n">
        <v>1.1</v>
      </c>
      <c r="H388" t="n">
        <v>0</v>
      </c>
      <c r="I388" t="n">
        <v>0</v>
      </c>
      <c r="J388" t="n">
        <v>0</v>
      </c>
      <c r="K388" t="n">
        <v>0</v>
      </c>
      <c r="L388" t="n">
        <v>0</v>
      </c>
      <c r="M388" t="n">
        <v>0</v>
      </c>
      <c r="N388" t="n">
        <v>0</v>
      </c>
      <c r="O388" t="n">
        <v>0</v>
      </c>
      <c r="P388" t="n">
        <v>0</v>
      </c>
      <c r="Q388" t="n">
        <v>0</v>
      </c>
      <c r="R388" s="2" t="inlineStr"/>
    </row>
    <row r="389" ht="15" customHeight="1">
      <c r="A389" t="inlineStr">
        <is>
          <t>A 63324-2019</t>
        </is>
      </c>
      <c r="B389" s="1" t="n">
        <v>43794</v>
      </c>
      <c r="C389" s="1" t="n">
        <v>45349</v>
      </c>
      <c r="D389" t="inlineStr">
        <is>
          <t>VÄSTERNORRLANDS LÄN</t>
        </is>
      </c>
      <c r="E389" t="inlineStr">
        <is>
          <t>ÅNGE</t>
        </is>
      </c>
      <c r="G389" t="n">
        <v>2.9</v>
      </c>
      <c r="H389" t="n">
        <v>0</v>
      </c>
      <c r="I389" t="n">
        <v>0</v>
      </c>
      <c r="J389" t="n">
        <v>0</v>
      </c>
      <c r="K389" t="n">
        <v>0</v>
      </c>
      <c r="L389" t="n">
        <v>0</v>
      </c>
      <c r="M389" t="n">
        <v>0</v>
      </c>
      <c r="N389" t="n">
        <v>0</v>
      </c>
      <c r="O389" t="n">
        <v>0</v>
      </c>
      <c r="P389" t="n">
        <v>0</v>
      </c>
      <c r="Q389" t="n">
        <v>0</v>
      </c>
      <c r="R389" s="2" t="inlineStr"/>
    </row>
    <row r="390" ht="15" customHeight="1">
      <c r="A390" t="inlineStr">
        <is>
          <t>A 63549-2019</t>
        </is>
      </c>
      <c r="B390" s="1" t="n">
        <v>43794</v>
      </c>
      <c r="C390" s="1" t="n">
        <v>45349</v>
      </c>
      <c r="D390" t="inlineStr">
        <is>
          <t>VÄSTERNORRLANDS LÄN</t>
        </is>
      </c>
      <c r="E390" t="inlineStr">
        <is>
          <t>ÅNGE</t>
        </is>
      </c>
      <c r="F390" t="inlineStr">
        <is>
          <t>SCA</t>
        </is>
      </c>
      <c r="G390" t="n">
        <v>7.5</v>
      </c>
      <c r="H390" t="n">
        <v>0</v>
      </c>
      <c r="I390" t="n">
        <v>0</v>
      </c>
      <c r="J390" t="n">
        <v>0</v>
      </c>
      <c r="K390" t="n">
        <v>0</v>
      </c>
      <c r="L390" t="n">
        <v>0</v>
      </c>
      <c r="M390" t="n">
        <v>0</v>
      </c>
      <c r="N390" t="n">
        <v>0</v>
      </c>
      <c r="O390" t="n">
        <v>0</v>
      </c>
      <c r="P390" t="n">
        <v>0</v>
      </c>
      <c r="Q390" t="n">
        <v>0</v>
      </c>
      <c r="R390" s="2" t="inlineStr"/>
    </row>
    <row r="391" ht="15" customHeight="1">
      <c r="A391" t="inlineStr">
        <is>
          <t>A 63454-2019</t>
        </is>
      </c>
      <c r="B391" s="1" t="n">
        <v>43794</v>
      </c>
      <c r="C391" s="1" t="n">
        <v>45349</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63679-2019</t>
        </is>
      </c>
      <c r="B392" s="1" t="n">
        <v>43795</v>
      </c>
      <c r="C392" s="1" t="n">
        <v>45349</v>
      </c>
      <c r="D392" t="inlineStr">
        <is>
          <t>VÄSTERNORRLANDS LÄN</t>
        </is>
      </c>
      <c r="E392" t="inlineStr">
        <is>
          <t>ÅNGE</t>
        </is>
      </c>
      <c r="G392" t="n">
        <v>3.7</v>
      </c>
      <c r="H392" t="n">
        <v>0</v>
      </c>
      <c r="I392" t="n">
        <v>0</v>
      </c>
      <c r="J392" t="n">
        <v>0</v>
      </c>
      <c r="K392" t="n">
        <v>0</v>
      </c>
      <c r="L392" t="n">
        <v>0</v>
      </c>
      <c r="M392" t="n">
        <v>0</v>
      </c>
      <c r="N392" t="n">
        <v>0</v>
      </c>
      <c r="O392" t="n">
        <v>0</v>
      </c>
      <c r="P392" t="n">
        <v>0</v>
      </c>
      <c r="Q392" t="n">
        <v>0</v>
      </c>
      <c r="R392" s="2" t="inlineStr"/>
    </row>
    <row r="393" ht="15" customHeight="1">
      <c r="A393" t="inlineStr">
        <is>
          <t>A 63677-2019</t>
        </is>
      </c>
      <c r="B393" s="1" t="n">
        <v>43795</v>
      </c>
      <c r="C393" s="1" t="n">
        <v>45349</v>
      </c>
      <c r="D393" t="inlineStr">
        <is>
          <t>VÄSTERNORRLANDS LÄN</t>
        </is>
      </c>
      <c r="E393" t="inlineStr">
        <is>
          <t>ÅNGE</t>
        </is>
      </c>
      <c r="G393" t="n">
        <v>1.7</v>
      </c>
      <c r="H393" t="n">
        <v>0</v>
      </c>
      <c r="I393" t="n">
        <v>0</v>
      </c>
      <c r="J393" t="n">
        <v>0</v>
      </c>
      <c r="K393" t="n">
        <v>0</v>
      </c>
      <c r="L393" t="n">
        <v>0</v>
      </c>
      <c r="M393" t="n">
        <v>0</v>
      </c>
      <c r="N393" t="n">
        <v>0</v>
      </c>
      <c r="O393" t="n">
        <v>0</v>
      </c>
      <c r="P393" t="n">
        <v>0</v>
      </c>
      <c r="Q393" t="n">
        <v>0</v>
      </c>
      <c r="R393" s="2" t="inlineStr"/>
    </row>
    <row r="394" ht="15" customHeight="1">
      <c r="A394" t="inlineStr">
        <is>
          <t>A 63683-2019</t>
        </is>
      </c>
      <c r="B394" s="1" t="n">
        <v>43795</v>
      </c>
      <c r="C394" s="1" t="n">
        <v>45349</v>
      </c>
      <c r="D394" t="inlineStr">
        <is>
          <t>VÄSTERNORRLANDS LÄN</t>
        </is>
      </c>
      <c r="E394" t="inlineStr">
        <is>
          <t>ÅNGE</t>
        </is>
      </c>
      <c r="G394" t="n">
        <v>2.4</v>
      </c>
      <c r="H394" t="n">
        <v>0</v>
      </c>
      <c r="I394" t="n">
        <v>0</v>
      </c>
      <c r="J394" t="n">
        <v>0</v>
      </c>
      <c r="K394" t="n">
        <v>0</v>
      </c>
      <c r="L394" t="n">
        <v>0</v>
      </c>
      <c r="M394" t="n">
        <v>0</v>
      </c>
      <c r="N394" t="n">
        <v>0</v>
      </c>
      <c r="O394" t="n">
        <v>0</v>
      </c>
      <c r="P394" t="n">
        <v>0</v>
      </c>
      <c r="Q394" t="n">
        <v>0</v>
      </c>
      <c r="R394" s="2" t="inlineStr"/>
    </row>
    <row r="395" ht="15" customHeight="1">
      <c r="A395" t="inlineStr">
        <is>
          <t>A 65050-2019</t>
        </is>
      </c>
      <c r="B395" s="1" t="n">
        <v>43801</v>
      </c>
      <c r="C395" s="1" t="n">
        <v>45349</v>
      </c>
      <c r="D395" t="inlineStr">
        <is>
          <t>VÄSTERNORRLANDS LÄN</t>
        </is>
      </c>
      <c r="E395" t="inlineStr">
        <is>
          <t>ÅNGE</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65046-2019</t>
        </is>
      </c>
      <c r="B396" s="1" t="n">
        <v>43801</v>
      </c>
      <c r="C396" s="1" t="n">
        <v>45349</v>
      </c>
      <c r="D396" t="inlineStr">
        <is>
          <t>VÄSTERNORRLANDS LÄN</t>
        </is>
      </c>
      <c r="E396" t="inlineStr">
        <is>
          <t>ÅNGE</t>
        </is>
      </c>
      <c r="G396" t="n">
        <v>17.3</v>
      </c>
      <c r="H396" t="n">
        <v>0</v>
      </c>
      <c r="I396" t="n">
        <v>0</v>
      </c>
      <c r="J396" t="n">
        <v>0</v>
      </c>
      <c r="K396" t="n">
        <v>0</v>
      </c>
      <c r="L396" t="n">
        <v>0</v>
      </c>
      <c r="M396" t="n">
        <v>0</v>
      </c>
      <c r="N396" t="n">
        <v>0</v>
      </c>
      <c r="O396" t="n">
        <v>0</v>
      </c>
      <c r="P396" t="n">
        <v>0</v>
      </c>
      <c r="Q396" t="n">
        <v>0</v>
      </c>
      <c r="R396" s="2" t="inlineStr"/>
    </row>
    <row r="397" ht="15" customHeight="1">
      <c r="A397" t="inlineStr">
        <is>
          <t>A 65049-2019</t>
        </is>
      </c>
      <c r="B397" s="1" t="n">
        <v>43801</v>
      </c>
      <c r="C397" s="1" t="n">
        <v>45349</v>
      </c>
      <c r="D397" t="inlineStr">
        <is>
          <t>VÄSTERNORRLANDS LÄN</t>
        </is>
      </c>
      <c r="E397" t="inlineStr">
        <is>
          <t>ÅNGE</t>
        </is>
      </c>
      <c r="G397" t="n">
        <v>3.3</v>
      </c>
      <c r="H397" t="n">
        <v>0</v>
      </c>
      <c r="I397" t="n">
        <v>0</v>
      </c>
      <c r="J397" t="n">
        <v>0</v>
      </c>
      <c r="K397" t="n">
        <v>0</v>
      </c>
      <c r="L397" t="n">
        <v>0</v>
      </c>
      <c r="M397" t="n">
        <v>0</v>
      </c>
      <c r="N397" t="n">
        <v>0</v>
      </c>
      <c r="O397" t="n">
        <v>0</v>
      </c>
      <c r="P397" t="n">
        <v>0</v>
      </c>
      <c r="Q397" t="n">
        <v>0</v>
      </c>
      <c r="R397" s="2" t="inlineStr"/>
    </row>
    <row r="398" ht="15" customHeight="1">
      <c r="A398" t="inlineStr">
        <is>
          <t>A 65048-2019</t>
        </is>
      </c>
      <c r="B398" s="1" t="n">
        <v>43801</v>
      </c>
      <c r="C398" s="1" t="n">
        <v>45349</v>
      </c>
      <c r="D398" t="inlineStr">
        <is>
          <t>VÄSTERNORRLANDS LÄN</t>
        </is>
      </c>
      <c r="E398" t="inlineStr">
        <is>
          <t>ÅNGE</t>
        </is>
      </c>
      <c r="G398" t="n">
        <v>1.2</v>
      </c>
      <c r="H398" t="n">
        <v>0</v>
      </c>
      <c r="I398" t="n">
        <v>0</v>
      </c>
      <c r="J398" t="n">
        <v>0</v>
      </c>
      <c r="K398" t="n">
        <v>0</v>
      </c>
      <c r="L398" t="n">
        <v>0</v>
      </c>
      <c r="M398" t="n">
        <v>0</v>
      </c>
      <c r="N398" t="n">
        <v>0</v>
      </c>
      <c r="O398" t="n">
        <v>0</v>
      </c>
      <c r="P398" t="n">
        <v>0</v>
      </c>
      <c r="Q398" t="n">
        <v>0</v>
      </c>
      <c r="R398" s="2" t="inlineStr"/>
    </row>
    <row r="399" ht="15" customHeight="1">
      <c r="A399" t="inlineStr">
        <is>
          <t>A 65951-2019</t>
        </is>
      </c>
      <c r="B399" s="1" t="n">
        <v>43805</v>
      </c>
      <c r="C399" s="1" t="n">
        <v>45349</v>
      </c>
      <c r="D399" t="inlineStr">
        <is>
          <t>VÄSTERNORRLANDS LÄN</t>
        </is>
      </c>
      <c r="E399" t="inlineStr">
        <is>
          <t>ÅNGE</t>
        </is>
      </c>
      <c r="G399" t="n">
        <v>0.9</v>
      </c>
      <c r="H399" t="n">
        <v>0</v>
      </c>
      <c r="I399" t="n">
        <v>0</v>
      </c>
      <c r="J399" t="n">
        <v>0</v>
      </c>
      <c r="K399" t="n">
        <v>0</v>
      </c>
      <c r="L399" t="n">
        <v>0</v>
      </c>
      <c r="M399" t="n">
        <v>0</v>
      </c>
      <c r="N399" t="n">
        <v>0</v>
      </c>
      <c r="O399" t="n">
        <v>0</v>
      </c>
      <c r="P399" t="n">
        <v>0</v>
      </c>
      <c r="Q399" t="n">
        <v>0</v>
      </c>
      <c r="R399" s="2" t="inlineStr"/>
    </row>
    <row r="400" ht="15" customHeight="1">
      <c r="A400" t="inlineStr">
        <is>
          <t>A 65909-2019</t>
        </is>
      </c>
      <c r="B400" s="1" t="n">
        <v>43805</v>
      </c>
      <c r="C400" s="1" t="n">
        <v>45349</v>
      </c>
      <c r="D400" t="inlineStr">
        <is>
          <t>VÄSTERNORRLANDS LÄN</t>
        </is>
      </c>
      <c r="E400" t="inlineStr">
        <is>
          <t>ÅNGE</t>
        </is>
      </c>
      <c r="G400" t="n">
        <v>0.7</v>
      </c>
      <c r="H400" t="n">
        <v>0</v>
      </c>
      <c r="I400" t="n">
        <v>0</v>
      </c>
      <c r="J400" t="n">
        <v>0</v>
      </c>
      <c r="K400" t="n">
        <v>0</v>
      </c>
      <c r="L400" t="n">
        <v>0</v>
      </c>
      <c r="M400" t="n">
        <v>0</v>
      </c>
      <c r="N400" t="n">
        <v>0</v>
      </c>
      <c r="O400" t="n">
        <v>0</v>
      </c>
      <c r="P400" t="n">
        <v>0</v>
      </c>
      <c r="Q400" t="n">
        <v>0</v>
      </c>
      <c r="R400" s="2" t="inlineStr"/>
    </row>
    <row r="401" ht="15" customHeight="1">
      <c r="A401" t="inlineStr">
        <is>
          <t>A 66048-2019</t>
        </is>
      </c>
      <c r="B401" s="1" t="n">
        <v>43805</v>
      </c>
      <c r="C401" s="1" t="n">
        <v>45349</v>
      </c>
      <c r="D401" t="inlineStr">
        <is>
          <t>VÄSTERNORRLANDS LÄN</t>
        </is>
      </c>
      <c r="E401" t="inlineStr">
        <is>
          <t>ÅNGE</t>
        </is>
      </c>
      <c r="F401" t="inlineStr">
        <is>
          <t>SCA</t>
        </is>
      </c>
      <c r="G401" t="n">
        <v>2.9</v>
      </c>
      <c r="H401" t="n">
        <v>0</v>
      </c>
      <c r="I401" t="n">
        <v>0</v>
      </c>
      <c r="J401" t="n">
        <v>0</v>
      </c>
      <c r="K401" t="n">
        <v>0</v>
      </c>
      <c r="L401" t="n">
        <v>0</v>
      </c>
      <c r="M401" t="n">
        <v>0</v>
      </c>
      <c r="N401" t="n">
        <v>0</v>
      </c>
      <c r="O401" t="n">
        <v>0</v>
      </c>
      <c r="P401" t="n">
        <v>0</v>
      </c>
      <c r="Q401" t="n">
        <v>0</v>
      </c>
      <c r="R401" s="2" t="inlineStr"/>
    </row>
    <row r="402" ht="15" customHeight="1">
      <c r="A402" t="inlineStr">
        <is>
          <t>A 66017-2019</t>
        </is>
      </c>
      <c r="B402" s="1" t="n">
        <v>43805</v>
      </c>
      <c r="C402" s="1" t="n">
        <v>45349</v>
      </c>
      <c r="D402" t="inlineStr">
        <is>
          <t>VÄSTERNORRLANDS LÄN</t>
        </is>
      </c>
      <c r="E402" t="inlineStr">
        <is>
          <t>ÅNGE</t>
        </is>
      </c>
      <c r="G402" t="n">
        <v>2.4</v>
      </c>
      <c r="H402" t="n">
        <v>0</v>
      </c>
      <c r="I402" t="n">
        <v>0</v>
      </c>
      <c r="J402" t="n">
        <v>0</v>
      </c>
      <c r="K402" t="n">
        <v>0</v>
      </c>
      <c r="L402" t="n">
        <v>0</v>
      </c>
      <c r="M402" t="n">
        <v>0</v>
      </c>
      <c r="N402" t="n">
        <v>0</v>
      </c>
      <c r="O402" t="n">
        <v>0</v>
      </c>
      <c r="P402" t="n">
        <v>0</v>
      </c>
      <c r="Q402" t="n">
        <v>0</v>
      </c>
      <c r="R402" s="2" t="inlineStr"/>
    </row>
    <row r="403" ht="15" customHeight="1">
      <c r="A403" t="inlineStr">
        <is>
          <t>A 66013-2019</t>
        </is>
      </c>
      <c r="B403" s="1" t="n">
        <v>43805</v>
      </c>
      <c r="C403" s="1" t="n">
        <v>45349</v>
      </c>
      <c r="D403" t="inlineStr">
        <is>
          <t>VÄSTERNORRLANDS LÄN</t>
        </is>
      </c>
      <c r="E403" t="inlineStr">
        <is>
          <t>ÅNGE</t>
        </is>
      </c>
      <c r="G403" t="n">
        <v>4</v>
      </c>
      <c r="H403" t="n">
        <v>0</v>
      </c>
      <c r="I403" t="n">
        <v>0</v>
      </c>
      <c r="J403" t="n">
        <v>0</v>
      </c>
      <c r="K403" t="n">
        <v>0</v>
      </c>
      <c r="L403" t="n">
        <v>0</v>
      </c>
      <c r="M403" t="n">
        <v>0</v>
      </c>
      <c r="N403" t="n">
        <v>0</v>
      </c>
      <c r="O403" t="n">
        <v>0</v>
      </c>
      <c r="P403" t="n">
        <v>0</v>
      </c>
      <c r="Q403" t="n">
        <v>0</v>
      </c>
      <c r="R403" s="2" t="inlineStr"/>
    </row>
    <row r="404" ht="15" customHeight="1">
      <c r="A404" t="inlineStr">
        <is>
          <t>A 68809-2019</t>
        </is>
      </c>
      <c r="B404" s="1" t="n">
        <v>43815</v>
      </c>
      <c r="C404" s="1" t="n">
        <v>45349</v>
      </c>
      <c r="D404" t="inlineStr">
        <is>
          <t>VÄSTERNORRLANDS LÄN</t>
        </is>
      </c>
      <c r="E404" t="inlineStr">
        <is>
          <t>ÅNGE</t>
        </is>
      </c>
      <c r="G404" t="n">
        <v>1.2</v>
      </c>
      <c r="H404" t="n">
        <v>0</v>
      </c>
      <c r="I404" t="n">
        <v>0</v>
      </c>
      <c r="J404" t="n">
        <v>0</v>
      </c>
      <c r="K404" t="n">
        <v>0</v>
      </c>
      <c r="L404" t="n">
        <v>0</v>
      </c>
      <c r="M404" t="n">
        <v>0</v>
      </c>
      <c r="N404" t="n">
        <v>0</v>
      </c>
      <c r="O404" t="n">
        <v>0</v>
      </c>
      <c r="P404" t="n">
        <v>0</v>
      </c>
      <c r="Q404" t="n">
        <v>0</v>
      </c>
      <c r="R404" s="2" t="inlineStr"/>
    </row>
    <row r="405" ht="15" customHeight="1">
      <c r="A405" t="inlineStr">
        <is>
          <t>A 714-2020</t>
        </is>
      </c>
      <c r="B405" s="1" t="n">
        <v>43818</v>
      </c>
      <c r="C405" s="1" t="n">
        <v>45349</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68807-2019</t>
        </is>
      </c>
      <c r="B406" s="1" t="n">
        <v>43819</v>
      </c>
      <c r="C406" s="1" t="n">
        <v>45349</v>
      </c>
      <c r="D406" t="inlineStr">
        <is>
          <t>VÄSTERNORRLANDS LÄN</t>
        </is>
      </c>
      <c r="E406" t="inlineStr">
        <is>
          <t>ÅNGE</t>
        </is>
      </c>
      <c r="G406" t="n">
        <v>2.1</v>
      </c>
      <c r="H406" t="n">
        <v>0</v>
      </c>
      <c r="I406" t="n">
        <v>0</v>
      </c>
      <c r="J406" t="n">
        <v>0</v>
      </c>
      <c r="K406" t="n">
        <v>0</v>
      </c>
      <c r="L406" t="n">
        <v>0</v>
      </c>
      <c r="M406" t="n">
        <v>0</v>
      </c>
      <c r="N406" t="n">
        <v>0</v>
      </c>
      <c r="O406" t="n">
        <v>0</v>
      </c>
      <c r="P406" t="n">
        <v>0</v>
      </c>
      <c r="Q406" t="n">
        <v>0</v>
      </c>
      <c r="R406" s="2" t="inlineStr"/>
    </row>
    <row r="407" ht="15" customHeight="1">
      <c r="A407" t="inlineStr">
        <is>
          <t>A 69169-2019</t>
        </is>
      </c>
      <c r="B407" s="1" t="n">
        <v>43830</v>
      </c>
      <c r="C407" s="1" t="n">
        <v>45349</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69171-2019</t>
        </is>
      </c>
      <c r="B408" s="1" t="n">
        <v>43830</v>
      </c>
      <c r="C408" s="1" t="n">
        <v>45349</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114-2020</t>
        </is>
      </c>
      <c r="B409" s="1" t="n">
        <v>43832</v>
      </c>
      <c r="C409" s="1" t="n">
        <v>45349</v>
      </c>
      <c r="D409" t="inlineStr">
        <is>
          <t>VÄSTERNORRLANDS LÄN</t>
        </is>
      </c>
      <c r="E409" t="inlineStr">
        <is>
          <t>ÅNGE</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531-2020</t>
        </is>
      </c>
      <c r="B410" s="1" t="n">
        <v>43837</v>
      </c>
      <c r="C410" s="1" t="n">
        <v>45349</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664-2020</t>
        </is>
      </c>
      <c r="B411" s="1" t="n">
        <v>43838</v>
      </c>
      <c r="C411" s="1" t="n">
        <v>45349</v>
      </c>
      <c r="D411" t="inlineStr">
        <is>
          <t>VÄSTERNORRLANDS LÄN</t>
        </is>
      </c>
      <c r="E411" t="inlineStr">
        <is>
          <t>ÅNGE</t>
        </is>
      </c>
      <c r="G411" t="n">
        <v>0.6</v>
      </c>
      <c r="H411" t="n">
        <v>0</v>
      </c>
      <c r="I411" t="n">
        <v>0</v>
      </c>
      <c r="J411" t="n">
        <v>0</v>
      </c>
      <c r="K411" t="n">
        <v>0</v>
      </c>
      <c r="L411" t="n">
        <v>0</v>
      </c>
      <c r="M411" t="n">
        <v>0</v>
      </c>
      <c r="N411" t="n">
        <v>0</v>
      </c>
      <c r="O411" t="n">
        <v>0</v>
      </c>
      <c r="P411" t="n">
        <v>0</v>
      </c>
      <c r="Q411" t="n">
        <v>0</v>
      </c>
      <c r="R411" s="2" t="inlineStr"/>
    </row>
    <row r="412" ht="15" customHeight="1">
      <c r="A412" t="inlineStr">
        <is>
          <t>A 2650-2020</t>
        </is>
      </c>
      <c r="B412" s="1" t="n">
        <v>43847</v>
      </c>
      <c r="C412" s="1" t="n">
        <v>45349</v>
      </c>
      <c r="D412" t="inlineStr">
        <is>
          <t>VÄSTERNORRLANDS LÄN</t>
        </is>
      </c>
      <c r="E412" t="inlineStr">
        <is>
          <t>ÅNGE</t>
        </is>
      </c>
      <c r="F412" t="inlineStr">
        <is>
          <t>SCA</t>
        </is>
      </c>
      <c r="G412" t="n">
        <v>4.6</v>
      </c>
      <c r="H412" t="n">
        <v>0</v>
      </c>
      <c r="I412" t="n">
        <v>0</v>
      </c>
      <c r="J412" t="n">
        <v>0</v>
      </c>
      <c r="K412" t="n">
        <v>0</v>
      </c>
      <c r="L412" t="n">
        <v>0</v>
      </c>
      <c r="M412" t="n">
        <v>0</v>
      </c>
      <c r="N412" t="n">
        <v>0</v>
      </c>
      <c r="O412" t="n">
        <v>0</v>
      </c>
      <c r="P412" t="n">
        <v>0</v>
      </c>
      <c r="Q412" t="n">
        <v>0</v>
      </c>
      <c r="R412" s="2" t="inlineStr"/>
    </row>
    <row r="413" ht="15" customHeight="1">
      <c r="A413" t="inlineStr">
        <is>
          <t>A 3658-2020</t>
        </is>
      </c>
      <c r="B413" s="1" t="n">
        <v>43853</v>
      </c>
      <c r="C413" s="1" t="n">
        <v>45349</v>
      </c>
      <c r="D413" t="inlineStr">
        <is>
          <t>VÄSTERNORRLANDS LÄN</t>
        </is>
      </c>
      <c r="E413" t="inlineStr">
        <is>
          <t>ÅNGE</t>
        </is>
      </c>
      <c r="G413" t="n">
        <v>4.4</v>
      </c>
      <c r="H413" t="n">
        <v>0</v>
      </c>
      <c r="I413" t="n">
        <v>0</v>
      </c>
      <c r="J413" t="n">
        <v>0</v>
      </c>
      <c r="K413" t="n">
        <v>0</v>
      </c>
      <c r="L413" t="n">
        <v>0</v>
      </c>
      <c r="M413" t="n">
        <v>0</v>
      </c>
      <c r="N413" t="n">
        <v>0</v>
      </c>
      <c r="O413" t="n">
        <v>0</v>
      </c>
      <c r="P413" t="n">
        <v>0</v>
      </c>
      <c r="Q413" t="n">
        <v>0</v>
      </c>
      <c r="R413" s="2" t="inlineStr"/>
    </row>
    <row r="414" ht="15" customHeight="1">
      <c r="A414" t="inlineStr">
        <is>
          <t>A 3664-2020</t>
        </is>
      </c>
      <c r="B414" s="1" t="n">
        <v>43853</v>
      </c>
      <c r="C414" s="1" t="n">
        <v>45349</v>
      </c>
      <c r="D414" t="inlineStr">
        <is>
          <t>VÄSTERNORRLANDS LÄN</t>
        </is>
      </c>
      <c r="E414" t="inlineStr">
        <is>
          <t>ÅNGE</t>
        </is>
      </c>
      <c r="G414" t="n">
        <v>10.8</v>
      </c>
      <c r="H414" t="n">
        <v>0</v>
      </c>
      <c r="I414" t="n">
        <v>0</v>
      </c>
      <c r="J414" t="n">
        <v>0</v>
      </c>
      <c r="K414" t="n">
        <v>0</v>
      </c>
      <c r="L414" t="n">
        <v>0</v>
      </c>
      <c r="M414" t="n">
        <v>0</v>
      </c>
      <c r="N414" t="n">
        <v>0</v>
      </c>
      <c r="O414" t="n">
        <v>0</v>
      </c>
      <c r="P414" t="n">
        <v>0</v>
      </c>
      <c r="Q414" t="n">
        <v>0</v>
      </c>
      <c r="R414" s="2" t="inlineStr"/>
    </row>
    <row r="415" ht="15" customHeight="1">
      <c r="A415" t="inlineStr">
        <is>
          <t>A 3993-2020</t>
        </is>
      </c>
      <c r="B415" s="1" t="n">
        <v>43856</v>
      </c>
      <c r="C415" s="1" t="n">
        <v>45349</v>
      </c>
      <c r="D415" t="inlineStr">
        <is>
          <t>VÄSTERNORRLANDS LÄN</t>
        </is>
      </c>
      <c r="E415" t="inlineStr">
        <is>
          <t>ÅNGE</t>
        </is>
      </c>
      <c r="G415" t="n">
        <v>1.6</v>
      </c>
      <c r="H415" t="n">
        <v>0</v>
      </c>
      <c r="I415" t="n">
        <v>0</v>
      </c>
      <c r="J415" t="n">
        <v>0</v>
      </c>
      <c r="K415" t="n">
        <v>0</v>
      </c>
      <c r="L415" t="n">
        <v>0</v>
      </c>
      <c r="M415" t="n">
        <v>0</v>
      </c>
      <c r="N415" t="n">
        <v>0</v>
      </c>
      <c r="O415" t="n">
        <v>0</v>
      </c>
      <c r="P415" t="n">
        <v>0</v>
      </c>
      <c r="Q415" t="n">
        <v>0</v>
      </c>
      <c r="R415" s="2" t="inlineStr"/>
    </row>
    <row r="416" ht="15" customHeight="1">
      <c r="A416" t="inlineStr">
        <is>
          <t>A 4365-2020</t>
        </is>
      </c>
      <c r="B416" s="1" t="n">
        <v>43857</v>
      </c>
      <c r="C416" s="1" t="n">
        <v>45349</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4458-2020</t>
        </is>
      </c>
      <c r="B417" s="1" t="n">
        <v>43858</v>
      </c>
      <c r="C417" s="1" t="n">
        <v>45349</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5102-2020</t>
        </is>
      </c>
      <c r="B418" s="1" t="n">
        <v>43859</v>
      </c>
      <c r="C418" s="1" t="n">
        <v>45349</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5975-2020</t>
        </is>
      </c>
      <c r="B419" s="1" t="n">
        <v>43864</v>
      </c>
      <c r="C419" s="1" t="n">
        <v>45349</v>
      </c>
      <c r="D419" t="inlineStr">
        <is>
          <t>VÄSTERNORRLANDS LÄN</t>
        </is>
      </c>
      <c r="E419" t="inlineStr">
        <is>
          <t>ÅNGE</t>
        </is>
      </c>
      <c r="G419" t="n">
        <v>6.5</v>
      </c>
      <c r="H419" t="n">
        <v>0</v>
      </c>
      <c r="I419" t="n">
        <v>0</v>
      </c>
      <c r="J419" t="n">
        <v>0</v>
      </c>
      <c r="K419" t="n">
        <v>0</v>
      </c>
      <c r="L419" t="n">
        <v>0</v>
      </c>
      <c r="M419" t="n">
        <v>0</v>
      </c>
      <c r="N419" t="n">
        <v>0</v>
      </c>
      <c r="O419" t="n">
        <v>0</v>
      </c>
      <c r="P419" t="n">
        <v>0</v>
      </c>
      <c r="Q419" t="n">
        <v>0</v>
      </c>
      <c r="R419" s="2" t="inlineStr"/>
    </row>
    <row r="420" ht="15" customHeight="1">
      <c r="A420" t="inlineStr">
        <is>
          <t>A 6393-2020</t>
        </is>
      </c>
      <c r="B420" s="1" t="n">
        <v>43866</v>
      </c>
      <c r="C420" s="1" t="n">
        <v>45349</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6557-2020</t>
        </is>
      </c>
      <c r="B421" s="1" t="n">
        <v>43867</v>
      </c>
      <c r="C421" s="1" t="n">
        <v>45349</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6551-2020</t>
        </is>
      </c>
      <c r="B422" s="1" t="n">
        <v>43867</v>
      </c>
      <c r="C422" s="1" t="n">
        <v>45349</v>
      </c>
      <c r="D422" t="inlineStr">
        <is>
          <t>VÄSTERNORRLANDS LÄN</t>
        </is>
      </c>
      <c r="E422" t="inlineStr">
        <is>
          <t>ÅNGE</t>
        </is>
      </c>
      <c r="G422" t="n">
        <v>12.5</v>
      </c>
      <c r="H422" t="n">
        <v>0</v>
      </c>
      <c r="I422" t="n">
        <v>0</v>
      </c>
      <c r="J422" t="n">
        <v>0</v>
      </c>
      <c r="K422" t="n">
        <v>0</v>
      </c>
      <c r="L422" t="n">
        <v>0</v>
      </c>
      <c r="M422" t="n">
        <v>0</v>
      </c>
      <c r="N422" t="n">
        <v>0</v>
      </c>
      <c r="O422" t="n">
        <v>0</v>
      </c>
      <c r="P422" t="n">
        <v>0</v>
      </c>
      <c r="Q422" t="n">
        <v>0</v>
      </c>
      <c r="R422" s="2" t="inlineStr"/>
    </row>
    <row r="423" ht="15" customHeight="1">
      <c r="A423" t="inlineStr">
        <is>
          <t>A 6563-2020</t>
        </is>
      </c>
      <c r="B423" s="1" t="n">
        <v>43867</v>
      </c>
      <c r="C423" s="1" t="n">
        <v>45349</v>
      </c>
      <c r="D423" t="inlineStr">
        <is>
          <t>VÄSTERNORRLANDS LÄN</t>
        </is>
      </c>
      <c r="E423" t="inlineStr">
        <is>
          <t>ÅNGE</t>
        </is>
      </c>
      <c r="G423" t="n">
        <v>6.7</v>
      </c>
      <c r="H423" t="n">
        <v>0</v>
      </c>
      <c r="I423" t="n">
        <v>0</v>
      </c>
      <c r="J423" t="n">
        <v>0</v>
      </c>
      <c r="K423" t="n">
        <v>0</v>
      </c>
      <c r="L423" t="n">
        <v>0</v>
      </c>
      <c r="M423" t="n">
        <v>0</v>
      </c>
      <c r="N423" t="n">
        <v>0</v>
      </c>
      <c r="O423" t="n">
        <v>0</v>
      </c>
      <c r="P423" t="n">
        <v>0</v>
      </c>
      <c r="Q423" t="n">
        <v>0</v>
      </c>
      <c r="R423" s="2" t="inlineStr"/>
    </row>
    <row r="424" ht="15" customHeight="1">
      <c r="A424" t="inlineStr">
        <is>
          <t>A 6555-2020</t>
        </is>
      </c>
      <c r="B424" s="1" t="n">
        <v>43867</v>
      </c>
      <c r="C424" s="1" t="n">
        <v>45349</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6562-2020</t>
        </is>
      </c>
      <c r="B425" s="1" t="n">
        <v>43867</v>
      </c>
      <c r="C425" s="1" t="n">
        <v>45349</v>
      </c>
      <c r="D425" t="inlineStr">
        <is>
          <t>VÄSTERNORRLANDS LÄN</t>
        </is>
      </c>
      <c r="E425" t="inlineStr">
        <is>
          <t>ÅNGE</t>
        </is>
      </c>
      <c r="G425" t="n">
        <v>8.199999999999999</v>
      </c>
      <c r="H425" t="n">
        <v>0</v>
      </c>
      <c r="I425" t="n">
        <v>0</v>
      </c>
      <c r="J425" t="n">
        <v>0</v>
      </c>
      <c r="K425" t="n">
        <v>0</v>
      </c>
      <c r="L425" t="n">
        <v>0</v>
      </c>
      <c r="M425" t="n">
        <v>0</v>
      </c>
      <c r="N425" t="n">
        <v>0</v>
      </c>
      <c r="O425" t="n">
        <v>0</v>
      </c>
      <c r="P425" t="n">
        <v>0</v>
      </c>
      <c r="Q425" t="n">
        <v>0</v>
      </c>
      <c r="R425" s="2" t="inlineStr"/>
    </row>
    <row r="426" ht="15" customHeight="1">
      <c r="A426" t="inlineStr">
        <is>
          <t>A 6565-2020</t>
        </is>
      </c>
      <c r="B426" s="1" t="n">
        <v>43867</v>
      </c>
      <c r="C426" s="1" t="n">
        <v>45349</v>
      </c>
      <c r="D426" t="inlineStr">
        <is>
          <t>VÄSTERNORRLANDS LÄN</t>
        </is>
      </c>
      <c r="E426" t="inlineStr">
        <is>
          <t>ÅNGE</t>
        </is>
      </c>
      <c r="G426" t="n">
        <v>1</v>
      </c>
      <c r="H426" t="n">
        <v>0</v>
      </c>
      <c r="I426" t="n">
        <v>0</v>
      </c>
      <c r="J426" t="n">
        <v>0</v>
      </c>
      <c r="K426" t="n">
        <v>0</v>
      </c>
      <c r="L426" t="n">
        <v>0</v>
      </c>
      <c r="M426" t="n">
        <v>0</v>
      </c>
      <c r="N426" t="n">
        <v>0</v>
      </c>
      <c r="O426" t="n">
        <v>0</v>
      </c>
      <c r="P426" t="n">
        <v>0</v>
      </c>
      <c r="Q426" t="n">
        <v>0</v>
      </c>
      <c r="R426" s="2" t="inlineStr"/>
    </row>
    <row r="427" ht="15" customHeight="1">
      <c r="A427" t="inlineStr">
        <is>
          <t>A 7787-2020</t>
        </is>
      </c>
      <c r="B427" s="1" t="n">
        <v>43872</v>
      </c>
      <c r="C427" s="1" t="n">
        <v>45349</v>
      </c>
      <c r="D427" t="inlineStr">
        <is>
          <t>VÄSTERNORRLANDS LÄN</t>
        </is>
      </c>
      <c r="E427" t="inlineStr">
        <is>
          <t>ÅNGE</t>
        </is>
      </c>
      <c r="F427" t="inlineStr">
        <is>
          <t>SCA</t>
        </is>
      </c>
      <c r="G427" t="n">
        <v>22.8</v>
      </c>
      <c r="H427" t="n">
        <v>0</v>
      </c>
      <c r="I427" t="n">
        <v>0</v>
      </c>
      <c r="J427" t="n">
        <v>0</v>
      </c>
      <c r="K427" t="n">
        <v>0</v>
      </c>
      <c r="L427" t="n">
        <v>0</v>
      </c>
      <c r="M427" t="n">
        <v>0</v>
      </c>
      <c r="N427" t="n">
        <v>0</v>
      </c>
      <c r="O427" t="n">
        <v>0</v>
      </c>
      <c r="P427" t="n">
        <v>0</v>
      </c>
      <c r="Q427" t="n">
        <v>0</v>
      </c>
      <c r="R427" s="2" t="inlineStr"/>
    </row>
    <row r="428" ht="15" customHeight="1">
      <c r="A428" t="inlineStr">
        <is>
          <t>A 8533-2020</t>
        </is>
      </c>
      <c r="B428" s="1" t="n">
        <v>43875</v>
      </c>
      <c r="C428" s="1" t="n">
        <v>45349</v>
      </c>
      <c r="D428" t="inlineStr">
        <is>
          <t>VÄSTERNORRLANDS LÄN</t>
        </is>
      </c>
      <c r="E428" t="inlineStr">
        <is>
          <t>ÅNGE</t>
        </is>
      </c>
      <c r="F428" t="inlineStr">
        <is>
          <t>SCA</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8534-2020</t>
        </is>
      </c>
      <c r="B429" s="1" t="n">
        <v>43875</v>
      </c>
      <c r="C429" s="1" t="n">
        <v>45349</v>
      </c>
      <c r="D429" t="inlineStr">
        <is>
          <t>VÄSTERNORRLANDS LÄN</t>
        </is>
      </c>
      <c r="E429" t="inlineStr">
        <is>
          <t>ÅNGE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10144-2020</t>
        </is>
      </c>
      <c r="B430" s="1" t="n">
        <v>43886</v>
      </c>
      <c r="C430" s="1" t="n">
        <v>45349</v>
      </c>
      <c r="D430" t="inlineStr">
        <is>
          <t>VÄSTERNORRLANDS LÄN</t>
        </is>
      </c>
      <c r="E430" t="inlineStr">
        <is>
          <t>ÅNGE</t>
        </is>
      </c>
      <c r="F430" t="inlineStr">
        <is>
          <t>SCA</t>
        </is>
      </c>
      <c r="G430" t="n">
        <v>21.7</v>
      </c>
      <c r="H430" t="n">
        <v>0</v>
      </c>
      <c r="I430" t="n">
        <v>0</v>
      </c>
      <c r="J430" t="n">
        <v>0</v>
      </c>
      <c r="K430" t="n">
        <v>0</v>
      </c>
      <c r="L430" t="n">
        <v>0</v>
      </c>
      <c r="M430" t="n">
        <v>0</v>
      </c>
      <c r="N430" t="n">
        <v>0</v>
      </c>
      <c r="O430" t="n">
        <v>0</v>
      </c>
      <c r="P430" t="n">
        <v>0</v>
      </c>
      <c r="Q430" t="n">
        <v>0</v>
      </c>
      <c r="R430" s="2" t="inlineStr"/>
    </row>
    <row r="431" ht="15" customHeight="1">
      <c r="A431" t="inlineStr">
        <is>
          <t>A 10145-2020</t>
        </is>
      </c>
      <c r="B431" s="1" t="n">
        <v>43886</v>
      </c>
      <c r="C431" s="1" t="n">
        <v>45349</v>
      </c>
      <c r="D431" t="inlineStr">
        <is>
          <t>VÄSTERNORRLANDS LÄN</t>
        </is>
      </c>
      <c r="E431" t="inlineStr">
        <is>
          <t>ÅNGE</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11101-2020</t>
        </is>
      </c>
      <c r="B432" s="1" t="n">
        <v>43889</v>
      </c>
      <c r="C432" s="1" t="n">
        <v>45349</v>
      </c>
      <c r="D432" t="inlineStr">
        <is>
          <t>VÄSTERNORRLANDS LÄN</t>
        </is>
      </c>
      <c r="E432" t="inlineStr">
        <is>
          <t>ÅNGE</t>
        </is>
      </c>
      <c r="F432" t="inlineStr">
        <is>
          <t>Holmen skog AB</t>
        </is>
      </c>
      <c r="G432" t="n">
        <v>1.5</v>
      </c>
      <c r="H432" t="n">
        <v>0</v>
      </c>
      <c r="I432" t="n">
        <v>0</v>
      </c>
      <c r="J432" t="n">
        <v>0</v>
      </c>
      <c r="K432" t="n">
        <v>0</v>
      </c>
      <c r="L432" t="n">
        <v>0</v>
      </c>
      <c r="M432" t="n">
        <v>0</v>
      </c>
      <c r="N432" t="n">
        <v>0</v>
      </c>
      <c r="O432" t="n">
        <v>0</v>
      </c>
      <c r="P432" t="n">
        <v>0</v>
      </c>
      <c r="Q432" t="n">
        <v>0</v>
      </c>
      <c r="R432" s="2" t="inlineStr"/>
    </row>
    <row r="433" ht="15" customHeight="1">
      <c r="A433" t="inlineStr">
        <is>
          <t>A 12866-2020</t>
        </is>
      </c>
      <c r="B433" s="1" t="n">
        <v>43899</v>
      </c>
      <c r="C433" s="1" t="n">
        <v>45349</v>
      </c>
      <c r="D433" t="inlineStr">
        <is>
          <t>VÄSTERNORRLANDS LÄN</t>
        </is>
      </c>
      <c r="E433" t="inlineStr">
        <is>
          <t>ÅNGE</t>
        </is>
      </c>
      <c r="G433" t="n">
        <v>3.2</v>
      </c>
      <c r="H433" t="n">
        <v>0</v>
      </c>
      <c r="I433" t="n">
        <v>0</v>
      </c>
      <c r="J433" t="n">
        <v>0</v>
      </c>
      <c r="K433" t="n">
        <v>0</v>
      </c>
      <c r="L433" t="n">
        <v>0</v>
      </c>
      <c r="M433" t="n">
        <v>0</v>
      </c>
      <c r="N433" t="n">
        <v>0</v>
      </c>
      <c r="O433" t="n">
        <v>0</v>
      </c>
      <c r="P433" t="n">
        <v>0</v>
      </c>
      <c r="Q433" t="n">
        <v>0</v>
      </c>
      <c r="R433" s="2" t="inlineStr"/>
    </row>
    <row r="434" ht="15" customHeight="1">
      <c r="A434" t="inlineStr">
        <is>
          <t>A 12868-2020</t>
        </is>
      </c>
      <c r="B434" s="1" t="n">
        <v>43899</v>
      </c>
      <c r="C434" s="1" t="n">
        <v>45349</v>
      </c>
      <c r="D434" t="inlineStr">
        <is>
          <t>VÄSTERNORRLANDS LÄN</t>
        </is>
      </c>
      <c r="E434" t="inlineStr">
        <is>
          <t>ÅNGE</t>
        </is>
      </c>
      <c r="G434" t="n">
        <v>9.6</v>
      </c>
      <c r="H434" t="n">
        <v>0</v>
      </c>
      <c r="I434" t="n">
        <v>0</v>
      </c>
      <c r="J434" t="n">
        <v>0</v>
      </c>
      <c r="K434" t="n">
        <v>0</v>
      </c>
      <c r="L434" t="n">
        <v>0</v>
      </c>
      <c r="M434" t="n">
        <v>0</v>
      </c>
      <c r="N434" t="n">
        <v>0</v>
      </c>
      <c r="O434" t="n">
        <v>0</v>
      </c>
      <c r="P434" t="n">
        <v>0</v>
      </c>
      <c r="Q434" t="n">
        <v>0</v>
      </c>
      <c r="R434" s="2" t="inlineStr"/>
    </row>
    <row r="435" ht="15" customHeight="1">
      <c r="A435" t="inlineStr">
        <is>
          <t>A 13559-2020</t>
        </is>
      </c>
      <c r="B435" s="1" t="n">
        <v>43902</v>
      </c>
      <c r="C435" s="1" t="n">
        <v>45349</v>
      </c>
      <c r="D435" t="inlineStr">
        <is>
          <t>VÄSTERNORRLANDS LÄN</t>
        </is>
      </c>
      <c r="E435" t="inlineStr">
        <is>
          <t>ÅNGE</t>
        </is>
      </c>
      <c r="F435" t="inlineStr">
        <is>
          <t>SCA</t>
        </is>
      </c>
      <c r="G435" t="n">
        <v>24.5</v>
      </c>
      <c r="H435" t="n">
        <v>0</v>
      </c>
      <c r="I435" t="n">
        <v>0</v>
      </c>
      <c r="J435" t="n">
        <v>0</v>
      </c>
      <c r="K435" t="n">
        <v>0</v>
      </c>
      <c r="L435" t="n">
        <v>0</v>
      </c>
      <c r="M435" t="n">
        <v>0</v>
      </c>
      <c r="N435" t="n">
        <v>0</v>
      </c>
      <c r="O435" t="n">
        <v>0</v>
      </c>
      <c r="P435" t="n">
        <v>0</v>
      </c>
      <c r="Q435" t="n">
        <v>0</v>
      </c>
      <c r="R435" s="2" t="inlineStr"/>
    </row>
    <row r="436" ht="15" customHeight="1">
      <c r="A436" t="inlineStr">
        <is>
          <t>A 14586-2020</t>
        </is>
      </c>
      <c r="B436" s="1" t="n">
        <v>43908</v>
      </c>
      <c r="C436" s="1" t="n">
        <v>45349</v>
      </c>
      <c r="D436" t="inlineStr">
        <is>
          <t>VÄSTERNORRLANDS LÄN</t>
        </is>
      </c>
      <c r="E436" t="inlineStr">
        <is>
          <t>ÅNGE</t>
        </is>
      </c>
      <c r="G436" t="n">
        <v>1.3</v>
      </c>
      <c r="H436" t="n">
        <v>0</v>
      </c>
      <c r="I436" t="n">
        <v>0</v>
      </c>
      <c r="J436" t="n">
        <v>0</v>
      </c>
      <c r="K436" t="n">
        <v>0</v>
      </c>
      <c r="L436" t="n">
        <v>0</v>
      </c>
      <c r="M436" t="n">
        <v>0</v>
      </c>
      <c r="N436" t="n">
        <v>0</v>
      </c>
      <c r="O436" t="n">
        <v>0</v>
      </c>
      <c r="P436" t="n">
        <v>0</v>
      </c>
      <c r="Q436" t="n">
        <v>0</v>
      </c>
      <c r="R436" s="2" t="inlineStr"/>
    </row>
    <row r="437" ht="15" customHeight="1">
      <c r="A437" t="inlineStr">
        <is>
          <t>A 17101-2020</t>
        </is>
      </c>
      <c r="B437" s="1" t="n">
        <v>43914</v>
      </c>
      <c r="C437" s="1" t="n">
        <v>45349</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17098-2020</t>
        </is>
      </c>
      <c r="B438" s="1" t="n">
        <v>43914</v>
      </c>
      <c r="C438" s="1" t="n">
        <v>45349</v>
      </c>
      <c r="D438" t="inlineStr">
        <is>
          <t>VÄSTERNORRLANDS LÄN</t>
        </is>
      </c>
      <c r="E438" t="inlineStr">
        <is>
          <t>ÅNGE</t>
        </is>
      </c>
      <c r="G438" t="n">
        <v>0.7</v>
      </c>
      <c r="H438" t="n">
        <v>0</v>
      </c>
      <c r="I438" t="n">
        <v>0</v>
      </c>
      <c r="J438" t="n">
        <v>0</v>
      </c>
      <c r="K438" t="n">
        <v>0</v>
      </c>
      <c r="L438" t="n">
        <v>0</v>
      </c>
      <c r="M438" t="n">
        <v>0</v>
      </c>
      <c r="N438" t="n">
        <v>0</v>
      </c>
      <c r="O438" t="n">
        <v>0</v>
      </c>
      <c r="P438" t="n">
        <v>0</v>
      </c>
      <c r="Q438" t="n">
        <v>0</v>
      </c>
      <c r="R438" s="2" t="inlineStr"/>
    </row>
    <row r="439" ht="15" customHeight="1">
      <c r="A439" t="inlineStr">
        <is>
          <t>A 17007-2020</t>
        </is>
      </c>
      <c r="B439" s="1" t="n">
        <v>43921</v>
      </c>
      <c r="C439" s="1" t="n">
        <v>45349</v>
      </c>
      <c r="D439" t="inlineStr">
        <is>
          <t>VÄSTERNORRLANDS LÄN</t>
        </is>
      </c>
      <c r="E439" t="inlineStr">
        <is>
          <t>ÅNGE</t>
        </is>
      </c>
      <c r="G439" t="n">
        <v>1.3</v>
      </c>
      <c r="H439" t="n">
        <v>0</v>
      </c>
      <c r="I439" t="n">
        <v>0</v>
      </c>
      <c r="J439" t="n">
        <v>0</v>
      </c>
      <c r="K439" t="n">
        <v>0</v>
      </c>
      <c r="L439" t="n">
        <v>0</v>
      </c>
      <c r="M439" t="n">
        <v>0</v>
      </c>
      <c r="N439" t="n">
        <v>0</v>
      </c>
      <c r="O439" t="n">
        <v>0</v>
      </c>
      <c r="P439" t="n">
        <v>0</v>
      </c>
      <c r="Q439" t="n">
        <v>0</v>
      </c>
      <c r="R439" s="2" t="inlineStr"/>
    </row>
    <row r="440" ht="15" customHeight="1">
      <c r="A440" t="inlineStr">
        <is>
          <t>A 17069-2020</t>
        </is>
      </c>
      <c r="B440" s="1" t="n">
        <v>43921</v>
      </c>
      <c r="C440" s="1" t="n">
        <v>45349</v>
      </c>
      <c r="D440" t="inlineStr">
        <is>
          <t>VÄSTERNORRLANDS LÄN</t>
        </is>
      </c>
      <c r="E440" t="inlineStr">
        <is>
          <t>ÅNGE</t>
        </is>
      </c>
      <c r="F440" t="inlineStr">
        <is>
          <t>SCA</t>
        </is>
      </c>
      <c r="G440" t="n">
        <v>10.1</v>
      </c>
      <c r="H440" t="n">
        <v>0</v>
      </c>
      <c r="I440" t="n">
        <v>0</v>
      </c>
      <c r="J440" t="n">
        <v>0</v>
      </c>
      <c r="K440" t="n">
        <v>0</v>
      </c>
      <c r="L440" t="n">
        <v>0</v>
      </c>
      <c r="M440" t="n">
        <v>0</v>
      </c>
      <c r="N440" t="n">
        <v>0</v>
      </c>
      <c r="O440" t="n">
        <v>0</v>
      </c>
      <c r="P440" t="n">
        <v>0</v>
      </c>
      <c r="Q440" t="n">
        <v>0</v>
      </c>
      <c r="R440" s="2" t="inlineStr"/>
    </row>
    <row r="441" ht="15" customHeight="1">
      <c r="A441" t="inlineStr">
        <is>
          <t>A 19125-2020</t>
        </is>
      </c>
      <c r="B441" s="1" t="n">
        <v>43936</v>
      </c>
      <c r="C441" s="1" t="n">
        <v>45349</v>
      </c>
      <c r="D441" t="inlineStr">
        <is>
          <t>VÄSTERNORRLANDS LÄN</t>
        </is>
      </c>
      <c r="E441" t="inlineStr">
        <is>
          <t>ÅNGE</t>
        </is>
      </c>
      <c r="G441" t="n">
        <v>1.9</v>
      </c>
      <c r="H441" t="n">
        <v>0</v>
      </c>
      <c r="I441" t="n">
        <v>0</v>
      </c>
      <c r="J441" t="n">
        <v>0</v>
      </c>
      <c r="K441" t="n">
        <v>0</v>
      </c>
      <c r="L441" t="n">
        <v>0</v>
      </c>
      <c r="M441" t="n">
        <v>0</v>
      </c>
      <c r="N441" t="n">
        <v>0</v>
      </c>
      <c r="O441" t="n">
        <v>0</v>
      </c>
      <c r="P441" t="n">
        <v>0</v>
      </c>
      <c r="Q441" t="n">
        <v>0</v>
      </c>
      <c r="R441" s="2" t="inlineStr"/>
    </row>
    <row r="442" ht="15" customHeight="1">
      <c r="A442" t="inlineStr">
        <is>
          <t>A 19619-2020</t>
        </is>
      </c>
      <c r="B442" s="1" t="n">
        <v>43941</v>
      </c>
      <c r="C442" s="1" t="n">
        <v>45349</v>
      </c>
      <c r="D442" t="inlineStr">
        <is>
          <t>VÄSTERNORRLANDS LÄN</t>
        </is>
      </c>
      <c r="E442" t="inlineStr">
        <is>
          <t>ÅNGE</t>
        </is>
      </c>
      <c r="G442" t="n">
        <v>4.6</v>
      </c>
      <c r="H442" t="n">
        <v>0</v>
      </c>
      <c r="I442" t="n">
        <v>0</v>
      </c>
      <c r="J442" t="n">
        <v>0</v>
      </c>
      <c r="K442" t="n">
        <v>0</v>
      </c>
      <c r="L442" t="n">
        <v>0</v>
      </c>
      <c r="M442" t="n">
        <v>0</v>
      </c>
      <c r="N442" t="n">
        <v>0</v>
      </c>
      <c r="O442" t="n">
        <v>0</v>
      </c>
      <c r="P442" t="n">
        <v>0</v>
      </c>
      <c r="Q442" t="n">
        <v>0</v>
      </c>
      <c r="R442" s="2" t="inlineStr"/>
    </row>
    <row r="443" ht="15" customHeight="1">
      <c r="A443" t="inlineStr">
        <is>
          <t>A 20079-2020</t>
        </is>
      </c>
      <c r="B443" s="1" t="n">
        <v>43943</v>
      </c>
      <c r="C443" s="1" t="n">
        <v>45349</v>
      </c>
      <c r="D443" t="inlineStr">
        <is>
          <t>VÄSTERNORRLANDS LÄN</t>
        </is>
      </c>
      <c r="E443" t="inlineStr">
        <is>
          <t>ÅNGE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20211-2020</t>
        </is>
      </c>
      <c r="B444" s="1" t="n">
        <v>43944</v>
      </c>
      <c r="C444" s="1" t="n">
        <v>45349</v>
      </c>
      <c r="D444" t="inlineStr">
        <is>
          <t>VÄSTERNORRLANDS LÄN</t>
        </is>
      </c>
      <c r="E444" t="inlineStr">
        <is>
          <t>ÅNGE</t>
        </is>
      </c>
      <c r="G444" t="n">
        <v>1.7</v>
      </c>
      <c r="H444" t="n">
        <v>0</v>
      </c>
      <c r="I444" t="n">
        <v>0</v>
      </c>
      <c r="J444" t="n">
        <v>0</v>
      </c>
      <c r="K444" t="n">
        <v>0</v>
      </c>
      <c r="L444" t="n">
        <v>0</v>
      </c>
      <c r="M444" t="n">
        <v>0</v>
      </c>
      <c r="N444" t="n">
        <v>0</v>
      </c>
      <c r="O444" t="n">
        <v>0</v>
      </c>
      <c r="P444" t="n">
        <v>0</v>
      </c>
      <c r="Q444" t="n">
        <v>0</v>
      </c>
      <c r="R444" s="2" t="inlineStr"/>
    </row>
    <row r="445" ht="15" customHeight="1">
      <c r="A445" t="inlineStr">
        <is>
          <t>A 20192-2020</t>
        </is>
      </c>
      <c r="B445" s="1" t="n">
        <v>43944</v>
      </c>
      <c r="C445" s="1" t="n">
        <v>45349</v>
      </c>
      <c r="D445" t="inlineStr">
        <is>
          <t>VÄSTERNORRLANDS LÄN</t>
        </is>
      </c>
      <c r="E445" t="inlineStr">
        <is>
          <t>ÅNGE</t>
        </is>
      </c>
      <c r="G445" t="n">
        <v>1.5</v>
      </c>
      <c r="H445" t="n">
        <v>0</v>
      </c>
      <c r="I445" t="n">
        <v>0</v>
      </c>
      <c r="J445" t="n">
        <v>0</v>
      </c>
      <c r="K445" t="n">
        <v>0</v>
      </c>
      <c r="L445" t="n">
        <v>0</v>
      </c>
      <c r="M445" t="n">
        <v>0</v>
      </c>
      <c r="N445" t="n">
        <v>0</v>
      </c>
      <c r="O445" t="n">
        <v>0</v>
      </c>
      <c r="P445" t="n">
        <v>0</v>
      </c>
      <c r="Q445" t="n">
        <v>0</v>
      </c>
      <c r="R445" s="2" t="inlineStr"/>
    </row>
    <row r="446" ht="15" customHeight="1">
      <c r="A446" t="inlineStr">
        <is>
          <t>A 20820-2020</t>
        </is>
      </c>
      <c r="B446" s="1" t="n">
        <v>43949</v>
      </c>
      <c r="C446" s="1" t="n">
        <v>45349</v>
      </c>
      <c r="D446" t="inlineStr">
        <is>
          <t>VÄSTERNORRLANDS LÄN</t>
        </is>
      </c>
      <c r="E446" t="inlineStr">
        <is>
          <t>ÅNGE</t>
        </is>
      </c>
      <c r="F446" t="inlineStr">
        <is>
          <t>SCA</t>
        </is>
      </c>
      <c r="G446" t="n">
        <v>10.3</v>
      </c>
      <c r="H446" t="n">
        <v>0</v>
      </c>
      <c r="I446" t="n">
        <v>0</v>
      </c>
      <c r="J446" t="n">
        <v>0</v>
      </c>
      <c r="K446" t="n">
        <v>0</v>
      </c>
      <c r="L446" t="n">
        <v>0</v>
      </c>
      <c r="M446" t="n">
        <v>0</v>
      </c>
      <c r="N446" t="n">
        <v>0</v>
      </c>
      <c r="O446" t="n">
        <v>0</v>
      </c>
      <c r="P446" t="n">
        <v>0</v>
      </c>
      <c r="Q446" t="n">
        <v>0</v>
      </c>
      <c r="R446" s="2" t="inlineStr"/>
    </row>
    <row r="447" ht="15" customHeight="1">
      <c r="A447" t="inlineStr">
        <is>
          <t>A 21207-2020</t>
        </is>
      </c>
      <c r="B447" s="1" t="n">
        <v>43951</v>
      </c>
      <c r="C447" s="1" t="n">
        <v>45349</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21763-2020</t>
        </is>
      </c>
      <c r="B448" s="1" t="n">
        <v>43957</v>
      </c>
      <c r="C448" s="1" t="n">
        <v>45349</v>
      </c>
      <c r="D448" t="inlineStr">
        <is>
          <t>VÄSTERNORRLANDS LÄN</t>
        </is>
      </c>
      <c r="E448" t="inlineStr">
        <is>
          <t>ÅNGE</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22041-2020</t>
        </is>
      </c>
      <c r="B449" s="1" t="n">
        <v>43959</v>
      </c>
      <c r="C449" s="1" t="n">
        <v>45349</v>
      </c>
      <c r="D449" t="inlineStr">
        <is>
          <t>VÄSTERNORRLANDS LÄN</t>
        </is>
      </c>
      <c r="E449" t="inlineStr">
        <is>
          <t>ÅNGE</t>
        </is>
      </c>
      <c r="G449" t="n">
        <v>4.5</v>
      </c>
      <c r="H449" t="n">
        <v>0</v>
      </c>
      <c r="I449" t="n">
        <v>0</v>
      </c>
      <c r="J449" t="n">
        <v>0</v>
      </c>
      <c r="K449" t="n">
        <v>0</v>
      </c>
      <c r="L449" t="n">
        <v>0</v>
      </c>
      <c r="M449" t="n">
        <v>0</v>
      </c>
      <c r="N449" t="n">
        <v>0</v>
      </c>
      <c r="O449" t="n">
        <v>0</v>
      </c>
      <c r="P449" t="n">
        <v>0</v>
      </c>
      <c r="Q449" t="n">
        <v>0</v>
      </c>
      <c r="R449" s="2" t="inlineStr"/>
    </row>
    <row r="450" ht="15" customHeight="1">
      <c r="A450" t="inlineStr">
        <is>
          <t>A 22039-2020</t>
        </is>
      </c>
      <c r="B450" s="1" t="n">
        <v>43959</v>
      </c>
      <c r="C450" s="1" t="n">
        <v>45349</v>
      </c>
      <c r="D450" t="inlineStr">
        <is>
          <t>VÄSTERNORRLANDS LÄN</t>
        </is>
      </c>
      <c r="E450" t="inlineStr">
        <is>
          <t>ÅNGE</t>
        </is>
      </c>
      <c r="G450" t="n">
        <v>0.5</v>
      </c>
      <c r="H450" t="n">
        <v>0</v>
      </c>
      <c r="I450" t="n">
        <v>0</v>
      </c>
      <c r="J450" t="n">
        <v>0</v>
      </c>
      <c r="K450" t="n">
        <v>0</v>
      </c>
      <c r="L450" t="n">
        <v>0</v>
      </c>
      <c r="M450" t="n">
        <v>0</v>
      </c>
      <c r="N450" t="n">
        <v>0</v>
      </c>
      <c r="O450" t="n">
        <v>0</v>
      </c>
      <c r="P450" t="n">
        <v>0</v>
      </c>
      <c r="Q450" t="n">
        <v>0</v>
      </c>
      <c r="R450" s="2" t="inlineStr"/>
    </row>
    <row r="451" ht="15" customHeight="1">
      <c r="A451" t="inlineStr">
        <is>
          <t>A 22552-2020</t>
        </is>
      </c>
      <c r="B451" s="1" t="n">
        <v>43963</v>
      </c>
      <c r="C451" s="1" t="n">
        <v>45349</v>
      </c>
      <c r="D451" t="inlineStr">
        <is>
          <t>VÄSTERNORRLANDS LÄN</t>
        </is>
      </c>
      <c r="E451" t="inlineStr">
        <is>
          <t>ÅNGE</t>
        </is>
      </c>
      <c r="G451" t="n">
        <v>0.7</v>
      </c>
      <c r="H451" t="n">
        <v>0</v>
      </c>
      <c r="I451" t="n">
        <v>0</v>
      </c>
      <c r="J451" t="n">
        <v>0</v>
      </c>
      <c r="K451" t="n">
        <v>0</v>
      </c>
      <c r="L451" t="n">
        <v>0</v>
      </c>
      <c r="M451" t="n">
        <v>0</v>
      </c>
      <c r="N451" t="n">
        <v>0</v>
      </c>
      <c r="O451" t="n">
        <v>0</v>
      </c>
      <c r="P451" t="n">
        <v>0</v>
      </c>
      <c r="Q451" t="n">
        <v>0</v>
      </c>
      <c r="R451" s="2" t="inlineStr"/>
    </row>
    <row r="452" ht="15" customHeight="1">
      <c r="A452" t="inlineStr">
        <is>
          <t>A 22690-2020</t>
        </is>
      </c>
      <c r="B452" s="1" t="n">
        <v>43963</v>
      </c>
      <c r="C452" s="1" t="n">
        <v>45349</v>
      </c>
      <c r="D452" t="inlineStr">
        <is>
          <t>VÄSTERNORRLANDS LÄN</t>
        </is>
      </c>
      <c r="E452" t="inlineStr">
        <is>
          <t>ÅNGE</t>
        </is>
      </c>
      <c r="F452" t="inlineStr">
        <is>
          <t>SCA</t>
        </is>
      </c>
      <c r="G452" t="n">
        <v>6</v>
      </c>
      <c r="H452" t="n">
        <v>0</v>
      </c>
      <c r="I452" t="n">
        <v>0</v>
      </c>
      <c r="J452" t="n">
        <v>0</v>
      </c>
      <c r="K452" t="n">
        <v>0</v>
      </c>
      <c r="L452" t="n">
        <v>0</v>
      </c>
      <c r="M452" t="n">
        <v>0</v>
      </c>
      <c r="N452" t="n">
        <v>0</v>
      </c>
      <c r="O452" t="n">
        <v>0</v>
      </c>
      <c r="P452" t="n">
        <v>0</v>
      </c>
      <c r="Q452" t="n">
        <v>0</v>
      </c>
      <c r="R452" s="2" t="inlineStr"/>
    </row>
    <row r="453" ht="15" customHeight="1">
      <c r="A453" t="inlineStr">
        <is>
          <t>A 22911-2020</t>
        </is>
      </c>
      <c r="B453" s="1" t="n">
        <v>43964</v>
      </c>
      <c r="C453" s="1" t="n">
        <v>45349</v>
      </c>
      <c r="D453" t="inlineStr">
        <is>
          <t>VÄSTERNORRLANDS LÄN</t>
        </is>
      </c>
      <c r="E453" t="inlineStr">
        <is>
          <t>ÅNGE</t>
        </is>
      </c>
      <c r="G453" t="n">
        <v>0.9</v>
      </c>
      <c r="H453" t="n">
        <v>0</v>
      </c>
      <c r="I453" t="n">
        <v>0</v>
      </c>
      <c r="J453" t="n">
        <v>0</v>
      </c>
      <c r="K453" t="n">
        <v>0</v>
      </c>
      <c r="L453" t="n">
        <v>0</v>
      </c>
      <c r="M453" t="n">
        <v>0</v>
      </c>
      <c r="N453" t="n">
        <v>0</v>
      </c>
      <c r="O453" t="n">
        <v>0</v>
      </c>
      <c r="P453" t="n">
        <v>0</v>
      </c>
      <c r="Q453" t="n">
        <v>0</v>
      </c>
      <c r="R453" s="2" t="inlineStr"/>
    </row>
    <row r="454" ht="15" customHeight="1">
      <c r="A454" t="inlineStr">
        <is>
          <t>A 22907-2020</t>
        </is>
      </c>
      <c r="B454" s="1" t="n">
        <v>43964</v>
      </c>
      <c r="C454" s="1" t="n">
        <v>45349</v>
      </c>
      <c r="D454" t="inlineStr">
        <is>
          <t>VÄSTERNORRLANDS LÄN</t>
        </is>
      </c>
      <c r="E454" t="inlineStr">
        <is>
          <t>ÅNGE</t>
        </is>
      </c>
      <c r="G454" t="n">
        <v>2.9</v>
      </c>
      <c r="H454" t="n">
        <v>0</v>
      </c>
      <c r="I454" t="n">
        <v>0</v>
      </c>
      <c r="J454" t="n">
        <v>0</v>
      </c>
      <c r="K454" t="n">
        <v>0</v>
      </c>
      <c r="L454" t="n">
        <v>0</v>
      </c>
      <c r="M454" t="n">
        <v>0</v>
      </c>
      <c r="N454" t="n">
        <v>0</v>
      </c>
      <c r="O454" t="n">
        <v>0</v>
      </c>
      <c r="P454" t="n">
        <v>0</v>
      </c>
      <c r="Q454" t="n">
        <v>0</v>
      </c>
      <c r="R454" s="2" t="inlineStr"/>
    </row>
    <row r="455" ht="15" customHeight="1">
      <c r="A455" t="inlineStr">
        <is>
          <t>A 22909-2020</t>
        </is>
      </c>
      <c r="B455" s="1" t="n">
        <v>43964</v>
      </c>
      <c r="C455" s="1" t="n">
        <v>45349</v>
      </c>
      <c r="D455" t="inlineStr">
        <is>
          <t>VÄSTERNORRLANDS LÄN</t>
        </is>
      </c>
      <c r="E455" t="inlineStr">
        <is>
          <t>ÅNGE</t>
        </is>
      </c>
      <c r="G455" t="n">
        <v>0.5</v>
      </c>
      <c r="H455" t="n">
        <v>0</v>
      </c>
      <c r="I455" t="n">
        <v>0</v>
      </c>
      <c r="J455" t="n">
        <v>0</v>
      </c>
      <c r="K455" t="n">
        <v>0</v>
      </c>
      <c r="L455" t="n">
        <v>0</v>
      </c>
      <c r="M455" t="n">
        <v>0</v>
      </c>
      <c r="N455" t="n">
        <v>0</v>
      </c>
      <c r="O455" t="n">
        <v>0</v>
      </c>
      <c r="P455" t="n">
        <v>0</v>
      </c>
      <c r="Q455" t="n">
        <v>0</v>
      </c>
      <c r="R455" s="2" t="inlineStr"/>
    </row>
    <row r="456" ht="15" customHeight="1">
      <c r="A456" t="inlineStr">
        <is>
          <t>A 23352-2020</t>
        </is>
      </c>
      <c r="B456" s="1" t="n">
        <v>43966</v>
      </c>
      <c r="C456" s="1" t="n">
        <v>45349</v>
      </c>
      <c r="D456" t="inlineStr">
        <is>
          <t>VÄSTERNORRLANDS LÄN</t>
        </is>
      </c>
      <c r="E456" t="inlineStr">
        <is>
          <t>ÅNGE</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23660-2020</t>
        </is>
      </c>
      <c r="B457" s="1" t="n">
        <v>43969</v>
      </c>
      <c r="C457" s="1" t="n">
        <v>45349</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24353-2020</t>
        </is>
      </c>
      <c r="B458" s="1" t="n">
        <v>43976</v>
      </c>
      <c r="C458" s="1" t="n">
        <v>45349</v>
      </c>
      <c r="D458" t="inlineStr">
        <is>
          <t>VÄSTERNORRLANDS LÄN</t>
        </is>
      </c>
      <c r="E458" t="inlineStr">
        <is>
          <t>ÅNGE</t>
        </is>
      </c>
      <c r="G458" t="n">
        <v>3.2</v>
      </c>
      <c r="H458" t="n">
        <v>0</v>
      </c>
      <c r="I458" t="n">
        <v>0</v>
      </c>
      <c r="J458" t="n">
        <v>0</v>
      </c>
      <c r="K458" t="n">
        <v>0</v>
      </c>
      <c r="L458" t="n">
        <v>0</v>
      </c>
      <c r="M458" t="n">
        <v>0</v>
      </c>
      <c r="N458" t="n">
        <v>0</v>
      </c>
      <c r="O458" t="n">
        <v>0</v>
      </c>
      <c r="P458" t="n">
        <v>0</v>
      </c>
      <c r="Q458" t="n">
        <v>0</v>
      </c>
      <c r="R458" s="2" t="inlineStr"/>
    </row>
    <row r="459" ht="15" customHeight="1">
      <c r="A459" t="inlineStr">
        <is>
          <t>A 24411-2020</t>
        </is>
      </c>
      <c r="B459" s="1" t="n">
        <v>43976</v>
      </c>
      <c r="C459" s="1" t="n">
        <v>45349</v>
      </c>
      <c r="D459" t="inlineStr">
        <is>
          <t>VÄSTERNORRLANDS LÄN</t>
        </is>
      </c>
      <c r="E459" t="inlineStr">
        <is>
          <t>ÅNGE</t>
        </is>
      </c>
      <c r="G459" t="n">
        <v>5.6</v>
      </c>
      <c r="H459" t="n">
        <v>0</v>
      </c>
      <c r="I459" t="n">
        <v>0</v>
      </c>
      <c r="J459" t="n">
        <v>0</v>
      </c>
      <c r="K459" t="n">
        <v>0</v>
      </c>
      <c r="L459" t="n">
        <v>0</v>
      </c>
      <c r="M459" t="n">
        <v>0</v>
      </c>
      <c r="N459" t="n">
        <v>0</v>
      </c>
      <c r="O459" t="n">
        <v>0</v>
      </c>
      <c r="P459" t="n">
        <v>0</v>
      </c>
      <c r="Q459" t="n">
        <v>0</v>
      </c>
      <c r="R459" s="2" t="inlineStr"/>
    </row>
    <row r="460" ht="15" customHeight="1">
      <c r="A460" t="inlineStr">
        <is>
          <t>A 24361-2020</t>
        </is>
      </c>
      <c r="B460" s="1" t="n">
        <v>43976</v>
      </c>
      <c r="C460" s="1" t="n">
        <v>45349</v>
      </c>
      <c r="D460" t="inlineStr">
        <is>
          <t>VÄSTERNORRLANDS LÄN</t>
        </is>
      </c>
      <c r="E460" t="inlineStr">
        <is>
          <t>ÅNGE</t>
        </is>
      </c>
      <c r="G460" t="n">
        <v>4</v>
      </c>
      <c r="H460" t="n">
        <v>0</v>
      </c>
      <c r="I460" t="n">
        <v>0</v>
      </c>
      <c r="J460" t="n">
        <v>0</v>
      </c>
      <c r="K460" t="n">
        <v>0</v>
      </c>
      <c r="L460" t="n">
        <v>0</v>
      </c>
      <c r="M460" t="n">
        <v>0</v>
      </c>
      <c r="N460" t="n">
        <v>0</v>
      </c>
      <c r="O460" t="n">
        <v>0</v>
      </c>
      <c r="P460" t="n">
        <v>0</v>
      </c>
      <c r="Q460" t="n">
        <v>0</v>
      </c>
      <c r="R460" s="2" t="inlineStr"/>
    </row>
    <row r="461" ht="15" customHeight="1">
      <c r="A461" t="inlineStr">
        <is>
          <t>A 24696-2020</t>
        </is>
      </c>
      <c r="B461" s="1" t="n">
        <v>43978</v>
      </c>
      <c r="C461" s="1" t="n">
        <v>45349</v>
      </c>
      <c r="D461" t="inlineStr">
        <is>
          <t>VÄSTERNORRLANDS LÄN</t>
        </is>
      </c>
      <c r="E461" t="inlineStr">
        <is>
          <t>ÅNGE</t>
        </is>
      </c>
      <c r="G461" t="n">
        <v>1.6</v>
      </c>
      <c r="H461" t="n">
        <v>0</v>
      </c>
      <c r="I461" t="n">
        <v>0</v>
      </c>
      <c r="J461" t="n">
        <v>0</v>
      </c>
      <c r="K461" t="n">
        <v>0</v>
      </c>
      <c r="L461" t="n">
        <v>0</v>
      </c>
      <c r="M461" t="n">
        <v>0</v>
      </c>
      <c r="N461" t="n">
        <v>0</v>
      </c>
      <c r="O461" t="n">
        <v>0</v>
      </c>
      <c r="P461" t="n">
        <v>0</v>
      </c>
      <c r="Q461" t="n">
        <v>0</v>
      </c>
      <c r="R461" s="2" t="inlineStr"/>
    </row>
    <row r="462" ht="15" customHeight="1">
      <c r="A462" t="inlineStr">
        <is>
          <t>A 24857-2020</t>
        </is>
      </c>
      <c r="B462" s="1" t="n">
        <v>43978</v>
      </c>
      <c r="C462" s="1" t="n">
        <v>45349</v>
      </c>
      <c r="D462" t="inlineStr">
        <is>
          <t>VÄSTERNORRLANDS LÄN</t>
        </is>
      </c>
      <c r="E462" t="inlineStr">
        <is>
          <t>ÅNGE</t>
        </is>
      </c>
      <c r="G462" t="n">
        <v>5</v>
      </c>
      <c r="H462" t="n">
        <v>0</v>
      </c>
      <c r="I462" t="n">
        <v>0</v>
      </c>
      <c r="J462" t="n">
        <v>0</v>
      </c>
      <c r="K462" t="n">
        <v>0</v>
      </c>
      <c r="L462" t="n">
        <v>0</v>
      </c>
      <c r="M462" t="n">
        <v>0</v>
      </c>
      <c r="N462" t="n">
        <v>0</v>
      </c>
      <c r="O462" t="n">
        <v>0</v>
      </c>
      <c r="P462" t="n">
        <v>0</v>
      </c>
      <c r="Q462" t="n">
        <v>0</v>
      </c>
      <c r="R462" s="2" t="inlineStr"/>
    </row>
    <row r="463" ht="15" customHeight="1">
      <c r="A463" t="inlineStr">
        <is>
          <t>A 24859-2020</t>
        </is>
      </c>
      <c r="B463" s="1" t="n">
        <v>43978</v>
      </c>
      <c r="C463" s="1" t="n">
        <v>45349</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25370-2020</t>
        </is>
      </c>
      <c r="B464" s="1" t="n">
        <v>43980</v>
      </c>
      <c r="C464" s="1" t="n">
        <v>45349</v>
      </c>
      <c r="D464" t="inlineStr">
        <is>
          <t>VÄSTERNORRLANDS LÄN</t>
        </is>
      </c>
      <c r="E464" t="inlineStr">
        <is>
          <t>ÅNGE</t>
        </is>
      </c>
      <c r="G464" t="n">
        <v>0.5</v>
      </c>
      <c r="H464" t="n">
        <v>0</v>
      </c>
      <c r="I464" t="n">
        <v>0</v>
      </c>
      <c r="J464" t="n">
        <v>0</v>
      </c>
      <c r="K464" t="n">
        <v>0</v>
      </c>
      <c r="L464" t="n">
        <v>0</v>
      </c>
      <c r="M464" t="n">
        <v>0</v>
      </c>
      <c r="N464" t="n">
        <v>0</v>
      </c>
      <c r="O464" t="n">
        <v>0</v>
      </c>
      <c r="P464" t="n">
        <v>0</v>
      </c>
      <c r="Q464" t="n">
        <v>0</v>
      </c>
      <c r="R464" s="2" t="inlineStr"/>
    </row>
    <row r="465" ht="15" customHeight="1">
      <c r="A465" t="inlineStr">
        <is>
          <t>A 26447-2020</t>
        </is>
      </c>
      <c r="B465" s="1" t="n">
        <v>43987</v>
      </c>
      <c r="C465" s="1" t="n">
        <v>45349</v>
      </c>
      <c r="D465" t="inlineStr">
        <is>
          <t>VÄSTERNORRLANDS LÄN</t>
        </is>
      </c>
      <c r="E465" t="inlineStr">
        <is>
          <t>ÅNGE</t>
        </is>
      </c>
      <c r="G465" t="n">
        <v>1.3</v>
      </c>
      <c r="H465" t="n">
        <v>0</v>
      </c>
      <c r="I465" t="n">
        <v>0</v>
      </c>
      <c r="J465" t="n">
        <v>0</v>
      </c>
      <c r="K465" t="n">
        <v>0</v>
      </c>
      <c r="L465" t="n">
        <v>0</v>
      </c>
      <c r="M465" t="n">
        <v>0</v>
      </c>
      <c r="N465" t="n">
        <v>0</v>
      </c>
      <c r="O465" t="n">
        <v>0</v>
      </c>
      <c r="P465" t="n">
        <v>0</v>
      </c>
      <c r="Q465" t="n">
        <v>0</v>
      </c>
      <c r="R465" s="2" t="inlineStr"/>
    </row>
    <row r="466" ht="15" customHeight="1">
      <c r="A466" t="inlineStr">
        <is>
          <t>A 27773-2020</t>
        </is>
      </c>
      <c r="B466" s="1" t="n">
        <v>43992</v>
      </c>
      <c r="C466" s="1" t="n">
        <v>45349</v>
      </c>
      <c r="D466" t="inlineStr">
        <is>
          <t>VÄSTERNORRLANDS LÄN</t>
        </is>
      </c>
      <c r="E466" t="inlineStr">
        <is>
          <t>ÅNGE</t>
        </is>
      </c>
      <c r="G466" t="n">
        <v>7.2</v>
      </c>
      <c r="H466" t="n">
        <v>0</v>
      </c>
      <c r="I466" t="n">
        <v>0</v>
      </c>
      <c r="J466" t="n">
        <v>0</v>
      </c>
      <c r="K466" t="n">
        <v>0</v>
      </c>
      <c r="L466" t="n">
        <v>0</v>
      </c>
      <c r="M466" t="n">
        <v>0</v>
      </c>
      <c r="N466" t="n">
        <v>0</v>
      </c>
      <c r="O466" t="n">
        <v>0</v>
      </c>
      <c r="P466" t="n">
        <v>0</v>
      </c>
      <c r="Q466" t="n">
        <v>0</v>
      </c>
      <c r="R466" s="2" t="inlineStr"/>
    </row>
    <row r="467" ht="15" customHeight="1">
      <c r="A467" t="inlineStr">
        <is>
          <t>A 28064-2020</t>
        </is>
      </c>
      <c r="B467" s="1" t="n">
        <v>43997</v>
      </c>
      <c r="C467" s="1" t="n">
        <v>45349</v>
      </c>
      <c r="D467" t="inlineStr">
        <is>
          <t>VÄSTERNORRLANDS LÄN</t>
        </is>
      </c>
      <c r="E467" t="inlineStr">
        <is>
          <t>ÅNGE</t>
        </is>
      </c>
      <c r="G467" t="n">
        <v>3.7</v>
      </c>
      <c r="H467" t="n">
        <v>0</v>
      </c>
      <c r="I467" t="n">
        <v>0</v>
      </c>
      <c r="J467" t="n">
        <v>0</v>
      </c>
      <c r="K467" t="n">
        <v>0</v>
      </c>
      <c r="L467" t="n">
        <v>0</v>
      </c>
      <c r="M467" t="n">
        <v>0</v>
      </c>
      <c r="N467" t="n">
        <v>0</v>
      </c>
      <c r="O467" t="n">
        <v>0</v>
      </c>
      <c r="P467" t="n">
        <v>0</v>
      </c>
      <c r="Q467" t="n">
        <v>0</v>
      </c>
      <c r="R467" s="2" t="inlineStr"/>
    </row>
    <row r="468" ht="15" customHeight="1">
      <c r="A468" t="inlineStr">
        <is>
          <t>A 28890-2020</t>
        </is>
      </c>
      <c r="B468" s="1" t="n">
        <v>44000</v>
      </c>
      <c r="C468" s="1" t="n">
        <v>45349</v>
      </c>
      <c r="D468" t="inlineStr">
        <is>
          <t>VÄSTERNORRLANDS LÄN</t>
        </is>
      </c>
      <c r="E468" t="inlineStr">
        <is>
          <t>ÅNGE</t>
        </is>
      </c>
      <c r="G468" t="n">
        <v>15.2</v>
      </c>
      <c r="H468" t="n">
        <v>0</v>
      </c>
      <c r="I468" t="n">
        <v>0</v>
      </c>
      <c r="J468" t="n">
        <v>0</v>
      </c>
      <c r="K468" t="n">
        <v>0</v>
      </c>
      <c r="L468" t="n">
        <v>0</v>
      </c>
      <c r="M468" t="n">
        <v>0</v>
      </c>
      <c r="N468" t="n">
        <v>0</v>
      </c>
      <c r="O468" t="n">
        <v>0</v>
      </c>
      <c r="P468" t="n">
        <v>0</v>
      </c>
      <c r="Q468" t="n">
        <v>0</v>
      </c>
      <c r="R468" s="2" t="inlineStr"/>
    </row>
    <row r="469" ht="15" customHeight="1">
      <c r="A469" t="inlineStr">
        <is>
          <t>A 28832-2020</t>
        </is>
      </c>
      <c r="B469" s="1" t="n">
        <v>44000</v>
      </c>
      <c r="C469" s="1" t="n">
        <v>45349</v>
      </c>
      <c r="D469" t="inlineStr">
        <is>
          <t>VÄSTERNORRLANDS LÄN</t>
        </is>
      </c>
      <c r="E469" t="inlineStr">
        <is>
          <t>ÅNGE</t>
        </is>
      </c>
      <c r="G469" t="n">
        <v>4</v>
      </c>
      <c r="H469" t="n">
        <v>0</v>
      </c>
      <c r="I469" t="n">
        <v>0</v>
      </c>
      <c r="J469" t="n">
        <v>0</v>
      </c>
      <c r="K469" t="n">
        <v>0</v>
      </c>
      <c r="L469" t="n">
        <v>0</v>
      </c>
      <c r="M469" t="n">
        <v>0</v>
      </c>
      <c r="N469" t="n">
        <v>0</v>
      </c>
      <c r="O469" t="n">
        <v>0</v>
      </c>
      <c r="P469" t="n">
        <v>0</v>
      </c>
      <c r="Q469" t="n">
        <v>0</v>
      </c>
      <c r="R469" s="2" t="inlineStr"/>
    </row>
    <row r="470" ht="15" customHeight="1">
      <c r="A470" t="inlineStr">
        <is>
          <t>A 29950-2020</t>
        </is>
      </c>
      <c r="B470" s="1" t="n">
        <v>44006</v>
      </c>
      <c r="C470" s="1" t="n">
        <v>45349</v>
      </c>
      <c r="D470" t="inlineStr">
        <is>
          <t>VÄSTERNORRLANDS LÄN</t>
        </is>
      </c>
      <c r="E470" t="inlineStr">
        <is>
          <t>ÅNGE</t>
        </is>
      </c>
      <c r="G470" t="n">
        <v>3.9</v>
      </c>
      <c r="H470" t="n">
        <v>0</v>
      </c>
      <c r="I470" t="n">
        <v>0</v>
      </c>
      <c r="J470" t="n">
        <v>0</v>
      </c>
      <c r="K470" t="n">
        <v>0</v>
      </c>
      <c r="L470" t="n">
        <v>0</v>
      </c>
      <c r="M470" t="n">
        <v>0</v>
      </c>
      <c r="N470" t="n">
        <v>0</v>
      </c>
      <c r="O470" t="n">
        <v>0</v>
      </c>
      <c r="P470" t="n">
        <v>0</v>
      </c>
      <c r="Q470" t="n">
        <v>0</v>
      </c>
      <c r="R470" s="2" t="inlineStr"/>
    </row>
    <row r="471" ht="15" customHeight="1">
      <c r="A471" t="inlineStr">
        <is>
          <t>A 31079-2020</t>
        </is>
      </c>
      <c r="B471" s="1" t="n">
        <v>44011</v>
      </c>
      <c r="C471" s="1" t="n">
        <v>45349</v>
      </c>
      <c r="D471" t="inlineStr">
        <is>
          <t>VÄSTERNORRLANDS LÄN</t>
        </is>
      </c>
      <c r="E471" t="inlineStr">
        <is>
          <t>ÅNGE</t>
        </is>
      </c>
      <c r="G471" t="n">
        <v>2.1</v>
      </c>
      <c r="H471" t="n">
        <v>0</v>
      </c>
      <c r="I471" t="n">
        <v>0</v>
      </c>
      <c r="J471" t="n">
        <v>0</v>
      </c>
      <c r="K471" t="n">
        <v>0</v>
      </c>
      <c r="L471" t="n">
        <v>0</v>
      </c>
      <c r="M471" t="n">
        <v>0</v>
      </c>
      <c r="N471" t="n">
        <v>0</v>
      </c>
      <c r="O471" t="n">
        <v>0</v>
      </c>
      <c r="P471" t="n">
        <v>0</v>
      </c>
      <c r="Q471" t="n">
        <v>0</v>
      </c>
      <c r="R471" s="2" t="inlineStr"/>
    </row>
    <row r="472" ht="15" customHeight="1">
      <c r="A472" t="inlineStr">
        <is>
          <t>A 31643-2020</t>
        </is>
      </c>
      <c r="B472" s="1" t="n">
        <v>44013</v>
      </c>
      <c r="C472" s="1" t="n">
        <v>45349</v>
      </c>
      <c r="D472" t="inlineStr">
        <is>
          <t>VÄSTERNORRLANDS LÄN</t>
        </is>
      </c>
      <c r="E472" t="inlineStr">
        <is>
          <t>ÅNGE</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31867-2020</t>
        </is>
      </c>
      <c r="B473" s="1" t="n">
        <v>44014</v>
      </c>
      <c r="C473" s="1" t="n">
        <v>45349</v>
      </c>
      <c r="D473" t="inlineStr">
        <is>
          <t>VÄSTERNORRLANDS LÄN</t>
        </is>
      </c>
      <c r="E473" t="inlineStr">
        <is>
          <t>ÅNGE</t>
        </is>
      </c>
      <c r="G473" t="n">
        <v>1.5</v>
      </c>
      <c r="H473" t="n">
        <v>0</v>
      </c>
      <c r="I473" t="n">
        <v>0</v>
      </c>
      <c r="J473" t="n">
        <v>0</v>
      </c>
      <c r="K473" t="n">
        <v>0</v>
      </c>
      <c r="L473" t="n">
        <v>0</v>
      </c>
      <c r="M473" t="n">
        <v>0</v>
      </c>
      <c r="N473" t="n">
        <v>0</v>
      </c>
      <c r="O473" t="n">
        <v>0</v>
      </c>
      <c r="P473" t="n">
        <v>0</v>
      </c>
      <c r="Q473" t="n">
        <v>0</v>
      </c>
      <c r="R473" s="2" t="inlineStr"/>
    </row>
    <row r="474" ht="15" customHeight="1">
      <c r="A474" t="inlineStr">
        <is>
          <t>A 31926-2020</t>
        </is>
      </c>
      <c r="B474" s="1" t="n">
        <v>44014</v>
      </c>
      <c r="C474" s="1" t="n">
        <v>45349</v>
      </c>
      <c r="D474" t="inlineStr">
        <is>
          <t>VÄSTERNORRLANDS LÄN</t>
        </is>
      </c>
      <c r="E474" t="inlineStr">
        <is>
          <t>ÅNGE</t>
        </is>
      </c>
      <c r="G474" t="n">
        <v>2.3</v>
      </c>
      <c r="H474" t="n">
        <v>0</v>
      </c>
      <c r="I474" t="n">
        <v>0</v>
      </c>
      <c r="J474" t="n">
        <v>0</v>
      </c>
      <c r="K474" t="n">
        <v>0</v>
      </c>
      <c r="L474" t="n">
        <v>0</v>
      </c>
      <c r="M474" t="n">
        <v>0</v>
      </c>
      <c r="N474" t="n">
        <v>0</v>
      </c>
      <c r="O474" t="n">
        <v>0</v>
      </c>
      <c r="P474" t="n">
        <v>0</v>
      </c>
      <c r="Q474" t="n">
        <v>0</v>
      </c>
      <c r="R474" s="2" t="inlineStr"/>
    </row>
    <row r="475" ht="15" customHeight="1">
      <c r="A475" t="inlineStr">
        <is>
          <t>A 32299-2020</t>
        </is>
      </c>
      <c r="B475" s="1" t="n">
        <v>44015</v>
      </c>
      <c r="C475" s="1" t="n">
        <v>45349</v>
      </c>
      <c r="D475" t="inlineStr">
        <is>
          <t>VÄSTERNORRLANDS LÄN</t>
        </is>
      </c>
      <c r="E475" t="inlineStr">
        <is>
          <t>ÅNGE</t>
        </is>
      </c>
      <c r="F475" t="inlineStr">
        <is>
          <t>SCA</t>
        </is>
      </c>
      <c r="G475" t="n">
        <v>3.3</v>
      </c>
      <c r="H475" t="n">
        <v>0</v>
      </c>
      <c r="I475" t="n">
        <v>0</v>
      </c>
      <c r="J475" t="n">
        <v>0</v>
      </c>
      <c r="K475" t="n">
        <v>0</v>
      </c>
      <c r="L475" t="n">
        <v>0</v>
      </c>
      <c r="M475" t="n">
        <v>0</v>
      </c>
      <c r="N475" t="n">
        <v>0</v>
      </c>
      <c r="O475" t="n">
        <v>0</v>
      </c>
      <c r="P475" t="n">
        <v>0</v>
      </c>
      <c r="Q475" t="n">
        <v>0</v>
      </c>
      <c r="R475" s="2" t="inlineStr"/>
    </row>
    <row r="476" ht="15" customHeight="1">
      <c r="A476" t="inlineStr">
        <is>
          <t>A 32303-2020</t>
        </is>
      </c>
      <c r="B476" s="1" t="n">
        <v>44015</v>
      </c>
      <c r="C476" s="1" t="n">
        <v>45349</v>
      </c>
      <c r="D476" t="inlineStr">
        <is>
          <t>VÄSTERNORRLANDS LÄN</t>
        </is>
      </c>
      <c r="E476" t="inlineStr">
        <is>
          <t>ÅNGE</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32760-2020</t>
        </is>
      </c>
      <c r="B477" s="1" t="n">
        <v>44019</v>
      </c>
      <c r="C477" s="1" t="n">
        <v>45349</v>
      </c>
      <c r="D477" t="inlineStr">
        <is>
          <t>VÄSTERNORRLANDS LÄN</t>
        </is>
      </c>
      <c r="E477" t="inlineStr">
        <is>
          <t>ÅNGE</t>
        </is>
      </c>
      <c r="F477" t="inlineStr">
        <is>
          <t>SCA</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33442-2020</t>
        </is>
      </c>
      <c r="B478" s="1" t="n">
        <v>44023</v>
      </c>
      <c r="C478" s="1" t="n">
        <v>45349</v>
      </c>
      <c r="D478" t="inlineStr">
        <is>
          <t>VÄSTERNORRLANDS LÄN</t>
        </is>
      </c>
      <c r="E478" t="inlineStr">
        <is>
          <t>ÅNGE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33619-2020</t>
        </is>
      </c>
      <c r="B479" s="1" t="n">
        <v>44026</v>
      </c>
      <c r="C479" s="1" t="n">
        <v>45349</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33524-2020</t>
        </is>
      </c>
      <c r="B480" s="1" t="n">
        <v>44025</v>
      </c>
      <c r="C480" s="1" t="n">
        <v>45349</v>
      </c>
      <c r="D480" t="inlineStr">
        <is>
          <t>VÄSTERNORRLANDS LÄN</t>
        </is>
      </c>
      <c r="E480" t="inlineStr">
        <is>
          <t>ÅNGE</t>
        </is>
      </c>
      <c r="G480" t="n">
        <v>2.8</v>
      </c>
      <c r="H480" t="n">
        <v>0</v>
      </c>
      <c r="I480" t="n">
        <v>0</v>
      </c>
      <c r="J480" t="n">
        <v>0</v>
      </c>
      <c r="K480" t="n">
        <v>0</v>
      </c>
      <c r="L480" t="n">
        <v>0</v>
      </c>
      <c r="M480" t="n">
        <v>0</v>
      </c>
      <c r="N480" t="n">
        <v>0</v>
      </c>
      <c r="O480" t="n">
        <v>0</v>
      </c>
      <c r="P480" t="n">
        <v>0</v>
      </c>
      <c r="Q480" t="n">
        <v>0</v>
      </c>
      <c r="R480" s="2" t="inlineStr"/>
    </row>
    <row r="481" ht="15" customHeight="1">
      <c r="A481" t="inlineStr">
        <is>
          <t>A 34175-2020</t>
        </is>
      </c>
      <c r="B481" s="1" t="n">
        <v>44029</v>
      </c>
      <c r="C481" s="1" t="n">
        <v>45349</v>
      </c>
      <c r="D481" t="inlineStr">
        <is>
          <t>VÄSTERNORRLANDS LÄN</t>
        </is>
      </c>
      <c r="E481" t="inlineStr">
        <is>
          <t>ÅNGE</t>
        </is>
      </c>
      <c r="G481" t="n">
        <v>0.9</v>
      </c>
      <c r="H481" t="n">
        <v>0</v>
      </c>
      <c r="I481" t="n">
        <v>0</v>
      </c>
      <c r="J481" t="n">
        <v>0</v>
      </c>
      <c r="K481" t="n">
        <v>0</v>
      </c>
      <c r="L481" t="n">
        <v>0</v>
      </c>
      <c r="M481" t="n">
        <v>0</v>
      </c>
      <c r="N481" t="n">
        <v>0</v>
      </c>
      <c r="O481" t="n">
        <v>0</v>
      </c>
      <c r="P481" t="n">
        <v>0</v>
      </c>
      <c r="Q481" t="n">
        <v>0</v>
      </c>
      <c r="R481" s="2" t="inlineStr"/>
    </row>
    <row r="482" ht="15" customHeight="1">
      <c r="A482" t="inlineStr">
        <is>
          <t>A 34237-2020</t>
        </is>
      </c>
      <c r="B482" s="1" t="n">
        <v>44029</v>
      </c>
      <c r="C482" s="1" t="n">
        <v>45349</v>
      </c>
      <c r="D482" t="inlineStr">
        <is>
          <t>VÄSTERNORRLANDS LÄN</t>
        </is>
      </c>
      <c r="E482" t="inlineStr">
        <is>
          <t>ÅNGE</t>
        </is>
      </c>
      <c r="G482" t="n">
        <v>5.3</v>
      </c>
      <c r="H482" t="n">
        <v>0</v>
      </c>
      <c r="I482" t="n">
        <v>0</v>
      </c>
      <c r="J482" t="n">
        <v>0</v>
      </c>
      <c r="K482" t="n">
        <v>0</v>
      </c>
      <c r="L482" t="n">
        <v>0</v>
      </c>
      <c r="M482" t="n">
        <v>0</v>
      </c>
      <c r="N482" t="n">
        <v>0</v>
      </c>
      <c r="O482" t="n">
        <v>0</v>
      </c>
      <c r="P482" t="n">
        <v>0</v>
      </c>
      <c r="Q482" t="n">
        <v>0</v>
      </c>
      <c r="R482" s="2" t="inlineStr"/>
    </row>
    <row r="483" ht="15" customHeight="1">
      <c r="A483" t="inlineStr">
        <is>
          <t>A 34420-2020</t>
        </is>
      </c>
      <c r="B483" s="1" t="n">
        <v>44032</v>
      </c>
      <c r="C483" s="1" t="n">
        <v>45349</v>
      </c>
      <c r="D483" t="inlineStr">
        <is>
          <t>VÄSTERNORRLANDS LÄN</t>
        </is>
      </c>
      <c r="E483" t="inlineStr">
        <is>
          <t>ÅNGE</t>
        </is>
      </c>
      <c r="G483" t="n">
        <v>13.9</v>
      </c>
      <c r="H483" t="n">
        <v>0</v>
      </c>
      <c r="I483" t="n">
        <v>0</v>
      </c>
      <c r="J483" t="n">
        <v>0</v>
      </c>
      <c r="K483" t="n">
        <v>0</v>
      </c>
      <c r="L483" t="n">
        <v>0</v>
      </c>
      <c r="M483" t="n">
        <v>0</v>
      </c>
      <c r="N483" t="n">
        <v>0</v>
      </c>
      <c r="O483" t="n">
        <v>0</v>
      </c>
      <c r="P483" t="n">
        <v>0</v>
      </c>
      <c r="Q483" t="n">
        <v>0</v>
      </c>
      <c r="R483" s="2" t="inlineStr"/>
    </row>
    <row r="484" ht="15" customHeight="1">
      <c r="A484" t="inlineStr">
        <is>
          <t>A 34400-2020</t>
        </is>
      </c>
      <c r="B484" s="1" t="n">
        <v>44032</v>
      </c>
      <c r="C484" s="1" t="n">
        <v>45349</v>
      </c>
      <c r="D484" t="inlineStr">
        <is>
          <t>VÄSTERNORRLANDS LÄN</t>
        </is>
      </c>
      <c r="E484" t="inlineStr">
        <is>
          <t>ÅNGE</t>
        </is>
      </c>
      <c r="G484" t="n">
        <v>3.8</v>
      </c>
      <c r="H484" t="n">
        <v>0</v>
      </c>
      <c r="I484" t="n">
        <v>0</v>
      </c>
      <c r="J484" t="n">
        <v>0</v>
      </c>
      <c r="K484" t="n">
        <v>0</v>
      </c>
      <c r="L484" t="n">
        <v>0</v>
      </c>
      <c r="M484" t="n">
        <v>0</v>
      </c>
      <c r="N484" t="n">
        <v>0</v>
      </c>
      <c r="O484" t="n">
        <v>0</v>
      </c>
      <c r="P484" t="n">
        <v>0</v>
      </c>
      <c r="Q484" t="n">
        <v>0</v>
      </c>
      <c r="R484" s="2" t="inlineStr"/>
    </row>
    <row r="485" ht="15" customHeight="1">
      <c r="A485" t="inlineStr">
        <is>
          <t>A 34677-2020</t>
        </is>
      </c>
      <c r="B485" s="1" t="n">
        <v>44035</v>
      </c>
      <c r="C485" s="1" t="n">
        <v>45349</v>
      </c>
      <c r="D485" t="inlineStr">
        <is>
          <t>VÄSTERNORRLANDS LÄN</t>
        </is>
      </c>
      <c r="E485" t="inlineStr">
        <is>
          <t>ÅNGE</t>
        </is>
      </c>
      <c r="G485" t="n">
        <v>6.5</v>
      </c>
      <c r="H485" t="n">
        <v>0</v>
      </c>
      <c r="I485" t="n">
        <v>0</v>
      </c>
      <c r="J485" t="n">
        <v>0</v>
      </c>
      <c r="K485" t="n">
        <v>0</v>
      </c>
      <c r="L485" t="n">
        <v>0</v>
      </c>
      <c r="M485" t="n">
        <v>0</v>
      </c>
      <c r="N485" t="n">
        <v>0</v>
      </c>
      <c r="O485" t="n">
        <v>0</v>
      </c>
      <c r="P485" t="n">
        <v>0</v>
      </c>
      <c r="Q485" t="n">
        <v>0</v>
      </c>
      <c r="R485" s="2" t="inlineStr"/>
    </row>
    <row r="486" ht="15" customHeight="1">
      <c r="A486" t="inlineStr">
        <is>
          <t>A 34777-2020</t>
        </is>
      </c>
      <c r="B486" s="1" t="n">
        <v>44035</v>
      </c>
      <c r="C486" s="1" t="n">
        <v>45349</v>
      </c>
      <c r="D486" t="inlineStr">
        <is>
          <t>VÄSTERNORRLANDS LÄN</t>
        </is>
      </c>
      <c r="E486" t="inlineStr">
        <is>
          <t>ÅNGE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34928-2020</t>
        </is>
      </c>
      <c r="B487" s="1" t="n">
        <v>44036</v>
      </c>
      <c r="C487" s="1" t="n">
        <v>45349</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34974-2020</t>
        </is>
      </c>
      <c r="B488" s="1" t="n">
        <v>44039</v>
      </c>
      <c r="C488" s="1" t="n">
        <v>45349</v>
      </c>
      <c r="D488" t="inlineStr">
        <is>
          <t>VÄSTERNORRLANDS LÄN</t>
        </is>
      </c>
      <c r="E488" t="inlineStr">
        <is>
          <t>ÅNGE</t>
        </is>
      </c>
      <c r="G488" t="n">
        <v>3.4</v>
      </c>
      <c r="H488" t="n">
        <v>0</v>
      </c>
      <c r="I488" t="n">
        <v>0</v>
      </c>
      <c r="J488" t="n">
        <v>0</v>
      </c>
      <c r="K488" t="n">
        <v>0</v>
      </c>
      <c r="L488" t="n">
        <v>0</v>
      </c>
      <c r="M488" t="n">
        <v>0</v>
      </c>
      <c r="N488" t="n">
        <v>0</v>
      </c>
      <c r="O488" t="n">
        <v>0</v>
      </c>
      <c r="P488" t="n">
        <v>0</v>
      </c>
      <c r="Q488" t="n">
        <v>0</v>
      </c>
      <c r="R488" s="2" t="inlineStr"/>
    </row>
    <row r="489" ht="15" customHeight="1">
      <c r="A489" t="inlineStr">
        <is>
          <t>A 35419-2020</t>
        </is>
      </c>
      <c r="B489" s="1" t="n">
        <v>44042</v>
      </c>
      <c r="C489" s="1" t="n">
        <v>45349</v>
      </c>
      <c r="D489" t="inlineStr">
        <is>
          <t>VÄSTERNORRLANDS LÄN</t>
        </is>
      </c>
      <c r="E489" t="inlineStr">
        <is>
          <t>ÅNGE</t>
        </is>
      </c>
      <c r="F489" t="inlineStr">
        <is>
          <t>Holmen skog AB</t>
        </is>
      </c>
      <c r="G489" t="n">
        <v>7.8</v>
      </c>
      <c r="H489" t="n">
        <v>0</v>
      </c>
      <c r="I489" t="n">
        <v>0</v>
      </c>
      <c r="J489" t="n">
        <v>0</v>
      </c>
      <c r="K489" t="n">
        <v>0</v>
      </c>
      <c r="L489" t="n">
        <v>0</v>
      </c>
      <c r="M489" t="n">
        <v>0</v>
      </c>
      <c r="N489" t="n">
        <v>0</v>
      </c>
      <c r="O489" t="n">
        <v>0</v>
      </c>
      <c r="P489" t="n">
        <v>0</v>
      </c>
      <c r="Q489" t="n">
        <v>0</v>
      </c>
      <c r="R489" s="2" t="inlineStr"/>
    </row>
    <row r="490" ht="15" customHeight="1">
      <c r="A490" t="inlineStr">
        <is>
          <t>A 38871-2020</t>
        </is>
      </c>
      <c r="B490" s="1" t="n">
        <v>44062</v>
      </c>
      <c r="C490" s="1" t="n">
        <v>45349</v>
      </c>
      <c r="D490" t="inlineStr">
        <is>
          <t>VÄSTERNORRLANDS LÄN</t>
        </is>
      </c>
      <c r="E490" t="inlineStr">
        <is>
          <t>ÅNGE</t>
        </is>
      </c>
      <c r="G490" t="n">
        <v>1.7</v>
      </c>
      <c r="H490" t="n">
        <v>0</v>
      </c>
      <c r="I490" t="n">
        <v>0</v>
      </c>
      <c r="J490" t="n">
        <v>0</v>
      </c>
      <c r="K490" t="n">
        <v>0</v>
      </c>
      <c r="L490" t="n">
        <v>0</v>
      </c>
      <c r="M490" t="n">
        <v>0</v>
      </c>
      <c r="N490" t="n">
        <v>0</v>
      </c>
      <c r="O490" t="n">
        <v>0</v>
      </c>
      <c r="P490" t="n">
        <v>0</v>
      </c>
      <c r="Q490" t="n">
        <v>0</v>
      </c>
      <c r="R490" s="2" t="inlineStr"/>
    </row>
    <row r="491" ht="15" customHeight="1">
      <c r="A491" t="inlineStr">
        <is>
          <t>A 38894-2020</t>
        </is>
      </c>
      <c r="B491" s="1" t="n">
        <v>44062</v>
      </c>
      <c r="C491" s="1" t="n">
        <v>45349</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39919-2020</t>
        </is>
      </c>
      <c r="B492" s="1" t="n">
        <v>44063</v>
      </c>
      <c r="C492" s="1" t="n">
        <v>45349</v>
      </c>
      <c r="D492" t="inlineStr">
        <is>
          <t>VÄSTERNORRLANDS LÄN</t>
        </is>
      </c>
      <c r="E492" t="inlineStr">
        <is>
          <t>ÅNGE</t>
        </is>
      </c>
      <c r="G492" t="n">
        <v>4.9</v>
      </c>
      <c r="H492" t="n">
        <v>0</v>
      </c>
      <c r="I492" t="n">
        <v>0</v>
      </c>
      <c r="J492" t="n">
        <v>0</v>
      </c>
      <c r="K492" t="n">
        <v>0</v>
      </c>
      <c r="L492" t="n">
        <v>0</v>
      </c>
      <c r="M492" t="n">
        <v>0</v>
      </c>
      <c r="N492" t="n">
        <v>0</v>
      </c>
      <c r="O492" t="n">
        <v>0</v>
      </c>
      <c r="P492" t="n">
        <v>0</v>
      </c>
      <c r="Q492" t="n">
        <v>0</v>
      </c>
      <c r="R492" s="2" t="inlineStr"/>
    </row>
    <row r="493" ht="15" customHeight="1">
      <c r="A493" t="inlineStr">
        <is>
          <t>A 39561-2020</t>
        </is>
      </c>
      <c r="B493" s="1" t="n">
        <v>44064</v>
      </c>
      <c r="C493" s="1" t="n">
        <v>45349</v>
      </c>
      <c r="D493" t="inlineStr">
        <is>
          <t>VÄSTERNORRLANDS LÄN</t>
        </is>
      </c>
      <c r="E493" t="inlineStr">
        <is>
          <t>ÅNGE</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41366-2020</t>
        </is>
      </c>
      <c r="B494" s="1" t="n">
        <v>44071</v>
      </c>
      <c r="C494" s="1" t="n">
        <v>45349</v>
      </c>
      <c r="D494" t="inlineStr">
        <is>
          <t>VÄSTERNORRLANDS LÄN</t>
        </is>
      </c>
      <c r="E494" t="inlineStr">
        <is>
          <t>ÅNGE</t>
        </is>
      </c>
      <c r="G494" t="n">
        <v>0.9</v>
      </c>
      <c r="H494" t="n">
        <v>0</v>
      </c>
      <c r="I494" t="n">
        <v>0</v>
      </c>
      <c r="J494" t="n">
        <v>0</v>
      </c>
      <c r="K494" t="n">
        <v>0</v>
      </c>
      <c r="L494" t="n">
        <v>0</v>
      </c>
      <c r="M494" t="n">
        <v>0</v>
      </c>
      <c r="N494" t="n">
        <v>0</v>
      </c>
      <c r="O494" t="n">
        <v>0</v>
      </c>
      <c r="P494" t="n">
        <v>0</v>
      </c>
      <c r="Q494" t="n">
        <v>0</v>
      </c>
      <c r="R494" s="2" t="inlineStr"/>
    </row>
    <row r="495" ht="15" customHeight="1">
      <c r="A495" t="inlineStr">
        <is>
          <t>A 42296-2020</t>
        </is>
      </c>
      <c r="B495" s="1" t="n">
        <v>44076</v>
      </c>
      <c r="C495" s="1" t="n">
        <v>45349</v>
      </c>
      <c r="D495" t="inlineStr">
        <is>
          <t>VÄSTERNORRLANDS LÄN</t>
        </is>
      </c>
      <c r="E495" t="inlineStr">
        <is>
          <t>ÅNGE</t>
        </is>
      </c>
      <c r="G495" t="n">
        <v>2.1</v>
      </c>
      <c r="H495" t="n">
        <v>0</v>
      </c>
      <c r="I495" t="n">
        <v>0</v>
      </c>
      <c r="J495" t="n">
        <v>0</v>
      </c>
      <c r="K495" t="n">
        <v>0</v>
      </c>
      <c r="L495" t="n">
        <v>0</v>
      </c>
      <c r="M495" t="n">
        <v>0</v>
      </c>
      <c r="N495" t="n">
        <v>0</v>
      </c>
      <c r="O495" t="n">
        <v>0</v>
      </c>
      <c r="P495" t="n">
        <v>0</v>
      </c>
      <c r="Q495" t="n">
        <v>0</v>
      </c>
      <c r="R495" s="2" t="inlineStr"/>
    </row>
    <row r="496" ht="15" customHeight="1">
      <c r="A496" t="inlineStr">
        <is>
          <t>A 42289-2020</t>
        </is>
      </c>
      <c r="B496" s="1" t="n">
        <v>44076</v>
      </c>
      <c r="C496" s="1" t="n">
        <v>45349</v>
      </c>
      <c r="D496" t="inlineStr">
        <is>
          <t>VÄSTERNORRLANDS LÄN</t>
        </is>
      </c>
      <c r="E496" t="inlineStr">
        <is>
          <t>ÅNGE</t>
        </is>
      </c>
      <c r="G496" t="n">
        <v>16.7</v>
      </c>
      <c r="H496" t="n">
        <v>0</v>
      </c>
      <c r="I496" t="n">
        <v>0</v>
      </c>
      <c r="J496" t="n">
        <v>0</v>
      </c>
      <c r="K496" t="n">
        <v>0</v>
      </c>
      <c r="L496" t="n">
        <v>0</v>
      </c>
      <c r="M496" t="n">
        <v>0</v>
      </c>
      <c r="N496" t="n">
        <v>0</v>
      </c>
      <c r="O496" t="n">
        <v>0</v>
      </c>
      <c r="P496" t="n">
        <v>0</v>
      </c>
      <c r="Q496" t="n">
        <v>0</v>
      </c>
      <c r="R496" s="2" t="inlineStr"/>
    </row>
    <row r="497" ht="15" customHeight="1">
      <c r="A497" t="inlineStr">
        <is>
          <t>A 42299-2020</t>
        </is>
      </c>
      <c r="B497" s="1" t="n">
        <v>44076</v>
      </c>
      <c r="C497" s="1" t="n">
        <v>45349</v>
      </c>
      <c r="D497" t="inlineStr">
        <is>
          <t>VÄSTERNORRLANDS LÄN</t>
        </is>
      </c>
      <c r="E497" t="inlineStr">
        <is>
          <t>ÅNGE</t>
        </is>
      </c>
      <c r="G497" t="n">
        <v>3.6</v>
      </c>
      <c r="H497" t="n">
        <v>0</v>
      </c>
      <c r="I497" t="n">
        <v>0</v>
      </c>
      <c r="J497" t="n">
        <v>0</v>
      </c>
      <c r="K497" t="n">
        <v>0</v>
      </c>
      <c r="L497" t="n">
        <v>0</v>
      </c>
      <c r="M497" t="n">
        <v>0</v>
      </c>
      <c r="N497" t="n">
        <v>0</v>
      </c>
      <c r="O497" t="n">
        <v>0</v>
      </c>
      <c r="P497" t="n">
        <v>0</v>
      </c>
      <c r="Q497" t="n">
        <v>0</v>
      </c>
      <c r="R497" s="2" t="inlineStr"/>
    </row>
    <row r="498" ht="15" customHeight="1">
      <c r="A498" t="inlineStr">
        <is>
          <t>A 42751-2020</t>
        </is>
      </c>
      <c r="B498" s="1" t="n">
        <v>44077</v>
      </c>
      <c r="C498" s="1" t="n">
        <v>45349</v>
      </c>
      <c r="D498" t="inlineStr">
        <is>
          <t>VÄSTERNORRLANDS LÄN</t>
        </is>
      </c>
      <c r="E498" t="inlineStr">
        <is>
          <t>ÅNGE</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43093-2020</t>
        </is>
      </c>
      <c r="B499" s="1" t="n">
        <v>44078</v>
      </c>
      <c r="C499" s="1" t="n">
        <v>45349</v>
      </c>
      <c r="D499" t="inlineStr">
        <is>
          <t>VÄSTERNORRLANDS LÄN</t>
        </is>
      </c>
      <c r="E499" t="inlineStr">
        <is>
          <t>ÅNGE</t>
        </is>
      </c>
      <c r="F499" t="inlineStr">
        <is>
          <t>SCA</t>
        </is>
      </c>
      <c r="G499" t="n">
        <v>1.2</v>
      </c>
      <c r="H499" t="n">
        <v>0</v>
      </c>
      <c r="I499" t="n">
        <v>0</v>
      </c>
      <c r="J499" t="n">
        <v>0</v>
      </c>
      <c r="K499" t="n">
        <v>0</v>
      </c>
      <c r="L499" t="n">
        <v>0</v>
      </c>
      <c r="M499" t="n">
        <v>0</v>
      </c>
      <c r="N499" t="n">
        <v>0</v>
      </c>
      <c r="O499" t="n">
        <v>0</v>
      </c>
      <c r="P499" t="n">
        <v>0</v>
      </c>
      <c r="Q499" t="n">
        <v>0</v>
      </c>
      <c r="R499" s="2" t="inlineStr"/>
    </row>
    <row r="500" ht="15" customHeight="1">
      <c r="A500" t="inlineStr">
        <is>
          <t>A 45808-2020</t>
        </is>
      </c>
      <c r="B500" s="1" t="n">
        <v>44090</v>
      </c>
      <c r="C500" s="1" t="n">
        <v>45349</v>
      </c>
      <c r="D500" t="inlineStr">
        <is>
          <t>VÄSTERNORRLANDS LÄN</t>
        </is>
      </c>
      <c r="E500" t="inlineStr">
        <is>
          <t>ÅNGE</t>
        </is>
      </c>
      <c r="G500" t="n">
        <v>0.3</v>
      </c>
      <c r="H500" t="n">
        <v>0</v>
      </c>
      <c r="I500" t="n">
        <v>0</v>
      </c>
      <c r="J500" t="n">
        <v>0</v>
      </c>
      <c r="K500" t="n">
        <v>0</v>
      </c>
      <c r="L500" t="n">
        <v>0</v>
      </c>
      <c r="M500" t="n">
        <v>0</v>
      </c>
      <c r="N500" t="n">
        <v>0</v>
      </c>
      <c r="O500" t="n">
        <v>0</v>
      </c>
      <c r="P500" t="n">
        <v>0</v>
      </c>
      <c r="Q500" t="n">
        <v>0</v>
      </c>
      <c r="R500" s="2" t="inlineStr"/>
    </row>
    <row r="501" ht="15" customHeight="1">
      <c r="A501" t="inlineStr">
        <is>
          <t>A 45813-2020</t>
        </is>
      </c>
      <c r="B501" s="1" t="n">
        <v>44090</v>
      </c>
      <c r="C501" s="1" t="n">
        <v>45349</v>
      </c>
      <c r="D501" t="inlineStr">
        <is>
          <t>VÄSTERNORRLANDS LÄN</t>
        </is>
      </c>
      <c r="E501" t="inlineStr">
        <is>
          <t>ÅNGE</t>
        </is>
      </c>
      <c r="G501" t="n">
        <v>0.4</v>
      </c>
      <c r="H501" t="n">
        <v>0</v>
      </c>
      <c r="I501" t="n">
        <v>0</v>
      </c>
      <c r="J501" t="n">
        <v>0</v>
      </c>
      <c r="K501" t="n">
        <v>0</v>
      </c>
      <c r="L501" t="n">
        <v>0</v>
      </c>
      <c r="M501" t="n">
        <v>0</v>
      </c>
      <c r="N501" t="n">
        <v>0</v>
      </c>
      <c r="O501" t="n">
        <v>0</v>
      </c>
      <c r="P501" t="n">
        <v>0</v>
      </c>
      <c r="Q501" t="n">
        <v>0</v>
      </c>
      <c r="R501" s="2" t="inlineStr"/>
    </row>
    <row r="502" ht="15" customHeight="1">
      <c r="A502" t="inlineStr">
        <is>
          <t>A 45812-2020</t>
        </is>
      </c>
      <c r="B502" s="1" t="n">
        <v>44090</v>
      </c>
      <c r="C502" s="1" t="n">
        <v>45349</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45810-2020</t>
        </is>
      </c>
      <c r="B503" s="1" t="n">
        <v>44090</v>
      </c>
      <c r="C503" s="1" t="n">
        <v>45349</v>
      </c>
      <c r="D503" t="inlineStr">
        <is>
          <t>VÄSTERNORRLANDS LÄN</t>
        </is>
      </c>
      <c r="E503" t="inlineStr">
        <is>
          <t>ÅNGE</t>
        </is>
      </c>
      <c r="G503" t="n">
        <v>0.2</v>
      </c>
      <c r="H503" t="n">
        <v>0</v>
      </c>
      <c r="I503" t="n">
        <v>0</v>
      </c>
      <c r="J503" t="n">
        <v>0</v>
      </c>
      <c r="K503" t="n">
        <v>0</v>
      </c>
      <c r="L503" t="n">
        <v>0</v>
      </c>
      <c r="M503" t="n">
        <v>0</v>
      </c>
      <c r="N503" t="n">
        <v>0</v>
      </c>
      <c r="O503" t="n">
        <v>0</v>
      </c>
      <c r="P503" t="n">
        <v>0</v>
      </c>
      <c r="Q503" t="n">
        <v>0</v>
      </c>
      <c r="R503" s="2" t="inlineStr"/>
    </row>
    <row r="504" ht="15" customHeight="1">
      <c r="A504" t="inlineStr">
        <is>
          <t>A 47041-2020</t>
        </is>
      </c>
      <c r="B504" s="1" t="n">
        <v>44091</v>
      </c>
      <c r="C504" s="1" t="n">
        <v>45349</v>
      </c>
      <c r="D504" t="inlineStr">
        <is>
          <t>VÄSTERNORRLANDS LÄN</t>
        </is>
      </c>
      <c r="E504" t="inlineStr">
        <is>
          <t>ÅNGE</t>
        </is>
      </c>
      <c r="G504" t="n">
        <v>2.2</v>
      </c>
      <c r="H504" t="n">
        <v>0</v>
      </c>
      <c r="I504" t="n">
        <v>0</v>
      </c>
      <c r="J504" t="n">
        <v>0</v>
      </c>
      <c r="K504" t="n">
        <v>0</v>
      </c>
      <c r="L504" t="n">
        <v>0</v>
      </c>
      <c r="M504" t="n">
        <v>0</v>
      </c>
      <c r="N504" t="n">
        <v>0</v>
      </c>
      <c r="O504" t="n">
        <v>0</v>
      </c>
      <c r="P504" t="n">
        <v>0</v>
      </c>
      <c r="Q504" t="n">
        <v>0</v>
      </c>
      <c r="R504" s="2" t="inlineStr"/>
    </row>
    <row r="505" ht="15" customHeight="1">
      <c r="A505" t="inlineStr">
        <is>
          <t>A 46518-2020</t>
        </is>
      </c>
      <c r="B505" s="1" t="n">
        <v>44095</v>
      </c>
      <c r="C505" s="1" t="n">
        <v>45349</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47411-2020</t>
        </is>
      </c>
      <c r="B506" s="1" t="n">
        <v>44095</v>
      </c>
      <c r="C506" s="1" t="n">
        <v>45349</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47127-2020</t>
        </is>
      </c>
      <c r="B507" s="1" t="n">
        <v>44096</v>
      </c>
      <c r="C507" s="1" t="n">
        <v>45349</v>
      </c>
      <c r="D507" t="inlineStr">
        <is>
          <t>VÄSTERNORRLANDS LÄN</t>
        </is>
      </c>
      <c r="E507" t="inlineStr">
        <is>
          <t>ÅNGE</t>
        </is>
      </c>
      <c r="F507" t="inlineStr">
        <is>
          <t>SCA</t>
        </is>
      </c>
      <c r="G507" t="n">
        <v>0.6</v>
      </c>
      <c r="H507" t="n">
        <v>0</v>
      </c>
      <c r="I507" t="n">
        <v>0</v>
      </c>
      <c r="J507" t="n">
        <v>0</v>
      </c>
      <c r="K507" t="n">
        <v>0</v>
      </c>
      <c r="L507" t="n">
        <v>0</v>
      </c>
      <c r="M507" t="n">
        <v>0</v>
      </c>
      <c r="N507" t="n">
        <v>0</v>
      </c>
      <c r="O507" t="n">
        <v>0</v>
      </c>
      <c r="P507" t="n">
        <v>0</v>
      </c>
      <c r="Q507" t="n">
        <v>0</v>
      </c>
      <c r="R507" s="2" t="inlineStr"/>
    </row>
    <row r="508" ht="15" customHeight="1">
      <c r="A508" t="inlineStr">
        <is>
          <t>A 48238-2020</t>
        </is>
      </c>
      <c r="B508" s="1" t="n">
        <v>44097</v>
      </c>
      <c r="C508" s="1" t="n">
        <v>45349</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48810-2020</t>
        </is>
      </c>
      <c r="B509" s="1" t="n">
        <v>44103</v>
      </c>
      <c r="C509" s="1" t="n">
        <v>45349</v>
      </c>
      <c r="D509" t="inlineStr">
        <is>
          <t>VÄSTERNORRLANDS LÄN</t>
        </is>
      </c>
      <c r="E509" t="inlineStr">
        <is>
          <t>ÅNGE</t>
        </is>
      </c>
      <c r="F509" t="inlineStr">
        <is>
          <t>SCA</t>
        </is>
      </c>
      <c r="G509" t="n">
        <v>1.8</v>
      </c>
      <c r="H509" t="n">
        <v>0</v>
      </c>
      <c r="I509" t="n">
        <v>0</v>
      </c>
      <c r="J509" t="n">
        <v>0</v>
      </c>
      <c r="K509" t="n">
        <v>0</v>
      </c>
      <c r="L509" t="n">
        <v>0</v>
      </c>
      <c r="M509" t="n">
        <v>0</v>
      </c>
      <c r="N509" t="n">
        <v>0</v>
      </c>
      <c r="O509" t="n">
        <v>0</v>
      </c>
      <c r="P509" t="n">
        <v>0</v>
      </c>
      <c r="Q509" t="n">
        <v>0</v>
      </c>
      <c r="R509" s="2" t="inlineStr"/>
      <c r="U509">
        <f>HYPERLINK("https://klasma.github.io/Logging_2260/knärot/A 48810-2020 karta knärot.png", "A 48810-2020")</f>
        <v/>
      </c>
      <c r="V509">
        <f>HYPERLINK("https://klasma.github.io/Logging_2260/klagomål/A 48810-2020 FSC-klagomål.docx", "A 48810-2020")</f>
        <v/>
      </c>
      <c r="W509">
        <f>HYPERLINK("https://klasma.github.io/Logging_2260/klagomålsmail/A 48810-2020 FSC-klagomål mail.docx", "A 48810-2020")</f>
        <v/>
      </c>
      <c r="X509">
        <f>HYPERLINK("https://klasma.github.io/Logging_2260/tillsyn/A 48810-2020 tillsynsbegäran.docx", "A 48810-2020")</f>
        <v/>
      </c>
      <c r="Y509">
        <f>HYPERLINK("https://klasma.github.io/Logging_2260/tillsynsmail/A 48810-2020 tillsynsbegäran mail.docx", "A 48810-2020")</f>
        <v/>
      </c>
    </row>
    <row r="510" ht="15" customHeight="1">
      <c r="A510" t="inlineStr">
        <is>
          <t>A 49343-2020</t>
        </is>
      </c>
      <c r="B510" s="1" t="n">
        <v>44105</v>
      </c>
      <c r="C510" s="1" t="n">
        <v>45349</v>
      </c>
      <c r="D510" t="inlineStr">
        <is>
          <t>VÄSTERNORRLANDS LÄN</t>
        </is>
      </c>
      <c r="E510" t="inlineStr">
        <is>
          <t>ÅNGE</t>
        </is>
      </c>
      <c r="G510" t="n">
        <v>1.2</v>
      </c>
      <c r="H510" t="n">
        <v>0</v>
      </c>
      <c r="I510" t="n">
        <v>0</v>
      </c>
      <c r="J510" t="n">
        <v>0</v>
      </c>
      <c r="K510" t="n">
        <v>0</v>
      </c>
      <c r="L510" t="n">
        <v>0</v>
      </c>
      <c r="M510" t="n">
        <v>0</v>
      </c>
      <c r="N510" t="n">
        <v>0</v>
      </c>
      <c r="O510" t="n">
        <v>0</v>
      </c>
      <c r="P510" t="n">
        <v>0</v>
      </c>
      <c r="Q510" t="n">
        <v>0</v>
      </c>
      <c r="R510" s="2" t="inlineStr"/>
    </row>
    <row r="511" ht="15" customHeight="1">
      <c r="A511" t="inlineStr">
        <is>
          <t>A 49346-2020</t>
        </is>
      </c>
      <c r="B511" s="1" t="n">
        <v>44105</v>
      </c>
      <c r="C511" s="1" t="n">
        <v>45349</v>
      </c>
      <c r="D511" t="inlineStr">
        <is>
          <t>VÄSTERNORRLANDS LÄN</t>
        </is>
      </c>
      <c r="E511" t="inlineStr">
        <is>
          <t>ÅNGE</t>
        </is>
      </c>
      <c r="G511" t="n">
        <v>1.9</v>
      </c>
      <c r="H511" t="n">
        <v>0</v>
      </c>
      <c r="I511" t="n">
        <v>0</v>
      </c>
      <c r="J511" t="n">
        <v>0</v>
      </c>
      <c r="K511" t="n">
        <v>0</v>
      </c>
      <c r="L511" t="n">
        <v>0</v>
      </c>
      <c r="M511" t="n">
        <v>0</v>
      </c>
      <c r="N511" t="n">
        <v>0</v>
      </c>
      <c r="O511" t="n">
        <v>0</v>
      </c>
      <c r="P511" t="n">
        <v>0</v>
      </c>
      <c r="Q511" t="n">
        <v>0</v>
      </c>
      <c r="R511" s="2" t="inlineStr"/>
    </row>
    <row r="512" ht="15" customHeight="1">
      <c r="A512" t="inlineStr">
        <is>
          <t>A 49656-2020</t>
        </is>
      </c>
      <c r="B512" s="1" t="n">
        <v>44106</v>
      </c>
      <c r="C512" s="1" t="n">
        <v>45349</v>
      </c>
      <c r="D512" t="inlineStr">
        <is>
          <t>VÄSTERNORRLANDS LÄN</t>
        </is>
      </c>
      <c r="E512" t="inlineStr">
        <is>
          <t>ÅNGE</t>
        </is>
      </c>
      <c r="G512" t="n">
        <v>2.6</v>
      </c>
      <c r="H512" t="n">
        <v>0</v>
      </c>
      <c r="I512" t="n">
        <v>0</v>
      </c>
      <c r="J512" t="n">
        <v>0</v>
      </c>
      <c r="K512" t="n">
        <v>0</v>
      </c>
      <c r="L512" t="n">
        <v>0</v>
      </c>
      <c r="M512" t="n">
        <v>0</v>
      </c>
      <c r="N512" t="n">
        <v>0</v>
      </c>
      <c r="O512" t="n">
        <v>0</v>
      </c>
      <c r="P512" t="n">
        <v>0</v>
      </c>
      <c r="Q512" t="n">
        <v>0</v>
      </c>
      <c r="R512" s="2" t="inlineStr"/>
    </row>
    <row r="513" ht="15" customHeight="1">
      <c r="A513" t="inlineStr">
        <is>
          <t>A 49838-2020</t>
        </is>
      </c>
      <c r="B513" s="1" t="n">
        <v>44106</v>
      </c>
      <c r="C513" s="1" t="n">
        <v>45349</v>
      </c>
      <c r="D513" t="inlineStr">
        <is>
          <t>VÄSTERNORRLANDS LÄN</t>
        </is>
      </c>
      <c r="E513" t="inlineStr">
        <is>
          <t>ÅNGE</t>
        </is>
      </c>
      <c r="G513" t="n">
        <v>0.8</v>
      </c>
      <c r="H513" t="n">
        <v>0</v>
      </c>
      <c r="I513" t="n">
        <v>0</v>
      </c>
      <c r="J513" t="n">
        <v>0</v>
      </c>
      <c r="K513" t="n">
        <v>0</v>
      </c>
      <c r="L513" t="n">
        <v>0</v>
      </c>
      <c r="M513" t="n">
        <v>0</v>
      </c>
      <c r="N513" t="n">
        <v>0</v>
      </c>
      <c r="O513" t="n">
        <v>0</v>
      </c>
      <c r="P513" t="n">
        <v>0</v>
      </c>
      <c r="Q513" t="n">
        <v>0</v>
      </c>
      <c r="R513" s="2" t="inlineStr"/>
    </row>
    <row r="514" ht="15" customHeight="1">
      <c r="A514" t="inlineStr">
        <is>
          <t>A 50265-2020</t>
        </is>
      </c>
      <c r="B514" s="1" t="n">
        <v>44109</v>
      </c>
      <c r="C514" s="1" t="n">
        <v>45349</v>
      </c>
      <c r="D514" t="inlineStr">
        <is>
          <t>VÄSTERNORRLANDS LÄN</t>
        </is>
      </c>
      <c r="E514" t="inlineStr">
        <is>
          <t>ÅNGE</t>
        </is>
      </c>
      <c r="G514" t="n">
        <v>1.5</v>
      </c>
      <c r="H514" t="n">
        <v>0</v>
      </c>
      <c r="I514" t="n">
        <v>0</v>
      </c>
      <c r="J514" t="n">
        <v>0</v>
      </c>
      <c r="K514" t="n">
        <v>0</v>
      </c>
      <c r="L514" t="n">
        <v>0</v>
      </c>
      <c r="M514" t="n">
        <v>0</v>
      </c>
      <c r="N514" t="n">
        <v>0</v>
      </c>
      <c r="O514" t="n">
        <v>0</v>
      </c>
      <c r="P514" t="n">
        <v>0</v>
      </c>
      <c r="Q514" t="n">
        <v>0</v>
      </c>
      <c r="R514" s="2" t="inlineStr"/>
    </row>
    <row r="515" ht="15" customHeight="1">
      <c r="A515" t="inlineStr">
        <is>
          <t>A 50259-2020</t>
        </is>
      </c>
      <c r="B515" s="1" t="n">
        <v>44109</v>
      </c>
      <c r="C515" s="1" t="n">
        <v>45349</v>
      </c>
      <c r="D515" t="inlineStr">
        <is>
          <t>VÄSTERNORRLANDS LÄN</t>
        </is>
      </c>
      <c r="E515" t="inlineStr">
        <is>
          <t>ÅNGE</t>
        </is>
      </c>
      <c r="G515" t="n">
        <v>5.1</v>
      </c>
      <c r="H515" t="n">
        <v>0</v>
      </c>
      <c r="I515" t="n">
        <v>0</v>
      </c>
      <c r="J515" t="n">
        <v>0</v>
      </c>
      <c r="K515" t="n">
        <v>0</v>
      </c>
      <c r="L515" t="n">
        <v>0</v>
      </c>
      <c r="M515" t="n">
        <v>0</v>
      </c>
      <c r="N515" t="n">
        <v>0</v>
      </c>
      <c r="O515" t="n">
        <v>0</v>
      </c>
      <c r="P515" t="n">
        <v>0</v>
      </c>
      <c r="Q515" t="n">
        <v>0</v>
      </c>
      <c r="R515" s="2" t="inlineStr"/>
    </row>
    <row r="516" ht="15" customHeight="1">
      <c r="A516" t="inlineStr">
        <is>
          <t>A 50260-2020</t>
        </is>
      </c>
      <c r="B516" s="1" t="n">
        <v>44109</v>
      </c>
      <c r="C516" s="1" t="n">
        <v>45349</v>
      </c>
      <c r="D516" t="inlineStr">
        <is>
          <t>VÄSTERNORRLANDS LÄN</t>
        </is>
      </c>
      <c r="E516" t="inlineStr">
        <is>
          <t>ÅNGE</t>
        </is>
      </c>
      <c r="G516" t="n">
        <v>3.9</v>
      </c>
      <c r="H516" t="n">
        <v>0</v>
      </c>
      <c r="I516" t="n">
        <v>0</v>
      </c>
      <c r="J516" t="n">
        <v>0</v>
      </c>
      <c r="K516" t="n">
        <v>0</v>
      </c>
      <c r="L516" t="n">
        <v>0</v>
      </c>
      <c r="M516" t="n">
        <v>0</v>
      </c>
      <c r="N516" t="n">
        <v>0</v>
      </c>
      <c r="O516" t="n">
        <v>0</v>
      </c>
      <c r="P516" t="n">
        <v>0</v>
      </c>
      <c r="Q516" t="n">
        <v>0</v>
      </c>
      <c r="R516" s="2" t="inlineStr"/>
    </row>
    <row r="517" ht="15" customHeight="1">
      <c r="A517" t="inlineStr">
        <is>
          <t>A 50258-2020</t>
        </is>
      </c>
      <c r="B517" s="1" t="n">
        <v>44109</v>
      </c>
      <c r="C517" s="1" t="n">
        <v>45349</v>
      </c>
      <c r="D517" t="inlineStr">
        <is>
          <t>VÄSTERNORRLANDS LÄN</t>
        </is>
      </c>
      <c r="E517" t="inlineStr">
        <is>
          <t>ÅNGE</t>
        </is>
      </c>
      <c r="G517" t="n">
        <v>1.6</v>
      </c>
      <c r="H517" t="n">
        <v>0</v>
      </c>
      <c r="I517" t="n">
        <v>0</v>
      </c>
      <c r="J517" t="n">
        <v>0</v>
      </c>
      <c r="K517" t="n">
        <v>0</v>
      </c>
      <c r="L517" t="n">
        <v>0</v>
      </c>
      <c r="M517" t="n">
        <v>0</v>
      </c>
      <c r="N517" t="n">
        <v>0</v>
      </c>
      <c r="O517" t="n">
        <v>0</v>
      </c>
      <c r="P517" t="n">
        <v>0</v>
      </c>
      <c r="Q517" t="n">
        <v>0</v>
      </c>
      <c r="R517" s="2" t="inlineStr"/>
    </row>
    <row r="518" ht="15" customHeight="1">
      <c r="A518" t="inlineStr">
        <is>
          <t>A 50268-2020</t>
        </is>
      </c>
      <c r="B518" s="1" t="n">
        <v>44109</v>
      </c>
      <c r="C518" s="1" t="n">
        <v>45349</v>
      </c>
      <c r="D518" t="inlineStr">
        <is>
          <t>VÄSTERNORRLANDS LÄN</t>
        </is>
      </c>
      <c r="E518" t="inlineStr">
        <is>
          <t>ÅNGE</t>
        </is>
      </c>
      <c r="G518" t="n">
        <v>1.3</v>
      </c>
      <c r="H518" t="n">
        <v>0</v>
      </c>
      <c r="I518" t="n">
        <v>0</v>
      </c>
      <c r="J518" t="n">
        <v>0</v>
      </c>
      <c r="K518" t="n">
        <v>0</v>
      </c>
      <c r="L518" t="n">
        <v>0</v>
      </c>
      <c r="M518" t="n">
        <v>0</v>
      </c>
      <c r="N518" t="n">
        <v>0</v>
      </c>
      <c r="O518" t="n">
        <v>0</v>
      </c>
      <c r="P518" t="n">
        <v>0</v>
      </c>
      <c r="Q518" t="n">
        <v>0</v>
      </c>
      <c r="R518" s="2" t="inlineStr"/>
    </row>
    <row r="519" ht="15" customHeight="1">
      <c r="A519" t="inlineStr">
        <is>
          <t>A 52232-2020</t>
        </is>
      </c>
      <c r="B519" s="1" t="n">
        <v>44111</v>
      </c>
      <c r="C519" s="1" t="n">
        <v>45349</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51610-2020</t>
        </is>
      </c>
      <c r="B520" s="1" t="n">
        <v>44113</v>
      </c>
      <c r="C520" s="1" t="n">
        <v>45349</v>
      </c>
      <c r="D520" t="inlineStr">
        <is>
          <t>VÄSTERNORRLANDS LÄN</t>
        </is>
      </c>
      <c r="E520" t="inlineStr">
        <is>
          <t>ÅNGE</t>
        </is>
      </c>
      <c r="F520" t="inlineStr">
        <is>
          <t>Sveaskog</t>
        </is>
      </c>
      <c r="G520" t="n">
        <v>0.9</v>
      </c>
      <c r="H520" t="n">
        <v>0</v>
      </c>
      <c r="I520" t="n">
        <v>0</v>
      </c>
      <c r="J520" t="n">
        <v>0</v>
      </c>
      <c r="K520" t="n">
        <v>0</v>
      </c>
      <c r="L520" t="n">
        <v>0</v>
      </c>
      <c r="M520" t="n">
        <v>0</v>
      </c>
      <c r="N520" t="n">
        <v>0</v>
      </c>
      <c r="O520" t="n">
        <v>0</v>
      </c>
      <c r="P520" t="n">
        <v>0</v>
      </c>
      <c r="Q520" t="n">
        <v>0</v>
      </c>
      <c r="R520" s="2" t="inlineStr"/>
    </row>
    <row r="521" ht="15" customHeight="1">
      <c r="A521" t="inlineStr">
        <is>
          <t>A 52504-2020</t>
        </is>
      </c>
      <c r="B521" s="1" t="n">
        <v>44113</v>
      </c>
      <c r="C521" s="1" t="n">
        <v>45349</v>
      </c>
      <c r="D521" t="inlineStr">
        <is>
          <t>VÄSTERNORRLANDS LÄN</t>
        </is>
      </c>
      <c r="E521" t="inlineStr">
        <is>
          <t>ÅNGE</t>
        </is>
      </c>
      <c r="G521" t="n">
        <v>1.8</v>
      </c>
      <c r="H521" t="n">
        <v>0</v>
      </c>
      <c r="I521" t="n">
        <v>0</v>
      </c>
      <c r="J521" t="n">
        <v>0</v>
      </c>
      <c r="K521" t="n">
        <v>0</v>
      </c>
      <c r="L521" t="n">
        <v>0</v>
      </c>
      <c r="M521" t="n">
        <v>0</v>
      </c>
      <c r="N521" t="n">
        <v>0</v>
      </c>
      <c r="O521" t="n">
        <v>0</v>
      </c>
      <c r="P521" t="n">
        <v>0</v>
      </c>
      <c r="Q521" t="n">
        <v>0</v>
      </c>
      <c r="R521" s="2" t="inlineStr"/>
    </row>
    <row r="522" ht="15" customHeight="1">
      <c r="A522" t="inlineStr">
        <is>
          <t>A 51755-2020</t>
        </is>
      </c>
      <c r="B522" s="1" t="n">
        <v>44114</v>
      </c>
      <c r="C522" s="1" t="n">
        <v>45349</v>
      </c>
      <c r="D522" t="inlineStr">
        <is>
          <t>VÄSTERNORRLANDS LÄN</t>
        </is>
      </c>
      <c r="E522" t="inlineStr">
        <is>
          <t>ÅNGE</t>
        </is>
      </c>
      <c r="G522" t="n">
        <v>6.4</v>
      </c>
      <c r="H522" t="n">
        <v>0</v>
      </c>
      <c r="I522" t="n">
        <v>0</v>
      </c>
      <c r="J522" t="n">
        <v>0</v>
      </c>
      <c r="K522" t="n">
        <v>0</v>
      </c>
      <c r="L522" t="n">
        <v>0</v>
      </c>
      <c r="M522" t="n">
        <v>0</v>
      </c>
      <c r="N522" t="n">
        <v>0</v>
      </c>
      <c r="O522" t="n">
        <v>0</v>
      </c>
      <c r="P522" t="n">
        <v>0</v>
      </c>
      <c r="Q522" t="n">
        <v>0</v>
      </c>
      <c r="R522" s="2" t="inlineStr"/>
    </row>
    <row r="523" ht="15" customHeight="1">
      <c r="A523" t="inlineStr">
        <is>
          <t>A 52637-2020</t>
        </is>
      </c>
      <c r="B523" s="1" t="n">
        <v>44118</v>
      </c>
      <c r="C523" s="1" t="n">
        <v>45349</v>
      </c>
      <c r="D523" t="inlineStr">
        <is>
          <t>VÄSTERNORRLANDS LÄN</t>
        </is>
      </c>
      <c r="E523" t="inlineStr">
        <is>
          <t>ÅNGE</t>
        </is>
      </c>
      <c r="G523" t="n">
        <v>2.6</v>
      </c>
      <c r="H523" t="n">
        <v>0</v>
      </c>
      <c r="I523" t="n">
        <v>0</v>
      </c>
      <c r="J523" t="n">
        <v>0</v>
      </c>
      <c r="K523" t="n">
        <v>0</v>
      </c>
      <c r="L523" t="n">
        <v>0</v>
      </c>
      <c r="M523" t="n">
        <v>0</v>
      </c>
      <c r="N523" t="n">
        <v>0</v>
      </c>
      <c r="O523" t="n">
        <v>0</v>
      </c>
      <c r="P523" t="n">
        <v>0</v>
      </c>
      <c r="Q523" t="n">
        <v>0</v>
      </c>
      <c r="R523" s="2" t="inlineStr"/>
    </row>
    <row r="524" ht="15" customHeight="1">
      <c r="A524" t="inlineStr">
        <is>
          <t>A 52629-2020</t>
        </is>
      </c>
      <c r="B524" s="1" t="n">
        <v>44118</v>
      </c>
      <c r="C524" s="1" t="n">
        <v>45349</v>
      </c>
      <c r="D524" t="inlineStr">
        <is>
          <t>VÄSTERNORRLANDS LÄN</t>
        </is>
      </c>
      <c r="E524" t="inlineStr">
        <is>
          <t>ÅNGE</t>
        </is>
      </c>
      <c r="G524" t="n">
        <v>2.4</v>
      </c>
      <c r="H524" t="n">
        <v>0</v>
      </c>
      <c r="I524" t="n">
        <v>0</v>
      </c>
      <c r="J524" t="n">
        <v>0</v>
      </c>
      <c r="K524" t="n">
        <v>0</v>
      </c>
      <c r="L524" t="n">
        <v>0</v>
      </c>
      <c r="M524" t="n">
        <v>0</v>
      </c>
      <c r="N524" t="n">
        <v>0</v>
      </c>
      <c r="O524" t="n">
        <v>0</v>
      </c>
      <c r="P524" t="n">
        <v>0</v>
      </c>
      <c r="Q524" t="n">
        <v>0</v>
      </c>
      <c r="R524" s="2" t="inlineStr"/>
    </row>
    <row r="525" ht="15" customHeight="1">
      <c r="A525" t="inlineStr">
        <is>
          <t>A 52633-2020</t>
        </is>
      </c>
      <c r="B525" s="1" t="n">
        <v>44118</v>
      </c>
      <c r="C525" s="1" t="n">
        <v>45349</v>
      </c>
      <c r="D525" t="inlineStr">
        <is>
          <t>VÄSTERNORRLANDS LÄN</t>
        </is>
      </c>
      <c r="E525" t="inlineStr">
        <is>
          <t>ÅNGE</t>
        </is>
      </c>
      <c r="G525" t="n">
        <v>3.6</v>
      </c>
      <c r="H525" t="n">
        <v>0</v>
      </c>
      <c r="I525" t="n">
        <v>0</v>
      </c>
      <c r="J525" t="n">
        <v>0</v>
      </c>
      <c r="K525" t="n">
        <v>0</v>
      </c>
      <c r="L525" t="n">
        <v>0</v>
      </c>
      <c r="M525" t="n">
        <v>0</v>
      </c>
      <c r="N525" t="n">
        <v>0</v>
      </c>
      <c r="O525" t="n">
        <v>0</v>
      </c>
      <c r="P525" t="n">
        <v>0</v>
      </c>
      <c r="Q525" t="n">
        <v>0</v>
      </c>
      <c r="R525" s="2" t="inlineStr"/>
    </row>
    <row r="526" ht="15" customHeight="1">
      <c r="A526" t="inlineStr">
        <is>
          <t>A 52627-2020</t>
        </is>
      </c>
      <c r="B526" s="1" t="n">
        <v>44118</v>
      </c>
      <c r="C526" s="1" t="n">
        <v>45349</v>
      </c>
      <c r="D526" t="inlineStr">
        <is>
          <t>VÄSTERNORRLANDS LÄN</t>
        </is>
      </c>
      <c r="E526" t="inlineStr">
        <is>
          <t>ÅNGE</t>
        </is>
      </c>
      <c r="G526" t="n">
        <v>0.8</v>
      </c>
      <c r="H526" t="n">
        <v>0</v>
      </c>
      <c r="I526" t="n">
        <v>0</v>
      </c>
      <c r="J526" t="n">
        <v>0</v>
      </c>
      <c r="K526" t="n">
        <v>0</v>
      </c>
      <c r="L526" t="n">
        <v>0</v>
      </c>
      <c r="M526" t="n">
        <v>0</v>
      </c>
      <c r="N526" t="n">
        <v>0</v>
      </c>
      <c r="O526" t="n">
        <v>0</v>
      </c>
      <c r="P526" t="n">
        <v>0</v>
      </c>
      <c r="Q526" t="n">
        <v>0</v>
      </c>
      <c r="R526" s="2" t="inlineStr"/>
    </row>
    <row r="527" ht="15" customHeight="1">
      <c r="A527" t="inlineStr">
        <is>
          <t>A 53171-2020</t>
        </is>
      </c>
      <c r="B527" s="1" t="n">
        <v>44120</v>
      </c>
      <c r="C527" s="1" t="n">
        <v>45349</v>
      </c>
      <c r="D527" t="inlineStr">
        <is>
          <t>VÄSTERNORRLANDS LÄN</t>
        </is>
      </c>
      <c r="E527" t="inlineStr">
        <is>
          <t>ÅNGE</t>
        </is>
      </c>
      <c r="F527" t="inlineStr">
        <is>
          <t>SCA</t>
        </is>
      </c>
      <c r="G527" t="n">
        <v>6.9</v>
      </c>
      <c r="H527" t="n">
        <v>0</v>
      </c>
      <c r="I527" t="n">
        <v>0</v>
      </c>
      <c r="J527" t="n">
        <v>0</v>
      </c>
      <c r="K527" t="n">
        <v>0</v>
      </c>
      <c r="L527" t="n">
        <v>0</v>
      </c>
      <c r="M527" t="n">
        <v>0</v>
      </c>
      <c r="N527" t="n">
        <v>0</v>
      </c>
      <c r="O527" t="n">
        <v>0</v>
      </c>
      <c r="P527" t="n">
        <v>0</v>
      </c>
      <c r="Q527" t="n">
        <v>0</v>
      </c>
      <c r="R527" s="2" t="inlineStr"/>
    </row>
    <row r="528" ht="15" customHeight="1">
      <c r="A528" t="inlineStr">
        <is>
          <t>A 53173-2020</t>
        </is>
      </c>
      <c r="B528" s="1" t="n">
        <v>44120</v>
      </c>
      <c r="C528" s="1" t="n">
        <v>45349</v>
      </c>
      <c r="D528" t="inlineStr">
        <is>
          <t>VÄSTERNORRLANDS LÄN</t>
        </is>
      </c>
      <c r="E528" t="inlineStr">
        <is>
          <t>ÅNGE</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53170-2020</t>
        </is>
      </c>
      <c r="B529" s="1" t="n">
        <v>44120</v>
      </c>
      <c r="C529" s="1" t="n">
        <v>45349</v>
      </c>
      <c r="D529" t="inlineStr">
        <is>
          <t>VÄSTERNORRLANDS LÄN</t>
        </is>
      </c>
      <c r="E529" t="inlineStr">
        <is>
          <t>ÅNGE</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53175-2020</t>
        </is>
      </c>
      <c r="B530" s="1" t="n">
        <v>44120</v>
      </c>
      <c r="C530" s="1" t="n">
        <v>45349</v>
      </c>
      <c r="D530" t="inlineStr">
        <is>
          <t>VÄSTERNORRLANDS LÄN</t>
        </is>
      </c>
      <c r="E530" t="inlineStr">
        <is>
          <t>ÅNGE</t>
        </is>
      </c>
      <c r="F530" t="inlineStr">
        <is>
          <t>SCA</t>
        </is>
      </c>
      <c r="G530" t="n">
        <v>5.3</v>
      </c>
      <c r="H530" t="n">
        <v>0</v>
      </c>
      <c r="I530" t="n">
        <v>0</v>
      </c>
      <c r="J530" t="n">
        <v>0</v>
      </c>
      <c r="K530" t="n">
        <v>0</v>
      </c>
      <c r="L530" t="n">
        <v>0</v>
      </c>
      <c r="M530" t="n">
        <v>0</v>
      </c>
      <c r="N530" t="n">
        <v>0</v>
      </c>
      <c r="O530" t="n">
        <v>0</v>
      </c>
      <c r="P530" t="n">
        <v>0</v>
      </c>
      <c r="Q530" t="n">
        <v>0</v>
      </c>
      <c r="R530" s="2" t="inlineStr"/>
    </row>
    <row r="531" ht="15" customHeight="1">
      <c r="A531" t="inlineStr">
        <is>
          <t>A 53174-2020</t>
        </is>
      </c>
      <c r="B531" s="1" t="n">
        <v>44120</v>
      </c>
      <c r="C531" s="1" t="n">
        <v>45349</v>
      </c>
      <c r="D531" t="inlineStr">
        <is>
          <t>VÄSTERNORRLANDS LÄN</t>
        </is>
      </c>
      <c r="E531" t="inlineStr">
        <is>
          <t>ÅNGE</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53474-2020</t>
        </is>
      </c>
      <c r="B532" s="1" t="n">
        <v>44123</v>
      </c>
      <c r="C532" s="1" t="n">
        <v>45349</v>
      </c>
      <c r="D532" t="inlineStr">
        <is>
          <t>VÄSTERNORRLANDS LÄN</t>
        </is>
      </c>
      <c r="E532" t="inlineStr">
        <is>
          <t>ÅNGE</t>
        </is>
      </c>
      <c r="G532" t="n">
        <v>1.3</v>
      </c>
      <c r="H532" t="n">
        <v>0</v>
      </c>
      <c r="I532" t="n">
        <v>0</v>
      </c>
      <c r="J532" t="n">
        <v>0</v>
      </c>
      <c r="K532" t="n">
        <v>0</v>
      </c>
      <c r="L532" t="n">
        <v>0</v>
      </c>
      <c r="M532" t="n">
        <v>0</v>
      </c>
      <c r="N532" t="n">
        <v>0</v>
      </c>
      <c r="O532" t="n">
        <v>0</v>
      </c>
      <c r="P532" t="n">
        <v>0</v>
      </c>
      <c r="Q532" t="n">
        <v>0</v>
      </c>
      <c r="R532" s="2" t="inlineStr"/>
    </row>
    <row r="533" ht="15" customHeight="1">
      <c r="A533" t="inlineStr">
        <is>
          <t>A 53660-2020</t>
        </is>
      </c>
      <c r="B533" s="1" t="n">
        <v>44124</v>
      </c>
      <c r="C533" s="1" t="n">
        <v>45349</v>
      </c>
      <c r="D533" t="inlineStr">
        <is>
          <t>VÄSTERNORRLANDS LÄN</t>
        </is>
      </c>
      <c r="E533" t="inlineStr">
        <is>
          <t>ÅNGE</t>
        </is>
      </c>
      <c r="G533" t="n">
        <v>5.4</v>
      </c>
      <c r="H533" t="n">
        <v>0</v>
      </c>
      <c r="I533" t="n">
        <v>0</v>
      </c>
      <c r="J533" t="n">
        <v>0</v>
      </c>
      <c r="K533" t="n">
        <v>0</v>
      </c>
      <c r="L533" t="n">
        <v>0</v>
      </c>
      <c r="M533" t="n">
        <v>0</v>
      </c>
      <c r="N533" t="n">
        <v>0</v>
      </c>
      <c r="O533" t="n">
        <v>0</v>
      </c>
      <c r="P533" t="n">
        <v>0</v>
      </c>
      <c r="Q533" t="n">
        <v>0</v>
      </c>
      <c r="R533" s="2" t="inlineStr"/>
    </row>
    <row r="534" ht="15" customHeight="1">
      <c r="A534" t="inlineStr">
        <is>
          <t>A 53661-2020</t>
        </is>
      </c>
      <c r="B534" s="1" t="n">
        <v>44124</v>
      </c>
      <c r="C534" s="1" t="n">
        <v>45349</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53962-2020</t>
        </is>
      </c>
      <c r="B535" s="1" t="n">
        <v>44125</v>
      </c>
      <c r="C535" s="1" t="n">
        <v>45349</v>
      </c>
      <c r="D535" t="inlineStr">
        <is>
          <t>VÄSTERNORRLANDS LÄN</t>
        </is>
      </c>
      <c r="E535" t="inlineStr">
        <is>
          <t>ÅNGE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54471-2020</t>
        </is>
      </c>
      <c r="B536" s="1" t="n">
        <v>44126</v>
      </c>
      <c r="C536" s="1" t="n">
        <v>45349</v>
      </c>
      <c r="D536" t="inlineStr">
        <is>
          <t>VÄSTERNORRLANDS LÄN</t>
        </is>
      </c>
      <c r="E536" t="inlineStr">
        <is>
          <t>ÅNGE</t>
        </is>
      </c>
      <c r="G536" t="n">
        <v>3.1</v>
      </c>
      <c r="H536" t="n">
        <v>0</v>
      </c>
      <c r="I536" t="n">
        <v>0</v>
      </c>
      <c r="J536" t="n">
        <v>0</v>
      </c>
      <c r="K536" t="n">
        <v>0</v>
      </c>
      <c r="L536" t="n">
        <v>0</v>
      </c>
      <c r="M536" t="n">
        <v>0</v>
      </c>
      <c r="N536" t="n">
        <v>0</v>
      </c>
      <c r="O536" t="n">
        <v>0</v>
      </c>
      <c r="P536" t="n">
        <v>0</v>
      </c>
      <c r="Q536" t="n">
        <v>0</v>
      </c>
      <c r="R536" s="2" t="inlineStr"/>
    </row>
    <row r="537" ht="15" customHeight="1">
      <c r="A537" t="inlineStr">
        <is>
          <t>A 54469-2020</t>
        </is>
      </c>
      <c r="B537" s="1" t="n">
        <v>44126</v>
      </c>
      <c r="C537" s="1" t="n">
        <v>45349</v>
      </c>
      <c r="D537" t="inlineStr">
        <is>
          <t>VÄSTERNORRLANDS LÄN</t>
        </is>
      </c>
      <c r="E537" t="inlineStr">
        <is>
          <t>ÅNGE</t>
        </is>
      </c>
      <c r="G537" t="n">
        <v>4</v>
      </c>
      <c r="H537" t="n">
        <v>0</v>
      </c>
      <c r="I537" t="n">
        <v>0</v>
      </c>
      <c r="J537" t="n">
        <v>0</v>
      </c>
      <c r="K537" t="n">
        <v>0</v>
      </c>
      <c r="L537" t="n">
        <v>0</v>
      </c>
      <c r="M537" t="n">
        <v>0</v>
      </c>
      <c r="N537" t="n">
        <v>0</v>
      </c>
      <c r="O537" t="n">
        <v>0</v>
      </c>
      <c r="P537" t="n">
        <v>0</v>
      </c>
      <c r="Q537" t="n">
        <v>0</v>
      </c>
      <c r="R537" s="2" t="inlineStr"/>
    </row>
    <row r="538" ht="15" customHeight="1">
      <c r="A538" t="inlineStr">
        <is>
          <t>A 55317-2020</t>
        </is>
      </c>
      <c r="B538" s="1" t="n">
        <v>44130</v>
      </c>
      <c r="C538" s="1" t="n">
        <v>45349</v>
      </c>
      <c r="D538" t="inlineStr">
        <is>
          <t>VÄSTERNORRLANDS LÄN</t>
        </is>
      </c>
      <c r="E538" t="inlineStr">
        <is>
          <t>ÅNGE</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57111-2020</t>
        </is>
      </c>
      <c r="B539" s="1" t="n">
        <v>44139</v>
      </c>
      <c r="C539" s="1" t="n">
        <v>45349</v>
      </c>
      <c r="D539" t="inlineStr">
        <is>
          <t>VÄSTERNORRLANDS LÄN</t>
        </is>
      </c>
      <c r="E539" t="inlineStr">
        <is>
          <t>ÅNGE</t>
        </is>
      </c>
      <c r="G539" t="n">
        <v>0.5</v>
      </c>
      <c r="H539" t="n">
        <v>0</v>
      </c>
      <c r="I539" t="n">
        <v>0</v>
      </c>
      <c r="J539" t="n">
        <v>0</v>
      </c>
      <c r="K539" t="n">
        <v>0</v>
      </c>
      <c r="L539" t="n">
        <v>0</v>
      </c>
      <c r="M539" t="n">
        <v>0</v>
      </c>
      <c r="N539" t="n">
        <v>0</v>
      </c>
      <c r="O539" t="n">
        <v>0</v>
      </c>
      <c r="P539" t="n">
        <v>0</v>
      </c>
      <c r="Q539" t="n">
        <v>0</v>
      </c>
      <c r="R539" s="2" t="inlineStr"/>
    </row>
    <row r="540" ht="15" customHeight="1">
      <c r="A540" t="inlineStr">
        <is>
          <t>A 59222-2020</t>
        </is>
      </c>
      <c r="B540" s="1" t="n">
        <v>44147</v>
      </c>
      <c r="C540" s="1" t="n">
        <v>45349</v>
      </c>
      <c r="D540" t="inlineStr">
        <is>
          <t>VÄSTERNORRLANDS LÄN</t>
        </is>
      </c>
      <c r="E540" t="inlineStr">
        <is>
          <t>ÅNGE</t>
        </is>
      </c>
      <c r="G540" t="n">
        <v>7.6</v>
      </c>
      <c r="H540" t="n">
        <v>0</v>
      </c>
      <c r="I540" t="n">
        <v>0</v>
      </c>
      <c r="J540" t="n">
        <v>0</v>
      </c>
      <c r="K540" t="n">
        <v>0</v>
      </c>
      <c r="L540" t="n">
        <v>0</v>
      </c>
      <c r="M540" t="n">
        <v>0</v>
      </c>
      <c r="N540" t="n">
        <v>0</v>
      </c>
      <c r="O540" t="n">
        <v>0</v>
      </c>
      <c r="P540" t="n">
        <v>0</v>
      </c>
      <c r="Q540" t="n">
        <v>0</v>
      </c>
      <c r="R540" s="2" t="inlineStr"/>
    </row>
    <row r="541" ht="15" customHeight="1">
      <c r="A541" t="inlineStr">
        <is>
          <t>A 60064-2020</t>
        </is>
      </c>
      <c r="B541" s="1" t="n">
        <v>44151</v>
      </c>
      <c r="C541" s="1" t="n">
        <v>45349</v>
      </c>
      <c r="D541" t="inlineStr">
        <is>
          <t>VÄSTERNORRLANDS LÄN</t>
        </is>
      </c>
      <c r="E541" t="inlineStr">
        <is>
          <t>ÅNGE</t>
        </is>
      </c>
      <c r="G541" t="n">
        <v>1.8</v>
      </c>
      <c r="H541" t="n">
        <v>0</v>
      </c>
      <c r="I541" t="n">
        <v>0</v>
      </c>
      <c r="J541" t="n">
        <v>0</v>
      </c>
      <c r="K541" t="n">
        <v>0</v>
      </c>
      <c r="L541" t="n">
        <v>0</v>
      </c>
      <c r="M541" t="n">
        <v>0</v>
      </c>
      <c r="N541" t="n">
        <v>0</v>
      </c>
      <c r="O541" t="n">
        <v>0</v>
      </c>
      <c r="P541" t="n">
        <v>0</v>
      </c>
      <c r="Q541" t="n">
        <v>0</v>
      </c>
      <c r="R541" s="2" t="inlineStr"/>
    </row>
    <row r="542" ht="15" customHeight="1">
      <c r="A542" t="inlineStr">
        <is>
          <t>A 60401-2020</t>
        </is>
      </c>
      <c r="B542" s="1" t="n">
        <v>44152</v>
      </c>
      <c r="C542" s="1" t="n">
        <v>45349</v>
      </c>
      <c r="D542" t="inlineStr">
        <is>
          <t>VÄSTERNORRLANDS LÄN</t>
        </is>
      </c>
      <c r="E542" t="inlineStr">
        <is>
          <t>ÅNGE</t>
        </is>
      </c>
      <c r="G542" t="n">
        <v>0.8</v>
      </c>
      <c r="H542" t="n">
        <v>0</v>
      </c>
      <c r="I542" t="n">
        <v>0</v>
      </c>
      <c r="J542" t="n">
        <v>0</v>
      </c>
      <c r="K542" t="n">
        <v>0</v>
      </c>
      <c r="L542" t="n">
        <v>0</v>
      </c>
      <c r="M542" t="n">
        <v>0</v>
      </c>
      <c r="N542" t="n">
        <v>0</v>
      </c>
      <c r="O542" t="n">
        <v>0</v>
      </c>
      <c r="P542" t="n">
        <v>0</v>
      </c>
      <c r="Q542" t="n">
        <v>0</v>
      </c>
      <c r="R542" s="2" t="inlineStr"/>
    </row>
    <row r="543" ht="15" customHeight="1">
      <c r="A543" t="inlineStr">
        <is>
          <t>A 62640-2020</t>
        </is>
      </c>
      <c r="B543" s="1" t="n">
        <v>44161</v>
      </c>
      <c r="C543" s="1" t="n">
        <v>45349</v>
      </c>
      <c r="D543" t="inlineStr">
        <is>
          <t>VÄSTERNORRLANDS LÄN</t>
        </is>
      </c>
      <c r="E543" t="inlineStr">
        <is>
          <t>ÅNGE</t>
        </is>
      </c>
      <c r="F543" t="inlineStr">
        <is>
          <t>Sveaskog</t>
        </is>
      </c>
      <c r="G543" t="n">
        <v>2</v>
      </c>
      <c r="H543" t="n">
        <v>0</v>
      </c>
      <c r="I543" t="n">
        <v>0</v>
      </c>
      <c r="J543" t="n">
        <v>0</v>
      </c>
      <c r="K543" t="n">
        <v>0</v>
      </c>
      <c r="L543" t="n">
        <v>0</v>
      </c>
      <c r="M543" t="n">
        <v>0</v>
      </c>
      <c r="N543" t="n">
        <v>0</v>
      </c>
      <c r="O543" t="n">
        <v>0</v>
      </c>
      <c r="P543" t="n">
        <v>0</v>
      </c>
      <c r="Q543" t="n">
        <v>0</v>
      </c>
      <c r="R543" s="2" t="inlineStr"/>
    </row>
    <row r="544" ht="15" customHeight="1">
      <c r="A544" t="inlineStr">
        <is>
          <t>A 63497-2020</t>
        </is>
      </c>
      <c r="B544" s="1" t="n">
        <v>44161</v>
      </c>
      <c r="C544" s="1" t="n">
        <v>45349</v>
      </c>
      <c r="D544" t="inlineStr">
        <is>
          <t>VÄSTERNORRLANDS LÄN</t>
        </is>
      </c>
      <c r="E544" t="inlineStr">
        <is>
          <t>ÅNGE</t>
        </is>
      </c>
      <c r="G544" t="n">
        <v>6.9</v>
      </c>
      <c r="H544" t="n">
        <v>0</v>
      </c>
      <c r="I544" t="n">
        <v>0</v>
      </c>
      <c r="J544" t="n">
        <v>0</v>
      </c>
      <c r="K544" t="n">
        <v>0</v>
      </c>
      <c r="L544" t="n">
        <v>0</v>
      </c>
      <c r="M544" t="n">
        <v>0</v>
      </c>
      <c r="N544" t="n">
        <v>0</v>
      </c>
      <c r="O544" t="n">
        <v>0</v>
      </c>
      <c r="P544" t="n">
        <v>0</v>
      </c>
      <c r="Q544" t="n">
        <v>0</v>
      </c>
      <c r="R544" s="2" t="inlineStr"/>
    </row>
    <row r="545" ht="15" customHeight="1">
      <c r="A545" t="inlineStr">
        <is>
          <t>A 64612-2020</t>
        </is>
      </c>
      <c r="B545" s="1" t="n">
        <v>44169</v>
      </c>
      <c r="C545" s="1" t="n">
        <v>45349</v>
      </c>
      <c r="D545" t="inlineStr">
        <is>
          <t>VÄSTERNORRLANDS LÄN</t>
        </is>
      </c>
      <c r="E545" t="inlineStr">
        <is>
          <t>ÅNGE</t>
        </is>
      </c>
      <c r="G545" t="n">
        <v>2</v>
      </c>
      <c r="H545" t="n">
        <v>0</v>
      </c>
      <c r="I545" t="n">
        <v>0</v>
      </c>
      <c r="J545" t="n">
        <v>0</v>
      </c>
      <c r="K545" t="n">
        <v>0</v>
      </c>
      <c r="L545" t="n">
        <v>0</v>
      </c>
      <c r="M545" t="n">
        <v>0</v>
      </c>
      <c r="N545" t="n">
        <v>0</v>
      </c>
      <c r="O545" t="n">
        <v>0</v>
      </c>
      <c r="P545" t="n">
        <v>0</v>
      </c>
      <c r="Q545" t="n">
        <v>0</v>
      </c>
      <c r="R545" s="2" t="inlineStr"/>
    </row>
    <row r="546" ht="15" customHeight="1">
      <c r="A546" t="inlineStr">
        <is>
          <t>A 65277-2020</t>
        </is>
      </c>
      <c r="B546" s="1" t="n">
        <v>44172</v>
      </c>
      <c r="C546" s="1" t="n">
        <v>45349</v>
      </c>
      <c r="D546" t="inlineStr">
        <is>
          <t>VÄSTERNORRLANDS LÄN</t>
        </is>
      </c>
      <c r="E546" t="inlineStr">
        <is>
          <t>ÅNGE</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65149-2020</t>
        </is>
      </c>
      <c r="B547" s="1" t="n">
        <v>44172</v>
      </c>
      <c r="C547" s="1" t="n">
        <v>45349</v>
      </c>
      <c r="D547" t="inlineStr">
        <is>
          <t>VÄSTERNORRLANDS LÄN</t>
        </is>
      </c>
      <c r="E547" t="inlineStr">
        <is>
          <t>ÅNGE</t>
        </is>
      </c>
      <c r="G547" t="n">
        <v>9.5</v>
      </c>
      <c r="H547" t="n">
        <v>0</v>
      </c>
      <c r="I547" t="n">
        <v>0</v>
      </c>
      <c r="J547" t="n">
        <v>0</v>
      </c>
      <c r="K547" t="n">
        <v>0</v>
      </c>
      <c r="L547" t="n">
        <v>0</v>
      </c>
      <c r="M547" t="n">
        <v>0</v>
      </c>
      <c r="N547" t="n">
        <v>0</v>
      </c>
      <c r="O547" t="n">
        <v>0</v>
      </c>
      <c r="P547" t="n">
        <v>0</v>
      </c>
      <c r="Q547" t="n">
        <v>0</v>
      </c>
      <c r="R547" s="2" t="inlineStr"/>
    </row>
    <row r="548" ht="15" customHeight="1">
      <c r="A548" t="inlineStr">
        <is>
          <t>A 65272-2020</t>
        </is>
      </c>
      <c r="B548" s="1" t="n">
        <v>44172</v>
      </c>
      <c r="C548" s="1" t="n">
        <v>45349</v>
      </c>
      <c r="D548" t="inlineStr">
        <is>
          <t>VÄSTERNORRLANDS LÄN</t>
        </is>
      </c>
      <c r="E548" t="inlineStr">
        <is>
          <t>ÅNGE</t>
        </is>
      </c>
      <c r="F548" t="inlineStr">
        <is>
          <t>SCA</t>
        </is>
      </c>
      <c r="G548" t="n">
        <v>3.2</v>
      </c>
      <c r="H548" t="n">
        <v>0</v>
      </c>
      <c r="I548" t="n">
        <v>0</v>
      </c>
      <c r="J548" t="n">
        <v>0</v>
      </c>
      <c r="K548" t="n">
        <v>0</v>
      </c>
      <c r="L548" t="n">
        <v>0</v>
      </c>
      <c r="M548" t="n">
        <v>0</v>
      </c>
      <c r="N548" t="n">
        <v>0</v>
      </c>
      <c r="O548" t="n">
        <v>0</v>
      </c>
      <c r="P548" t="n">
        <v>0</v>
      </c>
      <c r="Q548" t="n">
        <v>0</v>
      </c>
      <c r="R548" s="2" t="inlineStr"/>
    </row>
    <row r="549" ht="15" customHeight="1">
      <c r="A549" t="inlineStr">
        <is>
          <t>A 65280-2020</t>
        </is>
      </c>
      <c r="B549" s="1" t="n">
        <v>44172</v>
      </c>
      <c r="C549" s="1" t="n">
        <v>45349</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65594-2020</t>
        </is>
      </c>
      <c r="B550" s="1" t="n">
        <v>44173</v>
      </c>
      <c r="C550" s="1" t="n">
        <v>45349</v>
      </c>
      <c r="D550" t="inlineStr">
        <is>
          <t>VÄSTERNORRLANDS LÄN</t>
        </is>
      </c>
      <c r="E550" t="inlineStr">
        <is>
          <t>ÅNGE</t>
        </is>
      </c>
      <c r="G550" t="n">
        <v>5.9</v>
      </c>
      <c r="H550" t="n">
        <v>0</v>
      </c>
      <c r="I550" t="n">
        <v>0</v>
      </c>
      <c r="J550" t="n">
        <v>0</v>
      </c>
      <c r="K550" t="n">
        <v>0</v>
      </c>
      <c r="L550" t="n">
        <v>0</v>
      </c>
      <c r="M550" t="n">
        <v>0</v>
      </c>
      <c r="N550" t="n">
        <v>0</v>
      </c>
      <c r="O550" t="n">
        <v>0</v>
      </c>
      <c r="P550" t="n">
        <v>0</v>
      </c>
      <c r="Q550" t="n">
        <v>0</v>
      </c>
      <c r="R550" s="2" t="inlineStr"/>
    </row>
    <row r="551" ht="15" customHeight="1">
      <c r="A551" t="inlineStr">
        <is>
          <t>A 65593-2020</t>
        </is>
      </c>
      <c r="B551" s="1" t="n">
        <v>44173</v>
      </c>
      <c r="C551" s="1" t="n">
        <v>45349</v>
      </c>
      <c r="D551" t="inlineStr">
        <is>
          <t>VÄSTERNORRLANDS LÄN</t>
        </is>
      </c>
      <c r="E551" t="inlineStr">
        <is>
          <t>ÅNGE</t>
        </is>
      </c>
      <c r="G551" t="n">
        <v>4</v>
      </c>
      <c r="H551" t="n">
        <v>0</v>
      </c>
      <c r="I551" t="n">
        <v>0</v>
      </c>
      <c r="J551" t="n">
        <v>0</v>
      </c>
      <c r="K551" t="n">
        <v>0</v>
      </c>
      <c r="L551" t="n">
        <v>0</v>
      </c>
      <c r="M551" t="n">
        <v>0</v>
      </c>
      <c r="N551" t="n">
        <v>0</v>
      </c>
      <c r="O551" t="n">
        <v>0</v>
      </c>
      <c r="P551" t="n">
        <v>0</v>
      </c>
      <c r="Q551" t="n">
        <v>0</v>
      </c>
      <c r="R551" s="2" t="inlineStr"/>
    </row>
    <row r="552" ht="15" customHeight="1">
      <c r="A552" t="inlineStr">
        <is>
          <t>A 65770-2020</t>
        </is>
      </c>
      <c r="B552" s="1" t="n">
        <v>44174</v>
      </c>
      <c r="C552" s="1" t="n">
        <v>45349</v>
      </c>
      <c r="D552" t="inlineStr">
        <is>
          <t>VÄSTERNORRLANDS LÄN</t>
        </is>
      </c>
      <c r="E552" t="inlineStr">
        <is>
          <t>ÅNGE</t>
        </is>
      </c>
      <c r="G552" t="n">
        <v>1</v>
      </c>
      <c r="H552" t="n">
        <v>0</v>
      </c>
      <c r="I552" t="n">
        <v>0</v>
      </c>
      <c r="J552" t="n">
        <v>0</v>
      </c>
      <c r="K552" t="n">
        <v>0</v>
      </c>
      <c r="L552" t="n">
        <v>0</v>
      </c>
      <c r="M552" t="n">
        <v>0</v>
      </c>
      <c r="N552" t="n">
        <v>0</v>
      </c>
      <c r="O552" t="n">
        <v>0</v>
      </c>
      <c r="P552" t="n">
        <v>0</v>
      </c>
      <c r="Q552" t="n">
        <v>0</v>
      </c>
      <c r="R552" s="2" t="inlineStr"/>
    </row>
    <row r="553" ht="15" customHeight="1">
      <c r="A553" t="inlineStr">
        <is>
          <t>A 66601-2020</t>
        </is>
      </c>
      <c r="B553" s="1" t="n">
        <v>44175</v>
      </c>
      <c r="C553" s="1" t="n">
        <v>45349</v>
      </c>
      <c r="D553" t="inlineStr">
        <is>
          <t>VÄSTERNORRLANDS LÄN</t>
        </is>
      </c>
      <c r="E553" t="inlineStr">
        <is>
          <t>ÅNGE</t>
        </is>
      </c>
      <c r="G553" t="n">
        <v>0.9</v>
      </c>
      <c r="H553" t="n">
        <v>0</v>
      </c>
      <c r="I553" t="n">
        <v>0</v>
      </c>
      <c r="J553" t="n">
        <v>0</v>
      </c>
      <c r="K553" t="n">
        <v>0</v>
      </c>
      <c r="L553" t="n">
        <v>0</v>
      </c>
      <c r="M553" t="n">
        <v>0</v>
      </c>
      <c r="N553" t="n">
        <v>0</v>
      </c>
      <c r="O553" t="n">
        <v>0</v>
      </c>
      <c r="P553" t="n">
        <v>0</v>
      </c>
      <c r="Q553" t="n">
        <v>0</v>
      </c>
      <c r="R553" s="2" t="inlineStr"/>
    </row>
    <row r="554" ht="15" customHeight="1">
      <c r="A554" t="inlineStr">
        <is>
          <t>A 68378-2020</t>
        </is>
      </c>
      <c r="B554" s="1" t="n">
        <v>44186</v>
      </c>
      <c r="C554" s="1" t="n">
        <v>45349</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68715-2020</t>
        </is>
      </c>
      <c r="B555" s="1" t="n">
        <v>44187</v>
      </c>
      <c r="C555" s="1" t="n">
        <v>45349</v>
      </c>
      <c r="D555" t="inlineStr">
        <is>
          <t>VÄSTERNORRLANDS LÄN</t>
        </is>
      </c>
      <c r="E555" t="inlineStr">
        <is>
          <t>ÅNGE</t>
        </is>
      </c>
      <c r="G555" t="n">
        <v>19.1</v>
      </c>
      <c r="H555" t="n">
        <v>0</v>
      </c>
      <c r="I555" t="n">
        <v>0</v>
      </c>
      <c r="J555" t="n">
        <v>0</v>
      </c>
      <c r="K555" t="n">
        <v>0</v>
      </c>
      <c r="L555" t="n">
        <v>0</v>
      </c>
      <c r="M555" t="n">
        <v>0</v>
      </c>
      <c r="N555" t="n">
        <v>0</v>
      </c>
      <c r="O555" t="n">
        <v>0</v>
      </c>
      <c r="P555" t="n">
        <v>0</v>
      </c>
      <c r="Q555" t="n">
        <v>0</v>
      </c>
      <c r="R555" s="2" t="inlineStr"/>
    </row>
    <row r="556" ht="15" customHeight="1">
      <c r="A556" t="inlineStr">
        <is>
          <t>A 68812-2020</t>
        </is>
      </c>
      <c r="B556" s="1" t="n">
        <v>44187</v>
      </c>
      <c r="C556" s="1" t="n">
        <v>45349</v>
      </c>
      <c r="D556" t="inlineStr">
        <is>
          <t>VÄSTERNORRLANDS LÄN</t>
        </is>
      </c>
      <c r="E556" t="inlineStr">
        <is>
          <t>ÅNGE</t>
        </is>
      </c>
      <c r="G556" t="n">
        <v>1.6</v>
      </c>
      <c r="H556" t="n">
        <v>0</v>
      </c>
      <c r="I556" t="n">
        <v>0</v>
      </c>
      <c r="J556" t="n">
        <v>0</v>
      </c>
      <c r="K556" t="n">
        <v>0</v>
      </c>
      <c r="L556" t="n">
        <v>0</v>
      </c>
      <c r="M556" t="n">
        <v>0</v>
      </c>
      <c r="N556" t="n">
        <v>0</v>
      </c>
      <c r="O556" t="n">
        <v>0</v>
      </c>
      <c r="P556" t="n">
        <v>0</v>
      </c>
      <c r="Q556" t="n">
        <v>0</v>
      </c>
      <c r="R556" s="2" t="inlineStr"/>
    </row>
    <row r="557" ht="15" customHeight="1">
      <c r="A557" t="inlineStr">
        <is>
          <t>A 69271-2020</t>
        </is>
      </c>
      <c r="B557" s="1" t="n">
        <v>44193</v>
      </c>
      <c r="C557" s="1" t="n">
        <v>45349</v>
      </c>
      <c r="D557" t="inlineStr">
        <is>
          <t>VÄSTERNORRLANDS LÄN</t>
        </is>
      </c>
      <c r="E557" t="inlineStr">
        <is>
          <t>ÅNGE</t>
        </is>
      </c>
      <c r="G557" t="n">
        <v>0.8</v>
      </c>
      <c r="H557" t="n">
        <v>0</v>
      </c>
      <c r="I557" t="n">
        <v>0</v>
      </c>
      <c r="J557" t="n">
        <v>0</v>
      </c>
      <c r="K557" t="n">
        <v>0</v>
      </c>
      <c r="L557" t="n">
        <v>0</v>
      </c>
      <c r="M557" t="n">
        <v>0</v>
      </c>
      <c r="N557" t="n">
        <v>0</v>
      </c>
      <c r="O557" t="n">
        <v>0</v>
      </c>
      <c r="P557" t="n">
        <v>0</v>
      </c>
      <c r="Q557" t="n">
        <v>0</v>
      </c>
      <c r="R557" s="2" t="inlineStr"/>
    </row>
    <row r="558" ht="15" customHeight="1">
      <c r="A558" t="inlineStr">
        <is>
          <t>A 2327-2021</t>
        </is>
      </c>
      <c r="B558" s="1" t="n">
        <v>44214</v>
      </c>
      <c r="C558" s="1" t="n">
        <v>45349</v>
      </c>
      <c r="D558" t="inlineStr">
        <is>
          <t>VÄSTERNORRLANDS LÄN</t>
        </is>
      </c>
      <c r="E558" t="inlineStr">
        <is>
          <t>ÅNGE</t>
        </is>
      </c>
      <c r="G558" t="n">
        <v>6.7</v>
      </c>
      <c r="H558" t="n">
        <v>0</v>
      </c>
      <c r="I558" t="n">
        <v>0</v>
      </c>
      <c r="J558" t="n">
        <v>0</v>
      </c>
      <c r="K558" t="n">
        <v>0</v>
      </c>
      <c r="L558" t="n">
        <v>0</v>
      </c>
      <c r="M558" t="n">
        <v>0</v>
      </c>
      <c r="N558" t="n">
        <v>0</v>
      </c>
      <c r="O558" t="n">
        <v>0</v>
      </c>
      <c r="P558" t="n">
        <v>0</v>
      </c>
      <c r="Q558" t="n">
        <v>0</v>
      </c>
      <c r="R558" s="2" t="inlineStr"/>
    </row>
    <row r="559" ht="15" customHeight="1">
      <c r="A559" t="inlineStr">
        <is>
          <t>A 3352-2021</t>
        </is>
      </c>
      <c r="B559" s="1" t="n">
        <v>44217</v>
      </c>
      <c r="C559" s="1" t="n">
        <v>45349</v>
      </c>
      <c r="D559" t="inlineStr">
        <is>
          <t>VÄSTERNORRLANDS LÄN</t>
        </is>
      </c>
      <c r="E559" t="inlineStr">
        <is>
          <t>ÅNGE</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5822-2021</t>
        </is>
      </c>
      <c r="B560" s="1" t="n">
        <v>44230</v>
      </c>
      <c r="C560" s="1" t="n">
        <v>45349</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6487-2021</t>
        </is>
      </c>
      <c r="B561" s="1" t="n">
        <v>44235</v>
      </c>
      <c r="C561" s="1" t="n">
        <v>45349</v>
      </c>
      <c r="D561" t="inlineStr">
        <is>
          <t>VÄSTERNORRLANDS LÄN</t>
        </is>
      </c>
      <c r="E561" t="inlineStr">
        <is>
          <t>ÅNGE</t>
        </is>
      </c>
      <c r="G561" t="n">
        <v>2.1</v>
      </c>
      <c r="H561" t="n">
        <v>0</v>
      </c>
      <c r="I561" t="n">
        <v>0</v>
      </c>
      <c r="J561" t="n">
        <v>0</v>
      </c>
      <c r="K561" t="n">
        <v>0</v>
      </c>
      <c r="L561" t="n">
        <v>0</v>
      </c>
      <c r="M561" t="n">
        <v>0</v>
      </c>
      <c r="N561" t="n">
        <v>0</v>
      </c>
      <c r="O561" t="n">
        <v>0</v>
      </c>
      <c r="P561" t="n">
        <v>0</v>
      </c>
      <c r="Q561" t="n">
        <v>0</v>
      </c>
      <c r="R561" s="2" t="inlineStr"/>
    </row>
    <row r="562" ht="15" customHeight="1">
      <c r="A562" t="inlineStr">
        <is>
          <t>A 6805-2021</t>
        </is>
      </c>
      <c r="B562" s="1" t="n">
        <v>44236</v>
      </c>
      <c r="C562" s="1" t="n">
        <v>45349</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8057-2021</t>
        </is>
      </c>
      <c r="B563" s="1" t="n">
        <v>44238</v>
      </c>
      <c r="C563" s="1" t="n">
        <v>45349</v>
      </c>
      <c r="D563" t="inlineStr">
        <is>
          <t>VÄSTERNORRLANDS LÄN</t>
        </is>
      </c>
      <c r="E563" t="inlineStr">
        <is>
          <t>ÅNGE</t>
        </is>
      </c>
      <c r="G563" t="n">
        <v>1.2</v>
      </c>
      <c r="H563" t="n">
        <v>0</v>
      </c>
      <c r="I563" t="n">
        <v>0</v>
      </c>
      <c r="J563" t="n">
        <v>0</v>
      </c>
      <c r="K563" t="n">
        <v>0</v>
      </c>
      <c r="L563" t="n">
        <v>0</v>
      </c>
      <c r="M563" t="n">
        <v>0</v>
      </c>
      <c r="N563" t="n">
        <v>0</v>
      </c>
      <c r="O563" t="n">
        <v>0</v>
      </c>
      <c r="P563" t="n">
        <v>0</v>
      </c>
      <c r="Q563" t="n">
        <v>0</v>
      </c>
      <c r="R563" s="2" t="inlineStr"/>
    </row>
    <row r="564" ht="15" customHeight="1">
      <c r="A564" t="inlineStr">
        <is>
          <t>A 7857-2021</t>
        </is>
      </c>
      <c r="B564" s="1" t="n">
        <v>44242</v>
      </c>
      <c r="C564" s="1" t="n">
        <v>45349</v>
      </c>
      <c r="D564" t="inlineStr">
        <is>
          <t>VÄSTERNORRLANDS LÄN</t>
        </is>
      </c>
      <c r="E564" t="inlineStr">
        <is>
          <t>ÅNGE</t>
        </is>
      </c>
      <c r="G564" t="n">
        <v>1.5</v>
      </c>
      <c r="H564" t="n">
        <v>0</v>
      </c>
      <c r="I564" t="n">
        <v>0</v>
      </c>
      <c r="J564" t="n">
        <v>0</v>
      </c>
      <c r="K564" t="n">
        <v>0</v>
      </c>
      <c r="L564" t="n">
        <v>0</v>
      </c>
      <c r="M564" t="n">
        <v>0</v>
      </c>
      <c r="N564" t="n">
        <v>0</v>
      </c>
      <c r="O564" t="n">
        <v>0</v>
      </c>
      <c r="P564" t="n">
        <v>0</v>
      </c>
      <c r="Q564" t="n">
        <v>0</v>
      </c>
      <c r="R564" s="2" t="inlineStr"/>
    </row>
    <row r="565" ht="15" customHeight="1">
      <c r="A565" t="inlineStr">
        <is>
          <t>A 9619-2021</t>
        </is>
      </c>
      <c r="B565" s="1" t="n">
        <v>44251</v>
      </c>
      <c r="C565" s="1" t="n">
        <v>45349</v>
      </c>
      <c r="D565" t="inlineStr">
        <is>
          <t>VÄSTERNORRLANDS LÄN</t>
        </is>
      </c>
      <c r="E565" t="inlineStr">
        <is>
          <t>ÅNGE</t>
        </is>
      </c>
      <c r="G565" t="n">
        <v>10.4</v>
      </c>
      <c r="H565" t="n">
        <v>0</v>
      </c>
      <c r="I565" t="n">
        <v>0</v>
      </c>
      <c r="J565" t="n">
        <v>0</v>
      </c>
      <c r="K565" t="n">
        <v>0</v>
      </c>
      <c r="L565" t="n">
        <v>0</v>
      </c>
      <c r="M565" t="n">
        <v>0</v>
      </c>
      <c r="N565" t="n">
        <v>0</v>
      </c>
      <c r="O565" t="n">
        <v>0</v>
      </c>
      <c r="P565" t="n">
        <v>0</v>
      </c>
      <c r="Q565" t="n">
        <v>0</v>
      </c>
      <c r="R565" s="2" t="inlineStr"/>
    </row>
    <row r="566" ht="15" customHeight="1">
      <c r="A566" t="inlineStr">
        <is>
          <t>A 10342-2021</t>
        </is>
      </c>
      <c r="B566" s="1" t="n">
        <v>44257</v>
      </c>
      <c r="C566" s="1" t="n">
        <v>45349</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11763-2021</t>
        </is>
      </c>
      <c r="B567" s="1" t="n">
        <v>44265</v>
      </c>
      <c r="C567" s="1" t="n">
        <v>45349</v>
      </c>
      <c r="D567" t="inlineStr">
        <is>
          <t>VÄSTERNORRLANDS LÄN</t>
        </is>
      </c>
      <c r="E567" t="inlineStr">
        <is>
          <t>ÅNGE</t>
        </is>
      </c>
      <c r="G567" t="n">
        <v>2.2</v>
      </c>
      <c r="H567" t="n">
        <v>0</v>
      </c>
      <c r="I567" t="n">
        <v>0</v>
      </c>
      <c r="J567" t="n">
        <v>0</v>
      </c>
      <c r="K567" t="n">
        <v>0</v>
      </c>
      <c r="L567" t="n">
        <v>0</v>
      </c>
      <c r="M567" t="n">
        <v>0</v>
      </c>
      <c r="N567" t="n">
        <v>0</v>
      </c>
      <c r="O567" t="n">
        <v>0</v>
      </c>
      <c r="P567" t="n">
        <v>0</v>
      </c>
      <c r="Q567" t="n">
        <v>0</v>
      </c>
      <c r="R567" s="2" t="inlineStr"/>
    </row>
    <row r="568" ht="15" customHeight="1">
      <c r="A568" t="inlineStr">
        <is>
          <t>A 12799-2021</t>
        </is>
      </c>
      <c r="B568" s="1" t="n">
        <v>44270</v>
      </c>
      <c r="C568" s="1" t="n">
        <v>45349</v>
      </c>
      <c r="D568" t="inlineStr">
        <is>
          <t>VÄSTERNORRLANDS LÄN</t>
        </is>
      </c>
      <c r="E568" t="inlineStr">
        <is>
          <t>ÅNGE</t>
        </is>
      </c>
      <c r="G568" t="n">
        <v>2</v>
      </c>
      <c r="H568" t="n">
        <v>0</v>
      </c>
      <c r="I568" t="n">
        <v>0</v>
      </c>
      <c r="J568" t="n">
        <v>0</v>
      </c>
      <c r="K568" t="n">
        <v>0</v>
      </c>
      <c r="L568" t="n">
        <v>0</v>
      </c>
      <c r="M568" t="n">
        <v>0</v>
      </c>
      <c r="N568" t="n">
        <v>0</v>
      </c>
      <c r="O568" t="n">
        <v>0</v>
      </c>
      <c r="P568" t="n">
        <v>0</v>
      </c>
      <c r="Q568" t="n">
        <v>0</v>
      </c>
      <c r="R568" s="2" t="inlineStr"/>
    </row>
    <row r="569" ht="15" customHeight="1">
      <c r="A569" t="inlineStr">
        <is>
          <t>A 12800-2021</t>
        </is>
      </c>
      <c r="B569" s="1" t="n">
        <v>44270</v>
      </c>
      <c r="C569" s="1" t="n">
        <v>45349</v>
      </c>
      <c r="D569" t="inlineStr">
        <is>
          <t>VÄSTERNORRLANDS LÄN</t>
        </is>
      </c>
      <c r="E569" t="inlineStr">
        <is>
          <t>ÅNGE</t>
        </is>
      </c>
      <c r="G569" t="n">
        <v>0.6</v>
      </c>
      <c r="H569" t="n">
        <v>0</v>
      </c>
      <c r="I569" t="n">
        <v>0</v>
      </c>
      <c r="J569" t="n">
        <v>0</v>
      </c>
      <c r="K569" t="n">
        <v>0</v>
      </c>
      <c r="L569" t="n">
        <v>0</v>
      </c>
      <c r="M569" t="n">
        <v>0</v>
      </c>
      <c r="N569" t="n">
        <v>0</v>
      </c>
      <c r="O569" t="n">
        <v>0</v>
      </c>
      <c r="P569" t="n">
        <v>0</v>
      </c>
      <c r="Q569" t="n">
        <v>0</v>
      </c>
      <c r="R569" s="2" t="inlineStr"/>
    </row>
    <row r="570" ht="15" customHeight="1">
      <c r="A570" t="inlineStr">
        <is>
          <t>A 13149-2021</t>
        </is>
      </c>
      <c r="B570" s="1" t="n">
        <v>44272</v>
      </c>
      <c r="C570" s="1" t="n">
        <v>45349</v>
      </c>
      <c r="D570" t="inlineStr">
        <is>
          <t>VÄSTERNORRLANDS LÄN</t>
        </is>
      </c>
      <c r="E570" t="inlineStr">
        <is>
          <t>ÅNGE</t>
        </is>
      </c>
      <c r="G570" t="n">
        <v>3.4</v>
      </c>
      <c r="H570" t="n">
        <v>0</v>
      </c>
      <c r="I570" t="n">
        <v>0</v>
      </c>
      <c r="J570" t="n">
        <v>0</v>
      </c>
      <c r="K570" t="n">
        <v>0</v>
      </c>
      <c r="L570" t="n">
        <v>0</v>
      </c>
      <c r="M570" t="n">
        <v>0</v>
      </c>
      <c r="N570" t="n">
        <v>0</v>
      </c>
      <c r="O570" t="n">
        <v>0</v>
      </c>
      <c r="P570" t="n">
        <v>0</v>
      </c>
      <c r="Q570" t="n">
        <v>0</v>
      </c>
      <c r="R570" s="2" t="inlineStr"/>
    </row>
    <row r="571" ht="15" customHeight="1">
      <c r="A571" t="inlineStr">
        <is>
          <t>A 13501-2021</t>
        </is>
      </c>
      <c r="B571" s="1" t="n">
        <v>44273</v>
      </c>
      <c r="C571" s="1" t="n">
        <v>45349</v>
      </c>
      <c r="D571" t="inlineStr">
        <is>
          <t>VÄSTERNORRLANDS LÄN</t>
        </is>
      </c>
      <c r="E571" t="inlineStr">
        <is>
          <t>ÅNGE</t>
        </is>
      </c>
      <c r="G571" t="n">
        <v>0.4</v>
      </c>
      <c r="H571" t="n">
        <v>0</v>
      </c>
      <c r="I571" t="n">
        <v>0</v>
      </c>
      <c r="J571" t="n">
        <v>0</v>
      </c>
      <c r="K571" t="n">
        <v>0</v>
      </c>
      <c r="L571" t="n">
        <v>0</v>
      </c>
      <c r="M571" t="n">
        <v>0</v>
      </c>
      <c r="N571" t="n">
        <v>0</v>
      </c>
      <c r="O571" t="n">
        <v>0</v>
      </c>
      <c r="P571" t="n">
        <v>0</v>
      </c>
      <c r="Q571" t="n">
        <v>0</v>
      </c>
      <c r="R571" s="2" t="inlineStr"/>
    </row>
    <row r="572" ht="15" customHeight="1">
      <c r="A572" t="inlineStr">
        <is>
          <t>A 13510-2021</t>
        </is>
      </c>
      <c r="B572" s="1" t="n">
        <v>44273</v>
      </c>
      <c r="C572" s="1" t="n">
        <v>45349</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13522-2021</t>
        </is>
      </c>
      <c r="B573" s="1" t="n">
        <v>44273</v>
      </c>
      <c r="C573" s="1" t="n">
        <v>45349</v>
      </c>
      <c r="D573" t="inlineStr">
        <is>
          <t>VÄSTERNORRLANDS LÄN</t>
        </is>
      </c>
      <c r="E573" t="inlineStr">
        <is>
          <t>ÅNGE</t>
        </is>
      </c>
      <c r="G573" t="n">
        <v>0.1</v>
      </c>
      <c r="H573" t="n">
        <v>0</v>
      </c>
      <c r="I573" t="n">
        <v>0</v>
      </c>
      <c r="J573" t="n">
        <v>0</v>
      </c>
      <c r="K573" t="n">
        <v>0</v>
      </c>
      <c r="L573" t="n">
        <v>0</v>
      </c>
      <c r="M573" t="n">
        <v>0</v>
      </c>
      <c r="N573" t="n">
        <v>0</v>
      </c>
      <c r="O573" t="n">
        <v>0</v>
      </c>
      <c r="P573" t="n">
        <v>0</v>
      </c>
      <c r="Q573" t="n">
        <v>0</v>
      </c>
      <c r="R573" s="2" t="inlineStr"/>
    </row>
    <row r="574" ht="15" customHeight="1">
      <c r="A574" t="inlineStr">
        <is>
          <t>A 13479-2021</t>
        </is>
      </c>
      <c r="B574" s="1" t="n">
        <v>44273</v>
      </c>
      <c r="C574" s="1" t="n">
        <v>45349</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13792-2021</t>
        </is>
      </c>
      <c r="B575" s="1" t="n">
        <v>44274</v>
      </c>
      <c r="C575" s="1" t="n">
        <v>45349</v>
      </c>
      <c r="D575" t="inlineStr">
        <is>
          <t>VÄSTERNORRLANDS LÄN</t>
        </is>
      </c>
      <c r="E575" t="inlineStr">
        <is>
          <t>ÅNGE</t>
        </is>
      </c>
      <c r="G575" t="n">
        <v>0.7</v>
      </c>
      <c r="H575" t="n">
        <v>0</v>
      </c>
      <c r="I575" t="n">
        <v>0</v>
      </c>
      <c r="J575" t="n">
        <v>0</v>
      </c>
      <c r="K575" t="n">
        <v>0</v>
      </c>
      <c r="L575" t="n">
        <v>0</v>
      </c>
      <c r="M575" t="n">
        <v>0</v>
      </c>
      <c r="N575" t="n">
        <v>0</v>
      </c>
      <c r="O575" t="n">
        <v>0</v>
      </c>
      <c r="P575" t="n">
        <v>0</v>
      </c>
      <c r="Q575" t="n">
        <v>0</v>
      </c>
      <c r="R575" s="2" t="inlineStr"/>
    </row>
    <row r="576" ht="15" customHeight="1">
      <c r="A576" t="inlineStr">
        <is>
          <t>A 14587-2021</t>
        </is>
      </c>
      <c r="B576" s="1" t="n">
        <v>44279</v>
      </c>
      <c r="C576" s="1" t="n">
        <v>45349</v>
      </c>
      <c r="D576" t="inlineStr">
        <is>
          <t>VÄSTERNORRLANDS LÄN</t>
        </is>
      </c>
      <c r="E576" t="inlineStr">
        <is>
          <t>ÅNGE</t>
        </is>
      </c>
      <c r="G576" t="n">
        <v>1</v>
      </c>
      <c r="H576" t="n">
        <v>0</v>
      </c>
      <c r="I576" t="n">
        <v>0</v>
      </c>
      <c r="J576" t="n">
        <v>0</v>
      </c>
      <c r="K576" t="n">
        <v>0</v>
      </c>
      <c r="L576" t="n">
        <v>0</v>
      </c>
      <c r="M576" t="n">
        <v>0</v>
      </c>
      <c r="N576" t="n">
        <v>0</v>
      </c>
      <c r="O576" t="n">
        <v>0</v>
      </c>
      <c r="P576" t="n">
        <v>0</v>
      </c>
      <c r="Q576" t="n">
        <v>0</v>
      </c>
      <c r="R576" s="2" t="inlineStr"/>
    </row>
    <row r="577" ht="15" customHeight="1">
      <c r="A577" t="inlineStr">
        <is>
          <t>A 14812-2021</t>
        </is>
      </c>
      <c r="B577" s="1" t="n">
        <v>44280</v>
      </c>
      <c r="C577" s="1" t="n">
        <v>45349</v>
      </c>
      <c r="D577" t="inlineStr">
        <is>
          <t>VÄSTERNORRLANDS LÄN</t>
        </is>
      </c>
      <c r="E577" t="inlineStr">
        <is>
          <t>ÅNGE</t>
        </is>
      </c>
      <c r="G577" t="n">
        <v>1.6</v>
      </c>
      <c r="H577" t="n">
        <v>0</v>
      </c>
      <c r="I577" t="n">
        <v>0</v>
      </c>
      <c r="J577" t="n">
        <v>0</v>
      </c>
      <c r="K577" t="n">
        <v>0</v>
      </c>
      <c r="L577" t="n">
        <v>0</v>
      </c>
      <c r="M577" t="n">
        <v>0</v>
      </c>
      <c r="N577" t="n">
        <v>0</v>
      </c>
      <c r="O577" t="n">
        <v>0</v>
      </c>
      <c r="P577" t="n">
        <v>0</v>
      </c>
      <c r="Q577" t="n">
        <v>0</v>
      </c>
      <c r="R577" s="2" t="inlineStr"/>
    </row>
    <row r="578" ht="15" customHeight="1">
      <c r="A578" t="inlineStr">
        <is>
          <t>A 16389-2021</t>
        </is>
      </c>
      <c r="B578" s="1" t="n">
        <v>44293</v>
      </c>
      <c r="C578" s="1" t="n">
        <v>45349</v>
      </c>
      <c r="D578" t="inlineStr">
        <is>
          <t>VÄSTERNORRLANDS LÄN</t>
        </is>
      </c>
      <c r="E578" t="inlineStr">
        <is>
          <t>ÅNGE</t>
        </is>
      </c>
      <c r="G578" t="n">
        <v>16.9</v>
      </c>
      <c r="H578" t="n">
        <v>0</v>
      </c>
      <c r="I578" t="n">
        <v>0</v>
      </c>
      <c r="J578" t="n">
        <v>0</v>
      </c>
      <c r="K578" t="n">
        <v>0</v>
      </c>
      <c r="L578" t="n">
        <v>0</v>
      </c>
      <c r="M578" t="n">
        <v>0</v>
      </c>
      <c r="N578" t="n">
        <v>0</v>
      </c>
      <c r="O578" t="n">
        <v>0</v>
      </c>
      <c r="P578" t="n">
        <v>0</v>
      </c>
      <c r="Q578" t="n">
        <v>0</v>
      </c>
      <c r="R578" s="2" t="inlineStr"/>
    </row>
    <row r="579" ht="15" customHeight="1">
      <c r="A579" t="inlineStr">
        <is>
          <t>A 17594-2021</t>
        </is>
      </c>
      <c r="B579" s="1" t="n">
        <v>44299</v>
      </c>
      <c r="C579" s="1" t="n">
        <v>45349</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17844-2021</t>
        </is>
      </c>
      <c r="B580" s="1" t="n">
        <v>44301</v>
      </c>
      <c r="C580" s="1" t="n">
        <v>45349</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18368-2021</t>
        </is>
      </c>
      <c r="B581" s="1" t="n">
        <v>44305</v>
      </c>
      <c r="C581" s="1" t="n">
        <v>45349</v>
      </c>
      <c r="D581" t="inlineStr">
        <is>
          <t>VÄSTERNORRLANDS LÄN</t>
        </is>
      </c>
      <c r="E581" t="inlineStr">
        <is>
          <t>ÅNGE</t>
        </is>
      </c>
      <c r="G581" t="n">
        <v>7.8</v>
      </c>
      <c r="H581" t="n">
        <v>0</v>
      </c>
      <c r="I581" t="n">
        <v>0</v>
      </c>
      <c r="J581" t="n">
        <v>0</v>
      </c>
      <c r="K581" t="n">
        <v>0</v>
      </c>
      <c r="L581" t="n">
        <v>0</v>
      </c>
      <c r="M581" t="n">
        <v>0</v>
      </c>
      <c r="N581" t="n">
        <v>0</v>
      </c>
      <c r="O581" t="n">
        <v>0</v>
      </c>
      <c r="P581" t="n">
        <v>0</v>
      </c>
      <c r="Q581" t="n">
        <v>0</v>
      </c>
      <c r="R581" s="2" t="inlineStr"/>
    </row>
    <row r="582" ht="15" customHeight="1">
      <c r="A582" t="inlineStr">
        <is>
          <t>A 18379-2021</t>
        </is>
      </c>
      <c r="B582" s="1" t="n">
        <v>44305</v>
      </c>
      <c r="C582" s="1" t="n">
        <v>45349</v>
      </c>
      <c r="D582" t="inlineStr">
        <is>
          <t>VÄSTERNORRLANDS LÄN</t>
        </is>
      </c>
      <c r="E582" t="inlineStr">
        <is>
          <t>ÅNGE</t>
        </is>
      </c>
      <c r="G582" t="n">
        <v>0.9</v>
      </c>
      <c r="H582" t="n">
        <v>0</v>
      </c>
      <c r="I582" t="n">
        <v>0</v>
      </c>
      <c r="J582" t="n">
        <v>0</v>
      </c>
      <c r="K582" t="n">
        <v>0</v>
      </c>
      <c r="L582" t="n">
        <v>0</v>
      </c>
      <c r="M582" t="n">
        <v>0</v>
      </c>
      <c r="N582" t="n">
        <v>0</v>
      </c>
      <c r="O582" t="n">
        <v>0</v>
      </c>
      <c r="P582" t="n">
        <v>0</v>
      </c>
      <c r="Q582" t="n">
        <v>0</v>
      </c>
      <c r="R582" s="2" t="inlineStr"/>
    </row>
    <row r="583" ht="15" customHeight="1">
      <c r="A583" t="inlineStr">
        <is>
          <t>A 18422-2021</t>
        </is>
      </c>
      <c r="B583" s="1" t="n">
        <v>44305</v>
      </c>
      <c r="C583" s="1" t="n">
        <v>45349</v>
      </c>
      <c r="D583" t="inlineStr">
        <is>
          <t>VÄSTERNORRLANDS LÄN</t>
        </is>
      </c>
      <c r="E583" t="inlineStr">
        <is>
          <t>ÅNGE</t>
        </is>
      </c>
      <c r="G583" t="n">
        <v>1.5</v>
      </c>
      <c r="H583" t="n">
        <v>0</v>
      </c>
      <c r="I583" t="n">
        <v>0</v>
      </c>
      <c r="J583" t="n">
        <v>0</v>
      </c>
      <c r="K583" t="n">
        <v>0</v>
      </c>
      <c r="L583" t="n">
        <v>0</v>
      </c>
      <c r="M583" t="n">
        <v>0</v>
      </c>
      <c r="N583" t="n">
        <v>0</v>
      </c>
      <c r="O583" t="n">
        <v>0</v>
      </c>
      <c r="P583" t="n">
        <v>0</v>
      </c>
      <c r="Q583" t="n">
        <v>0</v>
      </c>
      <c r="R583" s="2" t="inlineStr"/>
    </row>
    <row r="584" ht="15" customHeight="1">
      <c r="A584" t="inlineStr">
        <is>
          <t>A 19102-2021</t>
        </is>
      </c>
      <c r="B584" s="1" t="n">
        <v>44308</v>
      </c>
      <c r="C584" s="1" t="n">
        <v>45349</v>
      </c>
      <c r="D584" t="inlineStr">
        <is>
          <t>VÄSTERNORRLANDS LÄN</t>
        </is>
      </c>
      <c r="E584" t="inlineStr">
        <is>
          <t>ÅNGE</t>
        </is>
      </c>
      <c r="G584" t="n">
        <v>3.3</v>
      </c>
      <c r="H584" t="n">
        <v>0</v>
      </c>
      <c r="I584" t="n">
        <v>0</v>
      </c>
      <c r="J584" t="n">
        <v>0</v>
      </c>
      <c r="K584" t="n">
        <v>0</v>
      </c>
      <c r="L584" t="n">
        <v>0</v>
      </c>
      <c r="M584" t="n">
        <v>0</v>
      </c>
      <c r="N584" t="n">
        <v>0</v>
      </c>
      <c r="O584" t="n">
        <v>0</v>
      </c>
      <c r="P584" t="n">
        <v>0</v>
      </c>
      <c r="Q584" t="n">
        <v>0</v>
      </c>
      <c r="R584" s="2" t="inlineStr"/>
    </row>
    <row r="585" ht="15" customHeight="1">
      <c r="A585" t="inlineStr">
        <is>
          <t>A 20354-2021</t>
        </is>
      </c>
      <c r="B585" s="1" t="n">
        <v>44312</v>
      </c>
      <c r="C585" s="1" t="n">
        <v>45349</v>
      </c>
      <c r="D585" t="inlineStr">
        <is>
          <t>VÄSTERNORRLANDS LÄN</t>
        </is>
      </c>
      <c r="E585" t="inlineStr">
        <is>
          <t>ÅNGE</t>
        </is>
      </c>
      <c r="G585" t="n">
        <v>1.3</v>
      </c>
      <c r="H585" t="n">
        <v>0</v>
      </c>
      <c r="I585" t="n">
        <v>0</v>
      </c>
      <c r="J585" t="n">
        <v>0</v>
      </c>
      <c r="K585" t="n">
        <v>0</v>
      </c>
      <c r="L585" t="n">
        <v>0</v>
      </c>
      <c r="M585" t="n">
        <v>0</v>
      </c>
      <c r="N585" t="n">
        <v>0</v>
      </c>
      <c r="O585" t="n">
        <v>0</v>
      </c>
      <c r="P585" t="n">
        <v>0</v>
      </c>
      <c r="Q585" t="n">
        <v>0</v>
      </c>
      <c r="R585" s="2" t="inlineStr"/>
    </row>
    <row r="586" ht="15" customHeight="1">
      <c r="A586" t="inlineStr">
        <is>
          <t>A 19970-2021</t>
        </is>
      </c>
      <c r="B586" s="1" t="n">
        <v>44313</v>
      </c>
      <c r="C586" s="1" t="n">
        <v>45349</v>
      </c>
      <c r="D586" t="inlineStr">
        <is>
          <t>VÄSTERNORRLANDS LÄN</t>
        </is>
      </c>
      <c r="E586" t="inlineStr">
        <is>
          <t>ÅNGE</t>
        </is>
      </c>
      <c r="F586" t="inlineStr">
        <is>
          <t>Holmen skog AB</t>
        </is>
      </c>
      <c r="G586" t="n">
        <v>0.4</v>
      </c>
      <c r="H586" t="n">
        <v>0</v>
      </c>
      <c r="I586" t="n">
        <v>0</v>
      </c>
      <c r="J586" t="n">
        <v>0</v>
      </c>
      <c r="K586" t="n">
        <v>0</v>
      </c>
      <c r="L586" t="n">
        <v>0</v>
      </c>
      <c r="M586" t="n">
        <v>0</v>
      </c>
      <c r="N586" t="n">
        <v>0</v>
      </c>
      <c r="O586" t="n">
        <v>0</v>
      </c>
      <c r="P586" t="n">
        <v>0</v>
      </c>
      <c r="Q586" t="n">
        <v>0</v>
      </c>
      <c r="R586" s="2" t="inlineStr"/>
    </row>
    <row r="587" ht="15" customHeight="1">
      <c r="A587" t="inlineStr">
        <is>
          <t>A 20576-2021</t>
        </is>
      </c>
      <c r="B587" s="1" t="n">
        <v>44316</v>
      </c>
      <c r="C587" s="1" t="n">
        <v>45349</v>
      </c>
      <c r="D587" t="inlineStr">
        <is>
          <t>VÄSTERNORRLANDS LÄN</t>
        </is>
      </c>
      <c r="E587" t="inlineStr">
        <is>
          <t>ÅNGE</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20807-2021</t>
        </is>
      </c>
      <c r="B588" s="1" t="n">
        <v>44317</v>
      </c>
      <c r="C588" s="1" t="n">
        <v>45349</v>
      </c>
      <c r="D588" t="inlineStr">
        <is>
          <t>VÄSTERNORRLANDS LÄN</t>
        </is>
      </c>
      <c r="E588" t="inlineStr">
        <is>
          <t>ÅNGE</t>
        </is>
      </c>
      <c r="F588" t="inlineStr">
        <is>
          <t>SCA</t>
        </is>
      </c>
      <c r="G588" t="n">
        <v>0.5</v>
      </c>
      <c r="H588" t="n">
        <v>0</v>
      </c>
      <c r="I588" t="n">
        <v>0</v>
      </c>
      <c r="J588" t="n">
        <v>0</v>
      </c>
      <c r="K588" t="n">
        <v>0</v>
      </c>
      <c r="L588" t="n">
        <v>0</v>
      </c>
      <c r="M588" t="n">
        <v>0</v>
      </c>
      <c r="N588" t="n">
        <v>0</v>
      </c>
      <c r="O588" t="n">
        <v>0</v>
      </c>
      <c r="P588" t="n">
        <v>0</v>
      </c>
      <c r="Q588" t="n">
        <v>0</v>
      </c>
      <c r="R588" s="2" t="inlineStr"/>
    </row>
    <row r="589" ht="15" customHeight="1">
      <c r="A589" t="inlineStr">
        <is>
          <t>A 21189-2021</t>
        </is>
      </c>
      <c r="B589" s="1" t="n">
        <v>44320</v>
      </c>
      <c r="C589" s="1" t="n">
        <v>45349</v>
      </c>
      <c r="D589" t="inlineStr">
        <is>
          <t>VÄSTERNORRLANDS LÄN</t>
        </is>
      </c>
      <c r="E589" t="inlineStr">
        <is>
          <t>ÅNGE</t>
        </is>
      </c>
      <c r="G589" t="n">
        <v>2.4</v>
      </c>
      <c r="H589" t="n">
        <v>0</v>
      </c>
      <c r="I589" t="n">
        <v>0</v>
      </c>
      <c r="J589" t="n">
        <v>0</v>
      </c>
      <c r="K589" t="n">
        <v>0</v>
      </c>
      <c r="L589" t="n">
        <v>0</v>
      </c>
      <c r="M589" t="n">
        <v>0</v>
      </c>
      <c r="N589" t="n">
        <v>0</v>
      </c>
      <c r="O589" t="n">
        <v>0</v>
      </c>
      <c r="P589" t="n">
        <v>0</v>
      </c>
      <c r="Q589" t="n">
        <v>0</v>
      </c>
      <c r="R589" s="2" t="inlineStr"/>
    </row>
    <row r="590" ht="15" customHeight="1">
      <c r="A590" t="inlineStr">
        <is>
          <t>A 21642-2021</t>
        </is>
      </c>
      <c r="B590" s="1" t="n">
        <v>44322</v>
      </c>
      <c r="C590" s="1" t="n">
        <v>45349</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21625-2021</t>
        </is>
      </c>
      <c r="B591" s="1" t="n">
        <v>44322</v>
      </c>
      <c r="C591" s="1" t="n">
        <v>45349</v>
      </c>
      <c r="D591" t="inlineStr">
        <is>
          <t>VÄSTERNORRLANDS LÄN</t>
        </is>
      </c>
      <c r="E591" t="inlineStr">
        <is>
          <t>ÅNGE</t>
        </is>
      </c>
      <c r="G591" t="n">
        <v>3.4</v>
      </c>
      <c r="H591" t="n">
        <v>0</v>
      </c>
      <c r="I591" t="n">
        <v>0</v>
      </c>
      <c r="J591" t="n">
        <v>0</v>
      </c>
      <c r="K591" t="n">
        <v>0</v>
      </c>
      <c r="L591" t="n">
        <v>0</v>
      </c>
      <c r="M591" t="n">
        <v>0</v>
      </c>
      <c r="N591" t="n">
        <v>0</v>
      </c>
      <c r="O591" t="n">
        <v>0</v>
      </c>
      <c r="P591" t="n">
        <v>0</v>
      </c>
      <c r="Q591" t="n">
        <v>0</v>
      </c>
      <c r="R591" s="2" t="inlineStr"/>
    </row>
    <row r="592" ht="15" customHeight="1">
      <c r="A592" t="inlineStr">
        <is>
          <t>A 21960-2021</t>
        </is>
      </c>
      <c r="B592" s="1" t="n">
        <v>44323</v>
      </c>
      <c r="C592" s="1" t="n">
        <v>45349</v>
      </c>
      <c r="D592" t="inlineStr">
        <is>
          <t>VÄSTERNORRLANDS LÄN</t>
        </is>
      </c>
      <c r="E592" t="inlineStr">
        <is>
          <t>ÅNGE</t>
        </is>
      </c>
      <c r="F592" t="inlineStr">
        <is>
          <t>Holmen skog AB</t>
        </is>
      </c>
      <c r="G592" t="n">
        <v>6.8</v>
      </c>
      <c r="H592" t="n">
        <v>0</v>
      </c>
      <c r="I592" t="n">
        <v>0</v>
      </c>
      <c r="J592" t="n">
        <v>0</v>
      </c>
      <c r="K592" t="n">
        <v>0</v>
      </c>
      <c r="L592" t="n">
        <v>0</v>
      </c>
      <c r="M592" t="n">
        <v>0</v>
      </c>
      <c r="N592" t="n">
        <v>0</v>
      </c>
      <c r="O592" t="n">
        <v>0</v>
      </c>
      <c r="P592" t="n">
        <v>0</v>
      </c>
      <c r="Q592" t="n">
        <v>0</v>
      </c>
      <c r="R592" s="2" t="inlineStr"/>
    </row>
    <row r="593" ht="15" customHeight="1">
      <c r="A593" t="inlineStr">
        <is>
          <t>A 22237-2021</t>
        </is>
      </c>
      <c r="B593" s="1" t="n">
        <v>44326</v>
      </c>
      <c r="C593" s="1" t="n">
        <v>45349</v>
      </c>
      <c r="D593" t="inlineStr">
        <is>
          <t>VÄSTERNORRLANDS LÄN</t>
        </is>
      </c>
      <c r="E593" t="inlineStr">
        <is>
          <t>ÅNGE</t>
        </is>
      </c>
      <c r="G593" t="n">
        <v>3.7</v>
      </c>
      <c r="H593" t="n">
        <v>0</v>
      </c>
      <c r="I593" t="n">
        <v>0</v>
      </c>
      <c r="J593" t="n">
        <v>0</v>
      </c>
      <c r="K593" t="n">
        <v>0</v>
      </c>
      <c r="L593" t="n">
        <v>0</v>
      </c>
      <c r="M593" t="n">
        <v>0</v>
      </c>
      <c r="N593" t="n">
        <v>0</v>
      </c>
      <c r="O593" t="n">
        <v>0</v>
      </c>
      <c r="P593" t="n">
        <v>0</v>
      </c>
      <c r="Q593" t="n">
        <v>0</v>
      </c>
      <c r="R593" s="2" t="inlineStr"/>
    </row>
    <row r="594" ht="15" customHeight="1">
      <c r="A594" t="inlineStr">
        <is>
          <t>A 22597-2021</t>
        </is>
      </c>
      <c r="B594" s="1" t="n">
        <v>44326</v>
      </c>
      <c r="C594" s="1" t="n">
        <v>45349</v>
      </c>
      <c r="D594" t="inlineStr">
        <is>
          <t>VÄSTERNORRLANDS LÄN</t>
        </is>
      </c>
      <c r="E594" t="inlineStr">
        <is>
          <t>ÅNGE</t>
        </is>
      </c>
      <c r="G594" t="n">
        <v>0.9</v>
      </c>
      <c r="H594" t="n">
        <v>0</v>
      </c>
      <c r="I594" t="n">
        <v>0</v>
      </c>
      <c r="J594" t="n">
        <v>0</v>
      </c>
      <c r="K594" t="n">
        <v>0</v>
      </c>
      <c r="L594" t="n">
        <v>0</v>
      </c>
      <c r="M594" t="n">
        <v>0</v>
      </c>
      <c r="N594" t="n">
        <v>0</v>
      </c>
      <c r="O594" t="n">
        <v>0</v>
      </c>
      <c r="P594" t="n">
        <v>0</v>
      </c>
      <c r="Q594" t="n">
        <v>0</v>
      </c>
      <c r="R594" s="2" t="inlineStr"/>
    </row>
    <row r="595" ht="15" customHeight="1">
      <c r="A595" t="inlineStr">
        <is>
          <t>A 23018-2021</t>
        </is>
      </c>
      <c r="B595" s="1" t="n">
        <v>44328</v>
      </c>
      <c r="C595" s="1" t="n">
        <v>45349</v>
      </c>
      <c r="D595" t="inlineStr">
        <is>
          <t>VÄSTERNORRLANDS LÄN</t>
        </is>
      </c>
      <c r="E595" t="inlineStr">
        <is>
          <t>ÅNGE</t>
        </is>
      </c>
      <c r="G595" t="n">
        <v>1.8</v>
      </c>
      <c r="H595" t="n">
        <v>0</v>
      </c>
      <c r="I595" t="n">
        <v>0</v>
      </c>
      <c r="J595" t="n">
        <v>0</v>
      </c>
      <c r="K595" t="n">
        <v>0</v>
      </c>
      <c r="L595" t="n">
        <v>0</v>
      </c>
      <c r="M595" t="n">
        <v>0</v>
      </c>
      <c r="N595" t="n">
        <v>0</v>
      </c>
      <c r="O595" t="n">
        <v>0</v>
      </c>
      <c r="P595" t="n">
        <v>0</v>
      </c>
      <c r="Q595" t="n">
        <v>0</v>
      </c>
      <c r="R595" s="2" t="inlineStr"/>
    </row>
    <row r="596" ht="15" customHeight="1">
      <c r="A596" t="inlineStr">
        <is>
          <t>A 23017-2021</t>
        </is>
      </c>
      <c r="B596" s="1" t="n">
        <v>44329</v>
      </c>
      <c r="C596" s="1" t="n">
        <v>45349</v>
      </c>
      <c r="D596" t="inlineStr">
        <is>
          <t>VÄSTERNORRLANDS LÄN</t>
        </is>
      </c>
      <c r="E596" t="inlineStr">
        <is>
          <t>ÅNGE</t>
        </is>
      </c>
      <c r="G596" t="n">
        <v>0.7</v>
      </c>
      <c r="H596" t="n">
        <v>0</v>
      </c>
      <c r="I596" t="n">
        <v>0</v>
      </c>
      <c r="J596" t="n">
        <v>0</v>
      </c>
      <c r="K596" t="n">
        <v>0</v>
      </c>
      <c r="L596" t="n">
        <v>0</v>
      </c>
      <c r="M596" t="n">
        <v>0</v>
      </c>
      <c r="N596" t="n">
        <v>0</v>
      </c>
      <c r="O596" t="n">
        <v>0</v>
      </c>
      <c r="P596" t="n">
        <v>0</v>
      </c>
      <c r="Q596" t="n">
        <v>0</v>
      </c>
      <c r="R596" s="2" t="inlineStr"/>
    </row>
    <row r="597" ht="15" customHeight="1">
      <c r="A597" t="inlineStr">
        <is>
          <t>A 23016-2021</t>
        </is>
      </c>
      <c r="B597" s="1" t="n">
        <v>44329</v>
      </c>
      <c r="C597" s="1" t="n">
        <v>45349</v>
      </c>
      <c r="D597" t="inlineStr">
        <is>
          <t>VÄSTERNORRLANDS LÄN</t>
        </is>
      </c>
      <c r="E597" t="inlineStr">
        <is>
          <t>ÅNGE</t>
        </is>
      </c>
      <c r="G597" t="n">
        <v>1.5</v>
      </c>
      <c r="H597" t="n">
        <v>0</v>
      </c>
      <c r="I597" t="n">
        <v>0</v>
      </c>
      <c r="J597" t="n">
        <v>0</v>
      </c>
      <c r="K597" t="n">
        <v>0</v>
      </c>
      <c r="L597" t="n">
        <v>0</v>
      </c>
      <c r="M597" t="n">
        <v>0</v>
      </c>
      <c r="N597" t="n">
        <v>0</v>
      </c>
      <c r="O597" t="n">
        <v>0</v>
      </c>
      <c r="P597" t="n">
        <v>0</v>
      </c>
      <c r="Q597" t="n">
        <v>0</v>
      </c>
      <c r="R597" s="2" t="inlineStr"/>
    </row>
    <row r="598" ht="15" customHeight="1">
      <c r="A598" t="inlineStr">
        <is>
          <t>A 24233-2021</t>
        </is>
      </c>
      <c r="B598" s="1" t="n">
        <v>44336</v>
      </c>
      <c r="C598" s="1" t="n">
        <v>45349</v>
      </c>
      <c r="D598" t="inlineStr">
        <is>
          <t>VÄSTERNORRLANDS LÄN</t>
        </is>
      </c>
      <c r="E598" t="inlineStr">
        <is>
          <t>ÅNGE</t>
        </is>
      </c>
      <c r="G598" t="n">
        <v>3.2</v>
      </c>
      <c r="H598" t="n">
        <v>0</v>
      </c>
      <c r="I598" t="n">
        <v>0</v>
      </c>
      <c r="J598" t="n">
        <v>0</v>
      </c>
      <c r="K598" t="n">
        <v>0</v>
      </c>
      <c r="L598" t="n">
        <v>0</v>
      </c>
      <c r="M598" t="n">
        <v>0</v>
      </c>
      <c r="N598" t="n">
        <v>0</v>
      </c>
      <c r="O598" t="n">
        <v>0</v>
      </c>
      <c r="P598" t="n">
        <v>0</v>
      </c>
      <c r="Q598" t="n">
        <v>0</v>
      </c>
      <c r="R598" s="2" t="inlineStr"/>
    </row>
    <row r="599" ht="15" customHeight="1">
      <c r="A599" t="inlineStr">
        <is>
          <t>A 24819-2021</t>
        </is>
      </c>
      <c r="B599" s="1" t="n">
        <v>44340</v>
      </c>
      <c r="C599" s="1" t="n">
        <v>45349</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24831-2021</t>
        </is>
      </c>
      <c r="B600" s="1" t="n">
        <v>44340</v>
      </c>
      <c r="C600" s="1" t="n">
        <v>45349</v>
      </c>
      <c r="D600" t="inlineStr">
        <is>
          <t>VÄSTERNORRLANDS LÄN</t>
        </is>
      </c>
      <c r="E600" t="inlineStr">
        <is>
          <t>ÅNGE</t>
        </is>
      </c>
      <c r="G600" t="n">
        <v>0.5</v>
      </c>
      <c r="H600" t="n">
        <v>0</v>
      </c>
      <c r="I600" t="n">
        <v>0</v>
      </c>
      <c r="J600" t="n">
        <v>0</v>
      </c>
      <c r="K600" t="n">
        <v>0</v>
      </c>
      <c r="L600" t="n">
        <v>0</v>
      </c>
      <c r="M600" t="n">
        <v>0</v>
      </c>
      <c r="N600" t="n">
        <v>0</v>
      </c>
      <c r="O600" t="n">
        <v>0</v>
      </c>
      <c r="P600" t="n">
        <v>0</v>
      </c>
      <c r="Q600" t="n">
        <v>0</v>
      </c>
      <c r="R600" s="2" t="inlineStr"/>
    </row>
    <row r="601" ht="15" customHeight="1">
      <c r="A601" t="inlineStr">
        <is>
          <t>A 25020-2021</t>
        </is>
      </c>
      <c r="B601" s="1" t="n">
        <v>44341</v>
      </c>
      <c r="C601" s="1" t="n">
        <v>45349</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24953-2021</t>
        </is>
      </c>
      <c r="B602" s="1" t="n">
        <v>44341</v>
      </c>
      <c r="C602" s="1" t="n">
        <v>45349</v>
      </c>
      <c r="D602" t="inlineStr">
        <is>
          <t>VÄSTERNORRLANDS LÄN</t>
        </is>
      </c>
      <c r="E602" t="inlineStr">
        <is>
          <t>ÅNGE</t>
        </is>
      </c>
      <c r="G602" t="n">
        <v>6.1</v>
      </c>
      <c r="H602" t="n">
        <v>0</v>
      </c>
      <c r="I602" t="n">
        <v>0</v>
      </c>
      <c r="J602" t="n">
        <v>0</v>
      </c>
      <c r="K602" t="n">
        <v>0</v>
      </c>
      <c r="L602" t="n">
        <v>0</v>
      </c>
      <c r="M602" t="n">
        <v>0</v>
      </c>
      <c r="N602" t="n">
        <v>0</v>
      </c>
      <c r="O602" t="n">
        <v>0</v>
      </c>
      <c r="P602" t="n">
        <v>0</v>
      </c>
      <c r="Q602" t="n">
        <v>0</v>
      </c>
      <c r="R602" s="2" t="inlineStr"/>
    </row>
    <row r="603" ht="15" customHeight="1">
      <c r="A603" t="inlineStr">
        <is>
          <t>A 24977-2021</t>
        </is>
      </c>
      <c r="B603" s="1" t="n">
        <v>44341</v>
      </c>
      <c r="C603" s="1" t="n">
        <v>45349</v>
      </c>
      <c r="D603" t="inlineStr">
        <is>
          <t>VÄSTERNORRLANDS LÄN</t>
        </is>
      </c>
      <c r="E603" t="inlineStr">
        <is>
          <t>ÅNGE</t>
        </is>
      </c>
      <c r="F603" t="inlineStr">
        <is>
          <t>Sveaskog</t>
        </is>
      </c>
      <c r="G603" t="n">
        <v>1.4</v>
      </c>
      <c r="H603" t="n">
        <v>0</v>
      </c>
      <c r="I603" t="n">
        <v>0</v>
      </c>
      <c r="J603" t="n">
        <v>0</v>
      </c>
      <c r="K603" t="n">
        <v>0</v>
      </c>
      <c r="L603" t="n">
        <v>0</v>
      </c>
      <c r="M603" t="n">
        <v>0</v>
      </c>
      <c r="N603" t="n">
        <v>0</v>
      </c>
      <c r="O603" t="n">
        <v>0</v>
      </c>
      <c r="P603" t="n">
        <v>0</v>
      </c>
      <c r="Q603" t="n">
        <v>0</v>
      </c>
      <c r="R603" s="2" t="inlineStr"/>
    </row>
    <row r="604" ht="15" customHeight="1">
      <c r="A604" t="inlineStr">
        <is>
          <t>A 26088-2021</t>
        </is>
      </c>
      <c r="B604" s="1" t="n">
        <v>44345</v>
      </c>
      <c r="C604" s="1" t="n">
        <v>45349</v>
      </c>
      <c r="D604" t="inlineStr">
        <is>
          <t>VÄSTERNORRLANDS LÄN</t>
        </is>
      </c>
      <c r="E604" t="inlineStr">
        <is>
          <t>ÅNGE</t>
        </is>
      </c>
      <c r="G604" t="n">
        <v>1.8</v>
      </c>
      <c r="H604" t="n">
        <v>0</v>
      </c>
      <c r="I604" t="n">
        <v>0</v>
      </c>
      <c r="J604" t="n">
        <v>0</v>
      </c>
      <c r="K604" t="n">
        <v>0</v>
      </c>
      <c r="L604" t="n">
        <v>0</v>
      </c>
      <c r="M604" t="n">
        <v>0</v>
      </c>
      <c r="N604" t="n">
        <v>0</v>
      </c>
      <c r="O604" t="n">
        <v>0</v>
      </c>
      <c r="P604" t="n">
        <v>0</v>
      </c>
      <c r="Q604" t="n">
        <v>0</v>
      </c>
      <c r="R604" s="2" t="inlineStr"/>
    </row>
    <row r="605" ht="15" customHeight="1">
      <c r="A605" t="inlineStr">
        <is>
          <t>A 26193-2021</t>
        </is>
      </c>
      <c r="B605" s="1" t="n">
        <v>44347</v>
      </c>
      <c r="C605" s="1" t="n">
        <v>45349</v>
      </c>
      <c r="D605" t="inlineStr">
        <is>
          <t>VÄSTERNORRLANDS LÄN</t>
        </is>
      </c>
      <c r="E605" t="inlineStr">
        <is>
          <t>ÅNGE</t>
        </is>
      </c>
      <c r="G605" t="n">
        <v>1.2</v>
      </c>
      <c r="H605" t="n">
        <v>0</v>
      </c>
      <c r="I605" t="n">
        <v>0</v>
      </c>
      <c r="J605" t="n">
        <v>0</v>
      </c>
      <c r="K605" t="n">
        <v>0</v>
      </c>
      <c r="L605" t="n">
        <v>0</v>
      </c>
      <c r="M605" t="n">
        <v>0</v>
      </c>
      <c r="N605" t="n">
        <v>0</v>
      </c>
      <c r="O605" t="n">
        <v>0</v>
      </c>
      <c r="P605" t="n">
        <v>0</v>
      </c>
      <c r="Q605" t="n">
        <v>0</v>
      </c>
      <c r="R605" s="2" t="inlineStr"/>
    </row>
    <row r="606" ht="15" customHeight="1">
      <c r="A606" t="inlineStr">
        <is>
          <t>A 26966-2021</t>
        </is>
      </c>
      <c r="B606" s="1" t="n">
        <v>44350</v>
      </c>
      <c r="C606" s="1" t="n">
        <v>45349</v>
      </c>
      <c r="D606" t="inlineStr">
        <is>
          <t>VÄSTERNORRLANDS LÄN</t>
        </is>
      </c>
      <c r="E606" t="inlineStr">
        <is>
          <t>ÅNGE</t>
        </is>
      </c>
      <c r="F606" t="inlineStr">
        <is>
          <t>SCA</t>
        </is>
      </c>
      <c r="G606" t="n">
        <v>5</v>
      </c>
      <c r="H606" t="n">
        <v>0</v>
      </c>
      <c r="I606" t="n">
        <v>0</v>
      </c>
      <c r="J606" t="n">
        <v>0</v>
      </c>
      <c r="K606" t="n">
        <v>0</v>
      </c>
      <c r="L606" t="n">
        <v>0</v>
      </c>
      <c r="M606" t="n">
        <v>0</v>
      </c>
      <c r="N606" t="n">
        <v>0</v>
      </c>
      <c r="O606" t="n">
        <v>0</v>
      </c>
      <c r="P606" t="n">
        <v>0</v>
      </c>
      <c r="Q606" t="n">
        <v>0</v>
      </c>
      <c r="R606" s="2" t="inlineStr"/>
    </row>
    <row r="607" ht="15" customHeight="1">
      <c r="A607" t="inlineStr">
        <is>
          <t>A 26969-2021</t>
        </is>
      </c>
      <c r="B607" s="1" t="n">
        <v>44350</v>
      </c>
      <c r="C607" s="1" t="n">
        <v>45349</v>
      </c>
      <c r="D607" t="inlineStr">
        <is>
          <t>VÄSTERNORRLANDS LÄN</t>
        </is>
      </c>
      <c r="E607" t="inlineStr">
        <is>
          <t>ÅNGE</t>
        </is>
      </c>
      <c r="F607" t="inlineStr">
        <is>
          <t>SCA</t>
        </is>
      </c>
      <c r="G607" t="n">
        <v>4.5</v>
      </c>
      <c r="H607" t="n">
        <v>0</v>
      </c>
      <c r="I607" t="n">
        <v>0</v>
      </c>
      <c r="J607" t="n">
        <v>0</v>
      </c>
      <c r="K607" t="n">
        <v>0</v>
      </c>
      <c r="L607" t="n">
        <v>0</v>
      </c>
      <c r="M607" t="n">
        <v>0</v>
      </c>
      <c r="N607" t="n">
        <v>0</v>
      </c>
      <c r="O607" t="n">
        <v>0</v>
      </c>
      <c r="P607" t="n">
        <v>0</v>
      </c>
      <c r="Q607" t="n">
        <v>0</v>
      </c>
      <c r="R607" s="2" t="inlineStr"/>
    </row>
    <row r="608" ht="15" customHeight="1">
      <c r="A608" t="inlineStr">
        <is>
          <t>A 27288-2021</t>
        </is>
      </c>
      <c r="B608" s="1" t="n">
        <v>44351</v>
      </c>
      <c r="C608" s="1" t="n">
        <v>45349</v>
      </c>
      <c r="D608" t="inlineStr">
        <is>
          <t>VÄSTERNORRLANDS LÄN</t>
        </is>
      </c>
      <c r="E608" t="inlineStr">
        <is>
          <t>ÅNGE</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27951-2021</t>
        </is>
      </c>
      <c r="B609" s="1" t="n">
        <v>44354</v>
      </c>
      <c r="C609" s="1" t="n">
        <v>45349</v>
      </c>
      <c r="D609" t="inlineStr">
        <is>
          <t>VÄSTERNORRLANDS LÄN</t>
        </is>
      </c>
      <c r="E609" t="inlineStr">
        <is>
          <t>ÅNGE</t>
        </is>
      </c>
      <c r="G609" t="n">
        <v>3</v>
      </c>
      <c r="H609" t="n">
        <v>0</v>
      </c>
      <c r="I609" t="n">
        <v>0</v>
      </c>
      <c r="J609" t="n">
        <v>0</v>
      </c>
      <c r="K609" t="n">
        <v>0</v>
      </c>
      <c r="L609" t="n">
        <v>0</v>
      </c>
      <c r="M609" t="n">
        <v>0</v>
      </c>
      <c r="N609" t="n">
        <v>0</v>
      </c>
      <c r="O609" t="n">
        <v>0</v>
      </c>
      <c r="P609" t="n">
        <v>0</v>
      </c>
      <c r="Q609" t="n">
        <v>0</v>
      </c>
      <c r="R609" s="2" t="inlineStr"/>
    </row>
    <row r="610" ht="15" customHeight="1">
      <c r="A610" t="inlineStr">
        <is>
          <t>A 27953-2021</t>
        </is>
      </c>
      <c r="B610" s="1" t="n">
        <v>44355</v>
      </c>
      <c r="C610" s="1" t="n">
        <v>45349</v>
      </c>
      <c r="D610" t="inlineStr">
        <is>
          <t>VÄSTERNORRLANDS LÄN</t>
        </is>
      </c>
      <c r="E610" t="inlineStr">
        <is>
          <t>ÅNGE</t>
        </is>
      </c>
      <c r="G610" t="n">
        <v>2.9</v>
      </c>
      <c r="H610" t="n">
        <v>0</v>
      </c>
      <c r="I610" t="n">
        <v>0</v>
      </c>
      <c r="J610" t="n">
        <v>0</v>
      </c>
      <c r="K610" t="n">
        <v>0</v>
      </c>
      <c r="L610" t="n">
        <v>0</v>
      </c>
      <c r="M610" t="n">
        <v>0</v>
      </c>
      <c r="N610" t="n">
        <v>0</v>
      </c>
      <c r="O610" t="n">
        <v>0</v>
      </c>
      <c r="P610" t="n">
        <v>0</v>
      </c>
      <c r="Q610" t="n">
        <v>0</v>
      </c>
      <c r="R610" s="2" t="inlineStr"/>
    </row>
    <row r="611" ht="15" customHeight="1">
      <c r="A611" t="inlineStr">
        <is>
          <t>A 27957-2021</t>
        </is>
      </c>
      <c r="B611" s="1" t="n">
        <v>44354</v>
      </c>
      <c r="C611" s="1" t="n">
        <v>45349</v>
      </c>
      <c r="D611" t="inlineStr">
        <is>
          <t>VÄSTERNORRLANDS LÄN</t>
        </is>
      </c>
      <c r="E611" t="inlineStr">
        <is>
          <t>ÅNGE</t>
        </is>
      </c>
      <c r="G611" t="n">
        <v>13.5</v>
      </c>
      <c r="H611" t="n">
        <v>0</v>
      </c>
      <c r="I611" t="n">
        <v>0</v>
      </c>
      <c r="J611" t="n">
        <v>0</v>
      </c>
      <c r="K611" t="n">
        <v>0</v>
      </c>
      <c r="L611" t="n">
        <v>0</v>
      </c>
      <c r="M611" t="n">
        <v>0</v>
      </c>
      <c r="N611" t="n">
        <v>0</v>
      </c>
      <c r="O611" t="n">
        <v>0</v>
      </c>
      <c r="P611" t="n">
        <v>0</v>
      </c>
      <c r="Q611" t="n">
        <v>0</v>
      </c>
      <c r="R611" s="2" t="inlineStr"/>
    </row>
    <row r="612" ht="15" customHeight="1">
      <c r="A612" t="inlineStr">
        <is>
          <t>A 27954-2021</t>
        </is>
      </c>
      <c r="B612" s="1" t="n">
        <v>44354</v>
      </c>
      <c r="C612" s="1" t="n">
        <v>45349</v>
      </c>
      <c r="D612" t="inlineStr">
        <is>
          <t>VÄSTERNORRLANDS LÄN</t>
        </is>
      </c>
      <c r="E612" t="inlineStr">
        <is>
          <t>ÅNGE</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29048-2021</t>
        </is>
      </c>
      <c r="B613" s="1" t="n">
        <v>44358</v>
      </c>
      <c r="C613" s="1" t="n">
        <v>45349</v>
      </c>
      <c r="D613" t="inlineStr">
        <is>
          <t>VÄSTERNORRLANDS LÄN</t>
        </is>
      </c>
      <c r="E613" t="inlineStr">
        <is>
          <t>ÅNGE</t>
        </is>
      </c>
      <c r="G613" t="n">
        <v>2.5</v>
      </c>
      <c r="H613" t="n">
        <v>0</v>
      </c>
      <c r="I613" t="n">
        <v>0</v>
      </c>
      <c r="J613" t="n">
        <v>0</v>
      </c>
      <c r="K613" t="n">
        <v>0</v>
      </c>
      <c r="L613" t="n">
        <v>0</v>
      </c>
      <c r="M613" t="n">
        <v>0</v>
      </c>
      <c r="N613" t="n">
        <v>0</v>
      </c>
      <c r="O613" t="n">
        <v>0</v>
      </c>
      <c r="P613" t="n">
        <v>0</v>
      </c>
      <c r="Q613" t="n">
        <v>0</v>
      </c>
      <c r="R613" s="2" t="inlineStr"/>
    </row>
    <row r="614" ht="15" customHeight="1">
      <c r="A614" t="inlineStr">
        <is>
          <t>A 29180-2021</t>
        </is>
      </c>
      <c r="B614" s="1" t="n">
        <v>44358</v>
      </c>
      <c r="C614" s="1" t="n">
        <v>45349</v>
      </c>
      <c r="D614" t="inlineStr">
        <is>
          <t>VÄSTERNORRLANDS LÄN</t>
        </is>
      </c>
      <c r="E614" t="inlineStr">
        <is>
          <t>ÅNGE</t>
        </is>
      </c>
      <c r="G614" t="n">
        <v>5.3</v>
      </c>
      <c r="H614" t="n">
        <v>0</v>
      </c>
      <c r="I614" t="n">
        <v>0</v>
      </c>
      <c r="J614" t="n">
        <v>0</v>
      </c>
      <c r="K614" t="n">
        <v>0</v>
      </c>
      <c r="L614" t="n">
        <v>0</v>
      </c>
      <c r="M614" t="n">
        <v>0</v>
      </c>
      <c r="N614" t="n">
        <v>0</v>
      </c>
      <c r="O614" t="n">
        <v>0</v>
      </c>
      <c r="P614" t="n">
        <v>0</v>
      </c>
      <c r="Q614" t="n">
        <v>0</v>
      </c>
      <c r="R614" s="2" t="inlineStr"/>
    </row>
    <row r="615" ht="15" customHeight="1">
      <c r="A615" t="inlineStr">
        <is>
          <t>A 29187-2021</t>
        </is>
      </c>
      <c r="B615" s="1" t="n">
        <v>44358</v>
      </c>
      <c r="C615" s="1" t="n">
        <v>45349</v>
      </c>
      <c r="D615" t="inlineStr">
        <is>
          <t>VÄSTERNORRLANDS LÄN</t>
        </is>
      </c>
      <c r="E615" t="inlineStr">
        <is>
          <t>ÅNGE</t>
        </is>
      </c>
      <c r="G615" t="n">
        <v>0.3</v>
      </c>
      <c r="H615" t="n">
        <v>0</v>
      </c>
      <c r="I615" t="n">
        <v>0</v>
      </c>
      <c r="J615" t="n">
        <v>0</v>
      </c>
      <c r="K615" t="n">
        <v>0</v>
      </c>
      <c r="L615" t="n">
        <v>0</v>
      </c>
      <c r="M615" t="n">
        <v>0</v>
      </c>
      <c r="N615" t="n">
        <v>0</v>
      </c>
      <c r="O615" t="n">
        <v>0</v>
      </c>
      <c r="P615" t="n">
        <v>0</v>
      </c>
      <c r="Q615" t="n">
        <v>0</v>
      </c>
      <c r="R615" s="2" t="inlineStr"/>
    </row>
    <row r="616" ht="15" customHeight="1">
      <c r="A616" t="inlineStr">
        <is>
          <t>A 29191-2021</t>
        </is>
      </c>
      <c r="B616" s="1" t="n">
        <v>44358</v>
      </c>
      <c r="C616" s="1" t="n">
        <v>45349</v>
      </c>
      <c r="D616" t="inlineStr">
        <is>
          <t>VÄSTERNORRLANDS LÄN</t>
        </is>
      </c>
      <c r="E616" t="inlineStr">
        <is>
          <t>ÅNGE</t>
        </is>
      </c>
      <c r="G616" t="n">
        <v>1.7</v>
      </c>
      <c r="H616" t="n">
        <v>0</v>
      </c>
      <c r="I616" t="n">
        <v>0</v>
      </c>
      <c r="J616" t="n">
        <v>0</v>
      </c>
      <c r="K616" t="n">
        <v>0</v>
      </c>
      <c r="L616" t="n">
        <v>0</v>
      </c>
      <c r="M616" t="n">
        <v>0</v>
      </c>
      <c r="N616" t="n">
        <v>0</v>
      </c>
      <c r="O616" t="n">
        <v>0</v>
      </c>
      <c r="P616" t="n">
        <v>0</v>
      </c>
      <c r="Q616" t="n">
        <v>0</v>
      </c>
      <c r="R616" s="2" t="inlineStr"/>
    </row>
    <row r="617" ht="15" customHeight="1">
      <c r="A617" t="inlineStr">
        <is>
          <t>A 29390-2021</t>
        </is>
      </c>
      <c r="B617" s="1" t="n">
        <v>44361</v>
      </c>
      <c r="C617" s="1" t="n">
        <v>45349</v>
      </c>
      <c r="D617" t="inlineStr">
        <is>
          <t>VÄSTERNORRLANDS LÄN</t>
        </is>
      </c>
      <c r="E617" t="inlineStr">
        <is>
          <t>ÅNGE</t>
        </is>
      </c>
      <c r="F617" t="inlineStr">
        <is>
          <t>Holmen skog AB</t>
        </is>
      </c>
      <c r="G617" t="n">
        <v>1.7</v>
      </c>
      <c r="H617" t="n">
        <v>0</v>
      </c>
      <c r="I617" t="n">
        <v>0</v>
      </c>
      <c r="J617" t="n">
        <v>0</v>
      </c>
      <c r="K617" t="n">
        <v>0</v>
      </c>
      <c r="L617" t="n">
        <v>0</v>
      </c>
      <c r="M617" t="n">
        <v>0</v>
      </c>
      <c r="N617" t="n">
        <v>0</v>
      </c>
      <c r="O617" t="n">
        <v>0</v>
      </c>
      <c r="P617" t="n">
        <v>0</v>
      </c>
      <c r="Q617" t="n">
        <v>0</v>
      </c>
      <c r="R617" s="2" t="inlineStr"/>
    </row>
    <row r="618" ht="15" customHeight="1">
      <c r="A618" t="inlineStr">
        <is>
          <t>A 29509-2021</t>
        </is>
      </c>
      <c r="B618" s="1" t="n">
        <v>44361</v>
      </c>
      <c r="C618" s="1" t="n">
        <v>45349</v>
      </c>
      <c r="D618" t="inlineStr">
        <is>
          <t>VÄSTERNORRLANDS LÄN</t>
        </is>
      </c>
      <c r="E618" t="inlineStr">
        <is>
          <t>ÅNGE</t>
        </is>
      </c>
      <c r="G618" t="n">
        <v>3.6</v>
      </c>
      <c r="H618" t="n">
        <v>0</v>
      </c>
      <c r="I618" t="n">
        <v>0</v>
      </c>
      <c r="J618" t="n">
        <v>0</v>
      </c>
      <c r="K618" t="n">
        <v>0</v>
      </c>
      <c r="L618" t="n">
        <v>0</v>
      </c>
      <c r="M618" t="n">
        <v>0</v>
      </c>
      <c r="N618" t="n">
        <v>0</v>
      </c>
      <c r="O618" t="n">
        <v>0</v>
      </c>
      <c r="P618" t="n">
        <v>0</v>
      </c>
      <c r="Q618" t="n">
        <v>0</v>
      </c>
      <c r="R618" s="2" t="inlineStr"/>
    </row>
    <row r="619" ht="15" customHeight="1">
      <c r="A619" t="inlineStr">
        <is>
          <t>A 30286-2021</t>
        </is>
      </c>
      <c r="B619" s="1" t="n">
        <v>44363</v>
      </c>
      <c r="C619" s="1" t="n">
        <v>45349</v>
      </c>
      <c r="D619" t="inlineStr">
        <is>
          <t>VÄSTERNORRLANDS LÄN</t>
        </is>
      </c>
      <c r="E619" t="inlineStr">
        <is>
          <t>ÅNGE</t>
        </is>
      </c>
      <c r="G619" t="n">
        <v>1.2</v>
      </c>
      <c r="H619" t="n">
        <v>0</v>
      </c>
      <c r="I619" t="n">
        <v>0</v>
      </c>
      <c r="J619" t="n">
        <v>0</v>
      </c>
      <c r="K619" t="n">
        <v>0</v>
      </c>
      <c r="L619" t="n">
        <v>0</v>
      </c>
      <c r="M619" t="n">
        <v>0</v>
      </c>
      <c r="N619" t="n">
        <v>0</v>
      </c>
      <c r="O619" t="n">
        <v>0</v>
      </c>
      <c r="P619" t="n">
        <v>0</v>
      </c>
      <c r="Q619" t="n">
        <v>0</v>
      </c>
      <c r="R619" s="2" t="inlineStr"/>
    </row>
    <row r="620" ht="15" customHeight="1">
      <c r="A620" t="inlineStr">
        <is>
          <t>A 30345-2021</t>
        </is>
      </c>
      <c r="B620" s="1" t="n">
        <v>44364</v>
      </c>
      <c r="C620" s="1" t="n">
        <v>45349</v>
      </c>
      <c r="D620" t="inlineStr">
        <is>
          <t>VÄSTERNORRLANDS LÄN</t>
        </is>
      </c>
      <c r="E620" t="inlineStr">
        <is>
          <t>ÅNGE</t>
        </is>
      </c>
      <c r="G620" t="n">
        <v>7.7</v>
      </c>
      <c r="H620" t="n">
        <v>0</v>
      </c>
      <c r="I620" t="n">
        <v>0</v>
      </c>
      <c r="J620" t="n">
        <v>0</v>
      </c>
      <c r="K620" t="n">
        <v>0</v>
      </c>
      <c r="L620" t="n">
        <v>0</v>
      </c>
      <c r="M620" t="n">
        <v>0</v>
      </c>
      <c r="N620" t="n">
        <v>0</v>
      </c>
      <c r="O620" t="n">
        <v>0</v>
      </c>
      <c r="P620" t="n">
        <v>0</v>
      </c>
      <c r="Q620" t="n">
        <v>0</v>
      </c>
      <c r="R620" s="2" t="inlineStr"/>
    </row>
    <row r="621" ht="15" customHeight="1">
      <c r="A621" t="inlineStr">
        <is>
          <t>A 30365-2021</t>
        </is>
      </c>
      <c r="B621" s="1" t="n">
        <v>44364</v>
      </c>
      <c r="C621" s="1" t="n">
        <v>45349</v>
      </c>
      <c r="D621" t="inlineStr">
        <is>
          <t>VÄSTERNORRLANDS LÄN</t>
        </is>
      </c>
      <c r="E621" t="inlineStr">
        <is>
          <t>ÅNGE</t>
        </is>
      </c>
      <c r="G621" t="n">
        <v>3.9</v>
      </c>
      <c r="H621" t="n">
        <v>0</v>
      </c>
      <c r="I621" t="n">
        <v>0</v>
      </c>
      <c r="J621" t="n">
        <v>0</v>
      </c>
      <c r="K621" t="n">
        <v>0</v>
      </c>
      <c r="L621" t="n">
        <v>0</v>
      </c>
      <c r="M621" t="n">
        <v>0</v>
      </c>
      <c r="N621" t="n">
        <v>0</v>
      </c>
      <c r="O621" t="n">
        <v>0</v>
      </c>
      <c r="P621" t="n">
        <v>0</v>
      </c>
      <c r="Q621" t="n">
        <v>0</v>
      </c>
      <c r="R621" s="2" t="inlineStr"/>
    </row>
    <row r="622" ht="15" customHeight="1">
      <c r="A622" t="inlineStr">
        <is>
          <t>A 31191-2021</t>
        </is>
      </c>
      <c r="B622" s="1" t="n">
        <v>44368</v>
      </c>
      <c r="C622" s="1" t="n">
        <v>45349</v>
      </c>
      <c r="D622" t="inlineStr">
        <is>
          <t>VÄSTERNORRLANDS LÄN</t>
        </is>
      </c>
      <c r="E622" t="inlineStr">
        <is>
          <t>ÅNGE</t>
        </is>
      </c>
      <c r="F622" t="inlineStr">
        <is>
          <t>Sveaskog</t>
        </is>
      </c>
      <c r="G622" t="n">
        <v>21.6</v>
      </c>
      <c r="H622" t="n">
        <v>0</v>
      </c>
      <c r="I622" t="n">
        <v>0</v>
      </c>
      <c r="J622" t="n">
        <v>0</v>
      </c>
      <c r="K622" t="n">
        <v>0</v>
      </c>
      <c r="L622" t="n">
        <v>0</v>
      </c>
      <c r="M622" t="n">
        <v>0</v>
      </c>
      <c r="N622" t="n">
        <v>0</v>
      </c>
      <c r="O622" t="n">
        <v>0</v>
      </c>
      <c r="P622" t="n">
        <v>0</v>
      </c>
      <c r="Q622" t="n">
        <v>0</v>
      </c>
      <c r="R622" s="2" t="inlineStr"/>
    </row>
    <row r="623" ht="15" customHeight="1">
      <c r="A623" t="inlineStr">
        <is>
          <t>A 31578-2021</t>
        </is>
      </c>
      <c r="B623" s="1" t="n">
        <v>44369</v>
      </c>
      <c r="C623" s="1" t="n">
        <v>45349</v>
      </c>
      <c r="D623" t="inlineStr">
        <is>
          <t>VÄSTERNORRLANDS LÄN</t>
        </is>
      </c>
      <c r="E623" t="inlineStr">
        <is>
          <t>ÅNGE</t>
        </is>
      </c>
      <c r="G623" t="n">
        <v>25.8</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45349</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45349</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45349</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45349</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45349</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45349</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45349</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45349</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45349</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45349</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45349</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45349</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45349</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45349</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45349</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45349</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45349</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45349</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45349</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45349</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45349</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45349</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45349</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45349</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45349</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45349</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45349</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45349</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45349</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45349</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45349</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45349</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45349</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45349</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45349</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45349</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45349</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45349</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45349</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45349</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45349</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45349</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45349</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45349</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45349</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45349</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45349</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45349</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45349</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45349</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45349</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45349</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45349</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45349</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45349</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45349</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45349</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45349</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45349</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45349</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45349</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45349</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45349</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45349</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45349</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45349</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45349</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45349</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45349</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45349</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45349</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45349</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45349</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45349</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45349</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45349</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45349</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45349</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45349</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45349</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45349</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45349</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45349</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45349</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45349</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45349</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45349</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45349</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45349</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45349</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45349</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45349</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45349</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45349</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45349</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45349</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45349</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45349</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45349</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45349</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45349</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45349</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45349</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45349</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45349</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45349</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45349</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45349</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45349</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45349</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45349</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45349</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45349</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45349</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45349</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45349</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45349</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45349</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45349</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45349</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45349</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45349</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45349</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45349</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45349</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45349</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45349</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45349</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45349</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45349</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45349</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45349</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45349</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45349</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45349</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45349</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45349</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45349</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45349</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45349</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45349</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45349</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45349</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45349</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45349</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45349</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45349</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45349</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45349</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45349</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45349</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45349</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45349</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45349</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45349</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45349</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45349</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45349</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45349</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45349</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45349</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45349</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45349</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45349</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45349</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45349</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45349</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45349</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45349</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45349</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45349</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45349</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45349</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45349</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45349</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45349</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45349</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45349</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45349</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45349</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45349</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45349</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45349</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45349</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45349</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45349</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45349</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45349</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45349</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45349</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45349</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45349</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45349</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45349</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45349</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45349</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45349</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45349</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45349</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45349</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45349</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45349</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45349</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45349</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45349</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45349</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45349</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45349</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45349</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45349</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45349</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45349</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45349</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45349</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45349</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45349</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45349</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45349</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45349</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45349</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45349</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45349</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45349</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45349</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45349</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45349</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45349</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45349</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45349</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45349</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45349</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45349</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45349</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45349</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45349</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45349</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45349</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45349</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45349</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45349</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45349</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45349</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45349</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45349</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45349</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45349</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45349</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45349</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45349</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45349</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45349</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45349</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45349</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45349</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45349</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45349</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45349</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45349</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45349</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45349</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45349</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45349</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45349</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45349</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45349</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45349</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45349</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45349</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45349</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45349</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45349</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45349</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45349</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45349</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45349</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45349</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45349</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45349</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45349</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45349</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45349</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45349</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45349</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45349</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45349</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45349</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45349</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45349</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45349</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45349</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45349</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45349</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45349</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45349</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45349</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45349</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45349</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45349</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45349</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45349</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45349</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45349</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45349</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45349</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45349</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45349</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45349</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45349</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45349</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45349</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45349</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45349</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45349</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45349</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45349</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45349</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45349</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45349</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45349</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45349</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45349</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45349</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45349</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45349</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45349</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45349</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45349</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45349</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45349</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45349</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45349</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45349</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45349</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45349</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45349</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45349</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45349</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45349</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45349</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45349</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45349</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45349</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45349</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45349</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45349</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45349</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45349</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45349</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45349</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45349</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45349</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45349</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45349</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45349</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45349</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45349</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45349</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45349</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45349</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45349</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45349</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45349</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45349</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45349</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45349</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45349</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45349</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45349</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45349</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45349</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45349</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45349</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45349</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45349</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45349</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45349</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45349</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45349</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45349</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45349</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45349</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45349</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45349</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45349</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45349</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45349</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45349</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45349</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45349</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45349</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45349</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45349</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45349</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45349</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45349</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45349</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45349</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45349</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45349</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45349</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45349</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45349</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45349</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45349</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45349</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45349</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45349</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45349</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45349</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45349</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45349</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45349</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45349</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45349</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45349</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45349</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45349</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45349</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45349</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45349</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45349</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45349</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45349</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45349</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45349</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45349</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45349</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45349</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45349</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45349</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45349</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45349</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45349</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45349</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45349</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45349</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45349</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45349</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45349</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45349</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45349</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45349</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45349</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45349</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45349</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45349</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45349</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45349</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45349</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45349</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45349</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45349</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45349</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45349</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45349</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45349</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45349</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45349</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45349</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45349</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45349</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45349</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45349</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45349</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45349</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45349</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45349</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45349</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45349</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45349</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45349</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45349</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45349</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45349</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45349</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45349</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45349</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45349</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45349</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45349</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45349</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45349</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45349</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45349</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45349</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45349</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45349</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45349</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45349</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45349</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45349</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45349</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45349</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45349</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45349</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45349</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45349</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45349</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45349</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45349</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45349</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45349</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45349</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45349</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45349</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45349</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45349</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45349</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45349</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45349</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45349</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45349</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45349</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45349</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45349</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45349</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45349</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45349</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45349</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45349</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45349</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45349</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45349</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45349</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45349</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45349</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45349</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45349</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45349</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45349</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45349</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45349</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45349</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45349</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45349</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45349</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45349</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45349</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45349</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45349</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45349</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45349</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45349</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45349</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45349</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45349</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45349</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45349</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45349</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45349</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45349</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45349</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45349</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45349</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45349</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45349</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45349</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45349</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45349</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45349</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45349</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45349</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45349</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45349</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45349</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45349</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45349</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45349</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45349</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45349</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45349</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45349</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45349</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45349</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45349</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45349</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45349</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45349</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45349</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45349</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45349</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45349</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45349</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45349</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45349</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45349</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45349</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45349</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45349</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45349</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45349</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45349</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45349</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45349</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45349</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45349</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45349</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45349</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45349</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45349</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45349</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45349</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45349</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45349</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45349</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45349</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45349</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45349</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45349</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45349</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45349</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45349</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45349</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45349</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45349</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45349</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45349</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45349</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45349</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45349</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45349</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45349</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45349</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45349</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45349</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45349</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45349</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45349</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45349</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45349</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45349</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45349</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45349</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45349</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45349</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45349</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45349</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45349</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45349</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45349</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45349</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45349</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45349</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45349</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45349</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45349</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45349</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45349</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45349</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45349</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45349</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45349</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45349</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45349</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45349</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45349</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45349</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45349</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45349</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45349</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45349</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45349</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45349</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45349</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45349</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45349</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45349</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45349</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45349</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45349</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45349</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45349</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45349</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45349</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45349</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45349</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45349</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45349</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45349</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45349</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45349</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45349</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45349</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45349</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45349</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45349</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45349</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45349</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45349</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45349</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45349</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45349</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45349</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45349</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45349</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45349</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45349</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45349</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45349</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45349</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45349</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45349</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45349</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45349</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45349</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45349</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45349</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45349</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45349</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45349</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45349</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45349</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45349</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45349</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45349</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45349</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45349</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45349</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45349</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45349</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45349</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45349</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45349</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45349</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45349</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45349</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45349</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45349</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45349</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45349</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45349</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45349</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45349</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45349</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45349</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45349</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45349</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45349</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45349</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45349</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45349</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45349</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45349</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45349</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45349</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45349</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45349</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45349</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45349</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45349</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45349</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45349</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45349</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45349</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45349</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45349</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45349</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45349</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45349</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45349</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45349</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45349</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45349</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45349</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45349</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45349</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45349</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45349</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45349</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45349</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45349</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45349</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45349</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45349</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45349</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45349</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45349</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45349</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45349</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45349</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45349</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45349</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45349</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45349</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45349</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45349</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45349</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45349</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45349</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45349</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45349</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45349</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45349</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45349</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45349</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45349</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45349</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45349</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45349</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45349</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45349</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45349</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45349</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45349</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45349</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45349</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45349</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45349</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45349</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45349</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45349</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45349</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45349</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45349</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45349</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45349</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45349</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45349</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45349</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45349</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45349</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45349</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45349</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45349</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45349</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45349</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45349</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45349</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45349</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45349</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45349</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45349</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45349</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45349</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45349</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45349</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45349</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45349</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45349</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45349</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45349</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45349</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45349</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45349</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45349</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45349</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45349</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45349</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45349</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45349</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45349</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45349</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45349</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45349</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45349</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45349</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45349</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45349</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45349</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45349</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45349</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45349</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45349</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45349</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45349</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45349</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45349</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45349</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45349</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45349</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45349</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45349</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45349</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45349</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45349</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45349</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45349</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45349</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45349</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45349</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45349</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45349</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45349</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45349</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45349</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45349</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45349</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45349</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45349</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45349</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45349</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45349</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45349</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45349</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45349</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45349</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45349</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45349</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45349</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45349</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45349</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45349</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45349</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45349</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45349</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45349</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45349</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45349</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45349</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45349</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45349</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45349</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45349</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45349</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45349</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45349</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45349</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45349</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45349</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45349</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45349</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45349</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45349</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45349</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45349</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45349</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45349</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45349</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45349</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45349</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45349</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45349</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45349</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45349</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45349</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45349</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45349</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45349</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45349</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45349</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45349</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45349</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45349</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45349</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45349</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45349</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45349</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45349</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45349</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45349</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45349</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45349</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45349</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45349</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45349</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45349</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45349</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45349</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45349</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45349</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45349</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45349</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45349</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45349</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45349</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45349</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45349</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45349</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45349</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45349</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45349</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45349</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45349</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45349</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45349</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45349</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45349</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45349</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45349</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45349</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45349</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45349</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45349</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45349</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45349</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45349</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45349</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45349</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45349</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45349</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45349</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45349</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45349</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45349</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45349</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45349</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45349</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45349</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45349</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45349</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45349</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45349</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45349</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45349</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45349</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45349</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45349</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45349</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45349</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45349</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45349</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45349</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45349</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45349</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45349</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45349</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45349</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45349</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45349</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45349</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45349</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45349</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45349</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45349</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45349</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45349</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45349</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45349</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45349</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45349</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45349</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45349</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45349</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45349</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45349</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45349</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45349</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45349</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45349</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45349</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45349</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45349</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45349</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45349</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45349</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45349</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4165-2024</t>
        </is>
      </c>
      <c r="B1670" s="1" t="n">
        <v>45323</v>
      </c>
      <c r="C1670" s="1" t="n">
        <v>45349</v>
      </c>
      <c r="D1670" t="inlineStr">
        <is>
          <t>VÄSTERNORRLANDS LÄN</t>
        </is>
      </c>
      <c r="E1670" t="inlineStr">
        <is>
          <t>ÅNGE</t>
        </is>
      </c>
      <c r="G1670" t="n">
        <v>15.3</v>
      </c>
      <c r="H1670" t="n">
        <v>0</v>
      </c>
      <c r="I1670" t="n">
        <v>0</v>
      </c>
      <c r="J1670" t="n">
        <v>0</v>
      </c>
      <c r="K1670" t="n">
        <v>0</v>
      </c>
      <c r="L1670" t="n">
        <v>0</v>
      </c>
      <c r="M1670" t="n">
        <v>0</v>
      </c>
      <c r="N1670" t="n">
        <v>0</v>
      </c>
      <c r="O1670" t="n">
        <v>0</v>
      </c>
      <c r="P1670" t="n">
        <v>0</v>
      </c>
      <c r="Q1670" t="n">
        <v>0</v>
      </c>
      <c r="R1670" s="2" t="inlineStr"/>
    </row>
    <row r="1671" ht="15" customHeight="1">
      <c r="A1671" t="inlineStr">
        <is>
          <t>A 4169-2024</t>
        </is>
      </c>
      <c r="B1671" s="1" t="n">
        <v>45323</v>
      </c>
      <c r="C1671" s="1" t="n">
        <v>45349</v>
      </c>
      <c r="D1671" t="inlineStr">
        <is>
          <t>VÄSTERNORRLANDS LÄN</t>
        </is>
      </c>
      <c r="E1671" t="inlineStr">
        <is>
          <t>ÅNGE</t>
        </is>
      </c>
      <c r="F1671" t="inlineStr">
        <is>
          <t>SCA</t>
        </is>
      </c>
      <c r="G1671" t="n">
        <v>23.2</v>
      </c>
      <c r="H1671" t="n">
        <v>0</v>
      </c>
      <c r="I1671" t="n">
        <v>0</v>
      </c>
      <c r="J1671" t="n">
        <v>0</v>
      </c>
      <c r="K1671" t="n">
        <v>0</v>
      </c>
      <c r="L1671" t="n">
        <v>0</v>
      </c>
      <c r="M1671" t="n">
        <v>0</v>
      </c>
      <c r="N1671" t="n">
        <v>0</v>
      </c>
      <c r="O1671" t="n">
        <v>0</v>
      </c>
      <c r="P1671" t="n">
        <v>0</v>
      </c>
      <c r="Q1671" t="n">
        <v>0</v>
      </c>
      <c r="R1671" s="2" t="inlineStr"/>
    </row>
    <row r="1672" ht="15" customHeight="1">
      <c r="A1672" t="inlineStr">
        <is>
          <t>A 4173-2024</t>
        </is>
      </c>
      <c r="B1672" s="1" t="n">
        <v>45323</v>
      </c>
      <c r="C1672" s="1" t="n">
        <v>45349</v>
      </c>
      <c r="D1672" t="inlineStr">
        <is>
          <t>VÄSTERNORRLANDS LÄN</t>
        </is>
      </c>
      <c r="E1672" t="inlineStr">
        <is>
          <t>ÅNGE</t>
        </is>
      </c>
      <c r="F1672" t="inlineStr">
        <is>
          <t>SCA</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4140-2024</t>
        </is>
      </c>
      <c r="B1673" s="1" t="n">
        <v>45323</v>
      </c>
      <c r="C1673" s="1" t="n">
        <v>45349</v>
      </c>
      <c r="D1673" t="inlineStr">
        <is>
          <t>VÄSTERNORRLANDS LÄN</t>
        </is>
      </c>
      <c r="E1673" t="inlineStr">
        <is>
          <t>ÅNGE</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4172-2024</t>
        </is>
      </c>
      <c r="B1674" s="1" t="n">
        <v>45323</v>
      </c>
      <c r="C1674" s="1" t="n">
        <v>45349</v>
      </c>
      <c r="D1674" t="inlineStr">
        <is>
          <t>VÄSTERNORRLANDS LÄN</t>
        </is>
      </c>
      <c r="E1674" t="inlineStr">
        <is>
          <t>ÅNGE</t>
        </is>
      </c>
      <c r="F1674" t="inlineStr">
        <is>
          <t>SCA</t>
        </is>
      </c>
      <c r="G1674" t="n">
        <v>29.8</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45349</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45349</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45349</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45349</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45349</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4904-2024</t>
        </is>
      </c>
      <c r="B1680" s="1" t="n">
        <v>45329</v>
      </c>
      <c r="C1680" s="1" t="n">
        <v>45349</v>
      </c>
      <c r="D1680" t="inlineStr">
        <is>
          <t>VÄSTERNORRLANDS LÄN</t>
        </is>
      </c>
      <c r="E1680" t="inlineStr">
        <is>
          <t>ÅNGE</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4898-2024</t>
        </is>
      </c>
      <c r="B1681" s="1" t="n">
        <v>45329</v>
      </c>
      <c r="C1681" s="1" t="n">
        <v>45349</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45349</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5456-2024</t>
        </is>
      </c>
      <c r="B1683" s="1" t="n">
        <v>45331</v>
      </c>
      <c r="C1683" s="1" t="n">
        <v>45349</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5433-2024</t>
        </is>
      </c>
      <c r="B1684" s="1" t="n">
        <v>45331</v>
      </c>
      <c r="C1684" s="1" t="n">
        <v>45349</v>
      </c>
      <c r="D1684" t="inlineStr">
        <is>
          <t>VÄSTERNORRLANDS LÄN</t>
        </is>
      </c>
      <c r="E1684" t="inlineStr">
        <is>
          <t>ÅNGE</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45349</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45349</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45349</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45349</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45349</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45349</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6680-2024</t>
        </is>
      </c>
      <c r="B1691" s="1" t="n">
        <v>45341</v>
      </c>
      <c r="C1691" s="1" t="n">
        <v>45349</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6684-2024</t>
        </is>
      </c>
      <c r="B1692" s="1" t="n">
        <v>45341</v>
      </c>
      <c r="C1692" s="1" t="n">
        <v>45349</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6691-2024</t>
        </is>
      </c>
      <c r="B1693" s="1" t="n">
        <v>45341</v>
      </c>
      <c r="C1693" s="1" t="n">
        <v>45349</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45349</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45349</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45349</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45349</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45349</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45349</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45349</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45349</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45349</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45349</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c r="A1704" t="inlineStr">
        <is>
          <t>A 7300-2024</t>
        </is>
      </c>
      <c r="B1704" s="1" t="n">
        <v>45344</v>
      </c>
      <c r="C1704" s="1" t="n">
        <v>45349</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2024-02-27T13:11:41Z</dcterms:created>
  <dcterms:modified xmlns:dcterms="http://purl.org/dc/terms/" xmlns:xsi="http://www.w3.org/2001/XMLSchema-instance" xsi:type="dcterms:W3CDTF">2024-02-27T13:11:42Z</dcterms:modified>
</cp:coreProperties>
</file>