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45713</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45713</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45713</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45713</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45713</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45713</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45713</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45713</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45713</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45713</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45713</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45713</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45713</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45713</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45713</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45713</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45713</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45713</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45713</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45713</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45713</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45713</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45713</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45713</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45713</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45713</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45713</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45713</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45713</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45713</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45713</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45713</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45713</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45713</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45713</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45713</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45713</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45713</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45713</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45713</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45713</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45713</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45713</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45713</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45713</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45713</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45713</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45713</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45713</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45713</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45713</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45713</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45713</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45713</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45713</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45713</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45713</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45713</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45713</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45713</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45713</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45713</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45713</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45713</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45713</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45713</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45713</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45713</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45713</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45713</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45713</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45713</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45713</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45713</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45713</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45713</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45713</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45713</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45713</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45713</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45713</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45713</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45713</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45713</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45713</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45713</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45713</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45713</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45713</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45713</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45713</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45713</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45713</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45713</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45713</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45713</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45713</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45713</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45713</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45713</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45713</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45713</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45713</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45713</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45713</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45713</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45713</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45713</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45713</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45713</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45713</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45713</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45713</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45713</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45713</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45713</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45713</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45713</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45713</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45713</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8324-2025</t>
        </is>
      </c>
      <c r="B222" s="1" t="n">
        <v>45708</v>
      </c>
      <c r="C222" s="1" t="n">
        <v>45713</v>
      </c>
      <c r="D222" t="inlineStr">
        <is>
          <t>VÄSTERNORRLANDS LÄN</t>
        </is>
      </c>
      <c r="E222" t="inlineStr">
        <is>
          <t>ÅNGE</t>
        </is>
      </c>
      <c r="F222" t="inlineStr">
        <is>
          <t>SCA</t>
        </is>
      </c>
      <c r="G222" t="n">
        <v>7.8</v>
      </c>
      <c r="H222" t="n">
        <v>0</v>
      </c>
      <c r="I222" t="n">
        <v>1</v>
      </c>
      <c r="J222" t="n">
        <v>1</v>
      </c>
      <c r="K222" t="n">
        <v>0</v>
      </c>
      <c r="L222" t="n">
        <v>0</v>
      </c>
      <c r="M222" t="n">
        <v>0</v>
      </c>
      <c r="N222" t="n">
        <v>0</v>
      </c>
      <c r="O222" t="n">
        <v>1</v>
      </c>
      <c r="P222" t="n">
        <v>0</v>
      </c>
      <c r="Q222" t="n">
        <v>2</v>
      </c>
      <c r="R222" s="2" t="inlineStr">
        <is>
          <t>Vitgrynig nållav
Bollvitmossa</t>
        </is>
      </c>
      <c r="S222">
        <f>HYPERLINK("https://klasma.github.io/Logging_2260/artfynd/A 8324-2025 artfynd.xlsx", "A 8324-2025")</f>
        <v/>
      </c>
      <c r="T222">
        <f>HYPERLINK("https://klasma.github.io/Logging_2260/kartor/A 8324-2025 karta.png", "A 8324-2025")</f>
        <v/>
      </c>
      <c r="V222">
        <f>HYPERLINK("https://klasma.github.io/Logging_2260/klagomål/A 8324-2025 FSC-klagomål.docx", "A 8324-2025")</f>
        <v/>
      </c>
      <c r="W222">
        <f>HYPERLINK("https://klasma.github.io/Logging_2260/klagomålsmail/A 8324-2025 FSC-klagomål mail.docx", "A 8324-2025")</f>
        <v/>
      </c>
      <c r="X222">
        <f>HYPERLINK("https://klasma.github.io/Logging_2260/tillsyn/A 8324-2025 tillsynsbegäran.docx", "A 8324-2025")</f>
        <v/>
      </c>
      <c r="Y222">
        <f>HYPERLINK("https://klasma.github.io/Logging_2260/tillsynsmail/A 8324-2025 tillsynsbegäran mail.docx", "A 8324-2025")</f>
        <v/>
      </c>
    </row>
    <row r="223" ht="15" customHeight="1">
      <c r="A223" t="inlineStr">
        <is>
          <t>A 6564-2020</t>
        </is>
      </c>
      <c r="B223" s="1" t="n">
        <v>43867</v>
      </c>
      <c r="C223" s="1" t="n">
        <v>45713</v>
      </c>
      <c r="D223" t="inlineStr">
        <is>
          <t>VÄSTERNORRLANDS LÄN</t>
        </is>
      </c>
      <c r="E223" t="inlineStr">
        <is>
          <t>ÅNGE</t>
        </is>
      </c>
      <c r="G223" t="n">
        <v>4.2</v>
      </c>
      <c r="H223" t="n">
        <v>1</v>
      </c>
      <c r="I223" t="n">
        <v>0</v>
      </c>
      <c r="J223" t="n">
        <v>0</v>
      </c>
      <c r="K223" t="n">
        <v>0</v>
      </c>
      <c r="L223" t="n">
        <v>0</v>
      </c>
      <c r="M223" t="n">
        <v>0</v>
      </c>
      <c r="N223" t="n">
        <v>0</v>
      </c>
      <c r="O223" t="n">
        <v>0</v>
      </c>
      <c r="P223" t="n">
        <v>0</v>
      </c>
      <c r="Q223" t="n">
        <v>1</v>
      </c>
      <c r="R223" s="2" t="inlineStr">
        <is>
          <t>Huggorm</t>
        </is>
      </c>
      <c r="S223">
        <f>HYPERLINK("https://klasma.github.io/Logging_2260/artfynd/A 6564-2020 artfynd.xlsx", "A 6564-2020")</f>
        <v/>
      </c>
      <c r="T223">
        <f>HYPERLINK("https://klasma.github.io/Logging_2260/kartor/A 6564-2020 karta.png", "A 6564-2020")</f>
        <v/>
      </c>
      <c r="V223">
        <f>HYPERLINK("https://klasma.github.io/Logging_2260/klagomål/A 6564-2020 FSC-klagomål.docx", "A 6564-2020")</f>
        <v/>
      </c>
      <c r="W223">
        <f>HYPERLINK("https://klasma.github.io/Logging_2260/klagomålsmail/A 6564-2020 FSC-klagomål mail.docx", "A 6564-2020")</f>
        <v/>
      </c>
      <c r="X223">
        <f>HYPERLINK("https://klasma.github.io/Logging_2260/tillsyn/A 6564-2020 tillsynsbegäran.docx", "A 6564-2020")</f>
        <v/>
      </c>
      <c r="Y223">
        <f>HYPERLINK("https://klasma.github.io/Logging_2260/tillsynsmail/A 6564-2020 tillsynsbegäran mail.docx", "A 6564-2020")</f>
        <v/>
      </c>
    </row>
    <row r="224" ht="15" customHeight="1">
      <c r="A224" t="inlineStr">
        <is>
          <t>A 19275-2020</t>
        </is>
      </c>
      <c r="B224" s="1" t="n">
        <v>43937</v>
      </c>
      <c r="C224" s="1" t="n">
        <v>45713</v>
      </c>
      <c r="D224" t="inlineStr">
        <is>
          <t>VÄSTERNORRLANDS LÄN</t>
        </is>
      </c>
      <c r="E224" t="inlineStr">
        <is>
          <t>ÅNGE</t>
        </is>
      </c>
      <c r="G224" t="n">
        <v>1.8</v>
      </c>
      <c r="H224" t="n">
        <v>1</v>
      </c>
      <c r="I224" t="n">
        <v>0</v>
      </c>
      <c r="J224" t="n">
        <v>0</v>
      </c>
      <c r="K224" t="n">
        <v>0</v>
      </c>
      <c r="L224" t="n">
        <v>0</v>
      </c>
      <c r="M224" t="n">
        <v>0</v>
      </c>
      <c r="N224" t="n">
        <v>0</v>
      </c>
      <c r="O224" t="n">
        <v>0</v>
      </c>
      <c r="P224" t="n">
        <v>0</v>
      </c>
      <c r="Q224" t="n">
        <v>1</v>
      </c>
      <c r="R224" s="2" t="inlineStr">
        <is>
          <t>Käppkrokmossa</t>
        </is>
      </c>
      <c r="S224">
        <f>HYPERLINK("https://klasma.github.io/Logging_2260/artfynd/A 19275-2020 artfynd.xlsx", "A 19275-2020")</f>
        <v/>
      </c>
      <c r="T224">
        <f>HYPERLINK("https://klasma.github.io/Logging_2260/kartor/A 19275-2020 karta.png", "A 19275-2020")</f>
        <v/>
      </c>
      <c r="V224">
        <f>HYPERLINK("https://klasma.github.io/Logging_2260/klagomål/A 19275-2020 FSC-klagomål.docx", "A 19275-2020")</f>
        <v/>
      </c>
      <c r="W224">
        <f>HYPERLINK("https://klasma.github.io/Logging_2260/klagomålsmail/A 19275-2020 FSC-klagomål mail.docx", "A 19275-2020")</f>
        <v/>
      </c>
      <c r="X224">
        <f>HYPERLINK("https://klasma.github.io/Logging_2260/tillsyn/A 19275-2020 tillsynsbegäran.docx", "A 19275-2020")</f>
        <v/>
      </c>
      <c r="Y224">
        <f>HYPERLINK("https://klasma.github.io/Logging_2260/tillsynsmail/A 19275-2020 tillsynsbegäran mail.docx", "A 19275-2020")</f>
        <v/>
      </c>
    </row>
    <row r="225" ht="15" customHeight="1">
      <c r="A225" t="inlineStr">
        <is>
          <t>A 22692-2020</t>
        </is>
      </c>
      <c r="B225" s="1" t="n">
        <v>43963</v>
      </c>
      <c r="C225" s="1" t="n">
        <v>45713</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22692-2020 artfynd.xlsx", "A 22692-2020")</f>
        <v/>
      </c>
      <c r="T225">
        <f>HYPERLINK("https://klasma.github.io/Logging_2260/kartor/A 22692-2020 karta.png", "A 22692-2020")</f>
        <v/>
      </c>
      <c r="V225">
        <f>HYPERLINK("https://klasma.github.io/Logging_2260/klagomål/A 22692-2020 FSC-klagomål.docx", "A 22692-2020")</f>
        <v/>
      </c>
      <c r="W225">
        <f>HYPERLINK("https://klasma.github.io/Logging_2260/klagomålsmail/A 22692-2020 FSC-klagomål mail.docx", "A 22692-2020")</f>
        <v/>
      </c>
      <c r="X225">
        <f>HYPERLINK("https://klasma.github.io/Logging_2260/tillsyn/A 22692-2020 tillsynsbegäran.docx", "A 22692-2020")</f>
        <v/>
      </c>
      <c r="Y225">
        <f>HYPERLINK("https://klasma.github.io/Logging_2260/tillsynsmail/A 22692-2020 tillsynsbegäran mail.docx", "A 22692-2020")</f>
        <v/>
      </c>
    </row>
    <row r="226" ht="15" customHeight="1">
      <c r="A226" t="inlineStr">
        <is>
          <t>A 32755-2020</t>
        </is>
      </c>
      <c r="B226" s="1" t="n">
        <v>44019</v>
      </c>
      <c r="C226" s="1" t="n">
        <v>45713</v>
      </c>
      <c r="D226" t="inlineStr">
        <is>
          <t>VÄSTERNORRLANDS LÄN</t>
        </is>
      </c>
      <c r="E226" t="inlineStr">
        <is>
          <t>ÅNGE</t>
        </is>
      </c>
      <c r="F226" t="inlineStr">
        <is>
          <t>SCA</t>
        </is>
      </c>
      <c r="G226" t="n">
        <v>6.1</v>
      </c>
      <c r="H226" t="n">
        <v>0</v>
      </c>
      <c r="I226" t="n">
        <v>0</v>
      </c>
      <c r="J226" t="n">
        <v>1</v>
      </c>
      <c r="K226" t="n">
        <v>0</v>
      </c>
      <c r="L226" t="n">
        <v>0</v>
      </c>
      <c r="M226" t="n">
        <v>0</v>
      </c>
      <c r="N226" t="n">
        <v>0</v>
      </c>
      <c r="O226" t="n">
        <v>1</v>
      </c>
      <c r="P226" t="n">
        <v>0</v>
      </c>
      <c r="Q226" t="n">
        <v>1</v>
      </c>
      <c r="R226" s="2" t="inlineStr">
        <is>
          <t>Ullticka</t>
        </is>
      </c>
      <c r="S226">
        <f>HYPERLINK("https://klasma.github.io/Logging_2260/artfynd/A 32755-2020 artfynd.xlsx", "A 32755-2020")</f>
        <v/>
      </c>
      <c r="T226">
        <f>HYPERLINK("https://klasma.github.io/Logging_2260/kartor/A 32755-2020 karta.png", "A 32755-2020")</f>
        <v/>
      </c>
      <c r="V226">
        <f>HYPERLINK("https://klasma.github.io/Logging_2260/klagomål/A 32755-2020 FSC-klagomål.docx", "A 32755-2020")</f>
        <v/>
      </c>
      <c r="W226">
        <f>HYPERLINK("https://klasma.github.io/Logging_2260/klagomålsmail/A 32755-2020 FSC-klagomål mail.docx", "A 32755-2020")</f>
        <v/>
      </c>
      <c r="X226">
        <f>HYPERLINK("https://klasma.github.io/Logging_2260/tillsyn/A 32755-2020 tillsynsbegäran.docx", "A 32755-2020")</f>
        <v/>
      </c>
      <c r="Y226">
        <f>HYPERLINK("https://klasma.github.io/Logging_2260/tillsynsmail/A 32755-2020 tillsynsbegäran mail.docx", "A 32755-2020")</f>
        <v/>
      </c>
    </row>
    <row r="227" ht="15" customHeight="1">
      <c r="A227" t="inlineStr">
        <is>
          <t>A 40416-2020</t>
        </is>
      </c>
      <c r="B227" s="1" t="n">
        <v>44068</v>
      </c>
      <c r="C227" s="1" t="n">
        <v>45713</v>
      </c>
      <c r="D227" t="inlineStr">
        <is>
          <t>VÄSTERNORRLANDS LÄN</t>
        </is>
      </c>
      <c r="E227" t="inlineStr">
        <is>
          <t>ÅNGE</t>
        </is>
      </c>
      <c r="F227" t="inlineStr">
        <is>
          <t>SCA</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HYPERLINK("https://klasma.github.io/Logging_2260/artfynd/A 40416-2020 artfynd.xlsx", "A 40416-2020")</f>
        <v/>
      </c>
      <c r="T227">
        <f>HYPERLINK("https://klasma.github.io/Logging_2260/kartor/A 40416-2020 karta.png", "A 40416-2020")</f>
        <v/>
      </c>
      <c r="U227">
        <f>HYPERLINK("https://klasma.github.io/Logging_2260/knärot/A 40416-2020 karta knärot.png", "A 40416-2020")</f>
        <v/>
      </c>
      <c r="V227">
        <f>HYPERLINK("https://klasma.github.io/Logging_2260/klagomål/A 40416-2020 FSC-klagomål.docx", "A 40416-2020")</f>
        <v/>
      </c>
      <c r="W227">
        <f>HYPERLINK("https://klasma.github.io/Logging_2260/klagomålsmail/A 40416-2020 FSC-klagomål mail.docx", "A 40416-2020")</f>
        <v/>
      </c>
      <c r="X227">
        <f>HYPERLINK("https://klasma.github.io/Logging_2260/tillsyn/A 40416-2020 tillsynsbegäran.docx", "A 40416-2020")</f>
        <v/>
      </c>
      <c r="Y227">
        <f>HYPERLINK("https://klasma.github.io/Logging_2260/tillsynsmail/A 40416-2020 tillsynsbegäran mail.docx", "A 40416-2020")</f>
        <v/>
      </c>
    </row>
    <row r="228" ht="15" customHeight="1">
      <c r="A228" t="inlineStr">
        <is>
          <t>A 63983-2020</t>
        </is>
      </c>
      <c r="B228" s="1" t="n">
        <v>44167</v>
      </c>
      <c r="C228" s="1" t="n">
        <v>45713</v>
      </c>
      <c r="D228" t="inlineStr">
        <is>
          <t>VÄSTERNORRLANDS LÄN</t>
        </is>
      </c>
      <c r="E228" t="inlineStr">
        <is>
          <t>ÅNGE</t>
        </is>
      </c>
      <c r="F228" t="inlineStr">
        <is>
          <t>Kommuner</t>
        </is>
      </c>
      <c r="G228" t="n">
        <v>27.1</v>
      </c>
      <c r="H228" t="n">
        <v>1</v>
      </c>
      <c r="I228" t="n">
        <v>0</v>
      </c>
      <c r="J228" t="n">
        <v>0</v>
      </c>
      <c r="K228" t="n">
        <v>1</v>
      </c>
      <c r="L228" t="n">
        <v>0</v>
      </c>
      <c r="M228" t="n">
        <v>0</v>
      </c>
      <c r="N228" t="n">
        <v>0</v>
      </c>
      <c r="O228" t="n">
        <v>1</v>
      </c>
      <c r="P228" t="n">
        <v>1</v>
      </c>
      <c r="Q228" t="n">
        <v>1</v>
      </c>
      <c r="R228" s="2" t="inlineStr">
        <is>
          <t>Knärot</t>
        </is>
      </c>
      <c r="S228">
        <f>HYPERLINK("https://klasma.github.io/Logging_2260/artfynd/A 63983-2020 artfynd.xlsx", "A 63983-2020")</f>
        <v/>
      </c>
      <c r="T228">
        <f>HYPERLINK("https://klasma.github.io/Logging_2260/kartor/A 63983-2020 karta.png", "A 63983-2020")</f>
        <v/>
      </c>
      <c r="U228">
        <f>HYPERLINK("https://klasma.github.io/Logging_2260/knärot/A 63983-2020 karta knärot.png", "A 63983-2020")</f>
        <v/>
      </c>
      <c r="V228">
        <f>HYPERLINK("https://klasma.github.io/Logging_2260/klagomål/A 63983-2020 FSC-klagomål.docx", "A 63983-2020")</f>
        <v/>
      </c>
      <c r="W228">
        <f>HYPERLINK("https://klasma.github.io/Logging_2260/klagomålsmail/A 63983-2020 FSC-klagomål mail.docx", "A 63983-2020")</f>
        <v/>
      </c>
      <c r="X228">
        <f>HYPERLINK("https://klasma.github.io/Logging_2260/tillsyn/A 63983-2020 tillsynsbegäran.docx", "A 63983-2020")</f>
        <v/>
      </c>
      <c r="Y228">
        <f>HYPERLINK("https://klasma.github.io/Logging_2260/tillsynsmail/A 63983-2020 tillsynsbegäran mail.docx", "A 63983-2020")</f>
        <v/>
      </c>
    </row>
    <row r="229" ht="15" customHeight="1">
      <c r="A229" t="inlineStr">
        <is>
          <t>A 5558-2021</t>
        </is>
      </c>
      <c r="B229" s="1" t="n">
        <v>44230</v>
      </c>
      <c r="C229" s="1" t="n">
        <v>45713</v>
      </c>
      <c r="D229" t="inlineStr">
        <is>
          <t>VÄSTERNORRLANDS LÄN</t>
        </is>
      </c>
      <c r="E229" t="inlineStr">
        <is>
          <t>ÅNGE</t>
        </is>
      </c>
      <c r="G229" t="n">
        <v>60.6</v>
      </c>
      <c r="H229" t="n">
        <v>0</v>
      </c>
      <c r="I229" t="n">
        <v>0</v>
      </c>
      <c r="J229" t="n">
        <v>1</v>
      </c>
      <c r="K229" t="n">
        <v>0</v>
      </c>
      <c r="L229" t="n">
        <v>0</v>
      </c>
      <c r="M229" t="n">
        <v>0</v>
      </c>
      <c r="N229" t="n">
        <v>0</v>
      </c>
      <c r="O229" t="n">
        <v>1</v>
      </c>
      <c r="P229" t="n">
        <v>0</v>
      </c>
      <c r="Q229" t="n">
        <v>1</v>
      </c>
      <c r="R229" s="2" t="inlineStr">
        <is>
          <t>Garnlav</t>
        </is>
      </c>
      <c r="S229">
        <f>HYPERLINK("https://klasma.github.io/Logging_2260/artfynd/A 5558-2021 artfynd.xlsx", "A 5558-2021")</f>
        <v/>
      </c>
      <c r="T229">
        <f>HYPERLINK("https://klasma.github.io/Logging_2260/kartor/A 5558-2021 karta.png", "A 5558-2021")</f>
        <v/>
      </c>
      <c r="V229">
        <f>HYPERLINK("https://klasma.github.io/Logging_2260/klagomål/A 5558-2021 FSC-klagomål.docx", "A 5558-2021")</f>
        <v/>
      </c>
      <c r="W229">
        <f>HYPERLINK("https://klasma.github.io/Logging_2260/klagomålsmail/A 5558-2021 FSC-klagomål mail.docx", "A 5558-2021")</f>
        <v/>
      </c>
      <c r="X229">
        <f>HYPERLINK("https://klasma.github.io/Logging_2260/tillsyn/A 5558-2021 tillsynsbegäran.docx", "A 5558-2021")</f>
        <v/>
      </c>
      <c r="Y229">
        <f>HYPERLINK("https://klasma.github.io/Logging_2260/tillsynsmail/A 5558-2021 tillsynsbegäran mail.docx", "A 5558-2021")</f>
        <v/>
      </c>
    </row>
    <row r="230" ht="15" customHeight="1">
      <c r="A230" t="inlineStr">
        <is>
          <t>A 27288-2021</t>
        </is>
      </c>
      <c r="B230" s="1" t="n">
        <v>44351</v>
      </c>
      <c r="C230" s="1" t="n">
        <v>45713</v>
      </c>
      <c r="D230" t="inlineStr">
        <is>
          <t>VÄSTERNORRLANDS LÄN</t>
        </is>
      </c>
      <c r="E230" t="inlineStr">
        <is>
          <t>ÅNGE</t>
        </is>
      </c>
      <c r="F230" t="inlineStr">
        <is>
          <t>Sveaskog</t>
        </is>
      </c>
      <c r="G230" t="n">
        <v>3.3</v>
      </c>
      <c r="H230" t="n">
        <v>1</v>
      </c>
      <c r="I230" t="n">
        <v>0</v>
      </c>
      <c r="J230" t="n">
        <v>1</v>
      </c>
      <c r="K230" t="n">
        <v>0</v>
      </c>
      <c r="L230" t="n">
        <v>0</v>
      </c>
      <c r="M230" t="n">
        <v>0</v>
      </c>
      <c r="N230" t="n">
        <v>0</v>
      </c>
      <c r="O230" t="n">
        <v>1</v>
      </c>
      <c r="P230" t="n">
        <v>0</v>
      </c>
      <c r="Q230" t="n">
        <v>1</v>
      </c>
      <c r="R230" s="2" t="inlineStr">
        <is>
          <t>Mindre hackspett</t>
        </is>
      </c>
      <c r="S230">
        <f>HYPERLINK("https://klasma.github.io/Logging_2260/artfynd/A 27288-2021 artfynd.xlsx", "A 27288-2021")</f>
        <v/>
      </c>
      <c r="T230">
        <f>HYPERLINK("https://klasma.github.io/Logging_2260/kartor/A 27288-2021 karta.png", "A 27288-2021")</f>
        <v/>
      </c>
      <c r="V230">
        <f>HYPERLINK("https://klasma.github.io/Logging_2260/klagomål/A 27288-2021 FSC-klagomål.docx", "A 27288-2021")</f>
        <v/>
      </c>
      <c r="W230">
        <f>HYPERLINK("https://klasma.github.io/Logging_2260/klagomålsmail/A 27288-2021 FSC-klagomål mail.docx", "A 27288-2021")</f>
        <v/>
      </c>
      <c r="X230">
        <f>HYPERLINK("https://klasma.github.io/Logging_2260/tillsyn/A 27288-2021 tillsynsbegäran.docx", "A 27288-2021")</f>
        <v/>
      </c>
      <c r="Y230">
        <f>HYPERLINK("https://klasma.github.io/Logging_2260/tillsynsmail/A 27288-2021 tillsynsbegäran mail.docx", "A 27288-2021")</f>
        <v/>
      </c>
      <c r="Z230">
        <f>HYPERLINK("https://klasma.github.io/Logging_2260/fåglar/A 27288-2021 prioriterade fågelarter.docx", "A 27288-2021")</f>
        <v/>
      </c>
    </row>
    <row r="231" ht="15" customHeight="1">
      <c r="A231" t="inlineStr">
        <is>
          <t>A 31578-2021</t>
        </is>
      </c>
      <c r="B231" s="1" t="n">
        <v>44369</v>
      </c>
      <c r="C231" s="1" t="n">
        <v>45713</v>
      </c>
      <c r="D231" t="inlineStr">
        <is>
          <t>VÄSTERNORRLANDS LÄN</t>
        </is>
      </c>
      <c r="E231" t="inlineStr">
        <is>
          <t>ÅNGE</t>
        </is>
      </c>
      <c r="G231" t="n">
        <v>25.8</v>
      </c>
      <c r="H231" t="n">
        <v>1</v>
      </c>
      <c r="I231" t="n">
        <v>0</v>
      </c>
      <c r="J231" t="n">
        <v>0</v>
      </c>
      <c r="K231" t="n">
        <v>1</v>
      </c>
      <c r="L231" t="n">
        <v>0</v>
      </c>
      <c r="M231" t="n">
        <v>0</v>
      </c>
      <c r="N231" t="n">
        <v>0</v>
      </c>
      <c r="O231" t="n">
        <v>1</v>
      </c>
      <c r="P231" t="n">
        <v>1</v>
      </c>
      <c r="Q231" t="n">
        <v>1</v>
      </c>
      <c r="R231" s="2" t="inlineStr">
        <is>
          <t>Knärot</t>
        </is>
      </c>
      <c r="S231">
        <f>HYPERLINK("https://klasma.github.io/Logging_2260/artfynd/A 31578-2021 artfynd.xlsx", "A 31578-2021")</f>
        <v/>
      </c>
      <c r="T231">
        <f>HYPERLINK("https://klasma.github.io/Logging_2260/kartor/A 31578-2021 karta.png", "A 31578-2021")</f>
        <v/>
      </c>
      <c r="U231">
        <f>HYPERLINK("https://klasma.github.io/Logging_2260/knärot/A 31578-2021 karta knärot.png", "A 31578-2021")</f>
        <v/>
      </c>
      <c r="V231">
        <f>HYPERLINK("https://klasma.github.io/Logging_2260/klagomål/A 31578-2021 FSC-klagomål.docx", "A 31578-2021")</f>
        <v/>
      </c>
      <c r="W231">
        <f>HYPERLINK("https://klasma.github.io/Logging_2260/klagomålsmail/A 31578-2021 FSC-klagomål mail.docx", "A 31578-2021")</f>
        <v/>
      </c>
      <c r="X231">
        <f>HYPERLINK("https://klasma.github.io/Logging_2260/tillsyn/A 31578-2021 tillsynsbegäran.docx", "A 31578-2021")</f>
        <v/>
      </c>
      <c r="Y231">
        <f>HYPERLINK("https://klasma.github.io/Logging_2260/tillsynsmail/A 31578-2021 tillsynsbegäran mail.docx", "A 31578-2021")</f>
        <v/>
      </c>
    </row>
    <row r="232" ht="15" customHeight="1">
      <c r="A232" t="inlineStr">
        <is>
          <t>A 35018-2021</t>
        </is>
      </c>
      <c r="B232" s="1" t="n">
        <v>44383</v>
      </c>
      <c r="C232" s="1" t="n">
        <v>45713</v>
      </c>
      <c r="D232" t="inlineStr">
        <is>
          <t>VÄSTERNORRLANDS LÄN</t>
        </is>
      </c>
      <c r="E232" t="inlineStr">
        <is>
          <t>ÅNGE</t>
        </is>
      </c>
      <c r="F232" t="inlineStr">
        <is>
          <t>Sveaskog</t>
        </is>
      </c>
      <c r="G232" t="n">
        <v>9.5</v>
      </c>
      <c r="H232" t="n">
        <v>1</v>
      </c>
      <c r="I232" t="n">
        <v>0</v>
      </c>
      <c r="J232" t="n">
        <v>1</v>
      </c>
      <c r="K232" t="n">
        <v>0</v>
      </c>
      <c r="L232" t="n">
        <v>0</v>
      </c>
      <c r="M232" t="n">
        <v>0</v>
      </c>
      <c r="N232" t="n">
        <v>0</v>
      </c>
      <c r="O232" t="n">
        <v>1</v>
      </c>
      <c r="P232" t="n">
        <v>0</v>
      </c>
      <c r="Q232" t="n">
        <v>1</v>
      </c>
      <c r="R232" s="2" t="inlineStr">
        <is>
          <t>Utter</t>
        </is>
      </c>
      <c r="S232">
        <f>HYPERLINK("https://klasma.github.io/Logging_2260/artfynd/A 35018-2021 artfynd.xlsx", "A 35018-2021")</f>
        <v/>
      </c>
      <c r="T232">
        <f>HYPERLINK("https://klasma.github.io/Logging_2260/kartor/A 35018-2021 karta.png", "A 35018-2021")</f>
        <v/>
      </c>
      <c r="V232">
        <f>HYPERLINK("https://klasma.github.io/Logging_2260/klagomål/A 35018-2021 FSC-klagomål.docx", "A 35018-2021")</f>
        <v/>
      </c>
      <c r="W232">
        <f>HYPERLINK("https://klasma.github.io/Logging_2260/klagomålsmail/A 35018-2021 FSC-klagomål mail.docx", "A 35018-2021")</f>
        <v/>
      </c>
      <c r="X232">
        <f>HYPERLINK("https://klasma.github.io/Logging_2260/tillsyn/A 35018-2021 tillsynsbegäran.docx", "A 35018-2021")</f>
        <v/>
      </c>
      <c r="Y232">
        <f>HYPERLINK("https://klasma.github.io/Logging_2260/tillsynsmail/A 35018-2021 tillsynsbegäran mail.docx", "A 35018-2021")</f>
        <v/>
      </c>
    </row>
    <row r="233" ht="15" customHeight="1">
      <c r="A233" t="inlineStr">
        <is>
          <t>A 41493-2021</t>
        </is>
      </c>
      <c r="B233" s="1" t="n">
        <v>44424</v>
      </c>
      <c r="C233" s="1" t="n">
        <v>45713</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45355-2021</t>
        </is>
      </c>
      <c r="B234" s="1" t="n">
        <v>44439</v>
      </c>
      <c r="C234" s="1" t="n">
        <v>45713</v>
      </c>
      <c r="D234" t="inlineStr">
        <is>
          <t>VÄSTERNORRLANDS LÄN</t>
        </is>
      </c>
      <c r="E234" t="inlineStr">
        <is>
          <t>ÅNGE</t>
        </is>
      </c>
      <c r="F234" t="inlineStr">
        <is>
          <t>SCA</t>
        </is>
      </c>
      <c r="G234" t="n">
        <v>1.7</v>
      </c>
      <c r="H234" t="n">
        <v>0</v>
      </c>
      <c r="I234" t="n">
        <v>0</v>
      </c>
      <c r="J234" t="n">
        <v>1</v>
      </c>
      <c r="K234" t="n">
        <v>0</v>
      </c>
      <c r="L234" t="n">
        <v>0</v>
      </c>
      <c r="M234" t="n">
        <v>0</v>
      </c>
      <c r="N234" t="n">
        <v>0</v>
      </c>
      <c r="O234" t="n">
        <v>1</v>
      </c>
      <c r="P234" t="n">
        <v>0</v>
      </c>
      <c r="Q234" t="n">
        <v>1</v>
      </c>
      <c r="R234" s="2" t="inlineStr">
        <is>
          <t>Stiftgelélav</t>
        </is>
      </c>
      <c r="S234">
        <f>HYPERLINK("https://klasma.github.io/Logging_2260/artfynd/A 45355-2021 artfynd.xlsx", "A 45355-2021")</f>
        <v/>
      </c>
      <c r="T234">
        <f>HYPERLINK("https://klasma.github.io/Logging_2260/kartor/A 45355-2021 karta.png", "A 45355-2021")</f>
        <v/>
      </c>
      <c r="V234">
        <f>HYPERLINK("https://klasma.github.io/Logging_2260/klagomål/A 45355-2021 FSC-klagomål.docx", "A 45355-2021")</f>
        <v/>
      </c>
      <c r="W234">
        <f>HYPERLINK("https://klasma.github.io/Logging_2260/klagomålsmail/A 45355-2021 FSC-klagomål mail.docx", "A 45355-2021")</f>
        <v/>
      </c>
      <c r="X234">
        <f>HYPERLINK("https://klasma.github.io/Logging_2260/tillsyn/A 45355-2021 tillsynsbegäran.docx", "A 45355-2021")</f>
        <v/>
      </c>
      <c r="Y234">
        <f>HYPERLINK("https://klasma.github.io/Logging_2260/tillsynsmail/A 45355-2021 tillsynsbegäran mail.docx", "A 45355-2021")</f>
        <v/>
      </c>
    </row>
    <row r="235" ht="15" customHeight="1">
      <c r="A235" t="inlineStr">
        <is>
          <t>A 54751-2021</t>
        </is>
      </c>
      <c r="B235" s="1" t="n">
        <v>44473</v>
      </c>
      <c r="C235" s="1" t="n">
        <v>45713</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57562-2021</t>
        </is>
      </c>
      <c r="B236" s="1" t="n">
        <v>44483</v>
      </c>
      <c r="C236" s="1" t="n">
        <v>45713</v>
      </c>
      <c r="D236" t="inlineStr">
        <is>
          <t>VÄSTERNORRLANDS LÄN</t>
        </is>
      </c>
      <c r="E236" t="inlineStr">
        <is>
          <t>ÅNGE</t>
        </is>
      </c>
      <c r="F236" t="inlineStr">
        <is>
          <t>SCA</t>
        </is>
      </c>
      <c r="G236" t="n">
        <v>10.7</v>
      </c>
      <c r="H236" t="n">
        <v>0</v>
      </c>
      <c r="I236" t="n">
        <v>1</v>
      </c>
      <c r="J236" t="n">
        <v>0</v>
      </c>
      <c r="K236" t="n">
        <v>0</v>
      </c>
      <c r="L236" t="n">
        <v>0</v>
      </c>
      <c r="M236" t="n">
        <v>0</v>
      </c>
      <c r="N236" t="n">
        <v>0</v>
      </c>
      <c r="O236" t="n">
        <v>0</v>
      </c>
      <c r="P236" t="n">
        <v>0</v>
      </c>
      <c r="Q236" t="n">
        <v>1</v>
      </c>
      <c r="R236" s="2" t="inlineStr">
        <is>
          <t>Ögonpyrola</t>
        </is>
      </c>
      <c r="S236">
        <f>HYPERLINK("https://klasma.github.io/Logging_2260/artfynd/A 57562-2021 artfynd.xlsx", "A 57562-2021")</f>
        <v/>
      </c>
      <c r="T236">
        <f>HYPERLINK("https://klasma.github.io/Logging_2260/kartor/A 57562-2021 karta.png", "A 57562-2021")</f>
        <v/>
      </c>
      <c r="V236">
        <f>HYPERLINK("https://klasma.github.io/Logging_2260/klagomål/A 57562-2021 FSC-klagomål.docx", "A 57562-2021")</f>
        <v/>
      </c>
      <c r="W236">
        <f>HYPERLINK("https://klasma.github.io/Logging_2260/klagomålsmail/A 57562-2021 FSC-klagomål mail.docx", "A 57562-2021")</f>
        <v/>
      </c>
      <c r="X236">
        <f>HYPERLINK("https://klasma.github.io/Logging_2260/tillsyn/A 57562-2021 tillsynsbegäran.docx", "A 57562-2021")</f>
        <v/>
      </c>
      <c r="Y236">
        <f>HYPERLINK("https://klasma.github.io/Logging_2260/tillsynsmail/A 57562-2021 tillsynsbegäran mail.docx", "A 57562-2021")</f>
        <v/>
      </c>
    </row>
    <row r="237" ht="15" customHeight="1">
      <c r="A237" t="inlineStr">
        <is>
          <t>A 60767-2021</t>
        </is>
      </c>
      <c r="B237" s="1" t="n">
        <v>44496</v>
      </c>
      <c r="C237" s="1" t="n">
        <v>45713</v>
      </c>
      <c r="D237" t="inlineStr">
        <is>
          <t>VÄSTERNORRLANDS LÄN</t>
        </is>
      </c>
      <c r="E237" t="inlineStr">
        <is>
          <t>ÅNGE</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HYPERLINK("https://klasma.github.io/Logging_2260/artfynd/A 60767-2021 artfynd.xlsx", "A 60767-2021")</f>
        <v/>
      </c>
      <c r="T237">
        <f>HYPERLINK("https://klasma.github.io/Logging_2260/kartor/A 60767-2021 karta.png", "A 60767-2021")</f>
        <v/>
      </c>
      <c r="U237">
        <f>HYPERLINK("https://klasma.github.io/Logging_2260/knärot/A 60767-2021 karta knärot.png", "A 60767-2021")</f>
        <v/>
      </c>
      <c r="V237">
        <f>HYPERLINK("https://klasma.github.io/Logging_2260/klagomål/A 60767-2021 FSC-klagomål.docx", "A 60767-2021")</f>
        <v/>
      </c>
      <c r="W237">
        <f>HYPERLINK("https://klasma.github.io/Logging_2260/klagomålsmail/A 60767-2021 FSC-klagomål mail.docx", "A 60767-2021")</f>
        <v/>
      </c>
      <c r="X237">
        <f>HYPERLINK("https://klasma.github.io/Logging_2260/tillsyn/A 60767-2021 tillsynsbegäran.docx", "A 60767-2021")</f>
        <v/>
      </c>
      <c r="Y237">
        <f>HYPERLINK("https://klasma.github.io/Logging_2260/tillsynsmail/A 60767-2021 tillsynsbegäran mail.docx", "A 60767-2021")</f>
        <v/>
      </c>
    </row>
    <row r="238" ht="15" customHeight="1">
      <c r="A238" t="inlineStr">
        <is>
          <t>A 61458-2021</t>
        </is>
      </c>
      <c r="B238" s="1" t="n">
        <v>44500</v>
      </c>
      <c r="C238" s="1" t="n">
        <v>45713</v>
      </c>
      <c r="D238" t="inlineStr">
        <is>
          <t>VÄSTERNORRLANDS LÄN</t>
        </is>
      </c>
      <c r="E238" t="inlineStr">
        <is>
          <t>ÅNGE</t>
        </is>
      </c>
      <c r="F238" t="inlineStr">
        <is>
          <t>SCA</t>
        </is>
      </c>
      <c r="G238" t="n">
        <v>11.1</v>
      </c>
      <c r="H238" t="n">
        <v>1</v>
      </c>
      <c r="I238" t="n">
        <v>0</v>
      </c>
      <c r="J238" t="n">
        <v>0</v>
      </c>
      <c r="K238" t="n">
        <v>1</v>
      </c>
      <c r="L238" t="n">
        <v>0</v>
      </c>
      <c r="M238" t="n">
        <v>0</v>
      </c>
      <c r="N238" t="n">
        <v>0</v>
      </c>
      <c r="O238" t="n">
        <v>1</v>
      </c>
      <c r="P238" t="n">
        <v>1</v>
      </c>
      <c r="Q238" t="n">
        <v>1</v>
      </c>
      <c r="R238" s="2" t="inlineStr">
        <is>
          <t>Knärot</t>
        </is>
      </c>
      <c r="S238">
        <f>HYPERLINK("https://klasma.github.io/Logging_2260/artfynd/A 61458-2021 artfynd.xlsx", "A 61458-2021")</f>
        <v/>
      </c>
      <c r="T238">
        <f>HYPERLINK("https://klasma.github.io/Logging_2260/kartor/A 61458-2021 karta.png", "A 61458-2021")</f>
        <v/>
      </c>
      <c r="U238">
        <f>HYPERLINK("https://klasma.github.io/Logging_2260/knärot/A 61458-2021 karta knärot.png", "A 61458-2021")</f>
        <v/>
      </c>
      <c r="V238">
        <f>HYPERLINK("https://klasma.github.io/Logging_2260/klagomål/A 61458-2021 FSC-klagomål.docx", "A 61458-2021")</f>
        <v/>
      </c>
      <c r="W238">
        <f>HYPERLINK("https://klasma.github.io/Logging_2260/klagomålsmail/A 61458-2021 FSC-klagomål mail.docx", "A 61458-2021")</f>
        <v/>
      </c>
      <c r="X238">
        <f>HYPERLINK("https://klasma.github.io/Logging_2260/tillsyn/A 61458-2021 tillsynsbegäran.docx", "A 61458-2021")</f>
        <v/>
      </c>
      <c r="Y238">
        <f>HYPERLINK("https://klasma.github.io/Logging_2260/tillsynsmail/A 61458-2021 tillsynsbegäran mail.docx", "A 61458-2021")</f>
        <v/>
      </c>
    </row>
    <row r="239" ht="15" customHeight="1">
      <c r="A239" t="inlineStr">
        <is>
          <t>A 61479-2021</t>
        </is>
      </c>
      <c r="B239" s="1" t="n">
        <v>44500</v>
      </c>
      <c r="C239" s="1" t="n">
        <v>45713</v>
      </c>
      <c r="D239" t="inlineStr">
        <is>
          <t>VÄSTERNORRLANDS LÄN</t>
        </is>
      </c>
      <c r="E239" t="inlineStr">
        <is>
          <t>ÅNGE</t>
        </is>
      </c>
      <c r="F239" t="inlineStr">
        <is>
          <t>SCA</t>
        </is>
      </c>
      <c r="G239" t="n">
        <v>7.2</v>
      </c>
      <c r="H239" t="n">
        <v>1</v>
      </c>
      <c r="I239" t="n">
        <v>0</v>
      </c>
      <c r="J239" t="n">
        <v>0</v>
      </c>
      <c r="K239" t="n">
        <v>1</v>
      </c>
      <c r="L239" t="n">
        <v>0</v>
      </c>
      <c r="M239" t="n">
        <v>0</v>
      </c>
      <c r="N239" t="n">
        <v>0</v>
      </c>
      <c r="O239" t="n">
        <v>1</v>
      </c>
      <c r="P239" t="n">
        <v>1</v>
      </c>
      <c r="Q239" t="n">
        <v>1</v>
      </c>
      <c r="R239" s="2" t="inlineStr">
        <is>
          <t>Knärot</t>
        </is>
      </c>
      <c r="S239">
        <f>HYPERLINK("https://klasma.github.io/Logging_2260/artfynd/A 61479-2021 artfynd.xlsx", "A 61479-2021")</f>
        <v/>
      </c>
      <c r="T239">
        <f>HYPERLINK("https://klasma.github.io/Logging_2260/kartor/A 61479-2021 karta.png", "A 61479-2021")</f>
        <v/>
      </c>
      <c r="U239">
        <f>HYPERLINK("https://klasma.github.io/Logging_2260/knärot/A 61479-2021 karta knärot.png", "A 61479-2021")</f>
        <v/>
      </c>
      <c r="V239">
        <f>HYPERLINK("https://klasma.github.io/Logging_2260/klagomål/A 61479-2021 FSC-klagomål.docx", "A 61479-2021")</f>
        <v/>
      </c>
      <c r="W239">
        <f>HYPERLINK("https://klasma.github.io/Logging_2260/klagomålsmail/A 61479-2021 FSC-klagomål mail.docx", "A 61479-2021")</f>
        <v/>
      </c>
      <c r="X239">
        <f>HYPERLINK("https://klasma.github.io/Logging_2260/tillsyn/A 61479-2021 tillsynsbegäran.docx", "A 61479-2021")</f>
        <v/>
      </c>
      <c r="Y239">
        <f>HYPERLINK("https://klasma.github.io/Logging_2260/tillsynsmail/A 61479-2021 tillsynsbegäran mail.docx", "A 61479-2021")</f>
        <v/>
      </c>
    </row>
    <row r="240" ht="15" customHeight="1">
      <c r="A240" t="inlineStr">
        <is>
          <t>A 71366-2021</t>
        </is>
      </c>
      <c r="B240" s="1" t="n">
        <v>44539</v>
      </c>
      <c r="C240" s="1" t="n">
        <v>45713</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14834-2022</t>
        </is>
      </c>
      <c r="B241" s="1" t="n">
        <v>44656</v>
      </c>
      <c r="C241" s="1" t="n">
        <v>45713</v>
      </c>
      <c r="D241" t="inlineStr">
        <is>
          <t>VÄSTERNORRLANDS LÄN</t>
        </is>
      </c>
      <c r="E241" t="inlineStr">
        <is>
          <t>ÅNGE</t>
        </is>
      </c>
      <c r="G241" t="n">
        <v>3.3</v>
      </c>
      <c r="H241" t="n">
        <v>1</v>
      </c>
      <c r="I241" t="n">
        <v>0</v>
      </c>
      <c r="J241" t="n">
        <v>0</v>
      </c>
      <c r="K241" t="n">
        <v>0</v>
      </c>
      <c r="L241" t="n">
        <v>0</v>
      </c>
      <c r="M241" t="n">
        <v>0</v>
      </c>
      <c r="N241" t="n">
        <v>0</v>
      </c>
      <c r="O241" t="n">
        <v>0</v>
      </c>
      <c r="P241" t="n">
        <v>0</v>
      </c>
      <c r="Q241" t="n">
        <v>1</v>
      </c>
      <c r="R241" s="2" t="inlineStr">
        <is>
          <t>Orre</t>
        </is>
      </c>
      <c r="S241">
        <f>HYPERLINK("https://klasma.github.io/Logging_2260/artfynd/A 14834-2022 artfynd.xlsx", "A 14834-2022")</f>
        <v/>
      </c>
      <c r="T241">
        <f>HYPERLINK("https://klasma.github.io/Logging_2260/kartor/A 14834-2022 karta.png", "A 14834-2022")</f>
        <v/>
      </c>
      <c r="V241">
        <f>HYPERLINK("https://klasma.github.io/Logging_2260/klagomål/A 14834-2022 FSC-klagomål.docx", "A 14834-2022")</f>
        <v/>
      </c>
      <c r="W241">
        <f>HYPERLINK("https://klasma.github.io/Logging_2260/klagomålsmail/A 14834-2022 FSC-klagomål mail.docx", "A 14834-2022")</f>
        <v/>
      </c>
      <c r="X241">
        <f>HYPERLINK("https://klasma.github.io/Logging_2260/tillsyn/A 14834-2022 tillsynsbegäran.docx", "A 14834-2022")</f>
        <v/>
      </c>
      <c r="Y241">
        <f>HYPERLINK("https://klasma.github.io/Logging_2260/tillsynsmail/A 14834-2022 tillsynsbegäran mail.docx", "A 14834-2022")</f>
        <v/>
      </c>
      <c r="Z241">
        <f>HYPERLINK("https://klasma.github.io/Logging_2260/fåglar/A 14834-2022 prioriterade fågelarter.docx", "A 14834-2022")</f>
        <v/>
      </c>
    </row>
    <row r="242" ht="15" customHeight="1">
      <c r="A242" t="inlineStr">
        <is>
          <t>A 16053-2022</t>
        </is>
      </c>
      <c r="B242" s="1" t="n">
        <v>44665</v>
      </c>
      <c r="C242" s="1" t="n">
        <v>45713</v>
      </c>
      <c r="D242" t="inlineStr">
        <is>
          <t>VÄSTERNORRLANDS LÄN</t>
        </is>
      </c>
      <c r="E242" t="inlineStr">
        <is>
          <t>ÅNGE</t>
        </is>
      </c>
      <c r="G242" t="n">
        <v>3.8</v>
      </c>
      <c r="H242" t="n">
        <v>1</v>
      </c>
      <c r="I242" t="n">
        <v>0</v>
      </c>
      <c r="J242" t="n">
        <v>1</v>
      </c>
      <c r="K242" t="n">
        <v>0</v>
      </c>
      <c r="L242" t="n">
        <v>0</v>
      </c>
      <c r="M242" t="n">
        <v>0</v>
      </c>
      <c r="N242" t="n">
        <v>0</v>
      </c>
      <c r="O242" t="n">
        <v>1</v>
      </c>
      <c r="P242" t="n">
        <v>0</v>
      </c>
      <c r="Q242" t="n">
        <v>1</v>
      </c>
      <c r="R242" s="2" t="inlineStr">
        <is>
          <t>Järpe</t>
        </is>
      </c>
      <c r="S242">
        <f>HYPERLINK("https://klasma.github.io/Logging_2260/artfynd/A 16053-2022 artfynd.xlsx", "A 16053-2022")</f>
        <v/>
      </c>
      <c r="T242">
        <f>HYPERLINK("https://klasma.github.io/Logging_2260/kartor/A 16053-2022 karta.png", "A 16053-2022")</f>
        <v/>
      </c>
      <c r="V242">
        <f>HYPERLINK("https://klasma.github.io/Logging_2260/klagomål/A 16053-2022 FSC-klagomål.docx", "A 16053-2022")</f>
        <v/>
      </c>
      <c r="W242">
        <f>HYPERLINK("https://klasma.github.io/Logging_2260/klagomålsmail/A 16053-2022 FSC-klagomål mail.docx", "A 16053-2022")</f>
        <v/>
      </c>
      <c r="X242">
        <f>HYPERLINK("https://klasma.github.io/Logging_2260/tillsyn/A 16053-2022 tillsynsbegäran.docx", "A 16053-2022")</f>
        <v/>
      </c>
      <c r="Y242">
        <f>HYPERLINK("https://klasma.github.io/Logging_2260/tillsynsmail/A 16053-2022 tillsynsbegäran mail.docx", "A 16053-2022")</f>
        <v/>
      </c>
      <c r="Z242">
        <f>HYPERLINK("https://klasma.github.io/Logging_2260/fåglar/A 16053-2022 prioriterade fågelarter.docx", "A 16053-2022")</f>
        <v/>
      </c>
    </row>
    <row r="243" ht="15" customHeight="1">
      <c r="A243" t="inlineStr">
        <is>
          <t>A 20367-2022</t>
        </is>
      </c>
      <c r="B243" s="1" t="n">
        <v>44699</v>
      </c>
      <c r="C243" s="1" t="n">
        <v>45713</v>
      </c>
      <c r="D243" t="inlineStr">
        <is>
          <t>VÄSTERNORRLANDS LÄN</t>
        </is>
      </c>
      <c r="E243" t="inlineStr">
        <is>
          <t>ÅNGE</t>
        </is>
      </c>
      <c r="G243" t="n">
        <v>9.6</v>
      </c>
      <c r="H243" t="n">
        <v>1</v>
      </c>
      <c r="I243" t="n">
        <v>0</v>
      </c>
      <c r="J243" t="n">
        <v>0</v>
      </c>
      <c r="K243" t="n">
        <v>0</v>
      </c>
      <c r="L243" t="n">
        <v>0</v>
      </c>
      <c r="M243" t="n">
        <v>0</v>
      </c>
      <c r="N243" t="n">
        <v>0</v>
      </c>
      <c r="O243" t="n">
        <v>0</v>
      </c>
      <c r="P243" t="n">
        <v>0</v>
      </c>
      <c r="Q243" t="n">
        <v>1</v>
      </c>
      <c r="R243" s="2" t="inlineStr">
        <is>
          <t>Fläcknycklar</t>
        </is>
      </c>
      <c r="S243">
        <f>HYPERLINK("https://klasma.github.io/Logging_2260/artfynd/A 20367-2022 artfynd.xlsx", "A 20367-2022")</f>
        <v/>
      </c>
      <c r="T243">
        <f>HYPERLINK("https://klasma.github.io/Logging_2260/kartor/A 20367-2022 karta.png", "A 20367-2022")</f>
        <v/>
      </c>
      <c r="V243">
        <f>HYPERLINK("https://klasma.github.io/Logging_2260/klagomål/A 20367-2022 FSC-klagomål.docx", "A 20367-2022")</f>
        <v/>
      </c>
      <c r="W243">
        <f>HYPERLINK("https://klasma.github.io/Logging_2260/klagomålsmail/A 20367-2022 FSC-klagomål mail.docx", "A 20367-2022")</f>
        <v/>
      </c>
      <c r="X243">
        <f>HYPERLINK("https://klasma.github.io/Logging_2260/tillsyn/A 20367-2022 tillsynsbegäran.docx", "A 20367-2022")</f>
        <v/>
      </c>
      <c r="Y243">
        <f>HYPERLINK("https://klasma.github.io/Logging_2260/tillsynsmail/A 20367-2022 tillsynsbegäran mail.docx", "A 20367-2022")</f>
        <v/>
      </c>
    </row>
    <row r="244" ht="15" customHeight="1">
      <c r="A244" t="inlineStr">
        <is>
          <t>A 39933-2022</t>
        </is>
      </c>
      <c r="B244" s="1" t="n">
        <v>44819</v>
      </c>
      <c r="C244" s="1" t="n">
        <v>45713</v>
      </c>
      <c r="D244" t="inlineStr">
        <is>
          <t>VÄSTERNORRLANDS LÄN</t>
        </is>
      </c>
      <c r="E244" t="inlineStr">
        <is>
          <t>ÅNGE</t>
        </is>
      </c>
      <c r="F244" t="inlineStr">
        <is>
          <t>SCA</t>
        </is>
      </c>
      <c r="G244" t="n">
        <v>13.8</v>
      </c>
      <c r="H244" t="n">
        <v>1</v>
      </c>
      <c r="I244" t="n">
        <v>0</v>
      </c>
      <c r="J244" t="n">
        <v>0</v>
      </c>
      <c r="K244" t="n">
        <v>1</v>
      </c>
      <c r="L244" t="n">
        <v>0</v>
      </c>
      <c r="M244" t="n">
        <v>0</v>
      </c>
      <c r="N244" t="n">
        <v>0</v>
      </c>
      <c r="O244" t="n">
        <v>1</v>
      </c>
      <c r="P244" t="n">
        <v>1</v>
      </c>
      <c r="Q244" t="n">
        <v>1</v>
      </c>
      <c r="R244" s="2" t="inlineStr">
        <is>
          <t>Knärot</t>
        </is>
      </c>
      <c r="S244">
        <f>HYPERLINK("https://klasma.github.io/Logging_2260/artfynd/A 39933-2022 artfynd.xlsx", "A 39933-2022")</f>
        <v/>
      </c>
      <c r="T244">
        <f>HYPERLINK("https://klasma.github.io/Logging_2260/kartor/A 39933-2022 karta.png", "A 39933-2022")</f>
        <v/>
      </c>
      <c r="U244">
        <f>HYPERLINK("https://klasma.github.io/Logging_2260/knärot/A 39933-2022 karta knärot.png", "A 39933-2022")</f>
        <v/>
      </c>
      <c r="V244">
        <f>HYPERLINK("https://klasma.github.io/Logging_2260/klagomål/A 39933-2022 FSC-klagomål.docx", "A 39933-2022")</f>
        <v/>
      </c>
      <c r="W244">
        <f>HYPERLINK("https://klasma.github.io/Logging_2260/klagomålsmail/A 39933-2022 FSC-klagomål mail.docx", "A 39933-2022")</f>
        <v/>
      </c>
      <c r="X244">
        <f>HYPERLINK("https://klasma.github.io/Logging_2260/tillsyn/A 39933-2022 tillsynsbegäran.docx", "A 39933-2022")</f>
        <v/>
      </c>
      <c r="Y244">
        <f>HYPERLINK("https://klasma.github.io/Logging_2260/tillsynsmail/A 39933-2022 tillsynsbegäran mail.docx", "A 39933-2022")</f>
        <v/>
      </c>
    </row>
    <row r="245" ht="15" customHeight="1">
      <c r="A245" t="inlineStr">
        <is>
          <t>A 47784-2022</t>
        </is>
      </c>
      <c r="B245" s="1" t="n">
        <v>44854</v>
      </c>
      <c r="C245" s="1" t="n">
        <v>45713</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Reliktbock</t>
        </is>
      </c>
      <c r="S245">
        <f>HYPERLINK("https://klasma.github.io/Logging_2260/artfynd/A 47784-2022 artfynd.xlsx", "A 47784-2022")</f>
        <v/>
      </c>
      <c r="T245">
        <f>HYPERLINK("https://klasma.github.io/Logging_2260/kartor/A 47784-2022 karta.png", "A 47784-2022")</f>
        <v/>
      </c>
      <c r="V245">
        <f>HYPERLINK("https://klasma.github.io/Logging_2260/klagomål/A 47784-2022 FSC-klagomål.docx", "A 47784-2022")</f>
        <v/>
      </c>
      <c r="W245">
        <f>HYPERLINK("https://klasma.github.io/Logging_2260/klagomålsmail/A 47784-2022 FSC-klagomål mail.docx", "A 47784-2022")</f>
        <v/>
      </c>
      <c r="X245">
        <f>HYPERLINK("https://klasma.github.io/Logging_2260/tillsyn/A 47784-2022 tillsynsbegäran.docx", "A 47784-2022")</f>
        <v/>
      </c>
      <c r="Y245">
        <f>HYPERLINK("https://klasma.github.io/Logging_2260/tillsynsmail/A 47784-2022 tillsynsbegäran mail.docx", "A 47784-2022")</f>
        <v/>
      </c>
    </row>
    <row r="246" ht="15" customHeight="1">
      <c r="A246" t="inlineStr">
        <is>
          <t>A 7485-2023</t>
        </is>
      </c>
      <c r="B246" s="1" t="n">
        <v>44964</v>
      </c>
      <c r="C246" s="1" t="n">
        <v>45713</v>
      </c>
      <c r="D246" t="inlineStr">
        <is>
          <t>VÄSTERNORRLANDS LÄN</t>
        </is>
      </c>
      <c r="E246" t="inlineStr">
        <is>
          <t>ÅNGE</t>
        </is>
      </c>
      <c r="G246" t="n">
        <v>2.9</v>
      </c>
      <c r="H246" t="n">
        <v>0</v>
      </c>
      <c r="I246" t="n">
        <v>0</v>
      </c>
      <c r="J246" t="n">
        <v>1</v>
      </c>
      <c r="K246" t="n">
        <v>0</v>
      </c>
      <c r="L246" t="n">
        <v>0</v>
      </c>
      <c r="M246" t="n">
        <v>0</v>
      </c>
      <c r="N246" t="n">
        <v>0</v>
      </c>
      <c r="O246" t="n">
        <v>1</v>
      </c>
      <c r="P246" t="n">
        <v>0</v>
      </c>
      <c r="Q246" t="n">
        <v>1</v>
      </c>
      <c r="R246" s="2" t="inlineStr">
        <is>
          <t>Rosenticka</t>
        </is>
      </c>
      <c r="S246">
        <f>HYPERLINK("https://klasma.github.io/Logging_2260/artfynd/A 7485-2023 artfynd.xlsx", "A 7485-2023")</f>
        <v/>
      </c>
      <c r="T246">
        <f>HYPERLINK("https://klasma.github.io/Logging_2260/kartor/A 7485-2023 karta.png", "A 7485-2023")</f>
        <v/>
      </c>
      <c r="V246">
        <f>HYPERLINK("https://klasma.github.io/Logging_2260/klagomål/A 7485-2023 FSC-klagomål.docx", "A 7485-2023")</f>
        <v/>
      </c>
      <c r="W246">
        <f>HYPERLINK("https://klasma.github.io/Logging_2260/klagomålsmail/A 7485-2023 FSC-klagomål mail.docx", "A 7485-2023")</f>
        <v/>
      </c>
      <c r="X246">
        <f>HYPERLINK("https://klasma.github.io/Logging_2260/tillsyn/A 7485-2023 tillsynsbegäran.docx", "A 7485-2023")</f>
        <v/>
      </c>
      <c r="Y246">
        <f>HYPERLINK("https://klasma.github.io/Logging_2260/tillsynsmail/A 7485-2023 tillsynsbegäran mail.docx", "A 7485-2023")</f>
        <v/>
      </c>
    </row>
    <row r="247" ht="15" customHeight="1">
      <c r="A247" t="inlineStr">
        <is>
          <t>A 22998-2023</t>
        </is>
      </c>
      <c r="B247" s="1" t="n">
        <v>45072</v>
      </c>
      <c r="C247" s="1" t="n">
        <v>45713</v>
      </c>
      <c r="D247" t="inlineStr">
        <is>
          <t>VÄSTERNORRLANDS LÄN</t>
        </is>
      </c>
      <c r="E247" t="inlineStr">
        <is>
          <t>ÅNGE</t>
        </is>
      </c>
      <c r="F247" t="inlineStr">
        <is>
          <t>SCA</t>
        </is>
      </c>
      <c r="G247" t="n">
        <v>3.8</v>
      </c>
      <c r="H247" t="n">
        <v>0</v>
      </c>
      <c r="I247" t="n">
        <v>0</v>
      </c>
      <c r="J247" t="n">
        <v>1</v>
      </c>
      <c r="K247" t="n">
        <v>0</v>
      </c>
      <c r="L247" t="n">
        <v>0</v>
      </c>
      <c r="M247" t="n">
        <v>0</v>
      </c>
      <c r="N247" t="n">
        <v>0</v>
      </c>
      <c r="O247" t="n">
        <v>1</v>
      </c>
      <c r="P247" t="n">
        <v>0</v>
      </c>
      <c r="Q247" t="n">
        <v>1</v>
      </c>
      <c r="R247" s="2" t="inlineStr">
        <is>
          <t>Blågrå svartspik</t>
        </is>
      </c>
      <c r="S247">
        <f>HYPERLINK("https://klasma.github.io/Logging_2260/artfynd/A 22998-2023 artfynd.xlsx", "A 22998-2023")</f>
        <v/>
      </c>
      <c r="T247">
        <f>HYPERLINK("https://klasma.github.io/Logging_2260/kartor/A 22998-2023 karta.png", "A 22998-2023")</f>
        <v/>
      </c>
      <c r="V247">
        <f>HYPERLINK("https://klasma.github.io/Logging_2260/klagomål/A 22998-2023 FSC-klagomål.docx", "A 22998-2023")</f>
        <v/>
      </c>
      <c r="W247">
        <f>HYPERLINK("https://klasma.github.io/Logging_2260/klagomålsmail/A 22998-2023 FSC-klagomål mail.docx", "A 22998-2023")</f>
        <v/>
      </c>
      <c r="X247">
        <f>HYPERLINK("https://klasma.github.io/Logging_2260/tillsyn/A 22998-2023 tillsynsbegäran.docx", "A 22998-2023")</f>
        <v/>
      </c>
      <c r="Y247">
        <f>HYPERLINK("https://klasma.github.io/Logging_2260/tillsynsmail/A 22998-2023 tillsynsbegäran mail.docx", "A 22998-2023")</f>
        <v/>
      </c>
    </row>
    <row r="248" ht="15" customHeight="1">
      <c r="A248" t="inlineStr">
        <is>
          <t>A 25322-2023</t>
        </is>
      </c>
      <c r="B248" s="1" t="n">
        <v>45086</v>
      </c>
      <c r="C248" s="1" t="n">
        <v>45713</v>
      </c>
      <c r="D248" t="inlineStr">
        <is>
          <t>VÄSTERNORRLANDS LÄN</t>
        </is>
      </c>
      <c r="E248" t="inlineStr">
        <is>
          <t>ÅNGE</t>
        </is>
      </c>
      <c r="F248" t="inlineStr">
        <is>
          <t>SCA</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HYPERLINK("https://klasma.github.io/Logging_2260/artfynd/A 25322-2023 artfynd.xlsx", "A 25322-2023")</f>
        <v/>
      </c>
      <c r="T248">
        <f>HYPERLINK("https://klasma.github.io/Logging_2260/kartor/A 25322-2023 karta.png", "A 25322-2023")</f>
        <v/>
      </c>
      <c r="V248">
        <f>HYPERLINK("https://klasma.github.io/Logging_2260/klagomål/A 25322-2023 FSC-klagomål.docx", "A 25322-2023")</f>
        <v/>
      </c>
      <c r="W248">
        <f>HYPERLINK("https://klasma.github.io/Logging_2260/klagomålsmail/A 25322-2023 FSC-klagomål mail.docx", "A 25322-2023")</f>
        <v/>
      </c>
      <c r="X248">
        <f>HYPERLINK("https://klasma.github.io/Logging_2260/tillsyn/A 25322-2023 tillsynsbegäran.docx", "A 25322-2023")</f>
        <v/>
      </c>
      <c r="Y248">
        <f>HYPERLINK("https://klasma.github.io/Logging_2260/tillsynsmail/A 25322-2023 tillsynsbegäran mail.docx", "A 25322-2023")</f>
        <v/>
      </c>
    </row>
    <row r="249" ht="15" customHeight="1">
      <c r="A249" t="inlineStr">
        <is>
          <t>A 26514-2023</t>
        </is>
      </c>
      <c r="B249" s="1" t="n">
        <v>45092</v>
      </c>
      <c r="C249" s="1" t="n">
        <v>45713</v>
      </c>
      <c r="D249" t="inlineStr">
        <is>
          <t>VÄSTERNORRLANDS LÄN</t>
        </is>
      </c>
      <c r="E249" t="inlineStr">
        <is>
          <t>ÅNGE</t>
        </is>
      </c>
      <c r="F249" t="inlineStr">
        <is>
          <t>Sveaskog</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HYPERLINK("https://klasma.github.io/Logging_2260/artfynd/A 26514-2023 artfynd.xlsx", "A 26514-2023")</f>
        <v/>
      </c>
      <c r="T249">
        <f>HYPERLINK("https://klasma.github.io/Logging_2260/kartor/A 26514-2023 karta.png", "A 26514-2023")</f>
        <v/>
      </c>
      <c r="V249">
        <f>HYPERLINK("https://klasma.github.io/Logging_2260/klagomål/A 26514-2023 FSC-klagomål.docx", "A 26514-2023")</f>
        <v/>
      </c>
      <c r="W249">
        <f>HYPERLINK("https://klasma.github.io/Logging_2260/klagomålsmail/A 26514-2023 FSC-klagomål mail.docx", "A 26514-2023")</f>
        <v/>
      </c>
      <c r="X249">
        <f>HYPERLINK("https://klasma.github.io/Logging_2260/tillsyn/A 26514-2023 tillsynsbegäran.docx", "A 26514-2023")</f>
        <v/>
      </c>
      <c r="Y249">
        <f>HYPERLINK("https://klasma.github.io/Logging_2260/tillsynsmail/A 26514-2023 tillsynsbegäran mail.docx", "A 26514-2023")</f>
        <v/>
      </c>
    </row>
    <row r="250" ht="15" customHeight="1">
      <c r="A250" t="inlineStr">
        <is>
          <t>A 29327-2023</t>
        </is>
      </c>
      <c r="B250" s="1" t="n">
        <v>45106</v>
      </c>
      <c r="C250" s="1" t="n">
        <v>45713</v>
      </c>
      <c r="D250" t="inlineStr">
        <is>
          <t>VÄSTERNORRLANDS LÄN</t>
        </is>
      </c>
      <c r="E250" t="inlineStr">
        <is>
          <t>ÅNGE</t>
        </is>
      </c>
      <c r="G250" t="n">
        <v>7.8</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29327-2023 artfynd.xlsx", "A 29327-2023")</f>
        <v/>
      </c>
      <c r="T250">
        <f>HYPERLINK("https://klasma.github.io/Logging_2260/kartor/A 29327-2023 karta.png", "A 29327-2023")</f>
        <v/>
      </c>
      <c r="V250">
        <f>HYPERLINK("https://klasma.github.io/Logging_2260/klagomål/A 29327-2023 FSC-klagomål.docx", "A 29327-2023")</f>
        <v/>
      </c>
      <c r="W250">
        <f>HYPERLINK("https://klasma.github.io/Logging_2260/klagomålsmail/A 29327-2023 FSC-klagomål mail.docx", "A 29327-2023")</f>
        <v/>
      </c>
      <c r="X250">
        <f>HYPERLINK("https://klasma.github.io/Logging_2260/tillsyn/A 29327-2023 tillsynsbegäran.docx", "A 29327-2023")</f>
        <v/>
      </c>
      <c r="Y250">
        <f>HYPERLINK("https://klasma.github.io/Logging_2260/tillsynsmail/A 29327-2023 tillsynsbegäran mail.docx", "A 29327-2023")</f>
        <v/>
      </c>
    </row>
    <row r="251" ht="15" customHeight="1">
      <c r="A251" t="inlineStr">
        <is>
          <t>A 30838-2023</t>
        </is>
      </c>
      <c r="B251" s="1" t="n">
        <v>45112</v>
      </c>
      <c r="C251" s="1" t="n">
        <v>45713</v>
      </c>
      <c r="D251" t="inlineStr">
        <is>
          <t>VÄSTERNORRLANDS LÄN</t>
        </is>
      </c>
      <c r="E251" t="inlineStr">
        <is>
          <t>ÅNGE</t>
        </is>
      </c>
      <c r="F251" t="inlineStr">
        <is>
          <t>SCA</t>
        </is>
      </c>
      <c r="G251" t="n">
        <v>5.6</v>
      </c>
      <c r="H251" t="n">
        <v>0</v>
      </c>
      <c r="I251" t="n">
        <v>0</v>
      </c>
      <c r="J251" t="n">
        <v>1</v>
      </c>
      <c r="K251" t="n">
        <v>0</v>
      </c>
      <c r="L251" t="n">
        <v>0</v>
      </c>
      <c r="M251" t="n">
        <v>0</v>
      </c>
      <c r="N251" t="n">
        <v>0</v>
      </c>
      <c r="O251" t="n">
        <v>1</v>
      </c>
      <c r="P251" t="n">
        <v>0</v>
      </c>
      <c r="Q251" t="n">
        <v>1</v>
      </c>
      <c r="R251" s="2" t="inlineStr">
        <is>
          <t>Kortskaftad ärgspik</t>
        </is>
      </c>
      <c r="S251">
        <f>HYPERLINK("https://klasma.github.io/Logging_2260/artfynd/A 30838-2023 artfynd.xlsx", "A 30838-2023")</f>
        <v/>
      </c>
      <c r="T251">
        <f>HYPERLINK("https://klasma.github.io/Logging_2260/kartor/A 30838-2023 karta.png", "A 30838-2023")</f>
        <v/>
      </c>
      <c r="U251">
        <f>HYPERLINK("https://klasma.github.io/Logging_2260/knärot/A 30838-2023 karta knärot.png", "A 30838-2023")</f>
        <v/>
      </c>
      <c r="V251">
        <f>HYPERLINK("https://klasma.github.io/Logging_2260/klagomål/A 30838-2023 FSC-klagomål.docx", "A 30838-2023")</f>
        <v/>
      </c>
      <c r="W251">
        <f>HYPERLINK("https://klasma.github.io/Logging_2260/klagomålsmail/A 30838-2023 FSC-klagomål mail.docx", "A 30838-2023")</f>
        <v/>
      </c>
      <c r="X251">
        <f>HYPERLINK("https://klasma.github.io/Logging_2260/tillsyn/A 30838-2023 tillsynsbegäran.docx", "A 30838-2023")</f>
        <v/>
      </c>
      <c r="Y251">
        <f>HYPERLINK("https://klasma.github.io/Logging_2260/tillsynsmail/A 30838-2023 tillsynsbegäran mail.docx", "A 30838-2023")</f>
        <v/>
      </c>
    </row>
    <row r="252" ht="15" customHeight="1">
      <c r="A252" t="inlineStr">
        <is>
          <t>A 34489-2023</t>
        </is>
      </c>
      <c r="B252" s="1" t="n">
        <v>45139</v>
      </c>
      <c r="C252" s="1" t="n">
        <v>45713</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34489-2023 artfynd.xlsx", "A 34489-2023")</f>
        <v/>
      </c>
      <c r="T252">
        <f>HYPERLINK("https://klasma.github.io/Logging_2260/kartor/A 34489-2023 karta.png", "A 34489-2023")</f>
        <v/>
      </c>
      <c r="U252">
        <f>HYPERLINK("https://klasma.github.io/Logging_2260/knärot/A 34489-2023 karta knärot.png", "A 34489-2023")</f>
        <v/>
      </c>
      <c r="V252">
        <f>HYPERLINK("https://klasma.github.io/Logging_2260/klagomål/A 34489-2023 FSC-klagomål.docx", "A 34489-2023")</f>
        <v/>
      </c>
      <c r="W252">
        <f>HYPERLINK("https://klasma.github.io/Logging_2260/klagomålsmail/A 34489-2023 FSC-klagomål mail.docx", "A 34489-2023")</f>
        <v/>
      </c>
      <c r="X252">
        <f>HYPERLINK("https://klasma.github.io/Logging_2260/tillsyn/A 34489-2023 tillsynsbegäran.docx", "A 34489-2023")</f>
        <v/>
      </c>
      <c r="Y252">
        <f>HYPERLINK("https://klasma.github.io/Logging_2260/tillsynsmail/A 34489-2023 tillsynsbegäran mail.docx", "A 34489-2023")</f>
        <v/>
      </c>
    </row>
    <row r="253" ht="15" customHeight="1">
      <c r="A253" t="inlineStr">
        <is>
          <t>A 35973-2023</t>
        </is>
      </c>
      <c r="B253" s="1" t="n">
        <v>45148</v>
      </c>
      <c r="C253" s="1" t="n">
        <v>45713</v>
      </c>
      <c r="D253" t="inlineStr">
        <is>
          <t>VÄSTERNORRLANDS LÄN</t>
        </is>
      </c>
      <c r="E253" t="inlineStr">
        <is>
          <t>ÅNGE</t>
        </is>
      </c>
      <c r="F253" t="inlineStr">
        <is>
          <t>SCA</t>
        </is>
      </c>
      <c r="G253" t="n">
        <v>1.3</v>
      </c>
      <c r="H253" t="n">
        <v>1</v>
      </c>
      <c r="I253" t="n">
        <v>1</v>
      </c>
      <c r="J253" t="n">
        <v>0</v>
      </c>
      <c r="K253" t="n">
        <v>0</v>
      </c>
      <c r="L253" t="n">
        <v>0</v>
      </c>
      <c r="M253" t="n">
        <v>0</v>
      </c>
      <c r="N253" t="n">
        <v>0</v>
      </c>
      <c r="O253" t="n">
        <v>0</v>
      </c>
      <c r="P253" t="n">
        <v>0</v>
      </c>
      <c r="Q253" t="n">
        <v>1</v>
      </c>
      <c r="R253" s="2" t="inlineStr">
        <is>
          <t>Korallrot</t>
        </is>
      </c>
      <c r="S253">
        <f>HYPERLINK("https://klasma.github.io/Logging_2260/artfynd/A 35973-2023 artfynd.xlsx", "A 35973-2023")</f>
        <v/>
      </c>
      <c r="T253">
        <f>HYPERLINK("https://klasma.github.io/Logging_2260/kartor/A 35973-2023 karta.png", "A 35973-2023")</f>
        <v/>
      </c>
      <c r="V253">
        <f>HYPERLINK("https://klasma.github.io/Logging_2260/klagomål/A 35973-2023 FSC-klagomål.docx", "A 35973-2023")</f>
        <v/>
      </c>
      <c r="W253">
        <f>HYPERLINK("https://klasma.github.io/Logging_2260/klagomålsmail/A 35973-2023 FSC-klagomål mail.docx", "A 35973-2023")</f>
        <v/>
      </c>
      <c r="X253">
        <f>HYPERLINK("https://klasma.github.io/Logging_2260/tillsyn/A 35973-2023 tillsynsbegäran.docx", "A 35973-2023")</f>
        <v/>
      </c>
      <c r="Y253">
        <f>HYPERLINK("https://klasma.github.io/Logging_2260/tillsynsmail/A 35973-2023 tillsynsbegäran mail.docx", "A 35973-2023")</f>
        <v/>
      </c>
    </row>
    <row r="254" ht="15" customHeight="1">
      <c r="A254" t="inlineStr">
        <is>
          <t>A 36230-2023</t>
        </is>
      </c>
      <c r="B254" s="1" t="n">
        <v>45150</v>
      </c>
      <c r="C254" s="1" t="n">
        <v>45713</v>
      </c>
      <c r="D254" t="inlineStr">
        <is>
          <t>VÄSTERNORRLANDS LÄN</t>
        </is>
      </c>
      <c r="E254" t="inlineStr">
        <is>
          <t>ÅNGE</t>
        </is>
      </c>
      <c r="F254" t="inlineStr">
        <is>
          <t>SCA</t>
        </is>
      </c>
      <c r="G254" t="n">
        <v>6.3</v>
      </c>
      <c r="H254" t="n">
        <v>1</v>
      </c>
      <c r="I254" t="n">
        <v>0</v>
      </c>
      <c r="J254" t="n">
        <v>0</v>
      </c>
      <c r="K254" t="n">
        <v>1</v>
      </c>
      <c r="L254" t="n">
        <v>0</v>
      </c>
      <c r="M254" t="n">
        <v>0</v>
      </c>
      <c r="N254" t="n">
        <v>0</v>
      </c>
      <c r="O254" t="n">
        <v>1</v>
      </c>
      <c r="P254" t="n">
        <v>1</v>
      </c>
      <c r="Q254" t="n">
        <v>1</v>
      </c>
      <c r="R254" s="2" t="inlineStr">
        <is>
          <t>Lappuggla</t>
        </is>
      </c>
      <c r="S254">
        <f>HYPERLINK("https://klasma.github.io/Logging_2260/artfynd/A 36230-2023 artfynd.xlsx", "A 36230-2023")</f>
        <v/>
      </c>
      <c r="T254">
        <f>HYPERLINK("https://klasma.github.io/Logging_2260/kartor/A 36230-2023 karta.png", "A 36230-2023")</f>
        <v/>
      </c>
      <c r="V254">
        <f>HYPERLINK("https://klasma.github.io/Logging_2260/klagomål/A 36230-2023 FSC-klagomål.docx", "A 36230-2023")</f>
        <v/>
      </c>
      <c r="W254">
        <f>HYPERLINK("https://klasma.github.io/Logging_2260/klagomålsmail/A 36230-2023 FSC-klagomål mail.docx", "A 36230-2023")</f>
        <v/>
      </c>
      <c r="X254">
        <f>HYPERLINK("https://klasma.github.io/Logging_2260/tillsyn/A 36230-2023 tillsynsbegäran.docx", "A 36230-2023")</f>
        <v/>
      </c>
      <c r="Y254">
        <f>HYPERLINK("https://klasma.github.io/Logging_2260/tillsynsmail/A 36230-2023 tillsynsbegäran mail.docx", "A 36230-2023")</f>
        <v/>
      </c>
      <c r="Z254">
        <f>HYPERLINK("https://klasma.github.io/Logging_2260/fåglar/A 36230-2023 prioriterade fågelarter.docx", "A 36230-2023")</f>
        <v/>
      </c>
    </row>
    <row r="255" ht="15" customHeight="1">
      <c r="A255" t="inlineStr">
        <is>
          <t>A 37502-2023</t>
        </is>
      </c>
      <c r="B255" s="1" t="n">
        <v>45157</v>
      </c>
      <c r="C255" s="1" t="n">
        <v>45713</v>
      </c>
      <c r="D255" t="inlineStr">
        <is>
          <t>VÄSTERNORRLANDS LÄN</t>
        </is>
      </c>
      <c r="E255" t="inlineStr">
        <is>
          <t>ÅNGE</t>
        </is>
      </c>
      <c r="F255" t="inlineStr">
        <is>
          <t>Sveaskog</t>
        </is>
      </c>
      <c r="G255" t="n">
        <v>0.7</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37502-2023 artfynd.xlsx", "A 37502-2023")</f>
        <v/>
      </c>
      <c r="T255">
        <f>HYPERLINK("https://klasma.github.io/Logging_2260/kartor/A 37502-2023 karta.png", "A 37502-2023")</f>
        <v/>
      </c>
      <c r="V255">
        <f>HYPERLINK("https://klasma.github.io/Logging_2260/klagomål/A 37502-2023 FSC-klagomål.docx", "A 37502-2023")</f>
        <v/>
      </c>
      <c r="W255">
        <f>HYPERLINK("https://klasma.github.io/Logging_2260/klagomålsmail/A 37502-2023 FSC-klagomål mail.docx", "A 37502-2023")</f>
        <v/>
      </c>
      <c r="X255">
        <f>HYPERLINK("https://klasma.github.io/Logging_2260/tillsyn/A 37502-2023 tillsynsbegäran.docx", "A 37502-2023")</f>
        <v/>
      </c>
      <c r="Y255">
        <f>HYPERLINK("https://klasma.github.io/Logging_2260/tillsynsmail/A 37502-2023 tillsynsbegäran mail.docx", "A 37502-2023")</f>
        <v/>
      </c>
    </row>
    <row r="256" ht="15" customHeight="1">
      <c r="A256" t="inlineStr">
        <is>
          <t>A 39499-2023</t>
        </is>
      </c>
      <c r="B256" s="1" t="n">
        <v>45166</v>
      </c>
      <c r="C256" s="1" t="n">
        <v>45713</v>
      </c>
      <c r="D256" t="inlineStr">
        <is>
          <t>VÄSTERNORRLANDS LÄN</t>
        </is>
      </c>
      <c r="E256" t="inlineStr">
        <is>
          <t>ÅNGE</t>
        </is>
      </c>
      <c r="F256" t="inlineStr">
        <is>
          <t>SCA</t>
        </is>
      </c>
      <c r="G256" t="n">
        <v>9</v>
      </c>
      <c r="H256" t="n">
        <v>1</v>
      </c>
      <c r="I256" t="n">
        <v>0</v>
      </c>
      <c r="J256" t="n">
        <v>1</v>
      </c>
      <c r="K256" t="n">
        <v>0</v>
      </c>
      <c r="L256" t="n">
        <v>0</v>
      </c>
      <c r="M256" t="n">
        <v>0</v>
      </c>
      <c r="N256" t="n">
        <v>0</v>
      </c>
      <c r="O256" t="n">
        <v>1</v>
      </c>
      <c r="P256" t="n">
        <v>0</v>
      </c>
      <c r="Q256" t="n">
        <v>1</v>
      </c>
      <c r="R256" s="2" t="inlineStr">
        <is>
          <t>Rödvingetrast</t>
        </is>
      </c>
      <c r="S256">
        <f>HYPERLINK("https://klasma.github.io/Logging_2260/artfynd/A 39499-2023 artfynd.xlsx", "A 39499-2023")</f>
        <v/>
      </c>
      <c r="T256">
        <f>HYPERLINK("https://klasma.github.io/Logging_2260/kartor/A 39499-2023 karta.png", "A 39499-2023")</f>
        <v/>
      </c>
      <c r="V256">
        <f>HYPERLINK("https://klasma.github.io/Logging_2260/klagomål/A 39499-2023 FSC-klagomål.docx", "A 39499-2023")</f>
        <v/>
      </c>
      <c r="W256">
        <f>HYPERLINK("https://klasma.github.io/Logging_2260/klagomålsmail/A 39499-2023 FSC-klagomål mail.docx", "A 39499-2023")</f>
        <v/>
      </c>
      <c r="X256">
        <f>HYPERLINK("https://klasma.github.io/Logging_2260/tillsyn/A 39499-2023 tillsynsbegäran.docx", "A 39499-2023")</f>
        <v/>
      </c>
      <c r="Y256">
        <f>HYPERLINK("https://klasma.github.io/Logging_2260/tillsynsmail/A 39499-2023 tillsynsbegäran mail.docx", "A 39499-2023")</f>
        <v/>
      </c>
      <c r="Z256">
        <f>HYPERLINK("https://klasma.github.io/Logging_2260/fåglar/A 39499-2023 prioriterade fågelarter.docx", "A 39499-2023")</f>
        <v/>
      </c>
    </row>
    <row r="257" ht="15" customHeight="1">
      <c r="A257" t="inlineStr">
        <is>
          <t>A 40776-2023</t>
        </is>
      </c>
      <c r="B257" s="1" t="n">
        <v>45170</v>
      </c>
      <c r="C257" s="1" t="n">
        <v>45713</v>
      </c>
      <c r="D257" t="inlineStr">
        <is>
          <t>VÄSTERNORRLANDS LÄN</t>
        </is>
      </c>
      <c r="E257" t="inlineStr">
        <is>
          <t>ÅNGE</t>
        </is>
      </c>
      <c r="F257" t="inlineStr">
        <is>
          <t>SCA</t>
        </is>
      </c>
      <c r="G257" t="n">
        <v>3</v>
      </c>
      <c r="H257" t="n">
        <v>1</v>
      </c>
      <c r="I257" t="n">
        <v>0</v>
      </c>
      <c r="J257" t="n">
        <v>1</v>
      </c>
      <c r="K257" t="n">
        <v>0</v>
      </c>
      <c r="L257" t="n">
        <v>0</v>
      </c>
      <c r="M257" t="n">
        <v>0</v>
      </c>
      <c r="N257" t="n">
        <v>0</v>
      </c>
      <c r="O257" t="n">
        <v>1</v>
      </c>
      <c r="P257" t="n">
        <v>0</v>
      </c>
      <c r="Q257" t="n">
        <v>1</v>
      </c>
      <c r="R257" s="2" t="inlineStr">
        <is>
          <t>Tretåig hackspett</t>
        </is>
      </c>
      <c r="S257">
        <f>HYPERLINK("https://klasma.github.io/Logging_2260/artfynd/A 40776-2023 artfynd.xlsx", "A 40776-2023")</f>
        <v/>
      </c>
      <c r="T257">
        <f>HYPERLINK("https://klasma.github.io/Logging_2260/kartor/A 40776-2023 karta.png", "A 40776-2023")</f>
        <v/>
      </c>
      <c r="V257">
        <f>HYPERLINK("https://klasma.github.io/Logging_2260/klagomål/A 40776-2023 FSC-klagomål.docx", "A 40776-2023")</f>
        <v/>
      </c>
      <c r="W257">
        <f>HYPERLINK("https://klasma.github.io/Logging_2260/klagomålsmail/A 40776-2023 FSC-klagomål mail.docx", "A 40776-2023")</f>
        <v/>
      </c>
      <c r="X257">
        <f>HYPERLINK("https://klasma.github.io/Logging_2260/tillsyn/A 40776-2023 tillsynsbegäran.docx", "A 40776-2023")</f>
        <v/>
      </c>
      <c r="Y257">
        <f>HYPERLINK("https://klasma.github.io/Logging_2260/tillsynsmail/A 40776-2023 tillsynsbegäran mail.docx", "A 40776-2023")</f>
        <v/>
      </c>
      <c r="Z257">
        <f>HYPERLINK("https://klasma.github.io/Logging_2260/fåglar/A 40776-2023 prioriterade fågelarter.docx", "A 40776-2023")</f>
        <v/>
      </c>
    </row>
    <row r="258" ht="15" customHeight="1">
      <c r="A258" t="inlineStr">
        <is>
          <t>A 45018-2023</t>
        </is>
      </c>
      <c r="B258" s="1" t="n">
        <v>45190</v>
      </c>
      <c r="C258" s="1" t="n">
        <v>45713</v>
      </c>
      <c r="D258" t="inlineStr">
        <is>
          <t>VÄSTERNORRLANDS LÄN</t>
        </is>
      </c>
      <c r="E258" t="inlineStr">
        <is>
          <t>ÅNGE</t>
        </is>
      </c>
      <c r="F258" t="inlineStr">
        <is>
          <t>SCA</t>
        </is>
      </c>
      <c r="G258" t="n">
        <v>4.8</v>
      </c>
      <c r="H258" t="n">
        <v>1</v>
      </c>
      <c r="I258" t="n">
        <v>0</v>
      </c>
      <c r="J258" t="n">
        <v>0</v>
      </c>
      <c r="K258" t="n">
        <v>1</v>
      </c>
      <c r="L258" t="n">
        <v>0</v>
      </c>
      <c r="M258" t="n">
        <v>0</v>
      </c>
      <c r="N258" t="n">
        <v>0</v>
      </c>
      <c r="O258" t="n">
        <v>1</v>
      </c>
      <c r="P258" t="n">
        <v>1</v>
      </c>
      <c r="Q258" t="n">
        <v>1</v>
      </c>
      <c r="R258" s="2" t="inlineStr">
        <is>
          <t>Knärot</t>
        </is>
      </c>
      <c r="S258">
        <f>HYPERLINK("https://klasma.github.io/Logging_2260/artfynd/A 45018-2023 artfynd.xlsx", "A 45018-2023")</f>
        <v/>
      </c>
      <c r="T258">
        <f>HYPERLINK("https://klasma.github.io/Logging_2260/kartor/A 45018-2023 karta.png", "A 45018-2023")</f>
        <v/>
      </c>
      <c r="U258">
        <f>HYPERLINK("https://klasma.github.io/Logging_2260/knärot/A 45018-2023 karta knärot.png", "A 45018-2023")</f>
        <v/>
      </c>
      <c r="V258">
        <f>HYPERLINK("https://klasma.github.io/Logging_2260/klagomål/A 45018-2023 FSC-klagomål.docx", "A 45018-2023")</f>
        <v/>
      </c>
      <c r="W258">
        <f>HYPERLINK("https://klasma.github.io/Logging_2260/klagomålsmail/A 45018-2023 FSC-klagomål mail.docx", "A 45018-2023")</f>
        <v/>
      </c>
      <c r="X258">
        <f>HYPERLINK("https://klasma.github.io/Logging_2260/tillsyn/A 45018-2023 tillsynsbegäran.docx", "A 45018-2023")</f>
        <v/>
      </c>
      <c r="Y258">
        <f>HYPERLINK("https://klasma.github.io/Logging_2260/tillsynsmail/A 45018-2023 tillsynsbegäran mail.docx", "A 45018-2023")</f>
        <v/>
      </c>
    </row>
    <row r="259" ht="15" customHeight="1">
      <c r="A259" t="inlineStr">
        <is>
          <t>A 52424-2023</t>
        </is>
      </c>
      <c r="B259" s="1" t="n">
        <v>45217</v>
      </c>
      <c r="C259" s="1" t="n">
        <v>45713</v>
      </c>
      <c r="D259" t="inlineStr">
        <is>
          <t>VÄSTERNORRLANDS LÄN</t>
        </is>
      </c>
      <c r="E259" t="inlineStr">
        <is>
          <t>ÅNGE</t>
        </is>
      </c>
      <c r="F259" t="inlineStr">
        <is>
          <t>SCA</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HYPERLINK("https://klasma.github.io/Logging_2260/artfynd/A 52424-2023 artfynd.xlsx", "A 52424-2023")</f>
        <v/>
      </c>
      <c r="T259">
        <f>HYPERLINK("https://klasma.github.io/Logging_2260/kartor/A 52424-2023 karta.png", "A 52424-2023")</f>
        <v/>
      </c>
      <c r="V259">
        <f>HYPERLINK("https://klasma.github.io/Logging_2260/klagomål/A 52424-2023 FSC-klagomål.docx", "A 52424-2023")</f>
        <v/>
      </c>
      <c r="W259">
        <f>HYPERLINK("https://klasma.github.io/Logging_2260/klagomålsmail/A 52424-2023 FSC-klagomål mail.docx", "A 52424-2023")</f>
        <v/>
      </c>
      <c r="X259">
        <f>HYPERLINK("https://klasma.github.io/Logging_2260/tillsyn/A 52424-2023 tillsynsbegäran.docx", "A 52424-2023")</f>
        <v/>
      </c>
      <c r="Y259">
        <f>HYPERLINK("https://klasma.github.io/Logging_2260/tillsynsmail/A 52424-2023 tillsynsbegäran mail.docx", "A 52424-2023")</f>
        <v/>
      </c>
    </row>
    <row r="260" ht="15" customHeight="1">
      <c r="A260" t="inlineStr">
        <is>
          <t>A 54567-2023</t>
        </is>
      </c>
      <c r="B260" s="1" t="n">
        <v>45233</v>
      </c>
      <c r="C260" s="1" t="n">
        <v>45713</v>
      </c>
      <c r="D260" t="inlineStr">
        <is>
          <t>VÄSTERNORRLANDS LÄN</t>
        </is>
      </c>
      <c r="E260" t="inlineStr">
        <is>
          <t>ÅNGE</t>
        </is>
      </c>
      <c r="F260" t="inlineStr">
        <is>
          <t>Sveaskog</t>
        </is>
      </c>
      <c r="G260" t="n">
        <v>1.4</v>
      </c>
      <c r="H260" t="n">
        <v>0</v>
      </c>
      <c r="I260" t="n">
        <v>0</v>
      </c>
      <c r="J260" t="n">
        <v>1</v>
      </c>
      <c r="K260" t="n">
        <v>0</v>
      </c>
      <c r="L260" t="n">
        <v>0</v>
      </c>
      <c r="M260" t="n">
        <v>0</v>
      </c>
      <c r="N260" t="n">
        <v>0</v>
      </c>
      <c r="O260" t="n">
        <v>1</v>
      </c>
      <c r="P260" t="n">
        <v>0</v>
      </c>
      <c r="Q260" t="n">
        <v>1</v>
      </c>
      <c r="R260" s="2" t="inlineStr">
        <is>
          <t>Lunglav</t>
        </is>
      </c>
      <c r="S260">
        <f>HYPERLINK("https://klasma.github.io/Logging_2260/artfynd/A 54567-2023 artfynd.xlsx", "A 54567-2023")</f>
        <v/>
      </c>
      <c r="T260">
        <f>HYPERLINK("https://klasma.github.io/Logging_2260/kartor/A 54567-2023 karta.png", "A 54567-2023")</f>
        <v/>
      </c>
      <c r="V260">
        <f>HYPERLINK("https://klasma.github.io/Logging_2260/klagomål/A 54567-2023 FSC-klagomål.docx", "A 54567-2023")</f>
        <v/>
      </c>
      <c r="W260">
        <f>HYPERLINK("https://klasma.github.io/Logging_2260/klagomålsmail/A 54567-2023 FSC-klagomål mail.docx", "A 54567-2023")</f>
        <v/>
      </c>
      <c r="X260">
        <f>HYPERLINK("https://klasma.github.io/Logging_2260/tillsyn/A 54567-2023 tillsynsbegäran.docx", "A 54567-2023")</f>
        <v/>
      </c>
      <c r="Y260">
        <f>HYPERLINK("https://klasma.github.io/Logging_2260/tillsynsmail/A 54567-2023 tillsynsbegäran mail.docx", "A 54567-2023")</f>
        <v/>
      </c>
    </row>
    <row r="261" ht="15" customHeight="1">
      <c r="A261" t="inlineStr">
        <is>
          <t>A 54676-2023</t>
        </is>
      </c>
      <c r="B261" s="1" t="n">
        <v>45235</v>
      </c>
      <c r="C261" s="1" t="n">
        <v>45713</v>
      </c>
      <c r="D261" t="inlineStr">
        <is>
          <t>VÄSTERNORRLANDS LÄN</t>
        </is>
      </c>
      <c r="E261" t="inlineStr">
        <is>
          <t>ÅNGE</t>
        </is>
      </c>
      <c r="G261" t="n">
        <v>9</v>
      </c>
      <c r="H261" t="n">
        <v>0</v>
      </c>
      <c r="I261" t="n">
        <v>0</v>
      </c>
      <c r="J261" t="n">
        <v>0</v>
      </c>
      <c r="K261" t="n">
        <v>1</v>
      </c>
      <c r="L261" t="n">
        <v>0</v>
      </c>
      <c r="M261" t="n">
        <v>0</v>
      </c>
      <c r="N261" t="n">
        <v>0</v>
      </c>
      <c r="O261" t="n">
        <v>1</v>
      </c>
      <c r="P261" t="n">
        <v>1</v>
      </c>
      <c r="Q261" t="n">
        <v>1</v>
      </c>
      <c r="R261" s="2" t="inlineStr">
        <is>
          <t>Rynkskinn</t>
        </is>
      </c>
      <c r="S261">
        <f>HYPERLINK("https://klasma.github.io/Logging_2260/artfynd/A 54676-2023 artfynd.xlsx", "A 54676-2023")</f>
        <v/>
      </c>
      <c r="T261">
        <f>HYPERLINK("https://klasma.github.io/Logging_2260/kartor/A 54676-2023 karta.png", "A 54676-2023")</f>
        <v/>
      </c>
      <c r="U261">
        <f>HYPERLINK("https://klasma.github.io/Logging_2260/knärot/A 54676-2023 karta knärot.png", "A 54676-2023")</f>
        <v/>
      </c>
      <c r="V261">
        <f>HYPERLINK("https://klasma.github.io/Logging_2260/klagomål/A 54676-2023 FSC-klagomål.docx", "A 54676-2023")</f>
        <v/>
      </c>
      <c r="W261">
        <f>HYPERLINK("https://klasma.github.io/Logging_2260/klagomålsmail/A 54676-2023 FSC-klagomål mail.docx", "A 54676-2023")</f>
        <v/>
      </c>
      <c r="X261">
        <f>HYPERLINK("https://klasma.github.io/Logging_2260/tillsyn/A 54676-2023 tillsynsbegäran.docx", "A 54676-2023")</f>
        <v/>
      </c>
      <c r="Y261">
        <f>HYPERLINK("https://klasma.github.io/Logging_2260/tillsynsmail/A 54676-2023 tillsynsbegäran mail.docx", "A 54676-2023")</f>
        <v/>
      </c>
    </row>
    <row r="262" ht="15" customHeight="1">
      <c r="A262" t="inlineStr">
        <is>
          <t>A 55015-2023</t>
        </is>
      </c>
      <c r="B262" s="1" t="n">
        <v>45237</v>
      </c>
      <c r="C262" s="1" t="n">
        <v>45713</v>
      </c>
      <c r="D262" t="inlineStr">
        <is>
          <t>VÄSTERNORRLANDS LÄN</t>
        </is>
      </c>
      <c r="E262" t="inlineStr">
        <is>
          <t>ÅNGE</t>
        </is>
      </c>
      <c r="F262" t="inlineStr">
        <is>
          <t>Sveaskog</t>
        </is>
      </c>
      <c r="G262" t="n">
        <v>2.7</v>
      </c>
      <c r="H262" t="n">
        <v>0</v>
      </c>
      <c r="I262" t="n">
        <v>0</v>
      </c>
      <c r="J262" t="n">
        <v>1</v>
      </c>
      <c r="K262" t="n">
        <v>0</v>
      </c>
      <c r="L262" t="n">
        <v>0</v>
      </c>
      <c r="M262" t="n">
        <v>0</v>
      </c>
      <c r="N262" t="n">
        <v>0</v>
      </c>
      <c r="O262" t="n">
        <v>1</v>
      </c>
      <c r="P262" t="n">
        <v>0</v>
      </c>
      <c r="Q262" t="n">
        <v>1</v>
      </c>
      <c r="R262" s="2" t="inlineStr">
        <is>
          <t>Lunglav</t>
        </is>
      </c>
      <c r="S262">
        <f>HYPERLINK("https://klasma.github.io/Logging_2260/artfynd/A 55015-2023 artfynd.xlsx", "A 55015-2023")</f>
        <v/>
      </c>
      <c r="T262">
        <f>HYPERLINK("https://klasma.github.io/Logging_2260/kartor/A 55015-2023 karta.png", "A 55015-2023")</f>
        <v/>
      </c>
      <c r="V262">
        <f>HYPERLINK("https://klasma.github.io/Logging_2260/klagomål/A 55015-2023 FSC-klagomål.docx", "A 55015-2023")</f>
        <v/>
      </c>
      <c r="W262">
        <f>HYPERLINK("https://klasma.github.io/Logging_2260/klagomålsmail/A 55015-2023 FSC-klagomål mail.docx", "A 55015-2023")</f>
        <v/>
      </c>
      <c r="X262">
        <f>HYPERLINK("https://klasma.github.io/Logging_2260/tillsyn/A 55015-2023 tillsynsbegäran.docx", "A 55015-2023")</f>
        <v/>
      </c>
      <c r="Y262">
        <f>HYPERLINK("https://klasma.github.io/Logging_2260/tillsynsmail/A 55015-2023 tillsynsbegäran mail.docx", "A 55015-2023")</f>
        <v/>
      </c>
    </row>
    <row r="263" ht="15" customHeight="1">
      <c r="A263" t="inlineStr">
        <is>
          <t>A 58775-2023</t>
        </is>
      </c>
      <c r="B263" s="1" t="n">
        <v>45251</v>
      </c>
      <c r="C263" s="1" t="n">
        <v>45713</v>
      </c>
      <c r="D263" t="inlineStr">
        <is>
          <t>VÄSTERNORRLANDS LÄN</t>
        </is>
      </c>
      <c r="E263" t="inlineStr">
        <is>
          <t>ÅNGE</t>
        </is>
      </c>
      <c r="F263" t="inlineStr">
        <is>
          <t>SCA</t>
        </is>
      </c>
      <c r="G263" t="n">
        <v>1.4</v>
      </c>
      <c r="H263" t="n">
        <v>0</v>
      </c>
      <c r="I263" t="n">
        <v>0</v>
      </c>
      <c r="J263" t="n">
        <v>1</v>
      </c>
      <c r="K263" t="n">
        <v>0</v>
      </c>
      <c r="L263" t="n">
        <v>0</v>
      </c>
      <c r="M263" t="n">
        <v>0</v>
      </c>
      <c r="N263" t="n">
        <v>0</v>
      </c>
      <c r="O263" t="n">
        <v>1</v>
      </c>
      <c r="P263" t="n">
        <v>0</v>
      </c>
      <c r="Q263" t="n">
        <v>1</v>
      </c>
      <c r="R263" s="2" t="inlineStr">
        <is>
          <t>Lunglav</t>
        </is>
      </c>
      <c r="S263">
        <f>HYPERLINK("https://klasma.github.io/Logging_2260/artfynd/A 58775-2023 artfynd.xlsx", "A 58775-2023")</f>
        <v/>
      </c>
      <c r="T263">
        <f>HYPERLINK("https://klasma.github.io/Logging_2260/kartor/A 58775-2023 karta.png", "A 58775-2023")</f>
        <v/>
      </c>
      <c r="V263">
        <f>HYPERLINK("https://klasma.github.io/Logging_2260/klagomål/A 58775-2023 FSC-klagomål.docx", "A 58775-2023")</f>
        <v/>
      </c>
      <c r="W263">
        <f>HYPERLINK("https://klasma.github.io/Logging_2260/klagomålsmail/A 58775-2023 FSC-klagomål mail.docx", "A 58775-2023")</f>
        <v/>
      </c>
      <c r="X263">
        <f>HYPERLINK("https://klasma.github.io/Logging_2260/tillsyn/A 58775-2023 tillsynsbegäran.docx", "A 58775-2023")</f>
        <v/>
      </c>
      <c r="Y263">
        <f>HYPERLINK("https://klasma.github.io/Logging_2260/tillsynsmail/A 58775-2023 tillsynsbegäran mail.docx", "A 58775-2023")</f>
        <v/>
      </c>
    </row>
    <row r="264" ht="15" customHeight="1">
      <c r="A264" t="inlineStr">
        <is>
          <t>A 2431-2024</t>
        </is>
      </c>
      <c r="B264" s="1" t="n">
        <v>45310</v>
      </c>
      <c r="C264" s="1" t="n">
        <v>45713</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HYPERLINK("https://klasma.github.io/Logging_2260/artfynd/A 2431-2024 artfynd.xlsx", "A 2431-2024")</f>
        <v/>
      </c>
      <c r="T264">
        <f>HYPERLINK("https://klasma.github.io/Logging_2260/kartor/A 2431-2024 karta.png", "A 2431-2024")</f>
        <v/>
      </c>
      <c r="V264">
        <f>HYPERLINK("https://klasma.github.io/Logging_2260/klagomål/A 2431-2024 FSC-klagomål.docx", "A 2431-2024")</f>
        <v/>
      </c>
      <c r="W264">
        <f>HYPERLINK("https://klasma.github.io/Logging_2260/klagomålsmail/A 2431-2024 FSC-klagomål mail.docx", "A 2431-2024")</f>
        <v/>
      </c>
      <c r="X264">
        <f>HYPERLINK("https://klasma.github.io/Logging_2260/tillsyn/A 2431-2024 tillsynsbegäran.docx", "A 2431-2024")</f>
        <v/>
      </c>
      <c r="Y264">
        <f>HYPERLINK("https://klasma.github.io/Logging_2260/tillsynsmail/A 2431-2024 tillsynsbegäran mail.docx", "A 2431-2024")</f>
        <v/>
      </c>
    </row>
    <row r="265" ht="15" customHeight="1">
      <c r="A265" t="inlineStr">
        <is>
          <t>A 2429-2024</t>
        </is>
      </c>
      <c r="B265" s="1" t="n">
        <v>45310</v>
      </c>
      <c r="C265" s="1" t="n">
        <v>45713</v>
      </c>
      <c r="D265" t="inlineStr">
        <is>
          <t>VÄSTERNORRLANDS LÄN</t>
        </is>
      </c>
      <c r="E265" t="inlineStr">
        <is>
          <t>ÅNGE</t>
        </is>
      </c>
      <c r="F265" t="inlineStr">
        <is>
          <t>SCA</t>
        </is>
      </c>
      <c r="G265" t="n">
        <v>8.199999999999999</v>
      </c>
      <c r="H265" t="n">
        <v>0</v>
      </c>
      <c r="I265" t="n">
        <v>0</v>
      </c>
      <c r="J265" t="n">
        <v>1</v>
      </c>
      <c r="K265" t="n">
        <v>0</v>
      </c>
      <c r="L265" t="n">
        <v>0</v>
      </c>
      <c r="M265" t="n">
        <v>0</v>
      </c>
      <c r="N265" t="n">
        <v>0</v>
      </c>
      <c r="O265" t="n">
        <v>1</v>
      </c>
      <c r="P265" t="n">
        <v>0</v>
      </c>
      <c r="Q265" t="n">
        <v>1</v>
      </c>
      <c r="R265" s="2" t="inlineStr">
        <is>
          <t>Kolflarnlav</t>
        </is>
      </c>
      <c r="S265">
        <f>HYPERLINK("https://klasma.github.io/Logging_2260/artfynd/A 2429-2024 artfynd.xlsx", "A 2429-2024")</f>
        <v/>
      </c>
      <c r="T265">
        <f>HYPERLINK("https://klasma.github.io/Logging_2260/kartor/A 2429-2024 karta.png", "A 2429-2024")</f>
        <v/>
      </c>
      <c r="V265">
        <f>HYPERLINK("https://klasma.github.io/Logging_2260/klagomål/A 2429-2024 FSC-klagomål.docx", "A 2429-2024")</f>
        <v/>
      </c>
      <c r="W265">
        <f>HYPERLINK("https://klasma.github.io/Logging_2260/klagomålsmail/A 2429-2024 FSC-klagomål mail.docx", "A 2429-2024")</f>
        <v/>
      </c>
      <c r="X265">
        <f>HYPERLINK("https://klasma.github.io/Logging_2260/tillsyn/A 2429-2024 tillsynsbegäran.docx", "A 2429-2024")</f>
        <v/>
      </c>
      <c r="Y265">
        <f>HYPERLINK("https://klasma.github.io/Logging_2260/tillsynsmail/A 2429-2024 tillsynsbegäran mail.docx", "A 2429-2024")</f>
        <v/>
      </c>
    </row>
    <row r="266" ht="15" customHeight="1">
      <c r="A266" t="inlineStr">
        <is>
          <t>A 4351-2024</t>
        </is>
      </c>
      <c r="B266" s="1" t="n">
        <v>45324</v>
      </c>
      <c r="C266" s="1" t="n">
        <v>45713</v>
      </c>
      <c r="D266" t="inlineStr">
        <is>
          <t>VÄSTERNORRLANDS LÄN</t>
        </is>
      </c>
      <c r="E266" t="inlineStr">
        <is>
          <t>ÅNGE</t>
        </is>
      </c>
      <c r="F266" t="inlineStr">
        <is>
          <t>SCA</t>
        </is>
      </c>
      <c r="G266" t="n">
        <v>0.5</v>
      </c>
      <c r="H266" t="n">
        <v>0</v>
      </c>
      <c r="I266" t="n">
        <v>0</v>
      </c>
      <c r="J266" t="n">
        <v>1</v>
      </c>
      <c r="K266" t="n">
        <v>0</v>
      </c>
      <c r="L266" t="n">
        <v>0</v>
      </c>
      <c r="M266" t="n">
        <v>0</v>
      </c>
      <c r="N266" t="n">
        <v>0</v>
      </c>
      <c r="O266" t="n">
        <v>1</v>
      </c>
      <c r="P266" t="n">
        <v>0</v>
      </c>
      <c r="Q266" t="n">
        <v>1</v>
      </c>
      <c r="R266" s="2" t="inlineStr">
        <is>
          <t>Garnlav</t>
        </is>
      </c>
      <c r="S266">
        <f>HYPERLINK("https://klasma.github.io/Logging_2260/artfynd/A 4351-2024 artfynd.xlsx", "A 4351-2024")</f>
        <v/>
      </c>
      <c r="T266">
        <f>HYPERLINK("https://klasma.github.io/Logging_2260/kartor/A 4351-2024 karta.png", "A 4351-2024")</f>
        <v/>
      </c>
      <c r="V266">
        <f>HYPERLINK("https://klasma.github.io/Logging_2260/klagomål/A 4351-2024 FSC-klagomål.docx", "A 4351-2024")</f>
        <v/>
      </c>
      <c r="W266">
        <f>HYPERLINK("https://klasma.github.io/Logging_2260/klagomålsmail/A 4351-2024 FSC-klagomål mail.docx", "A 4351-2024")</f>
        <v/>
      </c>
      <c r="X266">
        <f>HYPERLINK("https://klasma.github.io/Logging_2260/tillsyn/A 4351-2024 tillsynsbegäran.docx", "A 4351-2024")</f>
        <v/>
      </c>
      <c r="Y266">
        <f>HYPERLINK("https://klasma.github.io/Logging_2260/tillsynsmail/A 4351-2024 tillsynsbegäran mail.docx", "A 4351-2024")</f>
        <v/>
      </c>
    </row>
    <row r="267" ht="15" customHeight="1">
      <c r="A267" t="inlineStr">
        <is>
          <t>A 4922-2024</t>
        </is>
      </c>
      <c r="B267" s="1" t="n">
        <v>45329</v>
      </c>
      <c r="C267" s="1" t="n">
        <v>45713</v>
      </c>
      <c r="D267" t="inlineStr">
        <is>
          <t>VÄSTERNORRLANDS LÄN</t>
        </is>
      </c>
      <c r="E267" t="inlineStr">
        <is>
          <t>ÅNGE</t>
        </is>
      </c>
      <c r="G267" t="n">
        <v>3.1</v>
      </c>
      <c r="H267" t="n">
        <v>1</v>
      </c>
      <c r="I267" t="n">
        <v>1</v>
      </c>
      <c r="J267" t="n">
        <v>0</v>
      </c>
      <c r="K267" t="n">
        <v>0</v>
      </c>
      <c r="L267" t="n">
        <v>0</v>
      </c>
      <c r="M267" t="n">
        <v>0</v>
      </c>
      <c r="N267" t="n">
        <v>0</v>
      </c>
      <c r="O267" t="n">
        <v>0</v>
      </c>
      <c r="P267" t="n">
        <v>0</v>
      </c>
      <c r="Q267" t="n">
        <v>1</v>
      </c>
      <c r="R267" s="2" t="inlineStr">
        <is>
          <t>Guckusko</t>
        </is>
      </c>
      <c r="S267">
        <f>HYPERLINK("https://klasma.github.io/Logging_2260/artfynd/A 4922-2024 artfynd.xlsx", "A 4922-2024")</f>
        <v/>
      </c>
      <c r="T267">
        <f>HYPERLINK("https://klasma.github.io/Logging_2260/kartor/A 4922-2024 karta.png", "A 4922-2024")</f>
        <v/>
      </c>
      <c r="U267">
        <f>HYPERLINK("https://klasma.github.io/Logging_2260/knärot/A 4922-2024 karta knärot.png", "A 4922-2024")</f>
        <v/>
      </c>
      <c r="V267">
        <f>HYPERLINK("https://klasma.github.io/Logging_2260/klagomål/A 4922-2024 FSC-klagomål.docx", "A 4922-2024")</f>
        <v/>
      </c>
      <c r="W267">
        <f>HYPERLINK("https://klasma.github.io/Logging_2260/klagomålsmail/A 4922-2024 FSC-klagomål mail.docx", "A 4922-2024")</f>
        <v/>
      </c>
      <c r="X267">
        <f>HYPERLINK("https://klasma.github.io/Logging_2260/tillsyn/A 4922-2024 tillsynsbegäran.docx", "A 4922-2024")</f>
        <v/>
      </c>
      <c r="Y267">
        <f>HYPERLINK("https://klasma.github.io/Logging_2260/tillsynsmail/A 4922-2024 tillsynsbegäran mail.docx", "A 4922-2024")</f>
        <v/>
      </c>
    </row>
    <row r="268" ht="15" customHeight="1">
      <c r="A268" t="inlineStr">
        <is>
          <t>A 6285-2024</t>
        </is>
      </c>
      <c r="B268" s="1" t="n">
        <v>45337</v>
      </c>
      <c r="C268" s="1" t="n">
        <v>45713</v>
      </c>
      <c r="D268" t="inlineStr">
        <is>
          <t>VÄSTERNORRLANDS LÄN</t>
        </is>
      </c>
      <c r="E268" t="inlineStr">
        <is>
          <t>ÅNGE</t>
        </is>
      </c>
      <c r="F268" t="inlineStr">
        <is>
          <t>SCA</t>
        </is>
      </c>
      <c r="G268" t="n">
        <v>56.2</v>
      </c>
      <c r="H268" t="n">
        <v>1</v>
      </c>
      <c r="I268" t="n">
        <v>0</v>
      </c>
      <c r="J268" t="n">
        <v>0</v>
      </c>
      <c r="K268" t="n">
        <v>1</v>
      </c>
      <c r="L268" t="n">
        <v>0</v>
      </c>
      <c r="M268" t="n">
        <v>0</v>
      </c>
      <c r="N268" t="n">
        <v>0</v>
      </c>
      <c r="O268" t="n">
        <v>1</v>
      </c>
      <c r="P268" t="n">
        <v>1</v>
      </c>
      <c r="Q268" t="n">
        <v>1</v>
      </c>
      <c r="R268" s="2" t="inlineStr">
        <is>
          <t>Knärot</t>
        </is>
      </c>
      <c r="S268">
        <f>HYPERLINK("https://klasma.github.io/Logging_2260/artfynd/A 6285-2024 artfynd.xlsx", "A 6285-2024")</f>
        <v/>
      </c>
      <c r="T268">
        <f>HYPERLINK("https://klasma.github.io/Logging_2260/kartor/A 6285-2024 karta.png", "A 6285-2024")</f>
        <v/>
      </c>
      <c r="U268">
        <f>HYPERLINK("https://klasma.github.io/Logging_2260/knärot/A 6285-2024 karta knärot.png", "A 6285-2024")</f>
        <v/>
      </c>
      <c r="V268">
        <f>HYPERLINK("https://klasma.github.io/Logging_2260/klagomål/A 6285-2024 FSC-klagomål.docx", "A 6285-2024")</f>
        <v/>
      </c>
      <c r="W268">
        <f>HYPERLINK("https://klasma.github.io/Logging_2260/klagomålsmail/A 6285-2024 FSC-klagomål mail.docx", "A 6285-2024")</f>
        <v/>
      </c>
      <c r="X268">
        <f>HYPERLINK("https://klasma.github.io/Logging_2260/tillsyn/A 6285-2024 tillsynsbegäran.docx", "A 6285-2024")</f>
        <v/>
      </c>
      <c r="Y268">
        <f>HYPERLINK("https://klasma.github.io/Logging_2260/tillsynsmail/A 6285-2024 tillsynsbegäran mail.docx", "A 6285-2024")</f>
        <v/>
      </c>
    </row>
    <row r="269" ht="15" customHeight="1">
      <c r="A269" t="inlineStr">
        <is>
          <t>A 8641-2024</t>
        </is>
      </c>
      <c r="B269" s="1" t="n">
        <v>45356</v>
      </c>
      <c r="C269" s="1" t="n">
        <v>45713</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Dvärgbägarlav</t>
        </is>
      </c>
      <c r="S269">
        <f>HYPERLINK("https://klasma.github.io/Logging_2260/artfynd/A 8641-2024 artfynd.xlsx", "A 8641-2024")</f>
        <v/>
      </c>
      <c r="T269">
        <f>HYPERLINK("https://klasma.github.io/Logging_2260/kartor/A 8641-2024 karta.png", "A 8641-2024")</f>
        <v/>
      </c>
      <c r="V269">
        <f>HYPERLINK("https://klasma.github.io/Logging_2260/klagomål/A 8641-2024 FSC-klagomål.docx", "A 8641-2024")</f>
        <v/>
      </c>
      <c r="W269">
        <f>HYPERLINK("https://klasma.github.io/Logging_2260/klagomålsmail/A 8641-2024 FSC-klagomål mail.docx", "A 8641-2024")</f>
        <v/>
      </c>
      <c r="X269">
        <f>HYPERLINK("https://klasma.github.io/Logging_2260/tillsyn/A 8641-2024 tillsynsbegäran.docx", "A 8641-2024")</f>
        <v/>
      </c>
      <c r="Y269">
        <f>HYPERLINK("https://klasma.github.io/Logging_2260/tillsynsmail/A 8641-2024 tillsynsbegäran mail.docx", "A 8641-2024")</f>
        <v/>
      </c>
    </row>
    <row r="270" ht="15" customHeight="1">
      <c r="A270" t="inlineStr">
        <is>
          <t>A 13934-2024</t>
        </is>
      </c>
      <c r="B270" s="1" t="n">
        <v>45391</v>
      </c>
      <c r="C270" s="1" t="n">
        <v>45713</v>
      </c>
      <c r="D270" t="inlineStr">
        <is>
          <t>VÄSTERNORRLANDS LÄN</t>
        </is>
      </c>
      <c r="E270" t="inlineStr">
        <is>
          <t>ÅNGE</t>
        </is>
      </c>
      <c r="F270" t="inlineStr">
        <is>
          <t>SCA</t>
        </is>
      </c>
      <c r="G270" t="n">
        <v>5.8</v>
      </c>
      <c r="H270" t="n">
        <v>0</v>
      </c>
      <c r="I270" t="n">
        <v>0</v>
      </c>
      <c r="J270" t="n">
        <v>1</v>
      </c>
      <c r="K270" t="n">
        <v>0</v>
      </c>
      <c r="L270" t="n">
        <v>0</v>
      </c>
      <c r="M270" t="n">
        <v>0</v>
      </c>
      <c r="N270" t="n">
        <v>0</v>
      </c>
      <c r="O270" t="n">
        <v>1</v>
      </c>
      <c r="P270" t="n">
        <v>0</v>
      </c>
      <c r="Q270" t="n">
        <v>1</v>
      </c>
      <c r="R270" s="2" t="inlineStr">
        <is>
          <t>Ullticka</t>
        </is>
      </c>
      <c r="S270">
        <f>HYPERLINK("https://klasma.github.io/Logging_2260/artfynd/A 13934-2024 artfynd.xlsx", "A 13934-2024")</f>
        <v/>
      </c>
      <c r="T270">
        <f>HYPERLINK("https://klasma.github.io/Logging_2260/kartor/A 13934-2024 karta.png", "A 13934-2024")</f>
        <v/>
      </c>
      <c r="V270">
        <f>HYPERLINK("https://klasma.github.io/Logging_2260/klagomål/A 13934-2024 FSC-klagomål.docx", "A 13934-2024")</f>
        <v/>
      </c>
      <c r="W270">
        <f>HYPERLINK("https://klasma.github.io/Logging_2260/klagomålsmail/A 13934-2024 FSC-klagomål mail.docx", "A 13934-2024")</f>
        <v/>
      </c>
      <c r="X270">
        <f>HYPERLINK("https://klasma.github.io/Logging_2260/tillsyn/A 13934-2024 tillsynsbegäran.docx", "A 13934-2024")</f>
        <v/>
      </c>
      <c r="Y270">
        <f>HYPERLINK("https://klasma.github.io/Logging_2260/tillsynsmail/A 13934-2024 tillsynsbegäran mail.docx", "A 13934-2024")</f>
        <v/>
      </c>
    </row>
    <row r="271" ht="15" customHeight="1">
      <c r="A271" t="inlineStr">
        <is>
          <t>A 18006-2024</t>
        </is>
      </c>
      <c r="B271" s="1" t="n">
        <v>45419</v>
      </c>
      <c r="C271" s="1" t="n">
        <v>45713</v>
      </c>
      <c r="D271" t="inlineStr">
        <is>
          <t>VÄSTERNORRLANDS LÄN</t>
        </is>
      </c>
      <c r="E271" t="inlineStr">
        <is>
          <t>ÅNGE</t>
        </is>
      </c>
      <c r="F271" t="inlineStr">
        <is>
          <t>SCA</t>
        </is>
      </c>
      <c r="G271" t="n">
        <v>14.7</v>
      </c>
      <c r="H271" t="n">
        <v>0</v>
      </c>
      <c r="I271" t="n">
        <v>0</v>
      </c>
      <c r="J271" t="n">
        <v>1</v>
      </c>
      <c r="K271" t="n">
        <v>0</v>
      </c>
      <c r="L271" t="n">
        <v>0</v>
      </c>
      <c r="M271" t="n">
        <v>0</v>
      </c>
      <c r="N271" t="n">
        <v>0</v>
      </c>
      <c r="O271" t="n">
        <v>1</v>
      </c>
      <c r="P271" t="n">
        <v>0</v>
      </c>
      <c r="Q271" t="n">
        <v>1</v>
      </c>
      <c r="R271" s="2" t="inlineStr">
        <is>
          <t>Skrovlig flatbagge</t>
        </is>
      </c>
      <c r="S271">
        <f>HYPERLINK("https://klasma.github.io/Logging_2260/artfynd/A 18006-2024 artfynd.xlsx", "A 18006-2024")</f>
        <v/>
      </c>
      <c r="T271">
        <f>HYPERLINK("https://klasma.github.io/Logging_2260/kartor/A 18006-2024 karta.png", "A 18006-2024")</f>
        <v/>
      </c>
      <c r="V271">
        <f>HYPERLINK("https://klasma.github.io/Logging_2260/klagomål/A 18006-2024 FSC-klagomål.docx", "A 18006-2024")</f>
        <v/>
      </c>
      <c r="W271">
        <f>HYPERLINK("https://klasma.github.io/Logging_2260/klagomålsmail/A 18006-2024 FSC-klagomål mail.docx", "A 18006-2024")</f>
        <v/>
      </c>
      <c r="X271">
        <f>HYPERLINK("https://klasma.github.io/Logging_2260/tillsyn/A 18006-2024 tillsynsbegäran.docx", "A 18006-2024")</f>
        <v/>
      </c>
      <c r="Y271">
        <f>HYPERLINK("https://klasma.github.io/Logging_2260/tillsynsmail/A 18006-2024 tillsynsbegäran mail.docx", "A 18006-2024")</f>
        <v/>
      </c>
    </row>
    <row r="272" ht="15" customHeight="1">
      <c r="A272" t="inlineStr">
        <is>
          <t>A 18625-2024</t>
        </is>
      </c>
      <c r="B272" s="1" t="n">
        <v>45425</v>
      </c>
      <c r="C272" s="1" t="n">
        <v>45713</v>
      </c>
      <c r="D272" t="inlineStr">
        <is>
          <t>VÄSTERNORRLANDS LÄN</t>
        </is>
      </c>
      <c r="E272" t="inlineStr">
        <is>
          <t>ÅNGE</t>
        </is>
      </c>
      <c r="F272" t="inlineStr">
        <is>
          <t>SCA</t>
        </is>
      </c>
      <c r="G272" t="n">
        <v>2.6</v>
      </c>
      <c r="H272" t="n">
        <v>1</v>
      </c>
      <c r="I272" t="n">
        <v>1</v>
      </c>
      <c r="J272" t="n">
        <v>0</v>
      </c>
      <c r="K272" t="n">
        <v>0</v>
      </c>
      <c r="L272" t="n">
        <v>0</v>
      </c>
      <c r="M272" t="n">
        <v>0</v>
      </c>
      <c r="N272" t="n">
        <v>0</v>
      </c>
      <c r="O272" t="n">
        <v>0</v>
      </c>
      <c r="P272" t="n">
        <v>0</v>
      </c>
      <c r="Q272" t="n">
        <v>1</v>
      </c>
      <c r="R272" s="2" t="inlineStr">
        <is>
          <t>Tvåblad</t>
        </is>
      </c>
      <c r="S272">
        <f>HYPERLINK("https://klasma.github.io/Logging_2260/artfynd/A 18625-2024 artfynd.xlsx", "A 18625-2024")</f>
        <v/>
      </c>
      <c r="T272">
        <f>HYPERLINK("https://klasma.github.io/Logging_2260/kartor/A 18625-2024 karta.png", "A 18625-2024")</f>
        <v/>
      </c>
      <c r="V272">
        <f>HYPERLINK("https://klasma.github.io/Logging_2260/klagomål/A 18625-2024 FSC-klagomål.docx", "A 18625-2024")</f>
        <v/>
      </c>
      <c r="W272">
        <f>HYPERLINK("https://klasma.github.io/Logging_2260/klagomålsmail/A 18625-2024 FSC-klagomål mail.docx", "A 18625-2024")</f>
        <v/>
      </c>
      <c r="X272">
        <f>HYPERLINK("https://klasma.github.io/Logging_2260/tillsyn/A 18625-2024 tillsynsbegäran.docx", "A 18625-2024")</f>
        <v/>
      </c>
      <c r="Y272">
        <f>HYPERLINK("https://klasma.github.io/Logging_2260/tillsynsmail/A 18625-2024 tillsynsbegäran mail.docx", "A 18625-2024")</f>
        <v/>
      </c>
    </row>
    <row r="273" ht="15" customHeight="1">
      <c r="A273" t="inlineStr">
        <is>
          <t>A 21090-2024</t>
        </is>
      </c>
      <c r="B273" s="1" t="n">
        <v>45439</v>
      </c>
      <c r="C273" s="1" t="n">
        <v>45713</v>
      </c>
      <c r="D273" t="inlineStr">
        <is>
          <t>VÄSTERNORRLANDS LÄN</t>
        </is>
      </c>
      <c r="E273" t="inlineStr">
        <is>
          <t>ÅNGE</t>
        </is>
      </c>
      <c r="F273" t="inlineStr">
        <is>
          <t>SCA</t>
        </is>
      </c>
      <c r="G273" t="n">
        <v>1.9</v>
      </c>
      <c r="H273" t="n">
        <v>0</v>
      </c>
      <c r="I273" t="n">
        <v>0</v>
      </c>
      <c r="J273" t="n">
        <v>1</v>
      </c>
      <c r="K273" t="n">
        <v>0</v>
      </c>
      <c r="L273" t="n">
        <v>0</v>
      </c>
      <c r="M273" t="n">
        <v>0</v>
      </c>
      <c r="N273" t="n">
        <v>0</v>
      </c>
      <c r="O273" t="n">
        <v>1</v>
      </c>
      <c r="P273" t="n">
        <v>0</v>
      </c>
      <c r="Q273" t="n">
        <v>1</v>
      </c>
      <c r="R273" s="2" t="inlineStr">
        <is>
          <t>Rosenticka</t>
        </is>
      </c>
      <c r="S273">
        <f>HYPERLINK("https://klasma.github.io/Logging_2260/artfynd/A 21090-2024 artfynd.xlsx", "A 21090-2024")</f>
        <v/>
      </c>
      <c r="T273">
        <f>HYPERLINK("https://klasma.github.io/Logging_2260/kartor/A 21090-2024 karta.png", "A 21090-2024")</f>
        <v/>
      </c>
      <c r="V273">
        <f>HYPERLINK("https://klasma.github.io/Logging_2260/klagomål/A 21090-2024 FSC-klagomål.docx", "A 21090-2024")</f>
        <v/>
      </c>
      <c r="W273">
        <f>HYPERLINK("https://klasma.github.io/Logging_2260/klagomålsmail/A 21090-2024 FSC-klagomål mail.docx", "A 21090-2024")</f>
        <v/>
      </c>
      <c r="X273">
        <f>HYPERLINK("https://klasma.github.io/Logging_2260/tillsyn/A 21090-2024 tillsynsbegäran.docx", "A 21090-2024")</f>
        <v/>
      </c>
      <c r="Y273">
        <f>HYPERLINK("https://klasma.github.io/Logging_2260/tillsynsmail/A 21090-2024 tillsynsbegäran mail.docx", "A 21090-2024")</f>
        <v/>
      </c>
    </row>
    <row r="274" ht="15" customHeight="1">
      <c r="A274" t="inlineStr">
        <is>
          <t>A 20914-2024</t>
        </is>
      </c>
      <c r="B274" s="1" t="n">
        <v>45439</v>
      </c>
      <c r="C274" s="1" t="n">
        <v>45713</v>
      </c>
      <c r="D274" t="inlineStr">
        <is>
          <t>VÄSTERNORRLANDS LÄN</t>
        </is>
      </c>
      <c r="E274" t="inlineStr">
        <is>
          <t>ÅNGE</t>
        </is>
      </c>
      <c r="F274" t="inlineStr">
        <is>
          <t>Sveaskog</t>
        </is>
      </c>
      <c r="G274" t="n">
        <v>4.6</v>
      </c>
      <c r="H274" t="n">
        <v>0</v>
      </c>
      <c r="I274" t="n">
        <v>0</v>
      </c>
      <c r="J274" t="n">
        <v>1</v>
      </c>
      <c r="K274" t="n">
        <v>0</v>
      </c>
      <c r="L274" t="n">
        <v>0</v>
      </c>
      <c r="M274" t="n">
        <v>0</v>
      </c>
      <c r="N274" t="n">
        <v>0</v>
      </c>
      <c r="O274" t="n">
        <v>1</v>
      </c>
      <c r="P274" t="n">
        <v>0</v>
      </c>
      <c r="Q274" t="n">
        <v>1</v>
      </c>
      <c r="R274" s="2" t="inlineStr">
        <is>
          <t>Garnlav</t>
        </is>
      </c>
      <c r="S274">
        <f>HYPERLINK("https://klasma.github.io/Logging_2260/artfynd/A 20914-2024 artfynd.xlsx", "A 20914-2024")</f>
        <v/>
      </c>
      <c r="T274">
        <f>HYPERLINK("https://klasma.github.io/Logging_2260/kartor/A 20914-2024 karta.png", "A 20914-2024")</f>
        <v/>
      </c>
      <c r="V274">
        <f>HYPERLINK("https://klasma.github.io/Logging_2260/klagomål/A 20914-2024 FSC-klagomål.docx", "A 20914-2024")</f>
        <v/>
      </c>
      <c r="W274">
        <f>HYPERLINK("https://klasma.github.io/Logging_2260/klagomålsmail/A 20914-2024 FSC-klagomål mail.docx", "A 20914-2024")</f>
        <v/>
      </c>
      <c r="X274">
        <f>HYPERLINK("https://klasma.github.io/Logging_2260/tillsyn/A 20914-2024 tillsynsbegäran.docx", "A 20914-2024")</f>
        <v/>
      </c>
      <c r="Y274">
        <f>HYPERLINK("https://klasma.github.io/Logging_2260/tillsynsmail/A 20914-2024 tillsynsbegäran mail.docx", "A 20914-2024")</f>
        <v/>
      </c>
    </row>
    <row r="275" ht="15" customHeight="1">
      <c r="A275" t="inlineStr">
        <is>
          <t>A 24799-2024</t>
        </is>
      </c>
      <c r="B275" s="1" t="n">
        <v>45460</v>
      </c>
      <c r="C275" s="1" t="n">
        <v>45713</v>
      </c>
      <c r="D275" t="inlineStr">
        <is>
          <t>VÄSTERNORRLANDS LÄN</t>
        </is>
      </c>
      <c r="E275" t="inlineStr">
        <is>
          <t>ÅNGE</t>
        </is>
      </c>
      <c r="F275" t="inlineStr">
        <is>
          <t>SCA</t>
        </is>
      </c>
      <c r="G275" t="n">
        <v>2.8</v>
      </c>
      <c r="H275" t="n">
        <v>1</v>
      </c>
      <c r="I275" t="n">
        <v>0</v>
      </c>
      <c r="J275" t="n">
        <v>0</v>
      </c>
      <c r="K275" t="n">
        <v>1</v>
      </c>
      <c r="L275" t="n">
        <v>0</v>
      </c>
      <c r="M275" t="n">
        <v>0</v>
      </c>
      <c r="N275" t="n">
        <v>0</v>
      </c>
      <c r="O275" t="n">
        <v>1</v>
      </c>
      <c r="P275" t="n">
        <v>1</v>
      </c>
      <c r="Q275" t="n">
        <v>1</v>
      </c>
      <c r="R275" s="2" t="inlineStr">
        <is>
          <t>Doftticka</t>
        </is>
      </c>
      <c r="S275">
        <f>HYPERLINK("https://klasma.github.io/Logging_2260/artfynd/A 24799-2024 artfynd.xlsx", "A 24799-2024")</f>
        <v/>
      </c>
      <c r="T275">
        <f>HYPERLINK("https://klasma.github.io/Logging_2260/kartor/A 24799-2024 karta.png", "A 24799-2024")</f>
        <v/>
      </c>
      <c r="V275">
        <f>HYPERLINK("https://klasma.github.io/Logging_2260/klagomål/A 24799-2024 FSC-klagomål.docx", "A 24799-2024")</f>
        <v/>
      </c>
      <c r="W275">
        <f>HYPERLINK("https://klasma.github.io/Logging_2260/klagomålsmail/A 24799-2024 FSC-klagomål mail.docx", "A 24799-2024")</f>
        <v/>
      </c>
      <c r="X275">
        <f>HYPERLINK("https://klasma.github.io/Logging_2260/tillsyn/A 24799-2024 tillsynsbegäran.docx", "A 24799-2024")</f>
        <v/>
      </c>
      <c r="Y275">
        <f>HYPERLINK("https://klasma.github.io/Logging_2260/tillsynsmail/A 24799-2024 tillsynsbegäran mail.docx", "A 24799-2024")</f>
        <v/>
      </c>
    </row>
    <row r="276" ht="15" customHeight="1">
      <c r="A276" t="inlineStr">
        <is>
          <t>A 25705-2024</t>
        </is>
      </c>
      <c r="B276" s="1" t="n">
        <v>45464</v>
      </c>
      <c r="C276" s="1" t="n">
        <v>45713</v>
      </c>
      <c r="D276" t="inlineStr">
        <is>
          <t>VÄSTERNORRLANDS LÄN</t>
        </is>
      </c>
      <c r="E276" t="inlineStr">
        <is>
          <t>ÅNGE</t>
        </is>
      </c>
      <c r="F276" t="inlineStr">
        <is>
          <t>SCA</t>
        </is>
      </c>
      <c r="G276" t="n">
        <v>10.6</v>
      </c>
      <c r="H276" t="n">
        <v>1</v>
      </c>
      <c r="I276" t="n">
        <v>1</v>
      </c>
      <c r="J276" t="n">
        <v>0</v>
      </c>
      <c r="K276" t="n">
        <v>0</v>
      </c>
      <c r="L276" t="n">
        <v>0</v>
      </c>
      <c r="M276" t="n">
        <v>0</v>
      </c>
      <c r="N276" t="n">
        <v>0</v>
      </c>
      <c r="O276" t="n">
        <v>0</v>
      </c>
      <c r="P276" t="n">
        <v>0</v>
      </c>
      <c r="Q276" t="n">
        <v>1</v>
      </c>
      <c r="R276" s="2" t="inlineStr">
        <is>
          <t>Korallrot</t>
        </is>
      </c>
      <c r="S276">
        <f>HYPERLINK("https://klasma.github.io/Logging_2260/artfynd/A 25705-2024 artfynd.xlsx", "A 25705-2024")</f>
        <v/>
      </c>
      <c r="T276">
        <f>HYPERLINK("https://klasma.github.io/Logging_2260/kartor/A 25705-2024 karta.png", "A 25705-2024")</f>
        <v/>
      </c>
      <c r="V276">
        <f>HYPERLINK("https://klasma.github.io/Logging_2260/klagomål/A 25705-2024 FSC-klagomål.docx", "A 25705-2024")</f>
        <v/>
      </c>
      <c r="W276">
        <f>HYPERLINK("https://klasma.github.io/Logging_2260/klagomålsmail/A 25705-2024 FSC-klagomål mail.docx", "A 25705-2024")</f>
        <v/>
      </c>
      <c r="X276">
        <f>HYPERLINK("https://klasma.github.io/Logging_2260/tillsyn/A 25705-2024 tillsynsbegäran.docx", "A 25705-2024")</f>
        <v/>
      </c>
      <c r="Y276">
        <f>HYPERLINK("https://klasma.github.io/Logging_2260/tillsynsmail/A 25705-2024 tillsynsbegäran mail.docx", "A 25705-2024")</f>
        <v/>
      </c>
    </row>
    <row r="277" ht="15" customHeight="1">
      <c r="A277" t="inlineStr">
        <is>
          <t>A 27308-2024</t>
        </is>
      </c>
      <c r="B277" s="1" t="n">
        <v>45471</v>
      </c>
      <c r="C277" s="1" t="n">
        <v>45713</v>
      </c>
      <c r="D277" t="inlineStr">
        <is>
          <t>VÄSTERNORRLANDS LÄN</t>
        </is>
      </c>
      <c r="E277" t="inlineStr">
        <is>
          <t>ÅNGE</t>
        </is>
      </c>
      <c r="F277" t="inlineStr">
        <is>
          <t>SCA</t>
        </is>
      </c>
      <c r="G277" t="n">
        <v>15.9</v>
      </c>
      <c r="H277" t="n">
        <v>0</v>
      </c>
      <c r="I277" t="n">
        <v>0</v>
      </c>
      <c r="J277" t="n">
        <v>1</v>
      </c>
      <c r="K277" t="n">
        <v>0</v>
      </c>
      <c r="L277" t="n">
        <v>0</v>
      </c>
      <c r="M277" t="n">
        <v>0</v>
      </c>
      <c r="N277" t="n">
        <v>0</v>
      </c>
      <c r="O277" t="n">
        <v>1</v>
      </c>
      <c r="P277" t="n">
        <v>0</v>
      </c>
      <c r="Q277" t="n">
        <v>1</v>
      </c>
      <c r="R277" s="2" t="inlineStr">
        <is>
          <t>Lunglav</t>
        </is>
      </c>
      <c r="S277">
        <f>HYPERLINK("https://klasma.github.io/Logging_2260/artfynd/A 27308-2024 artfynd.xlsx", "A 27308-2024")</f>
        <v/>
      </c>
      <c r="T277">
        <f>HYPERLINK("https://klasma.github.io/Logging_2260/kartor/A 27308-2024 karta.png", "A 27308-2024")</f>
        <v/>
      </c>
      <c r="V277">
        <f>HYPERLINK("https://klasma.github.io/Logging_2260/klagomål/A 27308-2024 FSC-klagomål.docx", "A 27308-2024")</f>
        <v/>
      </c>
      <c r="W277">
        <f>HYPERLINK("https://klasma.github.io/Logging_2260/klagomålsmail/A 27308-2024 FSC-klagomål mail.docx", "A 27308-2024")</f>
        <v/>
      </c>
      <c r="X277">
        <f>HYPERLINK("https://klasma.github.io/Logging_2260/tillsyn/A 27308-2024 tillsynsbegäran.docx", "A 27308-2024")</f>
        <v/>
      </c>
      <c r="Y277">
        <f>HYPERLINK("https://klasma.github.io/Logging_2260/tillsynsmail/A 27308-2024 tillsynsbegäran mail.docx", "A 27308-2024")</f>
        <v/>
      </c>
    </row>
    <row r="278" ht="15" customHeight="1">
      <c r="A278" t="inlineStr">
        <is>
          <t>A 30482-2024</t>
        </is>
      </c>
      <c r="B278" s="1" t="n">
        <v>45492</v>
      </c>
      <c r="C278" s="1" t="n">
        <v>45713</v>
      </c>
      <c r="D278" t="inlineStr">
        <is>
          <t>VÄSTERNORRLANDS LÄN</t>
        </is>
      </c>
      <c r="E278" t="inlineStr">
        <is>
          <t>ÅNGE</t>
        </is>
      </c>
      <c r="F278" t="inlineStr">
        <is>
          <t>SCA</t>
        </is>
      </c>
      <c r="G278" t="n">
        <v>4.3</v>
      </c>
      <c r="H278" t="n">
        <v>1</v>
      </c>
      <c r="I278" t="n">
        <v>1</v>
      </c>
      <c r="J278" t="n">
        <v>0</v>
      </c>
      <c r="K278" t="n">
        <v>0</v>
      </c>
      <c r="L278" t="n">
        <v>0</v>
      </c>
      <c r="M278" t="n">
        <v>0</v>
      </c>
      <c r="N278" t="n">
        <v>0</v>
      </c>
      <c r="O278" t="n">
        <v>0</v>
      </c>
      <c r="P278" t="n">
        <v>0</v>
      </c>
      <c r="Q278" t="n">
        <v>1</v>
      </c>
      <c r="R278" s="2" t="inlineStr">
        <is>
          <t>Plattlummer</t>
        </is>
      </c>
      <c r="S278">
        <f>HYPERLINK("https://klasma.github.io/Logging_2260/artfynd/A 30482-2024 artfynd.xlsx", "A 30482-2024")</f>
        <v/>
      </c>
      <c r="T278">
        <f>HYPERLINK("https://klasma.github.io/Logging_2260/kartor/A 30482-2024 karta.png", "A 30482-2024")</f>
        <v/>
      </c>
      <c r="U278">
        <f>HYPERLINK("https://klasma.github.io/Logging_2260/knärot/A 30482-2024 karta knärot.png", "A 30482-2024")</f>
        <v/>
      </c>
      <c r="V278">
        <f>HYPERLINK("https://klasma.github.io/Logging_2260/klagomål/A 30482-2024 FSC-klagomål.docx", "A 30482-2024")</f>
        <v/>
      </c>
      <c r="W278">
        <f>HYPERLINK("https://klasma.github.io/Logging_2260/klagomålsmail/A 30482-2024 FSC-klagomål mail.docx", "A 30482-2024")</f>
        <v/>
      </c>
      <c r="X278">
        <f>HYPERLINK("https://klasma.github.io/Logging_2260/tillsyn/A 30482-2024 tillsynsbegäran.docx", "A 30482-2024")</f>
        <v/>
      </c>
      <c r="Y278">
        <f>HYPERLINK("https://klasma.github.io/Logging_2260/tillsynsmail/A 30482-2024 tillsynsbegäran mail.docx", "A 30482-2024")</f>
        <v/>
      </c>
    </row>
    <row r="279" ht="15" customHeight="1">
      <c r="A279" t="inlineStr">
        <is>
          <t>A 31544-2024</t>
        </is>
      </c>
      <c r="B279" s="1" t="n">
        <v>45505</v>
      </c>
      <c r="C279" s="1" t="n">
        <v>45713</v>
      </c>
      <c r="D279" t="inlineStr">
        <is>
          <t>VÄSTERNORRLANDS LÄN</t>
        </is>
      </c>
      <c r="E279" t="inlineStr">
        <is>
          <t>ÅNGE</t>
        </is>
      </c>
      <c r="F279" t="inlineStr">
        <is>
          <t>SCA</t>
        </is>
      </c>
      <c r="G279" t="n">
        <v>3.5</v>
      </c>
      <c r="H279" t="n">
        <v>0</v>
      </c>
      <c r="I279" t="n">
        <v>0</v>
      </c>
      <c r="J279" t="n">
        <v>1</v>
      </c>
      <c r="K279" t="n">
        <v>0</v>
      </c>
      <c r="L279" t="n">
        <v>0</v>
      </c>
      <c r="M279" t="n">
        <v>0</v>
      </c>
      <c r="N279" t="n">
        <v>0</v>
      </c>
      <c r="O279" t="n">
        <v>1</v>
      </c>
      <c r="P279" t="n">
        <v>0</v>
      </c>
      <c r="Q279" t="n">
        <v>1</v>
      </c>
      <c r="R279" s="2" t="inlineStr">
        <is>
          <t>Granticka</t>
        </is>
      </c>
      <c r="S279">
        <f>HYPERLINK("https://klasma.github.io/Logging_2260/artfynd/A 31544-2024 artfynd.xlsx", "A 31544-2024")</f>
        <v/>
      </c>
      <c r="T279">
        <f>HYPERLINK("https://klasma.github.io/Logging_2260/kartor/A 31544-2024 karta.png", "A 31544-2024")</f>
        <v/>
      </c>
      <c r="V279">
        <f>HYPERLINK("https://klasma.github.io/Logging_2260/klagomål/A 31544-2024 FSC-klagomål.docx", "A 31544-2024")</f>
        <v/>
      </c>
      <c r="W279">
        <f>HYPERLINK("https://klasma.github.io/Logging_2260/klagomålsmail/A 31544-2024 FSC-klagomål mail.docx", "A 31544-2024")</f>
        <v/>
      </c>
      <c r="X279">
        <f>HYPERLINK("https://klasma.github.io/Logging_2260/tillsyn/A 31544-2024 tillsynsbegäran.docx", "A 31544-2024")</f>
        <v/>
      </c>
      <c r="Y279">
        <f>HYPERLINK("https://klasma.github.io/Logging_2260/tillsynsmail/A 31544-2024 tillsynsbegäran mail.docx", "A 31544-2024")</f>
        <v/>
      </c>
    </row>
    <row r="280" ht="15" customHeight="1">
      <c r="A280" t="inlineStr">
        <is>
          <t>A 31510-2024</t>
        </is>
      </c>
      <c r="B280" s="1" t="n">
        <v>45505</v>
      </c>
      <c r="C280" s="1" t="n">
        <v>45713</v>
      </c>
      <c r="D280" t="inlineStr">
        <is>
          <t>VÄSTERNORRLANDS LÄN</t>
        </is>
      </c>
      <c r="E280" t="inlineStr">
        <is>
          <t>ÅNGE</t>
        </is>
      </c>
      <c r="F280" t="inlineStr">
        <is>
          <t>SCA</t>
        </is>
      </c>
      <c r="G280" t="n">
        <v>6</v>
      </c>
      <c r="H280" t="n">
        <v>1</v>
      </c>
      <c r="I280" t="n">
        <v>0</v>
      </c>
      <c r="J280" t="n">
        <v>0</v>
      </c>
      <c r="K280" t="n">
        <v>1</v>
      </c>
      <c r="L280" t="n">
        <v>0</v>
      </c>
      <c r="M280" t="n">
        <v>0</v>
      </c>
      <c r="N280" t="n">
        <v>0</v>
      </c>
      <c r="O280" t="n">
        <v>1</v>
      </c>
      <c r="P280" t="n">
        <v>1</v>
      </c>
      <c r="Q280" t="n">
        <v>1</v>
      </c>
      <c r="R280" s="2" t="inlineStr">
        <is>
          <t>Doftticka</t>
        </is>
      </c>
      <c r="S280">
        <f>HYPERLINK("https://klasma.github.io/Logging_2260/artfynd/A 31510-2024 artfynd.xlsx", "A 31510-2024")</f>
        <v/>
      </c>
      <c r="T280">
        <f>HYPERLINK("https://klasma.github.io/Logging_2260/kartor/A 31510-2024 karta.png", "A 31510-2024")</f>
        <v/>
      </c>
      <c r="V280">
        <f>HYPERLINK("https://klasma.github.io/Logging_2260/klagomål/A 31510-2024 FSC-klagomål.docx", "A 31510-2024")</f>
        <v/>
      </c>
      <c r="W280">
        <f>HYPERLINK("https://klasma.github.io/Logging_2260/klagomålsmail/A 31510-2024 FSC-klagomål mail.docx", "A 31510-2024")</f>
        <v/>
      </c>
      <c r="X280">
        <f>HYPERLINK("https://klasma.github.io/Logging_2260/tillsyn/A 31510-2024 tillsynsbegäran.docx", "A 31510-2024")</f>
        <v/>
      </c>
      <c r="Y280">
        <f>HYPERLINK("https://klasma.github.io/Logging_2260/tillsynsmail/A 31510-2024 tillsynsbegäran mail.docx", "A 31510-2024")</f>
        <v/>
      </c>
    </row>
    <row r="281" ht="15" customHeight="1">
      <c r="A281" t="inlineStr">
        <is>
          <t>A 31878-2024</t>
        </is>
      </c>
      <c r="B281" s="1" t="n">
        <v>45509</v>
      </c>
      <c r="C281" s="1" t="n">
        <v>45713</v>
      </c>
      <c r="D281" t="inlineStr">
        <is>
          <t>VÄSTERNORRLANDS LÄN</t>
        </is>
      </c>
      <c r="E281" t="inlineStr">
        <is>
          <t>ÅNGE</t>
        </is>
      </c>
      <c r="F281" t="inlineStr">
        <is>
          <t>SCA</t>
        </is>
      </c>
      <c r="G281" t="n">
        <v>5.1</v>
      </c>
      <c r="H281" t="n">
        <v>0</v>
      </c>
      <c r="I281" t="n">
        <v>1</v>
      </c>
      <c r="J281" t="n">
        <v>0</v>
      </c>
      <c r="K281" t="n">
        <v>0</v>
      </c>
      <c r="L281" t="n">
        <v>0</v>
      </c>
      <c r="M281" t="n">
        <v>0</v>
      </c>
      <c r="N281" t="n">
        <v>0</v>
      </c>
      <c r="O281" t="n">
        <v>0</v>
      </c>
      <c r="P281" t="n">
        <v>0</v>
      </c>
      <c r="Q281" t="n">
        <v>1</v>
      </c>
      <c r="R281" s="2" t="inlineStr">
        <is>
          <t>Grönpyrola</t>
        </is>
      </c>
      <c r="S281">
        <f>HYPERLINK("https://klasma.github.io/Logging_2260/artfynd/A 31878-2024 artfynd.xlsx", "A 31878-2024")</f>
        <v/>
      </c>
      <c r="T281">
        <f>HYPERLINK("https://klasma.github.io/Logging_2260/kartor/A 31878-2024 karta.png", "A 31878-2024")</f>
        <v/>
      </c>
      <c r="V281">
        <f>HYPERLINK("https://klasma.github.io/Logging_2260/klagomål/A 31878-2024 FSC-klagomål.docx", "A 31878-2024")</f>
        <v/>
      </c>
      <c r="W281">
        <f>HYPERLINK("https://klasma.github.io/Logging_2260/klagomålsmail/A 31878-2024 FSC-klagomål mail.docx", "A 31878-2024")</f>
        <v/>
      </c>
      <c r="X281">
        <f>HYPERLINK("https://klasma.github.io/Logging_2260/tillsyn/A 31878-2024 tillsynsbegäran.docx", "A 31878-2024")</f>
        <v/>
      </c>
      <c r="Y281">
        <f>HYPERLINK("https://klasma.github.io/Logging_2260/tillsynsmail/A 31878-2024 tillsynsbegäran mail.docx", "A 31878-2024")</f>
        <v/>
      </c>
    </row>
    <row r="282" ht="15" customHeight="1">
      <c r="A282" t="inlineStr">
        <is>
          <t>A 31877-2024</t>
        </is>
      </c>
      <c r="B282" s="1" t="n">
        <v>45509</v>
      </c>
      <c r="C282" s="1" t="n">
        <v>45713</v>
      </c>
      <c r="D282" t="inlineStr">
        <is>
          <t>VÄSTERNORRLANDS LÄN</t>
        </is>
      </c>
      <c r="E282" t="inlineStr">
        <is>
          <t>ÅNGE</t>
        </is>
      </c>
      <c r="F282" t="inlineStr">
        <is>
          <t>SCA</t>
        </is>
      </c>
      <c r="G282" t="n">
        <v>8</v>
      </c>
      <c r="H282" t="n">
        <v>1</v>
      </c>
      <c r="I282" t="n">
        <v>0</v>
      </c>
      <c r="J282" t="n">
        <v>0</v>
      </c>
      <c r="K282" t="n">
        <v>1</v>
      </c>
      <c r="L282" t="n">
        <v>0</v>
      </c>
      <c r="M282" t="n">
        <v>0</v>
      </c>
      <c r="N282" t="n">
        <v>0</v>
      </c>
      <c r="O282" t="n">
        <v>1</v>
      </c>
      <c r="P282" t="n">
        <v>1</v>
      </c>
      <c r="Q282" t="n">
        <v>1</v>
      </c>
      <c r="R282" s="2" t="inlineStr">
        <is>
          <t>Knärot</t>
        </is>
      </c>
      <c r="S282">
        <f>HYPERLINK("https://klasma.github.io/Logging_2260/artfynd/A 31877-2024 artfynd.xlsx", "A 31877-2024")</f>
        <v/>
      </c>
      <c r="T282">
        <f>HYPERLINK("https://klasma.github.io/Logging_2260/kartor/A 31877-2024 karta.png", "A 31877-2024")</f>
        <v/>
      </c>
      <c r="U282">
        <f>HYPERLINK("https://klasma.github.io/Logging_2260/knärot/A 31877-2024 karta knärot.png", "A 31877-2024")</f>
        <v/>
      </c>
      <c r="V282">
        <f>HYPERLINK("https://klasma.github.io/Logging_2260/klagomål/A 31877-2024 FSC-klagomål.docx", "A 31877-2024")</f>
        <v/>
      </c>
      <c r="W282">
        <f>HYPERLINK("https://klasma.github.io/Logging_2260/klagomålsmail/A 31877-2024 FSC-klagomål mail.docx", "A 31877-2024")</f>
        <v/>
      </c>
      <c r="X282">
        <f>HYPERLINK("https://klasma.github.io/Logging_2260/tillsyn/A 31877-2024 tillsynsbegäran.docx", "A 31877-2024")</f>
        <v/>
      </c>
      <c r="Y282">
        <f>HYPERLINK("https://klasma.github.io/Logging_2260/tillsynsmail/A 31877-2024 tillsynsbegäran mail.docx", "A 31877-2024")</f>
        <v/>
      </c>
    </row>
    <row r="283" ht="15" customHeight="1">
      <c r="A283" t="inlineStr">
        <is>
          <t>A 32457-2024</t>
        </is>
      </c>
      <c r="B283" s="1" t="n">
        <v>45512</v>
      </c>
      <c r="C283" s="1" t="n">
        <v>45713</v>
      </c>
      <c r="D283" t="inlineStr">
        <is>
          <t>VÄSTERNORRLANDS LÄN</t>
        </is>
      </c>
      <c r="E283" t="inlineStr">
        <is>
          <t>ÅNGE</t>
        </is>
      </c>
      <c r="F283" t="inlineStr">
        <is>
          <t>SCA</t>
        </is>
      </c>
      <c r="G283" t="n">
        <v>1.3</v>
      </c>
      <c r="H283" t="n">
        <v>0</v>
      </c>
      <c r="I283" t="n">
        <v>0</v>
      </c>
      <c r="J283" t="n">
        <v>1</v>
      </c>
      <c r="K283" t="n">
        <v>0</v>
      </c>
      <c r="L283" t="n">
        <v>0</v>
      </c>
      <c r="M283" t="n">
        <v>0</v>
      </c>
      <c r="N283" t="n">
        <v>0</v>
      </c>
      <c r="O283" t="n">
        <v>1</v>
      </c>
      <c r="P283" t="n">
        <v>0</v>
      </c>
      <c r="Q283" t="n">
        <v>1</v>
      </c>
      <c r="R283" s="2" t="inlineStr">
        <is>
          <t>Ullticka</t>
        </is>
      </c>
      <c r="S283">
        <f>HYPERLINK("https://klasma.github.io/Logging_2260/artfynd/A 32457-2024 artfynd.xlsx", "A 32457-2024")</f>
        <v/>
      </c>
      <c r="T283">
        <f>HYPERLINK("https://klasma.github.io/Logging_2260/kartor/A 32457-2024 karta.png", "A 32457-2024")</f>
        <v/>
      </c>
      <c r="V283">
        <f>HYPERLINK("https://klasma.github.io/Logging_2260/klagomål/A 32457-2024 FSC-klagomål.docx", "A 32457-2024")</f>
        <v/>
      </c>
      <c r="W283">
        <f>HYPERLINK("https://klasma.github.io/Logging_2260/klagomålsmail/A 32457-2024 FSC-klagomål mail.docx", "A 32457-2024")</f>
        <v/>
      </c>
      <c r="X283">
        <f>HYPERLINK("https://klasma.github.io/Logging_2260/tillsyn/A 32457-2024 tillsynsbegäran.docx", "A 32457-2024")</f>
        <v/>
      </c>
      <c r="Y283">
        <f>HYPERLINK("https://klasma.github.io/Logging_2260/tillsynsmail/A 32457-2024 tillsynsbegäran mail.docx", "A 32457-2024")</f>
        <v/>
      </c>
    </row>
    <row r="284" ht="15" customHeight="1">
      <c r="A284" t="inlineStr">
        <is>
          <t>A 33309-2024</t>
        </is>
      </c>
      <c r="B284" s="1" t="n">
        <v>45518</v>
      </c>
      <c r="C284" s="1" t="n">
        <v>45713</v>
      </c>
      <c r="D284" t="inlineStr">
        <is>
          <t>VÄSTERNORRLANDS LÄN</t>
        </is>
      </c>
      <c r="E284" t="inlineStr">
        <is>
          <t>ÅNGE</t>
        </is>
      </c>
      <c r="F284" t="inlineStr">
        <is>
          <t>SCA</t>
        </is>
      </c>
      <c r="G284" t="n">
        <v>12.8</v>
      </c>
      <c r="H284" t="n">
        <v>1</v>
      </c>
      <c r="I284" t="n">
        <v>0</v>
      </c>
      <c r="J284" t="n">
        <v>0</v>
      </c>
      <c r="K284" t="n">
        <v>1</v>
      </c>
      <c r="L284" t="n">
        <v>0</v>
      </c>
      <c r="M284" t="n">
        <v>0</v>
      </c>
      <c r="N284" t="n">
        <v>0</v>
      </c>
      <c r="O284" t="n">
        <v>1</v>
      </c>
      <c r="P284" t="n">
        <v>1</v>
      </c>
      <c r="Q284" t="n">
        <v>1</v>
      </c>
      <c r="R284" s="2" t="inlineStr">
        <is>
          <t>Knärot</t>
        </is>
      </c>
      <c r="S284">
        <f>HYPERLINK("https://klasma.github.io/Logging_2260/artfynd/A 33309-2024 artfynd.xlsx", "A 33309-2024")</f>
        <v/>
      </c>
      <c r="T284">
        <f>HYPERLINK("https://klasma.github.io/Logging_2260/kartor/A 33309-2024 karta.png", "A 33309-2024")</f>
        <v/>
      </c>
      <c r="U284">
        <f>HYPERLINK("https://klasma.github.io/Logging_2260/knärot/A 33309-2024 karta knärot.png", "A 33309-2024")</f>
        <v/>
      </c>
      <c r="V284">
        <f>HYPERLINK("https://klasma.github.io/Logging_2260/klagomål/A 33309-2024 FSC-klagomål.docx", "A 33309-2024")</f>
        <v/>
      </c>
      <c r="W284">
        <f>HYPERLINK("https://klasma.github.io/Logging_2260/klagomålsmail/A 33309-2024 FSC-klagomål mail.docx", "A 33309-2024")</f>
        <v/>
      </c>
      <c r="X284">
        <f>HYPERLINK("https://klasma.github.io/Logging_2260/tillsyn/A 33309-2024 tillsynsbegäran.docx", "A 33309-2024")</f>
        <v/>
      </c>
      <c r="Y284">
        <f>HYPERLINK("https://klasma.github.io/Logging_2260/tillsynsmail/A 33309-2024 tillsynsbegäran mail.docx", "A 33309-2024")</f>
        <v/>
      </c>
    </row>
    <row r="285" ht="15" customHeight="1">
      <c r="A285" t="inlineStr">
        <is>
          <t>A 34696-2024</t>
        </is>
      </c>
      <c r="B285" s="1" t="n">
        <v>45526</v>
      </c>
      <c r="C285" s="1" t="n">
        <v>45713</v>
      </c>
      <c r="D285" t="inlineStr">
        <is>
          <t>VÄSTERNORRLANDS LÄN</t>
        </is>
      </c>
      <c r="E285" t="inlineStr">
        <is>
          <t>ÅNGE</t>
        </is>
      </c>
      <c r="G285" t="n">
        <v>3.6</v>
      </c>
      <c r="H285" t="n">
        <v>1</v>
      </c>
      <c r="I285" t="n">
        <v>0</v>
      </c>
      <c r="J285" t="n">
        <v>0</v>
      </c>
      <c r="K285" t="n">
        <v>0</v>
      </c>
      <c r="L285" t="n">
        <v>0</v>
      </c>
      <c r="M285" t="n">
        <v>0</v>
      </c>
      <c r="N285" t="n">
        <v>0</v>
      </c>
      <c r="O285" t="n">
        <v>0</v>
      </c>
      <c r="P285" t="n">
        <v>0</v>
      </c>
      <c r="Q285" t="n">
        <v>1</v>
      </c>
      <c r="R285" s="2" t="inlineStr">
        <is>
          <t>Revlummer</t>
        </is>
      </c>
      <c r="S285">
        <f>HYPERLINK("https://klasma.github.io/Logging_2260/artfynd/A 34696-2024 artfynd.xlsx", "A 34696-2024")</f>
        <v/>
      </c>
      <c r="T285">
        <f>HYPERLINK("https://klasma.github.io/Logging_2260/kartor/A 34696-2024 karta.png", "A 34696-2024")</f>
        <v/>
      </c>
      <c r="V285">
        <f>HYPERLINK("https://klasma.github.io/Logging_2260/klagomål/A 34696-2024 FSC-klagomål.docx", "A 34696-2024")</f>
        <v/>
      </c>
      <c r="W285">
        <f>HYPERLINK("https://klasma.github.io/Logging_2260/klagomålsmail/A 34696-2024 FSC-klagomål mail.docx", "A 34696-2024")</f>
        <v/>
      </c>
      <c r="X285">
        <f>HYPERLINK("https://klasma.github.io/Logging_2260/tillsyn/A 34696-2024 tillsynsbegäran.docx", "A 34696-2024")</f>
        <v/>
      </c>
      <c r="Y285">
        <f>HYPERLINK("https://klasma.github.io/Logging_2260/tillsynsmail/A 34696-2024 tillsynsbegäran mail.docx", "A 34696-2024")</f>
        <v/>
      </c>
    </row>
    <row r="286" ht="15" customHeight="1">
      <c r="A286" t="inlineStr">
        <is>
          <t>A 35594-2024</t>
        </is>
      </c>
      <c r="B286" s="1" t="n">
        <v>45531</v>
      </c>
      <c r="C286" s="1" t="n">
        <v>45713</v>
      </c>
      <c r="D286" t="inlineStr">
        <is>
          <t>VÄSTERNORRLANDS LÄN</t>
        </is>
      </c>
      <c r="E286" t="inlineStr">
        <is>
          <t>ÅNGE</t>
        </is>
      </c>
      <c r="F286" t="inlineStr">
        <is>
          <t>SCA</t>
        </is>
      </c>
      <c r="G286" t="n">
        <v>8.4</v>
      </c>
      <c r="H286" t="n">
        <v>1</v>
      </c>
      <c r="I286" t="n">
        <v>0</v>
      </c>
      <c r="J286" t="n">
        <v>0</v>
      </c>
      <c r="K286" t="n">
        <v>1</v>
      </c>
      <c r="L286" t="n">
        <v>0</v>
      </c>
      <c r="M286" t="n">
        <v>0</v>
      </c>
      <c r="N286" t="n">
        <v>0</v>
      </c>
      <c r="O286" t="n">
        <v>1</v>
      </c>
      <c r="P286" t="n">
        <v>1</v>
      </c>
      <c r="Q286" t="n">
        <v>1</v>
      </c>
      <c r="R286" s="2" t="inlineStr">
        <is>
          <t>Knärot</t>
        </is>
      </c>
      <c r="S286">
        <f>HYPERLINK("https://klasma.github.io/Logging_2260/artfynd/A 35594-2024 artfynd.xlsx", "A 35594-2024")</f>
        <v/>
      </c>
      <c r="T286">
        <f>HYPERLINK("https://klasma.github.io/Logging_2260/kartor/A 35594-2024 karta.png", "A 35594-2024")</f>
        <v/>
      </c>
      <c r="U286">
        <f>HYPERLINK("https://klasma.github.io/Logging_2260/knärot/A 35594-2024 karta knärot.png", "A 35594-2024")</f>
        <v/>
      </c>
      <c r="V286">
        <f>HYPERLINK("https://klasma.github.io/Logging_2260/klagomål/A 35594-2024 FSC-klagomål.docx", "A 35594-2024")</f>
        <v/>
      </c>
      <c r="W286">
        <f>HYPERLINK("https://klasma.github.io/Logging_2260/klagomålsmail/A 35594-2024 FSC-klagomål mail.docx", "A 35594-2024")</f>
        <v/>
      </c>
      <c r="X286">
        <f>HYPERLINK("https://klasma.github.io/Logging_2260/tillsyn/A 35594-2024 tillsynsbegäran.docx", "A 35594-2024")</f>
        <v/>
      </c>
      <c r="Y286">
        <f>HYPERLINK("https://klasma.github.io/Logging_2260/tillsynsmail/A 35594-2024 tillsynsbegäran mail.docx", "A 35594-2024")</f>
        <v/>
      </c>
    </row>
    <row r="287" ht="15" customHeight="1">
      <c r="A287" t="inlineStr">
        <is>
          <t>A 36116-2024</t>
        </is>
      </c>
      <c r="B287" s="1" t="n">
        <v>45534</v>
      </c>
      <c r="C287" s="1" t="n">
        <v>45713</v>
      </c>
      <c r="D287" t="inlineStr">
        <is>
          <t>VÄSTERNORRLANDS LÄN</t>
        </is>
      </c>
      <c r="E287" t="inlineStr">
        <is>
          <t>ÅNGE</t>
        </is>
      </c>
      <c r="F287" t="inlineStr">
        <is>
          <t>Sveaskog</t>
        </is>
      </c>
      <c r="G287" t="n">
        <v>5.2</v>
      </c>
      <c r="H287" t="n">
        <v>0</v>
      </c>
      <c r="I287" t="n">
        <v>1</v>
      </c>
      <c r="J287" t="n">
        <v>0</v>
      </c>
      <c r="K287" t="n">
        <v>0</v>
      </c>
      <c r="L287" t="n">
        <v>0</v>
      </c>
      <c r="M287" t="n">
        <v>0</v>
      </c>
      <c r="N287" t="n">
        <v>0</v>
      </c>
      <c r="O287" t="n">
        <v>0</v>
      </c>
      <c r="P287" t="n">
        <v>0</v>
      </c>
      <c r="Q287" t="n">
        <v>1</v>
      </c>
      <c r="R287" s="2" t="inlineStr">
        <is>
          <t>Dropptaggsvamp</t>
        </is>
      </c>
      <c r="S287">
        <f>HYPERLINK("https://klasma.github.io/Logging_2260/artfynd/A 36116-2024 artfynd.xlsx", "A 36116-2024")</f>
        <v/>
      </c>
      <c r="T287">
        <f>HYPERLINK("https://klasma.github.io/Logging_2260/kartor/A 36116-2024 karta.png", "A 36116-2024")</f>
        <v/>
      </c>
      <c r="V287">
        <f>HYPERLINK("https://klasma.github.io/Logging_2260/klagomål/A 36116-2024 FSC-klagomål.docx", "A 36116-2024")</f>
        <v/>
      </c>
      <c r="W287">
        <f>HYPERLINK("https://klasma.github.io/Logging_2260/klagomålsmail/A 36116-2024 FSC-klagomål mail.docx", "A 36116-2024")</f>
        <v/>
      </c>
      <c r="X287">
        <f>HYPERLINK("https://klasma.github.io/Logging_2260/tillsyn/A 36116-2024 tillsynsbegäran.docx", "A 36116-2024")</f>
        <v/>
      </c>
      <c r="Y287">
        <f>HYPERLINK("https://klasma.github.io/Logging_2260/tillsynsmail/A 36116-2024 tillsynsbegäran mail.docx", "A 36116-2024")</f>
        <v/>
      </c>
    </row>
    <row r="288" ht="15" customHeight="1">
      <c r="A288" t="inlineStr">
        <is>
          <t>A 37914-2024</t>
        </is>
      </c>
      <c r="B288" s="1" t="n">
        <v>45544</v>
      </c>
      <c r="C288" s="1" t="n">
        <v>45713</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Granticka</t>
        </is>
      </c>
      <c r="S288">
        <f>HYPERLINK("https://klasma.github.io/Logging_2260/artfynd/A 37914-2024 artfynd.xlsx", "A 37914-2024")</f>
        <v/>
      </c>
      <c r="T288">
        <f>HYPERLINK("https://klasma.github.io/Logging_2260/kartor/A 37914-2024 karta.png", "A 37914-2024")</f>
        <v/>
      </c>
      <c r="V288">
        <f>HYPERLINK("https://klasma.github.io/Logging_2260/klagomål/A 37914-2024 FSC-klagomål.docx", "A 37914-2024")</f>
        <v/>
      </c>
      <c r="W288">
        <f>HYPERLINK("https://klasma.github.io/Logging_2260/klagomålsmail/A 37914-2024 FSC-klagomål mail.docx", "A 37914-2024")</f>
        <v/>
      </c>
      <c r="X288">
        <f>HYPERLINK("https://klasma.github.io/Logging_2260/tillsyn/A 37914-2024 tillsynsbegäran.docx", "A 37914-2024")</f>
        <v/>
      </c>
      <c r="Y288">
        <f>HYPERLINK("https://klasma.github.io/Logging_2260/tillsynsmail/A 37914-2024 tillsynsbegäran mail.docx", "A 37914-2024")</f>
        <v/>
      </c>
    </row>
    <row r="289" ht="15" customHeight="1">
      <c r="A289" t="inlineStr">
        <is>
          <t>A 38606-2024</t>
        </is>
      </c>
      <c r="B289" s="1" t="n">
        <v>45546</v>
      </c>
      <c r="C289" s="1" t="n">
        <v>45713</v>
      </c>
      <c r="D289" t="inlineStr">
        <is>
          <t>VÄSTERNORRLANDS LÄN</t>
        </is>
      </c>
      <c r="E289" t="inlineStr">
        <is>
          <t>ÅNGE</t>
        </is>
      </c>
      <c r="F289" t="inlineStr">
        <is>
          <t>SCA</t>
        </is>
      </c>
      <c r="G289" t="n">
        <v>2.4</v>
      </c>
      <c r="H289" t="n">
        <v>0</v>
      </c>
      <c r="I289" t="n">
        <v>0</v>
      </c>
      <c r="J289" t="n">
        <v>1</v>
      </c>
      <c r="K289" t="n">
        <v>0</v>
      </c>
      <c r="L289" t="n">
        <v>0</v>
      </c>
      <c r="M289" t="n">
        <v>0</v>
      </c>
      <c r="N289" t="n">
        <v>0</v>
      </c>
      <c r="O289" t="n">
        <v>1</v>
      </c>
      <c r="P289" t="n">
        <v>0</v>
      </c>
      <c r="Q289" t="n">
        <v>1</v>
      </c>
      <c r="R289" s="2" t="inlineStr">
        <is>
          <t>Ullticka</t>
        </is>
      </c>
      <c r="S289">
        <f>HYPERLINK("https://klasma.github.io/Logging_2260/artfynd/A 38606-2024 artfynd.xlsx", "A 38606-2024")</f>
        <v/>
      </c>
      <c r="T289">
        <f>HYPERLINK("https://klasma.github.io/Logging_2260/kartor/A 38606-2024 karta.png", "A 38606-2024")</f>
        <v/>
      </c>
      <c r="V289">
        <f>HYPERLINK("https://klasma.github.io/Logging_2260/klagomål/A 38606-2024 FSC-klagomål.docx", "A 38606-2024")</f>
        <v/>
      </c>
      <c r="W289">
        <f>HYPERLINK("https://klasma.github.io/Logging_2260/klagomålsmail/A 38606-2024 FSC-klagomål mail.docx", "A 38606-2024")</f>
        <v/>
      </c>
      <c r="X289">
        <f>HYPERLINK("https://klasma.github.io/Logging_2260/tillsyn/A 38606-2024 tillsynsbegäran.docx", "A 38606-2024")</f>
        <v/>
      </c>
      <c r="Y289">
        <f>HYPERLINK("https://klasma.github.io/Logging_2260/tillsynsmail/A 38606-2024 tillsynsbegäran mail.docx", "A 38606-2024")</f>
        <v/>
      </c>
    </row>
    <row r="290" ht="15" customHeight="1">
      <c r="A290" t="inlineStr">
        <is>
          <t>A 38603-2024</t>
        </is>
      </c>
      <c r="B290" s="1" t="n">
        <v>45546</v>
      </c>
      <c r="C290" s="1" t="n">
        <v>45713</v>
      </c>
      <c r="D290" t="inlineStr">
        <is>
          <t>VÄSTERNORRLANDS LÄN</t>
        </is>
      </c>
      <c r="E290" t="inlineStr">
        <is>
          <t>ÅNGE</t>
        </is>
      </c>
      <c r="F290" t="inlineStr">
        <is>
          <t>SCA</t>
        </is>
      </c>
      <c r="G290" t="n">
        <v>5.6</v>
      </c>
      <c r="H290" t="n">
        <v>0</v>
      </c>
      <c r="I290" t="n">
        <v>0</v>
      </c>
      <c r="J290" t="n">
        <v>0</v>
      </c>
      <c r="K290" t="n">
        <v>1</v>
      </c>
      <c r="L290" t="n">
        <v>0</v>
      </c>
      <c r="M290" t="n">
        <v>0</v>
      </c>
      <c r="N290" t="n">
        <v>0</v>
      </c>
      <c r="O290" t="n">
        <v>1</v>
      </c>
      <c r="P290" t="n">
        <v>1</v>
      </c>
      <c r="Q290" t="n">
        <v>1</v>
      </c>
      <c r="R290" s="2" t="inlineStr">
        <is>
          <t>Rynkskinn</t>
        </is>
      </c>
      <c r="S290">
        <f>HYPERLINK("https://klasma.github.io/Logging_2260/artfynd/A 38603-2024 artfynd.xlsx", "A 38603-2024")</f>
        <v/>
      </c>
      <c r="T290">
        <f>HYPERLINK("https://klasma.github.io/Logging_2260/kartor/A 38603-2024 karta.png", "A 38603-2024")</f>
        <v/>
      </c>
      <c r="V290">
        <f>HYPERLINK("https://klasma.github.io/Logging_2260/klagomål/A 38603-2024 FSC-klagomål.docx", "A 38603-2024")</f>
        <v/>
      </c>
      <c r="W290">
        <f>HYPERLINK("https://klasma.github.io/Logging_2260/klagomålsmail/A 38603-2024 FSC-klagomål mail.docx", "A 38603-2024")</f>
        <v/>
      </c>
      <c r="X290">
        <f>HYPERLINK("https://klasma.github.io/Logging_2260/tillsyn/A 38603-2024 tillsynsbegäran.docx", "A 38603-2024")</f>
        <v/>
      </c>
      <c r="Y290">
        <f>HYPERLINK("https://klasma.github.io/Logging_2260/tillsynsmail/A 38603-2024 tillsynsbegäran mail.docx", "A 38603-2024")</f>
        <v/>
      </c>
    </row>
    <row r="291" ht="15" customHeight="1">
      <c r="A291" t="inlineStr">
        <is>
          <t>A 39180-2024</t>
        </is>
      </c>
      <c r="B291" s="1" t="n">
        <v>45548</v>
      </c>
      <c r="C291" s="1" t="n">
        <v>45713</v>
      </c>
      <c r="D291" t="inlineStr">
        <is>
          <t>VÄSTERNORRLANDS LÄN</t>
        </is>
      </c>
      <c r="E291" t="inlineStr">
        <is>
          <t>ÅNGE</t>
        </is>
      </c>
      <c r="F291" t="inlineStr">
        <is>
          <t>SCA</t>
        </is>
      </c>
      <c r="G291" t="n">
        <v>8.699999999999999</v>
      </c>
      <c r="H291" t="n">
        <v>0</v>
      </c>
      <c r="I291" t="n">
        <v>0</v>
      </c>
      <c r="J291" t="n">
        <v>1</v>
      </c>
      <c r="K291" t="n">
        <v>0</v>
      </c>
      <c r="L291" t="n">
        <v>0</v>
      </c>
      <c r="M291" t="n">
        <v>0</v>
      </c>
      <c r="N291" t="n">
        <v>0</v>
      </c>
      <c r="O291" t="n">
        <v>1</v>
      </c>
      <c r="P291" t="n">
        <v>0</v>
      </c>
      <c r="Q291" t="n">
        <v>1</v>
      </c>
      <c r="R291" s="2" t="inlineStr">
        <is>
          <t>Lunglav</t>
        </is>
      </c>
      <c r="S291">
        <f>HYPERLINK("https://klasma.github.io/Logging_2260/artfynd/A 39180-2024 artfynd.xlsx", "A 39180-2024")</f>
        <v/>
      </c>
      <c r="T291">
        <f>HYPERLINK("https://klasma.github.io/Logging_2260/kartor/A 39180-2024 karta.png", "A 39180-2024")</f>
        <v/>
      </c>
      <c r="V291">
        <f>HYPERLINK("https://klasma.github.io/Logging_2260/klagomål/A 39180-2024 FSC-klagomål.docx", "A 39180-2024")</f>
        <v/>
      </c>
      <c r="W291">
        <f>HYPERLINK("https://klasma.github.io/Logging_2260/klagomålsmail/A 39180-2024 FSC-klagomål mail.docx", "A 39180-2024")</f>
        <v/>
      </c>
      <c r="X291">
        <f>HYPERLINK("https://klasma.github.io/Logging_2260/tillsyn/A 39180-2024 tillsynsbegäran.docx", "A 39180-2024")</f>
        <v/>
      </c>
      <c r="Y291">
        <f>HYPERLINK("https://klasma.github.io/Logging_2260/tillsynsmail/A 39180-2024 tillsynsbegäran mail.docx", "A 39180-2024")</f>
        <v/>
      </c>
    </row>
    <row r="292" ht="15" customHeight="1">
      <c r="A292" t="inlineStr">
        <is>
          <t>A 39688-2024</t>
        </is>
      </c>
      <c r="B292" s="1" t="n">
        <v>45552</v>
      </c>
      <c r="C292" s="1" t="n">
        <v>45713</v>
      </c>
      <c r="D292" t="inlineStr">
        <is>
          <t>VÄSTERNORRLANDS LÄN</t>
        </is>
      </c>
      <c r="E292" t="inlineStr">
        <is>
          <t>ÅNGE</t>
        </is>
      </c>
      <c r="G292" t="n">
        <v>5.7</v>
      </c>
      <c r="H292" t="n">
        <v>1</v>
      </c>
      <c r="I292" t="n">
        <v>0</v>
      </c>
      <c r="J292" t="n">
        <v>0</v>
      </c>
      <c r="K292" t="n">
        <v>0</v>
      </c>
      <c r="L292" t="n">
        <v>0</v>
      </c>
      <c r="M292" t="n">
        <v>0</v>
      </c>
      <c r="N292" t="n">
        <v>0</v>
      </c>
      <c r="O292" t="n">
        <v>0</v>
      </c>
      <c r="P292" t="n">
        <v>0</v>
      </c>
      <c r="Q292" t="n">
        <v>1</v>
      </c>
      <c r="R292" s="2" t="inlineStr">
        <is>
          <t>Revlummer</t>
        </is>
      </c>
      <c r="S292">
        <f>HYPERLINK("https://klasma.github.io/Logging_2260/artfynd/A 39688-2024 artfynd.xlsx", "A 39688-2024")</f>
        <v/>
      </c>
      <c r="T292">
        <f>HYPERLINK("https://klasma.github.io/Logging_2260/kartor/A 39688-2024 karta.png", "A 39688-2024")</f>
        <v/>
      </c>
      <c r="V292">
        <f>HYPERLINK("https://klasma.github.io/Logging_2260/klagomål/A 39688-2024 FSC-klagomål.docx", "A 39688-2024")</f>
        <v/>
      </c>
      <c r="W292">
        <f>HYPERLINK("https://klasma.github.io/Logging_2260/klagomålsmail/A 39688-2024 FSC-klagomål mail.docx", "A 39688-2024")</f>
        <v/>
      </c>
      <c r="X292">
        <f>HYPERLINK("https://klasma.github.io/Logging_2260/tillsyn/A 39688-2024 tillsynsbegäran.docx", "A 39688-2024")</f>
        <v/>
      </c>
      <c r="Y292">
        <f>HYPERLINK("https://klasma.github.io/Logging_2260/tillsynsmail/A 39688-2024 tillsynsbegäran mail.docx", "A 39688-2024")</f>
        <v/>
      </c>
    </row>
    <row r="293" ht="15" customHeight="1">
      <c r="A293" t="inlineStr">
        <is>
          <t>A 39638-2024</t>
        </is>
      </c>
      <c r="B293" s="1" t="n">
        <v>45552</v>
      </c>
      <c r="C293" s="1" t="n">
        <v>45713</v>
      </c>
      <c r="D293" t="inlineStr">
        <is>
          <t>VÄSTERNORRLANDS LÄN</t>
        </is>
      </c>
      <c r="E293" t="inlineStr">
        <is>
          <t>ÅNGE</t>
        </is>
      </c>
      <c r="G293" t="n">
        <v>3</v>
      </c>
      <c r="H293" t="n">
        <v>1</v>
      </c>
      <c r="I293" t="n">
        <v>0</v>
      </c>
      <c r="J293" t="n">
        <v>0</v>
      </c>
      <c r="K293" t="n">
        <v>0</v>
      </c>
      <c r="L293" t="n">
        <v>0</v>
      </c>
      <c r="M293" t="n">
        <v>0</v>
      </c>
      <c r="N293" t="n">
        <v>0</v>
      </c>
      <c r="O293" t="n">
        <v>0</v>
      </c>
      <c r="P293" t="n">
        <v>0</v>
      </c>
      <c r="Q293" t="n">
        <v>1</v>
      </c>
      <c r="R293" s="2" t="inlineStr">
        <is>
          <t>Tjäder</t>
        </is>
      </c>
      <c r="S293">
        <f>HYPERLINK("https://klasma.github.io/Logging_2260/artfynd/A 39638-2024 artfynd.xlsx", "A 39638-2024")</f>
        <v/>
      </c>
      <c r="T293">
        <f>HYPERLINK("https://klasma.github.io/Logging_2260/kartor/A 39638-2024 karta.png", "A 39638-2024")</f>
        <v/>
      </c>
      <c r="V293">
        <f>HYPERLINK("https://klasma.github.io/Logging_2260/klagomål/A 39638-2024 FSC-klagomål.docx", "A 39638-2024")</f>
        <v/>
      </c>
      <c r="W293">
        <f>HYPERLINK("https://klasma.github.io/Logging_2260/klagomålsmail/A 39638-2024 FSC-klagomål mail.docx", "A 39638-2024")</f>
        <v/>
      </c>
      <c r="X293">
        <f>HYPERLINK("https://klasma.github.io/Logging_2260/tillsyn/A 39638-2024 tillsynsbegäran.docx", "A 39638-2024")</f>
        <v/>
      </c>
      <c r="Y293">
        <f>HYPERLINK("https://klasma.github.io/Logging_2260/tillsynsmail/A 39638-2024 tillsynsbegäran mail.docx", "A 39638-2024")</f>
        <v/>
      </c>
      <c r="Z293">
        <f>HYPERLINK("https://klasma.github.io/Logging_2260/fåglar/A 39638-2024 prioriterade fågelarter.docx", "A 39638-2024")</f>
        <v/>
      </c>
    </row>
    <row r="294" ht="15" customHeight="1">
      <c r="A294" t="inlineStr">
        <is>
          <t>A 40110-2024</t>
        </is>
      </c>
      <c r="B294" s="1" t="n">
        <v>45554</v>
      </c>
      <c r="C294" s="1" t="n">
        <v>45713</v>
      </c>
      <c r="D294" t="inlineStr">
        <is>
          <t>VÄSTERNORRLANDS LÄN</t>
        </is>
      </c>
      <c r="E294" t="inlineStr">
        <is>
          <t>ÅNGE</t>
        </is>
      </c>
      <c r="G294" t="n">
        <v>11.8</v>
      </c>
      <c r="H294" t="n">
        <v>0</v>
      </c>
      <c r="I294" t="n">
        <v>0</v>
      </c>
      <c r="J294" t="n">
        <v>1</v>
      </c>
      <c r="K294" t="n">
        <v>0</v>
      </c>
      <c r="L294" t="n">
        <v>0</v>
      </c>
      <c r="M294" t="n">
        <v>0</v>
      </c>
      <c r="N294" t="n">
        <v>0</v>
      </c>
      <c r="O294" t="n">
        <v>1</v>
      </c>
      <c r="P294" t="n">
        <v>0</v>
      </c>
      <c r="Q294" t="n">
        <v>1</v>
      </c>
      <c r="R294" s="2" t="inlineStr">
        <is>
          <t>Lunglav</t>
        </is>
      </c>
      <c r="S294">
        <f>HYPERLINK("https://klasma.github.io/Logging_2260/artfynd/A 40110-2024 artfynd.xlsx", "A 40110-2024")</f>
        <v/>
      </c>
      <c r="T294">
        <f>HYPERLINK("https://klasma.github.io/Logging_2260/kartor/A 40110-2024 karta.png", "A 40110-2024")</f>
        <v/>
      </c>
      <c r="V294">
        <f>HYPERLINK("https://klasma.github.io/Logging_2260/klagomål/A 40110-2024 FSC-klagomål.docx", "A 40110-2024")</f>
        <v/>
      </c>
      <c r="W294">
        <f>HYPERLINK("https://klasma.github.io/Logging_2260/klagomålsmail/A 40110-2024 FSC-klagomål mail.docx", "A 40110-2024")</f>
        <v/>
      </c>
      <c r="X294">
        <f>HYPERLINK("https://klasma.github.io/Logging_2260/tillsyn/A 40110-2024 tillsynsbegäran.docx", "A 40110-2024")</f>
        <v/>
      </c>
      <c r="Y294">
        <f>HYPERLINK("https://klasma.github.io/Logging_2260/tillsynsmail/A 40110-2024 tillsynsbegäran mail.docx", "A 40110-2024")</f>
        <v/>
      </c>
    </row>
    <row r="295" ht="15" customHeight="1">
      <c r="A295" t="inlineStr">
        <is>
          <t>A 40214-2024</t>
        </is>
      </c>
      <c r="B295" s="1" t="n">
        <v>45554</v>
      </c>
      <c r="C295" s="1" t="n">
        <v>45713</v>
      </c>
      <c r="D295" t="inlineStr">
        <is>
          <t>VÄSTERNORRLANDS LÄN</t>
        </is>
      </c>
      <c r="E295" t="inlineStr">
        <is>
          <t>ÅNGE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HYPERLINK("https://klasma.github.io/Logging_2260/artfynd/A 40214-2024 artfynd.xlsx", "A 40214-2024")</f>
        <v/>
      </c>
      <c r="T295">
        <f>HYPERLINK("https://klasma.github.io/Logging_2260/kartor/A 40214-2024 karta.png", "A 40214-2024")</f>
        <v/>
      </c>
      <c r="V295">
        <f>HYPERLINK("https://klasma.github.io/Logging_2260/klagomål/A 40214-2024 FSC-klagomål.docx", "A 40214-2024")</f>
        <v/>
      </c>
      <c r="W295">
        <f>HYPERLINK("https://klasma.github.io/Logging_2260/klagomålsmail/A 40214-2024 FSC-klagomål mail.docx", "A 40214-2024")</f>
        <v/>
      </c>
      <c r="X295">
        <f>HYPERLINK("https://klasma.github.io/Logging_2260/tillsyn/A 40214-2024 tillsynsbegäran.docx", "A 40214-2024")</f>
        <v/>
      </c>
      <c r="Y295">
        <f>HYPERLINK("https://klasma.github.io/Logging_2260/tillsynsmail/A 40214-2024 tillsynsbegäran mail.docx", "A 40214-2024")</f>
        <v/>
      </c>
    </row>
    <row r="296" ht="15" customHeight="1">
      <c r="A296" t="inlineStr">
        <is>
          <t>A 43171-2024</t>
        </is>
      </c>
      <c r="B296" s="1" t="n">
        <v>45567</v>
      </c>
      <c r="C296" s="1" t="n">
        <v>45713</v>
      </c>
      <c r="D296" t="inlineStr">
        <is>
          <t>VÄSTERNORRLANDS LÄN</t>
        </is>
      </c>
      <c r="E296" t="inlineStr">
        <is>
          <t>ÅNGE</t>
        </is>
      </c>
      <c r="F296" t="inlineStr">
        <is>
          <t>SCA</t>
        </is>
      </c>
      <c r="G296" t="n">
        <v>3.4</v>
      </c>
      <c r="H296" t="n">
        <v>0</v>
      </c>
      <c r="I296" t="n">
        <v>0</v>
      </c>
      <c r="J296" t="n">
        <v>1</v>
      </c>
      <c r="K296" t="n">
        <v>0</v>
      </c>
      <c r="L296" t="n">
        <v>0</v>
      </c>
      <c r="M296" t="n">
        <v>0</v>
      </c>
      <c r="N296" t="n">
        <v>0</v>
      </c>
      <c r="O296" t="n">
        <v>1</v>
      </c>
      <c r="P296" t="n">
        <v>0</v>
      </c>
      <c r="Q296" t="n">
        <v>1</v>
      </c>
      <c r="R296" s="2" t="inlineStr">
        <is>
          <t>Rosenticka</t>
        </is>
      </c>
      <c r="S296">
        <f>HYPERLINK("https://klasma.github.io/Logging_2260/artfynd/A 43171-2024 artfynd.xlsx", "A 43171-2024")</f>
        <v/>
      </c>
      <c r="T296">
        <f>HYPERLINK("https://klasma.github.io/Logging_2260/kartor/A 43171-2024 karta.png", "A 43171-2024")</f>
        <v/>
      </c>
      <c r="V296">
        <f>HYPERLINK("https://klasma.github.io/Logging_2260/klagomål/A 43171-2024 FSC-klagomål.docx", "A 43171-2024")</f>
        <v/>
      </c>
      <c r="W296">
        <f>HYPERLINK("https://klasma.github.io/Logging_2260/klagomålsmail/A 43171-2024 FSC-klagomål mail.docx", "A 43171-2024")</f>
        <v/>
      </c>
      <c r="X296">
        <f>HYPERLINK("https://klasma.github.io/Logging_2260/tillsyn/A 43171-2024 tillsynsbegäran.docx", "A 43171-2024")</f>
        <v/>
      </c>
      <c r="Y296">
        <f>HYPERLINK("https://klasma.github.io/Logging_2260/tillsynsmail/A 43171-2024 tillsynsbegäran mail.docx", "A 43171-2024")</f>
        <v/>
      </c>
    </row>
    <row r="297" ht="15" customHeight="1">
      <c r="A297" t="inlineStr">
        <is>
          <t>A 45853-2024</t>
        </is>
      </c>
      <c r="B297" s="1" t="n">
        <v>45580</v>
      </c>
      <c r="C297" s="1" t="n">
        <v>45713</v>
      </c>
      <c r="D297" t="inlineStr">
        <is>
          <t>VÄSTERNORRLANDS LÄN</t>
        </is>
      </c>
      <c r="E297" t="inlineStr">
        <is>
          <t>ÅNGE</t>
        </is>
      </c>
      <c r="F297" t="inlineStr">
        <is>
          <t>SCA</t>
        </is>
      </c>
      <c r="G297" t="n">
        <v>14.5</v>
      </c>
      <c r="H297" t="n">
        <v>1</v>
      </c>
      <c r="I297" t="n">
        <v>0</v>
      </c>
      <c r="J297" t="n">
        <v>1</v>
      </c>
      <c r="K297" t="n">
        <v>0</v>
      </c>
      <c r="L297" t="n">
        <v>0</v>
      </c>
      <c r="M297" t="n">
        <v>0</v>
      </c>
      <c r="N297" t="n">
        <v>0</v>
      </c>
      <c r="O297" t="n">
        <v>1</v>
      </c>
      <c r="P297" t="n">
        <v>0</v>
      </c>
      <c r="Q297" t="n">
        <v>1</v>
      </c>
      <c r="R297" s="2" t="inlineStr">
        <is>
          <t>Järpe</t>
        </is>
      </c>
      <c r="S297">
        <f>HYPERLINK("https://klasma.github.io/Logging_2260/artfynd/A 45853-2024 artfynd.xlsx", "A 45853-2024")</f>
        <v/>
      </c>
      <c r="T297">
        <f>HYPERLINK("https://klasma.github.io/Logging_2260/kartor/A 45853-2024 karta.png", "A 45853-2024")</f>
        <v/>
      </c>
      <c r="V297">
        <f>HYPERLINK("https://klasma.github.io/Logging_2260/klagomål/A 45853-2024 FSC-klagomål.docx", "A 45853-2024")</f>
        <v/>
      </c>
      <c r="W297">
        <f>HYPERLINK("https://klasma.github.io/Logging_2260/klagomålsmail/A 45853-2024 FSC-klagomål mail.docx", "A 45853-2024")</f>
        <v/>
      </c>
      <c r="X297">
        <f>HYPERLINK("https://klasma.github.io/Logging_2260/tillsyn/A 45853-2024 tillsynsbegäran.docx", "A 45853-2024")</f>
        <v/>
      </c>
      <c r="Y297">
        <f>HYPERLINK("https://klasma.github.io/Logging_2260/tillsynsmail/A 45853-2024 tillsynsbegäran mail.docx", "A 45853-2024")</f>
        <v/>
      </c>
      <c r="Z297">
        <f>HYPERLINK("https://klasma.github.io/Logging_2260/fåglar/A 45853-2024 prioriterade fågelarter.docx", "A 45853-2024")</f>
        <v/>
      </c>
    </row>
    <row r="298" ht="15" customHeight="1">
      <c r="A298" t="inlineStr">
        <is>
          <t>A 47617-2024</t>
        </is>
      </c>
      <c r="B298" s="1" t="n">
        <v>45588</v>
      </c>
      <c r="C298" s="1" t="n">
        <v>45713</v>
      </c>
      <c r="D298" t="inlineStr">
        <is>
          <t>VÄSTERNORRLANDS LÄN</t>
        </is>
      </c>
      <c r="E298" t="inlineStr">
        <is>
          <t>ÅNGE</t>
        </is>
      </c>
      <c r="F298" t="inlineStr">
        <is>
          <t>Holmen skog AB</t>
        </is>
      </c>
      <c r="G298" t="n">
        <v>8.300000000000001</v>
      </c>
      <c r="H298" t="n">
        <v>0</v>
      </c>
      <c r="I298" t="n">
        <v>0</v>
      </c>
      <c r="J298" t="n">
        <v>1</v>
      </c>
      <c r="K298" t="n">
        <v>0</v>
      </c>
      <c r="L298" t="n">
        <v>0</v>
      </c>
      <c r="M298" t="n">
        <v>0</v>
      </c>
      <c r="N298" t="n">
        <v>0</v>
      </c>
      <c r="O298" t="n">
        <v>1</v>
      </c>
      <c r="P298" t="n">
        <v>0</v>
      </c>
      <c r="Q298" t="n">
        <v>1</v>
      </c>
      <c r="R298" s="2" t="inlineStr">
        <is>
          <t>Gränsticka</t>
        </is>
      </c>
      <c r="S298">
        <f>HYPERLINK("https://klasma.github.io/Logging_2260/artfynd/A 47617-2024 artfynd.xlsx", "A 47617-2024")</f>
        <v/>
      </c>
      <c r="T298">
        <f>HYPERLINK("https://klasma.github.io/Logging_2260/kartor/A 47617-2024 karta.png", "A 47617-2024")</f>
        <v/>
      </c>
      <c r="V298">
        <f>HYPERLINK("https://klasma.github.io/Logging_2260/klagomål/A 47617-2024 FSC-klagomål.docx", "A 47617-2024")</f>
        <v/>
      </c>
      <c r="W298">
        <f>HYPERLINK("https://klasma.github.io/Logging_2260/klagomålsmail/A 47617-2024 FSC-klagomål mail.docx", "A 47617-2024")</f>
        <v/>
      </c>
      <c r="X298">
        <f>HYPERLINK("https://klasma.github.io/Logging_2260/tillsyn/A 47617-2024 tillsynsbegäran.docx", "A 47617-2024")</f>
        <v/>
      </c>
      <c r="Y298">
        <f>HYPERLINK("https://klasma.github.io/Logging_2260/tillsynsmail/A 47617-2024 tillsynsbegäran mail.docx", "A 47617-2024")</f>
        <v/>
      </c>
    </row>
    <row r="299" ht="15" customHeight="1">
      <c r="A299" t="inlineStr">
        <is>
          <t>A 52305-2024</t>
        </is>
      </c>
      <c r="B299" s="1" t="n">
        <v>45608</v>
      </c>
      <c r="C299" s="1" t="n">
        <v>45713</v>
      </c>
      <c r="D299" t="inlineStr">
        <is>
          <t>VÄSTERNORRLANDS LÄN</t>
        </is>
      </c>
      <c r="E299" t="inlineStr">
        <is>
          <t>ÅNGE</t>
        </is>
      </c>
      <c r="G299" t="n">
        <v>17.4</v>
      </c>
      <c r="H299" t="n">
        <v>1</v>
      </c>
      <c r="I299" t="n">
        <v>0</v>
      </c>
      <c r="J299" t="n">
        <v>1</v>
      </c>
      <c r="K299" t="n">
        <v>0</v>
      </c>
      <c r="L299" t="n">
        <v>0</v>
      </c>
      <c r="M299" t="n">
        <v>0</v>
      </c>
      <c r="N299" t="n">
        <v>0</v>
      </c>
      <c r="O299" t="n">
        <v>1</v>
      </c>
      <c r="P299" t="n">
        <v>0</v>
      </c>
      <c r="Q299" t="n">
        <v>1</v>
      </c>
      <c r="R299" s="2" t="inlineStr">
        <is>
          <t>Järpe</t>
        </is>
      </c>
      <c r="S299">
        <f>HYPERLINK("https://klasma.github.io/Logging_2260/artfynd/A 52305-2024 artfynd.xlsx", "A 52305-2024")</f>
        <v/>
      </c>
      <c r="T299">
        <f>HYPERLINK("https://klasma.github.io/Logging_2260/kartor/A 52305-2024 karta.png", "A 52305-2024")</f>
        <v/>
      </c>
      <c r="V299">
        <f>HYPERLINK("https://klasma.github.io/Logging_2260/klagomål/A 52305-2024 FSC-klagomål.docx", "A 52305-2024")</f>
        <v/>
      </c>
      <c r="W299">
        <f>HYPERLINK("https://klasma.github.io/Logging_2260/klagomålsmail/A 52305-2024 FSC-klagomål mail.docx", "A 52305-2024")</f>
        <v/>
      </c>
      <c r="X299">
        <f>HYPERLINK("https://klasma.github.io/Logging_2260/tillsyn/A 52305-2024 tillsynsbegäran.docx", "A 52305-2024")</f>
        <v/>
      </c>
      <c r="Y299">
        <f>HYPERLINK("https://klasma.github.io/Logging_2260/tillsynsmail/A 52305-2024 tillsynsbegäran mail.docx", "A 52305-2024")</f>
        <v/>
      </c>
      <c r="Z299">
        <f>HYPERLINK("https://klasma.github.io/Logging_2260/fåglar/A 52305-2024 prioriterade fågelarter.docx", "A 52305-2024")</f>
        <v/>
      </c>
    </row>
    <row r="300" ht="15" customHeight="1">
      <c r="A300" t="inlineStr">
        <is>
          <t>A 54386-2024</t>
        </is>
      </c>
      <c r="B300" s="1" t="n">
        <v>45617</v>
      </c>
      <c r="C300" s="1" t="n">
        <v>45713</v>
      </c>
      <c r="D300" t="inlineStr">
        <is>
          <t>VÄSTERNORRLANDS LÄN</t>
        </is>
      </c>
      <c r="E300" t="inlineStr">
        <is>
          <t>ÅNGE</t>
        </is>
      </c>
      <c r="F300" t="inlineStr">
        <is>
          <t>SCA</t>
        </is>
      </c>
      <c r="G300" t="n">
        <v>1.9</v>
      </c>
      <c r="H300" t="n">
        <v>0</v>
      </c>
      <c r="I300" t="n">
        <v>0</v>
      </c>
      <c r="J300" t="n">
        <v>1</v>
      </c>
      <c r="K300" t="n">
        <v>0</v>
      </c>
      <c r="L300" t="n">
        <v>0</v>
      </c>
      <c r="M300" t="n">
        <v>0</v>
      </c>
      <c r="N300" t="n">
        <v>0</v>
      </c>
      <c r="O300" t="n">
        <v>1</v>
      </c>
      <c r="P300" t="n">
        <v>0</v>
      </c>
      <c r="Q300" t="n">
        <v>1</v>
      </c>
      <c r="R300" s="2" t="inlineStr">
        <is>
          <t>Reliktbock</t>
        </is>
      </c>
      <c r="S300">
        <f>HYPERLINK("https://klasma.github.io/Logging_2260/artfynd/A 54386-2024 artfynd.xlsx", "A 54386-2024")</f>
        <v/>
      </c>
      <c r="T300">
        <f>HYPERLINK("https://klasma.github.io/Logging_2260/kartor/A 54386-2024 karta.png", "A 54386-2024")</f>
        <v/>
      </c>
      <c r="V300">
        <f>HYPERLINK("https://klasma.github.io/Logging_2260/klagomål/A 54386-2024 FSC-klagomål.docx", "A 54386-2024")</f>
        <v/>
      </c>
      <c r="W300">
        <f>HYPERLINK("https://klasma.github.io/Logging_2260/klagomålsmail/A 54386-2024 FSC-klagomål mail.docx", "A 54386-2024")</f>
        <v/>
      </c>
      <c r="X300">
        <f>HYPERLINK("https://klasma.github.io/Logging_2260/tillsyn/A 54386-2024 tillsynsbegäran.docx", "A 54386-2024")</f>
        <v/>
      </c>
      <c r="Y300">
        <f>HYPERLINK("https://klasma.github.io/Logging_2260/tillsynsmail/A 54386-2024 tillsynsbegäran mail.docx", "A 54386-2024")</f>
        <v/>
      </c>
    </row>
    <row r="301" ht="15" customHeight="1">
      <c r="A301" t="inlineStr">
        <is>
          <t>A 56091-2024</t>
        </is>
      </c>
      <c r="B301" s="1" t="n">
        <v>45624</v>
      </c>
      <c r="C301" s="1" t="n">
        <v>45713</v>
      </c>
      <c r="D301" t="inlineStr">
        <is>
          <t>VÄSTERNORRLANDS LÄN</t>
        </is>
      </c>
      <c r="E301" t="inlineStr">
        <is>
          <t>ÅNGE</t>
        </is>
      </c>
      <c r="F301" t="inlineStr">
        <is>
          <t>SCA</t>
        </is>
      </c>
      <c r="G301" t="n">
        <v>2.5</v>
      </c>
      <c r="H301" t="n">
        <v>0</v>
      </c>
      <c r="I301" t="n">
        <v>0</v>
      </c>
      <c r="J301" t="n">
        <v>1</v>
      </c>
      <c r="K301" t="n">
        <v>0</v>
      </c>
      <c r="L301" t="n">
        <v>0</v>
      </c>
      <c r="M301" t="n">
        <v>0</v>
      </c>
      <c r="N301" t="n">
        <v>0</v>
      </c>
      <c r="O301" t="n">
        <v>1</v>
      </c>
      <c r="P301" t="n">
        <v>0</v>
      </c>
      <c r="Q301" t="n">
        <v>1</v>
      </c>
      <c r="R301" s="2" t="inlineStr">
        <is>
          <t>Mörk kolflarnlav</t>
        </is>
      </c>
      <c r="S301">
        <f>HYPERLINK("https://klasma.github.io/Logging_2260/artfynd/A 56091-2024 artfynd.xlsx", "A 56091-2024")</f>
        <v/>
      </c>
      <c r="T301">
        <f>HYPERLINK("https://klasma.github.io/Logging_2260/kartor/A 56091-2024 karta.png", "A 56091-2024")</f>
        <v/>
      </c>
      <c r="V301">
        <f>HYPERLINK("https://klasma.github.io/Logging_2260/klagomål/A 56091-2024 FSC-klagomål.docx", "A 56091-2024")</f>
        <v/>
      </c>
      <c r="W301">
        <f>HYPERLINK("https://klasma.github.io/Logging_2260/klagomålsmail/A 56091-2024 FSC-klagomål mail.docx", "A 56091-2024")</f>
        <v/>
      </c>
      <c r="X301">
        <f>HYPERLINK("https://klasma.github.io/Logging_2260/tillsyn/A 56091-2024 tillsynsbegäran.docx", "A 56091-2024")</f>
        <v/>
      </c>
      <c r="Y301">
        <f>HYPERLINK("https://klasma.github.io/Logging_2260/tillsynsmail/A 56091-2024 tillsynsbegäran mail.docx", "A 56091-2024")</f>
        <v/>
      </c>
    </row>
    <row r="302" ht="15" customHeight="1">
      <c r="A302" t="inlineStr">
        <is>
          <t>A 57272-2024</t>
        </is>
      </c>
      <c r="B302" s="1" t="n">
        <v>45629</v>
      </c>
      <c r="C302" s="1" t="n">
        <v>45713</v>
      </c>
      <c r="D302" t="inlineStr">
        <is>
          <t>VÄSTERNORRLANDS LÄN</t>
        </is>
      </c>
      <c r="E302" t="inlineStr">
        <is>
          <t>ÅNGE</t>
        </is>
      </c>
      <c r="F302" t="inlineStr">
        <is>
          <t>SCA</t>
        </is>
      </c>
      <c r="G302" t="n">
        <v>5.4</v>
      </c>
      <c r="H302" t="n">
        <v>0</v>
      </c>
      <c r="I302" t="n">
        <v>0</v>
      </c>
      <c r="J302" t="n">
        <v>1</v>
      </c>
      <c r="K302" t="n">
        <v>0</v>
      </c>
      <c r="L302" t="n">
        <v>0</v>
      </c>
      <c r="M302" t="n">
        <v>0</v>
      </c>
      <c r="N302" t="n">
        <v>0</v>
      </c>
      <c r="O302" t="n">
        <v>1</v>
      </c>
      <c r="P302" t="n">
        <v>0</v>
      </c>
      <c r="Q302" t="n">
        <v>1</v>
      </c>
      <c r="R302" s="2" t="inlineStr">
        <is>
          <t>Orange taggsvamp</t>
        </is>
      </c>
      <c r="S302">
        <f>HYPERLINK("https://klasma.github.io/Logging_2260/artfynd/A 57272-2024 artfynd.xlsx", "A 57272-2024")</f>
        <v/>
      </c>
      <c r="T302">
        <f>HYPERLINK("https://klasma.github.io/Logging_2260/kartor/A 57272-2024 karta.png", "A 57272-2024")</f>
        <v/>
      </c>
      <c r="V302">
        <f>HYPERLINK("https://klasma.github.io/Logging_2260/klagomål/A 57272-2024 FSC-klagomål.docx", "A 57272-2024")</f>
        <v/>
      </c>
      <c r="W302">
        <f>HYPERLINK("https://klasma.github.io/Logging_2260/klagomålsmail/A 57272-2024 FSC-klagomål mail.docx", "A 57272-2024")</f>
        <v/>
      </c>
      <c r="X302">
        <f>HYPERLINK("https://klasma.github.io/Logging_2260/tillsyn/A 57272-2024 tillsynsbegäran.docx", "A 57272-2024")</f>
        <v/>
      </c>
      <c r="Y302">
        <f>HYPERLINK("https://klasma.github.io/Logging_2260/tillsynsmail/A 57272-2024 tillsynsbegäran mail.docx", "A 57272-2024")</f>
        <v/>
      </c>
    </row>
    <row r="303" ht="15" customHeight="1">
      <c r="A303" t="inlineStr">
        <is>
          <t>A 5-2025</t>
        </is>
      </c>
      <c r="B303" s="1" t="n">
        <v>45658</v>
      </c>
      <c r="C303" s="1" t="n">
        <v>45713</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Vanlig groda</t>
        </is>
      </c>
      <c r="S303">
        <f>HYPERLINK("https://klasma.github.io/Logging_2260/artfynd/A 5-2025 artfynd.xlsx", "A 5-2025")</f>
        <v/>
      </c>
      <c r="T303">
        <f>HYPERLINK("https://klasma.github.io/Logging_2260/kartor/A 5-2025 karta.png", "A 5-2025")</f>
        <v/>
      </c>
      <c r="V303">
        <f>HYPERLINK("https://klasma.github.io/Logging_2260/klagomål/A 5-2025 FSC-klagomål.docx", "A 5-2025")</f>
        <v/>
      </c>
      <c r="W303">
        <f>HYPERLINK("https://klasma.github.io/Logging_2260/klagomålsmail/A 5-2025 FSC-klagomål mail.docx", "A 5-2025")</f>
        <v/>
      </c>
      <c r="X303">
        <f>HYPERLINK("https://klasma.github.io/Logging_2260/tillsyn/A 5-2025 tillsynsbegäran.docx", "A 5-2025")</f>
        <v/>
      </c>
      <c r="Y303">
        <f>HYPERLINK("https://klasma.github.io/Logging_2260/tillsynsmail/A 5-2025 tillsynsbegäran mail.docx", "A 5-2025")</f>
        <v/>
      </c>
    </row>
    <row r="304" ht="15" customHeight="1">
      <c r="A304" t="inlineStr">
        <is>
          <t>A 1449-2025</t>
        </is>
      </c>
      <c r="B304" s="1" t="n">
        <v>45670</v>
      </c>
      <c r="C304" s="1" t="n">
        <v>45713</v>
      </c>
      <c r="D304" t="inlineStr">
        <is>
          <t>VÄSTERNORRLANDS LÄN</t>
        </is>
      </c>
      <c r="E304" t="inlineStr">
        <is>
          <t>ÅNGE</t>
        </is>
      </c>
      <c r="G304" t="n">
        <v>6.3</v>
      </c>
      <c r="H304" t="n">
        <v>0</v>
      </c>
      <c r="I304" t="n">
        <v>1</v>
      </c>
      <c r="J304" t="n">
        <v>0</v>
      </c>
      <c r="K304" t="n">
        <v>0</v>
      </c>
      <c r="L304" t="n">
        <v>0</v>
      </c>
      <c r="M304" t="n">
        <v>0</v>
      </c>
      <c r="N304" t="n">
        <v>0</v>
      </c>
      <c r="O304" t="n">
        <v>0</v>
      </c>
      <c r="P304" t="n">
        <v>0</v>
      </c>
      <c r="Q304" t="n">
        <v>1</v>
      </c>
      <c r="R304" s="2" t="inlineStr">
        <is>
          <t>Korallblylav</t>
        </is>
      </c>
      <c r="S304">
        <f>HYPERLINK("https://klasma.github.io/Logging_2260/artfynd/A 1449-2025 artfynd.xlsx", "A 1449-2025")</f>
        <v/>
      </c>
      <c r="T304">
        <f>HYPERLINK("https://klasma.github.io/Logging_2260/kartor/A 1449-2025 karta.png", "A 1449-2025")</f>
        <v/>
      </c>
      <c r="V304">
        <f>HYPERLINK("https://klasma.github.io/Logging_2260/klagomål/A 1449-2025 FSC-klagomål.docx", "A 1449-2025")</f>
        <v/>
      </c>
      <c r="W304">
        <f>HYPERLINK("https://klasma.github.io/Logging_2260/klagomålsmail/A 1449-2025 FSC-klagomål mail.docx", "A 1449-2025")</f>
        <v/>
      </c>
      <c r="X304">
        <f>HYPERLINK("https://klasma.github.io/Logging_2260/tillsyn/A 1449-2025 tillsynsbegäran.docx", "A 1449-2025")</f>
        <v/>
      </c>
      <c r="Y304">
        <f>HYPERLINK("https://klasma.github.io/Logging_2260/tillsynsmail/A 1449-2025 tillsynsbegäran mail.docx", "A 1449-2025")</f>
        <v/>
      </c>
    </row>
    <row r="305" ht="15" customHeight="1">
      <c r="A305" t="inlineStr">
        <is>
          <t>A 3383-2025</t>
        </is>
      </c>
      <c r="B305" s="1" t="n">
        <v>45680</v>
      </c>
      <c r="C305" s="1" t="n">
        <v>45713</v>
      </c>
      <c r="D305" t="inlineStr">
        <is>
          <t>VÄSTERNORRLANDS LÄN</t>
        </is>
      </c>
      <c r="E305" t="inlineStr">
        <is>
          <t>ÅNGE</t>
        </is>
      </c>
      <c r="F305" t="inlineStr">
        <is>
          <t>SCA</t>
        </is>
      </c>
      <c r="G305" t="n">
        <v>9.800000000000001</v>
      </c>
      <c r="H305" t="n">
        <v>1</v>
      </c>
      <c r="I305" t="n">
        <v>0</v>
      </c>
      <c r="J305" t="n">
        <v>1</v>
      </c>
      <c r="K305" t="n">
        <v>0</v>
      </c>
      <c r="L305" t="n">
        <v>0</v>
      </c>
      <c r="M305" t="n">
        <v>0</v>
      </c>
      <c r="N305" t="n">
        <v>0</v>
      </c>
      <c r="O305" t="n">
        <v>1</v>
      </c>
      <c r="P305" t="n">
        <v>0</v>
      </c>
      <c r="Q305" t="n">
        <v>1</v>
      </c>
      <c r="R305" s="2" t="inlineStr">
        <is>
          <t>Slaguggla</t>
        </is>
      </c>
      <c r="S305">
        <f>HYPERLINK("https://klasma.github.io/Logging_2260/artfynd/A 3383-2025 artfynd.xlsx", "A 3383-2025")</f>
        <v/>
      </c>
      <c r="T305">
        <f>HYPERLINK("https://klasma.github.io/Logging_2260/kartor/A 3383-2025 karta.png", "A 3383-2025")</f>
        <v/>
      </c>
      <c r="V305">
        <f>HYPERLINK("https://klasma.github.io/Logging_2260/klagomål/A 3383-2025 FSC-klagomål.docx", "A 3383-2025")</f>
        <v/>
      </c>
      <c r="W305">
        <f>HYPERLINK("https://klasma.github.io/Logging_2260/klagomålsmail/A 3383-2025 FSC-klagomål mail.docx", "A 3383-2025")</f>
        <v/>
      </c>
      <c r="X305">
        <f>HYPERLINK("https://klasma.github.io/Logging_2260/tillsyn/A 3383-2025 tillsynsbegäran.docx", "A 3383-2025")</f>
        <v/>
      </c>
      <c r="Y305">
        <f>HYPERLINK("https://klasma.github.io/Logging_2260/tillsynsmail/A 3383-2025 tillsynsbegäran mail.docx", "A 3383-2025")</f>
        <v/>
      </c>
      <c r="Z305">
        <f>HYPERLINK("https://klasma.github.io/Logging_2260/fåglar/A 3383-2025 prioriterade fågelarter.docx", "A 3383-2025")</f>
        <v/>
      </c>
    </row>
    <row r="306" ht="15" customHeight="1">
      <c r="A306" t="inlineStr">
        <is>
          <t>A 7736-2025</t>
        </is>
      </c>
      <c r="B306" s="1" t="n">
        <v>45706</v>
      </c>
      <c r="C306" s="1" t="n">
        <v>45713</v>
      </c>
      <c r="D306" t="inlineStr">
        <is>
          <t>VÄSTERNORRLANDS LÄN</t>
        </is>
      </c>
      <c r="E306" t="inlineStr">
        <is>
          <t>ÅNGE</t>
        </is>
      </c>
      <c r="F306" t="inlineStr">
        <is>
          <t>SCA</t>
        </is>
      </c>
      <c r="G306" t="n">
        <v>9.6</v>
      </c>
      <c r="H306" t="n">
        <v>0</v>
      </c>
      <c r="I306" t="n">
        <v>1</v>
      </c>
      <c r="J306" t="n">
        <v>0</v>
      </c>
      <c r="K306" t="n">
        <v>0</v>
      </c>
      <c r="L306" t="n">
        <v>0</v>
      </c>
      <c r="M306" t="n">
        <v>0</v>
      </c>
      <c r="N306" t="n">
        <v>0</v>
      </c>
      <c r="O306" t="n">
        <v>0</v>
      </c>
      <c r="P306" t="n">
        <v>0</v>
      </c>
      <c r="Q306" t="n">
        <v>1</v>
      </c>
      <c r="R306" s="2" t="inlineStr">
        <is>
          <t>Vårärt</t>
        </is>
      </c>
      <c r="S306">
        <f>HYPERLINK("https://klasma.github.io/Logging_2260/artfynd/A 7736-2025 artfynd.xlsx", "A 7736-2025")</f>
        <v/>
      </c>
      <c r="T306">
        <f>HYPERLINK("https://klasma.github.io/Logging_2260/kartor/A 7736-2025 karta.png", "A 7736-2025")</f>
        <v/>
      </c>
      <c r="V306">
        <f>HYPERLINK("https://klasma.github.io/Logging_2260/klagomål/A 7736-2025 FSC-klagomål.docx", "A 7736-2025")</f>
        <v/>
      </c>
      <c r="W306">
        <f>HYPERLINK("https://klasma.github.io/Logging_2260/klagomålsmail/A 7736-2025 FSC-klagomål mail.docx", "A 7736-2025")</f>
        <v/>
      </c>
      <c r="X306">
        <f>HYPERLINK("https://klasma.github.io/Logging_2260/tillsyn/A 7736-2025 tillsynsbegäran.docx", "A 7736-2025")</f>
        <v/>
      </c>
      <c r="Y306">
        <f>HYPERLINK("https://klasma.github.io/Logging_2260/tillsynsmail/A 7736-2025 tillsynsbegäran mail.docx", "A 7736-2025")</f>
        <v/>
      </c>
    </row>
    <row r="307" ht="15" customHeight="1">
      <c r="A307" t="inlineStr">
        <is>
          <t>A 17854-2019</t>
        </is>
      </c>
      <c r="B307" s="1" t="n">
        <v>43556</v>
      </c>
      <c r="C307" s="1" t="n">
        <v>45713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17857-2019</t>
        </is>
      </c>
      <c r="B308" s="1" t="n">
        <v>43556</v>
      </c>
      <c r="C308" s="1" t="n">
        <v>45713</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17764-2019</t>
        </is>
      </c>
      <c r="B309" s="1" t="n">
        <v>43556</v>
      </c>
      <c r="C309" s="1" t="n">
        <v>45713</v>
      </c>
      <c r="D309" t="inlineStr">
        <is>
          <t>VÄSTERNORRLANDS LÄN</t>
        </is>
      </c>
      <c r="E309" t="inlineStr">
        <is>
          <t>ÅNGE</t>
        </is>
      </c>
      <c r="F309" t="inlineStr">
        <is>
          <t>Kyrkan</t>
        </is>
      </c>
      <c r="G309" t="n">
        <v>20.7</v>
      </c>
      <c r="H309" t="n">
        <v>0</v>
      </c>
      <c r="I309" t="n">
        <v>0</v>
      </c>
      <c r="J309" t="n">
        <v>0</v>
      </c>
      <c r="K309" t="n">
        <v>0</v>
      </c>
      <c r="L309" t="n">
        <v>0</v>
      </c>
      <c r="M309" t="n">
        <v>0</v>
      </c>
      <c r="N309" t="n">
        <v>0</v>
      </c>
      <c r="O309" t="n">
        <v>0</v>
      </c>
      <c r="P309" t="n">
        <v>0</v>
      </c>
      <c r="Q309" t="n">
        <v>0</v>
      </c>
      <c r="R309" s="2" t="inlineStr"/>
    </row>
    <row r="310" ht="15" customHeight="1">
      <c r="A310" t="inlineStr">
        <is>
          <t>A 18069-2019</t>
        </is>
      </c>
      <c r="B310" s="1" t="n">
        <v>43557</v>
      </c>
      <c r="C310" s="1" t="n">
        <v>45713</v>
      </c>
      <c r="D310" t="inlineStr">
        <is>
          <t>VÄSTERNORRLANDS LÄN</t>
        </is>
      </c>
      <c r="E310" t="inlineStr">
        <is>
          <t>ÅNGE</t>
        </is>
      </c>
      <c r="F310" t="inlineStr">
        <is>
          <t>SCA</t>
        </is>
      </c>
      <c r="G310" t="n">
        <v>21.2</v>
      </c>
      <c r="H310" t="n">
        <v>0</v>
      </c>
      <c r="I310" t="n">
        <v>0</v>
      </c>
      <c r="J310" t="n">
        <v>0</v>
      </c>
      <c r="K310" t="n">
        <v>0</v>
      </c>
      <c r="L310" t="n">
        <v>0</v>
      </c>
      <c r="M310" t="n">
        <v>0</v>
      </c>
      <c r="N310" t="n">
        <v>0</v>
      </c>
      <c r="O310" t="n">
        <v>0</v>
      </c>
      <c r="P310" t="n">
        <v>0</v>
      </c>
      <c r="Q310" t="n">
        <v>0</v>
      </c>
      <c r="R310" s="2" t="inlineStr"/>
    </row>
    <row r="311" ht="15" customHeight="1">
      <c r="A311" t="inlineStr">
        <is>
          <t>A 18304-2019</t>
        </is>
      </c>
      <c r="B311" s="1" t="n">
        <v>43558</v>
      </c>
      <c r="C311" s="1" t="n">
        <v>45713</v>
      </c>
      <c r="D311" t="inlineStr">
        <is>
          <t>VÄSTERNORRLANDS LÄN</t>
        </is>
      </c>
      <c r="E311" t="inlineStr">
        <is>
          <t>ÅNGE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19008-2019</t>
        </is>
      </c>
      <c r="B312" s="1" t="n">
        <v>43563</v>
      </c>
      <c r="C312" s="1" t="n">
        <v>45713</v>
      </c>
      <c r="D312" t="inlineStr">
        <is>
          <t>VÄSTERNORRLANDS LÄN</t>
        </is>
      </c>
      <c r="E312" t="inlineStr">
        <is>
          <t>ÅNGE</t>
        </is>
      </c>
      <c r="G312" t="n">
        <v>5.7</v>
      </c>
      <c r="H312" t="n">
        <v>0</v>
      </c>
      <c r="I312" t="n">
        <v>0</v>
      </c>
      <c r="J312" t="n">
        <v>0</v>
      </c>
      <c r="K312" t="n">
        <v>0</v>
      </c>
      <c r="L312" t="n">
        <v>0</v>
      </c>
      <c r="M312" t="n">
        <v>0</v>
      </c>
      <c r="N312" t="n">
        <v>0</v>
      </c>
      <c r="O312" t="n">
        <v>0</v>
      </c>
      <c r="P312" t="n">
        <v>0</v>
      </c>
      <c r="Q312" t="n">
        <v>0</v>
      </c>
      <c r="R312" s="2" t="inlineStr"/>
    </row>
    <row r="313" ht="15" customHeight="1">
      <c r="A313" t="inlineStr">
        <is>
          <t>A 19273-2019</t>
        </is>
      </c>
      <c r="B313" s="1" t="n">
        <v>43564</v>
      </c>
      <c r="C313" s="1" t="n">
        <v>45713</v>
      </c>
      <c r="D313" t="inlineStr">
        <is>
          <t>VÄSTERNORRLANDS LÄN</t>
        </is>
      </c>
      <c r="E313" t="inlineStr">
        <is>
          <t>ÅNGE</t>
        </is>
      </c>
      <c r="G313" t="n">
        <v>5.3</v>
      </c>
      <c r="H313" t="n">
        <v>0</v>
      </c>
      <c r="I313" t="n">
        <v>0</v>
      </c>
      <c r="J313" t="n">
        <v>0</v>
      </c>
      <c r="K313" t="n">
        <v>0</v>
      </c>
      <c r="L313" t="n">
        <v>0</v>
      </c>
      <c r="M313" t="n">
        <v>0</v>
      </c>
      <c r="N313" t="n">
        <v>0</v>
      </c>
      <c r="O313" t="n">
        <v>0</v>
      </c>
      <c r="P313" t="n">
        <v>0</v>
      </c>
      <c r="Q313" t="n">
        <v>0</v>
      </c>
      <c r="R313" s="2" t="inlineStr"/>
    </row>
    <row r="314" ht="15" customHeight="1">
      <c r="A314" t="inlineStr">
        <is>
          <t>A 19274-2019</t>
        </is>
      </c>
      <c r="B314" s="1" t="n">
        <v>43564</v>
      </c>
      <c r="C314" s="1" t="n">
        <v>45713</v>
      </c>
      <c r="D314" t="inlineStr">
        <is>
          <t>VÄSTERNORRLANDS LÄN</t>
        </is>
      </c>
      <c r="E314" t="inlineStr">
        <is>
          <t>ÅNGE</t>
        </is>
      </c>
      <c r="G314" t="n">
        <v>2.1</v>
      </c>
      <c r="H314" t="n">
        <v>0</v>
      </c>
      <c r="I314" t="n">
        <v>0</v>
      </c>
      <c r="J314" t="n">
        <v>0</v>
      </c>
      <c r="K314" t="n">
        <v>0</v>
      </c>
      <c r="L314" t="n">
        <v>0</v>
      </c>
      <c r="M314" t="n">
        <v>0</v>
      </c>
      <c r="N314" t="n">
        <v>0</v>
      </c>
      <c r="O314" t="n">
        <v>0</v>
      </c>
      <c r="P314" t="n">
        <v>0</v>
      </c>
      <c r="Q314" t="n">
        <v>0</v>
      </c>
      <c r="R314" s="2" t="inlineStr"/>
    </row>
    <row r="315" ht="15" customHeight="1">
      <c r="A315" t="inlineStr">
        <is>
          <t>A 19266-2019</t>
        </is>
      </c>
      <c r="B315" s="1" t="n">
        <v>43564</v>
      </c>
      <c r="C315" s="1" t="n">
        <v>45713</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19270-2019</t>
        </is>
      </c>
      <c r="B316" s="1" t="n">
        <v>43564</v>
      </c>
      <c r="C316" s="1" t="n">
        <v>45713</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19310-2019</t>
        </is>
      </c>
      <c r="B317" s="1" t="n">
        <v>43565</v>
      </c>
      <c r="C317" s="1" t="n">
        <v>45713</v>
      </c>
      <c r="D317" t="inlineStr">
        <is>
          <t>VÄSTERNORRLANDS LÄN</t>
        </is>
      </c>
      <c r="E317" t="inlineStr">
        <is>
          <t>ÅNGE</t>
        </is>
      </c>
      <c r="G317" t="n">
        <v>1.4</v>
      </c>
      <c r="H317" t="n">
        <v>0</v>
      </c>
      <c r="I317" t="n">
        <v>0</v>
      </c>
      <c r="J317" t="n">
        <v>0</v>
      </c>
      <c r="K317" t="n">
        <v>0</v>
      </c>
      <c r="L317" t="n">
        <v>0</v>
      </c>
      <c r="M317" t="n">
        <v>0</v>
      </c>
      <c r="N317" t="n">
        <v>0</v>
      </c>
      <c r="O317" t="n">
        <v>0</v>
      </c>
      <c r="P317" t="n">
        <v>0</v>
      </c>
      <c r="Q317" t="n">
        <v>0</v>
      </c>
      <c r="R317" s="2" t="inlineStr"/>
    </row>
    <row r="318" ht="15" customHeight="1">
      <c r="A318" t="inlineStr">
        <is>
          <t>A 20062-2019</t>
        </is>
      </c>
      <c r="B318" s="1" t="n">
        <v>43570</v>
      </c>
      <c r="C318" s="1" t="n">
        <v>45713</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20102-2019</t>
        </is>
      </c>
      <c r="B319" s="1" t="n">
        <v>43570</v>
      </c>
      <c r="C319" s="1" t="n">
        <v>45713</v>
      </c>
      <c r="D319" t="inlineStr">
        <is>
          <t>VÄSTERNORRLANDS LÄN</t>
        </is>
      </c>
      <c r="E319" t="inlineStr">
        <is>
          <t>ÅNGE</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20397-2019</t>
        </is>
      </c>
      <c r="B320" s="1" t="n">
        <v>43571</v>
      </c>
      <c r="C320" s="1" t="n">
        <v>45713</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20400-2019</t>
        </is>
      </c>
      <c r="B321" s="1" t="n">
        <v>43571</v>
      </c>
      <c r="C321" s="1" t="n">
        <v>45713</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20600-2019</t>
        </is>
      </c>
      <c r="B322" s="1" t="n">
        <v>43572</v>
      </c>
      <c r="C322" s="1" t="n">
        <v>45713</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21375-2019</t>
        </is>
      </c>
      <c r="B323" s="1" t="n">
        <v>43579</v>
      </c>
      <c r="C323" s="1" t="n">
        <v>45713</v>
      </c>
      <c r="D323" t="inlineStr">
        <is>
          <t>VÄSTERNORRLANDS LÄN</t>
        </is>
      </c>
      <c r="E323" t="inlineStr">
        <is>
          <t>ÅNGE</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21715-2019</t>
        </is>
      </c>
      <c r="B324" s="1" t="n">
        <v>43581</v>
      </c>
      <c r="C324" s="1" t="n">
        <v>45713</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21726-2019</t>
        </is>
      </c>
      <c r="B325" s="1" t="n">
        <v>43581</v>
      </c>
      <c r="C325" s="1" t="n">
        <v>45713</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21795-2019</t>
        </is>
      </c>
      <c r="B326" s="1" t="n">
        <v>43581</v>
      </c>
      <c r="C326" s="1" t="n">
        <v>45713</v>
      </c>
      <c r="D326" t="inlineStr">
        <is>
          <t>VÄSTERNORRLANDS LÄN</t>
        </is>
      </c>
      <c r="E326" t="inlineStr">
        <is>
          <t>ÅNGE</t>
        </is>
      </c>
      <c r="F326" t="inlineStr">
        <is>
          <t>SCA</t>
        </is>
      </c>
      <c r="G326" t="n">
        <v>7.2</v>
      </c>
      <c r="H326" t="n">
        <v>0</v>
      </c>
      <c r="I326" t="n">
        <v>0</v>
      </c>
      <c r="J326" t="n">
        <v>0</v>
      </c>
      <c r="K326" t="n">
        <v>0</v>
      </c>
      <c r="L326" t="n">
        <v>0</v>
      </c>
      <c r="M326" t="n">
        <v>0</v>
      </c>
      <c r="N326" t="n">
        <v>0</v>
      </c>
      <c r="O326" t="n">
        <v>0</v>
      </c>
      <c r="P326" t="n">
        <v>0</v>
      </c>
      <c r="Q326" t="n">
        <v>0</v>
      </c>
      <c r="R326" s="2" t="inlineStr"/>
    </row>
    <row r="327" ht="15" customHeight="1">
      <c r="A327" t="inlineStr">
        <is>
          <t>A 21633-2019</t>
        </is>
      </c>
      <c r="B327" s="1" t="n">
        <v>43581</v>
      </c>
      <c r="C327" s="1" t="n">
        <v>45713</v>
      </c>
      <c r="D327" t="inlineStr">
        <is>
          <t>VÄSTERNORRLANDS LÄN</t>
        </is>
      </c>
      <c r="E327" t="inlineStr">
        <is>
          <t>ÅNGE</t>
        </is>
      </c>
      <c r="G327" t="n">
        <v>7.1</v>
      </c>
      <c r="H327" t="n">
        <v>0</v>
      </c>
      <c r="I327" t="n">
        <v>0</v>
      </c>
      <c r="J327" t="n">
        <v>0</v>
      </c>
      <c r="K327" t="n">
        <v>0</v>
      </c>
      <c r="L327" t="n">
        <v>0</v>
      </c>
      <c r="M327" t="n">
        <v>0</v>
      </c>
      <c r="N327" t="n">
        <v>0</v>
      </c>
      <c r="O327" t="n">
        <v>0</v>
      </c>
      <c r="P327" t="n">
        <v>0</v>
      </c>
      <c r="Q327" t="n">
        <v>0</v>
      </c>
      <c r="R327" s="2" t="inlineStr"/>
    </row>
    <row r="328" ht="15" customHeight="1">
      <c r="A328" t="inlineStr">
        <is>
          <t>A 22202-2019</t>
        </is>
      </c>
      <c r="B328" s="1" t="n">
        <v>43585</v>
      </c>
      <c r="C328" s="1" t="n">
        <v>45713</v>
      </c>
      <c r="D328" t="inlineStr">
        <is>
          <t>VÄSTERNORRLANDS LÄN</t>
        </is>
      </c>
      <c r="E328" t="inlineStr">
        <is>
          <t>ÅNGE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23403-2019</t>
        </is>
      </c>
      <c r="B329" s="1" t="n">
        <v>43592</v>
      </c>
      <c r="C329" s="1" t="n">
        <v>45713</v>
      </c>
      <c r="D329" t="inlineStr">
        <is>
          <t>VÄSTERNORRLANDS LÄN</t>
        </is>
      </c>
      <c r="E329" t="inlineStr">
        <is>
          <t>ÅNGE</t>
        </is>
      </c>
      <c r="G329" t="n">
        <v>2.2</v>
      </c>
      <c r="H329" t="n">
        <v>0</v>
      </c>
      <c r="I329" t="n">
        <v>0</v>
      </c>
      <c r="J329" t="n">
        <v>0</v>
      </c>
      <c r="K329" t="n">
        <v>0</v>
      </c>
      <c r="L329" t="n">
        <v>0</v>
      </c>
      <c r="M329" t="n">
        <v>0</v>
      </c>
      <c r="N329" t="n">
        <v>0</v>
      </c>
      <c r="O329" t="n">
        <v>0</v>
      </c>
      <c r="P329" t="n">
        <v>0</v>
      </c>
      <c r="Q329" t="n">
        <v>0</v>
      </c>
      <c r="R329" s="2" t="inlineStr"/>
    </row>
    <row r="330" ht="15" customHeight="1">
      <c r="A330" t="inlineStr">
        <is>
          <t>A 23288-2019</t>
        </is>
      </c>
      <c r="B330" s="1" t="n">
        <v>43593</v>
      </c>
      <c r="C330" s="1" t="n">
        <v>45713</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24567-2019</t>
        </is>
      </c>
      <c r="B331" s="1" t="n">
        <v>43600</v>
      </c>
      <c r="C331" s="1" t="n">
        <v>45713</v>
      </c>
      <c r="D331" t="inlineStr">
        <is>
          <t>VÄSTERNORRLANDS LÄN</t>
        </is>
      </c>
      <c r="E331" t="inlineStr">
        <is>
          <t>ÅNGE</t>
        </is>
      </c>
      <c r="G331" t="n">
        <v>2.7</v>
      </c>
      <c r="H331" t="n">
        <v>0</v>
      </c>
      <c r="I331" t="n">
        <v>0</v>
      </c>
      <c r="J331" t="n">
        <v>0</v>
      </c>
      <c r="K331" t="n">
        <v>0</v>
      </c>
      <c r="L331" t="n">
        <v>0</v>
      </c>
      <c r="M331" t="n">
        <v>0</v>
      </c>
      <c r="N331" t="n">
        <v>0</v>
      </c>
      <c r="O331" t="n">
        <v>0</v>
      </c>
      <c r="P331" t="n">
        <v>0</v>
      </c>
      <c r="Q331" t="n">
        <v>0</v>
      </c>
      <c r="R331" s="2" t="inlineStr"/>
    </row>
    <row r="332" ht="15" customHeight="1">
      <c r="A332" t="inlineStr">
        <is>
          <t>A 24568-2019</t>
        </is>
      </c>
      <c r="B332" s="1" t="n">
        <v>43600</v>
      </c>
      <c r="C332" s="1" t="n">
        <v>45713</v>
      </c>
      <c r="D332" t="inlineStr">
        <is>
          <t>VÄSTERNORRLANDS LÄN</t>
        </is>
      </c>
      <c r="E332" t="inlineStr">
        <is>
          <t>ÅNGE</t>
        </is>
      </c>
      <c r="G332" t="n">
        <v>3.2</v>
      </c>
      <c r="H332" t="n">
        <v>0</v>
      </c>
      <c r="I332" t="n">
        <v>0</v>
      </c>
      <c r="J332" t="n">
        <v>0</v>
      </c>
      <c r="K332" t="n">
        <v>0</v>
      </c>
      <c r="L332" t="n">
        <v>0</v>
      </c>
      <c r="M332" t="n">
        <v>0</v>
      </c>
      <c r="N332" t="n">
        <v>0</v>
      </c>
      <c r="O332" t="n">
        <v>0</v>
      </c>
      <c r="P332" t="n">
        <v>0</v>
      </c>
      <c r="Q332" t="n">
        <v>0</v>
      </c>
      <c r="R332" s="2" t="inlineStr"/>
    </row>
    <row r="333" ht="15" customHeight="1">
      <c r="A333" t="inlineStr">
        <is>
          <t>A 24569-2019</t>
        </is>
      </c>
      <c r="B333" s="1" t="n">
        <v>43600</v>
      </c>
      <c r="C333" s="1" t="n">
        <v>45713</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24781-2019</t>
        </is>
      </c>
      <c r="B334" s="1" t="n">
        <v>43601</v>
      </c>
      <c r="C334" s="1" t="n">
        <v>45713</v>
      </c>
      <c r="D334" t="inlineStr">
        <is>
          <t>VÄSTERNORRLANDS LÄN</t>
        </is>
      </c>
      <c r="E334" t="inlineStr">
        <is>
          <t>ÅNGE</t>
        </is>
      </c>
      <c r="F334" t="inlineStr">
        <is>
          <t>SCA</t>
        </is>
      </c>
      <c r="G334" t="n">
        <v>14.6</v>
      </c>
      <c r="H334" t="n">
        <v>0</v>
      </c>
      <c r="I334" t="n">
        <v>0</v>
      </c>
      <c r="J334" t="n">
        <v>0</v>
      </c>
      <c r="K334" t="n">
        <v>0</v>
      </c>
      <c r="L334" t="n">
        <v>0</v>
      </c>
      <c r="M334" t="n">
        <v>0</v>
      </c>
      <c r="N334" t="n">
        <v>0</v>
      </c>
      <c r="O334" t="n">
        <v>0</v>
      </c>
      <c r="P334" t="n">
        <v>0</v>
      </c>
      <c r="Q334" t="n">
        <v>0</v>
      </c>
      <c r="R334" s="2" t="inlineStr"/>
    </row>
    <row r="335" ht="15" customHeight="1">
      <c r="A335" t="inlineStr">
        <is>
          <t>A 25453-2019</t>
        </is>
      </c>
      <c r="B335" s="1" t="n">
        <v>43606</v>
      </c>
      <c r="C335" s="1" t="n">
        <v>45713</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25549-2019</t>
        </is>
      </c>
      <c r="B336" s="1" t="n">
        <v>43607</v>
      </c>
      <c r="C336" s="1" t="n">
        <v>45713</v>
      </c>
      <c r="D336" t="inlineStr">
        <is>
          <t>VÄSTERNORRLANDS LÄN</t>
        </is>
      </c>
      <c r="E336" t="inlineStr">
        <is>
          <t>ÅNGE</t>
        </is>
      </c>
      <c r="G336" t="n">
        <v>2.8</v>
      </c>
      <c r="H336" t="n">
        <v>0</v>
      </c>
      <c r="I336" t="n">
        <v>0</v>
      </c>
      <c r="J336" t="n">
        <v>0</v>
      </c>
      <c r="K336" t="n">
        <v>0</v>
      </c>
      <c r="L336" t="n">
        <v>0</v>
      </c>
      <c r="M336" t="n">
        <v>0</v>
      </c>
      <c r="N336" t="n">
        <v>0</v>
      </c>
      <c r="O336" t="n">
        <v>0</v>
      </c>
      <c r="P336" t="n">
        <v>0</v>
      </c>
      <c r="Q336" t="n">
        <v>0</v>
      </c>
      <c r="R336" s="2" t="inlineStr"/>
    </row>
    <row r="337" ht="15" customHeight="1">
      <c r="A337" t="inlineStr">
        <is>
          <t>A 26545-2019</t>
        </is>
      </c>
      <c r="B337" s="1" t="n">
        <v>43612</v>
      </c>
      <c r="C337" s="1" t="n">
        <v>45713</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27211-2019</t>
        </is>
      </c>
      <c r="B338" s="1" t="n">
        <v>43614</v>
      </c>
      <c r="C338" s="1" t="n">
        <v>45713</v>
      </c>
      <c r="D338" t="inlineStr">
        <is>
          <t>VÄSTERNORRLANDS LÄN</t>
        </is>
      </c>
      <c r="E338" t="inlineStr">
        <is>
          <t>ÅNGE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27759-2019</t>
        </is>
      </c>
      <c r="B339" s="1" t="n">
        <v>43619</v>
      </c>
      <c r="C339" s="1" t="n">
        <v>45713</v>
      </c>
      <c r="D339" t="inlineStr">
        <is>
          <t>VÄSTERNORRLANDS LÄN</t>
        </is>
      </c>
      <c r="E339" t="inlineStr">
        <is>
          <t>ÅNGE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28856-2019</t>
        </is>
      </c>
      <c r="B340" s="1" t="n">
        <v>43627</v>
      </c>
      <c r="C340" s="1" t="n">
        <v>45713</v>
      </c>
      <c r="D340" t="inlineStr">
        <is>
          <t>VÄSTERNORRLANDS LÄN</t>
        </is>
      </c>
      <c r="E340" t="inlineStr">
        <is>
          <t>ÅNGE</t>
        </is>
      </c>
      <c r="G340" t="n">
        <v>6.9</v>
      </c>
      <c r="H340" t="n">
        <v>0</v>
      </c>
      <c r="I340" t="n">
        <v>0</v>
      </c>
      <c r="J340" t="n">
        <v>0</v>
      </c>
      <c r="K340" t="n">
        <v>0</v>
      </c>
      <c r="L340" t="n">
        <v>0</v>
      </c>
      <c r="M340" t="n">
        <v>0</v>
      </c>
      <c r="N340" t="n">
        <v>0</v>
      </c>
      <c r="O340" t="n">
        <v>0</v>
      </c>
      <c r="P340" t="n">
        <v>0</v>
      </c>
      <c r="Q340" t="n">
        <v>0</v>
      </c>
      <c r="R340" s="2" t="inlineStr"/>
    </row>
    <row r="341" ht="15" customHeight="1">
      <c r="A341" t="inlineStr">
        <is>
          <t>A 28858-2019</t>
        </is>
      </c>
      <c r="B341" s="1" t="n">
        <v>43627</v>
      </c>
      <c r="C341" s="1" t="n">
        <v>45713</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28857-2019</t>
        </is>
      </c>
      <c r="B342" s="1" t="n">
        <v>43627</v>
      </c>
      <c r="C342" s="1" t="n">
        <v>45713</v>
      </c>
      <c r="D342" t="inlineStr">
        <is>
          <t>VÄSTERNORRLANDS LÄN</t>
        </is>
      </c>
      <c r="E342" t="inlineStr">
        <is>
          <t>ÅNGE</t>
        </is>
      </c>
      <c r="G342" t="n">
        <v>4.1</v>
      </c>
      <c r="H342" t="n">
        <v>0</v>
      </c>
      <c r="I342" t="n">
        <v>0</v>
      </c>
      <c r="J342" t="n">
        <v>0</v>
      </c>
      <c r="K342" t="n">
        <v>0</v>
      </c>
      <c r="L342" t="n">
        <v>0</v>
      </c>
      <c r="M342" t="n">
        <v>0</v>
      </c>
      <c r="N342" t="n">
        <v>0</v>
      </c>
      <c r="O342" t="n">
        <v>0</v>
      </c>
      <c r="P342" t="n">
        <v>0</v>
      </c>
      <c r="Q342" t="n">
        <v>0</v>
      </c>
      <c r="R342" s="2" t="inlineStr"/>
    </row>
    <row r="343" ht="15" customHeight="1">
      <c r="A343" t="inlineStr">
        <is>
          <t>A 28855-2019</t>
        </is>
      </c>
      <c r="B343" s="1" t="n">
        <v>43627</v>
      </c>
      <c r="C343" s="1" t="n">
        <v>45713</v>
      </c>
      <c r="D343" t="inlineStr">
        <is>
          <t>VÄSTERNORRLANDS LÄN</t>
        </is>
      </c>
      <c r="E343" t="inlineStr">
        <is>
          <t>ÅNGE</t>
        </is>
      </c>
      <c r="G343" t="n">
        <v>8.6</v>
      </c>
      <c r="H343" t="n">
        <v>0</v>
      </c>
      <c r="I343" t="n">
        <v>0</v>
      </c>
      <c r="J343" t="n">
        <v>0</v>
      </c>
      <c r="K343" t="n">
        <v>0</v>
      </c>
      <c r="L343" t="n">
        <v>0</v>
      </c>
      <c r="M343" t="n">
        <v>0</v>
      </c>
      <c r="N343" t="n">
        <v>0</v>
      </c>
      <c r="O343" t="n">
        <v>0</v>
      </c>
      <c r="P343" t="n">
        <v>0</v>
      </c>
      <c r="Q343" t="n">
        <v>0</v>
      </c>
      <c r="R343" s="2" t="inlineStr"/>
    </row>
    <row r="344" ht="15" customHeight="1">
      <c r="A344" t="inlineStr">
        <is>
          <t>A 29141-2019</t>
        </is>
      </c>
      <c r="B344" s="1" t="n">
        <v>43628</v>
      </c>
      <c r="C344" s="1" t="n">
        <v>45713</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29794-2019</t>
        </is>
      </c>
      <c r="B345" s="1" t="n">
        <v>43633</v>
      </c>
      <c r="C345" s="1" t="n">
        <v>45713</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29786-2019</t>
        </is>
      </c>
      <c r="B346" s="1" t="n">
        <v>43633</v>
      </c>
      <c r="C346" s="1" t="n">
        <v>45713</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31001-2019</t>
        </is>
      </c>
      <c r="B347" s="1" t="n">
        <v>43640</v>
      </c>
      <c r="C347" s="1" t="n">
        <v>45713</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31804-2019</t>
        </is>
      </c>
      <c r="B348" s="1" t="n">
        <v>43642</v>
      </c>
      <c r="C348" s="1" t="n">
        <v>45713</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32740-2019</t>
        </is>
      </c>
      <c r="B349" s="1" t="n">
        <v>43647</v>
      </c>
      <c r="C349" s="1" t="n">
        <v>45713</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33471-2019</t>
        </is>
      </c>
      <c r="B350" s="1" t="n">
        <v>43650</v>
      </c>
      <c r="C350" s="1" t="n">
        <v>45713</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33470-2019</t>
        </is>
      </c>
      <c r="B351" s="1" t="n">
        <v>43650</v>
      </c>
      <c r="C351" s="1" t="n">
        <v>45713</v>
      </c>
      <c r="D351" t="inlineStr">
        <is>
          <t>VÄSTERNORRLANDS LÄN</t>
        </is>
      </c>
      <c r="E351" t="inlineStr">
        <is>
          <t>ÅNGE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34135-2019</t>
        </is>
      </c>
      <c r="B352" s="1" t="n">
        <v>43654</v>
      </c>
      <c r="C352" s="1" t="n">
        <v>45713</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c r="U352">
        <f>HYPERLINK("https://klasma.github.io/Logging_2260/knärot/A 34135-2019 karta knärot.png", "A 34135-2019")</f>
        <v/>
      </c>
      <c r="V352">
        <f>HYPERLINK("https://klasma.github.io/Logging_2260/klagomål/A 34135-2019 FSC-klagomål.docx", "A 34135-2019")</f>
        <v/>
      </c>
      <c r="W352">
        <f>HYPERLINK("https://klasma.github.io/Logging_2260/klagomålsmail/A 34135-2019 FSC-klagomål mail.docx", "A 34135-2019")</f>
        <v/>
      </c>
      <c r="X352">
        <f>HYPERLINK("https://klasma.github.io/Logging_2260/tillsyn/A 34135-2019 tillsynsbegäran.docx", "A 34135-2019")</f>
        <v/>
      </c>
      <c r="Y352">
        <f>HYPERLINK("https://klasma.github.io/Logging_2260/tillsynsmail/A 34135-2019 tillsynsbegäran mail.docx", "A 34135-2019")</f>
        <v/>
      </c>
    </row>
    <row r="353" ht="15" customHeight="1">
      <c r="A353" t="inlineStr">
        <is>
          <t>A 36438-2019</t>
        </is>
      </c>
      <c r="B353" s="1" t="n">
        <v>43664</v>
      </c>
      <c r="C353" s="1" t="n">
        <v>45713</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36311-2019</t>
        </is>
      </c>
      <c r="B354" s="1" t="n">
        <v>43670</v>
      </c>
      <c r="C354" s="1" t="n">
        <v>45713</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37745-2019</t>
        </is>
      </c>
      <c r="B355" s="1" t="n">
        <v>43679</v>
      </c>
      <c r="C355" s="1" t="n">
        <v>45713</v>
      </c>
      <c r="D355" t="inlineStr">
        <is>
          <t>VÄSTERNORRLANDS LÄN</t>
        </is>
      </c>
      <c r="E355" t="inlineStr">
        <is>
          <t>ÅNGE</t>
        </is>
      </c>
      <c r="G355" t="n">
        <v>11.4</v>
      </c>
      <c r="H355" t="n">
        <v>0</v>
      </c>
      <c r="I355" t="n">
        <v>0</v>
      </c>
      <c r="J355" t="n">
        <v>0</v>
      </c>
      <c r="K355" t="n">
        <v>0</v>
      </c>
      <c r="L355" t="n">
        <v>0</v>
      </c>
      <c r="M355" t="n">
        <v>0</v>
      </c>
      <c r="N355" t="n">
        <v>0</v>
      </c>
      <c r="O355" t="n">
        <v>0</v>
      </c>
      <c r="P355" t="n">
        <v>0</v>
      </c>
      <c r="Q355" t="n">
        <v>0</v>
      </c>
      <c r="R355" s="2" t="inlineStr"/>
    </row>
    <row r="356" ht="15" customHeight="1">
      <c r="A356" t="inlineStr">
        <is>
          <t>A 37887-2019</t>
        </is>
      </c>
      <c r="B356" s="1" t="n">
        <v>43682</v>
      </c>
      <c r="C356" s="1" t="n">
        <v>45713</v>
      </c>
      <c r="D356" t="inlineStr">
        <is>
          <t>VÄSTERNORRLANDS LÄN</t>
        </is>
      </c>
      <c r="E356" t="inlineStr">
        <is>
          <t>ÅNGE</t>
        </is>
      </c>
      <c r="G356" t="n">
        <v>3</v>
      </c>
      <c r="H356" t="n">
        <v>0</v>
      </c>
      <c r="I356" t="n">
        <v>0</v>
      </c>
      <c r="J356" t="n">
        <v>0</v>
      </c>
      <c r="K356" t="n">
        <v>0</v>
      </c>
      <c r="L356" t="n">
        <v>0</v>
      </c>
      <c r="M356" t="n">
        <v>0</v>
      </c>
      <c r="N356" t="n">
        <v>0</v>
      </c>
      <c r="O356" t="n">
        <v>0</v>
      </c>
      <c r="P356" t="n">
        <v>0</v>
      </c>
      <c r="Q356" t="n">
        <v>0</v>
      </c>
      <c r="R356" s="2" t="inlineStr"/>
    </row>
    <row r="357" ht="15" customHeight="1">
      <c r="A357" t="inlineStr">
        <is>
          <t>A 37954-2019</t>
        </is>
      </c>
      <c r="B357" s="1" t="n">
        <v>43683</v>
      </c>
      <c r="C357" s="1" t="n">
        <v>45713</v>
      </c>
      <c r="D357" t="inlineStr">
        <is>
          <t>VÄSTERNORRLANDS LÄN</t>
        </is>
      </c>
      <c r="E357" t="inlineStr">
        <is>
          <t>ÅNGE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38222-2019</t>
        </is>
      </c>
      <c r="B358" s="1" t="n">
        <v>43684</v>
      </c>
      <c r="C358" s="1" t="n">
        <v>45713</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38215-2019</t>
        </is>
      </c>
      <c r="B359" s="1" t="n">
        <v>43684</v>
      </c>
      <c r="C359" s="1" t="n">
        <v>45713</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38310-2019</t>
        </is>
      </c>
      <c r="B360" s="1" t="n">
        <v>43684</v>
      </c>
      <c r="C360" s="1" t="n">
        <v>45713</v>
      </c>
      <c r="D360" t="inlineStr">
        <is>
          <t>VÄSTERNORRLANDS LÄN</t>
        </is>
      </c>
      <c r="E360" t="inlineStr">
        <is>
          <t>ÅNGE</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38573-2019</t>
        </is>
      </c>
      <c r="B361" s="1" t="n">
        <v>43685</v>
      </c>
      <c r="C361" s="1" t="n">
        <v>45713</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39403-2019</t>
        </is>
      </c>
      <c r="B362" s="1" t="n">
        <v>43690</v>
      </c>
      <c r="C362" s="1" t="n">
        <v>45713</v>
      </c>
      <c r="D362" t="inlineStr">
        <is>
          <t>VÄSTERNORRLANDS LÄN</t>
        </is>
      </c>
      <c r="E362" t="inlineStr">
        <is>
          <t>ÅNGE</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41510-2019</t>
        </is>
      </c>
      <c r="B363" s="1" t="n">
        <v>43696</v>
      </c>
      <c r="C363" s="1" t="n">
        <v>45713</v>
      </c>
      <c r="D363" t="inlineStr">
        <is>
          <t>VÄSTERNORRLANDS LÄN</t>
        </is>
      </c>
      <c r="E363" t="inlineStr">
        <is>
          <t>ÅNGE</t>
        </is>
      </c>
      <c r="G363" t="n">
        <v>5.5</v>
      </c>
      <c r="H363" t="n">
        <v>0</v>
      </c>
      <c r="I363" t="n">
        <v>0</v>
      </c>
      <c r="J363" t="n">
        <v>0</v>
      </c>
      <c r="K363" t="n">
        <v>0</v>
      </c>
      <c r="L363" t="n">
        <v>0</v>
      </c>
      <c r="M363" t="n">
        <v>0</v>
      </c>
      <c r="N363" t="n">
        <v>0</v>
      </c>
      <c r="O363" t="n">
        <v>0</v>
      </c>
      <c r="P363" t="n">
        <v>0</v>
      </c>
      <c r="Q363" t="n">
        <v>0</v>
      </c>
      <c r="R363" s="2" t="inlineStr"/>
    </row>
    <row r="364" ht="15" customHeight="1">
      <c r="A364" t="inlineStr">
        <is>
          <t>A 41018-2019</t>
        </is>
      </c>
      <c r="B364" s="1" t="n">
        <v>43697</v>
      </c>
      <c r="C364" s="1" t="n">
        <v>45713</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42066-2019</t>
        </is>
      </c>
      <c r="B365" s="1" t="n">
        <v>43700</v>
      </c>
      <c r="C365" s="1" t="n">
        <v>45713</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43240-2019</t>
        </is>
      </c>
      <c r="B366" s="1" t="n">
        <v>43706</v>
      </c>
      <c r="C366" s="1" t="n">
        <v>45713</v>
      </c>
      <c r="D366" t="inlineStr">
        <is>
          <t>VÄSTERNORRLANDS LÄN</t>
        </is>
      </c>
      <c r="E366" t="inlineStr">
        <is>
          <t>ÅNGE</t>
        </is>
      </c>
      <c r="G366" t="n">
        <v>2.5</v>
      </c>
      <c r="H366" t="n">
        <v>0</v>
      </c>
      <c r="I366" t="n">
        <v>0</v>
      </c>
      <c r="J366" t="n">
        <v>0</v>
      </c>
      <c r="K366" t="n">
        <v>0</v>
      </c>
      <c r="L366" t="n">
        <v>0</v>
      </c>
      <c r="M366" t="n">
        <v>0</v>
      </c>
      <c r="N366" t="n">
        <v>0</v>
      </c>
      <c r="O366" t="n">
        <v>0</v>
      </c>
      <c r="P366" t="n">
        <v>0</v>
      </c>
      <c r="Q366" t="n">
        <v>0</v>
      </c>
      <c r="R366" s="2" t="inlineStr"/>
    </row>
    <row r="367" ht="15" customHeight="1">
      <c r="A367" t="inlineStr">
        <is>
          <t>A 43250-2019</t>
        </is>
      </c>
      <c r="B367" s="1" t="n">
        <v>43706</v>
      </c>
      <c r="C367" s="1" t="n">
        <v>45713</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43236-2019</t>
        </is>
      </c>
      <c r="B368" s="1" t="n">
        <v>43706</v>
      </c>
      <c r="C368" s="1" t="n">
        <v>45713</v>
      </c>
      <c r="D368" t="inlineStr">
        <is>
          <t>VÄSTERNORRLANDS LÄN</t>
        </is>
      </c>
      <c r="E368" t="inlineStr">
        <is>
          <t>ÅNGE</t>
        </is>
      </c>
      <c r="G368" t="n">
        <v>33.1</v>
      </c>
      <c r="H368" t="n">
        <v>0</v>
      </c>
      <c r="I368" t="n">
        <v>0</v>
      </c>
      <c r="J368" t="n">
        <v>0</v>
      </c>
      <c r="K368" t="n">
        <v>0</v>
      </c>
      <c r="L368" t="n">
        <v>0</v>
      </c>
      <c r="M368" t="n">
        <v>0</v>
      </c>
      <c r="N368" t="n">
        <v>0</v>
      </c>
      <c r="O368" t="n">
        <v>0</v>
      </c>
      <c r="P368" t="n">
        <v>0</v>
      </c>
      <c r="Q368" t="n">
        <v>0</v>
      </c>
      <c r="R368" s="2" t="inlineStr"/>
    </row>
    <row r="369" ht="15" customHeight="1">
      <c r="A369" t="inlineStr">
        <is>
          <t>A 43248-2019</t>
        </is>
      </c>
      <c r="B369" s="1" t="n">
        <v>43706</v>
      </c>
      <c r="C369" s="1" t="n">
        <v>45713</v>
      </c>
      <c r="D369" t="inlineStr">
        <is>
          <t>VÄSTERNORRLANDS LÄN</t>
        </is>
      </c>
      <c r="E369" t="inlineStr">
        <is>
          <t>ÅNGE</t>
        </is>
      </c>
      <c r="G369" t="n">
        <v>2</v>
      </c>
      <c r="H369" t="n">
        <v>0</v>
      </c>
      <c r="I369" t="n">
        <v>0</v>
      </c>
      <c r="J369" t="n">
        <v>0</v>
      </c>
      <c r="K369" t="n">
        <v>0</v>
      </c>
      <c r="L369" t="n">
        <v>0</v>
      </c>
      <c r="M369" t="n">
        <v>0</v>
      </c>
      <c r="N369" t="n">
        <v>0</v>
      </c>
      <c r="O369" t="n">
        <v>0</v>
      </c>
      <c r="P369" t="n">
        <v>0</v>
      </c>
      <c r="Q369" t="n">
        <v>0</v>
      </c>
      <c r="R369" s="2" t="inlineStr"/>
    </row>
    <row r="370" ht="15" customHeight="1">
      <c r="A370" t="inlineStr">
        <is>
          <t>A 43241-2019</t>
        </is>
      </c>
      <c r="B370" s="1" t="n">
        <v>43706</v>
      </c>
      <c r="C370" s="1" t="n">
        <v>45713</v>
      </c>
      <c r="D370" t="inlineStr">
        <is>
          <t>VÄSTERNORRLANDS LÄN</t>
        </is>
      </c>
      <c r="E370" t="inlineStr">
        <is>
          <t>ÅNGE</t>
        </is>
      </c>
      <c r="G370" t="n">
        <v>8.1</v>
      </c>
      <c r="H370" t="n">
        <v>0</v>
      </c>
      <c r="I370" t="n">
        <v>0</v>
      </c>
      <c r="J370" t="n">
        <v>0</v>
      </c>
      <c r="K370" t="n">
        <v>0</v>
      </c>
      <c r="L370" t="n">
        <v>0</v>
      </c>
      <c r="M370" t="n">
        <v>0</v>
      </c>
      <c r="N370" t="n">
        <v>0</v>
      </c>
      <c r="O370" t="n">
        <v>0</v>
      </c>
      <c r="P370" t="n">
        <v>0</v>
      </c>
      <c r="Q370" t="n">
        <v>0</v>
      </c>
      <c r="R370" s="2" t="inlineStr"/>
    </row>
    <row r="371" ht="15" customHeight="1">
      <c r="A371" t="inlineStr">
        <is>
          <t>A 43254-2019</t>
        </is>
      </c>
      <c r="B371" s="1" t="n">
        <v>43706</v>
      </c>
      <c r="C371" s="1" t="n">
        <v>45713</v>
      </c>
      <c r="D371" t="inlineStr">
        <is>
          <t>VÄSTERNORRLANDS LÄN</t>
        </is>
      </c>
      <c r="E371" t="inlineStr">
        <is>
          <t>ÅNGE</t>
        </is>
      </c>
      <c r="G371" t="n">
        <v>2.6</v>
      </c>
      <c r="H371" t="n">
        <v>0</v>
      </c>
      <c r="I371" t="n">
        <v>0</v>
      </c>
      <c r="J371" t="n">
        <v>0</v>
      </c>
      <c r="K371" t="n">
        <v>0</v>
      </c>
      <c r="L371" t="n">
        <v>0</v>
      </c>
      <c r="M371" t="n">
        <v>0</v>
      </c>
      <c r="N371" t="n">
        <v>0</v>
      </c>
      <c r="O371" t="n">
        <v>0</v>
      </c>
      <c r="P371" t="n">
        <v>0</v>
      </c>
      <c r="Q371" t="n">
        <v>0</v>
      </c>
      <c r="R371" s="2" t="inlineStr"/>
    </row>
    <row r="372" ht="15" customHeight="1">
      <c r="A372" t="inlineStr">
        <is>
          <t>A 43509-2019</t>
        </is>
      </c>
      <c r="B372" s="1" t="n">
        <v>43706</v>
      </c>
      <c r="C372" s="1" t="n">
        <v>45713</v>
      </c>
      <c r="D372" t="inlineStr">
        <is>
          <t>VÄSTERNORRLANDS LÄN</t>
        </is>
      </c>
      <c r="E372" t="inlineStr">
        <is>
          <t>ÅNGE</t>
        </is>
      </c>
      <c r="G372" t="n">
        <v>4.2</v>
      </c>
      <c r="H372" t="n">
        <v>0</v>
      </c>
      <c r="I372" t="n">
        <v>0</v>
      </c>
      <c r="J372" t="n">
        <v>0</v>
      </c>
      <c r="K372" t="n">
        <v>0</v>
      </c>
      <c r="L372" t="n">
        <v>0</v>
      </c>
      <c r="M372" t="n">
        <v>0</v>
      </c>
      <c r="N372" t="n">
        <v>0</v>
      </c>
      <c r="O372" t="n">
        <v>0</v>
      </c>
      <c r="P372" t="n">
        <v>0</v>
      </c>
      <c r="Q372" t="n">
        <v>0</v>
      </c>
      <c r="R372" s="2" t="inlineStr"/>
    </row>
    <row r="373" ht="15" customHeight="1">
      <c r="A373" t="inlineStr">
        <is>
          <t>A 43517-2019</t>
        </is>
      </c>
      <c r="B373" s="1" t="n">
        <v>43706</v>
      </c>
      <c r="C373" s="1" t="n">
        <v>45713</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43895-2019</t>
        </is>
      </c>
      <c r="B374" s="1" t="n">
        <v>43707</v>
      </c>
      <c r="C374" s="1" t="n">
        <v>45713</v>
      </c>
      <c r="D374" t="inlineStr">
        <is>
          <t>VÄSTERNORRLANDS LÄN</t>
        </is>
      </c>
      <c r="E374" t="inlineStr">
        <is>
          <t>ÅNGE</t>
        </is>
      </c>
      <c r="G374" t="n">
        <v>5.1</v>
      </c>
      <c r="H374" t="n">
        <v>0</v>
      </c>
      <c r="I374" t="n">
        <v>0</v>
      </c>
      <c r="J374" t="n">
        <v>0</v>
      </c>
      <c r="K374" t="n">
        <v>0</v>
      </c>
      <c r="L374" t="n">
        <v>0</v>
      </c>
      <c r="M374" t="n">
        <v>0</v>
      </c>
      <c r="N374" t="n">
        <v>0</v>
      </c>
      <c r="O374" t="n">
        <v>0</v>
      </c>
      <c r="P374" t="n">
        <v>0</v>
      </c>
      <c r="Q374" t="n">
        <v>0</v>
      </c>
      <c r="R374" s="2" t="inlineStr"/>
    </row>
    <row r="375" ht="15" customHeight="1">
      <c r="A375" t="inlineStr">
        <is>
          <t>A 44313-2019</t>
        </is>
      </c>
      <c r="B375" s="1" t="n">
        <v>43710</v>
      </c>
      <c r="C375" s="1" t="n">
        <v>45713</v>
      </c>
      <c r="D375" t="inlineStr">
        <is>
          <t>VÄSTERNORRLANDS LÄN</t>
        </is>
      </c>
      <c r="E375" t="inlineStr">
        <is>
          <t>ÅNGE</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45274-2019</t>
        </is>
      </c>
      <c r="B376" s="1" t="n">
        <v>43713</v>
      </c>
      <c r="C376" s="1" t="n">
        <v>45713</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48958-2019</t>
        </is>
      </c>
      <c r="B377" s="1" t="n">
        <v>43728</v>
      </c>
      <c r="C377" s="1" t="n">
        <v>45713</v>
      </c>
      <c r="D377" t="inlineStr">
        <is>
          <t>VÄSTERNORRLANDS LÄN</t>
        </is>
      </c>
      <c r="E377" t="inlineStr">
        <is>
          <t>ÅNGE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50278-2019</t>
        </is>
      </c>
      <c r="B378" s="1" t="n">
        <v>43734</v>
      </c>
      <c r="C378" s="1" t="n">
        <v>45713</v>
      </c>
      <c r="D378" t="inlineStr">
        <is>
          <t>VÄSTERNORRLANDS LÄN</t>
        </is>
      </c>
      <c r="E378" t="inlineStr">
        <is>
          <t>ÅNGE</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50280-2019</t>
        </is>
      </c>
      <c r="B379" s="1" t="n">
        <v>43734</v>
      </c>
      <c r="C379" s="1" t="n">
        <v>45713</v>
      </c>
      <c r="D379" t="inlineStr">
        <is>
          <t>VÄSTERNORRLANDS LÄN</t>
        </is>
      </c>
      <c r="E379" t="inlineStr">
        <is>
          <t>ÅNGE</t>
        </is>
      </c>
      <c r="F379" t="inlineStr">
        <is>
          <t>SCA</t>
        </is>
      </c>
      <c r="G379" t="n">
        <v>7.7</v>
      </c>
      <c r="H379" t="n">
        <v>0</v>
      </c>
      <c r="I379" t="n">
        <v>0</v>
      </c>
      <c r="J379" t="n">
        <v>0</v>
      </c>
      <c r="K379" t="n">
        <v>0</v>
      </c>
      <c r="L379" t="n">
        <v>0</v>
      </c>
      <c r="M379" t="n">
        <v>0</v>
      </c>
      <c r="N379" t="n">
        <v>0</v>
      </c>
      <c r="O379" t="n">
        <v>0</v>
      </c>
      <c r="P379" t="n">
        <v>0</v>
      </c>
      <c r="Q379" t="n">
        <v>0</v>
      </c>
      <c r="R379" s="2" t="inlineStr"/>
    </row>
    <row r="380" ht="15" customHeight="1">
      <c r="A380" t="inlineStr">
        <is>
          <t>A 50352-2019</t>
        </is>
      </c>
      <c r="B380" s="1" t="n">
        <v>43735</v>
      </c>
      <c r="C380" s="1" t="n">
        <v>45713</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50997-2019</t>
        </is>
      </c>
      <c r="B381" s="1" t="n">
        <v>43738</v>
      </c>
      <c r="C381" s="1" t="n">
        <v>45713</v>
      </c>
      <c r="D381" t="inlineStr">
        <is>
          <t>VÄSTERNORRLANDS LÄN</t>
        </is>
      </c>
      <c r="E381" t="inlineStr">
        <is>
          <t>ÅNGE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52505-2019</t>
        </is>
      </c>
      <c r="B382" s="1" t="n">
        <v>43738</v>
      </c>
      <c r="C382" s="1" t="n">
        <v>45713</v>
      </c>
      <c r="D382" t="inlineStr">
        <is>
          <t>VÄSTERNORRLANDS LÄN</t>
        </is>
      </c>
      <c r="E382" t="inlineStr">
        <is>
          <t>ÅNGE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51321-2019</t>
        </is>
      </c>
      <c r="B383" s="1" t="n">
        <v>43739</v>
      </c>
      <c r="C383" s="1" t="n">
        <v>45713</v>
      </c>
      <c r="D383" t="inlineStr">
        <is>
          <t>VÄSTERNORRLANDS LÄN</t>
        </is>
      </c>
      <c r="E383" t="inlineStr">
        <is>
          <t>ÅNGE</t>
        </is>
      </c>
      <c r="G383" t="n">
        <v>9.4</v>
      </c>
      <c r="H383" t="n">
        <v>0</v>
      </c>
      <c r="I383" t="n">
        <v>0</v>
      </c>
      <c r="J383" t="n">
        <v>0</v>
      </c>
      <c r="K383" t="n">
        <v>0</v>
      </c>
      <c r="L383" t="n">
        <v>0</v>
      </c>
      <c r="M383" t="n">
        <v>0</v>
      </c>
      <c r="N383" t="n">
        <v>0</v>
      </c>
      <c r="O383" t="n">
        <v>0</v>
      </c>
      <c r="P383" t="n">
        <v>0</v>
      </c>
      <c r="Q383" t="n">
        <v>0</v>
      </c>
      <c r="R383" s="2" t="inlineStr"/>
    </row>
    <row r="384" ht="15" customHeight="1">
      <c r="A384" t="inlineStr">
        <is>
          <t>A 51947-2019</t>
        </is>
      </c>
      <c r="B384" s="1" t="n">
        <v>43741</v>
      </c>
      <c r="C384" s="1" t="n">
        <v>45713</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51946-2019</t>
        </is>
      </c>
      <c r="B385" s="1" t="n">
        <v>43741</v>
      </c>
      <c r="C385" s="1" t="n">
        <v>45713</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52171-2019</t>
        </is>
      </c>
      <c r="B386" s="1" t="n">
        <v>43742</v>
      </c>
      <c r="C386" s="1" t="n">
        <v>45713</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52684-2019</t>
        </is>
      </c>
      <c r="B387" s="1" t="n">
        <v>43746</v>
      </c>
      <c r="C387" s="1" t="n">
        <v>45713</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52660-2019</t>
        </is>
      </c>
      <c r="B388" s="1" t="n">
        <v>43746</v>
      </c>
      <c r="C388" s="1" t="n">
        <v>45713</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53107-2019</t>
        </is>
      </c>
      <c r="B389" s="1" t="n">
        <v>43747</v>
      </c>
      <c r="C389" s="1" t="n">
        <v>45713</v>
      </c>
      <c r="D389" t="inlineStr">
        <is>
          <t>VÄSTERNORRLANDS LÄN</t>
        </is>
      </c>
      <c r="E389" t="inlineStr">
        <is>
          <t>ÅNGE</t>
        </is>
      </c>
      <c r="G389" t="n">
        <v>2.1</v>
      </c>
      <c r="H389" t="n">
        <v>0</v>
      </c>
      <c r="I389" t="n">
        <v>0</v>
      </c>
      <c r="J389" t="n">
        <v>0</v>
      </c>
      <c r="K389" t="n">
        <v>0</v>
      </c>
      <c r="L389" t="n">
        <v>0</v>
      </c>
      <c r="M389" t="n">
        <v>0</v>
      </c>
      <c r="N389" t="n">
        <v>0</v>
      </c>
      <c r="O389" t="n">
        <v>0</v>
      </c>
      <c r="P389" t="n">
        <v>0</v>
      </c>
      <c r="Q389" t="n">
        <v>0</v>
      </c>
      <c r="R389" s="2" t="inlineStr"/>
    </row>
    <row r="390" ht="15" customHeight="1">
      <c r="A390" t="inlineStr">
        <is>
          <t>A 53579-2019</t>
        </is>
      </c>
      <c r="B390" s="1" t="n">
        <v>43749</v>
      </c>
      <c r="C390" s="1" t="n">
        <v>45713</v>
      </c>
      <c r="D390" t="inlineStr">
        <is>
          <t>VÄSTERNORRLANDS LÄN</t>
        </is>
      </c>
      <c r="E390" t="inlineStr">
        <is>
          <t>ÅNGE</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54025-2019</t>
        </is>
      </c>
      <c r="B391" s="1" t="n">
        <v>43752</v>
      </c>
      <c r="C391" s="1" t="n">
        <v>45713</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54027-2019</t>
        </is>
      </c>
      <c r="B392" s="1" t="n">
        <v>43752</v>
      </c>
      <c r="C392" s="1" t="n">
        <v>45713</v>
      </c>
      <c r="D392" t="inlineStr">
        <is>
          <t>VÄSTERNORRLANDS LÄN</t>
        </is>
      </c>
      <c r="E392" t="inlineStr">
        <is>
          <t>ÅNGE</t>
        </is>
      </c>
      <c r="G392" t="n">
        <v>3.8</v>
      </c>
      <c r="H392" t="n">
        <v>0</v>
      </c>
      <c r="I392" t="n">
        <v>0</v>
      </c>
      <c r="J392" t="n">
        <v>0</v>
      </c>
      <c r="K392" t="n">
        <v>0</v>
      </c>
      <c r="L392" t="n">
        <v>0</v>
      </c>
      <c r="M392" t="n">
        <v>0</v>
      </c>
      <c r="N392" t="n">
        <v>0</v>
      </c>
      <c r="O392" t="n">
        <v>0</v>
      </c>
      <c r="P392" t="n">
        <v>0</v>
      </c>
      <c r="Q392" t="n">
        <v>0</v>
      </c>
      <c r="R392" s="2" t="inlineStr"/>
    </row>
    <row r="393" ht="15" customHeight="1">
      <c r="A393" t="inlineStr">
        <is>
          <t>A 55352-2019</t>
        </is>
      </c>
      <c r="B393" s="1" t="n">
        <v>43756</v>
      </c>
      <c r="C393" s="1" t="n">
        <v>45713</v>
      </c>
      <c r="D393" t="inlineStr">
        <is>
          <t>VÄSTERNORRLANDS LÄN</t>
        </is>
      </c>
      <c r="E393" t="inlineStr">
        <is>
          <t>ÅNGE</t>
        </is>
      </c>
      <c r="G393" t="n">
        <v>10.9</v>
      </c>
      <c r="H393" t="n">
        <v>0</v>
      </c>
      <c r="I393" t="n">
        <v>0</v>
      </c>
      <c r="J393" t="n">
        <v>0</v>
      </c>
      <c r="K393" t="n">
        <v>0</v>
      </c>
      <c r="L393" t="n">
        <v>0</v>
      </c>
      <c r="M393" t="n">
        <v>0</v>
      </c>
      <c r="N393" t="n">
        <v>0</v>
      </c>
      <c r="O393" t="n">
        <v>0</v>
      </c>
      <c r="P393" t="n">
        <v>0</v>
      </c>
      <c r="Q393" t="n">
        <v>0</v>
      </c>
      <c r="R393" s="2" t="inlineStr"/>
    </row>
    <row r="394" ht="15" customHeight="1">
      <c r="A394" t="inlineStr">
        <is>
          <t>A 55637-2019</t>
        </is>
      </c>
      <c r="B394" s="1" t="n">
        <v>43760</v>
      </c>
      <c r="C394" s="1" t="n">
        <v>45713</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55634-2019</t>
        </is>
      </c>
      <c r="B395" s="1" t="n">
        <v>43760</v>
      </c>
      <c r="C395" s="1" t="n">
        <v>45713</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55730-2019</t>
        </is>
      </c>
      <c r="B396" s="1" t="n">
        <v>43760</v>
      </c>
      <c r="C396" s="1" t="n">
        <v>45713</v>
      </c>
      <c r="D396" t="inlineStr">
        <is>
          <t>VÄSTERNORRLANDS LÄN</t>
        </is>
      </c>
      <c r="E396" t="inlineStr">
        <is>
          <t>ÅNGE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55729-2019</t>
        </is>
      </c>
      <c r="B397" s="1" t="n">
        <v>43760</v>
      </c>
      <c r="C397" s="1" t="n">
        <v>45713</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56137-2019</t>
        </is>
      </c>
      <c r="B398" s="1" t="n">
        <v>43761</v>
      </c>
      <c r="C398" s="1" t="n">
        <v>45713</v>
      </c>
      <c r="D398" t="inlineStr">
        <is>
          <t>VÄSTERNORRLANDS LÄN</t>
        </is>
      </c>
      <c r="E398" t="inlineStr">
        <is>
          <t>ÅNGE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56171-2019</t>
        </is>
      </c>
      <c r="B399" s="1" t="n">
        <v>43761</v>
      </c>
      <c r="C399" s="1" t="n">
        <v>45713</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56186-2019</t>
        </is>
      </c>
      <c r="B400" s="1" t="n">
        <v>43761</v>
      </c>
      <c r="C400" s="1" t="n">
        <v>45713</v>
      </c>
      <c r="D400" t="inlineStr">
        <is>
          <t>VÄSTERNORRLANDS LÄN</t>
        </is>
      </c>
      <c r="E400" t="inlineStr">
        <is>
          <t>ÅNGE</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56490-2019</t>
        </is>
      </c>
      <c r="B401" s="1" t="n">
        <v>43762</v>
      </c>
      <c r="C401" s="1" t="n">
        <v>45713</v>
      </c>
      <c r="D401" t="inlineStr">
        <is>
          <t>VÄSTERNORRLANDS LÄN</t>
        </is>
      </c>
      <c r="E401" t="inlineStr">
        <is>
          <t>ÅNGE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57184-2019</t>
        </is>
      </c>
      <c r="B402" s="1" t="n">
        <v>43766</v>
      </c>
      <c r="C402" s="1" t="n">
        <v>45713</v>
      </c>
      <c r="D402" t="inlineStr">
        <is>
          <t>VÄSTERNORRLANDS LÄN</t>
        </is>
      </c>
      <c r="E402" t="inlineStr">
        <is>
          <t>ÅNGE</t>
        </is>
      </c>
      <c r="G402" t="n">
        <v>3.4</v>
      </c>
      <c r="H402" t="n">
        <v>0</v>
      </c>
      <c r="I402" t="n">
        <v>0</v>
      </c>
      <c r="J402" t="n">
        <v>0</v>
      </c>
      <c r="K402" t="n">
        <v>0</v>
      </c>
      <c r="L402" t="n">
        <v>0</v>
      </c>
      <c r="M402" t="n">
        <v>0</v>
      </c>
      <c r="N402" t="n">
        <v>0</v>
      </c>
      <c r="O402" t="n">
        <v>0</v>
      </c>
      <c r="P402" t="n">
        <v>0</v>
      </c>
      <c r="Q402" t="n">
        <v>0</v>
      </c>
      <c r="R402" s="2" t="inlineStr"/>
    </row>
    <row r="403" ht="15" customHeight="1">
      <c r="A403" t="inlineStr">
        <is>
          <t>A 57183-2019</t>
        </is>
      </c>
      <c r="B403" s="1" t="n">
        <v>43766</v>
      </c>
      <c r="C403" s="1" t="n">
        <v>45713</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58720-2019</t>
        </is>
      </c>
      <c r="B404" s="1" t="n">
        <v>43773</v>
      </c>
      <c r="C404" s="1" t="n">
        <v>45713</v>
      </c>
      <c r="D404" t="inlineStr">
        <is>
          <t>VÄSTERNORRLANDS LÄN</t>
        </is>
      </c>
      <c r="E404" t="inlineStr">
        <is>
          <t>ÅNGE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58790-2019</t>
        </is>
      </c>
      <c r="B405" s="1" t="n">
        <v>43773</v>
      </c>
      <c r="C405" s="1" t="n">
        <v>45713</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58941-2019</t>
        </is>
      </c>
      <c r="B406" s="1" t="n">
        <v>43774</v>
      </c>
      <c r="C406" s="1" t="n">
        <v>45713</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58932-2019</t>
        </is>
      </c>
      <c r="B407" s="1" t="n">
        <v>43774</v>
      </c>
      <c r="C407" s="1" t="n">
        <v>45713</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58951-2019</t>
        </is>
      </c>
      <c r="B408" s="1" t="n">
        <v>43774</v>
      </c>
      <c r="C408" s="1" t="n">
        <v>45713</v>
      </c>
      <c r="D408" t="inlineStr">
        <is>
          <t>VÄSTERNORRLANDS LÄN</t>
        </is>
      </c>
      <c r="E408" t="inlineStr">
        <is>
          <t>ÅNGE</t>
        </is>
      </c>
      <c r="G408" t="n">
        <v>6.9</v>
      </c>
      <c r="H408" t="n">
        <v>0</v>
      </c>
      <c r="I408" t="n">
        <v>0</v>
      </c>
      <c r="J408" t="n">
        <v>0</v>
      </c>
      <c r="K408" t="n">
        <v>0</v>
      </c>
      <c r="L408" t="n">
        <v>0</v>
      </c>
      <c r="M408" t="n">
        <v>0</v>
      </c>
      <c r="N408" t="n">
        <v>0</v>
      </c>
      <c r="O408" t="n">
        <v>0</v>
      </c>
      <c r="P408" t="n">
        <v>0</v>
      </c>
      <c r="Q408" t="n">
        <v>0</v>
      </c>
      <c r="R408" s="2" t="inlineStr"/>
    </row>
    <row r="409" ht="15" customHeight="1">
      <c r="A409" t="inlineStr">
        <is>
          <t>A 60577-2019</t>
        </is>
      </c>
      <c r="B409" s="1" t="n">
        <v>43781</v>
      </c>
      <c r="C409" s="1" t="n">
        <v>45713</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60687-2019</t>
        </is>
      </c>
      <c r="B410" s="1" t="n">
        <v>43781</v>
      </c>
      <c r="C410" s="1" t="n">
        <v>45713</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60868-2019</t>
        </is>
      </c>
      <c r="B411" s="1" t="n">
        <v>43781</v>
      </c>
      <c r="C411" s="1" t="n">
        <v>45713</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61521-2019</t>
        </is>
      </c>
      <c r="B412" s="1" t="n">
        <v>43783</v>
      </c>
      <c r="C412" s="1" t="n">
        <v>45713</v>
      </c>
      <c r="D412" t="inlineStr">
        <is>
          <t>VÄSTERNORRLANDS LÄN</t>
        </is>
      </c>
      <c r="E412" t="inlineStr">
        <is>
          <t>ÅNGE</t>
        </is>
      </c>
      <c r="F412" t="inlineStr">
        <is>
          <t>SCA</t>
        </is>
      </c>
      <c r="G412" t="n">
        <v>40.5</v>
      </c>
      <c r="H412" t="n">
        <v>0</v>
      </c>
      <c r="I412" t="n">
        <v>0</v>
      </c>
      <c r="J412" t="n">
        <v>0</v>
      </c>
      <c r="K412" t="n">
        <v>0</v>
      </c>
      <c r="L412" t="n">
        <v>0</v>
      </c>
      <c r="M412" t="n">
        <v>0</v>
      </c>
      <c r="N412" t="n">
        <v>0</v>
      </c>
      <c r="O412" t="n">
        <v>0</v>
      </c>
      <c r="P412" t="n">
        <v>0</v>
      </c>
      <c r="Q412" t="n">
        <v>0</v>
      </c>
      <c r="R412" s="2" t="inlineStr"/>
    </row>
    <row r="413" ht="15" customHeight="1">
      <c r="A413" t="inlineStr">
        <is>
          <t>A 61520-2019</t>
        </is>
      </c>
      <c r="B413" s="1" t="n">
        <v>43783</v>
      </c>
      <c r="C413" s="1" t="n">
        <v>45713</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61918-2019</t>
        </is>
      </c>
      <c r="B414" s="1" t="n">
        <v>43787</v>
      </c>
      <c r="C414" s="1" t="n">
        <v>45713</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61862-2019</t>
        </is>
      </c>
      <c r="B415" s="1" t="n">
        <v>43787</v>
      </c>
      <c r="C415" s="1" t="n">
        <v>45713</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62222-2019</t>
        </is>
      </c>
      <c r="B416" s="1" t="n">
        <v>43788</v>
      </c>
      <c r="C416" s="1" t="n">
        <v>45713</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62925-2019</t>
        </is>
      </c>
      <c r="B417" s="1" t="n">
        <v>43790</v>
      </c>
      <c r="C417" s="1" t="n">
        <v>45713</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63300-2019</t>
        </is>
      </c>
      <c r="B418" s="1" t="n">
        <v>43794</v>
      </c>
      <c r="C418" s="1" t="n">
        <v>45713</v>
      </c>
      <c r="D418" t="inlineStr">
        <is>
          <t>VÄSTERNORRLANDS LÄN</t>
        </is>
      </c>
      <c r="E418" t="inlineStr">
        <is>
          <t>ÅNGE</t>
        </is>
      </c>
      <c r="G418" t="n">
        <v>3</v>
      </c>
      <c r="H418" t="n">
        <v>0</v>
      </c>
      <c r="I418" t="n">
        <v>0</v>
      </c>
      <c r="J418" t="n">
        <v>0</v>
      </c>
      <c r="K418" t="n">
        <v>0</v>
      </c>
      <c r="L418" t="n">
        <v>0</v>
      </c>
      <c r="M418" t="n">
        <v>0</v>
      </c>
      <c r="N418" t="n">
        <v>0</v>
      </c>
      <c r="O418" t="n">
        <v>0</v>
      </c>
      <c r="P418" t="n">
        <v>0</v>
      </c>
      <c r="Q418" t="n">
        <v>0</v>
      </c>
      <c r="R418" s="2" t="inlineStr"/>
    </row>
    <row r="419" ht="15" customHeight="1">
      <c r="A419" t="inlineStr">
        <is>
          <t>A 63329-2019</t>
        </is>
      </c>
      <c r="B419" s="1" t="n">
        <v>43794</v>
      </c>
      <c r="C419" s="1" t="n">
        <v>45713</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63453-2019</t>
        </is>
      </c>
      <c r="B420" s="1" t="n">
        <v>43794</v>
      </c>
      <c r="C420" s="1" t="n">
        <v>45713</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63324-2019</t>
        </is>
      </c>
      <c r="B421" s="1" t="n">
        <v>43794</v>
      </c>
      <c r="C421" s="1" t="n">
        <v>45713</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63549-2019</t>
        </is>
      </c>
      <c r="B422" s="1" t="n">
        <v>43794</v>
      </c>
      <c r="C422" s="1" t="n">
        <v>45713</v>
      </c>
      <c r="D422" t="inlineStr">
        <is>
          <t>VÄSTERNORRLANDS LÄN</t>
        </is>
      </c>
      <c r="E422" t="inlineStr">
        <is>
          <t>ÅNGE</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63454-2019</t>
        </is>
      </c>
      <c r="B423" s="1" t="n">
        <v>43794</v>
      </c>
      <c r="C423" s="1" t="n">
        <v>45713</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63679-2019</t>
        </is>
      </c>
      <c r="B424" s="1" t="n">
        <v>43795</v>
      </c>
      <c r="C424" s="1" t="n">
        <v>45713</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63677-2019</t>
        </is>
      </c>
      <c r="B425" s="1" t="n">
        <v>43795</v>
      </c>
      <c r="C425" s="1" t="n">
        <v>45713</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63683-2019</t>
        </is>
      </c>
      <c r="B426" s="1" t="n">
        <v>43795</v>
      </c>
      <c r="C426" s="1" t="n">
        <v>45713</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65050-2019</t>
        </is>
      </c>
      <c r="B427" s="1" t="n">
        <v>43801</v>
      </c>
      <c r="C427" s="1" t="n">
        <v>45713</v>
      </c>
      <c r="D427" t="inlineStr">
        <is>
          <t>VÄSTERNORRLANDS LÄN</t>
        </is>
      </c>
      <c r="E427" t="inlineStr">
        <is>
          <t>ÅNGE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65046-2019</t>
        </is>
      </c>
      <c r="B428" s="1" t="n">
        <v>43801</v>
      </c>
      <c r="C428" s="1" t="n">
        <v>45713</v>
      </c>
      <c r="D428" t="inlineStr">
        <is>
          <t>VÄSTERNORRLANDS LÄN</t>
        </is>
      </c>
      <c r="E428" t="inlineStr">
        <is>
          <t>ÅNGE</t>
        </is>
      </c>
      <c r="G428" t="n">
        <v>17.3</v>
      </c>
      <c r="H428" t="n">
        <v>0</v>
      </c>
      <c r="I428" t="n">
        <v>0</v>
      </c>
      <c r="J428" t="n">
        <v>0</v>
      </c>
      <c r="K428" t="n">
        <v>0</v>
      </c>
      <c r="L428" t="n">
        <v>0</v>
      </c>
      <c r="M428" t="n">
        <v>0</v>
      </c>
      <c r="N428" t="n">
        <v>0</v>
      </c>
      <c r="O428" t="n">
        <v>0</v>
      </c>
      <c r="P428" t="n">
        <v>0</v>
      </c>
      <c r="Q428" t="n">
        <v>0</v>
      </c>
      <c r="R428" s="2" t="inlineStr"/>
    </row>
    <row r="429" ht="15" customHeight="1">
      <c r="A429" t="inlineStr">
        <is>
          <t>A 65049-2019</t>
        </is>
      </c>
      <c r="B429" s="1" t="n">
        <v>43801</v>
      </c>
      <c r="C429" s="1" t="n">
        <v>45713</v>
      </c>
      <c r="D429" t="inlineStr">
        <is>
          <t>VÄSTERNORRLANDS LÄN</t>
        </is>
      </c>
      <c r="E429" t="inlineStr">
        <is>
          <t>ÅNGE</t>
        </is>
      </c>
      <c r="G429" t="n">
        <v>3.3</v>
      </c>
      <c r="H429" t="n">
        <v>0</v>
      </c>
      <c r="I429" t="n">
        <v>0</v>
      </c>
      <c r="J429" t="n">
        <v>0</v>
      </c>
      <c r="K429" t="n">
        <v>0</v>
      </c>
      <c r="L429" t="n">
        <v>0</v>
      </c>
      <c r="M429" t="n">
        <v>0</v>
      </c>
      <c r="N429" t="n">
        <v>0</v>
      </c>
      <c r="O429" t="n">
        <v>0</v>
      </c>
      <c r="P429" t="n">
        <v>0</v>
      </c>
      <c r="Q429" t="n">
        <v>0</v>
      </c>
      <c r="R429" s="2" t="inlineStr"/>
    </row>
    <row r="430" ht="15" customHeight="1">
      <c r="A430" t="inlineStr">
        <is>
          <t>A 65048-2019</t>
        </is>
      </c>
      <c r="B430" s="1" t="n">
        <v>43801</v>
      </c>
      <c r="C430" s="1" t="n">
        <v>45713</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65951-2019</t>
        </is>
      </c>
      <c r="B431" s="1" t="n">
        <v>43805</v>
      </c>
      <c r="C431" s="1" t="n">
        <v>45713</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65909-2019</t>
        </is>
      </c>
      <c r="B432" s="1" t="n">
        <v>43805</v>
      </c>
      <c r="C432" s="1" t="n">
        <v>45713</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66048-2019</t>
        </is>
      </c>
      <c r="B433" s="1" t="n">
        <v>43805</v>
      </c>
      <c r="C433" s="1" t="n">
        <v>45713</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66017-2019</t>
        </is>
      </c>
      <c r="B434" s="1" t="n">
        <v>43805</v>
      </c>
      <c r="C434" s="1" t="n">
        <v>45713</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66013-2019</t>
        </is>
      </c>
      <c r="B435" s="1" t="n">
        <v>43805</v>
      </c>
      <c r="C435" s="1" t="n">
        <v>45713</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68809-2019</t>
        </is>
      </c>
      <c r="B436" s="1" t="n">
        <v>43815</v>
      </c>
      <c r="C436" s="1" t="n">
        <v>45713</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714-2020</t>
        </is>
      </c>
      <c r="B437" s="1" t="n">
        <v>43818</v>
      </c>
      <c r="C437" s="1" t="n">
        <v>45713</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68807-2019</t>
        </is>
      </c>
      <c r="B438" s="1" t="n">
        <v>43819</v>
      </c>
      <c r="C438" s="1" t="n">
        <v>45713</v>
      </c>
      <c r="D438" t="inlineStr">
        <is>
          <t>VÄSTERNORRLANDS LÄN</t>
        </is>
      </c>
      <c r="E438" t="inlineStr">
        <is>
          <t>ÅNGE</t>
        </is>
      </c>
      <c r="G438" t="n">
        <v>2.1</v>
      </c>
      <c r="H438" t="n">
        <v>0</v>
      </c>
      <c r="I438" t="n">
        <v>0</v>
      </c>
      <c r="J438" t="n">
        <v>0</v>
      </c>
      <c r="K438" t="n">
        <v>0</v>
      </c>
      <c r="L438" t="n">
        <v>0</v>
      </c>
      <c r="M438" t="n">
        <v>0</v>
      </c>
      <c r="N438" t="n">
        <v>0</v>
      </c>
      <c r="O438" t="n">
        <v>0</v>
      </c>
      <c r="P438" t="n">
        <v>0</v>
      </c>
      <c r="Q438" t="n">
        <v>0</v>
      </c>
      <c r="R438" s="2" t="inlineStr"/>
    </row>
    <row r="439" ht="15" customHeight="1">
      <c r="A439" t="inlineStr">
        <is>
          <t>A 69169-2019</t>
        </is>
      </c>
      <c r="B439" s="1" t="n">
        <v>43830</v>
      </c>
      <c r="C439" s="1" t="n">
        <v>45713</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69171-2019</t>
        </is>
      </c>
      <c r="B440" s="1" t="n">
        <v>43830</v>
      </c>
      <c r="C440" s="1" t="n">
        <v>45713</v>
      </c>
      <c r="D440" t="inlineStr">
        <is>
          <t>VÄSTERNORRLANDS LÄN</t>
        </is>
      </c>
      <c r="E440" t="inlineStr">
        <is>
          <t>ÅNGE</t>
        </is>
      </c>
      <c r="G440" t="n">
        <v>3.1</v>
      </c>
      <c r="H440" t="n">
        <v>0</v>
      </c>
      <c r="I440" t="n">
        <v>0</v>
      </c>
      <c r="J440" t="n">
        <v>0</v>
      </c>
      <c r="K440" t="n">
        <v>0</v>
      </c>
      <c r="L440" t="n">
        <v>0</v>
      </c>
      <c r="M440" t="n">
        <v>0</v>
      </c>
      <c r="N440" t="n">
        <v>0</v>
      </c>
      <c r="O440" t="n">
        <v>0</v>
      </c>
      <c r="P440" t="n">
        <v>0</v>
      </c>
      <c r="Q440" t="n">
        <v>0</v>
      </c>
      <c r="R440" s="2" t="inlineStr"/>
    </row>
    <row r="441" ht="15" customHeight="1">
      <c r="A441" t="inlineStr">
        <is>
          <t>A 114-2020</t>
        </is>
      </c>
      <c r="B441" s="1" t="n">
        <v>43832</v>
      </c>
      <c r="C441" s="1" t="n">
        <v>45713</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531-2020</t>
        </is>
      </c>
      <c r="B442" s="1" t="n">
        <v>43837</v>
      </c>
      <c r="C442" s="1" t="n">
        <v>45713</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664-2020</t>
        </is>
      </c>
      <c r="B443" s="1" t="n">
        <v>43838</v>
      </c>
      <c r="C443" s="1" t="n">
        <v>45713</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2650-2020</t>
        </is>
      </c>
      <c r="B444" s="1" t="n">
        <v>43847</v>
      </c>
      <c r="C444" s="1" t="n">
        <v>45713</v>
      </c>
      <c r="D444" t="inlineStr">
        <is>
          <t>VÄSTERNORRLANDS LÄN</t>
        </is>
      </c>
      <c r="E444" t="inlineStr">
        <is>
          <t>ÅNGE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3658-2020</t>
        </is>
      </c>
      <c r="B445" s="1" t="n">
        <v>43853</v>
      </c>
      <c r="C445" s="1" t="n">
        <v>45713</v>
      </c>
      <c r="D445" t="inlineStr">
        <is>
          <t>VÄSTERNORRLANDS LÄN</t>
        </is>
      </c>
      <c r="E445" t="inlineStr">
        <is>
          <t>ÅNGE</t>
        </is>
      </c>
      <c r="G445" t="n">
        <v>4.4</v>
      </c>
      <c r="H445" t="n">
        <v>0</v>
      </c>
      <c r="I445" t="n">
        <v>0</v>
      </c>
      <c r="J445" t="n">
        <v>0</v>
      </c>
      <c r="K445" t="n">
        <v>0</v>
      </c>
      <c r="L445" t="n">
        <v>0</v>
      </c>
      <c r="M445" t="n">
        <v>0</v>
      </c>
      <c r="N445" t="n">
        <v>0</v>
      </c>
      <c r="O445" t="n">
        <v>0</v>
      </c>
      <c r="P445" t="n">
        <v>0</v>
      </c>
      <c r="Q445" t="n">
        <v>0</v>
      </c>
      <c r="R445" s="2" t="inlineStr"/>
    </row>
    <row r="446" ht="15" customHeight="1">
      <c r="A446" t="inlineStr">
        <is>
          <t>A 3664-2020</t>
        </is>
      </c>
      <c r="B446" s="1" t="n">
        <v>43853</v>
      </c>
      <c r="C446" s="1" t="n">
        <v>45713</v>
      </c>
      <c r="D446" t="inlineStr">
        <is>
          <t>VÄSTERNORRLANDS LÄN</t>
        </is>
      </c>
      <c r="E446" t="inlineStr">
        <is>
          <t>ÅNGE</t>
        </is>
      </c>
      <c r="G446" t="n">
        <v>10.8</v>
      </c>
      <c r="H446" t="n">
        <v>0</v>
      </c>
      <c r="I446" t="n">
        <v>0</v>
      </c>
      <c r="J446" t="n">
        <v>0</v>
      </c>
      <c r="K446" t="n">
        <v>0</v>
      </c>
      <c r="L446" t="n">
        <v>0</v>
      </c>
      <c r="M446" t="n">
        <v>0</v>
      </c>
      <c r="N446" t="n">
        <v>0</v>
      </c>
      <c r="O446" t="n">
        <v>0</v>
      </c>
      <c r="P446" t="n">
        <v>0</v>
      </c>
      <c r="Q446" t="n">
        <v>0</v>
      </c>
      <c r="R446" s="2" t="inlineStr"/>
    </row>
    <row r="447" ht="15" customHeight="1">
      <c r="A447" t="inlineStr">
        <is>
          <t>A 3993-2020</t>
        </is>
      </c>
      <c r="B447" s="1" t="n">
        <v>43856</v>
      </c>
      <c r="C447" s="1" t="n">
        <v>45713</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4365-2020</t>
        </is>
      </c>
      <c r="B448" s="1" t="n">
        <v>43857</v>
      </c>
      <c r="C448" s="1" t="n">
        <v>45713</v>
      </c>
      <c r="D448" t="inlineStr">
        <is>
          <t>VÄSTERNORRLANDS LÄN</t>
        </is>
      </c>
      <c r="E448" t="inlineStr">
        <is>
          <t>ÅNGE</t>
        </is>
      </c>
      <c r="G448" t="n">
        <v>0.3</v>
      </c>
      <c r="H448" t="n">
        <v>0</v>
      </c>
      <c r="I448" t="n">
        <v>0</v>
      </c>
      <c r="J448" t="n">
        <v>0</v>
      </c>
      <c r="K448" t="n">
        <v>0</v>
      </c>
      <c r="L448" t="n">
        <v>0</v>
      </c>
      <c r="M448" t="n">
        <v>0</v>
      </c>
      <c r="N448" t="n">
        <v>0</v>
      </c>
      <c r="O448" t="n">
        <v>0</v>
      </c>
      <c r="P448" t="n">
        <v>0</v>
      </c>
      <c r="Q448" t="n">
        <v>0</v>
      </c>
      <c r="R448" s="2" t="inlineStr"/>
    </row>
    <row r="449" ht="15" customHeight="1">
      <c r="A449" t="inlineStr">
        <is>
          <t>A 4458-2020</t>
        </is>
      </c>
      <c r="B449" s="1" t="n">
        <v>43858</v>
      </c>
      <c r="C449" s="1" t="n">
        <v>45713</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5102-2020</t>
        </is>
      </c>
      <c r="B450" s="1" t="n">
        <v>43859</v>
      </c>
      <c r="C450" s="1" t="n">
        <v>45713</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5975-2020</t>
        </is>
      </c>
      <c r="B451" s="1" t="n">
        <v>43864</v>
      </c>
      <c r="C451" s="1" t="n">
        <v>45713</v>
      </c>
      <c r="D451" t="inlineStr">
        <is>
          <t>VÄSTERNORRLANDS LÄN</t>
        </is>
      </c>
      <c r="E451" t="inlineStr">
        <is>
          <t>ÅNGE</t>
        </is>
      </c>
      <c r="G451" t="n">
        <v>6.5</v>
      </c>
      <c r="H451" t="n">
        <v>0</v>
      </c>
      <c r="I451" t="n">
        <v>0</v>
      </c>
      <c r="J451" t="n">
        <v>0</v>
      </c>
      <c r="K451" t="n">
        <v>0</v>
      </c>
      <c r="L451" t="n">
        <v>0</v>
      </c>
      <c r="M451" t="n">
        <v>0</v>
      </c>
      <c r="N451" t="n">
        <v>0</v>
      </c>
      <c r="O451" t="n">
        <v>0</v>
      </c>
      <c r="P451" t="n">
        <v>0</v>
      </c>
      <c r="Q451" t="n">
        <v>0</v>
      </c>
      <c r="R451" s="2" t="inlineStr"/>
    </row>
    <row r="452" ht="15" customHeight="1">
      <c r="A452" t="inlineStr">
        <is>
          <t>A 6393-2020</t>
        </is>
      </c>
      <c r="B452" s="1" t="n">
        <v>43866</v>
      </c>
      <c r="C452" s="1" t="n">
        <v>45713</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6557-2020</t>
        </is>
      </c>
      <c r="B453" s="1" t="n">
        <v>43867</v>
      </c>
      <c r="C453" s="1" t="n">
        <v>45713</v>
      </c>
      <c r="D453" t="inlineStr">
        <is>
          <t>VÄSTERNORRLANDS LÄN</t>
        </is>
      </c>
      <c r="E453" t="inlineStr">
        <is>
          <t>ÅNGE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6551-2020</t>
        </is>
      </c>
      <c r="B454" s="1" t="n">
        <v>43867</v>
      </c>
      <c r="C454" s="1" t="n">
        <v>45713</v>
      </c>
      <c r="D454" t="inlineStr">
        <is>
          <t>VÄSTERNORRLANDS LÄN</t>
        </is>
      </c>
      <c r="E454" t="inlineStr">
        <is>
          <t>ÅNGE</t>
        </is>
      </c>
      <c r="G454" t="n">
        <v>12.5</v>
      </c>
      <c r="H454" t="n">
        <v>0</v>
      </c>
      <c r="I454" t="n">
        <v>0</v>
      </c>
      <c r="J454" t="n">
        <v>0</v>
      </c>
      <c r="K454" t="n">
        <v>0</v>
      </c>
      <c r="L454" t="n">
        <v>0</v>
      </c>
      <c r="M454" t="n">
        <v>0</v>
      </c>
      <c r="N454" t="n">
        <v>0</v>
      </c>
      <c r="O454" t="n">
        <v>0</v>
      </c>
      <c r="P454" t="n">
        <v>0</v>
      </c>
      <c r="Q454" t="n">
        <v>0</v>
      </c>
      <c r="R454" s="2" t="inlineStr"/>
    </row>
    <row r="455" ht="15" customHeight="1">
      <c r="A455" t="inlineStr">
        <is>
          <t>A 6563-2020</t>
        </is>
      </c>
      <c r="B455" s="1" t="n">
        <v>43867</v>
      </c>
      <c r="C455" s="1" t="n">
        <v>45713</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6555-2020</t>
        </is>
      </c>
      <c r="B456" s="1" t="n">
        <v>43867</v>
      </c>
      <c r="C456" s="1" t="n">
        <v>45713</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6562-2020</t>
        </is>
      </c>
      <c r="B457" s="1" t="n">
        <v>43867</v>
      </c>
      <c r="C457" s="1" t="n">
        <v>45713</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6565-2020</t>
        </is>
      </c>
      <c r="B458" s="1" t="n">
        <v>43867</v>
      </c>
      <c r="C458" s="1" t="n">
        <v>45713</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7787-2020</t>
        </is>
      </c>
      <c r="B459" s="1" t="n">
        <v>43872</v>
      </c>
      <c r="C459" s="1" t="n">
        <v>45713</v>
      </c>
      <c r="D459" t="inlineStr">
        <is>
          <t>VÄSTERNORRLANDS LÄN</t>
        </is>
      </c>
      <c r="E459" t="inlineStr">
        <is>
          <t>ÅNGE</t>
        </is>
      </c>
      <c r="F459" t="inlineStr">
        <is>
          <t>SCA</t>
        </is>
      </c>
      <c r="G459" t="n">
        <v>22.8</v>
      </c>
      <c r="H459" t="n">
        <v>0</v>
      </c>
      <c r="I459" t="n">
        <v>0</v>
      </c>
      <c r="J459" t="n">
        <v>0</v>
      </c>
      <c r="K459" t="n">
        <v>0</v>
      </c>
      <c r="L459" t="n">
        <v>0</v>
      </c>
      <c r="M459" t="n">
        <v>0</v>
      </c>
      <c r="N459" t="n">
        <v>0</v>
      </c>
      <c r="O459" t="n">
        <v>0</v>
      </c>
      <c r="P459" t="n">
        <v>0</v>
      </c>
      <c r="Q459" t="n">
        <v>0</v>
      </c>
      <c r="R459" s="2" t="inlineStr"/>
    </row>
    <row r="460" ht="15" customHeight="1">
      <c r="A460" t="inlineStr">
        <is>
          <t>A 8533-2020</t>
        </is>
      </c>
      <c r="B460" s="1" t="n">
        <v>43875</v>
      </c>
      <c r="C460" s="1" t="n">
        <v>45713</v>
      </c>
      <c r="D460" t="inlineStr">
        <is>
          <t>VÄSTERNORRLANDS LÄN</t>
        </is>
      </c>
      <c r="E460" t="inlineStr">
        <is>
          <t>ÅNGE</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8534-2020</t>
        </is>
      </c>
      <c r="B461" s="1" t="n">
        <v>43875</v>
      </c>
      <c r="C461" s="1" t="n">
        <v>45713</v>
      </c>
      <c r="D461" t="inlineStr">
        <is>
          <t>VÄSTERNORRLANDS LÄN</t>
        </is>
      </c>
      <c r="E461" t="inlineStr">
        <is>
          <t>ÅNGE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10144-2020</t>
        </is>
      </c>
      <c r="B462" s="1" t="n">
        <v>43886</v>
      </c>
      <c r="C462" s="1" t="n">
        <v>45713</v>
      </c>
      <c r="D462" t="inlineStr">
        <is>
          <t>VÄSTERNORRLANDS LÄN</t>
        </is>
      </c>
      <c r="E462" t="inlineStr">
        <is>
          <t>ÅNGE</t>
        </is>
      </c>
      <c r="F462" t="inlineStr">
        <is>
          <t>SCA</t>
        </is>
      </c>
      <c r="G462" t="n">
        <v>21.7</v>
      </c>
      <c r="H462" t="n">
        <v>0</v>
      </c>
      <c r="I462" t="n">
        <v>0</v>
      </c>
      <c r="J462" t="n">
        <v>0</v>
      </c>
      <c r="K462" t="n">
        <v>0</v>
      </c>
      <c r="L462" t="n">
        <v>0</v>
      </c>
      <c r="M462" t="n">
        <v>0</v>
      </c>
      <c r="N462" t="n">
        <v>0</v>
      </c>
      <c r="O462" t="n">
        <v>0</v>
      </c>
      <c r="P462" t="n">
        <v>0</v>
      </c>
      <c r="Q462" t="n">
        <v>0</v>
      </c>
      <c r="R462" s="2" t="inlineStr"/>
    </row>
    <row r="463" ht="15" customHeight="1">
      <c r="A463" t="inlineStr">
        <is>
          <t>A 10145-2020</t>
        </is>
      </c>
      <c r="B463" s="1" t="n">
        <v>43886</v>
      </c>
      <c r="C463" s="1" t="n">
        <v>45713</v>
      </c>
      <c r="D463" t="inlineStr">
        <is>
          <t>VÄSTERNORRLANDS LÄN</t>
        </is>
      </c>
      <c r="E463" t="inlineStr">
        <is>
          <t>ÅNGE</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11101-2020</t>
        </is>
      </c>
      <c r="B464" s="1" t="n">
        <v>43889</v>
      </c>
      <c r="C464" s="1" t="n">
        <v>45713</v>
      </c>
      <c r="D464" t="inlineStr">
        <is>
          <t>VÄSTERNORRLANDS LÄN</t>
        </is>
      </c>
      <c r="E464" t="inlineStr">
        <is>
          <t>ÅNGE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12866-2020</t>
        </is>
      </c>
      <c r="B465" s="1" t="n">
        <v>43899</v>
      </c>
      <c r="C465" s="1" t="n">
        <v>45713</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12868-2020</t>
        </is>
      </c>
      <c r="B466" s="1" t="n">
        <v>43899</v>
      </c>
      <c r="C466" s="1" t="n">
        <v>45713</v>
      </c>
      <c r="D466" t="inlineStr">
        <is>
          <t>VÄSTERNORRLANDS LÄN</t>
        </is>
      </c>
      <c r="E466" t="inlineStr">
        <is>
          <t>ÅNGE</t>
        </is>
      </c>
      <c r="G466" t="n">
        <v>9.6</v>
      </c>
      <c r="H466" t="n">
        <v>0</v>
      </c>
      <c r="I466" t="n">
        <v>0</v>
      </c>
      <c r="J466" t="n">
        <v>0</v>
      </c>
      <c r="K466" t="n">
        <v>0</v>
      </c>
      <c r="L466" t="n">
        <v>0</v>
      </c>
      <c r="M466" t="n">
        <v>0</v>
      </c>
      <c r="N466" t="n">
        <v>0</v>
      </c>
      <c r="O466" t="n">
        <v>0</v>
      </c>
      <c r="P466" t="n">
        <v>0</v>
      </c>
      <c r="Q466" t="n">
        <v>0</v>
      </c>
      <c r="R466" s="2" t="inlineStr"/>
    </row>
    <row r="467" ht="15" customHeight="1">
      <c r="A467" t="inlineStr">
        <is>
          <t>A 13559-2020</t>
        </is>
      </c>
      <c r="B467" s="1" t="n">
        <v>43902</v>
      </c>
      <c r="C467" s="1" t="n">
        <v>45713</v>
      </c>
      <c r="D467" t="inlineStr">
        <is>
          <t>VÄSTERNORRLANDS LÄN</t>
        </is>
      </c>
      <c r="E467" t="inlineStr">
        <is>
          <t>ÅNGE</t>
        </is>
      </c>
      <c r="F467" t="inlineStr">
        <is>
          <t>SCA</t>
        </is>
      </c>
      <c r="G467" t="n">
        <v>24.5</v>
      </c>
      <c r="H467" t="n">
        <v>0</v>
      </c>
      <c r="I467" t="n">
        <v>0</v>
      </c>
      <c r="J467" t="n">
        <v>0</v>
      </c>
      <c r="K467" t="n">
        <v>0</v>
      </c>
      <c r="L467" t="n">
        <v>0</v>
      </c>
      <c r="M467" t="n">
        <v>0</v>
      </c>
      <c r="N467" t="n">
        <v>0</v>
      </c>
      <c r="O467" t="n">
        <v>0</v>
      </c>
      <c r="P467" t="n">
        <v>0</v>
      </c>
      <c r="Q467" t="n">
        <v>0</v>
      </c>
      <c r="R467" s="2" t="inlineStr"/>
    </row>
    <row r="468" ht="15" customHeight="1">
      <c r="A468" t="inlineStr">
        <is>
          <t>A 14586-2020</t>
        </is>
      </c>
      <c r="B468" s="1" t="n">
        <v>43908</v>
      </c>
      <c r="C468" s="1" t="n">
        <v>45713</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17101-2020</t>
        </is>
      </c>
      <c r="B469" s="1" t="n">
        <v>43914</v>
      </c>
      <c r="C469" s="1" t="n">
        <v>45713</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17098-2020</t>
        </is>
      </c>
      <c r="B470" s="1" t="n">
        <v>43914</v>
      </c>
      <c r="C470" s="1" t="n">
        <v>45713</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17007-2020</t>
        </is>
      </c>
      <c r="B471" s="1" t="n">
        <v>43921</v>
      </c>
      <c r="C471" s="1" t="n">
        <v>45713</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17069-2020</t>
        </is>
      </c>
      <c r="B472" s="1" t="n">
        <v>43921</v>
      </c>
      <c r="C472" s="1" t="n">
        <v>45713</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19125-2020</t>
        </is>
      </c>
      <c r="B473" s="1" t="n">
        <v>43936</v>
      </c>
      <c r="C473" s="1" t="n">
        <v>45713</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19619-2020</t>
        </is>
      </c>
      <c r="B474" s="1" t="n">
        <v>43941</v>
      </c>
      <c r="C474" s="1" t="n">
        <v>45713</v>
      </c>
      <c r="D474" t="inlineStr">
        <is>
          <t>VÄSTERNORRLANDS LÄN</t>
        </is>
      </c>
      <c r="E474" t="inlineStr">
        <is>
          <t>ÅNGE</t>
        </is>
      </c>
      <c r="G474" t="n">
        <v>4.6</v>
      </c>
      <c r="H474" t="n">
        <v>0</v>
      </c>
      <c r="I474" t="n">
        <v>0</v>
      </c>
      <c r="J474" t="n">
        <v>0</v>
      </c>
      <c r="K474" t="n">
        <v>0</v>
      </c>
      <c r="L474" t="n">
        <v>0</v>
      </c>
      <c r="M474" t="n">
        <v>0</v>
      </c>
      <c r="N474" t="n">
        <v>0</v>
      </c>
      <c r="O474" t="n">
        <v>0</v>
      </c>
      <c r="P474" t="n">
        <v>0</v>
      </c>
      <c r="Q474" t="n">
        <v>0</v>
      </c>
      <c r="R474" s="2" t="inlineStr"/>
    </row>
    <row r="475" ht="15" customHeight="1">
      <c r="A475" t="inlineStr">
        <is>
          <t>A 20079-2020</t>
        </is>
      </c>
      <c r="B475" s="1" t="n">
        <v>43943</v>
      </c>
      <c r="C475" s="1" t="n">
        <v>45713</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20211-2020</t>
        </is>
      </c>
      <c r="B476" s="1" t="n">
        <v>43944</v>
      </c>
      <c r="C476" s="1" t="n">
        <v>45713</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20192-2020</t>
        </is>
      </c>
      <c r="B477" s="1" t="n">
        <v>43944</v>
      </c>
      <c r="C477" s="1" t="n">
        <v>45713</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20820-2020</t>
        </is>
      </c>
      <c r="B478" s="1" t="n">
        <v>43949</v>
      </c>
      <c r="C478" s="1" t="n">
        <v>45713</v>
      </c>
      <c r="D478" t="inlineStr">
        <is>
          <t>VÄSTERNORRLANDS LÄN</t>
        </is>
      </c>
      <c r="E478" t="inlineStr">
        <is>
          <t>ÅNGE</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21207-2020</t>
        </is>
      </c>
      <c r="B479" s="1" t="n">
        <v>43951</v>
      </c>
      <c r="C479" s="1" t="n">
        <v>45713</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21763-2020</t>
        </is>
      </c>
      <c r="B480" s="1" t="n">
        <v>43957</v>
      </c>
      <c r="C480" s="1" t="n">
        <v>45713</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22041-2020</t>
        </is>
      </c>
      <c r="B481" s="1" t="n">
        <v>43959</v>
      </c>
      <c r="C481" s="1" t="n">
        <v>45713</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22039-2020</t>
        </is>
      </c>
      <c r="B482" s="1" t="n">
        <v>43959</v>
      </c>
      <c r="C482" s="1" t="n">
        <v>45713</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22552-2020</t>
        </is>
      </c>
      <c r="B483" s="1" t="n">
        <v>43963</v>
      </c>
      <c r="C483" s="1" t="n">
        <v>45713</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22690-2020</t>
        </is>
      </c>
      <c r="B484" s="1" t="n">
        <v>43963</v>
      </c>
      <c r="C484" s="1" t="n">
        <v>45713</v>
      </c>
      <c r="D484" t="inlineStr">
        <is>
          <t>VÄSTERNORRLANDS LÄN</t>
        </is>
      </c>
      <c r="E484" t="inlineStr">
        <is>
          <t>ÅNGE</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22911-2020</t>
        </is>
      </c>
      <c r="B485" s="1" t="n">
        <v>43964</v>
      </c>
      <c r="C485" s="1" t="n">
        <v>45713</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22907-2020</t>
        </is>
      </c>
      <c r="B486" s="1" t="n">
        <v>43964</v>
      </c>
      <c r="C486" s="1" t="n">
        <v>45713</v>
      </c>
      <c r="D486" t="inlineStr">
        <is>
          <t>VÄSTERNORRLANDS LÄN</t>
        </is>
      </c>
      <c r="E486" t="inlineStr">
        <is>
          <t>ÅNGE</t>
        </is>
      </c>
      <c r="G486" t="n">
        <v>2.9</v>
      </c>
      <c r="H486" t="n">
        <v>0</v>
      </c>
      <c r="I486" t="n">
        <v>0</v>
      </c>
      <c r="J486" t="n">
        <v>0</v>
      </c>
      <c r="K486" t="n">
        <v>0</v>
      </c>
      <c r="L486" t="n">
        <v>0</v>
      </c>
      <c r="M486" t="n">
        <v>0</v>
      </c>
      <c r="N486" t="n">
        <v>0</v>
      </c>
      <c r="O486" t="n">
        <v>0</v>
      </c>
      <c r="P486" t="n">
        <v>0</v>
      </c>
      <c r="Q486" t="n">
        <v>0</v>
      </c>
      <c r="R486" s="2" t="inlineStr"/>
    </row>
    <row r="487" ht="15" customHeight="1">
      <c r="A487" t="inlineStr">
        <is>
          <t>A 22909-2020</t>
        </is>
      </c>
      <c r="B487" s="1" t="n">
        <v>43964</v>
      </c>
      <c r="C487" s="1" t="n">
        <v>45713</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23352-2020</t>
        </is>
      </c>
      <c r="B488" s="1" t="n">
        <v>43966</v>
      </c>
      <c r="C488" s="1" t="n">
        <v>45713</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23660-2020</t>
        </is>
      </c>
      <c r="B489" s="1" t="n">
        <v>43969</v>
      </c>
      <c r="C489" s="1" t="n">
        <v>45713</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24353-2020</t>
        </is>
      </c>
      <c r="B490" s="1" t="n">
        <v>43976</v>
      </c>
      <c r="C490" s="1" t="n">
        <v>45713</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24411-2020</t>
        </is>
      </c>
      <c r="B491" s="1" t="n">
        <v>43976</v>
      </c>
      <c r="C491" s="1" t="n">
        <v>45713</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24361-2020</t>
        </is>
      </c>
      <c r="B492" s="1" t="n">
        <v>43976</v>
      </c>
      <c r="C492" s="1" t="n">
        <v>45713</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24696-2020</t>
        </is>
      </c>
      <c r="B493" s="1" t="n">
        <v>43978</v>
      </c>
      <c r="C493" s="1" t="n">
        <v>45713</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24857-2020</t>
        </is>
      </c>
      <c r="B494" s="1" t="n">
        <v>43978</v>
      </c>
      <c r="C494" s="1" t="n">
        <v>45713</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24859-2020</t>
        </is>
      </c>
      <c r="B495" s="1" t="n">
        <v>43978</v>
      </c>
      <c r="C495" s="1" t="n">
        <v>45713</v>
      </c>
      <c r="D495" t="inlineStr">
        <is>
          <t>VÄSTERNORRLANDS LÄN</t>
        </is>
      </c>
      <c r="E495" t="inlineStr">
        <is>
          <t>ÅNGE</t>
        </is>
      </c>
      <c r="G495" t="n">
        <v>3.7</v>
      </c>
      <c r="H495" t="n">
        <v>0</v>
      </c>
      <c r="I495" t="n">
        <v>0</v>
      </c>
      <c r="J495" t="n">
        <v>0</v>
      </c>
      <c r="K495" t="n">
        <v>0</v>
      </c>
      <c r="L495" t="n">
        <v>0</v>
      </c>
      <c r="M495" t="n">
        <v>0</v>
      </c>
      <c r="N495" t="n">
        <v>0</v>
      </c>
      <c r="O495" t="n">
        <v>0</v>
      </c>
      <c r="P495" t="n">
        <v>0</v>
      </c>
      <c r="Q495" t="n">
        <v>0</v>
      </c>
      <c r="R495" s="2" t="inlineStr"/>
    </row>
    <row r="496" ht="15" customHeight="1">
      <c r="A496" t="inlineStr">
        <is>
          <t>A 25370-2020</t>
        </is>
      </c>
      <c r="B496" s="1" t="n">
        <v>43980</v>
      </c>
      <c r="C496" s="1" t="n">
        <v>45713</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26447-2020</t>
        </is>
      </c>
      <c r="B497" s="1" t="n">
        <v>43987</v>
      </c>
      <c r="C497" s="1" t="n">
        <v>45713</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27773-2020</t>
        </is>
      </c>
      <c r="B498" s="1" t="n">
        <v>43992</v>
      </c>
      <c r="C498" s="1" t="n">
        <v>45713</v>
      </c>
      <c r="D498" t="inlineStr">
        <is>
          <t>VÄSTERNORRLANDS LÄN</t>
        </is>
      </c>
      <c r="E498" t="inlineStr">
        <is>
          <t>ÅNGE</t>
        </is>
      </c>
      <c r="G498" t="n">
        <v>7.2</v>
      </c>
      <c r="H498" t="n">
        <v>0</v>
      </c>
      <c r="I498" t="n">
        <v>0</v>
      </c>
      <c r="J498" t="n">
        <v>0</v>
      </c>
      <c r="K498" t="n">
        <v>0</v>
      </c>
      <c r="L498" t="n">
        <v>0</v>
      </c>
      <c r="M498" t="n">
        <v>0</v>
      </c>
      <c r="N498" t="n">
        <v>0</v>
      </c>
      <c r="O498" t="n">
        <v>0</v>
      </c>
      <c r="P498" t="n">
        <v>0</v>
      </c>
      <c r="Q498" t="n">
        <v>0</v>
      </c>
      <c r="R498" s="2" t="inlineStr"/>
    </row>
    <row r="499" ht="15" customHeight="1">
      <c r="A499" t="inlineStr">
        <is>
          <t>A 28064-2020</t>
        </is>
      </c>
      <c r="B499" s="1" t="n">
        <v>43997</v>
      </c>
      <c r="C499" s="1" t="n">
        <v>45713</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28890-2020</t>
        </is>
      </c>
      <c r="B500" s="1" t="n">
        <v>44000</v>
      </c>
      <c r="C500" s="1" t="n">
        <v>45713</v>
      </c>
      <c r="D500" t="inlineStr">
        <is>
          <t>VÄSTERNORRLANDS LÄN</t>
        </is>
      </c>
      <c r="E500" t="inlineStr">
        <is>
          <t>ÅNGE</t>
        </is>
      </c>
      <c r="G500" t="n">
        <v>15.2</v>
      </c>
      <c r="H500" t="n">
        <v>0</v>
      </c>
      <c r="I500" t="n">
        <v>0</v>
      </c>
      <c r="J500" t="n">
        <v>0</v>
      </c>
      <c r="K500" t="n">
        <v>0</v>
      </c>
      <c r="L500" t="n">
        <v>0</v>
      </c>
      <c r="M500" t="n">
        <v>0</v>
      </c>
      <c r="N500" t="n">
        <v>0</v>
      </c>
      <c r="O500" t="n">
        <v>0</v>
      </c>
      <c r="P500" t="n">
        <v>0</v>
      </c>
      <c r="Q500" t="n">
        <v>0</v>
      </c>
      <c r="R500" s="2" t="inlineStr"/>
    </row>
    <row r="501" ht="15" customHeight="1">
      <c r="A501" t="inlineStr">
        <is>
          <t>A 28832-2020</t>
        </is>
      </c>
      <c r="B501" s="1" t="n">
        <v>44000</v>
      </c>
      <c r="C501" s="1" t="n">
        <v>45713</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29950-2020</t>
        </is>
      </c>
      <c r="B502" s="1" t="n">
        <v>44006</v>
      </c>
      <c r="C502" s="1" t="n">
        <v>45713</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31079-2020</t>
        </is>
      </c>
      <c r="B503" s="1" t="n">
        <v>44011</v>
      </c>
      <c r="C503" s="1" t="n">
        <v>45713</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31643-2020</t>
        </is>
      </c>
      <c r="B504" s="1" t="n">
        <v>44013</v>
      </c>
      <c r="C504" s="1" t="n">
        <v>45713</v>
      </c>
      <c r="D504" t="inlineStr">
        <is>
          <t>VÄSTERNORRLANDS LÄN</t>
        </is>
      </c>
      <c r="E504" t="inlineStr">
        <is>
          <t>ÅNGE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31867-2020</t>
        </is>
      </c>
      <c r="B505" s="1" t="n">
        <v>44014</v>
      </c>
      <c r="C505" s="1" t="n">
        <v>45713</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31926-2020</t>
        </is>
      </c>
      <c r="B506" s="1" t="n">
        <v>44014</v>
      </c>
      <c r="C506" s="1" t="n">
        <v>45713</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32299-2020</t>
        </is>
      </c>
      <c r="B507" s="1" t="n">
        <v>44015</v>
      </c>
      <c r="C507" s="1" t="n">
        <v>45713</v>
      </c>
      <c r="D507" t="inlineStr">
        <is>
          <t>VÄSTERNORRLANDS LÄN</t>
        </is>
      </c>
      <c r="E507" t="inlineStr">
        <is>
          <t>ÅNGE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32303-2020</t>
        </is>
      </c>
      <c r="B508" s="1" t="n">
        <v>44015</v>
      </c>
      <c r="C508" s="1" t="n">
        <v>45713</v>
      </c>
      <c r="D508" t="inlineStr">
        <is>
          <t>VÄSTERNORRLANDS LÄN</t>
        </is>
      </c>
      <c r="E508" t="inlineStr">
        <is>
          <t>ÅNGE</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32760-2020</t>
        </is>
      </c>
      <c r="B509" s="1" t="n">
        <v>44019</v>
      </c>
      <c r="C509" s="1" t="n">
        <v>45713</v>
      </c>
      <c r="D509" t="inlineStr">
        <is>
          <t>VÄSTERNORRLANDS LÄN</t>
        </is>
      </c>
      <c r="E509" t="inlineStr">
        <is>
          <t>ÅNGE</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33442-2020</t>
        </is>
      </c>
      <c r="B510" s="1" t="n">
        <v>44023</v>
      </c>
      <c r="C510" s="1" t="n">
        <v>45713</v>
      </c>
      <c r="D510" t="inlineStr">
        <is>
          <t>VÄSTERNORRLANDS LÄN</t>
        </is>
      </c>
      <c r="E510" t="inlineStr">
        <is>
          <t>ÅNGE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33619-2020</t>
        </is>
      </c>
      <c r="B511" s="1" t="n">
        <v>44026</v>
      </c>
      <c r="C511" s="1" t="n">
        <v>45713</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33524-2020</t>
        </is>
      </c>
      <c r="B512" s="1" t="n">
        <v>44025</v>
      </c>
      <c r="C512" s="1" t="n">
        <v>45713</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34175-2020</t>
        </is>
      </c>
      <c r="B513" s="1" t="n">
        <v>44029</v>
      </c>
      <c r="C513" s="1" t="n">
        <v>45713</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34237-2020</t>
        </is>
      </c>
      <c r="B514" s="1" t="n">
        <v>44029</v>
      </c>
      <c r="C514" s="1" t="n">
        <v>45713</v>
      </c>
      <c r="D514" t="inlineStr">
        <is>
          <t>VÄSTERNORRLANDS LÄN</t>
        </is>
      </c>
      <c r="E514" t="inlineStr">
        <is>
          <t>ÅNGE</t>
        </is>
      </c>
      <c r="G514" t="n">
        <v>5.3</v>
      </c>
      <c r="H514" t="n">
        <v>0</v>
      </c>
      <c r="I514" t="n">
        <v>0</v>
      </c>
      <c r="J514" t="n">
        <v>0</v>
      </c>
      <c r="K514" t="n">
        <v>0</v>
      </c>
      <c r="L514" t="n">
        <v>0</v>
      </c>
      <c r="M514" t="n">
        <v>0</v>
      </c>
      <c r="N514" t="n">
        <v>0</v>
      </c>
      <c r="O514" t="n">
        <v>0</v>
      </c>
      <c r="P514" t="n">
        <v>0</v>
      </c>
      <c r="Q514" t="n">
        <v>0</v>
      </c>
      <c r="R514" s="2" t="inlineStr"/>
    </row>
    <row r="515" ht="15" customHeight="1">
      <c r="A515" t="inlineStr">
        <is>
          <t>A 34420-2020</t>
        </is>
      </c>
      <c r="B515" s="1" t="n">
        <v>44032</v>
      </c>
      <c r="C515" s="1" t="n">
        <v>45713</v>
      </c>
      <c r="D515" t="inlineStr">
        <is>
          <t>VÄSTERNORRLANDS LÄN</t>
        </is>
      </c>
      <c r="E515" t="inlineStr">
        <is>
          <t>ÅNGE</t>
        </is>
      </c>
      <c r="G515" t="n">
        <v>13.9</v>
      </c>
      <c r="H515" t="n">
        <v>0</v>
      </c>
      <c r="I515" t="n">
        <v>0</v>
      </c>
      <c r="J515" t="n">
        <v>0</v>
      </c>
      <c r="K515" t="n">
        <v>0</v>
      </c>
      <c r="L515" t="n">
        <v>0</v>
      </c>
      <c r="M515" t="n">
        <v>0</v>
      </c>
      <c r="N515" t="n">
        <v>0</v>
      </c>
      <c r="O515" t="n">
        <v>0</v>
      </c>
      <c r="P515" t="n">
        <v>0</v>
      </c>
      <c r="Q515" t="n">
        <v>0</v>
      </c>
      <c r="R515" s="2" t="inlineStr"/>
    </row>
    <row r="516" ht="15" customHeight="1">
      <c r="A516" t="inlineStr">
        <is>
          <t>A 34400-2020</t>
        </is>
      </c>
      <c r="B516" s="1" t="n">
        <v>44032</v>
      </c>
      <c r="C516" s="1" t="n">
        <v>45713</v>
      </c>
      <c r="D516" t="inlineStr">
        <is>
          <t>VÄSTERNORRLANDS LÄN</t>
        </is>
      </c>
      <c r="E516" t="inlineStr">
        <is>
          <t>ÅNGE</t>
        </is>
      </c>
      <c r="G516" t="n">
        <v>3.8</v>
      </c>
      <c r="H516" t="n">
        <v>0</v>
      </c>
      <c r="I516" t="n">
        <v>0</v>
      </c>
      <c r="J516" t="n">
        <v>0</v>
      </c>
      <c r="K516" t="n">
        <v>0</v>
      </c>
      <c r="L516" t="n">
        <v>0</v>
      </c>
      <c r="M516" t="n">
        <v>0</v>
      </c>
      <c r="N516" t="n">
        <v>0</v>
      </c>
      <c r="O516" t="n">
        <v>0</v>
      </c>
      <c r="P516" t="n">
        <v>0</v>
      </c>
      <c r="Q516" t="n">
        <v>0</v>
      </c>
      <c r="R516" s="2" t="inlineStr"/>
    </row>
    <row r="517" ht="15" customHeight="1">
      <c r="A517" t="inlineStr">
        <is>
          <t>A 34677-2020</t>
        </is>
      </c>
      <c r="B517" s="1" t="n">
        <v>44035</v>
      </c>
      <c r="C517" s="1" t="n">
        <v>45713</v>
      </c>
      <c r="D517" t="inlineStr">
        <is>
          <t>VÄSTERNORRLANDS LÄN</t>
        </is>
      </c>
      <c r="E517" t="inlineStr">
        <is>
          <t>ÅNGE</t>
        </is>
      </c>
      <c r="G517" t="n">
        <v>6.5</v>
      </c>
      <c r="H517" t="n">
        <v>0</v>
      </c>
      <c r="I517" t="n">
        <v>0</v>
      </c>
      <c r="J517" t="n">
        <v>0</v>
      </c>
      <c r="K517" t="n">
        <v>0</v>
      </c>
      <c r="L517" t="n">
        <v>0</v>
      </c>
      <c r="M517" t="n">
        <v>0</v>
      </c>
      <c r="N517" t="n">
        <v>0</v>
      </c>
      <c r="O517" t="n">
        <v>0</v>
      </c>
      <c r="P517" t="n">
        <v>0</v>
      </c>
      <c r="Q517" t="n">
        <v>0</v>
      </c>
      <c r="R517" s="2" t="inlineStr"/>
    </row>
    <row r="518" ht="15" customHeight="1">
      <c r="A518" t="inlineStr">
        <is>
          <t>A 34777-2020</t>
        </is>
      </c>
      <c r="B518" s="1" t="n">
        <v>44035</v>
      </c>
      <c r="C518" s="1" t="n">
        <v>45713</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34928-2020</t>
        </is>
      </c>
      <c r="B519" s="1" t="n">
        <v>44036</v>
      </c>
      <c r="C519" s="1" t="n">
        <v>45713</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34974-2020</t>
        </is>
      </c>
      <c r="B520" s="1" t="n">
        <v>44039</v>
      </c>
      <c r="C520" s="1" t="n">
        <v>45713</v>
      </c>
      <c r="D520" t="inlineStr">
        <is>
          <t>VÄSTERNORRLANDS LÄN</t>
        </is>
      </c>
      <c r="E520" t="inlineStr">
        <is>
          <t>ÅNGE</t>
        </is>
      </c>
      <c r="G520" t="n">
        <v>3.4</v>
      </c>
      <c r="H520" t="n">
        <v>0</v>
      </c>
      <c r="I520" t="n">
        <v>0</v>
      </c>
      <c r="J520" t="n">
        <v>0</v>
      </c>
      <c r="K520" t="n">
        <v>0</v>
      </c>
      <c r="L520" t="n">
        <v>0</v>
      </c>
      <c r="M520" t="n">
        <v>0</v>
      </c>
      <c r="N520" t="n">
        <v>0</v>
      </c>
      <c r="O520" t="n">
        <v>0</v>
      </c>
      <c r="P520" t="n">
        <v>0</v>
      </c>
      <c r="Q520" t="n">
        <v>0</v>
      </c>
      <c r="R520" s="2" t="inlineStr"/>
    </row>
    <row r="521" ht="15" customHeight="1">
      <c r="A521" t="inlineStr">
        <is>
          <t>A 35419-2020</t>
        </is>
      </c>
      <c r="B521" s="1" t="n">
        <v>44042</v>
      </c>
      <c r="C521" s="1" t="n">
        <v>45713</v>
      </c>
      <c r="D521" t="inlineStr">
        <is>
          <t>VÄSTERNORRLANDS LÄN</t>
        </is>
      </c>
      <c r="E521" t="inlineStr">
        <is>
          <t>ÅNGE</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38871-2020</t>
        </is>
      </c>
      <c r="B522" s="1" t="n">
        <v>44062</v>
      </c>
      <c r="C522" s="1" t="n">
        <v>45713</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38894-2020</t>
        </is>
      </c>
      <c r="B523" s="1" t="n">
        <v>44062</v>
      </c>
      <c r="C523" s="1" t="n">
        <v>45713</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39919-2020</t>
        </is>
      </c>
      <c r="B524" s="1" t="n">
        <v>44063</v>
      </c>
      <c r="C524" s="1" t="n">
        <v>45713</v>
      </c>
      <c r="D524" t="inlineStr">
        <is>
          <t>VÄSTERNORRLANDS LÄN</t>
        </is>
      </c>
      <c r="E524" t="inlineStr">
        <is>
          <t>ÅNGE</t>
        </is>
      </c>
      <c r="G524" t="n">
        <v>4.9</v>
      </c>
      <c r="H524" t="n">
        <v>0</v>
      </c>
      <c r="I524" t="n">
        <v>0</v>
      </c>
      <c r="J524" t="n">
        <v>0</v>
      </c>
      <c r="K524" t="n">
        <v>0</v>
      </c>
      <c r="L524" t="n">
        <v>0</v>
      </c>
      <c r="M524" t="n">
        <v>0</v>
      </c>
      <c r="N524" t="n">
        <v>0</v>
      </c>
      <c r="O524" t="n">
        <v>0</v>
      </c>
      <c r="P524" t="n">
        <v>0</v>
      </c>
      <c r="Q524" t="n">
        <v>0</v>
      </c>
      <c r="R524" s="2" t="inlineStr"/>
    </row>
    <row r="525" ht="15" customHeight="1">
      <c r="A525" t="inlineStr">
        <is>
          <t>A 39561-2020</t>
        </is>
      </c>
      <c r="B525" s="1" t="n">
        <v>44064</v>
      </c>
      <c r="C525" s="1" t="n">
        <v>45713</v>
      </c>
      <c r="D525" t="inlineStr">
        <is>
          <t>VÄSTERNORRLANDS LÄN</t>
        </is>
      </c>
      <c r="E525" t="inlineStr">
        <is>
          <t>ÅNGE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41366-2020</t>
        </is>
      </c>
      <c r="B526" s="1" t="n">
        <v>44071</v>
      </c>
      <c r="C526" s="1" t="n">
        <v>45713</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42296-2020</t>
        </is>
      </c>
      <c r="B527" s="1" t="n">
        <v>44076</v>
      </c>
      <c r="C527" s="1" t="n">
        <v>45713</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42289-2020</t>
        </is>
      </c>
      <c r="B528" s="1" t="n">
        <v>44076</v>
      </c>
      <c r="C528" s="1" t="n">
        <v>45713</v>
      </c>
      <c r="D528" t="inlineStr">
        <is>
          <t>VÄSTERNORRLANDS LÄN</t>
        </is>
      </c>
      <c r="E528" t="inlineStr">
        <is>
          <t>ÅNGE</t>
        </is>
      </c>
      <c r="G528" t="n">
        <v>16.7</v>
      </c>
      <c r="H528" t="n">
        <v>0</v>
      </c>
      <c r="I528" t="n">
        <v>0</v>
      </c>
      <c r="J528" t="n">
        <v>0</v>
      </c>
      <c r="K528" t="n">
        <v>0</v>
      </c>
      <c r="L528" t="n">
        <v>0</v>
      </c>
      <c r="M528" t="n">
        <v>0</v>
      </c>
      <c r="N528" t="n">
        <v>0</v>
      </c>
      <c r="O528" t="n">
        <v>0</v>
      </c>
      <c r="P528" t="n">
        <v>0</v>
      </c>
      <c r="Q528" t="n">
        <v>0</v>
      </c>
      <c r="R528" s="2" t="inlineStr"/>
    </row>
    <row r="529" ht="15" customHeight="1">
      <c r="A529" t="inlineStr">
        <is>
          <t>A 42299-2020</t>
        </is>
      </c>
      <c r="B529" s="1" t="n">
        <v>44076</v>
      </c>
      <c r="C529" s="1" t="n">
        <v>45713</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42751-2020</t>
        </is>
      </c>
      <c r="B530" s="1" t="n">
        <v>44077</v>
      </c>
      <c r="C530" s="1" t="n">
        <v>45713</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43093-2020</t>
        </is>
      </c>
      <c r="B531" s="1" t="n">
        <v>44078</v>
      </c>
      <c r="C531" s="1" t="n">
        <v>45713</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45808-2020</t>
        </is>
      </c>
      <c r="B532" s="1" t="n">
        <v>44090</v>
      </c>
      <c r="C532" s="1" t="n">
        <v>45713</v>
      </c>
      <c r="D532" t="inlineStr">
        <is>
          <t>VÄSTERNORRLANDS LÄN</t>
        </is>
      </c>
      <c r="E532" t="inlineStr">
        <is>
          <t>ÅNGE</t>
        </is>
      </c>
      <c r="G532" t="n">
        <v>0.3</v>
      </c>
      <c r="H532" t="n">
        <v>0</v>
      </c>
      <c r="I532" t="n">
        <v>0</v>
      </c>
      <c r="J532" t="n">
        <v>0</v>
      </c>
      <c r="K532" t="n">
        <v>0</v>
      </c>
      <c r="L532" t="n">
        <v>0</v>
      </c>
      <c r="M532" t="n">
        <v>0</v>
      </c>
      <c r="N532" t="n">
        <v>0</v>
      </c>
      <c r="O532" t="n">
        <v>0</v>
      </c>
      <c r="P532" t="n">
        <v>0</v>
      </c>
      <c r="Q532" t="n">
        <v>0</v>
      </c>
      <c r="R532" s="2" t="inlineStr"/>
    </row>
    <row r="533" ht="15" customHeight="1">
      <c r="A533" t="inlineStr">
        <is>
          <t>A 45813-2020</t>
        </is>
      </c>
      <c r="B533" s="1" t="n">
        <v>44090</v>
      </c>
      <c r="C533" s="1" t="n">
        <v>45713</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45812-2020</t>
        </is>
      </c>
      <c r="B534" s="1" t="n">
        <v>44090</v>
      </c>
      <c r="C534" s="1" t="n">
        <v>45713</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45810-2020</t>
        </is>
      </c>
      <c r="B535" s="1" t="n">
        <v>44090</v>
      </c>
      <c r="C535" s="1" t="n">
        <v>45713</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47041-2020</t>
        </is>
      </c>
      <c r="B536" s="1" t="n">
        <v>44091</v>
      </c>
      <c r="C536" s="1" t="n">
        <v>45713</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46518-2020</t>
        </is>
      </c>
      <c r="B537" s="1" t="n">
        <v>44095</v>
      </c>
      <c r="C537" s="1" t="n">
        <v>45713</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47411-2020</t>
        </is>
      </c>
      <c r="B538" s="1" t="n">
        <v>44095</v>
      </c>
      <c r="C538" s="1" t="n">
        <v>45713</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47127-2020</t>
        </is>
      </c>
      <c r="B539" s="1" t="n">
        <v>44096</v>
      </c>
      <c r="C539" s="1" t="n">
        <v>45713</v>
      </c>
      <c r="D539" t="inlineStr">
        <is>
          <t>VÄSTERNORRLANDS LÄN</t>
        </is>
      </c>
      <c r="E539" t="inlineStr">
        <is>
          <t>ÅNGE</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48238-2020</t>
        </is>
      </c>
      <c r="B540" s="1" t="n">
        <v>44097</v>
      </c>
      <c r="C540" s="1" t="n">
        <v>45713</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48810-2020</t>
        </is>
      </c>
      <c r="B541" s="1" t="n">
        <v>44103</v>
      </c>
      <c r="C541" s="1" t="n">
        <v>45713</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c r="U541">
        <f>HYPERLINK("https://klasma.github.io/Logging_2260/knärot/A 48810-2020 karta knärot.png", "A 48810-2020")</f>
        <v/>
      </c>
      <c r="V541">
        <f>HYPERLINK("https://klasma.github.io/Logging_2260/klagomål/A 48810-2020 FSC-klagomål.docx", "A 48810-2020")</f>
        <v/>
      </c>
      <c r="W541">
        <f>HYPERLINK("https://klasma.github.io/Logging_2260/klagomålsmail/A 48810-2020 FSC-klagomål mail.docx", "A 48810-2020")</f>
        <v/>
      </c>
      <c r="X541">
        <f>HYPERLINK("https://klasma.github.io/Logging_2260/tillsyn/A 48810-2020 tillsynsbegäran.docx", "A 48810-2020")</f>
        <v/>
      </c>
      <c r="Y541">
        <f>HYPERLINK("https://klasma.github.io/Logging_2260/tillsynsmail/A 48810-2020 tillsynsbegäran mail.docx", "A 48810-2020")</f>
        <v/>
      </c>
    </row>
    <row r="542" ht="15" customHeight="1">
      <c r="A542" t="inlineStr">
        <is>
          <t>A 49343-2020</t>
        </is>
      </c>
      <c r="B542" s="1" t="n">
        <v>44105</v>
      </c>
      <c r="C542" s="1" t="n">
        <v>45713</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49346-2020</t>
        </is>
      </c>
      <c r="B543" s="1" t="n">
        <v>44105</v>
      </c>
      <c r="C543" s="1" t="n">
        <v>45713</v>
      </c>
      <c r="D543" t="inlineStr">
        <is>
          <t>VÄSTERNORRLANDS LÄN</t>
        </is>
      </c>
      <c r="E543" t="inlineStr">
        <is>
          <t>ÅNGE</t>
        </is>
      </c>
      <c r="G543" t="n">
        <v>1.9</v>
      </c>
      <c r="H543" t="n">
        <v>0</v>
      </c>
      <c r="I543" t="n">
        <v>0</v>
      </c>
      <c r="J543" t="n">
        <v>0</v>
      </c>
      <c r="K543" t="n">
        <v>0</v>
      </c>
      <c r="L543" t="n">
        <v>0</v>
      </c>
      <c r="M543" t="n">
        <v>0</v>
      </c>
      <c r="N543" t="n">
        <v>0</v>
      </c>
      <c r="O543" t="n">
        <v>0</v>
      </c>
      <c r="P543" t="n">
        <v>0</v>
      </c>
      <c r="Q543" t="n">
        <v>0</v>
      </c>
      <c r="R543" s="2" t="inlineStr"/>
    </row>
    <row r="544" ht="15" customHeight="1">
      <c r="A544" t="inlineStr">
        <is>
          <t>A 49656-2020</t>
        </is>
      </c>
      <c r="B544" s="1" t="n">
        <v>44106</v>
      </c>
      <c r="C544" s="1" t="n">
        <v>45713</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49838-2020</t>
        </is>
      </c>
      <c r="B545" s="1" t="n">
        <v>44106</v>
      </c>
      <c r="C545" s="1" t="n">
        <v>45713</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50265-2020</t>
        </is>
      </c>
      <c r="B546" s="1" t="n">
        <v>44109</v>
      </c>
      <c r="C546" s="1" t="n">
        <v>45713</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50259-2020</t>
        </is>
      </c>
      <c r="B547" s="1" t="n">
        <v>44109</v>
      </c>
      <c r="C547" s="1" t="n">
        <v>45713</v>
      </c>
      <c r="D547" t="inlineStr">
        <is>
          <t>VÄSTERNORRLANDS LÄN</t>
        </is>
      </c>
      <c r="E547" t="inlineStr">
        <is>
          <t>ÅNGE</t>
        </is>
      </c>
      <c r="G547" t="n">
        <v>5.1</v>
      </c>
      <c r="H547" t="n">
        <v>0</v>
      </c>
      <c r="I547" t="n">
        <v>0</v>
      </c>
      <c r="J547" t="n">
        <v>0</v>
      </c>
      <c r="K547" t="n">
        <v>0</v>
      </c>
      <c r="L547" t="n">
        <v>0</v>
      </c>
      <c r="M547" t="n">
        <v>0</v>
      </c>
      <c r="N547" t="n">
        <v>0</v>
      </c>
      <c r="O547" t="n">
        <v>0</v>
      </c>
      <c r="P547" t="n">
        <v>0</v>
      </c>
      <c r="Q547" t="n">
        <v>0</v>
      </c>
      <c r="R547" s="2" t="inlineStr"/>
    </row>
    <row r="548" ht="15" customHeight="1">
      <c r="A548" t="inlineStr">
        <is>
          <t>A 50260-2020</t>
        </is>
      </c>
      <c r="B548" s="1" t="n">
        <v>44109</v>
      </c>
      <c r="C548" s="1" t="n">
        <v>45713</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50258-2020</t>
        </is>
      </c>
      <c r="B549" s="1" t="n">
        <v>44109</v>
      </c>
      <c r="C549" s="1" t="n">
        <v>45713</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50268-2020</t>
        </is>
      </c>
      <c r="B550" s="1" t="n">
        <v>44109</v>
      </c>
      <c r="C550" s="1" t="n">
        <v>45713</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52232-2020</t>
        </is>
      </c>
      <c r="B551" s="1" t="n">
        <v>44111</v>
      </c>
      <c r="C551" s="1" t="n">
        <v>45713</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51610-2020</t>
        </is>
      </c>
      <c r="B552" s="1" t="n">
        <v>44113</v>
      </c>
      <c r="C552" s="1" t="n">
        <v>45713</v>
      </c>
      <c r="D552" t="inlineStr">
        <is>
          <t>VÄSTERNORRLANDS LÄN</t>
        </is>
      </c>
      <c r="E552" t="inlineStr">
        <is>
          <t>ÅNGE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52504-2020</t>
        </is>
      </c>
      <c r="B553" s="1" t="n">
        <v>44113</v>
      </c>
      <c r="C553" s="1" t="n">
        <v>45713</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51755-2020</t>
        </is>
      </c>
      <c r="B554" s="1" t="n">
        <v>44114</v>
      </c>
      <c r="C554" s="1" t="n">
        <v>45713</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52637-2020</t>
        </is>
      </c>
      <c r="B555" s="1" t="n">
        <v>44118</v>
      </c>
      <c r="C555" s="1" t="n">
        <v>45713</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52629-2020</t>
        </is>
      </c>
      <c r="B556" s="1" t="n">
        <v>44118</v>
      </c>
      <c r="C556" s="1" t="n">
        <v>45713</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52633-2020</t>
        </is>
      </c>
      <c r="B557" s="1" t="n">
        <v>44118</v>
      </c>
      <c r="C557" s="1" t="n">
        <v>45713</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52627-2020</t>
        </is>
      </c>
      <c r="B558" s="1" t="n">
        <v>44118</v>
      </c>
      <c r="C558" s="1" t="n">
        <v>45713</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53171-2020</t>
        </is>
      </c>
      <c r="B559" s="1" t="n">
        <v>44120</v>
      </c>
      <c r="C559" s="1" t="n">
        <v>45713</v>
      </c>
      <c r="D559" t="inlineStr">
        <is>
          <t>VÄSTERNORRLANDS LÄN</t>
        </is>
      </c>
      <c r="E559" t="inlineStr">
        <is>
          <t>ÅNGE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53173-2020</t>
        </is>
      </c>
      <c r="B560" s="1" t="n">
        <v>44120</v>
      </c>
      <c r="C560" s="1" t="n">
        <v>45713</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53170-2020</t>
        </is>
      </c>
      <c r="B561" s="1" t="n">
        <v>44120</v>
      </c>
      <c r="C561" s="1" t="n">
        <v>45713</v>
      </c>
      <c r="D561" t="inlineStr">
        <is>
          <t>VÄSTERNORRLANDS LÄN</t>
        </is>
      </c>
      <c r="E561" t="inlineStr">
        <is>
          <t>ÅNGE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53175-2020</t>
        </is>
      </c>
      <c r="B562" s="1" t="n">
        <v>44120</v>
      </c>
      <c r="C562" s="1" t="n">
        <v>45713</v>
      </c>
      <c r="D562" t="inlineStr">
        <is>
          <t>VÄSTERNORRLANDS LÄN</t>
        </is>
      </c>
      <c r="E562" t="inlineStr">
        <is>
          <t>ÅNGE</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53174-2020</t>
        </is>
      </c>
      <c r="B563" s="1" t="n">
        <v>44120</v>
      </c>
      <c r="C563" s="1" t="n">
        <v>45713</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53474-2020</t>
        </is>
      </c>
      <c r="B564" s="1" t="n">
        <v>44123</v>
      </c>
      <c r="C564" s="1" t="n">
        <v>45713</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53660-2020</t>
        </is>
      </c>
      <c r="B565" s="1" t="n">
        <v>44124</v>
      </c>
      <c r="C565" s="1" t="n">
        <v>45713</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53661-2020</t>
        </is>
      </c>
      <c r="B566" s="1" t="n">
        <v>44124</v>
      </c>
      <c r="C566" s="1" t="n">
        <v>45713</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53962-2020</t>
        </is>
      </c>
      <c r="B567" s="1" t="n">
        <v>44125</v>
      </c>
      <c r="C567" s="1" t="n">
        <v>45713</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54471-2020</t>
        </is>
      </c>
      <c r="B568" s="1" t="n">
        <v>44126</v>
      </c>
      <c r="C568" s="1" t="n">
        <v>45713</v>
      </c>
      <c r="D568" t="inlineStr">
        <is>
          <t>VÄSTERNORRLANDS LÄN</t>
        </is>
      </c>
      <c r="E568" t="inlineStr">
        <is>
          <t>ÅNGE</t>
        </is>
      </c>
      <c r="G568" t="n">
        <v>3.1</v>
      </c>
      <c r="H568" t="n">
        <v>0</v>
      </c>
      <c r="I568" t="n">
        <v>0</v>
      </c>
      <c r="J568" t="n">
        <v>0</v>
      </c>
      <c r="K568" t="n">
        <v>0</v>
      </c>
      <c r="L568" t="n">
        <v>0</v>
      </c>
      <c r="M568" t="n">
        <v>0</v>
      </c>
      <c r="N568" t="n">
        <v>0</v>
      </c>
      <c r="O568" t="n">
        <v>0</v>
      </c>
      <c r="P568" t="n">
        <v>0</v>
      </c>
      <c r="Q568" t="n">
        <v>0</v>
      </c>
      <c r="R568" s="2" t="inlineStr"/>
    </row>
    <row r="569" ht="15" customHeight="1">
      <c r="A569" t="inlineStr">
        <is>
          <t>A 54469-2020</t>
        </is>
      </c>
      <c r="B569" s="1" t="n">
        <v>44126</v>
      </c>
      <c r="C569" s="1" t="n">
        <v>45713</v>
      </c>
      <c r="D569" t="inlineStr">
        <is>
          <t>VÄSTERNORRLANDS LÄN</t>
        </is>
      </c>
      <c r="E569" t="inlineStr">
        <is>
          <t>ÅNGE</t>
        </is>
      </c>
      <c r="G569" t="n">
        <v>4</v>
      </c>
      <c r="H569" t="n">
        <v>0</v>
      </c>
      <c r="I569" t="n">
        <v>0</v>
      </c>
      <c r="J569" t="n">
        <v>0</v>
      </c>
      <c r="K569" t="n">
        <v>0</v>
      </c>
      <c r="L569" t="n">
        <v>0</v>
      </c>
      <c r="M569" t="n">
        <v>0</v>
      </c>
      <c r="N569" t="n">
        <v>0</v>
      </c>
      <c r="O569" t="n">
        <v>0</v>
      </c>
      <c r="P569" t="n">
        <v>0</v>
      </c>
      <c r="Q569" t="n">
        <v>0</v>
      </c>
      <c r="R569" s="2" t="inlineStr"/>
    </row>
    <row r="570" ht="15" customHeight="1">
      <c r="A570" t="inlineStr">
        <is>
          <t>A 55317-2020</t>
        </is>
      </c>
      <c r="B570" s="1" t="n">
        <v>44130</v>
      </c>
      <c r="C570" s="1" t="n">
        <v>45713</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57111-2020</t>
        </is>
      </c>
      <c r="B571" s="1" t="n">
        <v>44139</v>
      </c>
      <c r="C571" s="1" t="n">
        <v>45713</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59222-2020</t>
        </is>
      </c>
      <c r="B572" s="1" t="n">
        <v>44147</v>
      </c>
      <c r="C572" s="1" t="n">
        <v>45713</v>
      </c>
      <c r="D572" t="inlineStr">
        <is>
          <t>VÄSTERNORRLANDS LÄN</t>
        </is>
      </c>
      <c r="E572" t="inlineStr">
        <is>
          <t>ÅNGE</t>
        </is>
      </c>
      <c r="G572" t="n">
        <v>7.6</v>
      </c>
      <c r="H572" t="n">
        <v>0</v>
      </c>
      <c r="I572" t="n">
        <v>0</v>
      </c>
      <c r="J572" t="n">
        <v>0</v>
      </c>
      <c r="K572" t="n">
        <v>0</v>
      </c>
      <c r="L572" t="n">
        <v>0</v>
      </c>
      <c r="M572" t="n">
        <v>0</v>
      </c>
      <c r="N572" t="n">
        <v>0</v>
      </c>
      <c r="O572" t="n">
        <v>0</v>
      </c>
      <c r="P572" t="n">
        <v>0</v>
      </c>
      <c r="Q572" t="n">
        <v>0</v>
      </c>
      <c r="R572" s="2" t="inlineStr"/>
    </row>
    <row r="573" ht="15" customHeight="1">
      <c r="A573" t="inlineStr">
        <is>
          <t>A 60064-2020</t>
        </is>
      </c>
      <c r="B573" s="1" t="n">
        <v>44151</v>
      </c>
      <c r="C573" s="1" t="n">
        <v>45713</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60401-2020</t>
        </is>
      </c>
      <c r="B574" s="1" t="n">
        <v>44152</v>
      </c>
      <c r="C574" s="1" t="n">
        <v>45713</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63497-2020</t>
        </is>
      </c>
      <c r="B575" s="1" t="n">
        <v>44161</v>
      </c>
      <c r="C575" s="1" t="n">
        <v>45713</v>
      </c>
      <c r="D575" t="inlineStr">
        <is>
          <t>VÄSTERNORRLANDS LÄN</t>
        </is>
      </c>
      <c r="E575" t="inlineStr">
        <is>
          <t>ÅNGE</t>
        </is>
      </c>
      <c r="G575" t="n">
        <v>6.9</v>
      </c>
      <c r="H575" t="n">
        <v>0</v>
      </c>
      <c r="I575" t="n">
        <v>0</v>
      </c>
      <c r="J575" t="n">
        <v>0</v>
      </c>
      <c r="K575" t="n">
        <v>0</v>
      </c>
      <c r="L575" t="n">
        <v>0</v>
      </c>
      <c r="M575" t="n">
        <v>0</v>
      </c>
      <c r="N575" t="n">
        <v>0</v>
      </c>
      <c r="O575" t="n">
        <v>0</v>
      </c>
      <c r="P575" t="n">
        <v>0</v>
      </c>
      <c r="Q575" t="n">
        <v>0</v>
      </c>
      <c r="R575" s="2" t="inlineStr"/>
    </row>
    <row r="576" ht="15" customHeight="1">
      <c r="A576" t="inlineStr">
        <is>
          <t>A 64612-2020</t>
        </is>
      </c>
      <c r="B576" s="1" t="n">
        <v>44169</v>
      </c>
      <c r="C576" s="1" t="n">
        <v>45713</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65277-2020</t>
        </is>
      </c>
      <c r="B577" s="1" t="n">
        <v>44172</v>
      </c>
      <c r="C577" s="1" t="n">
        <v>45713</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65149-2020</t>
        </is>
      </c>
      <c r="B578" s="1" t="n">
        <v>44172</v>
      </c>
      <c r="C578" s="1" t="n">
        <v>45713</v>
      </c>
      <c r="D578" t="inlineStr">
        <is>
          <t>VÄSTERNORRLANDS LÄN</t>
        </is>
      </c>
      <c r="E578" t="inlineStr">
        <is>
          <t>ÅNGE</t>
        </is>
      </c>
      <c r="G578" t="n">
        <v>9.5</v>
      </c>
      <c r="H578" t="n">
        <v>0</v>
      </c>
      <c r="I578" t="n">
        <v>0</v>
      </c>
      <c r="J578" t="n">
        <v>0</v>
      </c>
      <c r="K578" t="n">
        <v>0</v>
      </c>
      <c r="L578" t="n">
        <v>0</v>
      </c>
      <c r="M578" t="n">
        <v>0</v>
      </c>
      <c r="N578" t="n">
        <v>0</v>
      </c>
      <c r="O578" t="n">
        <v>0</v>
      </c>
      <c r="P578" t="n">
        <v>0</v>
      </c>
      <c r="Q578" t="n">
        <v>0</v>
      </c>
      <c r="R578" s="2" t="inlineStr"/>
    </row>
    <row r="579" ht="15" customHeight="1">
      <c r="A579" t="inlineStr">
        <is>
          <t>A 65272-2020</t>
        </is>
      </c>
      <c r="B579" s="1" t="n">
        <v>44172</v>
      </c>
      <c r="C579" s="1" t="n">
        <v>45713</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65280-2020</t>
        </is>
      </c>
      <c r="B580" s="1" t="n">
        <v>44172</v>
      </c>
      <c r="C580" s="1" t="n">
        <v>45713</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65594-2020</t>
        </is>
      </c>
      <c r="B581" s="1" t="n">
        <v>44173</v>
      </c>
      <c r="C581" s="1" t="n">
        <v>45713</v>
      </c>
      <c r="D581" t="inlineStr">
        <is>
          <t>VÄSTERNORRLANDS LÄN</t>
        </is>
      </c>
      <c r="E581" t="inlineStr">
        <is>
          <t>ÅNGE</t>
        </is>
      </c>
      <c r="G581" t="n">
        <v>5.9</v>
      </c>
      <c r="H581" t="n">
        <v>0</v>
      </c>
      <c r="I581" t="n">
        <v>0</v>
      </c>
      <c r="J581" t="n">
        <v>0</v>
      </c>
      <c r="K581" t="n">
        <v>0</v>
      </c>
      <c r="L581" t="n">
        <v>0</v>
      </c>
      <c r="M581" t="n">
        <v>0</v>
      </c>
      <c r="N581" t="n">
        <v>0</v>
      </c>
      <c r="O581" t="n">
        <v>0</v>
      </c>
      <c r="P581" t="n">
        <v>0</v>
      </c>
      <c r="Q581" t="n">
        <v>0</v>
      </c>
      <c r="R581" s="2" t="inlineStr"/>
    </row>
    <row r="582" ht="15" customHeight="1">
      <c r="A582" t="inlineStr">
        <is>
          <t>A 65593-2020</t>
        </is>
      </c>
      <c r="B582" s="1" t="n">
        <v>44173</v>
      </c>
      <c r="C582" s="1" t="n">
        <v>45713</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65770-2020</t>
        </is>
      </c>
      <c r="B583" s="1" t="n">
        <v>44174</v>
      </c>
      <c r="C583" s="1" t="n">
        <v>45713</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66601-2020</t>
        </is>
      </c>
      <c r="B584" s="1" t="n">
        <v>44175</v>
      </c>
      <c r="C584" s="1" t="n">
        <v>45713</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68378-2020</t>
        </is>
      </c>
      <c r="B585" s="1" t="n">
        <v>44186</v>
      </c>
      <c r="C585" s="1" t="n">
        <v>45713</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68715-2020</t>
        </is>
      </c>
      <c r="B586" s="1" t="n">
        <v>44187</v>
      </c>
      <c r="C586" s="1" t="n">
        <v>45713</v>
      </c>
      <c r="D586" t="inlineStr">
        <is>
          <t>VÄSTERNORRLANDS LÄN</t>
        </is>
      </c>
      <c r="E586" t="inlineStr">
        <is>
          <t>ÅNGE</t>
        </is>
      </c>
      <c r="G586" t="n">
        <v>19.1</v>
      </c>
      <c r="H586" t="n">
        <v>0</v>
      </c>
      <c r="I586" t="n">
        <v>0</v>
      </c>
      <c r="J586" t="n">
        <v>0</v>
      </c>
      <c r="K586" t="n">
        <v>0</v>
      </c>
      <c r="L586" t="n">
        <v>0</v>
      </c>
      <c r="M586" t="n">
        <v>0</v>
      </c>
      <c r="N586" t="n">
        <v>0</v>
      </c>
      <c r="O586" t="n">
        <v>0</v>
      </c>
      <c r="P586" t="n">
        <v>0</v>
      </c>
      <c r="Q586" t="n">
        <v>0</v>
      </c>
      <c r="R586" s="2" t="inlineStr"/>
    </row>
    <row r="587" ht="15" customHeight="1">
      <c r="A587" t="inlineStr">
        <is>
          <t>A 68812-2020</t>
        </is>
      </c>
      <c r="B587" s="1" t="n">
        <v>44187</v>
      </c>
      <c r="C587" s="1" t="n">
        <v>45713</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69271-2020</t>
        </is>
      </c>
      <c r="B588" s="1" t="n">
        <v>44193</v>
      </c>
      <c r="C588" s="1" t="n">
        <v>45713</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2327-2021</t>
        </is>
      </c>
      <c r="B589" s="1" t="n">
        <v>44214</v>
      </c>
      <c r="C589" s="1" t="n">
        <v>45713</v>
      </c>
      <c r="D589" t="inlineStr">
        <is>
          <t>VÄSTERNORRLANDS LÄN</t>
        </is>
      </c>
      <c r="E589" t="inlineStr">
        <is>
          <t>ÅNGE</t>
        </is>
      </c>
      <c r="G589" t="n">
        <v>6.7</v>
      </c>
      <c r="H589" t="n">
        <v>0</v>
      </c>
      <c r="I589" t="n">
        <v>0</v>
      </c>
      <c r="J589" t="n">
        <v>0</v>
      </c>
      <c r="K589" t="n">
        <v>0</v>
      </c>
      <c r="L589" t="n">
        <v>0</v>
      </c>
      <c r="M589" t="n">
        <v>0</v>
      </c>
      <c r="N589" t="n">
        <v>0</v>
      </c>
      <c r="O589" t="n">
        <v>0</v>
      </c>
      <c r="P589" t="n">
        <v>0</v>
      </c>
      <c r="Q589" t="n">
        <v>0</v>
      </c>
      <c r="R589" s="2" t="inlineStr"/>
    </row>
    <row r="590" ht="15" customHeight="1">
      <c r="A590" t="inlineStr">
        <is>
          <t>A 3352-2021</t>
        </is>
      </c>
      <c r="B590" s="1" t="n">
        <v>44217</v>
      </c>
      <c r="C590" s="1" t="n">
        <v>45713</v>
      </c>
      <c r="D590" t="inlineStr">
        <is>
          <t>VÄSTERNORRLANDS LÄN</t>
        </is>
      </c>
      <c r="E590" t="inlineStr">
        <is>
          <t>ÅNGE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5822-2021</t>
        </is>
      </c>
      <c r="B591" s="1" t="n">
        <v>44230</v>
      </c>
      <c r="C591" s="1" t="n">
        <v>45713</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6487-2021</t>
        </is>
      </c>
      <c r="B592" s="1" t="n">
        <v>44235</v>
      </c>
      <c r="C592" s="1" t="n">
        <v>45713</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6805-2021</t>
        </is>
      </c>
      <c r="B593" s="1" t="n">
        <v>44236</v>
      </c>
      <c r="C593" s="1" t="n">
        <v>45713</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8057-2021</t>
        </is>
      </c>
      <c r="B594" s="1" t="n">
        <v>44238</v>
      </c>
      <c r="C594" s="1" t="n">
        <v>45713</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7857-2021</t>
        </is>
      </c>
      <c r="B595" s="1" t="n">
        <v>44242</v>
      </c>
      <c r="C595" s="1" t="n">
        <v>45713</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9619-2021</t>
        </is>
      </c>
      <c r="B596" s="1" t="n">
        <v>44251</v>
      </c>
      <c r="C596" s="1" t="n">
        <v>45713</v>
      </c>
      <c r="D596" t="inlineStr">
        <is>
          <t>VÄSTERNORRLANDS LÄN</t>
        </is>
      </c>
      <c r="E596" t="inlineStr">
        <is>
          <t>ÅNGE</t>
        </is>
      </c>
      <c r="G596" t="n">
        <v>10.4</v>
      </c>
      <c r="H596" t="n">
        <v>0</v>
      </c>
      <c r="I596" t="n">
        <v>0</v>
      </c>
      <c r="J596" t="n">
        <v>0</v>
      </c>
      <c r="K596" t="n">
        <v>0</v>
      </c>
      <c r="L596" t="n">
        <v>0</v>
      </c>
      <c r="M596" t="n">
        <v>0</v>
      </c>
      <c r="N596" t="n">
        <v>0</v>
      </c>
      <c r="O596" t="n">
        <v>0</v>
      </c>
      <c r="P596" t="n">
        <v>0</v>
      </c>
      <c r="Q596" t="n">
        <v>0</v>
      </c>
      <c r="R596" s="2" t="inlineStr"/>
    </row>
    <row r="597" ht="15" customHeight="1">
      <c r="A597" t="inlineStr">
        <is>
          <t>A 10342-2021</t>
        </is>
      </c>
      <c r="B597" s="1" t="n">
        <v>44257</v>
      </c>
      <c r="C597" s="1" t="n">
        <v>45713</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11763-2021</t>
        </is>
      </c>
      <c r="B598" s="1" t="n">
        <v>44265</v>
      </c>
      <c r="C598" s="1" t="n">
        <v>45713</v>
      </c>
      <c r="D598" t="inlineStr">
        <is>
          <t>VÄSTERNORRLANDS LÄN</t>
        </is>
      </c>
      <c r="E598" t="inlineStr">
        <is>
          <t>ÅNGE</t>
        </is>
      </c>
      <c r="G598" t="n">
        <v>2.2</v>
      </c>
      <c r="H598" t="n">
        <v>0</v>
      </c>
      <c r="I598" t="n">
        <v>0</v>
      </c>
      <c r="J598" t="n">
        <v>0</v>
      </c>
      <c r="K598" t="n">
        <v>0</v>
      </c>
      <c r="L598" t="n">
        <v>0</v>
      </c>
      <c r="M598" t="n">
        <v>0</v>
      </c>
      <c r="N598" t="n">
        <v>0</v>
      </c>
      <c r="O598" t="n">
        <v>0</v>
      </c>
      <c r="P598" t="n">
        <v>0</v>
      </c>
      <c r="Q598" t="n">
        <v>0</v>
      </c>
      <c r="R598" s="2" t="inlineStr"/>
    </row>
    <row r="599" ht="15" customHeight="1">
      <c r="A599" t="inlineStr">
        <is>
          <t>A 12799-2021</t>
        </is>
      </c>
      <c r="B599" s="1" t="n">
        <v>44270</v>
      </c>
      <c r="C599" s="1" t="n">
        <v>45713</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12800-2021</t>
        </is>
      </c>
      <c r="B600" s="1" t="n">
        <v>44270</v>
      </c>
      <c r="C600" s="1" t="n">
        <v>45713</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13149-2021</t>
        </is>
      </c>
      <c r="B601" s="1" t="n">
        <v>44272</v>
      </c>
      <c r="C601" s="1" t="n">
        <v>45713</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13501-2021</t>
        </is>
      </c>
      <c r="B602" s="1" t="n">
        <v>44273</v>
      </c>
      <c r="C602" s="1" t="n">
        <v>45713</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13510-2021</t>
        </is>
      </c>
      <c r="B603" s="1" t="n">
        <v>44273</v>
      </c>
      <c r="C603" s="1" t="n">
        <v>45713</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13522-2021</t>
        </is>
      </c>
      <c r="B604" s="1" t="n">
        <v>44273</v>
      </c>
      <c r="C604" s="1" t="n">
        <v>45713</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13479-2021</t>
        </is>
      </c>
      <c r="B605" s="1" t="n">
        <v>44273</v>
      </c>
      <c r="C605" s="1" t="n">
        <v>45713</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13792-2021</t>
        </is>
      </c>
      <c r="B606" s="1" t="n">
        <v>44274</v>
      </c>
      <c r="C606" s="1" t="n">
        <v>45713</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14587-2021</t>
        </is>
      </c>
      <c r="B607" s="1" t="n">
        <v>44279</v>
      </c>
      <c r="C607" s="1" t="n">
        <v>45713</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14812-2021</t>
        </is>
      </c>
      <c r="B608" s="1" t="n">
        <v>44280</v>
      </c>
      <c r="C608" s="1" t="n">
        <v>45713</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16389-2021</t>
        </is>
      </c>
      <c r="B609" s="1" t="n">
        <v>44293</v>
      </c>
      <c r="C609" s="1" t="n">
        <v>45713</v>
      </c>
      <c r="D609" t="inlineStr">
        <is>
          <t>VÄSTERNORRLANDS LÄN</t>
        </is>
      </c>
      <c r="E609" t="inlineStr">
        <is>
          <t>ÅNGE</t>
        </is>
      </c>
      <c r="G609" t="n">
        <v>16.9</v>
      </c>
      <c r="H609" t="n">
        <v>0</v>
      </c>
      <c r="I609" t="n">
        <v>0</v>
      </c>
      <c r="J609" t="n">
        <v>0</v>
      </c>
      <c r="K609" t="n">
        <v>0</v>
      </c>
      <c r="L609" t="n">
        <v>0</v>
      </c>
      <c r="M609" t="n">
        <v>0</v>
      </c>
      <c r="N609" t="n">
        <v>0</v>
      </c>
      <c r="O609" t="n">
        <v>0</v>
      </c>
      <c r="P609" t="n">
        <v>0</v>
      </c>
      <c r="Q609" t="n">
        <v>0</v>
      </c>
      <c r="R609" s="2" t="inlineStr"/>
    </row>
    <row r="610" ht="15" customHeight="1">
      <c r="A610" t="inlineStr">
        <is>
          <t>A 17594-2021</t>
        </is>
      </c>
      <c r="B610" s="1" t="n">
        <v>44299</v>
      </c>
      <c r="C610" s="1" t="n">
        <v>45713</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17844-2021</t>
        </is>
      </c>
      <c r="B611" s="1" t="n">
        <v>44301</v>
      </c>
      <c r="C611" s="1" t="n">
        <v>45713</v>
      </c>
      <c r="D611" t="inlineStr">
        <is>
          <t>VÄSTERNORRLANDS LÄN</t>
        </is>
      </c>
      <c r="E611" t="inlineStr">
        <is>
          <t>ÅNGE</t>
        </is>
      </c>
      <c r="G611" t="n">
        <v>3.3</v>
      </c>
      <c r="H611" t="n">
        <v>0</v>
      </c>
      <c r="I611" t="n">
        <v>0</v>
      </c>
      <c r="J611" t="n">
        <v>0</v>
      </c>
      <c r="K611" t="n">
        <v>0</v>
      </c>
      <c r="L611" t="n">
        <v>0</v>
      </c>
      <c r="M611" t="n">
        <v>0</v>
      </c>
      <c r="N611" t="n">
        <v>0</v>
      </c>
      <c r="O611" t="n">
        <v>0</v>
      </c>
      <c r="P611" t="n">
        <v>0</v>
      </c>
      <c r="Q611" t="n">
        <v>0</v>
      </c>
      <c r="R611" s="2" t="inlineStr"/>
    </row>
    <row r="612" ht="15" customHeight="1">
      <c r="A612" t="inlineStr">
        <is>
          <t>A 18368-2021</t>
        </is>
      </c>
      <c r="B612" s="1" t="n">
        <v>44305</v>
      </c>
      <c r="C612" s="1" t="n">
        <v>45713</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18379-2021</t>
        </is>
      </c>
      <c r="B613" s="1" t="n">
        <v>44305</v>
      </c>
      <c r="C613" s="1" t="n">
        <v>45713</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18422-2021</t>
        </is>
      </c>
      <c r="B614" s="1" t="n">
        <v>44305</v>
      </c>
      <c r="C614" s="1" t="n">
        <v>45713</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19102-2021</t>
        </is>
      </c>
      <c r="B615" s="1" t="n">
        <v>44308</v>
      </c>
      <c r="C615" s="1" t="n">
        <v>45713</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20354-2021</t>
        </is>
      </c>
      <c r="B616" s="1" t="n">
        <v>44312</v>
      </c>
      <c r="C616" s="1" t="n">
        <v>45713</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19970-2021</t>
        </is>
      </c>
      <c r="B617" s="1" t="n">
        <v>44313</v>
      </c>
      <c r="C617" s="1" t="n">
        <v>45713</v>
      </c>
      <c r="D617" t="inlineStr">
        <is>
          <t>VÄSTERNORRLANDS LÄN</t>
        </is>
      </c>
      <c r="E617" t="inlineStr">
        <is>
          <t>ÅNGE</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20576-2021</t>
        </is>
      </c>
      <c r="B618" s="1" t="n">
        <v>44316</v>
      </c>
      <c r="C618" s="1" t="n">
        <v>45713</v>
      </c>
      <c r="D618" t="inlineStr">
        <is>
          <t>VÄSTERNORRLANDS LÄN</t>
        </is>
      </c>
      <c r="E618" t="inlineStr">
        <is>
          <t>ÅNGE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20807-2021</t>
        </is>
      </c>
      <c r="B619" s="1" t="n">
        <v>44317</v>
      </c>
      <c r="C619" s="1" t="n">
        <v>45713</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21189-2021</t>
        </is>
      </c>
      <c r="B620" s="1" t="n">
        <v>44320</v>
      </c>
      <c r="C620" s="1" t="n">
        <v>45713</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21642-2021</t>
        </is>
      </c>
      <c r="B621" s="1" t="n">
        <v>44322</v>
      </c>
      <c r="C621" s="1" t="n">
        <v>45713</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21625-2021</t>
        </is>
      </c>
      <c r="B622" s="1" t="n">
        <v>44322</v>
      </c>
      <c r="C622" s="1" t="n">
        <v>45713</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21960-2021</t>
        </is>
      </c>
      <c r="B623" s="1" t="n">
        <v>44323</v>
      </c>
      <c r="C623" s="1" t="n">
        <v>45713</v>
      </c>
      <c r="D623" t="inlineStr">
        <is>
          <t>VÄSTERNORRLANDS LÄN</t>
        </is>
      </c>
      <c r="E623" t="inlineStr">
        <is>
          <t>ÅNGE</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22237-2021</t>
        </is>
      </c>
      <c r="B624" s="1" t="n">
        <v>44326</v>
      </c>
      <c r="C624" s="1" t="n">
        <v>45713</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22597-2021</t>
        </is>
      </c>
      <c r="B625" s="1" t="n">
        <v>44326</v>
      </c>
      <c r="C625" s="1" t="n">
        <v>45713</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23018-2021</t>
        </is>
      </c>
      <c r="B626" s="1" t="n">
        <v>44328</v>
      </c>
      <c r="C626" s="1" t="n">
        <v>45713</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23017-2021</t>
        </is>
      </c>
      <c r="B627" s="1" t="n">
        <v>44329</v>
      </c>
      <c r="C627" s="1" t="n">
        <v>45713</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23016-2021</t>
        </is>
      </c>
      <c r="B628" s="1" t="n">
        <v>44329</v>
      </c>
      <c r="C628" s="1" t="n">
        <v>45713</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24233-2021</t>
        </is>
      </c>
      <c r="B629" s="1" t="n">
        <v>44336</v>
      </c>
      <c r="C629" s="1" t="n">
        <v>45713</v>
      </c>
      <c r="D629" t="inlineStr">
        <is>
          <t>VÄSTERNORRLANDS LÄN</t>
        </is>
      </c>
      <c r="E629" t="inlineStr">
        <is>
          <t>ÅNGE</t>
        </is>
      </c>
      <c r="G629" t="n">
        <v>3.2</v>
      </c>
      <c r="H629" t="n">
        <v>0</v>
      </c>
      <c r="I629" t="n">
        <v>0</v>
      </c>
      <c r="J629" t="n">
        <v>0</v>
      </c>
      <c r="K629" t="n">
        <v>0</v>
      </c>
      <c r="L629" t="n">
        <v>0</v>
      </c>
      <c r="M629" t="n">
        <v>0</v>
      </c>
      <c r="N629" t="n">
        <v>0</v>
      </c>
      <c r="O629" t="n">
        <v>0</v>
      </c>
      <c r="P629" t="n">
        <v>0</v>
      </c>
      <c r="Q629" t="n">
        <v>0</v>
      </c>
      <c r="R629" s="2" t="inlineStr"/>
    </row>
    <row r="630" ht="15" customHeight="1">
      <c r="A630" t="inlineStr">
        <is>
          <t>A 24819-2021</t>
        </is>
      </c>
      <c r="B630" s="1" t="n">
        <v>44340</v>
      </c>
      <c r="C630" s="1" t="n">
        <v>45713</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24831-2021</t>
        </is>
      </c>
      <c r="B631" s="1" t="n">
        <v>44340</v>
      </c>
      <c r="C631" s="1" t="n">
        <v>45713</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25020-2021</t>
        </is>
      </c>
      <c r="B632" s="1" t="n">
        <v>44341</v>
      </c>
      <c r="C632" s="1" t="n">
        <v>45713</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24953-2021</t>
        </is>
      </c>
      <c r="B633" s="1" t="n">
        <v>44341</v>
      </c>
      <c r="C633" s="1" t="n">
        <v>45713</v>
      </c>
      <c r="D633" t="inlineStr">
        <is>
          <t>VÄSTERNORRLANDS LÄN</t>
        </is>
      </c>
      <c r="E633" t="inlineStr">
        <is>
          <t>ÅNGE</t>
        </is>
      </c>
      <c r="G633" t="n">
        <v>6.1</v>
      </c>
      <c r="H633" t="n">
        <v>0</v>
      </c>
      <c r="I633" t="n">
        <v>0</v>
      </c>
      <c r="J633" t="n">
        <v>0</v>
      </c>
      <c r="K633" t="n">
        <v>0</v>
      </c>
      <c r="L633" t="n">
        <v>0</v>
      </c>
      <c r="M633" t="n">
        <v>0</v>
      </c>
      <c r="N633" t="n">
        <v>0</v>
      </c>
      <c r="O633" t="n">
        <v>0</v>
      </c>
      <c r="P633" t="n">
        <v>0</v>
      </c>
      <c r="Q633" t="n">
        <v>0</v>
      </c>
      <c r="R633" s="2" t="inlineStr"/>
    </row>
    <row r="634" ht="15" customHeight="1">
      <c r="A634" t="inlineStr">
        <is>
          <t>A 24977-2021</t>
        </is>
      </c>
      <c r="B634" s="1" t="n">
        <v>44341</v>
      </c>
      <c r="C634" s="1" t="n">
        <v>45713</v>
      </c>
      <c r="D634" t="inlineStr">
        <is>
          <t>VÄSTERNORRLANDS LÄN</t>
        </is>
      </c>
      <c r="E634" t="inlineStr">
        <is>
          <t>ÅNGE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26088-2021</t>
        </is>
      </c>
      <c r="B635" s="1" t="n">
        <v>44345</v>
      </c>
      <c r="C635" s="1" t="n">
        <v>45713</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26193-2021</t>
        </is>
      </c>
      <c r="B636" s="1" t="n">
        <v>44347</v>
      </c>
      <c r="C636" s="1" t="n">
        <v>45713</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26966-2021</t>
        </is>
      </c>
      <c r="B637" s="1" t="n">
        <v>44350</v>
      </c>
      <c r="C637" s="1" t="n">
        <v>45713</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26969-2021</t>
        </is>
      </c>
      <c r="B638" s="1" t="n">
        <v>44350</v>
      </c>
      <c r="C638" s="1" t="n">
        <v>45713</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45713</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27953-2021</t>
        </is>
      </c>
      <c r="B640" s="1" t="n">
        <v>44355</v>
      </c>
      <c r="C640" s="1" t="n">
        <v>45713</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27957-2021</t>
        </is>
      </c>
      <c r="B641" s="1" t="n">
        <v>44354</v>
      </c>
      <c r="C641" s="1" t="n">
        <v>45713</v>
      </c>
      <c r="D641" t="inlineStr">
        <is>
          <t>VÄSTERNORRLANDS LÄN</t>
        </is>
      </c>
      <c r="E641" t="inlineStr">
        <is>
          <t>ÅNGE</t>
        </is>
      </c>
      <c r="G641" t="n">
        <v>13.5</v>
      </c>
      <c r="H641" t="n">
        <v>0</v>
      </c>
      <c r="I641" t="n">
        <v>0</v>
      </c>
      <c r="J641" t="n">
        <v>0</v>
      </c>
      <c r="K641" t="n">
        <v>0</v>
      </c>
      <c r="L641" t="n">
        <v>0</v>
      </c>
      <c r="M641" t="n">
        <v>0</v>
      </c>
      <c r="N641" t="n">
        <v>0</v>
      </c>
      <c r="O641" t="n">
        <v>0</v>
      </c>
      <c r="P641" t="n">
        <v>0</v>
      </c>
      <c r="Q641" t="n">
        <v>0</v>
      </c>
      <c r="R641" s="2" t="inlineStr"/>
    </row>
    <row r="642" ht="15" customHeight="1">
      <c r="A642" t="inlineStr">
        <is>
          <t>A 29048-2021</t>
        </is>
      </c>
      <c r="B642" s="1" t="n">
        <v>44358</v>
      </c>
      <c r="C642" s="1" t="n">
        <v>45713</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29180-2021</t>
        </is>
      </c>
      <c r="B643" s="1" t="n">
        <v>44358</v>
      </c>
      <c r="C643" s="1" t="n">
        <v>45713</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29187-2021</t>
        </is>
      </c>
      <c r="B644" s="1" t="n">
        <v>44358</v>
      </c>
      <c r="C644" s="1" t="n">
        <v>45713</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29191-2021</t>
        </is>
      </c>
      <c r="B645" s="1" t="n">
        <v>44358</v>
      </c>
      <c r="C645" s="1" t="n">
        <v>45713</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29390-2021</t>
        </is>
      </c>
      <c r="B646" s="1" t="n">
        <v>44361</v>
      </c>
      <c r="C646" s="1" t="n">
        <v>45713</v>
      </c>
      <c r="D646" t="inlineStr">
        <is>
          <t>VÄSTERNORRLANDS LÄN</t>
        </is>
      </c>
      <c r="E646" t="inlineStr">
        <is>
          <t>ÅNGE</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29509-2021</t>
        </is>
      </c>
      <c r="B647" s="1" t="n">
        <v>44361</v>
      </c>
      <c r="C647" s="1" t="n">
        <v>45713</v>
      </c>
      <c r="D647" t="inlineStr">
        <is>
          <t>VÄSTERNORRLANDS LÄN</t>
        </is>
      </c>
      <c r="E647" t="inlineStr">
        <is>
          <t>ÅNGE</t>
        </is>
      </c>
      <c r="G647" t="n">
        <v>3.6</v>
      </c>
      <c r="H647" t="n">
        <v>0</v>
      </c>
      <c r="I647" t="n">
        <v>0</v>
      </c>
      <c r="J647" t="n">
        <v>0</v>
      </c>
      <c r="K647" t="n">
        <v>0</v>
      </c>
      <c r="L647" t="n">
        <v>0</v>
      </c>
      <c r="M647" t="n">
        <v>0</v>
      </c>
      <c r="N647" t="n">
        <v>0</v>
      </c>
      <c r="O647" t="n">
        <v>0</v>
      </c>
      <c r="P647" t="n">
        <v>0</v>
      </c>
      <c r="Q647" t="n">
        <v>0</v>
      </c>
      <c r="R647" s="2" t="inlineStr"/>
    </row>
    <row r="648" ht="15" customHeight="1">
      <c r="A648" t="inlineStr">
        <is>
          <t>A 30286-2021</t>
        </is>
      </c>
      <c r="B648" s="1" t="n">
        <v>44363</v>
      </c>
      <c r="C648" s="1" t="n">
        <v>45713</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30339-2021</t>
        </is>
      </c>
      <c r="B649" s="1" t="n">
        <v>44364</v>
      </c>
      <c r="C649" s="1" t="n">
        <v>45713</v>
      </c>
      <c r="D649" t="inlineStr">
        <is>
          <t>VÄSTERNORRLANDS LÄN</t>
        </is>
      </c>
      <c r="E649" t="inlineStr">
        <is>
          <t>ÅNGE</t>
        </is>
      </c>
      <c r="G649" t="n">
        <v>23.8</v>
      </c>
      <c r="H649" t="n">
        <v>0</v>
      </c>
      <c r="I649" t="n">
        <v>0</v>
      </c>
      <c r="J649" t="n">
        <v>0</v>
      </c>
      <c r="K649" t="n">
        <v>0</v>
      </c>
      <c r="L649" t="n">
        <v>0</v>
      </c>
      <c r="M649" t="n">
        <v>0</v>
      </c>
      <c r="N649" t="n">
        <v>0</v>
      </c>
      <c r="O649" t="n">
        <v>0</v>
      </c>
      <c r="P649" t="n">
        <v>0</v>
      </c>
      <c r="Q649" t="n">
        <v>0</v>
      </c>
      <c r="R649" s="2" t="inlineStr"/>
    </row>
    <row r="650" ht="15" customHeight="1">
      <c r="A650" t="inlineStr">
        <is>
          <t>A 30345-2021</t>
        </is>
      </c>
      <c r="B650" s="1" t="n">
        <v>44364</v>
      </c>
      <c r="C650" s="1" t="n">
        <v>45713</v>
      </c>
      <c r="D650" t="inlineStr">
        <is>
          <t>VÄSTERNORRLANDS LÄN</t>
        </is>
      </c>
      <c r="E650" t="inlineStr">
        <is>
          <t>ÅNGE</t>
        </is>
      </c>
      <c r="G650" t="n">
        <v>7.7</v>
      </c>
      <c r="H650" t="n">
        <v>0</v>
      </c>
      <c r="I650" t="n">
        <v>0</v>
      </c>
      <c r="J650" t="n">
        <v>0</v>
      </c>
      <c r="K650" t="n">
        <v>0</v>
      </c>
      <c r="L650" t="n">
        <v>0</v>
      </c>
      <c r="M650" t="n">
        <v>0</v>
      </c>
      <c r="N650" t="n">
        <v>0</v>
      </c>
      <c r="O650" t="n">
        <v>0</v>
      </c>
      <c r="P650" t="n">
        <v>0</v>
      </c>
      <c r="Q650" t="n">
        <v>0</v>
      </c>
      <c r="R650" s="2" t="inlineStr"/>
    </row>
    <row r="651" ht="15" customHeight="1">
      <c r="A651" t="inlineStr">
        <is>
          <t>A 30365-2021</t>
        </is>
      </c>
      <c r="B651" s="1" t="n">
        <v>44364</v>
      </c>
      <c r="C651" s="1" t="n">
        <v>45713</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31191-2021</t>
        </is>
      </c>
      <c r="B652" s="1" t="n">
        <v>44368</v>
      </c>
      <c r="C652" s="1" t="n">
        <v>45713</v>
      </c>
      <c r="D652" t="inlineStr">
        <is>
          <t>VÄSTERNORRLANDS LÄN</t>
        </is>
      </c>
      <c r="E652" t="inlineStr">
        <is>
          <t>ÅNGE</t>
        </is>
      </c>
      <c r="F652" t="inlineStr">
        <is>
          <t>Sveaskog</t>
        </is>
      </c>
      <c r="G652" t="n">
        <v>21.6</v>
      </c>
      <c r="H652" t="n">
        <v>0</v>
      </c>
      <c r="I652" t="n">
        <v>0</v>
      </c>
      <c r="J652" t="n">
        <v>0</v>
      </c>
      <c r="K652" t="n">
        <v>0</v>
      </c>
      <c r="L652" t="n">
        <v>0</v>
      </c>
      <c r="M652" t="n">
        <v>0</v>
      </c>
      <c r="N652" t="n">
        <v>0</v>
      </c>
      <c r="O652" t="n">
        <v>0</v>
      </c>
      <c r="P652" t="n">
        <v>0</v>
      </c>
      <c r="Q652" t="n">
        <v>0</v>
      </c>
      <c r="R652" s="2" t="inlineStr"/>
    </row>
    <row r="653" ht="15" customHeight="1">
      <c r="A653" t="inlineStr">
        <is>
          <t>A 31668-2021</t>
        </is>
      </c>
      <c r="B653" s="1" t="n">
        <v>44369</v>
      </c>
      <c r="C653" s="1" t="n">
        <v>45713</v>
      </c>
      <c r="D653" t="inlineStr">
        <is>
          <t>VÄSTERNORRLANDS LÄN</t>
        </is>
      </c>
      <c r="E653" t="inlineStr">
        <is>
          <t>ÅNGE</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32328-2021</t>
        </is>
      </c>
      <c r="B654" s="1" t="n">
        <v>44371</v>
      </c>
      <c r="C654" s="1" t="n">
        <v>45713</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33408-2021</t>
        </is>
      </c>
      <c r="B655" s="1" t="n">
        <v>44377</v>
      </c>
      <c r="C655" s="1" t="n">
        <v>45713</v>
      </c>
      <c r="D655" t="inlineStr">
        <is>
          <t>VÄSTERNORRLANDS LÄN</t>
        </is>
      </c>
      <c r="E655" t="inlineStr">
        <is>
          <t>ÅNGE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34315-2021</t>
        </is>
      </c>
      <c r="B656" s="1" t="n">
        <v>44379</v>
      </c>
      <c r="C656" s="1" t="n">
        <v>45713</v>
      </c>
      <c r="D656" t="inlineStr">
        <is>
          <t>VÄSTERNORRLANDS LÄN</t>
        </is>
      </c>
      <c r="E656" t="inlineStr">
        <is>
          <t>ÅNGE</t>
        </is>
      </c>
      <c r="G656" t="n">
        <v>16.4</v>
      </c>
      <c r="H656" t="n">
        <v>0</v>
      </c>
      <c r="I656" t="n">
        <v>0</v>
      </c>
      <c r="J656" t="n">
        <v>0</v>
      </c>
      <c r="K656" t="n">
        <v>0</v>
      </c>
      <c r="L656" t="n">
        <v>0</v>
      </c>
      <c r="M656" t="n">
        <v>0</v>
      </c>
      <c r="N656" t="n">
        <v>0</v>
      </c>
      <c r="O656" t="n">
        <v>0</v>
      </c>
      <c r="P656" t="n">
        <v>0</v>
      </c>
      <c r="Q656" t="n">
        <v>0</v>
      </c>
      <c r="R656" s="2" t="inlineStr"/>
    </row>
    <row r="657" ht="15" customHeight="1">
      <c r="A657" t="inlineStr">
        <is>
          <t>A 34320-2021</t>
        </is>
      </c>
      <c r="B657" s="1" t="n">
        <v>44379</v>
      </c>
      <c r="C657" s="1" t="n">
        <v>45713</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34783-2021</t>
        </is>
      </c>
      <c r="B658" s="1" t="n">
        <v>44382</v>
      </c>
      <c r="C658" s="1" t="n">
        <v>45713</v>
      </c>
      <c r="D658" t="inlineStr">
        <is>
          <t>VÄSTERNORRLANDS LÄN</t>
        </is>
      </c>
      <c r="E658" t="inlineStr">
        <is>
          <t>ÅNGE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35058-2021</t>
        </is>
      </c>
      <c r="B659" s="1" t="n">
        <v>44383</v>
      </c>
      <c r="C659" s="1" t="n">
        <v>45713</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35079-2021</t>
        </is>
      </c>
      <c r="B660" s="1" t="n">
        <v>44383</v>
      </c>
      <c r="C660" s="1" t="n">
        <v>45713</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35339-2021</t>
        </is>
      </c>
      <c r="B661" s="1" t="n">
        <v>44384</v>
      </c>
      <c r="C661" s="1" t="n">
        <v>45713</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35359-2021</t>
        </is>
      </c>
      <c r="B662" s="1" t="n">
        <v>44385</v>
      </c>
      <c r="C662" s="1" t="n">
        <v>45713</v>
      </c>
      <c r="D662" t="inlineStr">
        <is>
          <t>VÄSTERNORRLANDS LÄN</t>
        </is>
      </c>
      <c r="E662" t="inlineStr">
        <is>
          <t>ÅNGE</t>
        </is>
      </c>
      <c r="F662" t="inlineStr">
        <is>
          <t>SCA</t>
        </is>
      </c>
      <c r="G662" t="n">
        <v>10.1</v>
      </c>
      <c r="H662" t="n">
        <v>0</v>
      </c>
      <c r="I662" t="n">
        <v>0</v>
      </c>
      <c r="J662" t="n">
        <v>0</v>
      </c>
      <c r="K662" t="n">
        <v>0</v>
      </c>
      <c r="L662" t="n">
        <v>0</v>
      </c>
      <c r="M662" t="n">
        <v>0</v>
      </c>
      <c r="N662" t="n">
        <v>0</v>
      </c>
      <c r="O662" t="n">
        <v>0</v>
      </c>
      <c r="P662" t="n">
        <v>0</v>
      </c>
      <c r="Q662" t="n">
        <v>0</v>
      </c>
      <c r="R662" s="2" t="inlineStr"/>
    </row>
    <row r="663" ht="15" customHeight="1">
      <c r="A663" t="inlineStr">
        <is>
          <t>A 36457-2021</t>
        </is>
      </c>
      <c r="B663" s="1" t="n">
        <v>44391</v>
      </c>
      <c r="C663" s="1" t="n">
        <v>45713</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37010-2021</t>
        </is>
      </c>
      <c r="B664" s="1" t="n">
        <v>44393</v>
      </c>
      <c r="C664" s="1" t="n">
        <v>45713</v>
      </c>
      <c r="D664" t="inlineStr">
        <is>
          <t>VÄSTERNORRLANDS LÄN</t>
        </is>
      </c>
      <c r="E664" t="inlineStr">
        <is>
          <t>ÅNGE</t>
        </is>
      </c>
      <c r="F664" t="inlineStr">
        <is>
          <t>Kyrkan</t>
        </is>
      </c>
      <c r="G664" t="n">
        <v>16.8</v>
      </c>
      <c r="H664" t="n">
        <v>0</v>
      </c>
      <c r="I664" t="n">
        <v>0</v>
      </c>
      <c r="J664" t="n">
        <v>0</v>
      </c>
      <c r="K664" t="n">
        <v>0</v>
      </c>
      <c r="L664" t="n">
        <v>0</v>
      </c>
      <c r="M664" t="n">
        <v>0</v>
      </c>
      <c r="N664" t="n">
        <v>0</v>
      </c>
      <c r="O664" t="n">
        <v>0</v>
      </c>
      <c r="P664" t="n">
        <v>0</v>
      </c>
      <c r="Q664" t="n">
        <v>0</v>
      </c>
      <c r="R664" s="2" t="inlineStr"/>
    </row>
    <row r="665" ht="15" customHeight="1">
      <c r="A665" t="inlineStr">
        <is>
          <t>A 37051-2021</t>
        </is>
      </c>
      <c r="B665" s="1" t="n">
        <v>44393</v>
      </c>
      <c r="C665" s="1" t="n">
        <v>45713</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37013-2021</t>
        </is>
      </c>
      <c r="B666" s="1" t="n">
        <v>44393</v>
      </c>
      <c r="C666" s="1" t="n">
        <v>45713</v>
      </c>
      <c r="D666" t="inlineStr">
        <is>
          <t>VÄSTERNORRLANDS LÄN</t>
        </is>
      </c>
      <c r="E666" t="inlineStr">
        <is>
          <t>ÅNGE</t>
        </is>
      </c>
      <c r="G666" t="n">
        <v>8.6</v>
      </c>
      <c r="H666" t="n">
        <v>0</v>
      </c>
      <c r="I666" t="n">
        <v>0</v>
      </c>
      <c r="J666" t="n">
        <v>0</v>
      </c>
      <c r="K666" t="n">
        <v>0</v>
      </c>
      <c r="L666" t="n">
        <v>0</v>
      </c>
      <c r="M666" t="n">
        <v>0</v>
      </c>
      <c r="N666" t="n">
        <v>0</v>
      </c>
      <c r="O666" t="n">
        <v>0</v>
      </c>
      <c r="P666" t="n">
        <v>0</v>
      </c>
      <c r="Q666" t="n">
        <v>0</v>
      </c>
      <c r="R666" s="2" t="inlineStr"/>
    </row>
    <row r="667" ht="15" customHeight="1">
      <c r="A667" t="inlineStr">
        <is>
          <t>A 37382-2021</t>
        </is>
      </c>
      <c r="B667" s="1" t="n">
        <v>44397</v>
      </c>
      <c r="C667" s="1" t="n">
        <v>45713</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37605-2021</t>
        </is>
      </c>
      <c r="B668" s="1" t="n">
        <v>44399</v>
      </c>
      <c r="C668" s="1" t="n">
        <v>45713</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37620-2021</t>
        </is>
      </c>
      <c r="B669" s="1" t="n">
        <v>44399</v>
      </c>
      <c r="C669" s="1" t="n">
        <v>45713</v>
      </c>
      <c r="D669" t="inlineStr">
        <is>
          <t>VÄSTERNORRLANDS LÄN</t>
        </is>
      </c>
      <c r="E669" t="inlineStr">
        <is>
          <t>ÅNGE</t>
        </is>
      </c>
      <c r="G669" t="n">
        <v>4.3</v>
      </c>
      <c r="H669" t="n">
        <v>0</v>
      </c>
      <c r="I669" t="n">
        <v>0</v>
      </c>
      <c r="J669" t="n">
        <v>0</v>
      </c>
      <c r="K669" t="n">
        <v>0</v>
      </c>
      <c r="L669" t="n">
        <v>0</v>
      </c>
      <c r="M669" t="n">
        <v>0</v>
      </c>
      <c r="N669" t="n">
        <v>0</v>
      </c>
      <c r="O669" t="n">
        <v>0</v>
      </c>
      <c r="P669" t="n">
        <v>0</v>
      </c>
      <c r="Q669" t="n">
        <v>0</v>
      </c>
      <c r="R669" s="2" t="inlineStr"/>
    </row>
    <row r="670" ht="15" customHeight="1">
      <c r="A670" t="inlineStr">
        <is>
          <t>A 37624-2021</t>
        </is>
      </c>
      <c r="B670" s="1" t="n">
        <v>44399</v>
      </c>
      <c r="C670" s="1" t="n">
        <v>45713</v>
      </c>
      <c r="D670" t="inlineStr">
        <is>
          <t>VÄSTERNORRLANDS LÄN</t>
        </is>
      </c>
      <c r="E670" t="inlineStr">
        <is>
          <t>ÅNGE</t>
        </is>
      </c>
      <c r="G670" t="n">
        <v>4.1</v>
      </c>
      <c r="H670" t="n">
        <v>0</v>
      </c>
      <c r="I670" t="n">
        <v>0</v>
      </c>
      <c r="J670" t="n">
        <v>0</v>
      </c>
      <c r="K670" t="n">
        <v>0</v>
      </c>
      <c r="L670" t="n">
        <v>0</v>
      </c>
      <c r="M670" t="n">
        <v>0</v>
      </c>
      <c r="N670" t="n">
        <v>0</v>
      </c>
      <c r="O670" t="n">
        <v>0</v>
      </c>
      <c r="P670" t="n">
        <v>0</v>
      </c>
      <c r="Q670" t="n">
        <v>0</v>
      </c>
      <c r="R670" s="2" t="inlineStr"/>
    </row>
    <row r="671" ht="15" customHeight="1">
      <c r="A671" t="inlineStr">
        <is>
          <t>A 37621-2021</t>
        </is>
      </c>
      <c r="B671" s="1" t="n">
        <v>44399</v>
      </c>
      <c r="C671" s="1" t="n">
        <v>45713</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38237-2021</t>
        </is>
      </c>
      <c r="B672" s="1" t="n">
        <v>44405</v>
      </c>
      <c r="C672" s="1" t="n">
        <v>45713</v>
      </c>
      <c r="D672" t="inlineStr">
        <is>
          <t>VÄSTERNORRLANDS LÄN</t>
        </is>
      </c>
      <c r="E672" t="inlineStr">
        <is>
          <t>ÅNGE</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38369-2021</t>
        </is>
      </c>
      <c r="B673" s="1" t="n">
        <v>44406</v>
      </c>
      <c r="C673" s="1" t="n">
        <v>45713</v>
      </c>
      <c r="D673" t="inlineStr">
        <is>
          <t>VÄSTERNORRLANDS LÄN</t>
        </is>
      </c>
      <c r="E673" t="inlineStr">
        <is>
          <t>ÅNGE</t>
        </is>
      </c>
      <c r="G673" t="n">
        <v>5.6</v>
      </c>
      <c r="H673" t="n">
        <v>0</v>
      </c>
      <c r="I673" t="n">
        <v>0</v>
      </c>
      <c r="J673" t="n">
        <v>0</v>
      </c>
      <c r="K673" t="n">
        <v>0</v>
      </c>
      <c r="L673" t="n">
        <v>0</v>
      </c>
      <c r="M673" t="n">
        <v>0</v>
      </c>
      <c r="N673" t="n">
        <v>0</v>
      </c>
      <c r="O673" t="n">
        <v>0</v>
      </c>
      <c r="P673" t="n">
        <v>0</v>
      </c>
      <c r="Q673" t="n">
        <v>0</v>
      </c>
      <c r="R673" s="2" t="inlineStr"/>
    </row>
    <row r="674" ht="15" customHeight="1">
      <c r="A674" t="inlineStr">
        <is>
          <t>A 38432-2021</t>
        </is>
      </c>
      <c r="B674" s="1" t="n">
        <v>44406</v>
      </c>
      <c r="C674" s="1" t="n">
        <v>45713</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38960-2021</t>
        </is>
      </c>
      <c r="B675" s="1" t="n">
        <v>44411</v>
      </c>
      <c r="C675" s="1" t="n">
        <v>45713</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39729-2021</t>
        </is>
      </c>
      <c r="B676" s="1" t="n">
        <v>44417</v>
      </c>
      <c r="C676" s="1" t="n">
        <v>45713</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39744-2021</t>
        </is>
      </c>
      <c r="B677" s="1" t="n">
        <v>44417</v>
      </c>
      <c r="C677" s="1" t="n">
        <v>45713</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41070-2021</t>
        </is>
      </c>
      <c r="B678" s="1" t="n">
        <v>44422</v>
      </c>
      <c r="C678" s="1" t="n">
        <v>45713</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41831-2021</t>
        </is>
      </c>
      <c r="B679" s="1" t="n">
        <v>44426</v>
      </c>
      <c r="C679" s="1" t="n">
        <v>45713</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41829-2021</t>
        </is>
      </c>
      <c r="B680" s="1" t="n">
        <v>44426</v>
      </c>
      <c r="C680" s="1" t="n">
        <v>45713</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43076-2021</t>
        </is>
      </c>
      <c r="B681" s="1" t="n">
        <v>44431</v>
      </c>
      <c r="C681" s="1" t="n">
        <v>45713</v>
      </c>
      <c r="D681" t="inlineStr">
        <is>
          <t>VÄSTERNORRLANDS LÄN</t>
        </is>
      </c>
      <c r="E681" t="inlineStr">
        <is>
          <t>ÅNGE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42881-2021</t>
        </is>
      </c>
      <c r="B682" s="1" t="n">
        <v>44431</v>
      </c>
      <c r="C682" s="1" t="n">
        <v>45713</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43849-2021</t>
        </is>
      </c>
      <c r="B683" s="1" t="n">
        <v>44433</v>
      </c>
      <c r="C683" s="1" t="n">
        <v>45713</v>
      </c>
      <c r="D683" t="inlineStr">
        <is>
          <t>VÄSTERNORRLANDS LÄN</t>
        </is>
      </c>
      <c r="E683" t="inlineStr">
        <is>
          <t>ÅNGE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44415-2021</t>
        </is>
      </c>
      <c r="B684" s="1" t="n">
        <v>44435</v>
      </c>
      <c r="C684" s="1" t="n">
        <v>45713</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44608-2021</t>
        </is>
      </c>
      <c r="B685" s="1" t="n">
        <v>44436</v>
      </c>
      <c r="C685" s="1" t="n">
        <v>45713</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45145-2021</t>
        </is>
      </c>
      <c r="B686" s="1" t="n">
        <v>44439</v>
      </c>
      <c r="C686" s="1" t="n">
        <v>45713</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45353-2021</t>
        </is>
      </c>
      <c r="B687" s="1" t="n">
        <v>44439</v>
      </c>
      <c r="C687" s="1" t="n">
        <v>45713</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45631-2021</t>
        </is>
      </c>
      <c r="B688" s="1" t="n">
        <v>44441</v>
      </c>
      <c r="C688" s="1" t="n">
        <v>45713</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45735-2021</t>
        </is>
      </c>
      <c r="B689" s="1" t="n">
        <v>44441</v>
      </c>
      <c r="C689" s="1" t="n">
        <v>45713</v>
      </c>
      <c r="D689" t="inlineStr">
        <is>
          <t>VÄSTERNORRLANDS LÄN</t>
        </is>
      </c>
      <c r="E689" t="inlineStr">
        <is>
          <t>ÅNGE</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45890-2021</t>
        </is>
      </c>
      <c r="B690" s="1" t="n">
        <v>44441</v>
      </c>
      <c r="C690" s="1" t="n">
        <v>45713</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46053-2021</t>
        </is>
      </c>
      <c r="B691" s="1" t="n">
        <v>44441</v>
      </c>
      <c r="C691" s="1" t="n">
        <v>45713</v>
      </c>
      <c r="D691" t="inlineStr">
        <is>
          <t>VÄSTERNORRLANDS LÄN</t>
        </is>
      </c>
      <c r="E691" t="inlineStr">
        <is>
          <t>ÅNGE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46865-2021</t>
        </is>
      </c>
      <c r="B692" s="1" t="n">
        <v>44446</v>
      </c>
      <c r="C692" s="1" t="n">
        <v>45713</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46824-2021</t>
        </is>
      </c>
      <c r="B693" s="1" t="n">
        <v>44446</v>
      </c>
      <c r="C693" s="1" t="n">
        <v>45713</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48876-2021</t>
        </is>
      </c>
      <c r="B694" s="1" t="n">
        <v>44452</v>
      </c>
      <c r="C694" s="1" t="n">
        <v>45713</v>
      </c>
      <c r="D694" t="inlineStr">
        <is>
          <t>VÄSTERNORRLANDS LÄN</t>
        </is>
      </c>
      <c r="E694" t="inlineStr">
        <is>
          <t>ÅNGE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48990-2021</t>
        </is>
      </c>
      <c r="B695" s="1" t="n">
        <v>44453</v>
      </c>
      <c r="C695" s="1" t="n">
        <v>45713</v>
      </c>
      <c r="D695" t="inlineStr">
        <is>
          <t>VÄSTERNORRLANDS LÄN</t>
        </is>
      </c>
      <c r="E695" t="inlineStr">
        <is>
          <t>ÅNGE</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48988-2021</t>
        </is>
      </c>
      <c r="B696" s="1" t="n">
        <v>44453</v>
      </c>
      <c r="C696" s="1" t="n">
        <v>45713</v>
      </c>
      <c r="D696" t="inlineStr">
        <is>
          <t>VÄSTERNORRLANDS LÄN</t>
        </is>
      </c>
      <c r="E696" t="inlineStr">
        <is>
          <t>ÅNGE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49137-2021</t>
        </is>
      </c>
      <c r="B697" s="1" t="n">
        <v>44453</v>
      </c>
      <c r="C697" s="1" t="n">
        <v>45713</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50333-2021</t>
        </is>
      </c>
      <c r="B698" s="1" t="n">
        <v>44454</v>
      </c>
      <c r="C698" s="1" t="n">
        <v>45713</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50125-2021</t>
        </is>
      </c>
      <c r="B699" s="1" t="n">
        <v>44456</v>
      </c>
      <c r="C699" s="1" t="n">
        <v>45713</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50196-2021</t>
        </is>
      </c>
      <c r="B700" s="1" t="n">
        <v>44457</v>
      </c>
      <c r="C700" s="1" t="n">
        <v>45713</v>
      </c>
      <c r="D700" t="inlineStr">
        <is>
          <t>VÄSTERNORRLANDS LÄN</t>
        </is>
      </c>
      <c r="E700" t="inlineStr">
        <is>
          <t>ÅNGE</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50186-2021</t>
        </is>
      </c>
      <c r="B701" s="1" t="n">
        <v>44456</v>
      </c>
      <c r="C701" s="1" t="n">
        <v>45713</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50234-2021</t>
        </is>
      </c>
      <c r="B702" s="1" t="n">
        <v>44458</v>
      </c>
      <c r="C702" s="1" t="n">
        <v>45713</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50235-2021</t>
        </is>
      </c>
      <c r="B703" s="1" t="n">
        <v>44457</v>
      </c>
      <c r="C703" s="1" t="n">
        <v>45713</v>
      </c>
      <c r="D703" t="inlineStr">
        <is>
          <t>VÄSTERNORRLANDS LÄN</t>
        </is>
      </c>
      <c r="E703" t="inlineStr">
        <is>
          <t>ÅNGE</t>
        </is>
      </c>
      <c r="G703" t="n">
        <v>3.8</v>
      </c>
      <c r="H703" t="n">
        <v>0</v>
      </c>
      <c r="I703" t="n">
        <v>0</v>
      </c>
      <c r="J703" t="n">
        <v>0</v>
      </c>
      <c r="K703" t="n">
        <v>0</v>
      </c>
      <c r="L703" t="n">
        <v>0</v>
      </c>
      <c r="M703" t="n">
        <v>0</v>
      </c>
      <c r="N703" t="n">
        <v>0</v>
      </c>
      <c r="O703" t="n">
        <v>0</v>
      </c>
      <c r="P703" t="n">
        <v>0</v>
      </c>
      <c r="Q703" t="n">
        <v>0</v>
      </c>
      <c r="R703" s="2" t="inlineStr"/>
    </row>
    <row r="704" ht="15" customHeight="1">
      <c r="A704" t="inlineStr">
        <is>
          <t>A 50651-2021</t>
        </is>
      </c>
      <c r="B704" s="1" t="n">
        <v>44459</v>
      </c>
      <c r="C704" s="1" t="n">
        <v>45713</v>
      </c>
      <c r="D704" t="inlineStr">
        <is>
          <t>VÄSTERNORRLANDS LÄN</t>
        </is>
      </c>
      <c r="E704" t="inlineStr">
        <is>
          <t>ÅNGE</t>
        </is>
      </c>
      <c r="G704" t="n">
        <v>20.6</v>
      </c>
      <c r="H704" t="n">
        <v>0</v>
      </c>
      <c r="I704" t="n">
        <v>0</v>
      </c>
      <c r="J704" t="n">
        <v>0</v>
      </c>
      <c r="K704" t="n">
        <v>0</v>
      </c>
      <c r="L704" t="n">
        <v>0</v>
      </c>
      <c r="M704" t="n">
        <v>0</v>
      </c>
      <c r="N704" t="n">
        <v>0</v>
      </c>
      <c r="O704" t="n">
        <v>0</v>
      </c>
      <c r="P704" t="n">
        <v>0</v>
      </c>
      <c r="Q704" t="n">
        <v>0</v>
      </c>
      <c r="R704" s="2" t="inlineStr"/>
    </row>
    <row r="705" ht="15" customHeight="1">
      <c r="A705" t="inlineStr">
        <is>
          <t>A 50733-2021</t>
        </is>
      </c>
      <c r="B705" s="1" t="n">
        <v>44460</v>
      </c>
      <c r="C705" s="1" t="n">
        <v>45713</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50960-2021</t>
        </is>
      </c>
      <c r="B706" s="1" t="n">
        <v>44460</v>
      </c>
      <c r="C706" s="1" t="n">
        <v>45713</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51179-2021</t>
        </is>
      </c>
      <c r="B707" s="1" t="n">
        <v>44461</v>
      </c>
      <c r="C707" s="1" t="n">
        <v>45713</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51163-2021</t>
        </is>
      </c>
      <c r="B708" s="1" t="n">
        <v>44461</v>
      </c>
      <c r="C708" s="1" t="n">
        <v>45713</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51428-2021</t>
        </is>
      </c>
      <c r="B709" s="1" t="n">
        <v>44461</v>
      </c>
      <c r="C709" s="1" t="n">
        <v>45713</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51427-2021</t>
        </is>
      </c>
      <c r="B710" s="1" t="n">
        <v>44461</v>
      </c>
      <c r="C710" s="1" t="n">
        <v>45713</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52705-2021</t>
        </is>
      </c>
      <c r="B711" s="1" t="n">
        <v>44466</v>
      </c>
      <c r="C711" s="1" t="n">
        <v>45713</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52726-2021</t>
        </is>
      </c>
      <c r="B712" s="1" t="n">
        <v>44466</v>
      </c>
      <c r="C712" s="1" t="n">
        <v>45713</v>
      </c>
      <c r="D712" t="inlineStr">
        <is>
          <t>VÄSTERNORRLANDS LÄN</t>
        </is>
      </c>
      <c r="E712" t="inlineStr">
        <is>
          <t>ÅNGE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53970-2021</t>
        </is>
      </c>
      <c r="B713" s="1" t="n">
        <v>44469</v>
      </c>
      <c r="C713" s="1" t="n">
        <v>45713</v>
      </c>
      <c r="D713" t="inlineStr">
        <is>
          <t>VÄSTERNORRLANDS LÄN</t>
        </is>
      </c>
      <c r="E713" t="inlineStr">
        <is>
          <t>ÅNGE</t>
        </is>
      </c>
      <c r="G713" t="n">
        <v>3.4</v>
      </c>
      <c r="H713" t="n">
        <v>0</v>
      </c>
      <c r="I713" t="n">
        <v>0</v>
      </c>
      <c r="J713" t="n">
        <v>0</v>
      </c>
      <c r="K713" t="n">
        <v>0</v>
      </c>
      <c r="L713" t="n">
        <v>0</v>
      </c>
      <c r="M713" t="n">
        <v>0</v>
      </c>
      <c r="N713" t="n">
        <v>0</v>
      </c>
      <c r="O713" t="n">
        <v>0</v>
      </c>
      <c r="P713" t="n">
        <v>0</v>
      </c>
      <c r="Q713" t="n">
        <v>0</v>
      </c>
      <c r="R713" s="2" t="inlineStr"/>
    </row>
    <row r="714" ht="15" customHeight="1">
      <c r="A714" t="inlineStr">
        <is>
          <t>A 53969-2021</t>
        </is>
      </c>
      <c r="B714" s="1" t="n">
        <v>44469</v>
      </c>
      <c r="C714" s="1" t="n">
        <v>45713</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54750-2021</t>
        </is>
      </c>
      <c r="B715" s="1" t="n">
        <v>44473</v>
      </c>
      <c r="C715" s="1" t="n">
        <v>45713</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54800-2021</t>
        </is>
      </c>
      <c r="B716" s="1" t="n">
        <v>44474</v>
      </c>
      <c r="C716" s="1" t="n">
        <v>45713</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54908-2021</t>
        </is>
      </c>
      <c r="B717" s="1" t="n">
        <v>44474</v>
      </c>
      <c r="C717" s="1" t="n">
        <v>45713</v>
      </c>
      <c r="D717" t="inlineStr">
        <is>
          <t>VÄSTERNORRLANDS LÄN</t>
        </is>
      </c>
      <c r="E717" t="inlineStr">
        <is>
          <t>ÅNGE</t>
        </is>
      </c>
      <c r="G717" t="n">
        <v>7.8</v>
      </c>
      <c r="H717" t="n">
        <v>0</v>
      </c>
      <c r="I717" t="n">
        <v>0</v>
      </c>
      <c r="J717" t="n">
        <v>0</v>
      </c>
      <c r="K717" t="n">
        <v>0</v>
      </c>
      <c r="L717" t="n">
        <v>0</v>
      </c>
      <c r="M717" t="n">
        <v>0</v>
      </c>
      <c r="N717" t="n">
        <v>0</v>
      </c>
      <c r="O717" t="n">
        <v>0</v>
      </c>
      <c r="P717" t="n">
        <v>0</v>
      </c>
      <c r="Q717" t="n">
        <v>0</v>
      </c>
      <c r="R717" s="2" t="inlineStr"/>
    </row>
    <row r="718" ht="15" customHeight="1">
      <c r="A718" t="inlineStr">
        <is>
          <t>A 54946-2021</t>
        </is>
      </c>
      <c r="B718" s="1" t="n">
        <v>44474</v>
      </c>
      <c r="C718" s="1" t="n">
        <v>45713</v>
      </c>
      <c r="D718" t="inlineStr">
        <is>
          <t>VÄSTERNORRLANDS LÄN</t>
        </is>
      </c>
      <c r="E718" t="inlineStr">
        <is>
          <t>ÅNGE</t>
        </is>
      </c>
      <c r="G718" t="n">
        <v>5.4</v>
      </c>
      <c r="H718" t="n">
        <v>0</v>
      </c>
      <c r="I718" t="n">
        <v>0</v>
      </c>
      <c r="J718" t="n">
        <v>0</v>
      </c>
      <c r="K718" t="n">
        <v>0</v>
      </c>
      <c r="L718" t="n">
        <v>0</v>
      </c>
      <c r="M718" t="n">
        <v>0</v>
      </c>
      <c r="N718" t="n">
        <v>0</v>
      </c>
      <c r="O718" t="n">
        <v>0</v>
      </c>
      <c r="P718" t="n">
        <v>0</v>
      </c>
      <c r="Q718" t="n">
        <v>0</v>
      </c>
      <c r="R718" s="2" t="inlineStr"/>
    </row>
    <row r="719" ht="15" customHeight="1">
      <c r="A719" t="inlineStr">
        <is>
          <t>A 55316-2021</t>
        </is>
      </c>
      <c r="B719" s="1" t="n">
        <v>44475</v>
      </c>
      <c r="C719" s="1" t="n">
        <v>45713</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55593-2021</t>
        </is>
      </c>
      <c r="B720" s="1" t="n">
        <v>44476</v>
      </c>
      <c r="C720" s="1" t="n">
        <v>45713</v>
      </c>
      <c r="D720" t="inlineStr">
        <is>
          <t>VÄSTERNORRLANDS LÄN</t>
        </is>
      </c>
      <c r="E720" t="inlineStr">
        <is>
          <t>ÅNGE</t>
        </is>
      </c>
      <c r="G720" t="n">
        <v>1.6</v>
      </c>
      <c r="H720" t="n">
        <v>0</v>
      </c>
      <c r="I720" t="n">
        <v>0</v>
      </c>
      <c r="J720" t="n">
        <v>0</v>
      </c>
      <c r="K720" t="n">
        <v>0</v>
      </c>
      <c r="L720" t="n">
        <v>0</v>
      </c>
      <c r="M720" t="n">
        <v>0</v>
      </c>
      <c r="N720" t="n">
        <v>0</v>
      </c>
      <c r="O720" t="n">
        <v>0</v>
      </c>
      <c r="P720" t="n">
        <v>0</v>
      </c>
      <c r="Q720" t="n">
        <v>0</v>
      </c>
      <c r="R720" s="2" t="inlineStr"/>
    </row>
    <row r="721" ht="15" customHeight="1">
      <c r="A721" t="inlineStr">
        <is>
          <t>A 55905-2021</t>
        </is>
      </c>
      <c r="B721" s="1" t="n">
        <v>44477</v>
      </c>
      <c r="C721" s="1" t="n">
        <v>45713</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55912-2021</t>
        </is>
      </c>
      <c r="B722" s="1" t="n">
        <v>44477</v>
      </c>
      <c r="C722" s="1" t="n">
        <v>45713</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56434-2021</t>
        </is>
      </c>
      <c r="B723" s="1" t="n">
        <v>44477</v>
      </c>
      <c r="C723" s="1" t="n">
        <v>45713</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56437-2021</t>
        </is>
      </c>
      <c r="B724" s="1" t="n">
        <v>44477</v>
      </c>
      <c r="C724" s="1" t="n">
        <v>45713</v>
      </c>
      <c r="D724" t="inlineStr">
        <is>
          <t>VÄSTERNORRLANDS LÄN</t>
        </is>
      </c>
      <c r="E724" t="inlineStr">
        <is>
          <t>ÅNGE</t>
        </is>
      </c>
      <c r="G724" t="n">
        <v>18.7</v>
      </c>
      <c r="H724" t="n">
        <v>0</v>
      </c>
      <c r="I724" t="n">
        <v>0</v>
      </c>
      <c r="J724" t="n">
        <v>0</v>
      </c>
      <c r="K724" t="n">
        <v>0</v>
      </c>
      <c r="L724" t="n">
        <v>0</v>
      </c>
      <c r="M724" t="n">
        <v>0</v>
      </c>
      <c r="N724" t="n">
        <v>0</v>
      </c>
      <c r="O724" t="n">
        <v>0</v>
      </c>
      <c r="P724" t="n">
        <v>0</v>
      </c>
      <c r="Q724" t="n">
        <v>0</v>
      </c>
      <c r="R724" s="2" t="inlineStr"/>
    </row>
    <row r="725" ht="15" customHeight="1">
      <c r="A725" t="inlineStr">
        <is>
          <t>A 56907-2021</t>
        </is>
      </c>
      <c r="B725" s="1" t="n">
        <v>44482</v>
      </c>
      <c r="C725" s="1" t="n">
        <v>45713</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56908-2021</t>
        </is>
      </c>
      <c r="B726" s="1" t="n">
        <v>44482</v>
      </c>
      <c r="C726" s="1" t="n">
        <v>45713</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57162-2021</t>
        </is>
      </c>
      <c r="B727" s="1" t="n">
        <v>44482</v>
      </c>
      <c r="C727" s="1" t="n">
        <v>45713</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57418-2021</t>
        </is>
      </c>
      <c r="B728" s="1" t="n">
        <v>44483</v>
      </c>
      <c r="C728" s="1" t="n">
        <v>45713</v>
      </c>
      <c r="D728" t="inlineStr">
        <is>
          <t>VÄSTERNORRLANDS LÄN</t>
        </is>
      </c>
      <c r="E728" t="inlineStr">
        <is>
          <t>ÅNGE</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45713</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58941-2021</t>
        </is>
      </c>
      <c r="B730" s="1" t="n">
        <v>44490</v>
      </c>
      <c r="C730" s="1" t="n">
        <v>45713</v>
      </c>
      <c r="D730" t="inlineStr">
        <is>
          <t>VÄSTERNORRLANDS LÄN</t>
        </is>
      </c>
      <c r="E730" t="inlineStr">
        <is>
          <t>ÅNGE</t>
        </is>
      </c>
      <c r="G730" t="n">
        <v>6.7</v>
      </c>
      <c r="H730" t="n">
        <v>0</v>
      </c>
      <c r="I730" t="n">
        <v>0</v>
      </c>
      <c r="J730" t="n">
        <v>0</v>
      </c>
      <c r="K730" t="n">
        <v>0</v>
      </c>
      <c r="L730" t="n">
        <v>0</v>
      </c>
      <c r="M730" t="n">
        <v>0</v>
      </c>
      <c r="N730" t="n">
        <v>0</v>
      </c>
      <c r="O730" t="n">
        <v>0</v>
      </c>
      <c r="P730" t="n">
        <v>0</v>
      </c>
      <c r="Q730" t="n">
        <v>0</v>
      </c>
      <c r="R730" s="2" t="inlineStr"/>
    </row>
    <row r="731" ht="15" customHeight="1">
      <c r="A731" t="inlineStr">
        <is>
          <t>A 58942-2021</t>
        </is>
      </c>
      <c r="B731" s="1" t="n">
        <v>44490</v>
      </c>
      <c r="C731" s="1" t="n">
        <v>45713</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59982-2021</t>
        </is>
      </c>
      <c r="B732" s="1" t="n">
        <v>44495</v>
      </c>
      <c r="C732" s="1" t="n">
        <v>45713</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59972-2021</t>
        </is>
      </c>
      <c r="B733" s="1" t="n">
        <v>44495</v>
      </c>
      <c r="C733" s="1" t="n">
        <v>45713</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59979-2021</t>
        </is>
      </c>
      <c r="B734" s="1" t="n">
        <v>44494</v>
      </c>
      <c r="C734" s="1" t="n">
        <v>45713</v>
      </c>
      <c r="D734" t="inlineStr">
        <is>
          <t>VÄSTERNORRLANDS LÄN</t>
        </is>
      </c>
      <c r="E734" t="inlineStr">
        <is>
          <t>ÅNGE</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59986-2021</t>
        </is>
      </c>
      <c r="B735" s="1" t="n">
        <v>44494</v>
      </c>
      <c r="C735" s="1" t="n">
        <v>45713</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60296-2021</t>
        </is>
      </c>
      <c r="B736" s="1" t="n">
        <v>44495</v>
      </c>
      <c r="C736" s="1" t="n">
        <v>45713</v>
      </c>
      <c r="D736" t="inlineStr">
        <is>
          <t>VÄSTERNORRLANDS LÄN</t>
        </is>
      </c>
      <c r="E736" t="inlineStr">
        <is>
          <t>ÅNGE</t>
        </is>
      </c>
      <c r="G736" t="n">
        <v>0.4</v>
      </c>
      <c r="H736" t="n">
        <v>0</v>
      </c>
      <c r="I736" t="n">
        <v>0</v>
      </c>
      <c r="J736" t="n">
        <v>0</v>
      </c>
      <c r="K736" t="n">
        <v>0</v>
      </c>
      <c r="L736" t="n">
        <v>0</v>
      </c>
      <c r="M736" t="n">
        <v>0</v>
      </c>
      <c r="N736" t="n">
        <v>0</v>
      </c>
      <c r="O736" t="n">
        <v>0</v>
      </c>
      <c r="P736" t="n">
        <v>0</v>
      </c>
      <c r="Q736" t="n">
        <v>0</v>
      </c>
      <c r="R736" s="2" t="inlineStr"/>
    </row>
    <row r="737" ht="15" customHeight="1">
      <c r="A737" t="inlineStr">
        <is>
          <t>A 61404-2021</t>
        </is>
      </c>
      <c r="B737" s="1" t="n">
        <v>44500</v>
      </c>
      <c r="C737" s="1" t="n">
        <v>45713</v>
      </c>
      <c r="D737" t="inlineStr">
        <is>
          <t>VÄSTERNORRLANDS LÄN</t>
        </is>
      </c>
      <c r="E737" t="inlineStr">
        <is>
          <t>ÅNGE</t>
        </is>
      </c>
      <c r="G737" t="n">
        <v>6.1</v>
      </c>
      <c r="H737" t="n">
        <v>0</v>
      </c>
      <c r="I737" t="n">
        <v>0</v>
      </c>
      <c r="J737" t="n">
        <v>0</v>
      </c>
      <c r="K737" t="n">
        <v>0</v>
      </c>
      <c r="L737" t="n">
        <v>0</v>
      </c>
      <c r="M737" t="n">
        <v>0</v>
      </c>
      <c r="N737" t="n">
        <v>0</v>
      </c>
      <c r="O737" t="n">
        <v>0</v>
      </c>
      <c r="P737" t="n">
        <v>0</v>
      </c>
      <c r="Q737" t="n">
        <v>0</v>
      </c>
      <c r="R737" s="2" t="inlineStr"/>
    </row>
    <row r="738" ht="15" customHeight="1">
      <c r="A738" t="inlineStr">
        <is>
          <t>A 61761-2021</t>
        </is>
      </c>
      <c r="B738" s="1" t="n">
        <v>44501</v>
      </c>
      <c r="C738" s="1" t="n">
        <v>45713</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61909-2021</t>
        </is>
      </c>
      <c r="B739" s="1" t="n">
        <v>44502</v>
      </c>
      <c r="C739" s="1" t="n">
        <v>45713</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61928-2021</t>
        </is>
      </c>
      <c r="B740" s="1" t="n">
        <v>44502</v>
      </c>
      <c r="C740" s="1" t="n">
        <v>45713</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62069-2021</t>
        </is>
      </c>
      <c r="B741" s="1" t="n">
        <v>44502</v>
      </c>
      <c r="C741" s="1" t="n">
        <v>45713</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62127-2021</t>
        </is>
      </c>
      <c r="B742" s="1" t="n">
        <v>44502</v>
      </c>
      <c r="C742" s="1" t="n">
        <v>45713</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62834-2021</t>
        </is>
      </c>
      <c r="B743" s="1" t="n">
        <v>44503</v>
      </c>
      <c r="C743" s="1" t="n">
        <v>45713</v>
      </c>
      <c r="D743" t="inlineStr">
        <is>
          <t>VÄSTERNORRLANDS LÄN</t>
        </is>
      </c>
      <c r="E743" t="inlineStr">
        <is>
          <t>ÅNGE</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62870-2021</t>
        </is>
      </c>
      <c r="B744" s="1" t="n">
        <v>44503</v>
      </c>
      <c r="C744" s="1" t="n">
        <v>45713</v>
      </c>
      <c r="D744" t="inlineStr">
        <is>
          <t>VÄSTERNORRLANDS LÄN</t>
        </is>
      </c>
      <c r="E744" t="inlineStr">
        <is>
          <t>ÅNGE</t>
        </is>
      </c>
      <c r="F744" t="inlineStr">
        <is>
          <t>Övriga statliga verk och myndigheter</t>
        </is>
      </c>
      <c r="G744" t="n">
        <v>3</v>
      </c>
      <c r="H744" t="n">
        <v>0</v>
      </c>
      <c r="I744" t="n">
        <v>0</v>
      </c>
      <c r="J744" t="n">
        <v>0</v>
      </c>
      <c r="K744" t="n">
        <v>0</v>
      </c>
      <c r="L744" t="n">
        <v>0</v>
      </c>
      <c r="M744" t="n">
        <v>0</v>
      </c>
      <c r="N744" t="n">
        <v>0</v>
      </c>
      <c r="O744" t="n">
        <v>0</v>
      </c>
      <c r="P744" t="n">
        <v>0</v>
      </c>
      <c r="Q744" t="n">
        <v>0</v>
      </c>
      <c r="R744" s="2" t="inlineStr"/>
    </row>
    <row r="745" ht="15" customHeight="1">
      <c r="A745" t="inlineStr">
        <is>
          <t>A 63148-2021</t>
        </is>
      </c>
      <c r="B745" s="1" t="n">
        <v>44505</v>
      </c>
      <c r="C745" s="1" t="n">
        <v>45713</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63550-2021</t>
        </is>
      </c>
      <c r="B746" s="1" t="n">
        <v>44508</v>
      </c>
      <c r="C746" s="1" t="n">
        <v>45713</v>
      </c>
      <c r="D746" t="inlineStr">
        <is>
          <t>VÄSTERNORRLANDS LÄN</t>
        </is>
      </c>
      <c r="E746" t="inlineStr">
        <is>
          <t>ÅNGE</t>
        </is>
      </c>
      <c r="G746" t="n">
        <v>2.8</v>
      </c>
      <c r="H746" t="n">
        <v>0</v>
      </c>
      <c r="I746" t="n">
        <v>0</v>
      </c>
      <c r="J746" t="n">
        <v>0</v>
      </c>
      <c r="K746" t="n">
        <v>0</v>
      </c>
      <c r="L746" t="n">
        <v>0</v>
      </c>
      <c r="M746" t="n">
        <v>0</v>
      </c>
      <c r="N746" t="n">
        <v>0</v>
      </c>
      <c r="O746" t="n">
        <v>0</v>
      </c>
      <c r="P746" t="n">
        <v>0</v>
      </c>
      <c r="Q746" t="n">
        <v>0</v>
      </c>
      <c r="R746" s="2" t="inlineStr"/>
    </row>
    <row r="747" ht="15" customHeight="1">
      <c r="A747" t="inlineStr">
        <is>
          <t>A 63597-2021</t>
        </is>
      </c>
      <c r="B747" s="1" t="n">
        <v>44508</v>
      </c>
      <c r="C747" s="1" t="n">
        <v>45713</v>
      </c>
      <c r="D747" t="inlineStr">
        <is>
          <t>VÄSTERNORRLANDS LÄN</t>
        </is>
      </c>
      <c r="E747" t="inlineStr">
        <is>
          <t>ÅNGE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63522-2021</t>
        </is>
      </c>
      <c r="B748" s="1" t="n">
        <v>44508</v>
      </c>
      <c r="C748" s="1" t="n">
        <v>45713</v>
      </c>
      <c r="D748" t="inlineStr">
        <is>
          <t>VÄSTERNORRLANDS LÄN</t>
        </is>
      </c>
      <c r="E748" t="inlineStr">
        <is>
          <t>ÅNGE</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63556-2021</t>
        </is>
      </c>
      <c r="B749" s="1" t="n">
        <v>44508</v>
      </c>
      <c r="C749" s="1" t="n">
        <v>45713</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63598-2021</t>
        </is>
      </c>
      <c r="B750" s="1" t="n">
        <v>44508</v>
      </c>
      <c r="C750" s="1" t="n">
        <v>45713</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63607-2021</t>
        </is>
      </c>
      <c r="B751" s="1" t="n">
        <v>44508</v>
      </c>
      <c r="C751" s="1" t="n">
        <v>45713</v>
      </c>
      <c r="D751" t="inlineStr">
        <is>
          <t>VÄSTERNORRLANDS LÄN</t>
        </is>
      </c>
      <c r="E751" t="inlineStr">
        <is>
          <t>ÅNGE</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63599-2021</t>
        </is>
      </c>
      <c r="B752" s="1" t="n">
        <v>44508</v>
      </c>
      <c r="C752" s="1" t="n">
        <v>45713</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63608-2021</t>
        </is>
      </c>
      <c r="B753" s="1" t="n">
        <v>44508</v>
      </c>
      <c r="C753" s="1" t="n">
        <v>45713</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63609-2021</t>
        </is>
      </c>
      <c r="B754" s="1" t="n">
        <v>44508</v>
      </c>
      <c r="C754" s="1" t="n">
        <v>45713</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63836-2021</t>
        </is>
      </c>
      <c r="B755" s="1" t="n">
        <v>44509</v>
      </c>
      <c r="C755" s="1" t="n">
        <v>45713</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63897-2021</t>
        </is>
      </c>
      <c r="B756" s="1" t="n">
        <v>44509</v>
      </c>
      <c r="C756" s="1" t="n">
        <v>45713</v>
      </c>
      <c r="D756" t="inlineStr">
        <is>
          <t>VÄSTERNORRLANDS LÄN</t>
        </is>
      </c>
      <c r="E756" t="inlineStr">
        <is>
          <t>ÅNGE</t>
        </is>
      </c>
      <c r="G756" t="n">
        <v>4.1</v>
      </c>
      <c r="H756" t="n">
        <v>0</v>
      </c>
      <c r="I756" t="n">
        <v>0</v>
      </c>
      <c r="J756" t="n">
        <v>0</v>
      </c>
      <c r="K756" t="n">
        <v>0</v>
      </c>
      <c r="L756" t="n">
        <v>0</v>
      </c>
      <c r="M756" t="n">
        <v>0</v>
      </c>
      <c r="N756" t="n">
        <v>0</v>
      </c>
      <c r="O756" t="n">
        <v>0</v>
      </c>
      <c r="P756" t="n">
        <v>0</v>
      </c>
      <c r="Q756" t="n">
        <v>0</v>
      </c>
      <c r="R756" s="2" t="inlineStr"/>
    </row>
    <row r="757" ht="15" customHeight="1">
      <c r="A757" t="inlineStr">
        <is>
          <t>A 64121-2021</t>
        </is>
      </c>
      <c r="B757" s="1" t="n">
        <v>44510</v>
      </c>
      <c r="C757" s="1" t="n">
        <v>45713</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64962-2021</t>
        </is>
      </c>
      <c r="B758" s="1" t="n">
        <v>44512</v>
      </c>
      <c r="C758" s="1" t="n">
        <v>45713</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65229-2021</t>
        </is>
      </c>
      <c r="B759" s="1" t="n">
        <v>44515</v>
      </c>
      <c r="C759" s="1" t="n">
        <v>45713</v>
      </c>
      <c r="D759" t="inlineStr">
        <is>
          <t>VÄSTERNORRLANDS LÄN</t>
        </is>
      </c>
      <c r="E759" t="inlineStr">
        <is>
          <t>ÅNGE</t>
        </is>
      </c>
      <c r="G759" t="n">
        <v>12.1</v>
      </c>
      <c r="H759" t="n">
        <v>0</v>
      </c>
      <c r="I759" t="n">
        <v>0</v>
      </c>
      <c r="J759" t="n">
        <v>0</v>
      </c>
      <c r="K759" t="n">
        <v>0</v>
      </c>
      <c r="L759" t="n">
        <v>0</v>
      </c>
      <c r="M759" t="n">
        <v>0</v>
      </c>
      <c r="N759" t="n">
        <v>0</v>
      </c>
      <c r="O759" t="n">
        <v>0</v>
      </c>
      <c r="P759" t="n">
        <v>0</v>
      </c>
      <c r="Q759" t="n">
        <v>0</v>
      </c>
      <c r="R759" s="2" t="inlineStr"/>
    </row>
    <row r="760" ht="15" customHeight="1">
      <c r="A760" t="inlineStr">
        <is>
          <t>A 65425-2021</t>
        </is>
      </c>
      <c r="B760" s="1" t="n">
        <v>44515</v>
      </c>
      <c r="C760" s="1" t="n">
        <v>45713</v>
      </c>
      <c r="D760" t="inlineStr">
        <is>
          <t>VÄSTERNORRLANDS LÄN</t>
        </is>
      </c>
      <c r="E760" t="inlineStr">
        <is>
          <t>ÅNGE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65435-2021</t>
        </is>
      </c>
      <c r="B761" s="1" t="n">
        <v>44515</v>
      </c>
      <c r="C761" s="1" t="n">
        <v>45713</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65437-2021</t>
        </is>
      </c>
      <c r="B762" s="1" t="n">
        <v>44515</v>
      </c>
      <c r="C762" s="1" t="n">
        <v>45713</v>
      </c>
      <c r="D762" t="inlineStr">
        <is>
          <t>VÄSTERNORRLANDS LÄN</t>
        </is>
      </c>
      <c r="E762" t="inlineStr">
        <is>
          <t>ÅNGE</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v>
      </c>
      <c r="C763" s="1" t="n">
        <v>45713</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65790-2021</t>
        </is>
      </c>
      <c r="B764" s="1" t="n">
        <v>44516</v>
      </c>
      <c r="C764" s="1" t="n">
        <v>45713</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66229-2021</t>
        </is>
      </c>
      <c r="B765" s="1" t="n">
        <v>44518</v>
      </c>
      <c r="C765" s="1" t="n">
        <v>45713</v>
      </c>
      <c r="D765" t="inlineStr">
        <is>
          <t>VÄSTERNORRLANDS LÄN</t>
        </is>
      </c>
      <c r="E765" t="inlineStr">
        <is>
          <t>ÅNGE</t>
        </is>
      </c>
      <c r="G765" t="n">
        <v>3.5</v>
      </c>
      <c r="H765" t="n">
        <v>0</v>
      </c>
      <c r="I765" t="n">
        <v>0</v>
      </c>
      <c r="J765" t="n">
        <v>0</v>
      </c>
      <c r="K765" t="n">
        <v>0</v>
      </c>
      <c r="L765" t="n">
        <v>0</v>
      </c>
      <c r="M765" t="n">
        <v>0</v>
      </c>
      <c r="N765" t="n">
        <v>0</v>
      </c>
      <c r="O765" t="n">
        <v>0</v>
      </c>
      <c r="P765" t="n">
        <v>0</v>
      </c>
      <c r="Q765" t="n">
        <v>0</v>
      </c>
      <c r="R765" s="2" t="inlineStr"/>
    </row>
    <row r="766" ht="15" customHeight="1">
      <c r="A766" t="inlineStr">
        <is>
          <t>A 66233-2021</t>
        </is>
      </c>
      <c r="B766" s="1" t="n">
        <v>44518</v>
      </c>
      <c r="C766" s="1" t="n">
        <v>45713</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66262-2021</t>
        </is>
      </c>
      <c r="B767" s="1" t="n">
        <v>44518</v>
      </c>
      <c r="C767" s="1" t="n">
        <v>45713</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66265-2021</t>
        </is>
      </c>
      <c r="B768" s="1" t="n">
        <v>44518</v>
      </c>
      <c r="C768" s="1" t="n">
        <v>45713</v>
      </c>
      <c r="D768" t="inlineStr">
        <is>
          <t>VÄSTERNORRLANDS LÄN</t>
        </is>
      </c>
      <c r="E768" t="inlineStr">
        <is>
          <t>ÅNGE</t>
        </is>
      </c>
      <c r="G768" t="n">
        <v>6</v>
      </c>
      <c r="H768" t="n">
        <v>0</v>
      </c>
      <c r="I768" t="n">
        <v>0</v>
      </c>
      <c r="J768" t="n">
        <v>0</v>
      </c>
      <c r="K768" t="n">
        <v>0</v>
      </c>
      <c r="L768" t="n">
        <v>0</v>
      </c>
      <c r="M768" t="n">
        <v>0</v>
      </c>
      <c r="N768" t="n">
        <v>0</v>
      </c>
      <c r="O768" t="n">
        <v>0</v>
      </c>
      <c r="P768" t="n">
        <v>0</v>
      </c>
      <c r="Q768" t="n">
        <v>0</v>
      </c>
      <c r="R768" s="2" t="inlineStr"/>
    </row>
    <row r="769" ht="15" customHeight="1">
      <c r="A769" t="inlineStr">
        <is>
          <t>A 66560-2021</t>
        </is>
      </c>
      <c r="B769" s="1" t="n">
        <v>44519</v>
      </c>
      <c r="C769" s="1" t="n">
        <v>45713</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67396-2021</t>
        </is>
      </c>
      <c r="B770" s="1" t="n">
        <v>44523</v>
      </c>
      <c r="C770" s="1" t="n">
        <v>45713</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67546-2021</t>
        </is>
      </c>
      <c r="B771" s="1" t="n">
        <v>44524</v>
      </c>
      <c r="C771" s="1" t="n">
        <v>45713</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67708-2021</t>
        </is>
      </c>
      <c r="B772" s="1" t="n">
        <v>44524</v>
      </c>
      <c r="C772" s="1" t="n">
        <v>45713</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67712-2021</t>
        </is>
      </c>
      <c r="B773" s="1" t="n">
        <v>44524</v>
      </c>
      <c r="C773" s="1" t="n">
        <v>45713</v>
      </c>
      <c r="D773" t="inlineStr">
        <is>
          <t>VÄSTERNORRLANDS LÄN</t>
        </is>
      </c>
      <c r="E773" t="inlineStr">
        <is>
          <t>ÅNGE</t>
        </is>
      </c>
      <c r="G773" t="n">
        <v>3</v>
      </c>
      <c r="H773" t="n">
        <v>0</v>
      </c>
      <c r="I773" t="n">
        <v>0</v>
      </c>
      <c r="J773" t="n">
        <v>0</v>
      </c>
      <c r="K773" t="n">
        <v>0</v>
      </c>
      <c r="L773" t="n">
        <v>0</v>
      </c>
      <c r="M773" t="n">
        <v>0</v>
      </c>
      <c r="N773" t="n">
        <v>0</v>
      </c>
      <c r="O773" t="n">
        <v>0</v>
      </c>
      <c r="P773" t="n">
        <v>0</v>
      </c>
      <c r="Q773" t="n">
        <v>0</v>
      </c>
      <c r="R773" s="2" t="inlineStr"/>
    </row>
    <row r="774" ht="15" customHeight="1">
      <c r="A774" t="inlineStr">
        <is>
          <t>A 68743-2021</t>
        </is>
      </c>
      <c r="B774" s="1" t="n">
        <v>44529</v>
      </c>
      <c r="C774" s="1" t="n">
        <v>45713</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69736-2021</t>
        </is>
      </c>
      <c r="B775" s="1" t="n">
        <v>44532</v>
      </c>
      <c r="C775" s="1" t="n">
        <v>45713</v>
      </c>
      <c r="D775" t="inlineStr">
        <is>
          <t>VÄSTERNORRLANDS LÄN</t>
        </is>
      </c>
      <c r="E775" t="inlineStr">
        <is>
          <t>ÅNGE</t>
        </is>
      </c>
      <c r="G775" t="n">
        <v>5</v>
      </c>
      <c r="H775" t="n">
        <v>0</v>
      </c>
      <c r="I775" t="n">
        <v>0</v>
      </c>
      <c r="J775" t="n">
        <v>0</v>
      </c>
      <c r="K775" t="n">
        <v>0</v>
      </c>
      <c r="L775" t="n">
        <v>0</v>
      </c>
      <c r="M775" t="n">
        <v>0</v>
      </c>
      <c r="N775" t="n">
        <v>0</v>
      </c>
      <c r="O775" t="n">
        <v>0</v>
      </c>
      <c r="P775" t="n">
        <v>0</v>
      </c>
      <c r="Q775" t="n">
        <v>0</v>
      </c>
      <c r="R775" s="2" t="inlineStr"/>
    </row>
    <row r="776" ht="15" customHeight="1">
      <c r="A776" t="inlineStr">
        <is>
          <t>A 69790-2021</t>
        </is>
      </c>
      <c r="B776" s="1" t="n">
        <v>44532</v>
      </c>
      <c r="C776" s="1" t="n">
        <v>45713</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70809-2021</t>
        </is>
      </c>
      <c r="B777" s="1" t="n">
        <v>44537</v>
      </c>
      <c r="C777" s="1" t="n">
        <v>45713</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70899-2021</t>
        </is>
      </c>
      <c r="B778" s="1" t="n">
        <v>44537</v>
      </c>
      <c r="C778" s="1" t="n">
        <v>45713</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70893-2021</t>
        </is>
      </c>
      <c r="B779" s="1" t="n">
        <v>44538</v>
      </c>
      <c r="C779" s="1" t="n">
        <v>45713</v>
      </c>
      <c r="D779" t="inlineStr">
        <is>
          <t>VÄSTERNORRLANDS LÄN</t>
        </is>
      </c>
      <c r="E779" t="inlineStr">
        <is>
          <t>ÅNGE</t>
        </is>
      </c>
      <c r="G779" t="n">
        <v>6.2</v>
      </c>
      <c r="H779" t="n">
        <v>0</v>
      </c>
      <c r="I779" t="n">
        <v>0</v>
      </c>
      <c r="J779" t="n">
        <v>0</v>
      </c>
      <c r="K779" t="n">
        <v>0</v>
      </c>
      <c r="L779" t="n">
        <v>0</v>
      </c>
      <c r="M779" t="n">
        <v>0</v>
      </c>
      <c r="N779" t="n">
        <v>0</v>
      </c>
      <c r="O779" t="n">
        <v>0</v>
      </c>
      <c r="P779" t="n">
        <v>0</v>
      </c>
      <c r="Q779" t="n">
        <v>0</v>
      </c>
      <c r="R779" s="2" t="inlineStr"/>
    </row>
    <row r="780" ht="15" customHeight="1">
      <c r="A780" t="inlineStr">
        <is>
          <t>A 71651-2021</t>
        </is>
      </c>
      <c r="B780" s="1" t="n">
        <v>44538</v>
      </c>
      <c r="C780" s="1" t="n">
        <v>45713</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71669-2021</t>
        </is>
      </c>
      <c r="B781" s="1" t="n">
        <v>44538</v>
      </c>
      <c r="C781" s="1" t="n">
        <v>45713</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71302-2021</t>
        </is>
      </c>
      <c r="B782" s="1" t="n">
        <v>44539</v>
      </c>
      <c r="C782" s="1" t="n">
        <v>45713</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71357-2021</t>
        </is>
      </c>
      <c r="B783" s="1" t="n">
        <v>44539</v>
      </c>
      <c r="C783" s="1" t="n">
        <v>45713</v>
      </c>
      <c r="D783" t="inlineStr">
        <is>
          <t>VÄSTERNORRLANDS LÄN</t>
        </is>
      </c>
      <c r="E783" t="inlineStr">
        <is>
          <t>ÅNGE</t>
        </is>
      </c>
      <c r="G783" t="n">
        <v>5.4</v>
      </c>
      <c r="H783" t="n">
        <v>0</v>
      </c>
      <c r="I783" t="n">
        <v>0</v>
      </c>
      <c r="J783" t="n">
        <v>0</v>
      </c>
      <c r="K783" t="n">
        <v>0</v>
      </c>
      <c r="L783" t="n">
        <v>0</v>
      </c>
      <c r="M783" t="n">
        <v>0</v>
      </c>
      <c r="N783" t="n">
        <v>0</v>
      </c>
      <c r="O783" t="n">
        <v>0</v>
      </c>
      <c r="P783" t="n">
        <v>0</v>
      </c>
      <c r="Q783" t="n">
        <v>0</v>
      </c>
      <c r="R783" s="2" t="inlineStr"/>
    </row>
    <row r="784" ht="15" customHeight="1">
      <c r="A784" t="inlineStr">
        <is>
          <t>A 71396-2021</t>
        </is>
      </c>
      <c r="B784" s="1" t="n">
        <v>44540</v>
      </c>
      <c r="C784" s="1" t="n">
        <v>45713</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71449-2021</t>
        </is>
      </c>
      <c r="B785" s="1" t="n">
        <v>44540</v>
      </c>
      <c r="C785" s="1" t="n">
        <v>45713</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71965-2021</t>
        </is>
      </c>
      <c r="B786" s="1" t="n">
        <v>44544</v>
      </c>
      <c r="C786" s="1" t="n">
        <v>45713</v>
      </c>
      <c r="D786" t="inlineStr">
        <is>
          <t>VÄSTERNORRLANDS LÄN</t>
        </is>
      </c>
      <c r="E786" t="inlineStr">
        <is>
          <t>ÅNGE</t>
        </is>
      </c>
      <c r="G786" t="n">
        <v>0.8</v>
      </c>
      <c r="H786" t="n">
        <v>0</v>
      </c>
      <c r="I786" t="n">
        <v>0</v>
      </c>
      <c r="J786" t="n">
        <v>0</v>
      </c>
      <c r="K786" t="n">
        <v>0</v>
      </c>
      <c r="L786" t="n">
        <v>0</v>
      </c>
      <c r="M786" t="n">
        <v>0</v>
      </c>
      <c r="N786" t="n">
        <v>0</v>
      </c>
      <c r="O786" t="n">
        <v>0</v>
      </c>
      <c r="P786" t="n">
        <v>0</v>
      </c>
      <c r="Q786" t="n">
        <v>0</v>
      </c>
      <c r="R786" s="2" t="inlineStr"/>
    </row>
    <row r="787" ht="15" customHeight="1">
      <c r="A787" t="inlineStr">
        <is>
          <t>A 72239-2021</t>
        </is>
      </c>
      <c r="B787" s="1" t="n">
        <v>44544</v>
      </c>
      <c r="C787" s="1" t="n">
        <v>45713</v>
      </c>
      <c r="D787" t="inlineStr">
        <is>
          <t>VÄSTERNORRLANDS LÄN</t>
        </is>
      </c>
      <c r="E787" t="inlineStr">
        <is>
          <t>ÅNGE</t>
        </is>
      </c>
      <c r="G787" t="n">
        <v>1.2</v>
      </c>
      <c r="H787" t="n">
        <v>0</v>
      </c>
      <c r="I787" t="n">
        <v>0</v>
      </c>
      <c r="J787" t="n">
        <v>0</v>
      </c>
      <c r="K787" t="n">
        <v>0</v>
      </c>
      <c r="L787" t="n">
        <v>0</v>
      </c>
      <c r="M787" t="n">
        <v>0</v>
      </c>
      <c r="N787" t="n">
        <v>0</v>
      </c>
      <c r="O787" t="n">
        <v>0</v>
      </c>
      <c r="P787" t="n">
        <v>0</v>
      </c>
      <c r="Q787" t="n">
        <v>0</v>
      </c>
      <c r="R787" s="2" t="inlineStr"/>
    </row>
    <row r="788" ht="15" customHeight="1">
      <c r="A788" t="inlineStr">
        <is>
          <t>A 74088-2021</t>
        </is>
      </c>
      <c r="B788" s="1" t="n">
        <v>44557</v>
      </c>
      <c r="C788" s="1" t="n">
        <v>45713</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74109-2021</t>
        </is>
      </c>
      <c r="B789" s="1" t="n">
        <v>44557</v>
      </c>
      <c r="C789" s="1" t="n">
        <v>45713</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74194-2021</t>
        </is>
      </c>
      <c r="B790" s="1" t="n">
        <v>44558</v>
      </c>
      <c r="C790" s="1" t="n">
        <v>45713</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1081-2022</t>
        </is>
      </c>
      <c r="B791" s="1" t="n">
        <v>44571</v>
      </c>
      <c r="C791" s="1" t="n">
        <v>45713</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1297-2022</t>
        </is>
      </c>
      <c r="B792" s="1" t="n">
        <v>44572</v>
      </c>
      <c r="C792" s="1" t="n">
        <v>45713</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1869-2022</t>
        </is>
      </c>
      <c r="B793" s="1" t="n">
        <v>44574</v>
      </c>
      <c r="C793" s="1" t="n">
        <v>45713</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1964-2022</t>
        </is>
      </c>
      <c r="B794" s="1" t="n">
        <v>44575</v>
      </c>
      <c r="C794" s="1" t="n">
        <v>45713</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4651-2022</t>
        </is>
      </c>
      <c r="B795" s="1" t="n">
        <v>44592</v>
      </c>
      <c r="C795" s="1" t="n">
        <v>45713</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4939-2022</t>
        </is>
      </c>
      <c r="B796" s="1" t="n">
        <v>44593</v>
      </c>
      <c r="C796" s="1" t="n">
        <v>45713</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5113-2022</t>
        </is>
      </c>
      <c r="B797" s="1" t="n">
        <v>44593</v>
      </c>
      <c r="C797" s="1" t="n">
        <v>45713</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5112-2022</t>
        </is>
      </c>
      <c r="B798" s="1" t="n">
        <v>44593</v>
      </c>
      <c r="C798" s="1" t="n">
        <v>45713</v>
      </c>
      <c r="D798" t="inlineStr">
        <is>
          <t>VÄSTERNORRLANDS LÄN</t>
        </is>
      </c>
      <c r="E798" t="inlineStr">
        <is>
          <t>ÅNGE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5279-2022</t>
        </is>
      </c>
      <c r="B799" s="1" t="n">
        <v>44594</v>
      </c>
      <c r="C799" s="1" t="n">
        <v>45713</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v>
      </c>
      <c r="C800" s="1" t="n">
        <v>45713</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5381-2022</t>
        </is>
      </c>
      <c r="B801" s="1" t="n">
        <v>44594</v>
      </c>
      <c r="C801" s="1" t="n">
        <v>45713</v>
      </c>
      <c r="D801" t="inlineStr">
        <is>
          <t>VÄSTERNORRLANDS LÄN</t>
        </is>
      </c>
      <c r="E801" t="inlineStr">
        <is>
          <t>ÅNGE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5367-2022</t>
        </is>
      </c>
      <c r="B802" s="1" t="n">
        <v>44594</v>
      </c>
      <c r="C802" s="1" t="n">
        <v>45713</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5366-2022</t>
        </is>
      </c>
      <c r="B803" s="1" t="n">
        <v>44594</v>
      </c>
      <c r="C803" s="1" t="n">
        <v>45713</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5520-2022</t>
        </is>
      </c>
      <c r="B804" s="1" t="n">
        <v>44595</v>
      </c>
      <c r="C804" s="1" t="n">
        <v>45713</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5552-2022</t>
        </is>
      </c>
      <c r="B805" s="1" t="n">
        <v>44595</v>
      </c>
      <c r="C805" s="1" t="n">
        <v>45713</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5565-2022</t>
        </is>
      </c>
      <c r="B806" s="1" t="n">
        <v>44595</v>
      </c>
      <c r="C806" s="1" t="n">
        <v>45713</v>
      </c>
      <c r="D806" t="inlineStr">
        <is>
          <t>VÄSTERNORRLANDS LÄN</t>
        </is>
      </c>
      <c r="E806" t="inlineStr">
        <is>
          <t>ÅNGE</t>
        </is>
      </c>
      <c r="G806" t="n">
        <v>0.3</v>
      </c>
      <c r="H806" t="n">
        <v>0</v>
      </c>
      <c r="I806" t="n">
        <v>0</v>
      </c>
      <c r="J806" t="n">
        <v>0</v>
      </c>
      <c r="K806" t="n">
        <v>0</v>
      </c>
      <c r="L806" t="n">
        <v>0</v>
      </c>
      <c r="M806" t="n">
        <v>0</v>
      </c>
      <c r="N806" t="n">
        <v>0</v>
      </c>
      <c r="O806" t="n">
        <v>0</v>
      </c>
      <c r="P806" t="n">
        <v>0</v>
      </c>
      <c r="Q806" t="n">
        <v>0</v>
      </c>
      <c r="R806" s="2" t="inlineStr"/>
    </row>
    <row r="807" ht="15" customHeight="1">
      <c r="A807" t="inlineStr">
        <is>
          <t>A 6113-2022</t>
        </is>
      </c>
      <c r="B807" s="1" t="n">
        <v>44599</v>
      </c>
      <c r="C807" s="1" t="n">
        <v>45713</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6112-2022</t>
        </is>
      </c>
      <c r="B808" s="1" t="n">
        <v>44599</v>
      </c>
      <c r="C808" s="1" t="n">
        <v>45713</v>
      </c>
      <c r="D808" t="inlineStr">
        <is>
          <t>VÄSTERNORRLANDS LÄN</t>
        </is>
      </c>
      <c r="E808" t="inlineStr">
        <is>
          <t>ÅNGE</t>
        </is>
      </c>
      <c r="G808" t="n">
        <v>5.6</v>
      </c>
      <c r="H808" t="n">
        <v>0</v>
      </c>
      <c r="I808" t="n">
        <v>0</v>
      </c>
      <c r="J808" t="n">
        <v>0</v>
      </c>
      <c r="K808" t="n">
        <v>0</v>
      </c>
      <c r="L808" t="n">
        <v>0</v>
      </c>
      <c r="M808" t="n">
        <v>0</v>
      </c>
      <c r="N808" t="n">
        <v>0</v>
      </c>
      <c r="O808" t="n">
        <v>0</v>
      </c>
      <c r="P808" t="n">
        <v>0</v>
      </c>
      <c r="Q808" t="n">
        <v>0</v>
      </c>
      <c r="R808" s="2" t="inlineStr"/>
    </row>
    <row r="809" ht="15" customHeight="1">
      <c r="A809" t="inlineStr">
        <is>
          <t>A 6115-2022</t>
        </is>
      </c>
      <c r="B809" s="1" t="n">
        <v>44599</v>
      </c>
      <c r="C809" s="1" t="n">
        <v>45713</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6263-2022</t>
        </is>
      </c>
      <c r="B810" s="1" t="n">
        <v>44600</v>
      </c>
      <c r="C810" s="1" t="n">
        <v>45713</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6443-2022</t>
        </is>
      </c>
      <c r="B811" s="1" t="n">
        <v>44601</v>
      </c>
      <c r="C811" s="1" t="n">
        <v>45713</v>
      </c>
      <c r="D811" t="inlineStr">
        <is>
          <t>VÄSTERNORRLANDS LÄN</t>
        </is>
      </c>
      <c r="E811" t="inlineStr">
        <is>
          <t>ÅNGE</t>
        </is>
      </c>
      <c r="G811" t="n">
        <v>3.3</v>
      </c>
      <c r="H811" t="n">
        <v>0</v>
      </c>
      <c r="I811" t="n">
        <v>0</v>
      </c>
      <c r="J811" t="n">
        <v>0</v>
      </c>
      <c r="K811" t="n">
        <v>0</v>
      </c>
      <c r="L811" t="n">
        <v>0</v>
      </c>
      <c r="M811" t="n">
        <v>0</v>
      </c>
      <c r="N811" t="n">
        <v>0</v>
      </c>
      <c r="O811" t="n">
        <v>0</v>
      </c>
      <c r="P811" t="n">
        <v>0</v>
      </c>
      <c r="Q811" t="n">
        <v>0</v>
      </c>
      <c r="R811" s="2" t="inlineStr"/>
    </row>
    <row r="812" ht="15" customHeight="1">
      <c r="A812" t="inlineStr">
        <is>
          <t>A 6677-2022</t>
        </is>
      </c>
      <c r="B812" s="1" t="n">
        <v>44602</v>
      </c>
      <c r="C812" s="1" t="n">
        <v>45713</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6732-2022</t>
        </is>
      </c>
      <c r="B813" s="1" t="n">
        <v>44602</v>
      </c>
      <c r="C813" s="1" t="n">
        <v>45713</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6899-2022</t>
        </is>
      </c>
      <c r="B814" s="1" t="n">
        <v>44602</v>
      </c>
      <c r="C814" s="1" t="n">
        <v>45713</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6898-2022</t>
        </is>
      </c>
      <c r="B815" s="1" t="n">
        <v>44602</v>
      </c>
      <c r="C815" s="1" t="n">
        <v>45713</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7158-2022</t>
        </is>
      </c>
      <c r="B816" s="1" t="n">
        <v>44604</v>
      </c>
      <c r="C816" s="1" t="n">
        <v>45713</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7205-2022</t>
        </is>
      </c>
      <c r="B817" s="1" t="n">
        <v>44606</v>
      </c>
      <c r="C817" s="1" t="n">
        <v>45713</v>
      </c>
      <c r="D817" t="inlineStr">
        <is>
          <t>VÄSTERNORRLANDS LÄN</t>
        </is>
      </c>
      <c r="E817" t="inlineStr">
        <is>
          <t>ÅNGE</t>
        </is>
      </c>
      <c r="G817" t="n">
        <v>20.5</v>
      </c>
      <c r="H817" t="n">
        <v>0</v>
      </c>
      <c r="I817" t="n">
        <v>0</v>
      </c>
      <c r="J817" t="n">
        <v>0</v>
      </c>
      <c r="K817" t="n">
        <v>0</v>
      </c>
      <c r="L817" t="n">
        <v>0</v>
      </c>
      <c r="M817" t="n">
        <v>0</v>
      </c>
      <c r="N817" t="n">
        <v>0</v>
      </c>
      <c r="O817" t="n">
        <v>0</v>
      </c>
      <c r="P817" t="n">
        <v>0</v>
      </c>
      <c r="Q817" t="n">
        <v>0</v>
      </c>
      <c r="R817" s="2" t="inlineStr"/>
    </row>
    <row r="818" ht="15" customHeight="1">
      <c r="A818" t="inlineStr">
        <is>
          <t>A 7298-2022</t>
        </is>
      </c>
      <c r="B818" s="1" t="n">
        <v>44606</v>
      </c>
      <c r="C818" s="1" t="n">
        <v>45713</v>
      </c>
      <c r="D818" t="inlineStr">
        <is>
          <t>VÄSTERNORRLANDS LÄN</t>
        </is>
      </c>
      <c r="E818" t="inlineStr">
        <is>
          <t>ÅNGE</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7633-2022</t>
        </is>
      </c>
      <c r="B819" s="1" t="n">
        <v>44607</v>
      </c>
      <c r="C819" s="1" t="n">
        <v>45713</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7649-2022</t>
        </is>
      </c>
      <c r="B820" s="1" t="n">
        <v>44607</v>
      </c>
      <c r="C820" s="1" t="n">
        <v>45713</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8070-2022</t>
        </is>
      </c>
      <c r="B821" s="1" t="n">
        <v>44609</v>
      </c>
      <c r="C821" s="1" t="n">
        <v>45713</v>
      </c>
      <c r="D821" t="inlineStr">
        <is>
          <t>VÄSTERNORRLANDS LÄN</t>
        </is>
      </c>
      <c r="E821" t="inlineStr">
        <is>
          <t>ÅNGE</t>
        </is>
      </c>
      <c r="G821" t="n">
        <v>3.5</v>
      </c>
      <c r="H821" t="n">
        <v>0</v>
      </c>
      <c r="I821" t="n">
        <v>0</v>
      </c>
      <c r="J821" t="n">
        <v>0</v>
      </c>
      <c r="K821" t="n">
        <v>0</v>
      </c>
      <c r="L821" t="n">
        <v>0</v>
      </c>
      <c r="M821" t="n">
        <v>0</v>
      </c>
      <c r="N821" t="n">
        <v>0</v>
      </c>
      <c r="O821" t="n">
        <v>0</v>
      </c>
      <c r="P821" t="n">
        <v>0</v>
      </c>
      <c r="Q821" t="n">
        <v>0</v>
      </c>
      <c r="R821" s="2" t="inlineStr"/>
    </row>
    <row r="822" ht="15" customHeight="1">
      <c r="A822" t="inlineStr">
        <is>
          <t>A 8755-2022</t>
        </is>
      </c>
      <c r="B822" s="1" t="n">
        <v>44614</v>
      </c>
      <c r="C822" s="1" t="n">
        <v>45713</v>
      </c>
      <c r="D822" t="inlineStr">
        <is>
          <t>VÄSTERNORRLANDS LÄN</t>
        </is>
      </c>
      <c r="E822" t="inlineStr">
        <is>
          <t>ÅNGE</t>
        </is>
      </c>
      <c r="G822" t="n">
        <v>2</v>
      </c>
      <c r="H822" t="n">
        <v>0</v>
      </c>
      <c r="I822" t="n">
        <v>0</v>
      </c>
      <c r="J822" t="n">
        <v>0</v>
      </c>
      <c r="K822" t="n">
        <v>0</v>
      </c>
      <c r="L822" t="n">
        <v>0</v>
      </c>
      <c r="M822" t="n">
        <v>0</v>
      </c>
      <c r="N822" t="n">
        <v>0</v>
      </c>
      <c r="O822" t="n">
        <v>0</v>
      </c>
      <c r="P822" t="n">
        <v>0</v>
      </c>
      <c r="Q822" t="n">
        <v>0</v>
      </c>
      <c r="R822" s="2" t="inlineStr"/>
    </row>
    <row r="823" ht="15" customHeight="1">
      <c r="A823" t="inlineStr">
        <is>
          <t>A 8747-2022</t>
        </is>
      </c>
      <c r="B823" s="1" t="n">
        <v>44614</v>
      </c>
      <c r="C823" s="1" t="n">
        <v>45713</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9480-2022</t>
        </is>
      </c>
      <c r="B824" s="1" t="n">
        <v>44616</v>
      </c>
      <c r="C824" s="1" t="n">
        <v>45713</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9544-2022</t>
        </is>
      </c>
      <c r="B825" s="1" t="n">
        <v>44617</v>
      </c>
      <c r="C825" s="1" t="n">
        <v>45713</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9911-2022</t>
        </is>
      </c>
      <c r="B826" s="1" t="n">
        <v>44620</v>
      </c>
      <c r="C826" s="1" t="n">
        <v>45713</v>
      </c>
      <c r="D826" t="inlineStr">
        <is>
          <t>VÄSTERNORRLANDS LÄN</t>
        </is>
      </c>
      <c r="E826" t="inlineStr">
        <is>
          <t>ÅNGE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9998-2022</t>
        </is>
      </c>
      <c r="B827" s="1" t="n">
        <v>44621</v>
      </c>
      <c r="C827" s="1" t="n">
        <v>45713</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10113-2022</t>
        </is>
      </c>
      <c r="B828" s="1" t="n">
        <v>44621</v>
      </c>
      <c r="C828" s="1" t="n">
        <v>45713</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10313-2022</t>
        </is>
      </c>
      <c r="B829" s="1" t="n">
        <v>44622</v>
      </c>
      <c r="C829" s="1" t="n">
        <v>45713</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10331-2022</t>
        </is>
      </c>
      <c r="B830" s="1" t="n">
        <v>44622</v>
      </c>
      <c r="C830" s="1" t="n">
        <v>45713</v>
      </c>
      <c r="D830" t="inlineStr">
        <is>
          <t>VÄSTERNORRLANDS LÄN</t>
        </is>
      </c>
      <c r="E830" t="inlineStr">
        <is>
          <t>ÅNGE</t>
        </is>
      </c>
      <c r="G830" t="n">
        <v>0.5</v>
      </c>
      <c r="H830" t="n">
        <v>0</v>
      </c>
      <c r="I830" t="n">
        <v>0</v>
      </c>
      <c r="J830" t="n">
        <v>0</v>
      </c>
      <c r="K830" t="n">
        <v>0</v>
      </c>
      <c r="L830" t="n">
        <v>0</v>
      </c>
      <c r="M830" t="n">
        <v>0</v>
      </c>
      <c r="N830" t="n">
        <v>0</v>
      </c>
      <c r="O830" t="n">
        <v>0</v>
      </c>
      <c r="P830" t="n">
        <v>0</v>
      </c>
      <c r="Q830" t="n">
        <v>0</v>
      </c>
      <c r="R830" s="2" t="inlineStr"/>
    </row>
    <row r="831" ht="15" customHeight="1">
      <c r="A831" t="inlineStr">
        <is>
          <t>A 10680-2022</t>
        </is>
      </c>
      <c r="B831" s="1" t="n">
        <v>44624</v>
      </c>
      <c r="C831" s="1" t="n">
        <v>45713</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10686-2022</t>
        </is>
      </c>
      <c r="B832" s="1" t="n">
        <v>44624</v>
      </c>
      <c r="C832" s="1" t="n">
        <v>45713</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10687-2022</t>
        </is>
      </c>
      <c r="B833" s="1" t="n">
        <v>44624</v>
      </c>
      <c r="C833" s="1" t="n">
        <v>45713</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10933-2022</t>
        </is>
      </c>
      <c r="B834" s="1" t="n">
        <v>44627</v>
      </c>
      <c r="C834" s="1" t="n">
        <v>45713</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11098-2022</t>
        </is>
      </c>
      <c r="B835" s="1" t="n">
        <v>44628</v>
      </c>
      <c r="C835" s="1" t="n">
        <v>45713</v>
      </c>
      <c r="D835" t="inlineStr">
        <is>
          <t>VÄSTERNORRLANDS LÄN</t>
        </is>
      </c>
      <c r="E835" t="inlineStr">
        <is>
          <t>ÅNGE</t>
        </is>
      </c>
      <c r="G835" t="n">
        <v>8.9</v>
      </c>
      <c r="H835" t="n">
        <v>0</v>
      </c>
      <c r="I835" t="n">
        <v>0</v>
      </c>
      <c r="J835" t="n">
        <v>0</v>
      </c>
      <c r="K835" t="n">
        <v>0</v>
      </c>
      <c r="L835" t="n">
        <v>0</v>
      </c>
      <c r="M835" t="n">
        <v>0</v>
      </c>
      <c r="N835" t="n">
        <v>0</v>
      </c>
      <c r="O835" t="n">
        <v>0</v>
      </c>
      <c r="P835" t="n">
        <v>0</v>
      </c>
      <c r="Q835" t="n">
        <v>0</v>
      </c>
      <c r="R835" s="2" t="inlineStr"/>
    </row>
    <row r="836" ht="15" customHeight="1">
      <c r="A836" t="inlineStr">
        <is>
          <t>A 11306-2022</t>
        </is>
      </c>
      <c r="B836" s="1" t="n">
        <v>44629</v>
      </c>
      <c r="C836" s="1" t="n">
        <v>45713</v>
      </c>
      <c r="D836" t="inlineStr">
        <is>
          <t>VÄSTERNORRLANDS LÄN</t>
        </is>
      </c>
      <c r="E836" t="inlineStr">
        <is>
          <t>ÅNGE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11843-2022</t>
        </is>
      </c>
      <c r="B837" s="1" t="n">
        <v>44634</v>
      </c>
      <c r="C837" s="1" t="n">
        <v>45713</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45713</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12797-2022</t>
        </is>
      </c>
      <c r="B839" s="1" t="n">
        <v>44641</v>
      </c>
      <c r="C839" s="1" t="n">
        <v>45713</v>
      </c>
      <c r="D839" t="inlineStr">
        <is>
          <t>VÄSTERNORRLANDS LÄN</t>
        </is>
      </c>
      <c r="E839" t="inlineStr">
        <is>
          <t>ÅNGE</t>
        </is>
      </c>
      <c r="G839" t="n">
        <v>7.1</v>
      </c>
      <c r="H839" t="n">
        <v>0</v>
      </c>
      <c r="I839" t="n">
        <v>0</v>
      </c>
      <c r="J839" t="n">
        <v>0</v>
      </c>
      <c r="K839" t="n">
        <v>0</v>
      </c>
      <c r="L839" t="n">
        <v>0</v>
      </c>
      <c r="M839" t="n">
        <v>0</v>
      </c>
      <c r="N839" t="n">
        <v>0</v>
      </c>
      <c r="O839" t="n">
        <v>0</v>
      </c>
      <c r="P839" t="n">
        <v>0</v>
      </c>
      <c r="Q839" t="n">
        <v>0</v>
      </c>
      <c r="R839" s="2" t="inlineStr"/>
    </row>
    <row r="840" ht="15" customHeight="1">
      <c r="A840" t="inlineStr">
        <is>
          <t>A 12948-2022</t>
        </is>
      </c>
      <c r="B840" s="1" t="n">
        <v>44642</v>
      </c>
      <c r="C840" s="1" t="n">
        <v>45713</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13164-2022</t>
        </is>
      </c>
      <c r="B841" s="1" t="n">
        <v>44644</v>
      </c>
      <c r="C841" s="1" t="n">
        <v>45713</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13628-2022</t>
        </is>
      </c>
      <c r="B842" s="1" t="n">
        <v>44648</v>
      </c>
      <c r="C842" s="1" t="n">
        <v>45713</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13648-2022</t>
        </is>
      </c>
      <c r="B843" s="1" t="n">
        <v>44648</v>
      </c>
      <c r="C843" s="1" t="n">
        <v>45713</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13641-2022</t>
        </is>
      </c>
      <c r="B844" s="1" t="n">
        <v>44648</v>
      </c>
      <c r="C844" s="1" t="n">
        <v>45713</v>
      </c>
      <c r="D844" t="inlineStr">
        <is>
          <t>VÄSTERNORRLANDS LÄN</t>
        </is>
      </c>
      <c r="E844" t="inlineStr">
        <is>
          <t>ÅNGE</t>
        </is>
      </c>
      <c r="G844" t="n">
        <v>4.9</v>
      </c>
      <c r="H844" t="n">
        <v>0</v>
      </c>
      <c r="I844" t="n">
        <v>0</v>
      </c>
      <c r="J844" t="n">
        <v>0</v>
      </c>
      <c r="K844" t="n">
        <v>0</v>
      </c>
      <c r="L844" t="n">
        <v>0</v>
      </c>
      <c r="M844" t="n">
        <v>0</v>
      </c>
      <c r="N844" t="n">
        <v>0</v>
      </c>
      <c r="O844" t="n">
        <v>0</v>
      </c>
      <c r="P844" t="n">
        <v>0</v>
      </c>
      <c r="Q844" t="n">
        <v>0</v>
      </c>
      <c r="R844" s="2" t="inlineStr"/>
    </row>
    <row r="845" ht="15" customHeight="1">
      <c r="A845" t="inlineStr">
        <is>
          <t>A 13680-2022</t>
        </is>
      </c>
      <c r="B845" s="1" t="n">
        <v>44648</v>
      </c>
      <c r="C845" s="1" t="n">
        <v>45713</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13872-2022</t>
        </is>
      </c>
      <c r="B846" s="1" t="n">
        <v>44650</v>
      </c>
      <c r="C846" s="1" t="n">
        <v>45713</v>
      </c>
      <c r="D846" t="inlineStr">
        <is>
          <t>VÄSTERNORRLANDS LÄN</t>
        </is>
      </c>
      <c r="E846" t="inlineStr">
        <is>
          <t>ÅNGE</t>
        </is>
      </c>
      <c r="G846" t="n">
        <v>10.3</v>
      </c>
      <c r="H846" t="n">
        <v>0</v>
      </c>
      <c r="I846" t="n">
        <v>0</v>
      </c>
      <c r="J846" t="n">
        <v>0</v>
      </c>
      <c r="K846" t="n">
        <v>0</v>
      </c>
      <c r="L846" t="n">
        <v>0</v>
      </c>
      <c r="M846" t="n">
        <v>0</v>
      </c>
      <c r="N846" t="n">
        <v>0</v>
      </c>
      <c r="O846" t="n">
        <v>0</v>
      </c>
      <c r="P846" t="n">
        <v>0</v>
      </c>
      <c r="Q846" t="n">
        <v>0</v>
      </c>
      <c r="R846" s="2" t="inlineStr"/>
    </row>
    <row r="847" ht="15" customHeight="1">
      <c r="A847" t="inlineStr">
        <is>
          <t>A 13874-2022</t>
        </is>
      </c>
      <c r="B847" s="1" t="n">
        <v>44649</v>
      </c>
      <c r="C847" s="1" t="n">
        <v>45713</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13875-2022</t>
        </is>
      </c>
      <c r="B848" s="1" t="n">
        <v>44649</v>
      </c>
      <c r="C848" s="1" t="n">
        <v>45713</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14091-2022</t>
        </is>
      </c>
      <c r="B849" s="1" t="n">
        <v>44651</v>
      </c>
      <c r="C849" s="1" t="n">
        <v>45713</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14097-2022</t>
        </is>
      </c>
      <c r="B850" s="1" t="n">
        <v>44651</v>
      </c>
      <c r="C850" s="1" t="n">
        <v>45713</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14084-2022</t>
        </is>
      </c>
      <c r="B851" s="1" t="n">
        <v>44651</v>
      </c>
      <c r="C851" s="1" t="n">
        <v>45713</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14433-2022</t>
        </is>
      </c>
      <c r="B852" s="1" t="n">
        <v>44652</v>
      </c>
      <c r="C852" s="1" t="n">
        <v>45713</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14813-2022</t>
        </is>
      </c>
      <c r="B853" s="1" t="n">
        <v>44656</v>
      </c>
      <c r="C853" s="1" t="n">
        <v>45713</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45713</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14885-2022</t>
        </is>
      </c>
      <c r="B855" s="1" t="n">
        <v>44656</v>
      </c>
      <c r="C855" s="1" t="n">
        <v>45713</v>
      </c>
      <c r="D855" t="inlineStr">
        <is>
          <t>VÄSTERNORRLANDS LÄN</t>
        </is>
      </c>
      <c r="E855" t="inlineStr">
        <is>
          <t>ÅNGE</t>
        </is>
      </c>
      <c r="G855" t="n">
        <v>4</v>
      </c>
      <c r="H855" t="n">
        <v>0</v>
      </c>
      <c r="I855" t="n">
        <v>0</v>
      </c>
      <c r="J855" t="n">
        <v>0</v>
      </c>
      <c r="K855" t="n">
        <v>0</v>
      </c>
      <c r="L855" t="n">
        <v>0</v>
      </c>
      <c r="M855" t="n">
        <v>0</v>
      </c>
      <c r="N855" t="n">
        <v>0</v>
      </c>
      <c r="O855" t="n">
        <v>0</v>
      </c>
      <c r="P855" t="n">
        <v>0</v>
      </c>
      <c r="Q855" t="n">
        <v>0</v>
      </c>
      <c r="R855" s="2" t="inlineStr"/>
    </row>
    <row r="856" ht="15" customHeight="1">
      <c r="A856" t="inlineStr">
        <is>
          <t>A 14889-2022</t>
        </is>
      </c>
      <c r="B856" s="1" t="n">
        <v>44656</v>
      </c>
      <c r="C856" s="1" t="n">
        <v>45713</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14949-2022</t>
        </is>
      </c>
      <c r="B857" s="1" t="n">
        <v>44657</v>
      </c>
      <c r="C857" s="1" t="n">
        <v>45713</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15863-2022</t>
        </is>
      </c>
      <c r="B858" s="1" t="n">
        <v>44664</v>
      </c>
      <c r="C858" s="1" t="n">
        <v>45713</v>
      </c>
      <c r="D858" t="inlineStr">
        <is>
          <t>VÄSTERNORRLANDS LÄN</t>
        </is>
      </c>
      <c r="E858" t="inlineStr">
        <is>
          <t>ÅNGE</t>
        </is>
      </c>
      <c r="G858" t="n">
        <v>3.6</v>
      </c>
      <c r="H858" t="n">
        <v>0</v>
      </c>
      <c r="I858" t="n">
        <v>0</v>
      </c>
      <c r="J858" t="n">
        <v>0</v>
      </c>
      <c r="K858" t="n">
        <v>0</v>
      </c>
      <c r="L858" t="n">
        <v>0</v>
      </c>
      <c r="M858" t="n">
        <v>0</v>
      </c>
      <c r="N858" t="n">
        <v>0</v>
      </c>
      <c r="O858" t="n">
        <v>0</v>
      </c>
      <c r="P858" t="n">
        <v>0</v>
      </c>
      <c r="Q858" t="n">
        <v>0</v>
      </c>
      <c r="R858" s="2" t="inlineStr"/>
    </row>
    <row r="859" ht="15" customHeight="1">
      <c r="A859" t="inlineStr">
        <is>
          <t>A 16038-2022</t>
        </is>
      </c>
      <c r="B859" s="1" t="n">
        <v>44665</v>
      </c>
      <c r="C859" s="1" t="n">
        <v>45713</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16058-2022</t>
        </is>
      </c>
      <c r="B860" s="1" t="n">
        <v>44665</v>
      </c>
      <c r="C860" s="1" t="n">
        <v>45713</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17047-2022</t>
        </is>
      </c>
      <c r="B861" s="1" t="n">
        <v>44677</v>
      </c>
      <c r="C861" s="1" t="n">
        <v>45713</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17044-2022</t>
        </is>
      </c>
      <c r="B862" s="1" t="n">
        <v>44676</v>
      </c>
      <c r="C862" s="1" t="n">
        <v>45713</v>
      </c>
      <c r="D862" t="inlineStr">
        <is>
          <t>VÄSTERNORRLANDS LÄN</t>
        </is>
      </c>
      <c r="E862" t="inlineStr">
        <is>
          <t>ÅNGE</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17144-2022</t>
        </is>
      </c>
      <c r="B863" s="1" t="n">
        <v>44677</v>
      </c>
      <c r="C863" s="1" t="n">
        <v>45713</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17210-2022</t>
        </is>
      </c>
      <c r="B864" s="1" t="n">
        <v>44678</v>
      </c>
      <c r="C864" s="1" t="n">
        <v>45713</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17220-2022</t>
        </is>
      </c>
      <c r="B865" s="1" t="n">
        <v>44678</v>
      </c>
      <c r="C865" s="1" t="n">
        <v>45713</v>
      </c>
      <c r="D865" t="inlineStr">
        <is>
          <t>VÄSTERNORRLANDS LÄN</t>
        </is>
      </c>
      <c r="E865" t="inlineStr">
        <is>
          <t>ÅNGE</t>
        </is>
      </c>
      <c r="F865" t="inlineStr">
        <is>
          <t>SCA</t>
        </is>
      </c>
      <c r="G865" t="n">
        <v>19.7</v>
      </c>
      <c r="H865" t="n">
        <v>0</v>
      </c>
      <c r="I865" t="n">
        <v>0</v>
      </c>
      <c r="J865" t="n">
        <v>0</v>
      </c>
      <c r="K865" t="n">
        <v>0</v>
      </c>
      <c r="L865" t="n">
        <v>0</v>
      </c>
      <c r="M865" t="n">
        <v>0</v>
      </c>
      <c r="N865" t="n">
        <v>0</v>
      </c>
      <c r="O865" t="n">
        <v>0</v>
      </c>
      <c r="P865" t="n">
        <v>0</v>
      </c>
      <c r="Q865" t="n">
        <v>0</v>
      </c>
      <c r="R865" s="2" t="inlineStr"/>
    </row>
    <row r="866" ht="15" customHeight="1">
      <c r="A866" t="inlineStr">
        <is>
          <t>A 17242-2022</t>
        </is>
      </c>
      <c r="B866" s="1" t="n">
        <v>44679</v>
      </c>
      <c r="C866" s="1" t="n">
        <v>45713</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17580-2022</t>
        </is>
      </c>
      <c r="B867" s="1" t="n">
        <v>44679</v>
      </c>
      <c r="C867" s="1" t="n">
        <v>45713</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18020-2022</t>
        </is>
      </c>
      <c r="B868" s="1" t="n">
        <v>44684</v>
      </c>
      <c r="C868" s="1" t="n">
        <v>45713</v>
      </c>
      <c r="D868" t="inlineStr">
        <is>
          <t>VÄSTERNORRLANDS LÄN</t>
        </is>
      </c>
      <c r="E868" t="inlineStr">
        <is>
          <t>ÅNGE</t>
        </is>
      </c>
      <c r="F868" t="inlineStr">
        <is>
          <t>SCA</t>
        </is>
      </c>
      <c r="G868" t="n">
        <v>28.8</v>
      </c>
      <c r="H868" t="n">
        <v>0</v>
      </c>
      <c r="I868" t="n">
        <v>0</v>
      </c>
      <c r="J868" t="n">
        <v>0</v>
      </c>
      <c r="K868" t="n">
        <v>0</v>
      </c>
      <c r="L868" t="n">
        <v>0</v>
      </c>
      <c r="M868" t="n">
        <v>0</v>
      </c>
      <c r="N868" t="n">
        <v>0</v>
      </c>
      <c r="O868" t="n">
        <v>0</v>
      </c>
      <c r="P868" t="n">
        <v>0</v>
      </c>
      <c r="Q868" t="n">
        <v>0</v>
      </c>
      <c r="R868" s="2" t="inlineStr"/>
    </row>
    <row r="869" ht="15" customHeight="1">
      <c r="A869" t="inlineStr">
        <is>
          <t>A 18024-2022</t>
        </is>
      </c>
      <c r="B869" s="1" t="n">
        <v>44684</v>
      </c>
      <c r="C869" s="1" t="n">
        <v>45713</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17963-2022</t>
        </is>
      </c>
      <c r="B870" s="1" t="n">
        <v>44683</v>
      </c>
      <c r="C870" s="1" t="n">
        <v>45713</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18562-2022</t>
        </is>
      </c>
      <c r="B871" s="1" t="n">
        <v>44686</v>
      </c>
      <c r="C871" s="1" t="n">
        <v>45713</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18542-2022</t>
        </is>
      </c>
      <c r="B872" s="1" t="n">
        <v>44686</v>
      </c>
      <c r="C872" s="1" t="n">
        <v>45713</v>
      </c>
      <c r="D872" t="inlineStr">
        <is>
          <t>VÄSTERNORRLANDS LÄN</t>
        </is>
      </c>
      <c r="E872" t="inlineStr">
        <is>
          <t>ÅNGE</t>
        </is>
      </c>
      <c r="G872" t="n">
        <v>0.2</v>
      </c>
      <c r="H872" t="n">
        <v>0</v>
      </c>
      <c r="I872" t="n">
        <v>0</v>
      </c>
      <c r="J872" t="n">
        <v>0</v>
      </c>
      <c r="K872" t="n">
        <v>0</v>
      </c>
      <c r="L872" t="n">
        <v>0</v>
      </c>
      <c r="M872" t="n">
        <v>0</v>
      </c>
      <c r="N872" t="n">
        <v>0</v>
      </c>
      <c r="O872" t="n">
        <v>0</v>
      </c>
      <c r="P872" t="n">
        <v>0</v>
      </c>
      <c r="Q872" t="n">
        <v>0</v>
      </c>
      <c r="R872" s="2" t="inlineStr"/>
    </row>
    <row r="873" ht="15" customHeight="1">
      <c r="A873" t="inlineStr">
        <is>
          <t>A 18989-2022</t>
        </is>
      </c>
      <c r="B873" s="1" t="n">
        <v>44690</v>
      </c>
      <c r="C873" s="1" t="n">
        <v>45713</v>
      </c>
      <c r="D873" t="inlineStr">
        <is>
          <t>VÄSTERNORRLANDS LÄN</t>
        </is>
      </c>
      <c r="E873" t="inlineStr">
        <is>
          <t>ÅNGE</t>
        </is>
      </c>
      <c r="F873" t="inlineStr">
        <is>
          <t>SCA</t>
        </is>
      </c>
      <c r="G873" t="n">
        <v>37.8</v>
      </c>
      <c r="H873" t="n">
        <v>0</v>
      </c>
      <c r="I873" t="n">
        <v>0</v>
      </c>
      <c r="J873" t="n">
        <v>0</v>
      </c>
      <c r="K873" t="n">
        <v>0</v>
      </c>
      <c r="L873" t="n">
        <v>0</v>
      </c>
      <c r="M873" t="n">
        <v>0</v>
      </c>
      <c r="N873" t="n">
        <v>0</v>
      </c>
      <c r="O873" t="n">
        <v>0</v>
      </c>
      <c r="P873" t="n">
        <v>0</v>
      </c>
      <c r="Q873" t="n">
        <v>0</v>
      </c>
      <c r="R873" s="2" t="inlineStr"/>
      <c r="U873">
        <f>HYPERLINK("https://klasma.github.io/Logging_2260/knärot/A 18989-2022 karta knärot.png", "A 18989-2022")</f>
        <v/>
      </c>
      <c r="V873">
        <f>HYPERLINK("https://klasma.github.io/Logging_2260/klagomål/A 18989-2022 FSC-klagomål.docx", "A 18989-2022")</f>
        <v/>
      </c>
      <c r="W873">
        <f>HYPERLINK("https://klasma.github.io/Logging_2260/klagomålsmail/A 18989-2022 FSC-klagomål mail.docx", "A 18989-2022")</f>
        <v/>
      </c>
      <c r="X873">
        <f>HYPERLINK("https://klasma.github.io/Logging_2260/tillsyn/A 18989-2022 tillsynsbegäran.docx", "A 18989-2022")</f>
        <v/>
      </c>
      <c r="Y873">
        <f>HYPERLINK("https://klasma.github.io/Logging_2260/tillsynsmail/A 18989-2022 tillsynsbegäran mail.docx", "A 18989-2022")</f>
        <v/>
      </c>
    </row>
    <row r="874" ht="15" customHeight="1">
      <c r="A874" t="inlineStr">
        <is>
          <t>A 19166-2022</t>
        </is>
      </c>
      <c r="B874" s="1" t="n">
        <v>44691</v>
      </c>
      <c r="C874" s="1" t="n">
        <v>45713</v>
      </c>
      <c r="D874" t="inlineStr">
        <is>
          <t>VÄSTERNORRLANDS LÄN</t>
        </is>
      </c>
      <c r="E874" t="inlineStr">
        <is>
          <t>ÅNGE</t>
        </is>
      </c>
      <c r="F874" t="inlineStr">
        <is>
          <t>Holmen skog AB</t>
        </is>
      </c>
      <c r="G874" t="n">
        <v>5.4</v>
      </c>
      <c r="H874" t="n">
        <v>0</v>
      </c>
      <c r="I874" t="n">
        <v>0</v>
      </c>
      <c r="J874" t="n">
        <v>0</v>
      </c>
      <c r="K874" t="n">
        <v>0</v>
      </c>
      <c r="L874" t="n">
        <v>0</v>
      </c>
      <c r="M874" t="n">
        <v>0</v>
      </c>
      <c r="N874" t="n">
        <v>0</v>
      </c>
      <c r="O874" t="n">
        <v>0</v>
      </c>
      <c r="P874" t="n">
        <v>0</v>
      </c>
      <c r="Q874" t="n">
        <v>0</v>
      </c>
      <c r="R874" s="2" t="inlineStr"/>
    </row>
    <row r="875" ht="15" customHeight="1">
      <c r="A875" t="inlineStr">
        <is>
          <t>A 19035-2022</t>
        </is>
      </c>
      <c r="B875" s="1" t="n">
        <v>44691</v>
      </c>
      <c r="C875" s="1" t="n">
        <v>45713</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19236-2022</t>
        </is>
      </c>
      <c r="B876" s="1" t="n">
        <v>44692</v>
      </c>
      <c r="C876" s="1" t="n">
        <v>45713</v>
      </c>
      <c r="D876" t="inlineStr">
        <is>
          <t>VÄSTERNORRLANDS LÄN</t>
        </is>
      </c>
      <c r="E876" t="inlineStr">
        <is>
          <t>ÅNGE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19592-2022</t>
        </is>
      </c>
      <c r="B877" s="1" t="n">
        <v>44694</v>
      </c>
      <c r="C877" s="1" t="n">
        <v>45713</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20231-2022</t>
        </is>
      </c>
      <c r="B878" s="1" t="n">
        <v>44698</v>
      </c>
      <c r="C878" s="1" t="n">
        <v>45713</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20229-2022</t>
        </is>
      </c>
      <c r="B879" s="1" t="n">
        <v>44698</v>
      </c>
      <c r="C879" s="1" t="n">
        <v>45713</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20369-2022</t>
        </is>
      </c>
      <c r="B880" s="1" t="n">
        <v>44699</v>
      </c>
      <c r="C880" s="1" t="n">
        <v>45713</v>
      </c>
      <c r="D880" t="inlineStr">
        <is>
          <t>VÄSTERNORRLANDS LÄN</t>
        </is>
      </c>
      <c r="E880" t="inlineStr">
        <is>
          <t>ÅNGE</t>
        </is>
      </c>
      <c r="G880" t="n">
        <v>5.5</v>
      </c>
      <c r="H880" t="n">
        <v>0</v>
      </c>
      <c r="I880" t="n">
        <v>0</v>
      </c>
      <c r="J880" t="n">
        <v>0</v>
      </c>
      <c r="K880" t="n">
        <v>0</v>
      </c>
      <c r="L880" t="n">
        <v>0</v>
      </c>
      <c r="M880" t="n">
        <v>0</v>
      </c>
      <c r="N880" t="n">
        <v>0</v>
      </c>
      <c r="O880" t="n">
        <v>0</v>
      </c>
      <c r="P880" t="n">
        <v>0</v>
      </c>
      <c r="Q880" t="n">
        <v>0</v>
      </c>
      <c r="R880" s="2" t="inlineStr"/>
    </row>
    <row r="881" ht="15" customHeight="1">
      <c r="A881" t="inlineStr">
        <is>
          <t>A 20393-2022</t>
        </is>
      </c>
      <c r="B881" s="1" t="n">
        <v>44699</v>
      </c>
      <c r="C881" s="1" t="n">
        <v>45713</v>
      </c>
      <c r="D881" t="inlineStr">
        <is>
          <t>VÄSTERNORRLANDS LÄN</t>
        </is>
      </c>
      <c r="E881" t="inlineStr">
        <is>
          <t>ÅNGE</t>
        </is>
      </c>
      <c r="G881" t="n">
        <v>6.9</v>
      </c>
      <c r="H881" t="n">
        <v>0</v>
      </c>
      <c r="I881" t="n">
        <v>0</v>
      </c>
      <c r="J881" t="n">
        <v>0</v>
      </c>
      <c r="K881" t="n">
        <v>0</v>
      </c>
      <c r="L881" t="n">
        <v>0</v>
      </c>
      <c r="M881" t="n">
        <v>0</v>
      </c>
      <c r="N881" t="n">
        <v>0</v>
      </c>
      <c r="O881" t="n">
        <v>0</v>
      </c>
      <c r="P881" t="n">
        <v>0</v>
      </c>
      <c r="Q881" t="n">
        <v>0</v>
      </c>
      <c r="R881" s="2" t="inlineStr"/>
    </row>
    <row r="882" ht="15" customHeight="1">
      <c r="A882" t="inlineStr">
        <is>
          <t>A 20943-2022</t>
        </is>
      </c>
      <c r="B882" s="1" t="n">
        <v>44701</v>
      </c>
      <c r="C882" s="1" t="n">
        <v>45713</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21412-2022</t>
        </is>
      </c>
      <c r="B883" s="1" t="n">
        <v>44705</v>
      </c>
      <c r="C883" s="1" t="n">
        <v>45713</v>
      </c>
      <c r="D883" t="inlineStr">
        <is>
          <t>VÄSTERNORRLANDS LÄN</t>
        </is>
      </c>
      <c r="E883" t="inlineStr">
        <is>
          <t>ÅNGE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21406-2022</t>
        </is>
      </c>
      <c r="B884" s="1" t="n">
        <v>44706</v>
      </c>
      <c r="C884" s="1" t="n">
        <v>45713</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21409-2022</t>
        </is>
      </c>
      <c r="B885" s="1" t="n">
        <v>44706</v>
      </c>
      <c r="C885" s="1" t="n">
        <v>45713</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21740-2022</t>
        </is>
      </c>
      <c r="B886" s="1" t="n">
        <v>44708</v>
      </c>
      <c r="C886" s="1" t="n">
        <v>45713</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21744-2022</t>
        </is>
      </c>
      <c r="B887" s="1" t="n">
        <v>44708</v>
      </c>
      <c r="C887" s="1" t="n">
        <v>45713</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23999-2022</t>
        </is>
      </c>
      <c r="B888" s="1" t="n">
        <v>44723</v>
      </c>
      <c r="C888" s="1" t="n">
        <v>45713</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24324-2022</t>
        </is>
      </c>
      <c r="B889" s="1" t="n">
        <v>44726</v>
      </c>
      <c r="C889" s="1" t="n">
        <v>45713</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24325-2022</t>
        </is>
      </c>
      <c r="B890" s="1" t="n">
        <v>44726</v>
      </c>
      <c r="C890" s="1" t="n">
        <v>45713</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24355-2022</t>
        </is>
      </c>
      <c r="B891" s="1" t="n">
        <v>44726</v>
      </c>
      <c r="C891" s="1" t="n">
        <v>45713</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24353-2022</t>
        </is>
      </c>
      <c r="B892" s="1" t="n">
        <v>44726</v>
      </c>
      <c r="C892" s="1" t="n">
        <v>45713</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24527-2022</t>
        </is>
      </c>
      <c r="B893" s="1" t="n">
        <v>44726</v>
      </c>
      <c r="C893" s="1" t="n">
        <v>45713</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25023-2022</t>
        </is>
      </c>
      <c r="B894" s="1" t="n">
        <v>44728</v>
      </c>
      <c r="C894" s="1" t="n">
        <v>45713</v>
      </c>
      <c r="D894" t="inlineStr">
        <is>
          <t>VÄSTERNORRLANDS LÄN</t>
        </is>
      </c>
      <c r="E894" t="inlineStr">
        <is>
          <t>ÅNGE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25903-2022</t>
        </is>
      </c>
      <c r="B895" s="1" t="n">
        <v>44733</v>
      </c>
      <c r="C895" s="1" t="n">
        <v>45713</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25900-2022</t>
        </is>
      </c>
      <c r="B896" s="1" t="n">
        <v>44734</v>
      </c>
      <c r="C896" s="1" t="n">
        <v>45713</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25973-2022</t>
        </is>
      </c>
      <c r="B897" s="1" t="n">
        <v>44734</v>
      </c>
      <c r="C897" s="1" t="n">
        <v>45713</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26489-2022</t>
        </is>
      </c>
      <c r="B898" s="1" t="n">
        <v>44739</v>
      </c>
      <c r="C898" s="1" t="n">
        <v>45713</v>
      </c>
      <c r="D898" t="inlineStr">
        <is>
          <t>VÄSTERNORRLANDS LÄN</t>
        </is>
      </c>
      <c r="E898" t="inlineStr">
        <is>
          <t>ÅNGE</t>
        </is>
      </c>
      <c r="F898" t="inlineStr">
        <is>
          <t>Sveaskog</t>
        </is>
      </c>
      <c r="G898" t="n">
        <v>18.5</v>
      </c>
      <c r="H898" t="n">
        <v>0</v>
      </c>
      <c r="I898" t="n">
        <v>0</v>
      </c>
      <c r="J898" t="n">
        <v>0</v>
      </c>
      <c r="K898" t="n">
        <v>0</v>
      </c>
      <c r="L898" t="n">
        <v>0</v>
      </c>
      <c r="M898" t="n">
        <v>0</v>
      </c>
      <c r="N898" t="n">
        <v>0</v>
      </c>
      <c r="O898" t="n">
        <v>0</v>
      </c>
      <c r="P898" t="n">
        <v>0</v>
      </c>
      <c r="Q898" t="n">
        <v>0</v>
      </c>
      <c r="R898" s="2" t="inlineStr"/>
    </row>
    <row r="899" ht="15" customHeight="1">
      <c r="A899" t="inlineStr">
        <is>
          <t>A 26676-2022</t>
        </is>
      </c>
      <c r="B899" s="1" t="n">
        <v>44739</v>
      </c>
      <c r="C899" s="1" t="n">
        <v>45713</v>
      </c>
      <c r="D899" t="inlineStr">
        <is>
          <t>VÄSTERNORRLANDS LÄN</t>
        </is>
      </c>
      <c r="E899" t="inlineStr">
        <is>
          <t>ÅNGE</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26498-2022</t>
        </is>
      </c>
      <c r="B900" s="1" t="n">
        <v>44739</v>
      </c>
      <c r="C900" s="1" t="n">
        <v>45713</v>
      </c>
      <c r="D900" t="inlineStr">
        <is>
          <t>VÄSTERNORRLANDS LÄN</t>
        </is>
      </c>
      <c r="E900" t="inlineStr">
        <is>
          <t>ÅNGE</t>
        </is>
      </c>
      <c r="F900" t="inlineStr">
        <is>
          <t>Sveaskog</t>
        </is>
      </c>
      <c r="G900" t="n">
        <v>6.9</v>
      </c>
      <c r="H900" t="n">
        <v>0</v>
      </c>
      <c r="I900" t="n">
        <v>0</v>
      </c>
      <c r="J900" t="n">
        <v>0</v>
      </c>
      <c r="K900" t="n">
        <v>0</v>
      </c>
      <c r="L900" t="n">
        <v>0</v>
      </c>
      <c r="M900" t="n">
        <v>0</v>
      </c>
      <c r="N900" t="n">
        <v>0</v>
      </c>
      <c r="O900" t="n">
        <v>0</v>
      </c>
      <c r="P900" t="n">
        <v>0</v>
      </c>
      <c r="Q900" t="n">
        <v>0</v>
      </c>
      <c r="R900" s="2" t="inlineStr"/>
    </row>
    <row r="901" ht="15" customHeight="1">
      <c r="A901" t="inlineStr">
        <is>
          <t>A 27357-2022</t>
        </is>
      </c>
      <c r="B901" s="1" t="n">
        <v>44742</v>
      </c>
      <c r="C901" s="1" t="n">
        <v>45713</v>
      </c>
      <c r="D901" t="inlineStr">
        <is>
          <t>VÄSTERNORRLANDS LÄN</t>
        </is>
      </c>
      <c r="E901" t="inlineStr">
        <is>
          <t>ÅNGE</t>
        </is>
      </c>
      <c r="F901" t="inlineStr">
        <is>
          <t>Holmen skog AB</t>
        </is>
      </c>
      <c r="G901" t="n">
        <v>8</v>
      </c>
      <c r="H901" t="n">
        <v>0</v>
      </c>
      <c r="I901" t="n">
        <v>0</v>
      </c>
      <c r="J901" t="n">
        <v>0</v>
      </c>
      <c r="K901" t="n">
        <v>0</v>
      </c>
      <c r="L901" t="n">
        <v>0</v>
      </c>
      <c r="M901" t="n">
        <v>0</v>
      </c>
      <c r="N901" t="n">
        <v>0</v>
      </c>
      <c r="O901" t="n">
        <v>0</v>
      </c>
      <c r="P901" t="n">
        <v>0</v>
      </c>
      <c r="Q901" t="n">
        <v>0</v>
      </c>
      <c r="R901" s="2" t="inlineStr"/>
    </row>
    <row r="902" ht="15" customHeight="1">
      <c r="A902" t="inlineStr">
        <is>
          <t>A 27588-2022</t>
        </is>
      </c>
      <c r="B902" s="1" t="n">
        <v>44743</v>
      </c>
      <c r="C902" s="1" t="n">
        <v>45713</v>
      </c>
      <c r="D902" t="inlineStr">
        <is>
          <t>VÄSTERNORRLANDS LÄN</t>
        </is>
      </c>
      <c r="E902" t="inlineStr">
        <is>
          <t>ÅNGE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29221-2022</t>
        </is>
      </c>
      <c r="B903" s="1" t="n">
        <v>44750</v>
      </c>
      <c r="C903" s="1" t="n">
        <v>45713</v>
      </c>
      <c r="D903" t="inlineStr">
        <is>
          <t>VÄSTERNORRLANDS LÄN</t>
        </is>
      </c>
      <c r="E903" t="inlineStr">
        <is>
          <t>ÅNGE</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29216-2022</t>
        </is>
      </c>
      <c r="B904" s="1" t="n">
        <v>44750</v>
      </c>
      <c r="C904" s="1" t="n">
        <v>45713</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29500-2022</t>
        </is>
      </c>
      <c r="B905" s="1" t="n">
        <v>44753</v>
      </c>
      <c r="C905" s="1" t="n">
        <v>45713</v>
      </c>
      <c r="D905" t="inlineStr">
        <is>
          <t>VÄSTERNORRLANDS LÄN</t>
        </is>
      </c>
      <c r="E905" t="inlineStr">
        <is>
          <t>ÅNGE</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29824-2022</t>
        </is>
      </c>
      <c r="B906" s="1" t="n">
        <v>44756</v>
      </c>
      <c r="C906" s="1" t="n">
        <v>45713</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29831-2022</t>
        </is>
      </c>
      <c r="B907" s="1" t="n">
        <v>44756</v>
      </c>
      <c r="C907" s="1" t="n">
        <v>45713</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29832-2022</t>
        </is>
      </c>
      <c r="B908" s="1" t="n">
        <v>44756</v>
      </c>
      <c r="C908" s="1" t="n">
        <v>45713</v>
      </c>
      <c r="D908" t="inlineStr">
        <is>
          <t>VÄSTERNORRLANDS LÄN</t>
        </is>
      </c>
      <c r="E908" t="inlineStr">
        <is>
          <t>ÅNGE</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30221-2022</t>
        </is>
      </c>
      <c r="B909" s="1" t="n">
        <v>44757</v>
      </c>
      <c r="C909" s="1" t="n">
        <v>45713</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30358-2022</t>
        </is>
      </c>
      <c r="B910" s="1" t="n">
        <v>44760</v>
      </c>
      <c r="C910" s="1" t="n">
        <v>45713</v>
      </c>
      <c r="D910" t="inlineStr">
        <is>
          <t>VÄSTERNORRLANDS LÄN</t>
        </is>
      </c>
      <c r="E910" t="inlineStr">
        <is>
          <t>ÅNGE</t>
        </is>
      </c>
      <c r="G910" t="n">
        <v>3.8</v>
      </c>
      <c r="H910" t="n">
        <v>0</v>
      </c>
      <c r="I910" t="n">
        <v>0</v>
      </c>
      <c r="J910" t="n">
        <v>0</v>
      </c>
      <c r="K910" t="n">
        <v>0</v>
      </c>
      <c r="L910" t="n">
        <v>0</v>
      </c>
      <c r="M910" t="n">
        <v>0</v>
      </c>
      <c r="N910" t="n">
        <v>0</v>
      </c>
      <c r="O910" t="n">
        <v>0</v>
      </c>
      <c r="P910" t="n">
        <v>0</v>
      </c>
      <c r="Q910" t="n">
        <v>0</v>
      </c>
      <c r="R910" s="2" t="inlineStr"/>
    </row>
    <row r="911" ht="15" customHeight="1">
      <c r="A911" t="inlineStr">
        <is>
          <t>A 30495-2022</t>
        </is>
      </c>
      <c r="B911" s="1" t="n">
        <v>44762</v>
      </c>
      <c r="C911" s="1" t="n">
        <v>45713</v>
      </c>
      <c r="D911" t="inlineStr">
        <is>
          <t>VÄSTERNORRLANDS LÄN</t>
        </is>
      </c>
      <c r="E911" t="inlineStr">
        <is>
          <t>ÅNGE</t>
        </is>
      </c>
      <c r="F911" t="inlineStr">
        <is>
          <t>SCA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30768-2022</t>
        </is>
      </c>
      <c r="B912" s="1" t="n">
        <v>44764</v>
      </c>
      <c r="C912" s="1" t="n">
        <v>45713</v>
      </c>
      <c r="D912" t="inlineStr">
        <is>
          <t>VÄSTERNORRLANDS LÄN</t>
        </is>
      </c>
      <c r="E912" t="inlineStr">
        <is>
          <t>ÅNGE</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30803-2022</t>
        </is>
      </c>
      <c r="B913" s="1" t="n">
        <v>44764</v>
      </c>
      <c r="C913" s="1" t="n">
        <v>45713</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30804-2022</t>
        </is>
      </c>
      <c r="B914" s="1" t="n">
        <v>44765</v>
      </c>
      <c r="C914" s="1" t="n">
        <v>45713</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31136-2022</t>
        </is>
      </c>
      <c r="B915" s="1" t="n">
        <v>44770</v>
      </c>
      <c r="C915" s="1" t="n">
        <v>45713</v>
      </c>
      <c r="D915" t="inlineStr">
        <is>
          <t>VÄSTERNORRLANDS LÄN</t>
        </is>
      </c>
      <c r="E915" t="inlineStr">
        <is>
          <t>ÅNGE</t>
        </is>
      </c>
      <c r="F915" t="inlineStr">
        <is>
          <t>Övriga Aktiebolag</t>
        </is>
      </c>
      <c r="G915" t="n">
        <v>4.4</v>
      </c>
      <c r="H915" t="n">
        <v>0</v>
      </c>
      <c r="I915" t="n">
        <v>0</v>
      </c>
      <c r="J915" t="n">
        <v>0</v>
      </c>
      <c r="K915" t="n">
        <v>0</v>
      </c>
      <c r="L915" t="n">
        <v>0</v>
      </c>
      <c r="M915" t="n">
        <v>0</v>
      </c>
      <c r="N915" t="n">
        <v>0</v>
      </c>
      <c r="O915" t="n">
        <v>0</v>
      </c>
      <c r="P915" t="n">
        <v>0</v>
      </c>
      <c r="Q915" t="n">
        <v>0</v>
      </c>
      <c r="R915" s="2" t="inlineStr"/>
    </row>
    <row r="916" ht="15" customHeight="1">
      <c r="A916" t="inlineStr">
        <is>
          <t>A 31325-2022</t>
        </is>
      </c>
      <c r="B916" s="1" t="n">
        <v>44774</v>
      </c>
      <c r="C916" s="1" t="n">
        <v>45713</v>
      </c>
      <c r="D916" t="inlineStr">
        <is>
          <t>VÄSTERNORRLANDS LÄN</t>
        </is>
      </c>
      <c r="E916" t="inlineStr">
        <is>
          <t>ÅNGE</t>
        </is>
      </c>
      <c r="G916" t="n">
        <v>6.3</v>
      </c>
      <c r="H916" t="n">
        <v>0</v>
      </c>
      <c r="I916" t="n">
        <v>0</v>
      </c>
      <c r="J916" t="n">
        <v>0</v>
      </c>
      <c r="K916" t="n">
        <v>0</v>
      </c>
      <c r="L916" t="n">
        <v>0</v>
      </c>
      <c r="M916" t="n">
        <v>0</v>
      </c>
      <c r="N916" t="n">
        <v>0</v>
      </c>
      <c r="O916" t="n">
        <v>0</v>
      </c>
      <c r="P916" t="n">
        <v>0</v>
      </c>
      <c r="Q916" t="n">
        <v>0</v>
      </c>
      <c r="R916" s="2" t="inlineStr"/>
    </row>
    <row r="917" ht="15" customHeight="1">
      <c r="A917" t="inlineStr">
        <is>
          <t>A 31366-2022</t>
        </is>
      </c>
      <c r="B917" s="1" t="n">
        <v>44774</v>
      </c>
      <c r="C917" s="1" t="n">
        <v>45713</v>
      </c>
      <c r="D917" t="inlineStr">
        <is>
          <t>VÄSTERNORRLANDS LÄN</t>
        </is>
      </c>
      <c r="E917" t="inlineStr">
        <is>
          <t>ÅNGE</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31368-2022</t>
        </is>
      </c>
      <c r="B918" s="1" t="n">
        <v>44774</v>
      </c>
      <c r="C918" s="1" t="n">
        <v>45713</v>
      </c>
      <c r="D918" t="inlineStr">
        <is>
          <t>VÄSTERNORRLANDS LÄN</t>
        </is>
      </c>
      <c r="E918" t="inlineStr">
        <is>
          <t>ÅNGE</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31647-2022</t>
        </is>
      </c>
      <c r="B919" s="1" t="n">
        <v>44776</v>
      </c>
      <c r="C919" s="1" t="n">
        <v>45713</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31649-2022</t>
        </is>
      </c>
      <c r="B920" s="1" t="n">
        <v>44776</v>
      </c>
      <c r="C920" s="1" t="n">
        <v>45713</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31696-2022</t>
        </is>
      </c>
      <c r="B921" s="1" t="n">
        <v>44776</v>
      </c>
      <c r="C921" s="1" t="n">
        <v>45713</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31845-2022</t>
        </is>
      </c>
      <c r="B922" s="1" t="n">
        <v>44777</v>
      </c>
      <c r="C922" s="1" t="n">
        <v>45713</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32535-2022</t>
        </is>
      </c>
      <c r="B923" s="1" t="n">
        <v>44783</v>
      </c>
      <c r="C923" s="1" t="n">
        <v>45713</v>
      </c>
      <c r="D923" t="inlineStr">
        <is>
          <t>VÄSTERNORRLANDS LÄN</t>
        </is>
      </c>
      <c r="E923" t="inlineStr">
        <is>
          <t>ÅNGE</t>
        </is>
      </c>
      <c r="G923" t="n">
        <v>10.3</v>
      </c>
      <c r="H923" t="n">
        <v>0</v>
      </c>
      <c r="I923" t="n">
        <v>0</v>
      </c>
      <c r="J923" t="n">
        <v>0</v>
      </c>
      <c r="K923" t="n">
        <v>0</v>
      </c>
      <c r="L923" t="n">
        <v>0</v>
      </c>
      <c r="M923" t="n">
        <v>0</v>
      </c>
      <c r="N923" t="n">
        <v>0</v>
      </c>
      <c r="O923" t="n">
        <v>0</v>
      </c>
      <c r="P923" t="n">
        <v>0</v>
      </c>
      <c r="Q923" t="n">
        <v>0</v>
      </c>
      <c r="R923" s="2" t="inlineStr"/>
    </row>
    <row r="924" ht="15" customHeight="1">
      <c r="A924" t="inlineStr">
        <is>
          <t>A 32536-2022</t>
        </is>
      </c>
      <c r="B924" s="1" t="n">
        <v>44783</v>
      </c>
      <c r="C924" s="1" t="n">
        <v>45713</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32538-2022</t>
        </is>
      </c>
      <c r="B925" s="1" t="n">
        <v>44783</v>
      </c>
      <c r="C925" s="1" t="n">
        <v>45713</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32631-2022</t>
        </is>
      </c>
      <c r="B926" s="1" t="n">
        <v>44783</v>
      </c>
      <c r="C926" s="1" t="n">
        <v>45713</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32776-2022</t>
        </is>
      </c>
      <c r="B927" s="1" t="n">
        <v>44784</v>
      </c>
      <c r="C927" s="1" t="n">
        <v>45713</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33112-2022</t>
        </is>
      </c>
      <c r="B928" s="1" t="n">
        <v>44785</v>
      </c>
      <c r="C928" s="1" t="n">
        <v>45713</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33062-2022</t>
        </is>
      </c>
      <c r="B929" s="1" t="n">
        <v>44785</v>
      </c>
      <c r="C929" s="1" t="n">
        <v>45713</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33229-2022</t>
        </is>
      </c>
      <c r="B930" s="1" t="n">
        <v>44785</v>
      </c>
      <c r="C930" s="1" t="n">
        <v>45713</v>
      </c>
      <c r="D930" t="inlineStr">
        <is>
          <t>VÄSTERNORRLANDS LÄN</t>
        </is>
      </c>
      <c r="E930" t="inlineStr">
        <is>
          <t>ÅNGE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33274-2022</t>
        </is>
      </c>
      <c r="B931" s="1" t="n">
        <v>44788</v>
      </c>
      <c r="C931" s="1" t="n">
        <v>45713</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34091-2022</t>
        </is>
      </c>
      <c r="B932" s="1" t="n">
        <v>44791</v>
      </c>
      <c r="C932" s="1" t="n">
        <v>45713</v>
      </c>
      <c r="D932" t="inlineStr">
        <is>
          <t>VÄSTERNORRLANDS LÄN</t>
        </is>
      </c>
      <c r="E932" t="inlineStr">
        <is>
          <t>ÅNGE</t>
        </is>
      </c>
      <c r="G932" t="n">
        <v>10.1</v>
      </c>
      <c r="H932" t="n">
        <v>0</v>
      </c>
      <c r="I932" t="n">
        <v>0</v>
      </c>
      <c r="J932" t="n">
        <v>0</v>
      </c>
      <c r="K932" t="n">
        <v>0</v>
      </c>
      <c r="L932" t="n">
        <v>0</v>
      </c>
      <c r="M932" t="n">
        <v>0</v>
      </c>
      <c r="N932" t="n">
        <v>0</v>
      </c>
      <c r="O932" t="n">
        <v>0</v>
      </c>
      <c r="P932" t="n">
        <v>0</v>
      </c>
      <c r="Q932" t="n">
        <v>0</v>
      </c>
      <c r="R932" s="2" t="inlineStr"/>
    </row>
    <row r="933" ht="15" customHeight="1">
      <c r="A933" t="inlineStr">
        <is>
          <t>A 35002-2022</t>
        </is>
      </c>
      <c r="B933" s="1" t="n">
        <v>44796</v>
      </c>
      <c r="C933" s="1" t="n">
        <v>45713</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35026-2022</t>
        </is>
      </c>
      <c r="B934" s="1" t="n">
        <v>44796</v>
      </c>
      <c r="C934" s="1" t="n">
        <v>45713</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35283-2022</t>
        </is>
      </c>
      <c r="B935" s="1" t="n">
        <v>44798</v>
      </c>
      <c r="C935" s="1" t="n">
        <v>45713</v>
      </c>
      <c r="D935" t="inlineStr">
        <is>
          <t>VÄSTERNORRLANDS LÄN</t>
        </is>
      </c>
      <c r="E935" t="inlineStr">
        <is>
          <t>ÅNGE</t>
        </is>
      </c>
      <c r="G935" t="n">
        <v>4.5</v>
      </c>
      <c r="H935" t="n">
        <v>0</v>
      </c>
      <c r="I935" t="n">
        <v>0</v>
      </c>
      <c r="J935" t="n">
        <v>0</v>
      </c>
      <c r="K935" t="n">
        <v>0</v>
      </c>
      <c r="L935" t="n">
        <v>0</v>
      </c>
      <c r="M935" t="n">
        <v>0</v>
      </c>
      <c r="N935" t="n">
        <v>0</v>
      </c>
      <c r="O935" t="n">
        <v>0</v>
      </c>
      <c r="P935" t="n">
        <v>0</v>
      </c>
      <c r="Q935" t="n">
        <v>0</v>
      </c>
      <c r="R935" s="2" t="inlineStr"/>
    </row>
    <row r="936" ht="15" customHeight="1">
      <c r="A936" t="inlineStr">
        <is>
          <t>A 35276-2022</t>
        </is>
      </c>
      <c r="B936" s="1" t="n">
        <v>44798</v>
      </c>
      <c r="C936" s="1" t="n">
        <v>45713</v>
      </c>
      <c r="D936" t="inlineStr">
        <is>
          <t>VÄSTERNORRLANDS LÄN</t>
        </is>
      </c>
      <c r="E936" t="inlineStr">
        <is>
          <t>ÅNGE</t>
        </is>
      </c>
      <c r="G936" t="n">
        <v>15.2</v>
      </c>
      <c r="H936" t="n">
        <v>0</v>
      </c>
      <c r="I936" t="n">
        <v>0</v>
      </c>
      <c r="J936" t="n">
        <v>0</v>
      </c>
      <c r="K936" t="n">
        <v>0</v>
      </c>
      <c r="L936" t="n">
        <v>0</v>
      </c>
      <c r="M936" t="n">
        <v>0</v>
      </c>
      <c r="N936" t="n">
        <v>0</v>
      </c>
      <c r="O936" t="n">
        <v>0</v>
      </c>
      <c r="P936" t="n">
        <v>0</v>
      </c>
      <c r="Q936" t="n">
        <v>0</v>
      </c>
      <c r="R936" s="2" t="inlineStr"/>
    </row>
    <row r="937" ht="15" customHeight="1">
      <c r="A937" t="inlineStr">
        <is>
          <t>A 35497-2022</t>
        </is>
      </c>
      <c r="B937" s="1" t="n">
        <v>44798</v>
      </c>
      <c r="C937" s="1" t="n">
        <v>45713</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35496-2022</t>
        </is>
      </c>
      <c r="B938" s="1" t="n">
        <v>44798</v>
      </c>
      <c r="C938" s="1" t="n">
        <v>45713</v>
      </c>
      <c r="D938" t="inlineStr">
        <is>
          <t>VÄSTERNORRLANDS LÄN</t>
        </is>
      </c>
      <c r="E938" t="inlineStr">
        <is>
          <t>ÅNGE</t>
        </is>
      </c>
      <c r="F938" t="inlineStr">
        <is>
          <t>SCA</t>
        </is>
      </c>
      <c r="G938" t="n">
        <v>15.6</v>
      </c>
      <c r="H938" t="n">
        <v>0</v>
      </c>
      <c r="I938" t="n">
        <v>0</v>
      </c>
      <c r="J938" t="n">
        <v>0</v>
      </c>
      <c r="K938" t="n">
        <v>0</v>
      </c>
      <c r="L938" t="n">
        <v>0</v>
      </c>
      <c r="M938" t="n">
        <v>0</v>
      </c>
      <c r="N938" t="n">
        <v>0</v>
      </c>
      <c r="O938" t="n">
        <v>0</v>
      </c>
      <c r="P938" t="n">
        <v>0</v>
      </c>
      <c r="Q938" t="n">
        <v>0</v>
      </c>
      <c r="R938" s="2" t="inlineStr"/>
    </row>
    <row r="939" ht="15" customHeight="1">
      <c r="A939" t="inlineStr">
        <is>
          <t>A 35509-2022</t>
        </is>
      </c>
      <c r="B939" s="1" t="n">
        <v>44798</v>
      </c>
      <c r="C939" s="1" t="n">
        <v>45713</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35507-2022</t>
        </is>
      </c>
      <c r="B940" s="1" t="n">
        <v>44798</v>
      </c>
      <c r="C940" s="1" t="n">
        <v>45713</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35498-2022</t>
        </is>
      </c>
      <c r="B941" s="1" t="n">
        <v>44799</v>
      </c>
      <c r="C941" s="1" t="n">
        <v>45713</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35508-2022</t>
        </is>
      </c>
      <c r="B942" s="1" t="n">
        <v>44798</v>
      </c>
      <c r="C942" s="1" t="n">
        <v>45713</v>
      </c>
      <c r="D942" t="inlineStr">
        <is>
          <t>VÄSTERNORRLANDS LÄN</t>
        </is>
      </c>
      <c r="E942" t="inlineStr">
        <is>
          <t>ÅNGE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36937-2022</t>
        </is>
      </c>
      <c r="B943" s="1" t="n">
        <v>44806</v>
      </c>
      <c r="C943" s="1" t="n">
        <v>45713</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36924-2022</t>
        </is>
      </c>
      <c r="B944" s="1" t="n">
        <v>44805</v>
      </c>
      <c r="C944" s="1" t="n">
        <v>45713</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36936-2022</t>
        </is>
      </c>
      <c r="B945" s="1" t="n">
        <v>44805</v>
      </c>
      <c r="C945" s="1" t="n">
        <v>45713</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38284-2022</t>
        </is>
      </c>
      <c r="B946" s="1" t="n">
        <v>44812</v>
      </c>
      <c r="C946" s="1" t="n">
        <v>45713</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38680-2022</t>
        </is>
      </c>
      <c r="B947" s="1" t="n">
        <v>44813</v>
      </c>
      <c r="C947" s="1" t="n">
        <v>45713</v>
      </c>
      <c r="D947" t="inlineStr">
        <is>
          <t>VÄSTERNORRLANDS LÄN</t>
        </is>
      </c>
      <c r="E947" t="inlineStr">
        <is>
          <t>ÅNGE</t>
        </is>
      </c>
      <c r="F947" t="inlineStr">
        <is>
          <t>SCA</t>
        </is>
      </c>
      <c r="G947" t="n">
        <v>12.3</v>
      </c>
      <c r="H947" t="n">
        <v>0</v>
      </c>
      <c r="I947" t="n">
        <v>0</v>
      </c>
      <c r="J947" t="n">
        <v>0</v>
      </c>
      <c r="K947" t="n">
        <v>0</v>
      </c>
      <c r="L947" t="n">
        <v>0</v>
      </c>
      <c r="M947" t="n">
        <v>0</v>
      </c>
      <c r="N947" t="n">
        <v>0</v>
      </c>
      <c r="O947" t="n">
        <v>0</v>
      </c>
      <c r="P947" t="n">
        <v>0</v>
      </c>
      <c r="Q947" t="n">
        <v>0</v>
      </c>
      <c r="R947" s="2" t="inlineStr"/>
    </row>
    <row r="948" ht="15" customHeight="1">
      <c r="A948" t="inlineStr">
        <is>
          <t>A 39374-2022</t>
        </is>
      </c>
      <c r="B948" s="1" t="n">
        <v>44817</v>
      </c>
      <c r="C948" s="1" t="n">
        <v>45713</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39594-2022</t>
        </is>
      </c>
      <c r="B949" s="1" t="n">
        <v>44818</v>
      </c>
      <c r="C949" s="1" t="n">
        <v>45713</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39681-2022</t>
        </is>
      </c>
      <c r="B950" s="1" t="n">
        <v>44818</v>
      </c>
      <c r="C950" s="1" t="n">
        <v>45713</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45713</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39685-2022</t>
        </is>
      </c>
      <c r="B952" s="1" t="n">
        <v>44818</v>
      </c>
      <c r="C952" s="1" t="n">
        <v>45713</v>
      </c>
      <c r="D952" t="inlineStr">
        <is>
          <t>VÄSTERNORRLANDS LÄN</t>
        </is>
      </c>
      <c r="E952" t="inlineStr">
        <is>
          <t>ÅNGE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40475-2022</t>
        </is>
      </c>
      <c r="B953" s="1" t="n">
        <v>44823</v>
      </c>
      <c r="C953" s="1" t="n">
        <v>45713</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40476-2022</t>
        </is>
      </c>
      <c r="B954" s="1" t="n">
        <v>44823</v>
      </c>
      <c r="C954" s="1" t="n">
        <v>45713</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41261-2022</t>
        </is>
      </c>
      <c r="B955" s="1" t="n">
        <v>44825</v>
      </c>
      <c r="C955" s="1" t="n">
        <v>45713</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41464-2022</t>
        </is>
      </c>
      <c r="B956" s="1" t="n">
        <v>44827</v>
      </c>
      <c r="C956" s="1" t="n">
        <v>45713</v>
      </c>
      <c r="D956" t="inlineStr">
        <is>
          <t>VÄSTERNORRLANDS LÄN</t>
        </is>
      </c>
      <c r="E956" t="inlineStr">
        <is>
          <t>ÅNGE</t>
        </is>
      </c>
      <c r="F956" t="inlineStr">
        <is>
          <t>SCA</t>
        </is>
      </c>
      <c r="G956" t="n">
        <v>32.2</v>
      </c>
      <c r="H956" t="n">
        <v>0</v>
      </c>
      <c r="I956" t="n">
        <v>0</v>
      </c>
      <c r="J956" t="n">
        <v>0</v>
      </c>
      <c r="K956" t="n">
        <v>0</v>
      </c>
      <c r="L956" t="n">
        <v>0</v>
      </c>
      <c r="M956" t="n">
        <v>0</v>
      </c>
      <c r="N956" t="n">
        <v>0</v>
      </c>
      <c r="O956" t="n">
        <v>0</v>
      </c>
      <c r="P956" t="n">
        <v>0</v>
      </c>
      <c r="Q956" t="n">
        <v>0</v>
      </c>
      <c r="R956" s="2" t="inlineStr"/>
    </row>
    <row r="957" ht="15" customHeight="1">
      <c r="A957" t="inlineStr">
        <is>
          <t>A 41825-2022</t>
        </is>
      </c>
      <c r="B957" s="1" t="n">
        <v>44827</v>
      </c>
      <c r="C957" s="1" t="n">
        <v>45713</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c r="U957">
        <f>HYPERLINK("https://klasma.github.io/Logging_2260/knärot/A 41825-2022 karta knärot.png", "A 41825-2022")</f>
        <v/>
      </c>
      <c r="V957">
        <f>HYPERLINK("https://klasma.github.io/Logging_2260/klagomål/A 41825-2022 FSC-klagomål.docx", "A 41825-2022")</f>
        <v/>
      </c>
      <c r="W957">
        <f>HYPERLINK("https://klasma.github.io/Logging_2260/klagomålsmail/A 41825-2022 FSC-klagomål mail.docx", "A 41825-2022")</f>
        <v/>
      </c>
      <c r="X957">
        <f>HYPERLINK("https://klasma.github.io/Logging_2260/tillsyn/A 41825-2022 tillsynsbegäran.docx", "A 41825-2022")</f>
        <v/>
      </c>
      <c r="Y957">
        <f>HYPERLINK("https://klasma.github.io/Logging_2260/tillsynsmail/A 41825-2022 tillsynsbegäran mail.docx", "A 41825-2022")</f>
        <v/>
      </c>
    </row>
    <row r="958" ht="15" customHeight="1">
      <c r="A958" t="inlineStr">
        <is>
          <t>A 42857-2022</t>
        </is>
      </c>
      <c r="B958" s="1" t="n">
        <v>44832</v>
      </c>
      <c r="C958" s="1" t="n">
        <v>45713</v>
      </c>
      <c r="D958" t="inlineStr">
        <is>
          <t>VÄSTERNORRLANDS LÄN</t>
        </is>
      </c>
      <c r="E958" t="inlineStr">
        <is>
          <t>ÅNGE</t>
        </is>
      </c>
      <c r="G958" t="n">
        <v>3.4</v>
      </c>
      <c r="H958" t="n">
        <v>0</v>
      </c>
      <c r="I958" t="n">
        <v>0</v>
      </c>
      <c r="J958" t="n">
        <v>0</v>
      </c>
      <c r="K958" t="n">
        <v>0</v>
      </c>
      <c r="L958" t="n">
        <v>0</v>
      </c>
      <c r="M958" t="n">
        <v>0</v>
      </c>
      <c r="N958" t="n">
        <v>0</v>
      </c>
      <c r="O958" t="n">
        <v>0</v>
      </c>
      <c r="P958" t="n">
        <v>0</v>
      </c>
      <c r="Q958" t="n">
        <v>0</v>
      </c>
      <c r="R958" s="2" t="inlineStr"/>
    </row>
    <row r="959" ht="15" customHeight="1">
      <c r="A959" t="inlineStr">
        <is>
          <t>A 43066-2022</t>
        </is>
      </c>
      <c r="B959" s="1" t="n">
        <v>44833</v>
      </c>
      <c r="C959" s="1" t="n">
        <v>45713</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43775-2022</t>
        </is>
      </c>
      <c r="B960" s="1" t="n">
        <v>44838</v>
      </c>
      <c r="C960" s="1" t="n">
        <v>45713</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43788-2022</t>
        </is>
      </c>
      <c r="B961" s="1" t="n">
        <v>44837</v>
      </c>
      <c r="C961" s="1" t="n">
        <v>45713</v>
      </c>
      <c r="D961" t="inlineStr">
        <is>
          <t>VÄSTERNORRLANDS LÄN</t>
        </is>
      </c>
      <c r="E961" t="inlineStr">
        <is>
          <t>ÅNGE</t>
        </is>
      </c>
      <c r="F961" t="inlineStr">
        <is>
          <t>SCA</t>
        </is>
      </c>
      <c r="G961" t="n">
        <v>7.7</v>
      </c>
      <c r="H961" t="n">
        <v>0</v>
      </c>
      <c r="I961" t="n">
        <v>0</v>
      </c>
      <c r="J961" t="n">
        <v>0</v>
      </c>
      <c r="K961" t="n">
        <v>0</v>
      </c>
      <c r="L961" t="n">
        <v>0</v>
      </c>
      <c r="M961" t="n">
        <v>0</v>
      </c>
      <c r="N961" t="n">
        <v>0</v>
      </c>
      <c r="O961" t="n">
        <v>0</v>
      </c>
      <c r="P961" t="n">
        <v>0</v>
      </c>
      <c r="Q961" t="n">
        <v>0</v>
      </c>
      <c r="R961" s="2" t="inlineStr"/>
    </row>
    <row r="962" ht="15" customHeight="1">
      <c r="A962" t="inlineStr">
        <is>
          <t>A 44412-2022</t>
        </is>
      </c>
      <c r="B962" s="1" t="n">
        <v>44840</v>
      </c>
      <c r="C962" s="1" t="n">
        <v>45713</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44414-2022</t>
        </is>
      </c>
      <c r="B963" s="1" t="n">
        <v>44840</v>
      </c>
      <c r="C963" s="1" t="n">
        <v>45713</v>
      </c>
      <c r="D963" t="inlineStr">
        <is>
          <t>VÄSTERNORRLANDS LÄN</t>
        </is>
      </c>
      <c r="E963" t="inlineStr">
        <is>
          <t>ÅNGE</t>
        </is>
      </c>
      <c r="G963" t="n">
        <v>1</v>
      </c>
      <c r="H963" t="n">
        <v>0</v>
      </c>
      <c r="I963" t="n">
        <v>0</v>
      </c>
      <c r="J963" t="n">
        <v>0</v>
      </c>
      <c r="K963" t="n">
        <v>0</v>
      </c>
      <c r="L963" t="n">
        <v>0</v>
      </c>
      <c r="M963" t="n">
        <v>0</v>
      </c>
      <c r="N963" t="n">
        <v>0</v>
      </c>
      <c r="O963" t="n">
        <v>0</v>
      </c>
      <c r="P963" t="n">
        <v>0</v>
      </c>
      <c r="Q963" t="n">
        <v>0</v>
      </c>
      <c r="R963" s="2" t="inlineStr"/>
    </row>
    <row r="964" ht="15" customHeight="1">
      <c r="A964" t="inlineStr">
        <is>
          <t>A 44413-2022</t>
        </is>
      </c>
      <c r="B964" s="1" t="n">
        <v>44840</v>
      </c>
      <c r="C964" s="1" t="n">
        <v>45713</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45086-2022</t>
        </is>
      </c>
      <c r="B965" s="1" t="n">
        <v>44841</v>
      </c>
      <c r="C965" s="1" t="n">
        <v>45713</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45087-2022</t>
        </is>
      </c>
      <c r="B966" s="1" t="n">
        <v>44841</v>
      </c>
      <c r="C966" s="1" t="n">
        <v>45713</v>
      </c>
      <c r="D966" t="inlineStr">
        <is>
          <t>VÄSTERNORRLANDS LÄN</t>
        </is>
      </c>
      <c r="E966" t="inlineStr">
        <is>
          <t>ÅNGE</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45128-2022</t>
        </is>
      </c>
      <c r="B967" s="1" t="n">
        <v>44844</v>
      </c>
      <c r="C967" s="1" t="n">
        <v>45713</v>
      </c>
      <c r="D967" t="inlineStr">
        <is>
          <t>VÄSTERNORRLANDS LÄN</t>
        </is>
      </c>
      <c r="E967" t="inlineStr">
        <is>
          <t>ÅNGE</t>
        </is>
      </c>
      <c r="G967" t="n">
        <v>4.1</v>
      </c>
      <c r="H967" t="n">
        <v>0</v>
      </c>
      <c r="I967" t="n">
        <v>0</v>
      </c>
      <c r="J967" t="n">
        <v>0</v>
      </c>
      <c r="K967" t="n">
        <v>0</v>
      </c>
      <c r="L967" t="n">
        <v>0</v>
      </c>
      <c r="M967" t="n">
        <v>0</v>
      </c>
      <c r="N967" t="n">
        <v>0</v>
      </c>
      <c r="O967" t="n">
        <v>0</v>
      </c>
      <c r="P967" t="n">
        <v>0</v>
      </c>
      <c r="Q967" t="n">
        <v>0</v>
      </c>
      <c r="R967" s="2" t="inlineStr"/>
    </row>
    <row r="968" ht="15" customHeight="1">
      <c r="A968" t="inlineStr">
        <is>
          <t>A 45432-2022</t>
        </is>
      </c>
      <c r="B968" s="1" t="n">
        <v>44844</v>
      </c>
      <c r="C968" s="1" t="n">
        <v>45713</v>
      </c>
      <c r="D968" t="inlineStr">
        <is>
          <t>VÄSTERNORRLANDS LÄN</t>
        </is>
      </c>
      <c r="E968" t="inlineStr">
        <is>
          <t>ÅNGE</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45713</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45703-2022</t>
        </is>
      </c>
      <c r="B970" s="1" t="n">
        <v>44845</v>
      </c>
      <c r="C970" s="1" t="n">
        <v>45713</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45931-2022</t>
        </is>
      </c>
      <c r="B971" s="1" t="n">
        <v>44846</v>
      </c>
      <c r="C971" s="1" t="n">
        <v>45713</v>
      </c>
      <c r="D971" t="inlineStr">
        <is>
          <t>VÄSTERNORRLANDS LÄN</t>
        </is>
      </c>
      <c r="E971" t="inlineStr">
        <is>
          <t>ÅNGE</t>
        </is>
      </c>
      <c r="G971" t="n">
        <v>27.6</v>
      </c>
      <c r="H971" t="n">
        <v>0</v>
      </c>
      <c r="I971" t="n">
        <v>0</v>
      </c>
      <c r="J971" t="n">
        <v>0</v>
      </c>
      <c r="K971" t="n">
        <v>0</v>
      </c>
      <c r="L971" t="n">
        <v>0</v>
      </c>
      <c r="M971" t="n">
        <v>0</v>
      </c>
      <c r="N971" t="n">
        <v>0</v>
      </c>
      <c r="O971" t="n">
        <v>0</v>
      </c>
      <c r="P971" t="n">
        <v>0</v>
      </c>
      <c r="Q971" t="n">
        <v>0</v>
      </c>
      <c r="R971" s="2" t="inlineStr"/>
    </row>
    <row r="972" ht="15" customHeight="1">
      <c r="A972" t="inlineStr">
        <is>
          <t>A 46334-2022</t>
        </is>
      </c>
      <c r="B972" s="1" t="n">
        <v>44848</v>
      </c>
      <c r="C972" s="1" t="n">
        <v>45713</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46352-2022</t>
        </is>
      </c>
      <c r="B973" s="1" t="n">
        <v>44848</v>
      </c>
      <c r="C973" s="1" t="n">
        <v>45713</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46351-2022</t>
        </is>
      </c>
      <c r="B974" s="1" t="n">
        <v>44847</v>
      </c>
      <c r="C974" s="1" t="n">
        <v>45713</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46350-2022</t>
        </is>
      </c>
      <c r="B975" s="1" t="n">
        <v>44848</v>
      </c>
      <c r="C975" s="1" t="n">
        <v>45713</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47282-2022</t>
        </is>
      </c>
      <c r="B976" s="1" t="n">
        <v>44853</v>
      </c>
      <c r="C976" s="1" t="n">
        <v>45713</v>
      </c>
      <c r="D976" t="inlineStr">
        <is>
          <t>VÄSTERNORRLANDS LÄN</t>
        </is>
      </c>
      <c r="E976" t="inlineStr">
        <is>
          <t>ÅNGE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47106-2022</t>
        </is>
      </c>
      <c r="B977" s="1" t="n">
        <v>44852</v>
      </c>
      <c r="C977" s="1" t="n">
        <v>45713</v>
      </c>
      <c r="D977" t="inlineStr">
        <is>
          <t>VÄSTERNORRLANDS LÄN</t>
        </is>
      </c>
      <c r="E977" t="inlineStr">
        <is>
          <t>ÅNGE</t>
        </is>
      </c>
      <c r="G977" t="n">
        <v>11.9</v>
      </c>
      <c r="H977" t="n">
        <v>0</v>
      </c>
      <c r="I977" t="n">
        <v>0</v>
      </c>
      <c r="J977" t="n">
        <v>0</v>
      </c>
      <c r="K977" t="n">
        <v>0</v>
      </c>
      <c r="L977" t="n">
        <v>0</v>
      </c>
      <c r="M977" t="n">
        <v>0</v>
      </c>
      <c r="N977" t="n">
        <v>0</v>
      </c>
      <c r="O977" t="n">
        <v>0</v>
      </c>
      <c r="P977" t="n">
        <v>0</v>
      </c>
      <c r="Q977" t="n">
        <v>0</v>
      </c>
      <c r="R977" s="2" t="inlineStr"/>
    </row>
    <row r="978" ht="15" customHeight="1">
      <c r="A978" t="inlineStr">
        <is>
          <t>A 47443-2022</t>
        </is>
      </c>
      <c r="B978" s="1" t="n">
        <v>44853</v>
      </c>
      <c r="C978" s="1" t="n">
        <v>45713</v>
      </c>
      <c r="D978" t="inlineStr">
        <is>
          <t>VÄSTERNORRLANDS LÄN</t>
        </is>
      </c>
      <c r="E978" t="inlineStr">
        <is>
          <t>ÅNGE</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47576-2022</t>
        </is>
      </c>
      <c r="B979" s="1" t="n">
        <v>44854</v>
      </c>
      <c r="C979" s="1" t="n">
        <v>45713</v>
      </c>
      <c r="D979" t="inlineStr">
        <is>
          <t>VÄSTERNORRLANDS LÄN</t>
        </is>
      </c>
      <c r="E979" t="inlineStr">
        <is>
          <t>ÅNGE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47605-2022</t>
        </is>
      </c>
      <c r="B980" s="1" t="n">
        <v>44854</v>
      </c>
      <c r="C980" s="1" t="n">
        <v>45713</v>
      </c>
      <c r="D980" t="inlineStr">
        <is>
          <t>VÄSTERNORRLANDS LÄN</t>
        </is>
      </c>
      <c r="E980" t="inlineStr">
        <is>
          <t>ÅNGE</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47660-2022</t>
        </is>
      </c>
      <c r="B981" s="1" t="n">
        <v>44854</v>
      </c>
      <c r="C981" s="1" t="n">
        <v>45713</v>
      </c>
      <c r="D981" t="inlineStr">
        <is>
          <t>VÄSTERNORRLANDS LÄN</t>
        </is>
      </c>
      <c r="E981" t="inlineStr">
        <is>
          <t>ÅNGE</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47654-2022</t>
        </is>
      </c>
      <c r="B982" s="1" t="n">
        <v>44854</v>
      </c>
      <c r="C982" s="1" t="n">
        <v>45713</v>
      </c>
      <c r="D982" t="inlineStr">
        <is>
          <t>VÄSTERNORRLANDS LÄN</t>
        </is>
      </c>
      <c r="E982" t="inlineStr">
        <is>
          <t>ÅNGE</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47785-2022</t>
        </is>
      </c>
      <c r="B983" s="1" t="n">
        <v>44855</v>
      </c>
      <c r="C983" s="1" t="n">
        <v>45713</v>
      </c>
      <c r="D983" t="inlineStr">
        <is>
          <t>VÄSTERNORRLANDS LÄN</t>
        </is>
      </c>
      <c r="E983" t="inlineStr">
        <is>
          <t>ÅNGE</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47792-2022</t>
        </is>
      </c>
      <c r="B984" s="1" t="n">
        <v>44855</v>
      </c>
      <c r="C984" s="1" t="n">
        <v>45713</v>
      </c>
      <c r="D984" t="inlineStr">
        <is>
          <t>VÄSTERNORRLANDS LÄN</t>
        </is>
      </c>
      <c r="E984" t="inlineStr">
        <is>
          <t>ÅNGE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47791-2022</t>
        </is>
      </c>
      <c r="B985" s="1" t="n">
        <v>44855</v>
      </c>
      <c r="C985" s="1" t="n">
        <v>45713</v>
      </c>
      <c r="D985" t="inlineStr">
        <is>
          <t>VÄSTERNORRLANDS LÄN</t>
        </is>
      </c>
      <c r="E985" t="inlineStr">
        <is>
          <t>ÅNGE</t>
        </is>
      </c>
      <c r="F985" t="inlineStr">
        <is>
          <t>SCA</t>
        </is>
      </c>
      <c r="G985" t="n">
        <v>15.2</v>
      </c>
      <c r="H985" t="n">
        <v>0</v>
      </c>
      <c r="I985" t="n">
        <v>0</v>
      </c>
      <c r="J985" t="n">
        <v>0</v>
      </c>
      <c r="K985" t="n">
        <v>0</v>
      </c>
      <c r="L985" t="n">
        <v>0</v>
      </c>
      <c r="M985" t="n">
        <v>0</v>
      </c>
      <c r="N985" t="n">
        <v>0</v>
      </c>
      <c r="O985" t="n">
        <v>0</v>
      </c>
      <c r="P985" t="n">
        <v>0</v>
      </c>
      <c r="Q985" t="n">
        <v>0</v>
      </c>
      <c r="R985" s="2" t="inlineStr"/>
    </row>
    <row r="986" ht="15" customHeight="1">
      <c r="A986" t="inlineStr">
        <is>
          <t>A 48521-2022</t>
        </is>
      </c>
      <c r="B986" s="1" t="n">
        <v>44858</v>
      </c>
      <c r="C986" s="1" t="n">
        <v>45713</v>
      </c>
      <c r="D986" t="inlineStr">
        <is>
          <t>VÄSTERNORRLANDS LÄN</t>
        </is>
      </c>
      <c r="E986" t="inlineStr">
        <is>
          <t>ÅNGE</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50357-2022</t>
        </is>
      </c>
      <c r="B987" s="1" t="n">
        <v>44860</v>
      </c>
      <c r="C987" s="1" t="n">
        <v>45713</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49503-2022</t>
        </is>
      </c>
      <c r="B988" s="1" t="n">
        <v>44862</v>
      </c>
      <c r="C988" s="1" t="n">
        <v>45713</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44862</v>
      </c>
      <c r="C989" s="1" t="n">
        <v>45713</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50419-2022</t>
        </is>
      </c>
      <c r="B990" s="1" t="n">
        <v>44861</v>
      </c>
      <c r="C990" s="1" t="n">
        <v>45713</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49865-2022</t>
        </is>
      </c>
      <c r="B991" s="1" t="n">
        <v>44863</v>
      </c>
      <c r="C991" s="1" t="n">
        <v>45713</v>
      </c>
      <c r="D991" t="inlineStr">
        <is>
          <t>VÄSTERNORRLANDS LÄN</t>
        </is>
      </c>
      <c r="E991" t="inlineStr">
        <is>
          <t>ÅNGE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50332-2022</t>
        </is>
      </c>
      <c r="B992" s="1" t="n">
        <v>44865</v>
      </c>
      <c r="C992" s="1" t="n">
        <v>45713</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50643-2022</t>
        </is>
      </c>
      <c r="B993" s="1" t="n">
        <v>44866</v>
      </c>
      <c r="C993" s="1" t="n">
        <v>45713</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50640-2022</t>
        </is>
      </c>
      <c r="B994" s="1" t="n">
        <v>44866</v>
      </c>
      <c r="C994" s="1" t="n">
        <v>45713</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50665-2022</t>
        </is>
      </c>
      <c r="B995" s="1" t="n">
        <v>44866</v>
      </c>
      <c r="C995" s="1" t="n">
        <v>45713</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51383-2022</t>
        </is>
      </c>
      <c r="B996" s="1" t="n">
        <v>44866</v>
      </c>
      <c r="C996" s="1" t="n">
        <v>45713</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51131-2022</t>
        </is>
      </c>
      <c r="B997" s="1" t="n">
        <v>44868</v>
      </c>
      <c r="C997" s="1" t="n">
        <v>45713</v>
      </c>
      <c r="D997" t="inlineStr">
        <is>
          <t>VÄSTERNORRLANDS LÄN</t>
        </is>
      </c>
      <c r="E997" t="inlineStr">
        <is>
          <t>ÅNGE</t>
        </is>
      </c>
      <c r="G997" t="n">
        <v>11.1</v>
      </c>
      <c r="H997" t="n">
        <v>0</v>
      </c>
      <c r="I997" t="n">
        <v>0</v>
      </c>
      <c r="J997" t="n">
        <v>0</v>
      </c>
      <c r="K997" t="n">
        <v>0</v>
      </c>
      <c r="L997" t="n">
        <v>0</v>
      </c>
      <c r="M997" t="n">
        <v>0</v>
      </c>
      <c r="N997" t="n">
        <v>0</v>
      </c>
      <c r="O997" t="n">
        <v>0</v>
      </c>
      <c r="P997" t="n">
        <v>0</v>
      </c>
      <c r="Q997" t="n">
        <v>0</v>
      </c>
      <c r="R997" s="2" t="inlineStr"/>
    </row>
    <row r="998" ht="15" customHeight="1">
      <c r="A998" t="inlineStr">
        <is>
          <t>A 51263-2022</t>
        </is>
      </c>
      <c r="B998" s="1" t="n">
        <v>44868</v>
      </c>
      <c r="C998" s="1" t="n">
        <v>45713</v>
      </c>
      <c r="D998" t="inlineStr">
        <is>
          <t>VÄSTERNORRLANDS LÄN</t>
        </is>
      </c>
      <c r="E998" t="inlineStr">
        <is>
          <t>ÅNGE</t>
        </is>
      </c>
      <c r="F998" t="inlineStr">
        <is>
          <t>Holmen skog AB</t>
        </is>
      </c>
      <c r="G998" t="n">
        <v>12.1</v>
      </c>
      <c r="H998" t="n">
        <v>0</v>
      </c>
      <c r="I998" t="n">
        <v>0</v>
      </c>
      <c r="J998" t="n">
        <v>0</v>
      </c>
      <c r="K998" t="n">
        <v>0</v>
      </c>
      <c r="L998" t="n">
        <v>0</v>
      </c>
      <c r="M998" t="n">
        <v>0</v>
      </c>
      <c r="N998" t="n">
        <v>0</v>
      </c>
      <c r="O998" t="n">
        <v>0</v>
      </c>
      <c r="P998" t="n">
        <v>0</v>
      </c>
      <c r="Q998" t="n">
        <v>0</v>
      </c>
      <c r="R998" s="2" t="inlineStr"/>
    </row>
    <row r="999" ht="15" customHeight="1">
      <c r="A999" t="inlineStr">
        <is>
          <t>A 51311-2022</t>
        </is>
      </c>
      <c r="B999" s="1" t="n">
        <v>44868</v>
      </c>
      <c r="C999" s="1" t="n">
        <v>45713</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51261-2022</t>
        </is>
      </c>
      <c r="B1000" s="1" t="n">
        <v>44868</v>
      </c>
      <c r="C1000" s="1" t="n">
        <v>45713</v>
      </c>
      <c r="D1000" t="inlineStr">
        <is>
          <t>VÄSTERNORRLANDS LÄN</t>
        </is>
      </c>
      <c r="E1000" t="inlineStr">
        <is>
          <t>ÅNGE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51313-2022</t>
        </is>
      </c>
      <c r="B1001" s="1" t="n">
        <v>44868</v>
      </c>
      <c r="C1001" s="1" t="n">
        <v>45713</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51393-2022</t>
        </is>
      </c>
      <c r="B1002" s="1" t="n">
        <v>44869</v>
      </c>
      <c r="C1002" s="1" t="n">
        <v>45713</v>
      </c>
      <c r="D1002" t="inlineStr">
        <is>
          <t>VÄSTERNORRLANDS LÄN</t>
        </is>
      </c>
      <c r="E1002" t="inlineStr">
        <is>
          <t>ÅNGE</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51542-2022</t>
        </is>
      </c>
      <c r="B1003" s="1" t="n">
        <v>44869</v>
      </c>
      <c r="C1003" s="1" t="n">
        <v>45713</v>
      </c>
      <c r="D1003" t="inlineStr">
        <is>
          <t>VÄSTERNORRLANDS LÄN</t>
        </is>
      </c>
      <c r="E1003" t="inlineStr">
        <is>
          <t>ÅNGE</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51555-2022</t>
        </is>
      </c>
      <c r="B1004" s="1" t="n">
        <v>44869</v>
      </c>
      <c r="C1004" s="1" t="n">
        <v>45713</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51494-2022</t>
        </is>
      </c>
      <c r="B1005" s="1" t="n">
        <v>44869</v>
      </c>
      <c r="C1005" s="1" t="n">
        <v>45713</v>
      </c>
      <c r="D1005" t="inlineStr">
        <is>
          <t>VÄSTERNORRLANDS LÄN</t>
        </is>
      </c>
      <c r="E1005" t="inlineStr">
        <is>
          <t>ÅNGE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51997-2022</t>
        </is>
      </c>
      <c r="B1006" s="1" t="n">
        <v>44872</v>
      </c>
      <c r="C1006" s="1" t="n">
        <v>45713</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51996-2022</t>
        </is>
      </c>
      <c r="B1007" s="1" t="n">
        <v>44872</v>
      </c>
      <c r="C1007" s="1" t="n">
        <v>45713</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52015-2022</t>
        </is>
      </c>
      <c r="B1008" s="1" t="n">
        <v>44872</v>
      </c>
      <c r="C1008" s="1" t="n">
        <v>45713</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52182-2022</t>
        </is>
      </c>
      <c r="B1009" s="1" t="n">
        <v>44873</v>
      </c>
      <c r="C1009" s="1" t="n">
        <v>45713</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52179-2022</t>
        </is>
      </c>
      <c r="B1010" s="1" t="n">
        <v>44873</v>
      </c>
      <c r="C1010" s="1" t="n">
        <v>45713</v>
      </c>
      <c r="D1010" t="inlineStr">
        <is>
          <t>VÄSTERNORRLANDS LÄN</t>
        </is>
      </c>
      <c r="E1010" t="inlineStr">
        <is>
          <t>ÅNGE</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52347-2022</t>
        </is>
      </c>
      <c r="B1011" s="1" t="n">
        <v>44873</v>
      </c>
      <c r="C1011" s="1" t="n">
        <v>45713</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52346-2022</t>
        </is>
      </c>
      <c r="B1012" s="1" t="n">
        <v>44873</v>
      </c>
      <c r="C1012" s="1" t="n">
        <v>45713</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53010-2022</t>
        </is>
      </c>
      <c r="B1013" s="1" t="n">
        <v>44875</v>
      </c>
      <c r="C1013" s="1" t="n">
        <v>45713</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53304-2022</t>
        </is>
      </c>
      <c r="B1014" s="1" t="n">
        <v>44878</v>
      </c>
      <c r="C1014" s="1" t="n">
        <v>45713</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53439-2022</t>
        </is>
      </c>
      <c r="B1015" s="1" t="n">
        <v>44879</v>
      </c>
      <c r="C1015" s="1" t="n">
        <v>45713</v>
      </c>
      <c r="D1015" t="inlineStr">
        <is>
          <t>VÄSTERNORRLANDS LÄN</t>
        </is>
      </c>
      <c r="E1015" t="inlineStr">
        <is>
          <t>ÅNGE</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53663-2022</t>
        </is>
      </c>
      <c r="B1016" s="1" t="n">
        <v>44879</v>
      </c>
      <c r="C1016" s="1" t="n">
        <v>45713</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53664-2022</t>
        </is>
      </c>
      <c r="B1017" s="1" t="n">
        <v>44879</v>
      </c>
      <c r="C1017" s="1" t="n">
        <v>45713</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53854-2022</t>
        </is>
      </c>
      <c r="B1018" s="1" t="n">
        <v>44880</v>
      </c>
      <c r="C1018" s="1" t="n">
        <v>45713</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53950-2022</t>
        </is>
      </c>
      <c r="B1019" s="1" t="n">
        <v>44880</v>
      </c>
      <c r="C1019" s="1" t="n">
        <v>45713</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54027-2022</t>
        </is>
      </c>
      <c r="B1020" s="1" t="n">
        <v>44881</v>
      </c>
      <c r="C1020" s="1" t="n">
        <v>45713</v>
      </c>
      <c r="D1020" t="inlineStr">
        <is>
          <t>VÄSTERNORRLANDS LÄN</t>
        </is>
      </c>
      <c r="E1020" t="inlineStr">
        <is>
          <t>ÅNGE</t>
        </is>
      </c>
      <c r="F1020" t="inlineStr">
        <is>
          <t>Holmen skog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54250-2022</t>
        </is>
      </c>
      <c r="B1021" s="1" t="n">
        <v>44881</v>
      </c>
      <c r="C1021" s="1" t="n">
        <v>45713</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55007-2022</t>
        </is>
      </c>
      <c r="B1022" s="1" t="n">
        <v>44881</v>
      </c>
      <c r="C1022" s="1" t="n">
        <v>45713</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54453-2022</t>
        </is>
      </c>
      <c r="B1023" s="1" t="n">
        <v>44882</v>
      </c>
      <c r="C1023" s="1" t="n">
        <v>45713</v>
      </c>
      <c r="D1023" t="inlineStr">
        <is>
          <t>VÄSTERNORRLANDS LÄN</t>
        </is>
      </c>
      <c r="E1023" t="inlineStr">
        <is>
          <t>ÅNGE</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54575-2022</t>
        </is>
      </c>
      <c r="B1024" s="1" t="n">
        <v>44882</v>
      </c>
      <c r="C1024" s="1" t="n">
        <v>45713</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54579-2022</t>
        </is>
      </c>
      <c r="B1025" s="1" t="n">
        <v>44882</v>
      </c>
      <c r="C1025" s="1" t="n">
        <v>45713</v>
      </c>
      <c r="D1025" t="inlineStr">
        <is>
          <t>VÄSTERNORRLANDS LÄN</t>
        </is>
      </c>
      <c r="E1025" t="inlineStr">
        <is>
          <t>ÅNGE</t>
        </is>
      </c>
      <c r="F1025" t="inlineStr">
        <is>
          <t>SCA</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54821-2022</t>
        </is>
      </c>
      <c r="B1026" s="1" t="n">
        <v>44883</v>
      </c>
      <c r="C1026" s="1" t="n">
        <v>45713</v>
      </c>
      <c r="D1026" t="inlineStr">
        <is>
          <t>VÄSTERNORRLANDS LÄN</t>
        </is>
      </c>
      <c r="E1026" t="inlineStr">
        <is>
          <t>ÅNGE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55197-2022</t>
        </is>
      </c>
      <c r="B1027" s="1" t="n">
        <v>44886</v>
      </c>
      <c r="C1027" s="1" t="n">
        <v>45713</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55112-2022</t>
        </is>
      </c>
      <c r="B1028" s="1" t="n">
        <v>44886</v>
      </c>
      <c r="C1028" s="1" t="n">
        <v>45713</v>
      </c>
      <c r="D1028" t="inlineStr">
        <is>
          <t>VÄSTERNORRLANDS LÄN</t>
        </is>
      </c>
      <c r="E1028" t="inlineStr">
        <is>
          <t>ÅNGE</t>
        </is>
      </c>
      <c r="F1028" t="inlineStr">
        <is>
          <t>Holmen skog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55213-2022</t>
        </is>
      </c>
      <c r="B1029" s="1" t="n">
        <v>44887</v>
      </c>
      <c r="C1029" s="1" t="n">
        <v>45713</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55212-2022</t>
        </is>
      </c>
      <c r="B1030" s="1" t="n">
        <v>44886</v>
      </c>
      <c r="C1030" s="1" t="n">
        <v>45713</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55361-2022</t>
        </is>
      </c>
      <c r="B1031" s="1" t="n">
        <v>44887</v>
      </c>
      <c r="C1031" s="1" t="n">
        <v>45713</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55526-2022</t>
        </is>
      </c>
      <c r="B1032" s="1" t="n">
        <v>44887</v>
      </c>
      <c r="C1032" s="1" t="n">
        <v>45713</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55474-2022</t>
        </is>
      </c>
      <c r="B1033" s="1" t="n">
        <v>44887</v>
      </c>
      <c r="C1033" s="1" t="n">
        <v>45713</v>
      </c>
      <c r="D1033" t="inlineStr">
        <is>
          <t>VÄSTERNORRLANDS LÄN</t>
        </is>
      </c>
      <c r="E1033" t="inlineStr">
        <is>
          <t>ÅNGE</t>
        </is>
      </c>
      <c r="F1033" t="inlineStr">
        <is>
          <t>Holmen skog AB</t>
        </is>
      </c>
      <c r="G1033" t="n">
        <v>17.9</v>
      </c>
      <c r="H1033" t="n">
        <v>0</v>
      </c>
      <c r="I1033" t="n">
        <v>0</v>
      </c>
      <c r="J1033" t="n">
        <v>0</v>
      </c>
      <c r="K1033" t="n">
        <v>0</v>
      </c>
      <c r="L1033" t="n">
        <v>0</v>
      </c>
      <c r="M1033" t="n">
        <v>0</v>
      </c>
      <c r="N1033" t="n">
        <v>0</v>
      </c>
      <c r="O1033" t="n">
        <v>0</v>
      </c>
      <c r="P1033" t="n">
        <v>0</v>
      </c>
      <c r="Q1033" t="n">
        <v>0</v>
      </c>
      <c r="R1033" s="2" t="inlineStr"/>
    </row>
    <row r="1034" ht="15" customHeight="1">
      <c r="A1034" t="inlineStr">
        <is>
          <t>A 55527-2022</t>
        </is>
      </c>
      <c r="B1034" s="1" t="n">
        <v>44887</v>
      </c>
      <c r="C1034" s="1" t="n">
        <v>45713</v>
      </c>
      <c r="D1034" t="inlineStr">
        <is>
          <t>VÄSTERNORRLANDS LÄN</t>
        </is>
      </c>
      <c r="E1034" t="inlineStr">
        <is>
          <t>ÅNGE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55729-2022</t>
        </is>
      </c>
      <c r="B1035" s="1" t="n">
        <v>44888</v>
      </c>
      <c r="C1035" s="1" t="n">
        <v>45713</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55754-2022</t>
        </is>
      </c>
      <c r="B1036" s="1" t="n">
        <v>44888</v>
      </c>
      <c r="C1036" s="1" t="n">
        <v>45713</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55816-2022</t>
        </is>
      </c>
      <c r="B1037" s="1" t="n">
        <v>44888</v>
      </c>
      <c r="C1037" s="1" t="n">
        <v>45713</v>
      </c>
      <c r="D1037" t="inlineStr">
        <is>
          <t>VÄSTERNORRLANDS LÄN</t>
        </is>
      </c>
      <c r="E1037" t="inlineStr">
        <is>
          <t>ÅNGE</t>
        </is>
      </c>
      <c r="F1037" t="inlineStr">
        <is>
          <t>Holmen skog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55883-2022</t>
        </is>
      </c>
      <c r="B1038" s="1" t="n">
        <v>44888</v>
      </c>
      <c r="C1038" s="1" t="n">
        <v>45713</v>
      </c>
      <c r="D1038" t="inlineStr">
        <is>
          <t>VÄSTERNORRLANDS LÄN</t>
        </is>
      </c>
      <c r="E1038" t="inlineStr">
        <is>
          <t>ÅNGE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55882-2022</t>
        </is>
      </c>
      <c r="B1039" s="1" t="n">
        <v>44888</v>
      </c>
      <c r="C1039" s="1" t="n">
        <v>45713</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55907-2022</t>
        </is>
      </c>
      <c r="B1040" s="1" t="n">
        <v>44888</v>
      </c>
      <c r="C1040" s="1" t="n">
        <v>45713</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55906-2022</t>
        </is>
      </c>
      <c r="B1041" s="1" t="n">
        <v>44888</v>
      </c>
      <c r="C1041" s="1" t="n">
        <v>45713</v>
      </c>
      <c r="D1041" t="inlineStr">
        <is>
          <t>VÄSTERNORRLANDS LÄN</t>
        </is>
      </c>
      <c r="E1041" t="inlineStr">
        <is>
          <t>ÅNGE</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56181-2022</t>
        </is>
      </c>
      <c r="B1042" s="1" t="n">
        <v>44889</v>
      </c>
      <c r="C1042" s="1" t="n">
        <v>45713</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55934-2022</t>
        </is>
      </c>
      <c r="B1043" s="1" t="n">
        <v>44889</v>
      </c>
      <c r="C1043" s="1" t="n">
        <v>45713</v>
      </c>
      <c r="D1043" t="inlineStr">
        <is>
          <t>VÄSTERNORRLANDS LÄN</t>
        </is>
      </c>
      <c r="E1043" t="inlineStr">
        <is>
          <t>ÅNGE</t>
        </is>
      </c>
      <c r="F1043" t="inlineStr">
        <is>
          <t>Holmen skog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56399-2022</t>
        </is>
      </c>
      <c r="B1044" s="1" t="n">
        <v>44890</v>
      </c>
      <c r="C1044" s="1" t="n">
        <v>45713</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56403-2022</t>
        </is>
      </c>
      <c r="B1045" s="1" t="n">
        <v>44890</v>
      </c>
      <c r="C1045" s="1" t="n">
        <v>45713</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56400-2022</t>
        </is>
      </c>
      <c r="B1046" s="1" t="n">
        <v>44890</v>
      </c>
      <c r="C1046" s="1" t="n">
        <v>45713</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56401-2022</t>
        </is>
      </c>
      <c r="B1047" s="1" t="n">
        <v>44890</v>
      </c>
      <c r="C1047" s="1" t="n">
        <v>45713</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56591-2022</t>
        </is>
      </c>
      <c r="B1048" s="1" t="n">
        <v>44893</v>
      </c>
      <c r="C1048" s="1" t="n">
        <v>45713</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56666-2022</t>
        </is>
      </c>
      <c r="B1049" s="1" t="n">
        <v>44893</v>
      </c>
      <c r="C1049" s="1" t="n">
        <v>45713</v>
      </c>
      <c r="D1049" t="inlineStr">
        <is>
          <t>VÄSTERNORRLANDS LÄN</t>
        </is>
      </c>
      <c r="E1049" t="inlineStr">
        <is>
          <t>ÅNGE</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56731-2022</t>
        </is>
      </c>
      <c r="B1050" s="1" t="n">
        <v>44893</v>
      </c>
      <c r="C1050" s="1" t="n">
        <v>45713</v>
      </c>
      <c r="D1050" t="inlineStr">
        <is>
          <t>VÄSTERNORRLANDS LÄN</t>
        </is>
      </c>
      <c r="E1050" t="inlineStr">
        <is>
          <t>ÅNGE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56775-2022</t>
        </is>
      </c>
      <c r="B1051" s="1" t="n">
        <v>44894</v>
      </c>
      <c r="C1051" s="1" t="n">
        <v>45713</v>
      </c>
      <c r="D1051" t="inlineStr">
        <is>
          <t>VÄSTERNORRLANDS LÄN</t>
        </is>
      </c>
      <c r="E1051" t="inlineStr">
        <is>
          <t>ÅNGE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56946-2022</t>
        </is>
      </c>
      <c r="B1052" s="1" t="n">
        <v>44894</v>
      </c>
      <c r="C1052" s="1" t="n">
        <v>45713</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56956-2022</t>
        </is>
      </c>
      <c r="B1053" s="1" t="n">
        <v>44894</v>
      </c>
      <c r="C1053" s="1" t="n">
        <v>45713</v>
      </c>
      <c r="D1053" t="inlineStr">
        <is>
          <t>VÄSTERNORRLANDS LÄN</t>
        </is>
      </c>
      <c r="E1053" t="inlineStr">
        <is>
          <t>ÅNGE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57289-2022</t>
        </is>
      </c>
      <c r="B1054" s="1" t="n">
        <v>44895</v>
      </c>
      <c r="C1054" s="1" t="n">
        <v>45713</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57250-2022</t>
        </is>
      </c>
      <c r="B1055" s="1" t="n">
        <v>44895</v>
      </c>
      <c r="C1055" s="1" t="n">
        <v>45713</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57287-2022</t>
        </is>
      </c>
      <c r="B1056" s="1" t="n">
        <v>44895</v>
      </c>
      <c r="C1056" s="1" t="n">
        <v>45713</v>
      </c>
      <c r="D1056" t="inlineStr">
        <is>
          <t>VÄSTERNORRLANDS LÄN</t>
        </is>
      </c>
      <c r="E1056" t="inlineStr">
        <is>
          <t>ÅNGE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57286-2022</t>
        </is>
      </c>
      <c r="B1057" s="1" t="n">
        <v>44895</v>
      </c>
      <c r="C1057" s="1" t="n">
        <v>45713</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57291-2022</t>
        </is>
      </c>
      <c r="B1058" s="1" t="n">
        <v>44895</v>
      </c>
      <c r="C1058" s="1" t="n">
        <v>45713</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57288-2022</t>
        </is>
      </c>
      <c r="B1059" s="1" t="n">
        <v>44895</v>
      </c>
      <c r="C1059" s="1" t="n">
        <v>45713</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57592-2022</t>
        </is>
      </c>
      <c r="B1060" s="1" t="n">
        <v>44897</v>
      </c>
      <c r="C1060" s="1" t="n">
        <v>45713</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57596-2022</t>
        </is>
      </c>
      <c r="B1061" s="1" t="n">
        <v>44897</v>
      </c>
      <c r="C1061" s="1" t="n">
        <v>45713</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57601-2022</t>
        </is>
      </c>
      <c r="B1062" s="1" t="n">
        <v>44896</v>
      </c>
      <c r="C1062" s="1" t="n">
        <v>45713</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57593-2022</t>
        </is>
      </c>
      <c r="B1063" s="1" t="n">
        <v>44897</v>
      </c>
      <c r="C1063" s="1" t="n">
        <v>45713</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57602-2022</t>
        </is>
      </c>
      <c r="B1064" s="1" t="n">
        <v>44896</v>
      </c>
      <c r="C1064" s="1" t="n">
        <v>45713</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57591-2022</t>
        </is>
      </c>
      <c r="B1065" s="1" t="n">
        <v>44897</v>
      </c>
      <c r="C1065" s="1" t="n">
        <v>45713</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57595-2022</t>
        </is>
      </c>
      <c r="B1066" s="1" t="n">
        <v>44897</v>
      </c>
      <c r="C1066" s="1" t="n">
        <v>45713</v>
      </c>
      <c r="D1066" t="inlineStr">
        <is>
          <t>VÄSTERNORRLANDS LÄN</t>
        </is>
      </c>
      <c r="E1066" t="inlineStr">
        <is>
          <t>ÅNGE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57598-2022</t>
        </is>
      </c>
      <c r="B1067" s="1" t="n">
        <v>44896</v>
      </c>
      <c r="C1067" s="1" t="n">
        <v>45713</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57636-2022</t>
        </is>
      </c>
      <c r="B1068" s="1" t="n">
        <v>44897</v>
      </c>
      <c r="C1068" s="1" t="n">
        <v>45713</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57846-2022</t>
        </is>
      </c>
      <c r="B1069" s="1" t="n">
        <v>44897</v>
      </c>
      <c r="C1069" s="1" t="n">
        <v>45713</v>
      </c>
      <c r="D1069" t="inlineStr">
        <is>
          <t>VÄSTERNORRLANDS LÄN</t>
        </is>
      </c>
      <c r="E1069" t="inlineStr">
        <is>
          <t>ÅNGE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58275-2022</t>
        </is>
      </c>
      <c r="B1070" s="1" t="n">
        <v>44901</v>
      </c>
      <c r="C1070" s="1" t="n">
        <v>45713</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58445-2022</t>
        </is>
      </c>
      <c r="B1071" s="1" t="n">
        <v>44901</v>
      </c>
      <c r="C1071" s="1" t="n">
        <v>45713</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58444-2022</t>
        </is>
      </c>
      <c r="B1072" s="1" t="n">
        <v>44901</v>
      </c>
      <c r="C1072" s="1" t="n">
        <v>45713</v>
      </c>
      <c r="D1072" t="inlineStr">
        <is>
          <t>VÄSTERNORRLANDS LÄN</t>
        </is>
      </c>
      <c r="E1072" t="inlineStr">
        <is>
          <t>ÅNGE</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58469-2022</t>
        </is>
      </c>
      <c r="B1073" s="1" t="n">
        <v>44902</v>
      </c>
      <c r="C1073" s="1" t="n">
        <v>45713</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58943-2022</t>
        </is>
      </c>
      <c r="B1074" s="1" t="n">
        <v>44903</v>
      </c>
      <c r="C1074" s="1" t="n">
        <v>45713</v>
      </c>
      <c r="D1074" t="inlineStr">
        <is>
          <t>VÄSTERNORRLANDS LÄN</t>
        </is>
      </c>
      <c r="E1074" t="inlineStr">
        <is>
          <t>ÅNGE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59520-2022</t>
        </is>
      </c>
      <c r="B1075" s="1" t="n">
        <v>44907</v>
      </c>
      <c r="C1075" s="1" t="n">
        <v>45713</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59626-2022</t>
        </is>
      </c>
      <c r="B1076" s="1" t="n">
        <v>44907</v>
      </c>
      <c r="C1076" s="1" t="n">
        <v>45713</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60369-2022</t>
        </is>
      </c>
      <c r="B1077" s="1" t="n">
        <v>44910</v>
      </c>
      <c r="C1077" s="1" t="n">
        <v>45713</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60658-2022</t>
        </is>
      </c>
      <c r="B1078" s="1" t="n">
        <v>44911</v>
      </c>
      <c r="C1078" s="1" t="n">
        <v>45713</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60770-2022</t>
        </is>
      </c>
      <c r="B1079" s="1" t="n">
        <v>44914</v>
      </c>
      <c r="C1079" s="1" t="n">
        <v>45713</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60860-2022</t>
        </is>
      </c>
      <c r="B1080" s="1" t="n">
        <v>44914</v>
      </c>
      <c r="C1080" s="1" t="n">
        <v>45713</v>
      </c>
      <c r="D1080" t="inlineStr">
        <is>
          <t>VÄSTERNORRLANDS LÄN</t>
        </is>
      </c>
      <c r="E1080" t="inlineStr">
        <is>
          <t>ÅNGE</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61585-2022</t>
        </is>
      </c>
      <c r="B1081" s="1" t="n">
        <v>44916</v>
      </c>
      <c r="C1081" s="1" t="n">
        <v>45713</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62261-2022</t>
        </is>
      </c>
      <c r="B1082" s="1" t="n">
        <v>44922</v>
      </c>
      <c r="C1082" s="1" t="n">
        <v>45713</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62290-2022</t>
        </is>
      </c>
      <c r="B1083" s="1" t="n">
        <v>44923</v>
      </c>
      <c r="C1083" s="1" t="n">
        <v>45713</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62441-2022</t>
        </is>
      </c>
      <c r="B1084" s="1" t="n">
        <v>44924</v>
      </c>
      <c r="C1084" s="1" t="n">
        <v>45713</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62438-2022</t>
        </is>
      </c>
      <c r="B1085" s="1" t="n">
        <v>44924</v>
      </c>
      <c r="C1085" s="1" t="n">
        <v>45713</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1116-2023</t>
        </is>
      </c>
      <c r="B1086" s="1" t="n">
        <v>44929</v>
      </c>
      <c r="C1086" s="1" t="n">
        <v>45713</v>
      </c>
      <c r="D1086" t="inlineStr">
        <is>
          <t>VÄSTERNORRLANDS LÄN</t>
        </is>
      </c>
      <c r="E1086" t="inlineStr">
        <is>
          <t>ÅNGE</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1103-2023</t>
        </is>
      </c>
      <c r="B1087" s="1" t="n">
        <v>44929</v>
      </c>
      <c r="C1087" s="1" t="n">
        <v>45713</v>
      </c>
      <c r="D1087" t="inlineStr">
        <is>
          <t>VÄSTERNORRLANDS LÄN</t>
        </is>
      </c>
      <c r="E1087" t="inlineStr">
        <is>
          <t>ÅNGE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1090-2023</t>
        </is>
      </c>
      <c r="B1088" s="1" t="n">
        <v>44929</v>
      </c>
      <c r="C1088" s="1" t="n">
        <v>45713</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482-2023</t>
        </is>
      </c>
      <c r="B1089" s="1" t="n">
        <v>44929</v>
      </c>
      <c r="C1089" s="1" t="n">
        <v>45713</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1127-2023</t>
        </is>
      </c>
      <c r="B1090" s="1" t="n">
        <v>44929</v>
      </c>
      <c r="C1090" s="1" t="n">
        <v>45713</v>
      </c>
      <c r="D1090" t="inlineStr">
        <is>
          <t>VÄSTERNORRLANDS LÄN</t>
        </is>
      </c>
      <c r="E1090" t="inlineStr">
        <is>
          <t>ÅNGE</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1095-2023</t>
        </is>
      </c>
      <c r="B1091" s="1" t="n">
        <v>44929</v>
      </c>
      <c r="C1091" s="1" t="n">
        <v>45713</v>
      </c>
      <c r="D1091" t="inlineStr">
        <is>
          <t>VÄSTERNORRLANDS LÄN</t>
        </is>
      </c>
      <c r="E1091" t="inlineStr">
        <is>
          <t>ÅNGE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723-2023</t>
        </is>
      </c>
      <c r="B1092" s="1" t="n">
        <v>44930</v>
      </c>
      <c r="C1092" s="1" t="n">
        <v>45713</v>
      </c>
      <c r="D1092" t="inlineStr">
        <is>
          <t>VÄSTERNORRLANDS LÄN</t>
        </is>
      </c>
      <c r="E1092" t="inlineStr">
        <is>
          <t>ÅNGE</t>
        </is>
      </c>
      <c r="F1092" t="inlineStr">
        <is>
          <t>SCA</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721-2023</t>
        </is>
      </c>
      <c r="B1093" s="1" t="n">
        <v>44930</v>
      </c>
      <c r="C1093" s="1" t="n">
        <v>45713</v>
      </c>
      <c r="D1093" t="inlineStr">
        <is>
          <t>VÄSTERNORRLANDS LÄN</t>
        </is>
      </c>
      <c r="E1093" t="inlineStr">
        <is>
          <t>ÅNGE</t>
        </is>
      </c>
      <c r="F1093" t="inlineStr">
        <is>
          <t>SCA</t>
        </is>
      </c>
      <c r="G1093" t="n">
        <v>23.6</v>
      </c>
      <c r="H1093" t="n">
        <v>0</v>
      </c>
      <c r="I1093" t="n">
        <v>0</v>
      </c>
      <c r="J1093" t="n">
        <v>0</v>
      </c>
      <c r="K1093" t="n">
        <v>0</v>
      </c>
      <c r="L1093" t="n">
        <v>0</v>
      </c>
      <c r="M1093" t="n">
        <v>0</v>
      </c>
      <c r="N1093" t="n">
        <v>0</v>
      </c>
      <c r="O1093" t="n">
        <v>0</v>
      </c>
      <c r="P1093" t="n">
        <v>0</v>
      </c>
      <c r="Q1093" t="n">
        <v>0</v>
      </c>
      <c r="R1093" s="2" t="inlineStr"/>
    </row>
    <row r="1094" ht="15" customHeight="1">
      <c r="A1094" t="inlineStr">
        <is>
          <t>A 722-2023</t>
        </is>
      </c>
      <c r="B1094" s="1" t="n">
        <v>44930</v>
      </c>
      <c r="C1094" s="1" t="n">
        <v>45713</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720-2023</t>
        </is>
      </c>
      <c r="B1095" s="1" t="n">
        <v>44930</v>
      </c>
      <c r="C1095" s="1" t="n">
        <v>45713</v>
      </c>
      <c r="D1095" t="inlineStr">
        <is>
          <t>VÄSTERNORRLANDS LÄN</t>
        </is>
      </c>
      <c r="E1095" t="inlineStr">
        <is>
          <t>ÅNGE</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v>
      </c>
      <c r="C1096" s="1" t="n">
        <v>45713</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1235-2023</t>
        </is>
      </c>
      <c r="B1097" s="1" t="n">
        <v>44935</v>
      </c>
      <c r="C1097" s="1" t="n">
        <v>45713</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1412-2023</t>
        </is>
      </c>
      <c r="B1098" s="1" t="n">
        <v>44936</v>
      </c>
      <c r="C1098" s="1" t="n">
        <v>45713</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1420-2023</t>
        </is>
      </c>
      <c r="B1099" s="1" t="n">
        <v>44936</v>
      </c>
      <c r="C1099" s="1" t="n">
        <v>45713</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1769-2023</t>
        </is>
      </c>
      <c r="B1100" s="1" t="n">
        <v>44938</v>
      </c>
      <c r="C1100" s="1" t="n">
        <v>45713</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1775-2023</t>
        </is>
      </c>
      <c r="B1101" s="1" t="n">
        <v>44938</v>
      </c>
      <c r="C1101" s="1" t="n">
        <v>45713</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45713</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3022-2023</t>
        </is>
      </c>
      <c r="B1103" s="1" t="n">
        <v>44945</v>
      </c>
      <c r="C1103" s="1" t="n">
        <v>45713</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3023-2023</t>
        </is>
      </c>
      <c r="B1104" s="1" t="n">
        <v>44945</v>
      </c>
      <c r="C1104" s="1" t="n">
        <v>45713</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3025-2023</t>
        </is>
      </c>
      <c r="B1105" s="1" t="n">
        <v>44945</v>
      </c>
      <c r="C1105" s="1" t="n">
        <v>45713</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3323-2023</t>
        </is>
      </c>
      <c r="B1106" s="1" t="n">
        <v>44945</v>
      </c>
      <c r="C1106" s="1" t="n">
        <v>45713</v>
      </c>
      <c r="D1106" t="inlineStr">
        <is>
          <t>VÄSTERNORRLANDS LÄN</t>
        </is>
      </c>
      <c r="E1106" t="inlineStr">
        <is>
          <t>ÅNGE</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3362-2023</t>
        </is>
      </c>
      <c r="B1107" s="1" t="n">
        <v>44945</v>
      </c>
      <c r="C1107" s="1" t="n">
        <v>45713</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3631-2023</t>
        </is>
      </c>
      <c r="B1108" s="1" t="n">
        <v>44950</v>
      </c>
      <c r="C1108" s="1" t="n">
        <v>45713</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3629-2023</t>
        </is>
      </c>
      <c r="B1109" s="1" t="n">
        <v>44950</v>
      </c>
      <c r="C1109" s="1" t="n">
        <v>45713</v>
      </c>
      <c r="D1109" t="inlineStr">
        <is>
          <t>VÄSTERNORRLANDS LÄN</t>
        </is>
      </c>
      <c r="E1109" t="inlineStr">
        <is>
          <t>ÅNGE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3686-2023</t>
        </is>
      </c>
      <c r="B1110" s="1" t="n">
        <v>44950</v>
      </c>
      <c r="C1110" s="1" t="n">
        <v>45713</v>
      </c>
      <c r="D1110" t="inlineStr">
        <is>
          <t>VÄSTERNORRLANDS LÄN</t>
        </is>
      </c>
      <c r="E1110" t="inlineStr">
        <is>
          <t>ÅNGE</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4095-2023</t>
        </is>
      </c>
      <c r="B1111" s="1" t="n">
        <v>44952</v>
      </c>
      <c r="C1111" s="1" t="n">
        <v>45713</v>
      </c>
      <c r="D1111" t="inlineStr">
        <is>
          <t>VÄSTERNORRLANDS LÄN</t>
        </is>
      </c>
      <c r="E1111" t="inlineStr">
        <is>
          <t>ÅNGE</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4727-2023</t>
        </is>
      </c>
      <c r="B1112" s="1" t="n">
        <v>44953</v>
      </c>
      <c r="C1112" s="1" t="n">
        <v>45713</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v>
      </c>
      <c r="C1113" s="1" t="n">
        <v>45713</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4877-2023</t>
        </is>
      </c>
      <c r="B1114" s="1" t="n">
        <v>44957</v>
      </c>
      <c r="C1114" s="1" t="n">
        <v>45713</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4883-2023</t>
        </is>
      </c>
      <c r="B1115" s="1" t="n">
        <v>44957</v>
      </c>
      <c r="C1115" s="1" t="n">
        <v>45713</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5083-2023</t>
        </is>
      </c>
      <c r="B1116" s="1" t="n">
        <v>44958</v>
      </c>
      <c r="C1116" s="1" t="n">
        <v>45713</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5455-2023</t>
        </is>
      </c>
      <c r="B1117" s="1" t="n">
        <v>44959</v>
      </c>
      <c r="C1117" s="1" t="n">
        <v>45713</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5868-2023</t>
        </is>
      </c>
      <c r="B1118" s="1" t="n">
        <v>44963</v>
      </c>
      <c r="C1118" s="1" t="n">
        <v>45713</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6179-2023</t>
        </is>
      </c>
      <c r="B1119" s="1" t="n">
        <v>44964</v>
      </c>
      <c r="C1119" s="1" t="n">
        <v>45713</v>
      </c>
      <c r="D1119" t="inlineStr">
        <is>
          <t>VÄSTERNORRLANDS LÄN</t>
        </is>
      </c>
      <c r="E1119" t="inlineStr">
        <is>
          <t>ÅNGE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6186-2023</t>
        </is>
      </c>
      <c r="B1120" s="1" t="n">
        <v>44964</v>
      </c>
      <c r="C1120" s="1" t="n">
        <v>45713</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6790-2023</t>
        </is>
      </c>
      <c r="B1121" s="1" t="n">
        <v>44966</v>
      </c>
      <c r="C1121" s="1" t="n">
        <v>45713</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6789-2023</t>
        </is>
      </c>
      <c r="B1122" s="1" t="n">
        <v>44966</v>
      </c>
      <c r="C1122" s="1" t="n">
        <v>45713</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6791-2023</t>
        </is>
      </c>
      <c r="B1123" s="1" t="n">
        <v>44966</v>
      </c>
      <c r="C1123" s="1" t="n">
        <v>45713</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6799-2023</t>
        </is>
      </c>
      <c r="B1124" s="1" t="n">
        <v>44966</v>
      </c>
      <c r="C1124" s="1" t="n">
        <v>45713</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6787-2023</t>
        </is>
      </c>
      <c r="B1125" s="1" t="n">
        <v>44966</v>
      </c>
      <c r="C1125" s="1" t="n">
        <v>45713</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7025-2023</t>
        </is>
      </c>
      <c r="B1126" s="1" t="n">
        <v>44968</v>
      </c>
      <c r="C1126" s="1" t="n">
        <v>45713</v>
      </c>
      <c r="D1126" t="inlineStr">
        <is>
          <t>VÄSTERNORRLANDS LÄN</t>
        </is>
      </c>
      <c r="E1126" t="inlineStr">
        <is>
          <t>ÅNGE</t>
        </is>
      </c>
      <c r="F1126" t="inlineStr">
        <is>
          <t>SCA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7528-2023</t>
        </is>
      </c>
      <c r="B1127" s="1" t="n">
        <v>44972</v>
      </c>
      <c r="C1127" s="1" t="n">
        <v>45713</v>
      </c>
      <c r="D1127" t="inlineStr">
        <is>
          <t>VÄSTERNORRLANDS LÄN</t>
        </is>
      </c>
      <c r="E1127" t="inlineStr">
        <is>
          <t>ÅNGE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7529-2023</t>
        </is>
      </c>
      <c r="B1128" s="1" t="n">
        <v>44972</v>
      </c>
      <c r="C1128" s="1" t="n">
        <v>45713</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7527-2023</t>
        </is>
      </c>
      <c r="B1129" s="1" t="n">
        <v>44971</v>
      </c>
      <c r="C1129" s="1" t="n">
        <v>45713</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45713</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7526-2023</t>
        </is>
      </c>
      <c r="B1131" s="1" t="n">
        <v>44972</v>
      </c>
      <c r="C1131" s="1" t="n">
        <v>45713</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8406-2023</t>
        </is>
      </c>
      <c r="B1132" s="1" t="n">
        <v>44971</v>
      </c>
      <c r="C1132" s="1" t="n">
        <v>45713</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45713</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7720-2023</t>
        </is>
      </c>
      <c r="B1134" s="1" t="n">
        <v>44972</v>
      </c>
      <c r="C1134" s="1" t="n">
        <v>45713</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7723-2023</t>
        </is>
      </c>
      <c r="B1135" s="1" t="n">
        <v>44972</v>
      </c>
      <c r="C1135" s="1" t="n">
        <v>45713</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8627-2023</t>
        </is>
      </c>
      <c r="B1136" s="1" t="n">
        <v>44977</v>
      </c>
      <c r="C1136" s="1" t="n">
        <v>45713</v>
      </c>
      <c r="D1136" t="inlineStr">
        <is>
          <t>VÄSTERNORRLANDS LÄN</t>
        </is>
      </c>
      <c r="E1136" t="inlineStr">
        <is>
          <t>ÅNGE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8666-2023</t>
        </is>
      </c>
      <c r="B1137" s="1" t="n">
        <v>44977</v>
      </c>
      <c r="C1137" s="1" t="n">
        <v>45713</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8869-2023</t>
        </is>
      </c>
      <c r="B1138" s="1" t="n">
        <v>44978</v>
      </c>
      <c r="C1138" s="1" t="n">
        <v>45713</v>
      </c>
      <c r="D1138" t="inlineStr">
        <is>
          <t>VÄSTERNORRLANDS LÄN</t>
        </is>
      </c>
      <c r="E1138" t="inlineStr">
        <is>
          <t>ÅNGE</t>
        </is>
      </c>
      <c r="F1138" t="inlineStr">
        <is>
          <t>SCA</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8868-2023</t>
        </is>
      </c>
      <c r="B1139" s="1" t="n">
        <v>44978</v>
      </c>
      <c r="C1139" s="1" t="n">
        <v>45713</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8867-2023</t>
        </is>
      </c>
      <c r="B1140" s="1" t="n">
        <v>44978</v>
      </c>
      <c r="C1140" s="1" t="n">
        <v>45713</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9211-2023</t>
        </is>
      </c>
      <c r="B1141" s="1" t="n">
        <v>44980</v>
      </c>
      <c r="C1141" s="1" t="n">
        <v>45713</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9215-2023</t>
        </is>
      </c>
      <c r="B1142" s="1" t="n">
        <v>44980</v>
      </c>
      <c r="C1142" s="1" t="n">
        <v>45713</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9861-2023</t>
        </is>
      </c>
      <c r="B1143" s="1" t="n">
        <v>44984</v>
      </c>
      <c r="C1143" s="1" t="n">
        <v>45713</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10067-2023</t>
        </is>
      </c>
      <c r="B1144" s="1" t="n">
        <v>44985</v>
      </c>
      <c r="C1144" s="1" t="n">
        <v>45713</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10071-2023</t>
        </is>
      </c>
      <c r="B1145" s="1" t="n">
        <v>44985</v>
      </c>
      <c r="C1145" s="1" t="n">
        <v>45713</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v>
      </c>
      <c r="C1146" s="1" t="n">
        <v>45713</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45713</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10068-2023</t>
        </is>
      </c>
      <c r="B1148" s="1" t="n">
        <v>44985</v>
      </c>
      <c r="C1148" s="1" t="n">
        <v>45713</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10090-2023</t>
        </is>
      </c>
      <c r="B1149" s="1" t="n">
        <v>44985</v>
      </c>
      <c r="C1149" s="1" t="n">
        <v>45713</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10070-2023</t>
        </is>
      </c>
      <c r="B1150" s="1" t="n">
        <v>44985</v>
      </c>
      <c r="C1150" s="1" t="n">
        <v>45713</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45713</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10558-2023</t>
        </is>
      </c>
      <c r="B1152" s="1" t="n">
        <v>44987</v>
      </c>
      <c r="C1152" s="1" t="n">
        <v>45713</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10557-2023</t>
        </is>
      </c>
      <c r="B1153" s="1" t="n">
        <v>44987</v>
      </c>
      <c r="C1153" s="1" t="n">
        <v>45713</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10778-2023</t>
        </is>
      </c>
      <c r="B1154" s="1" t="n">
        <v>44988</v>
      </c>
      <c r="C1154" s="1" t="n">
        <v>45713</v>
      </c>
      <c r="D1154" t="inlineStr">
        <is>
          <t>VÄSTERNORRLANDS LÄN</t>
        </is>
      </c>
      <c r="E1154" t="inlineStr">
        <is>
          <t>ÅNGE</t>
        </is>
      </c>
      <c r="F1154" t="inlineStr">
        <is>
          <t>SCA</t>
        </is>
      </c>
      <c r="G1154" t="n">
        <v>46.4</v>
      </c>
      <c r="H1154" t="n">
        <v>0</v>
      </c>
      <c r="I1154" t="n">
        <v>0</v>
      </c>
      <c r="J1154" t="n">
        <v>0</v>
      </c>
      <c r="K1154" t="n">
        <v>0</v>
      </c>
      <c r="L1154" t="n">
        <v>0</v>
      </c>
      <c r="M1154" t="n">
        <v>0</v>
      </c>
      <c r="N1154" t="n">
        <v>0</v>
      </c>
      <c r="O1154" t="n">
        <v>0</v>
      </c>
      <c r="P1154" t="n">
        <v>0</v>
      </c>
      <c r="Q1154" t="n">
        <v>0</v>
      </c>
      <c r="R1154" s="2" t="inlineStr"/>
    </row>
    <row r="1155" ht="15" customHeight="1">
      <c r="A1155" t="inlineStr">
        <is>
          <t>A 11300-2023</t>
        </is>
      </c>
      <c r="B1155" s="1" t="n">
        <v>44993</v>
      </c>
      <c r="C1155" s="1" t="n">
        <v>45713</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11309-2023</t>
        </is>
      </c>
      <c r="B1156" s="1" t="n">
        <v>44993</v>
      </c>
      <c r="C1156" s="1" t="n">
        <v>45713</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11529-2023</t>
        </is>
      </c>
      <c r="B1157" s="1" t="n">
        <v>44993</v>
      </c>
      <c r="C1157" s="1" t="n">
        <v>45713</v>
      </c>
      <c r="D1157" t="inlineStr">
        <is>
          <t>VÄSTERNORRLANDS LÄN</t>
        </is>
      </c>
      <c r="E1157" t="inlineStr">
        <is>
          <t>ÅNGE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11299-2023</t>
        </is>
      </c>
      <c r="B1158" s="1" t="n">
        <v>44993</v>
      </c>
      <c r="C1158" s="1" t="n">
        <v>45713</v>
      </c>
      <c r="D1158" t="inlineStr">
        <is>
          <t>VÄSTERNORRLANDS LÄN</t>
        </is>
      </c>
      <c r="E1158" t="inlineStr">
        <is>
          <t>ÅNGE</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11310-2023</t>
        </is>
      </c>
      <c r="B1159" s="1" t="n">
        <v>44993</v>
      </c>
      <c r="C1159" s="1" t="n">
        <v>45713</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11531-2023</t>
        </is>
      </c>
      <c r="B1160" s="1" t="n">
        <v>44993</v>
      </c>
      <c r="C1160" s="1" t="n">
        <v>45713</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11532-2023</t>
        </is>
      </c>
      <c r="B1161" s="1" t="n">
        <v>44993</v>
      </c>
      <c r="C1161" s="1" t="n">
        <v>45713</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12749-2023</t>
        </is>
      </c>
      <c r="B1162" s="1" t="n">
        <v>45000</v>
      </c>
      <c r="C1162" s="1" t="n">
        <v>45713</v>
      </c>
      <c r="D1162" t="inlineStr">
        <is>
          <t>VÄSTERNORRLANDS LÄN</t>
        </is>
      </c>
      <c r="E1162" t="inlineStr">
        <is>
          <t>ÅNGE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12748-2023</t>
        </is>
      </c>
      <c r="B1163" s="1" t="n">
        <v>45000</v>
      </c>
      <c r="C1163" s="1" t="n">
        <v>45713</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12742-2023</t>
        </is>
      </c>
      <c r="B1164" s="1" t="n">
        <v>45000</v>
      </c>
      <c r="C1164" s="1" t="n">
        <v>45713</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12997-2023</t>
        </is>
      </c>
      <c r="B1165" s="1" t="n">
        <v>45002</v>
      </c>
      <c r="C1165" s="1" t="n">
        <v>45713</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12987-2023</t>
        </is>
      </c>
      <c r="B1166" s="1" t="n">
        <v>45002</v>
      </c>
      <c r="C1166" s="1" t="n">
        <v>45713</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12999-2023</t>
        </is>
      </c>
      <c r="B1167" s="1" t="n">
        <v>45002</v>
      </c>
      <c r="C1167" s="1" t="n">
        <v>45713</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12998-2023</t>
        </is>
      </c>
      <c r="B1168" s="1" t="n">
        <v>45002</v>
      </c>
      <c r="C1168" s="1" t="n">
        <v>45713</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13485-2023</t>
        </is>
      </c>
      <c r="B1169" s="1" t="n">
        <v>45005</v>
      </c>
      <c r="C1169" s="1" t="n">
        <v>45713</v>
      </c>
      <c r="D1169" t="inlineStr">
        <is>
          <t>VÄSTERNORRLANDS LÄN</t>
        </is>
      </c>
      <c r="E1169" t="inlineStr">
        <is>
          <t>ÅNGE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13491-2023</t>
        </is>
      </c>
      <c r="B1170" s="1" t="n">
        <v>45005</v>
      </c>
      <c r="C1170" s="1" t="n">
        <v>45713</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13705-2023</t>
        </is>
      </c>
      <c r="B1171" s="1" t="n">
        <v>45006</v>
      </c>
      <c r="C1171" s="1" t="n">
        <v>45713</v>
      </c>
      <c r="D1171" t="inlineStr">
        <is>
          <t>VÄSTERNORRLANDS LÄN</t>
        </is>
      </c>
      <c r="E1171" t="inlineStr">
        <is>
          <t>ÅNGE</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13704-2023</t>
        </is>
      </c>
      <c r="B1172" s="1" t="n">
        <v>45006</v>
      </c>
      <c r="C1172" s="1" t="n">
        <v>45713</v>
      </c>
      <c r="D1172" t="inlineStr">
        <is>
          <t>VÄSTERNORRLANDS LÄN</t>
        </is>
      </c>
      <c r="E1172" t="inlineStr">
        <is>
          <t>ÅNGE</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13706-2023</t>
        </is>
      </c>
      <c r="B1173" s="1" t="n">
        <v>45006</v>
      </c>
      <c r="C1173" s="1" t="n">
        <v>45713</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14183-2023</t>
        </is>
      </c>
      <c r="B1174" s="1" t="n">
        <v>45009</v>
      </c>
      <c r="C1174" s="1" t="n">
        <v>45713</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14257-2023</t>
        </is>
      </c>
      <c r="B1175" s="1" t="n">
        <v>45009</v>
      </c>
      <c r="C1175" s="1" t="n">
        <v>45713</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14258-2023</t>
        </is>
      </c>
      <c r="B1176" s="1" t="n">
        <v>45009</v>
      </c>
      <c r="C1176" s="1" t="n">
        <v>45713</v>
      </c>
      <c r="D1176" t="inlineStr">
        <is>
          <t>VÄSTERNORRLANDS LÄN</t>
        </is>
      </c>
      <c r="E1176" t="inlineStr">
        <is>
          <t>ÅNGE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14260-2023</t>
        </is>
      </c>
      <c r="B1177" s="1" t="n">
        <v>45009</v>
      </c>
      <c r="C1177" s="1" t="n">
        <v>45713</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14527-2023</t>
        </is>
      </c>
      <c r="B1178" s="1" t="n">
        <v>45013</v>
      </c>
      <c r="C1178" s="1" t="n">
        <v>45713</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14667-2023</t>
        </is>
      </c>
      <c r="B1179" s="1" t="n">
        <v>45013</v>
      </c>
      <c r="C1179" s="1" t="n">
        <v>45713</v>
      </c>
      <c r="D1179" t="inlineStr">
        <is>
          <t>VÄSTERNORRLANDS LÄN</t>
        </is>
      </c>
      <c r="E1179" t="inlineStr">
        <is>
          <t>ÅNGE</t>
        </is>
      </c>
      <c r="F1179" t="inlineStr">
        <is>
          <t>SCA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14676-2023</t>
        </is>
      </c>
      <c r="B1180" s="1" t="n">
        <v>45013</v>
      </c>
      <c r="C1180" s="1" t="n">
        <v>45713</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14879-2023</t>
        </is>
      </c>
      <c r="B1181" s="1" t="n">
        <v>45015</v>
      </c>
      <c r="C1181" s="1" t="n">
        <v>45713</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14885-2023</t>
        </is>
      </c>
      <c r="B1182" s="1" t="n">
        <v>45015</v>
      </c>
      <c r="C1182" s="1" t="n">
        <v>45713</v>
      </c>
      <c r="D1182" t="inlineStr">
        <is>
          <t>VÄSTERNORRLANDS LÄN</t>
        </is>
      </c>
      <c r="E1182" t="inlineStr">
        <is>
          <t>ÅNGE</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14870-2023</t>
        </is>
      </c>
      <c r="B1183" s="1" t="n">
        <v>45015</v>
      </c>
      <c r="C1183" s="1" t="n">
        <v>45713</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16192-2023</t>
        </is>
      </c>
      <c r="B1184" s="1" t="n">
        <v>45028</v>
      </c>
      <c r="C1184" s="1" t="n">
        <v>45713</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16191-2023</t>
        </is>
      </c>
      <c r="B1185" s="1" t="n">
        <v>45028</v>
      </c>
      <c r="C1185" s="1" t="n">
        <v>45713</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16361-2023</t>
        </is>
      </c>
      <c r="B1186" s="1" t="n">
        <v>45029</v>
      </c>
      <c r="C1186" s="1" t="n">
        <v>45713</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16365-2023</t>
        </is>
      </c>
      <c r="B1187" s="1" t="n">
        <v>45028</v>
      </c>
      <c r="C1187" s="1" t="n">
        <v>45713</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16281-2023</t>
        </is>
      </c>
      <c r="B1188" s="1" t="n">
        <v>45028</v>
      </c>
      <c r="C1188" s="1" t="n">
        <v>45713</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16362-2023</t>
        </is>
      </c>
      <c r="B1189" s="1" t="n">
        <v>45029</v>
      </c>
      <c r="C1189" s="1" t="n">
        <v>45713</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16360-2023</t>
        </is>
      </c>
      <c r="B1190" s="1" t="n">
        <v>45029</v>
      </c>
      <c r="C1190" s="1" t="n">
        <v>45713</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16378-2023</t>
        </is>
      </c>
      <c r="B1191" s="1" t="n">
        <v>45028</v>
      </c>
      <c r="C1191" s="1" t="n">
        <v>45713</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16380-2023</t>
        </is>
      </c>
      <c r="B1192" s="1" t="n">
        <v>45028</v>
      </c>
      <c r="C1192" s="1" t="n">
        <v>45713</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16571-2023</t>
        </is>
      </c>
      <c r="B1193" s="1" t="n">
        <v>45030</v>
      </c>
      <c r="C1193" s="1" t="n">
        <v>45713</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16572-2023</t>
        </is>
      </c>
      <c r="B1194" s="1" t="n">
        <v>45030</v>
      </c>
      <c r="C1194" s="1" t="n">
        <v>45713</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16576-2023</t>
        </is>
      </c>
      <c r="B1195" s="1" t="n">
        <v>45030</v>
      </c>
      <c r="C1195" s="1" t="n">
        <v>45713</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16600-2023</t>
        </is>
      </c>
      <c r="B1196" s="1" t="n">
        <v>45030</v>
      </c>
      <c r="C1196" s="1" t="n">
        <v>45713</v>
      </c>
      <c r="D1196" t="inlineStr">
        <is>
          <t>VÄSTERNORRLANDS LÄN</t>
        </is>
      </c>
      <c r="E1196" t="inlineStr">
        <is>
          <t>ÅNGE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16606-2023</t>
        </is>
      </c>
      <c r="B1197" s="1" t="n">
        <v>45030</v>
      </c>
      <c r="C1197" s="1" t="n">
        <v>45713</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16763-2023</t>
        </is>
      </c>
      <c r="B1198" s="1" t="n">
        <v>45030</v>
      </c>
      <c r="C1198" s="1" t="n">
        <v>45713</v>
      </c>
      <c r="D1198" t="inlineStr">
        <is>
          <t>VÄSTERNORRLANDS LÄN</t>
        </is>
      </c>
      <c r="E1198" t="inlineStr">
        <is>
          <t>ÅNGE</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16593-2023</t>
        </is>
      </c>
      <c r="B1199" s="1" t="n">
        <v>45030</v>
      </c>
      <c r="C1199" s="1" t="n">
        <v>45713</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16762-2023</t>
        </is>
      </c>
      <c r="B1200" s="1" t="n">
        <v>45030</v>
      </c>
      <c r="C1200" s="1" t="n">
        <v>45713</v>
      </c>
      <c r="D1200" t="inlineStr">
        <is>
          <t>VÄSTERNORRLANDS LÄN</t>
        </is>
      </c>
      <c r="E1200" t="inlineStr">
        <is>
          <t>ÅNGE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16815-2023</t>
        </is>
      </c>
      <c r="B1201" s="1" t="n">
        <v>45033</v>
      </c>
      <c r="C1201" s="1" t="n">
        <v>45713</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16812-2023</t>
        </is>
      </c>
      <c r="B1202" s="1" t="n">
        <v>45033</v>
      </c>
      <c r="C1202" s="1" t="n">
        <v>45713</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16853-2023</t>
        </is>
      </c>
      <c r="B1203" s="1" t="n">
        <v>45033</v>
      </c>
      <c r="C1203" s="1" t="n">
        <v>45713</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17009-2023</t>
        </is>
      </c>
      <c r="B1204" s="1" t="n">
        <v>45034</v>
      </c>
      <c r="C1204" s="1" t="n">
        <v>45713</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17044-2023</t>
        </is>
      </c>
      <c r="B1205" s="1" t="n">
        <v>45034</v>
      </c>
      <c r="C1205" s="1" t="n">
        <v>45713</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17103-2023</t>
        </is>
      </c>
      <c r="B1206" s="1" t="n">
        <v>45034</v>
      </c>
      <c r="C1206" s="1" t="n">
        <v>45713</v>
      </c>
      <c r="D1206" t="inlineStr">
        <is>
          <t>VÄSTERNORRLANDS LÄN</t>
        </is>
      </c>
      <c r="E1206" t="inlineStr">
        <is>
          <t>ÅNGE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17668-2023</t>
        </is>
      </c>
      <c r="B1207" s="1" t="n">
        <v>45036</v>
      </c>
      <c r="C1207" s="1" t="n">
        <v>45713</v>
      </c>
      <c r="D1207" t="inlineStr">
        <is>
          <t>VÄSTERNORRLANDS LÄN</t>
        </is>
      </c>
      <c r="E1207" t="inlineStr">
        <is>
          <t>ÅNGE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17669-2023</t>
        </is>
      </c>
      <c r="B1208" s="1" t="n">
        <v>45037</v>
      </c>
      <c r="C1208" s="1" t="n">
        <v>45713</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17670-2023</t>
        </is>
      </c>
      <c r="B1209" s="1" t="n">
        <v>45036</v>
      </c>
      <c r="C1209" s="1" t="n">
        <v>45713</v>
      </c>
      <c r="D1209" t="inlineStr">
        <is>
          <t>VÄSTERNORRLANDS LÄN</t>
        </is>
      </c>
      <c r="E1209" t="inlineStr">
        <is>
          <t>ÅNGE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17934-2023</t>
        </is>
      </c>
      <c r="B1210" s="1" t="n">
        <v>45037</v>
      </c>
      <c r="C1210" s="1" t="n">
        <v>45713</v>
      </c>
      <c r="D1210" t="inlineStr">
        <is>
          <t>VÄSTERNORRLANDS LÄN</t>
        </is>
      </c>
      <c r="E1210" t="inlineStr">
        <is>
          <t>ÅNGE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18033-2023</t>
        </is>
      </c>
      <c r="B1211" s="1" t="n">
        <v>45037</v>
      </c>
      <c r="C1211" s="1" t="n">
        <v>45713</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17860-2023</t>
        </is>
      </c>
      <c r="B1212" s="1" t="n">
        <v>45038</v>
      </c>
      <c r="C1212" s="1" t="n">
        <v>45713</v>
      </c>
      <c r="D1212" t="inlineStr">
        <is>
          <t>VÄSTERNORRLANDS LÄN</t>
        </is>
      </c>
      <c r="E1212" t="inlineStr">
        <is>
          <t>ÅNGE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18061-2023</t>
        </is>
      </c>
      <c r="B1213" s="1" t="n">
        <v>45037</v>
      </c>
      <c r="C1213" s="1" t="n">
        <v>45713</v>
      </c>
      <c r="D1213" t="inlineStr">
        <is>
          <t>VÄSTERNORRLANDS LÄN</t>
        </is>
      </c>
      <c r="E1213" t="inlineStr">
        <is>
          <t>ÅNGE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18168-2023</t>
        </is>
      </c>
      <c r="B1214" s="1" t="n">
        <v>45040</v>
      </c>
      <c r="C1214" s="1" t="n">
        <v>45713</v>
      </c>
      <c r="D1214" t="inlineStr">
        <is>
          <t>VÄSTERNORRLANDS LÄN</t>
        </is>
      </c>
      <c r="E1214" t="inlineStr">
        <is>
          <t>ÅNGE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18169-2023</t>
        </is>
      </c>
      <c r="B1215" s="1" t="n">
        <v>45040</v>
      </c>
      <c r="C1215" s="1" t="n">
        <v>45713</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18170-2023</t>
        </is>
      </c>
      <c r="B1216" s="1" t="n">
        <v>45040</v>
      </c>
      <c r="C1216" s="1" t="n">
        <v>45713</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18305-2023</t>
        </is>
      </c>
      <c r="B1217" s="1" t="n">
        <v>45041</v>
      </c>
      <c r="C1217" s="1" t="n">
        <v>45713</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18370-2023</t>
        </is>
      </c>
      <c r="B1218" s="1" t="n">
        <v>45041</v>
      </c>
      <c r="C1218" s="1" t="n">
        <v>45713</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18487-2023</t>
        </is>
      </c>
      <c r="B1219" s="1" t="n">
        <v>45042</v>
      </c>
      <c r="C1219" s="1" t="n">
        <v>45713</v>
      </c>
      <c r="D1219" t="inlineStr">
        <is>
          <t>VÄSTERNORRLANDS LÄN</t>
        </is>
      </c>
      <c r="E1219" t="inlineStr">
        <is>
          <t>ÅNGE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18560-2023</t>
        </is>
      </c>
      <c r="B1220" s="1" t="n">
        <v>45042</v>
      </c>
      <c r="C1220" s="1" t="n">
        <v>45713</v>
      </c>
      <c r="D1220" t="inlineStr">
        <is>
          <t>VÄSTERNORRLANDS LÄN</t>
        </is>
      </c>
      <c r="E1220" t="inlineStr">
        <is>
          <t>ÅNGE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v>
      </c>
      <c r="C1221" s="1" t="n">
        <v>45713</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19231-2023</t>
        </is>
      </c>
      <c r="B1222" s="1" t="n">
        <v>45048</v>
      </c>
      <c r="C1222" s="1" t="n">
        <v>45713</v>
      </c>
      <c r="D1222" t="inlineStr">
        <is>
          <t>VÄSTERNORRLANDS LÄN</t>
        </is>
      </c>
      <c r="E1222" t="inlineStr">
        <is>
          <t>ÅNGE</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19624-2023</t>
        </is>
      </c>
      <c r="B1223" s="1" t="n">
        <v>45051</v>
      </c>
      <c r="C1223" s="1" t="n">
        <v>45713</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19622-2023</t>
        </is>
      </c>
      <c r="B1224" s="1" t="n">
        <v>45051</v>
      </c>
      <c r="C1224" s="1" t="n">
        <v>45713</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19811-2023</t>
        </is>
      </c>
      <c r="B1225" s="1" t="n">
        <v>45052</v>
      </c>
      <c r="C1225" s="1" t="n">
        <v>45713</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19810-2023</t>
        </is>
      </c>
      <c r="B1226" s="1" t="n">
        <v>45052</v>
      </c>
      <c r="C1226" s="1" t="n">
        <v>45713</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19827-2023</t>
        </is>
      </c>
      <c r="B1227" s="1" t="n">
        <v>45052</v>
      </c>
      <c r="C1227" s="1" t="n">
        <v>45713</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20009-2023</t>
        </is>
      </c>
      <c r="B1228" s="1" t="n">
        <v>45051</v>
      </c>
      <c r="C1228" s="1" t="n">
        <v>45713</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20110-2023</t>
        </is>
      </c>
      <c r="B1229" s="1" t="n">
        <v>45051</v>
      </c>
      <c r="C1229" s="1" t="n">
        <v>45713</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20024-2023</t>
        </is>
      </c>
      <c r="B1230" s="1" t="n">
        <v>45051</v>
      </c>
      <c r="C1230" s="1" t="n">
        <v>45713</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19997-2023</t>
        </is>
      </c>
      <c r="B1231" s="1" t="n">
        <v>45054</v>
      </c>
      <c r="C1231" s="1" t="n">
        <v>45713</v>
      </c>
      <c r="D1231" t="inlineStr">
        <is>
          <t>VÄSTERNORRLANDS LÄN</t>
        </is>
      </c>
      <c r="E1231" t="inlineStr">
        <is>
          <t>ÅNGE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20099-2023</t>
        </is>
      </c>
      <c r="B1232" s="1" t="n">
        <v>45055</v>
      </c>
      <c r="C1232" s="1" t="n">
        <v>45713</v>
      </c>
      <c r="D1232" t="inlineStr">
        <is>
          <t>VÄSTERNORRLANDS LÄN</t>
        </is>
      </c>
      <c r="E1232" t="inlineStr">
        <is>
          <t>ÅNGE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20255-2023</t>
        </is>
      </c>
      <c r="B1233" s="1" t="n">
        <v>45055</v>
      </c>
      <c r="C1233" s="1" t="n">
        <v>45713</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20256-2023</t>
        </is>
      </c>
      <c r="B1234" s="1" t="n">
        <v>45055</v>
      </c>
      <c r="C1234" s="1" t="n">
        <v>45713</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20453-2023</t>
        </is>
      </c>
      <c r="B1235" s="1" t="n">
        <v>45057</v>
      </c>
      <c r="C1235" s="1" t="n">
        <v>45713</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20627-2023</t>
        </is>
      </c>
      <c r="B1236" s="1" t="n">
        <v>45057</v>
      </c>
      <c r="C1236" s="1" t="n">
        <v>45713</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20853-2023</t>
        </is>
      </c>
      <c r="B1237" s="1" t="n">
        <v>45058</v>
      </c>
      <c r="C1237" s="1" t="n">
        <v>45713</v>
      </c>
      <c r="D1237" t="inlineStr">
        <is>
          <t>VÄSTERNORRLANDS LÄN</t>
        </is>
      </c>
      <c r="E1237" t="inlineStr">
        <is>
          <t>ÅNGE</t>
        </is>
      </c>
      <c r="F1237" t="inlineStr">
        <is>
          <t>Holmen skog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20881-2023</t>
        </is>
      </c>
      <c r="B1238" s="1" t="n">
        <v>45059</v>
      </c>
      <c r="C1238" s="1" t="n">
        <v>45713</v>
      </c>
      <c r="D1238" t="inlineStr">
        <is>
          <t>VÄSTERNORRLANDS LÄN</t>
        </is>
      </c>
      <c r="E1238" t="inlineStr">
        <is>
          <t>ÅNGE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20885-2023</t>
        </is>
      </c>
      <c r="B1239" s="1" t="n">
        <v>45058</v>
      </c>
      <c r="C1239" s="1" t="n">
        <v>45713</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20883-2023</t>
        </is>
      </c>
      <c r="B1240" s="1" t="n">
        <v>45059</v>
      </c>
      <c r="C1240" s="1" t="n">
        <v>45713</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20890-2023</t>
        </is>
      </c>
      <c r="B1241" s="1" t="n">
        <v>45058</v>
      </c>
      <c r="C1241" s="1" t="n">
        <v>45713</v>
      </c>
      <c r="D1241" t="inlineStr">
        <is>
          <t>VÄSTERNORRLANDS LÄN</t>
        </is>
      </c>
      <c r="E1241" t="inlineStr">
        <is>
          <t>ÅNGE</t>
        </is>
      </c>
      <c r="F1241" t="inlineStr">
        <is>
          <t>SCA</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20884-2023</t>
        </is>
      </c>
      <c r="B1242" s="1" t="n">
        <v>45059</v>
      </c>
      <c r="C1242" s="1" t="n">
        <v>45713</v>
      </c>
      <c r="D1242" t="inlineStr">
        <is>
          <t>VÄSTERNORRLANDS LÄN</t>
        </is>
      </c>
      <c r="E1242" t="inlineStr">
        <is>
          <t>ÅNGE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21354-2023</t>
        </is>
      </c>
      <c r="B1243" s="1" t="n">
        <v>45063</v>
      </c>
      <c r="C1243" s="1" t="n">
        <v>45713</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21352-2023</t>
        </is>
      </c>
      <c r="B1244" s="1" t="n">
        <v>45062</v>
      </c>
      <c r="C1244" s="1" t="n">
        <v>45713</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21355-2023</t>
        </is>
      </c>
      <c r="B1245" s="1" t="n">
        <v>45063</v>
      </c>
      <c r="C1245" s="1" t="n">
        <v>45713</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21694-2023</t>
        </is>
      </c>
      <c r="B1246" s="1" t="n">
        <v>45063</v>
      </c>
      <c r="C1246" s="1" t="n">
        <v>45713</v>
      </c>
      <c r="D1246" t="inlineStr">
        <is>
          <t>VÄSTERNORRLANDS LÄN</t>
        </is>
      </c>
      <c r="E1246" t="inlineStr">
        <is>
          <t>ÅNGE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21681-2023</t>
        </is>
      </c>
      <c r="B1247" s="1" t="n">
        <v>45064</v>
      </c>
      <c r="C1247" s="1" t="n">
        <v>45713</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21691-2023</t>
        </is>
      </c>
      <c r="B1248" s="1" t="n">
        <v>45063</v>
      </c>
      <c r="C1248" s="1" t="n">
        <v>45713</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21695-2023</t>
        </is>
      </c>
      <c r="B1249" s="1" t="n">
        <v>45063</v>
      </c>
      <c r="C1249" s="1" t="n">
        <v>45713</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21668-2023</t>
        </is>
      </c>
      <c r="B1250" s="1" t="n">
        <v>45064</v>
      </c>
      <c r="C1250" s="1" t="n">
        <v>45713</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21692-2023</t>
        </is>
      </c>
      <c r="B1251" s="1" t="n">
        <v>45063</v>
      </c>
      <c r="C1251" s="1" t="n">
        <v>45713</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21680-2023</t>
        </is>
      </c>
      <c r="B1252" s="1" t="n">
        <v>45064</v>
      </c>
      <c r="C1252" s="1" t="n">
        <v>45713</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21693-2023</t>
        </is>
      </c>
      <c r="B1253" s="1" t="n">
        <v>45063</v>
      </c>
      <c r="C1253" s="1" t="n">
        <v>45713</v>
      </c>
      <c r="D1253" t="inlineStr">
        <is>
          <t>VÄSTERNORRLANDS LÄN</t>
        </is>
      </c>
      <c r="E1253" t="inlineStr">
        <is>
          <t>ÅNGE</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22005-2023</t>
        </is>
      </c>
      <c r="B1254" s="1" t="n">
        <v>45069</v>
      </c>
      <c r="C1254" s="1" t="n">
        <v>45713</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22013-2023</t>
        </is>
      </c>
      <c r="B1255" s="1" t="n">
        <v>45069</v>
      </c>
      <c r="C1255" s="1" t="n">
        <v>45713</v>
      </c>
      <c r="D1255" t="inlineStr">
        <is>
          <t>VÄSTERNORRLANDS LÄN</t>
        </is>
      </c>
      <c r="E1255" t="inlineStr">
        <is>
          <t>ÅNGE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22248-2023</t>
        </is>
      </c>
      <c r="B1256" s="1" t="n">
        <v>45070</v>
      </c>
      <c r="C1256" s="1" t="n">
        <v>45713</v>
      </c>
      <c r="D1256" t="inlineStr">
        <is>
          <t>VÄSTERNORRLANDS LÄN</t>
        </is>
      </c>
      <c r="E1256" t="inlineStr">
        <is>
          <t>ÅNGE</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22411-2023</t>
        </is>
      </c>
      <c r="B1257" s="1" t="n">
        <v>45070</v>
      </c>
      <c r="C1257" s="1" t="n">
        <v>45713</v>
      </c>
      <c r="D1257" t="inlineStr">
        <is>
          <t>VÄSTERNORRLANDS LÄN</t>
        </is>
      </c>
      <c r="E1257" t="inlineStr">
        <is>
          <t>ÅNGE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22740-2023</t>
        </is>
      </c>
      <c r="B1258" s="1" t="n">
        <v>45072</v>
      </c>
      <c r="C1258" s="1" t="n">
        <v>45713</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22755-2023</t>
        </is>
      </c>
      <c r="B1259" s="1" t="n">
        <v>45072</v>
      </c>
      <c r="C1259" s="1" t="n">
        <v>45713</v>
      </c>
      <c r="D1259" t="inlineStr">
        <is>
          <t>VÄSTERNORRLANDS LÄN</t>
        </is>
      </c>
      <c r="E1259" t="inlineStr">
        <is>
          <t>ÅNGE</t>
        </is>
      </c>
      <c r="F1259" t="inlineStr">
        <is>
          <t>SCA</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22752-2023</t>
        </is>
      </c>
      <c r="B1260" s="1" t="n">
        <v>45072</v>
      </c>
      <c r="C1260" s="1" t="n">
        <v>45713</v>
      </c>
      <c r="D1260" t="inlineStr">
        <is>
          <t>VÄSTERNORRLANDS LÄN</t>
        </is>
      </c>
      <c r="E1260" t="inlineStr">
        <is>
          <t>ÅNGE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22756-2023</t>
        </is>
      </c>
      <c r="B1261" s="1" t="n">
        <v>45072</v>
      </c>
      <c r="C1261" s="1" t="n">
        <v>45713</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22753-2023</t>
        </is>
      </c>
      <c r="B1262" s="1" t="n">
        <v>45072</v>
      </c>
      <c r="C1262" s="1" t="n">
        <v>45713</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22987-2023</t>
        </is>
      </c>
      <c r="B1263" s="1" t="n">
        <v>45072</v>
      </c>
      <c r="C1263" s="1" t="n">
        <v>45713</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22997-2023</t>
        </is>
      </c>
      <c r="B1264" s="1" t="n">
        <v>45073</v>
      </c>
      <c r="C1264" s="1" t="n">
        <v>45713</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23308-2023</t>
        </is>
      </c>
      <c r="B1265" s="1" t="n">
        <v>45075</v>
      </c>
      <c r="C1265" s="1" t="n">
        <v>45713</v>
      </c>
      <c r="D1265" t="inlineStr">
        <is>
          <t>VÄSTERNORRLANDS LÄN</t>
        </is>
      </c>
      <c r="E1265" t="inlineStr">
        <is>
          <t>ÅNGE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23307-2023</t>
        </is>
      </c>
      <c r="B1266" s="1" t="n">
        <v>45075</v>
      </c>
      <c r="C1266" s="1" t="n">
        <v>45713</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23520-2023</t>
        </is>
      </c>
      <c r="B1267" s="1" t="n">
        <v>45077</v>
      </c>
      <c r="C1267" s="1" t="n">
        <v>45713</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23671-2023</t>
        </is>
      </c>
      <c r="B1268" s="1" t="n">
        <v>45077</v>
      </c>
      <c r="C1268" s="1" t="n">
        <v>45713</v>
      </c>
      <c r="D1268" t="inlineStr">
        <is>
          <t>VÄSTERNORRLANDS LÄN</t>
        </is>
      </c>
      <c r="E1268" t="inlineStr">
        <is>
          <t>ÅNGE</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23746-2023</t>
        </is>
      </c>
      <c r="B1269" s="1" t="n">
        <v>45077</v>
      </c>
      <c r="C1269" s="1" t="n">
        <v>45713</v>
      </c>
      <c r="D1269" t="inlineStr">
        <is>
          <t>VÄSTERNORRLANDS LÄN</t>
        </is>
      </c>
      <c r="E1269" t="inlineStr">
        <is>
          <t>ÅNGE</t>
        </is>
      </c>
      <c r="F1269" t="inlineStr">
        <is>
          <t>Holmen skog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24037-2023</t>
        </is>
      </c>
      <c r="B1270" s="1" t="n">
        <v>45078</v>
      </c>
      <c r="C1270" s="1" t="n">
        <v>45713</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24058-2023</t>
        </is>
      </c>
      <c r="B1271" s="1" t="n">
        <v>45079</v>
      </c>
      <c r="C1271" s="1" t="n">
        <v>45713</v>
      </c>
      <c r="D1271" t="inlineStr">
        <is>
          <t>VÄSTERNORRLANDS LÄN</t>
        </is>
      </c>
      <c r="E1271" t="inlineStr">
        <is>
          <t>ÅNGE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24060-2023</t>
        </is>
      </c>
      <c r="B1272" s="1" t="n">
        <v>45079</v>
      </c>
      <c r="C1272" s="1" t="n">
        <v>45713</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24061-2023</t>
        </is>
      </c>
      <c r="B1273" s="1" t="n">
        <v>45079</v>
      </c>
      <c r="C1273" s="1" t="n">
        <v>45713</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24059-2023</t>
        </is>
      </c>
      <c r="B1274" s="1" t="n">
        <v>45079</v>
      </c>
      <c r="C1274" s="1" t="n">
        <v>45713</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24063-2023</t>
        </is>
      </c>
      <c r="B1275" s="1" t="n">
        <v>45079</v>
      </c>
      <c r="C1275" s="1" t="n">
        <v>45713</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24062-2023</t>
        </is>
      </c>
      <c r="B1276" s="1" t="n">
        <v>45079</v>
      </c>
      <c r="C1276" s="1" t="n">
        <v>45713</v>
      </c>
      <c r="D1276" t="inlineStr">
        <is>
          <t>VÄSTERNORRLANDS LÄN</t>
        </is>
      </c>
      <c r="E1276" t="inlineStr">
        <is>
          <t>ÅNGE</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24066-2023</t>
        </is>
      </c>
      <c r="B1277" s="1" t="n">
        <v>45078</v>
      </c>
      <c r="C1277" s="1" t="n">
        <v>45713</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24064-2023</t>
        </is>
      </c>
      <c r="B1278" s="1" t="n">
        <v>45078</v>
      </c>
      <c r="C1278" s="1" t="n">
        <v>45713</v>
      </c>
      <c r="D1278" t="inlineStr">
        <is>
          <t>VÄSTERNORRLANDS LÄN</t>
        </is>
      </c>
      <c r="E1278" t="inlineStr">
        <is>
          <t>ÅNGE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24068-2023</t>
        </is>
      </c>
      <c r="B1279" s="1" t="n">
        <v>45078</v>
      </c>
      <c r="C1279" s="1" t="n">
        <v>45713</v>
      </c>
      <c r="D1279" t="inlineStr">
        <is>
          <t>VÄSTERNORRLANDS LÄN</t>
        </is>
      </c>
      <c r="E1279" t="inlineStr">
        <is>
          <t>ÅNGE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24995-2023</t>
        </is>
      </c>
      <c r="B1280" s="1" t="n">
        <v>45078</v>
      </c>
      <c r="C1280" s="1" t="n">
        <v>45713</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24971-2023</t>
        </is>
      </c>
      <c r="B1281" s="1" t="n">
        <v>45078</v>
      </c>
      <c r="C1281" s="1" t="n">
        <v>45713</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24290-2023</t>
        </is>
      </c>
      <c r="B1282" s="1" t="n">
        <v>45080</v>
      </c>
      <c r="C1282" s="1" t="n">
        <v>45713</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24293-2023</t>
        </is>
      </c>
      <c r="B1283" s="1" t="n">
        <v>45080</v>
      </c>
      <c r="C1283" s="1" t="n">
        <v>45713</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25266-2023</t>
        </is>
      </c>
      <c r="B1284" s="1" t="n">
        <v>45079</v>
      </c>
      <c r="C1284" s="1" t="n">
        <v>45713</v>
      </c>
      <c r="D1284" t="inlineStr">
        <is>
          <t>VÄSTERNORRLANDS LÄN</t>
        </is>
      </c>
      <c r="E1284" t="inlineStr">
        <is>
          <t>ÅNGE</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24552-2023</t>
        </is>
      </c>
      <c r="B1285" s="1" t="n">
        <v>45083</v>
      </c>
      <c r="C1285" s="1" t="n">
        <v>45713</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24554-2023</t>
        </is>
      </c>
      <c r="B1286" s="1" t="n">
        <v>45083</v>
      </c>
      <c r="C1286" s="1" t="n">
        <v>45713</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24541-2023</t>
        </is>
      </c>
      <c r="B1287" s="1" t="n">
        <v>45083</v>
      </c>
      <c r="C1287" s="1" t="n">
        <v>45713</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24553-2023</t>
        </is>
      </c>
      <c r="B1288" s="1" t="n">
        <v>45083</v>
      </c>
      <c r="C1288" s="1" t="n">
        <v>45713</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24614-2023</t>
        </is>
      </c>
      <c r="B1289" s="1" t="n">
        <v>45084</v>
      </c>
      <c r="C1289" s="1" t="n">
        <v>45713</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24817-2023</t>
        </is>
      </c>
      <c r="B1290" s="1" t="n">
        <v>45084</v>
      </c>
      <c r="C1290" s="1" t="n">
        <v>45713</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24904-2023</t>
        </is>
      </c>
      <c r="B1291" s="1" t="n">
        <v>45085</v>
      </c>
      <c r="C1291" s="1" t="n">
        <v>45713</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45713</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25047-2023</t>
        </is>
      </c>
      <c r="B1293" s="1" t="n">
        <v>45086</v>
      </c>
      <c r="C1293" s="1" t="n">
        <v>45713</v>
      </c>
      <c r="D1293" t="inlineStr">
        <is>
          <t>VÄSTERNORRLANDS LÄN</t>
        </is>
      </c>
      <c r="E1293" t="inlineStr">
        <is>
          <t>ÅNGE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25063-2023</t>
        </is>
      </c>
      <c r="B1294" s="1" t="n">
        <v>45086</v>
      </c>
      <c r="C1294" s="1" t="n">
        <v>45713</v>
      </c>
      <c r="D1294" t="inlineStr">
        <is>
          <t>VÄSTERNORRLANDS LÄN</t>
        </is>
      </c>
      <c r="E1294" t="inlineStr">
        <is>
          <t>ÅNGE</t>
        </is>
      </c>
      <c r="F1294" t="inlineStr">
        <is>
          <t>SCA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25034-2023</t>
        </is>
      </c>
      <c r="B1295" s="1" t="n">
        <v>45085</v>
      </c>
      <c r="C1295" s="1" t="n">
        <v>45713</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25311-2023</t>
        </is>
      </c>
      <c r="B1296" s="1" t="n">
        <v>45087</v>
      </c>
      <c r="C1296" s="1" t="n">
        <v>45713</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25320-2023</t>
        </is>
      </c>
      <c r="B1297" s="1" t="n">
        <v>45087</v>
      </c>
      <c r="C1297" s="1" t="n">
        <v>45713</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25324-2023</t>
        </is>
      </c>
      <c r="B1298" s="1" t="n">
        <v>45087</v>
      </c>
      <c r="C1298" s="1" t="n">
        <v>45713</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25312-2023</t>
        </is>
      </c>
      <c r="B1299" s="1" t="n">
        <v>45087</v>
      </c>
      <c r="C1299" s="1" t="n">
        <v>45713</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25321-2023</t>
        </is>
      </c>
      <c r="B1300" s="1" t="n">
        <v>45087</v>
      </c>
      <c r="C1300" s="1" t="n">
        <v>45713</v>
      </c>
      <c r="D1300" t="inlineStr">
        <is>
          <t>VÄSTERNORRLANDS LÄN</t>
        </is>
      </c>
      <c r="E1300" t="inlineStr">
        <is>
          <t>ÅNGE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25325-2023</t>
        </is>
      </c>
      <c r="B1301" s="1" t="n">
        <v>45087</v>
      </c>
      <c r="C1301" s="1" t="n">
        <v>45713</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25680-2023</t>
        </is>
      </c>
      <c r="B1302" s="1" t="n">
        <v>45089</v>
      </c>
      <c r="C1302" s="1" t="n">
        <v>45713</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25779-2023</t>
        </is>
      </c>
      <c r="B1303" s="1" t="n">
        <v>45090</v>
      </c>
      <c r="C1303" s="1" t="n">
        <v>45713</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25771-2023</t>
        </is>
      </c>
      <c r="B1304" s="1" t="n">
        <v>45090</v>
      </c>
      <c r="C1304" s="1" t="n">
        <v>45713</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26014-2023</t>
        </is>
      </c>
      <c r="B1305" s="1" t="n">
        <v>45091</v>
      </c>
      <c r="C1305" s="1" t="n">
        <v>45713</v>
      </c>
      <c r="D1305" t="inlineStr">
        <is>
          <t>VÄSTERNORRLANDS LÄN</t>
        </is>
      </c>
      <c r="E1305" t="inlineStr">
        <is>
          <t>ÅNGE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26371-2023</t>
        </is>
      </c>
      <c r="B1306" s="1" t="n">
        <v>45092</v>
      </c>
      <c r="C1306" s="1" t="n">
        <v>45713</v>
      </c>
      <c r="D1306" t="inlineStr">
        <is>
          <t>VÄSTERNORRLANDS LÄN</t>
        </is>
      </c>
      <c r="E1306" t="inlineStr">
        <is>
          <t>ÅNGE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26365-2023</t>
        </is>
      </c>
      <c r="B1307" s="1" t="n">
        <v>45092</v>
      </c>
      <c r="C1307" s="1" t="n">
        <v>45713</v>
      </c>
      <c r="D1307" t="inlineStr">
        <is>
          <t>VÄSTERNORRLANDS LÄN</t>
        </is>
      </c>
      <c r="E1307" t="inlineStr">
        <is>
          <t>ÅNGE</t>
        </is>
      </c>
      <c r="F1307" t="inlineStr">
        <is>
          <t>SCA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26364-2023</t>
        </is>
      </c>
      <c r="B1308" s="1" t="n">
        <v>45092</v>
      </c>
      <c r="C1308" s="1" t="n">
        <v>45713</v>
      </c>
      <c r="D1308" t="inlineStr">
        <is>
          <t>VÄSTERNORRLANDS LÄN</t>
        </is>
      </c>
      <c r="E1308" t="inlineStr">
        <is>
          <t>ÅNGE</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26360-2023</t>
        </is>
      </c>
      <c r="B1309" s="1" t="n">
        <v>45092</v>
      </c>
      <c r="C1309" s="1" t="n">
        <v>45713</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26513-2023</t>
        </is>
      </c>
      <c r="B1310" s="1" t="n">
        <v>45092</v>
      </c>
      <c r="C1310" s="1" t="n">
        <v>45713</v>
      </c>
      <c r="D1310" t="inlineStr">
        <is>
          <t>VÄSTERNORRLANDS LÄN</t>
        </is>
      </c>
      <c r="E1310" t="inlineStr">
        <is>
          <t>ÅNGE</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27260-2023</t>
        </is>
      </c>
      <c r="B1311" s="1" t="n">
        <v>45092</v>
      </c>
      <c r="C1311" s="1" t="n">
        <v>45713</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26898-2023</t>
        </is>
      </c>
      <c r="B1312" s="1" t="n">
        <v>45093</v>
      </c>
      <c r="C1312" s="1" t="n">
        <v>45713</v>
      </c>
      <c r="D1312" t="inlineStr">
        <is>
          <t>VÄSTERNORRLANDS LÄN</t>
        </is>
      </c>
      <c r="E1312" t="inlineStr">
        <is>
          <t>ÅNGE</t>
        </is>
      </c>
      <c r="F1312" t="inlineStr">
        <is>
          <t>Holmen skog AB</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26865-2023</t>
        </is>
      </c>
      <c r="B1313" s="1" t="n">
        <v>45093</v>
      </c>
      <c r="C1313" s="1" t="n">
        <v>45713</v>
      </c>
      <c r="D1313" t="inlineStr">
        <is>
          <t>VÄSTERNORRLANDS LÄN</t>
        </is>
      </c>
      <c r="E1313" t="inlineStr">
        <is>
          <t>ÅNGE</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27002-2023</t>
        </is>
      </c>
      <c r="B1314" s="1" t="n">
        <v>45093</v>
      </c>
      <c r="C1314" s="1" t="n">
        <v>45713</v>
      </c>
      <c r="D1314" t="inlineStr">
        <is>
          <t>VÄSTERNORRLANDS LÄN</t>
        </is>
      </c>
      <c r="E1314" t="inlineStr">
        <is>
          <t>ÅNGE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27016-2023</t>
        </is>
      </c>
      <c r="B1315" s="1" t="n">
        <v>45094</v>
      </c>
      <c r="C1315" s="1" t="n">
        <v>45713</v>
      </c>
      <c r="D1315" t="inlineStr">
        <is>
          <t>VÄSTERNORRLANDS LÄN</t>
        </is>
      </c>
      <c r="E1315" t="inlineStr">
        <is>
          <t>ÅNGE</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27356-2023</t>
        </is>
      </c>
      <c r="B1316" s="1" t="n">
        <v>45097</v>
      </c>
      <c r="C1316" s="1" t="n">
        <v>45713</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27645-2023</t>
        </is>
      </c>
      <c r="B1317" s="1" t="n">
        <v>45097</v>
      </c>
      <c r="C1317" s="1" t="n">
        <v>45713</v>
      </c>
      <c r="D1317" t="inlineStr">
        <is>
          <t>VÄSTERNORRLANDS LÄN</t>
        </is>
      </c>
      <c r="E1317" t="inlineStr">
        <is>
          <t>ÅNGE</t>
        </is>
      </c>
      <c r="F1317" t="inlineStr">
        <is>
          <t>Holmen skog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27682-2023</t>
        </is>
      </c>
      <c r="B1318" s="1" t="n">
        <v>45098</v>
      </c>
      <c r="C1318" s="1" t="n">
        <v>45713</v>
      </c>
      <c r="D1318" t="inlineStr">
        <is>
          <t>VÄSTERNORRLANDS LÄN</t>
        </is>
      </c>
      <c r="E1318" t="inlineStr">
        <is>
          <t>ÅNGE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28367-2023</t>
        </is>
      </c>
      <c r="B1319" s="1" t="n">
        <v>45099</v>
      </c>
      <c r="C1319" s="1" t="n">
        <v>45713</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30273-2023</t>
        </is>
      </c>
      <c r="B1320" s="1" t="n">
        <v>45099</v>
      </c>
      <c r="C1320" s="1" t="n">
        <v>45713</v>
      </c>
      <c r="D1320" t="inlineStr">
        <is>
          <t>VÄSTERNORRLANDS LÄN</t>
        </is>
      </c>
      <c r="E1320" t="inlineStr">
        <is>
          <t>ÅNGE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28427-2023</t>
        </is>
      </c>
      <c r="B1321" s="1" t="n">
        <v>45102</v>
      </c>
      <c r="C1321" s="1" t="n">
        <v>45713</v>
      </c>
      <c r="D1321" t="inlineStr">
        <is>
          <t>VÄSTERNORRLANDS LÄN</t>
        </is>
      </c>
      <c r="E1321" t="inlineStr">
        <is>
          <t>ÅNGE</t>
        </is>
      </c>
      <c r="F1321" t="inlineStr">
        <is>
          <t>Kyrkan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28435-2023</t>
        </is>
      </c>
      <c r="B1322" s="1" t="n">
        <v>45102</v>
      </c>
      <c r="C1322" s="1" t="n">
        <v>45713</v>
      </c>
      <c r="D1322" t="inlineStr">
        <is>
          <t>VÄSTERNORRLANDS LÄN</t>
        </is>
      </c>
      <c r="E1322" t="inlineStr">
        <is>
          <t>ÅNGE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28428-2023</t>
        </is>
      </c>
      <c r="B1323" s="1" t="n">
        <v>45102</v>
      </c>
      <c r="C1323" s="1" t="n">
        <v>45713</v>
      </c>
      <c r="D1323" t="inlineStr">
        <is>
          <t>VÄSTERNORRLANDS LÄN</t>
        </is>
      </c>
      <c r="E1323" t="inlineStr">
        <is>
          <t>ÅNGE</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28699-2023</t>
        </is>
      </c>
      <c r="B1324" s="1" t="n">
        <v>45103</v>
      </c>
      <c r="C1324" s="1" t="n">
        <v>45713</v>
      </c>
      <c r="D1324" t="inlineStr">
        <is>
          <t>VÄSTERNORRLANDS LÄN</t>
        </is>
      </c>
      <c r="E1324" t="inlineStr">
        <is>
          <t>ÅNGE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28707-2023</t>
        </is>
      </c>
      <c r="B1325" s="1" t="n">
        <v>45103</v>
      </c>
      <c r="C1325" s="1" t="n">
        <v>45713</v>
      </c>
      <c r="D1325" t="inlineStr">
        <is>
          <t>VÄSTERNORRLANDS LÄN</t>
        </is>
      </c>
      <c r="E1325" t="inlineStr">
        <is>
          <t>ÅNGE</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28784-2023</t>
        </is>
      </c>
      <c r="B1326" s="1" t="n">
        <v>45104</v>
      </c>
      <c r="C1326" s="1" t="n">
        <v>45713</v>
      </c>
      <c r="D1326" t="inlineStr">
        <is>
          <t>VÄSTERNORRLANDS LÄN</t>
        </is>
      </c>
      <c r="E1326" t="inlineStr">
        <is>
          <t>ÅNGE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28779-2023</t>
        </is>
      </c>
      <c r="B1327" s="1" t="n">
        <v>45104</v>
      </c>
      <c r="C1327" s="1" t="n">
        <v>45713</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28821-2023</t>
        </is>
      </c>
      <c r="B1328" s="1" t="n">
        <v>45104</v>
      </c>
      <c r="C1328" s="1" t="n">
        <v>45713</v>
      </c>
      <c r="D1328" t="inlineStr">
        <is>
          <t>VÄSTERNORRLANDS LÄN</t>
        </is>
      </c>
      <c r="E1328" t="inlineStr">
        <is>
          <t>ÅNGE</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29063-2023</t>
        </is>
      </c>
      <c r="B1329" s="1" t="n">
        <v>45105</v>
      </c>
      <c r="C1329" s="1" t="n">
        <v>45713</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29321-2023</t>
        </is>
      </c>
      <c r="B1330" s="1" t="n">
        <v>45106</v>
      </c>
      <c r="C1330" s="1" t="n">
        <v>45713</v>
      </c>
      <c r="D1330" t="inlineStr">
        <is>
          <t>VÄSTERNORRLANDS LÄN</t>
        </is>
      </c>
      <c r="E1330" t="inlineStr">
        <is>
          <t>ÅNGE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29330-2023</t>
        </is>
      </c>
      <c r="B1331" s="1" t="n">
        <v>45105</v>
      </c>
      <c r="C1331" s="1" t="n">
        <v>45713</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29342-2023</t>
        </is>
      </c>
      <c r="B1332" s="1" t="n">
        <v>45105</v>
      </c>
      <c r="C1332" s="1" t="n">
        <v>45713</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29320-2023</t>
        </is>
      </c>
      <c r="B1333" s="1" t="n">
        <v>45106</v>
      </c>
      <c r="C1333" s="1" t="n">
        <v>45713</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29331-2023</t>
        </is>
      </c>
      <c r="B1334" s="1" t="n">
        <v>45105</v>
      </c>
      <c r="C1334" s="1" t="n">
        <v>45713</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29395-2023</t>
        </is>
      </c>
      <c r="B1335" s="1" t="n">
        <v>45106</v>
      </c>
      <c r="C1335" s="1" t="n">
        <v>45713</v>
      </c>
      <c r="D1335" t="inlineStr">
        <is>
          <t>VÄSTERNORRLANDS LÄN</t>
        </is>
      </c>
      <c r="E1335" t="inlineStr">
        <is>
          <t>ÅNGE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29610-2023</t>
        </is>
      </c>
      <c r="B1336" s="1" t="n">
        <v>45106</v>
      </c>
      <c r="C1336" s="1" t="n">
        <v>45713</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29618-2023</t>
        </is>
      </c>
      <c r="B1337" s="1" t="n">
        <v>45107</v>
      </c>
      <c r="C1337" s="1" t="n">
        <v>45713</v>
      </c>
      <c r="D1337" t="inlineStr">
        <is>
          <t>VÄSTERNORRLANDS LÄN</t>
        </is>
      </c>
      <c r="E1337" t="inlineStr">
        <is>
          <t>ÅNGE</t>
        </is>
      </c>
      <c r="F1337" t="inlineStr">
        <is>
          <t>SCA</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29609-2023</t>
        </is>
      </c>
      <c r="B1338" s="1" t="n">
        <v>45107</v>
      </c>
      <c r="C1338" s="1" t="n">
        <v>45713</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29945-2023</t>
        </is>
      </c>
      <c r="B1339" s="1" t="n">
        <v>45108</v>
      </c>
      <c r="C1339" s="1" t="n">
        <v>45713</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32069-2023</t>
        </is>
      </c>
      <c r="B1340" s="1" t="n">
        <v>45107</v>
      </c>
      <c r="C1340" s="1" t="n">
        <v>45713</v>
      </c>
      <c r="D1340" t="inlineStr">
        <is>
          <t>VÄSTERNORRLANDS LÄN</t>
        </is>
      </c>
      <c r="E1340" t="inlineStr">
        <is>
          <t>ÅNGE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30304-2023</t>
        </is>
      </c>
      <c r="B1341" s="1" t="n">
        <v>45111</v>
      </c>
      <c r="C1341" s="1" t="n">
        <v>45713</v>
      </c>
      <c r="D1341" t="inlineStr">
        <is>
          <t>VÄSTERNORRLANDS LÄN</t>
        </is>
      </c>
      <c r="E1341" t="inlineStr">
        <is>
          <t>ÅNGE</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30303-2023</t>
        </is>
      </c>
      <c r="B1342" s="1" t="n">
        <v>45111</v>
      </c>
      <c r="C1342" s="1" t="n">
        <v>45713</v>
      </c>
      <c r="D1342" t="inlineStr">
        <is>
          <t>VÄSTERNORRLANDS LÄN</t>
        </is>
      </c>
      <c r="E1342" t="inlineStr">
        <is>
          <t>ÅNGE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30556-2023</t>
        </is>
      </c>
      <c r="B1343" s="1" t="n">
        <v>45111</v>
      </c>
      <c r="C1343" s="1" t="n">
        <v>45713</v>
      </c>
      <c r="D1343" t="inlineStr">
        <is>
          <t>VÄSTERNORRLANDS LÄN</t>
        </is>
      </c>
      <c r="E1343" t="inlineStr">
        <is>
          <t>ÅNGE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30558-2023</t>
        </is>
      </c>
      <c r="B1344" s="1" t="n">
        <v>45111</v>
      </c>
      <c r="C1344" s="1" t="n">
        <v>45713</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30817-2023</t>
        </is>
      </c>
      <c r="B1345" s="1" t="n">
        <v>45112</v>
      </c>
      <c r="C1345" s="1" t="n">
        <v>45713</v>
      </c>
      <c r="D1345" t="inlineStr">
        <is>
          <t>VÄSTERNORRLANDS LÄN</t>
        </is>
      </c>
      <c r="E1345" t="inlineStr">
        <is>
          <t>ÅNGE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30853-2023</t>
        </is>
      </c>
      <c r="B1346" s="1" t="n">
        <v>45113</v>
      </c>
      <c r="C1346" s="1" t="n">
        <v>45713</v>
      </c>
      <c r="D1346" t="inlineStr">
        <is>
          <t>VÄSTERNORRLANDS LÄN</t>
        </is>
      </c>
      <c r="E1346" t="inlineStr">
        <is>
          <t>ÅNGE</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30844-2023</t>
        </is>
      </c>
      <c r="B1347" s="1" t="n">
        <v>45112</v>
      </c>
      <c r="C1347" s="1" t="n">
        <v>45713</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30852-2023</t>
        </is>
      </c>
      <c r="B1348" s="1" t="n">
        <v>45113</v>
      </c>
      <c r="C1348" s="1" t="n">
        <v>45713</v>
      </c>
      <c r="D1348" t="inlineStr">
        <is>
          <t>VÄSTERNORRLANDS LÄN</t>
        </is>
      </c>
      <c r="E1348" t="inlineStr">
        <is>
          <t>ÅNGE</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31224-2023</t>
        </is>
      </c>
      <c r="B1349" s="1" t="n">
        <v>45114</v>
      </c>
      <c r="C1349" s="1" t="n">
        <v>45713</v>
      </c>
      <c r="D1349" t="inlineStr">
        <is>
          <t>VÄSTERNORRLANDS LÄN</t>
        </is>
      </c>
      <c r="E1349" t="inlineStr">
        <is>
          <t>ÅNGE</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31225-2023</t>
        </is>
      </c>
      <c r="B1350" s="1" t="n">
        <v>45114</v>
      </c>
      <c r="C1350" s="1" t="n">
        <v>45713</v>
      </c>
      <c r="D1350" t="inlineStr">
        <is>
          <t>VÄSTERNORRLANDS LÄN</t>
        </is>
      </c>
      <c r="E1350" t="inlineStr">
        <is>
          <t>ÅNGE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31229-2023</t>
        </is>
      </c>
      <c r="B1351" s="1" t="n">
        <v>45114</v>
      </c>
      <c r="C1351" s="1" t="n">
        <v>45713</v>
      </c>
      <c r="D1351" t="inlineStr">
        <is>
          <t>VÄSTERNORRLANDS LÄN</t>
        </is>
      </c>
      <c r="E1351" t="inlineStr">
        <is>
          <t>ÅNGE</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31740-2023</t>
        </is>
      </c>
      <c r="B1352" s="1" t="n">
        <v>45118</v>
      </c>
      <c r="C1352" s="1" t="n">
        <v>45713</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31735-2023</t>
        </is>
      </c>
      <c r="B1353" s="1" t="n">
        <v>45117</v>
      </c>
      <c r="C1353" s="1" t="n">
        <v>45713</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32227-2023</t>
        </is>
      </c>
      <c r="B1354" s="1" t="n">
        <v>45120</v>
      </c>
      <c r="C1354" s="1" t="n">
        <v>45713</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32587-2023</t>
        </is>
      </c>
      <c r="B1355" s="1" t="n">
        <v>45121</v>
      </c>
      <c r="C1355" s="1" t="n">
        <v>45713</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45125</v>
      </c>
      <c r="C1356" s="1" t="n">
        <v>45713</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33429-2023</t>
        </is>
      </c>
      <c r="B1357" s="1" t="n">
        <v>45129</v>
      </c>
      <c r="C1357" s="1" t="n">
        <v>45713</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33428-2023</t>
        </is>
      </c>
      <c r="B1358" s="1" t="n">
        <v>45129</v>
      </c>
      <c r="C1358" s="1" t="n">
        <v>45713</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33586-2023</t>
        </is>
      </c>
      <c r="B1359" s="1" t="n">
        <v>45132</v>
      </c>
      <c r="C1359" s="1" t="n">
        <v>45713</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33587-2023</t>
        </is>
      </c>
      <c r="B1360" s="1" t="n">
        <v>45132</v>
      </c>
      <c r="C1360" s="1" t="n">
        <v>45713</v>
      </c>
      <c r="D1360" t="inlineStr">
        <is>
          <t>VÄSTERNORRLANDS LÄN</t>
        </is>
      </c>
      <c r="E1360" t="inlineStr">
        <is>
          <t>ÅNGE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34355-2023</t>
        </is>
      </c>
      <c r="B1361" s="1" t="n">
        <v>45131</v>
      </c>
      <c r="C1361" s="1" t="n">
        <v>45713</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33864-2023</t>
        </is>
      </c>
      <c r="B1362" s="1" t="n">
        <v>45133</v>
      </c>
      <c r="C1362" s="1" t="n">
        <v>45713</v>
      </c>
      <c r="D1362" t="inlineStr">
        <is>
          <t>VÄSTERNORRLANDS LÄN</t>
        </is>
      </c>
      <c r="E1362" t="inlineStr">
        <is>
          <t>ÅNGE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33866-2023</t>
        </is>
      </c>
      <c r="B1363" s="1" t="n">
        <v>45133</v>
      </c>
      <c r="C1363" s="1" t="n">
        <v>45713</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33936-2023</t>
        </is>
      </c>
      <c r="B1364" s="1" t="n">
        <v>45134</v>
      </c>
      <c r="C1364" s="1" t="n">
        <v>45713</v>
      </c>
      <c r="D1364" t="inlineStr">
        <is>
          <t>VÄSTERNORRLANDS LÄN</t>
        </is>
      </c>
      <c r="E1364" t="inlineStr">
        <is>
          <t>ÅNGE</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34318-2023</t>
        </is>
      </c>
      <c r="B1365" s="1" t="n">
        <v>45138</v>
      </c>
      <c r="C1365" s="1" t="n">
        <v>45713</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34316-2023</t>
        </is>
      </c>
      <c r="B1366" s="1" t="n">
        <v>45138</v>
      </c>
      <c r="C1366" s="1" t="n">
        <v>45713</v>
      </c>
      <c r="D1366" t="inlineStr">
        <is>
          <t>VÄSTERNORRLANDS LÄN</t>
        </is>
      </c>
      <c r="E1366" t="inlineStr">
        <is>
          <t>ÅNGE</t>
        </is>
      </c>
      <c r="F1366" t="inlineStr">
        <is>
          <t>SCA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34317-2023</t>
        </is>
      </c>
      <c r="B1367" s="1" t="n">
        <v>45138</v>
      </c>
      <c r="C1367" s="1" t="n">
        <v>45713</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34620-2023</t>
        </is>
      </c>
      <c r="B1368" s="1" t="n">
        <v>45138</v>
      </c>
      <c r="C1368" s="1" t="n">
        <v>45713</v>
      </c>
      <c r="D1368" t="inlineStr">
        <is>
          <t>VÄSTERNORRLANDS LÄN</t>
        </is>
      </c>
      <c r="E1368" t="inlineStr">
        <is>
          <t>ÅNGE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34269-2023</t>
        </is>
      </c>
      <c r="B1369" s="1" t="n">
        <v>45138</v>
      </c>
      <c r="C1369" s="1" t="n">
        <v>45713</v>
      </c>
      <c r="D1369" t="inlineStr">
        <is>
          <t>VÄSTERNORRLANDS LÄN</t>
        </is>
      </c>
      <c r="E1369" t="inlineStr">
        <is>
          <t>ÅNGE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34315-2023</t>
        </is>
      </c>
      <c r="B1370" s="1" t="n">
        <v>45138</v>
      </c>
      <c r="C1370" s="1" t="n">
        <v>45713</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34319-2023</t>
        </is>
      </c>
      <c r="B1371" s="1" t="n">
        <v>45138</v>
      </c>
      <c r="C1371" s="1" t="n">
        <v>45713</v>
      </c>
      <c r="D1371" t="inlineStr">
        <is>
          <t>VÄSTERNORRLANDS LÄN</t>
        </is>
      </c>
      <c r="E1371" t="inlineStr">
        <is>
          <t>ÅNGE</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34491-2023</t>
        </is>
      </c>
      <c r="B1372" s="1" t="n">
        <v>45140</v>
      </c>
      <c r="C1372" s="1" t="n">
        <v>45713</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34755-2023</t>
        </is>
      </c>
      <c r="B1373" s="1" t="n">
        <v>45139</v>
      </c>
      <c r="C1373" s="1" t="n">
        <v>45713</v>
      </c>
      <c r="D1373" t="inlineStr">
        <is>
          <t>VÄSTERNORRLANDS LÄN</t>
        </is>
      </c>
      <c r="E1373" t="inlineStr">
        <is>
          <t>ÅNGE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34490-2023</t>
        </is>
      </c>
      <c r="B1374" s="1" t="n">
        <v>45139</v>
      </c>
      <c r="C1374" s="1" t="n">
        <v>45713</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45713</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34754-2023</t>
        </is>
      </c>
      <c r="B1376" s="1" t="n">
        <v>45139</v>
      </c>
      <c r="C1376" s="1" t="n">
        <v>45713</v>
      </c>
      <c r="D1376" t="inlineStr">
        <is>
          <t>VÄSTERNORRLANDS LÄN</t>
        </is>
      </c>
      <c r="E1376" t="inlineStr">
        <is>
          <t>ÅNGE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34705-2023</t>
        </is>
      </c>
      <c r="B1377" s="1" t="n">
        <v>45141</v>
      </c>
      <c r="C1377" s="1" t="n">
        <v>45713</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34703-2023</t>
        </is>
      </c>
      <c r="B1378" s="1" t="n">
        <v>45141</v>
      </c>
      <c r="C1378" s="1" t="n">
        <v>45713</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34690-2023</t>
        </is>
      </c>
      <c r="B1379" s="1" t="n">
        <v>45141</v>
      </c>
      <c r="C1379" s="1" t="n">
        <v>45713</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34698-2023</t>
        </is>
      </c>
      <c r="B1380" s="1" t="n">
        <v>45140</v>
      </c>
      <c r="C1380" s="1" t="n">
        <v>45713</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34692-2023</t>
        </is>
      </c>
      <c r="B1381" s="1" t="n">
        <v>45140</v>
      </c>
      <c r="C1381" s="1" t="n">
        <v>45713</v>
      </c>
      <c r="D1381" t="inlineStr">
        <is>
          <t>VÄSTERNORRLANDS LÄN</t>
        </is>
      </c>
      <c r="E1381" t="inlineStr">
        <is>
          <t>ÅNGE</t>
        </is>
      </c>
      <c r="F1381" t="inlineStr">
        <is>
          <t>SCA</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34851-2023</t>
        </is>
      </c>
      <c r="B1382" s="1" t="n">
        <v>45141</v>
      </c>
      <c r="C1382" s="1" t="n">
        <v>45713</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34850-2023</t>
        </is>
      </c>
      <c r="B1383" s="1" t="n">
        <v>45141</v>
      </c>
      <c r="C1383" s="1" t="n">
        <v>45713</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34852-2023</t>
        </is>
      </c>
      <c r="B1384" s="1" t="n">
        <v>45141</v>
      </c>
      <c r="C1384" s="1" t="n">
        <v>45713</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45713</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34965-2023</t>
        </is>
      </c>
      <c r="B1386" s="1" t="n">
        <v>45142</v>
      </c>
      <c r="C1386" s="1" t="n">
        <v>45713</v>
      </c>
      <c r="D1386" t="inlineStr">
        <is>
          <t>VÄSTERNORRLANDS LÄN</t>
        </is>
      </c>
      <c r="E1386" t="inlineStr">
        <is>
          <t>ÅNGE</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34971-2023</t>
        </is>
      </c>
      <c r="B1387" s="1" t="n">
        <v>45142</v>
      </c>
      <c r="C1387" s="1" t="n">
        <v>45713</v>
      </c>
      <c r="D1387" t="inlineStr">
        <is>
          <t>VÄSTERNORRLANDS LÄN</t>
        </is>
      </c>
      <c r="E1387" t="inlineStr">
        <is>
          <t>ÅNGE</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34954-2023</t>
        </is>
      </c>
      <c r="B1388" s="1" t="n">
        <v>45142</v>
      </c>
      <c r="C1388" s="1" t="n">
        <v>45713</v>
      </c>
      <c r="D1388" t="inlineStr">
        <is>
          <t>VÄSTERNORRLANDS LÄN</t>
        </is>
      </c>
      <c r="E1388" t="inlineStr">
        <is>
          <t>ÅNGE</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34962-2023</t>
        </is>
      </c>
      <c r="B1389" s="1" t="n">
        <v>45142</v>
      </c>
      <c r="C1389" s="1" t="n">
        <v>45713</v>
      </c>
      <c r="D1389" t="inlineStr">
        <is>
          <t>VÄSTERNORRLANDS LÄN</t>
        </is>
      </c>
      <c r="E1389" t="inlineStr">
        <is>
          <t>ÅNGE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35100-2023</t>
        </is>
      </c>
      <c r="B1390" s="1" t="n">
        <v>45142</v>
      </c>
      <c r="C1390" s="1" t="n">
        <v>45713</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35259-2023</t>
        </is>
      </c>
      <c r="B1391" s="1" t="n">
        <v>45145</v>
      </c>
      <c r="C1391" s="1" t="n">
        <v>45713</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35260-2023</t>
        </is>
      </c>
      <c r="B1392" s="1" t="n">
        <v>45145</v>
      </c>
      <c r="C1392" s="1" t="n">
        <v>45713</v>
      </c>
      <c r="D1392" t="inlineStr">
        <is>
          <t>VÄSTERNORRLANDS LÄN</t>
        </is>
      </c>
      <c r="E1392" t="inlineStr">
        <is>
          <t>ÅNGE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35261-2023</t>
        </is>
      </c>
      <c r="B1393" s="1" t="n">
        <v>45145</v>
      </c>
      <c r="C1393" s="1" t="n">
        <v>45713</v>
      </c>
      <c r="D1393" t="inlineStr">
        <is>
          <t>VÄSTERNORRLANDS LÄN</t>
        </is>
      </c>
      <c r="E1393" t="inlineStr">
        <is>
          <t>ÅNGE</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35328-2023</t>
        </is>
      </c>
      <c r="B1394" s="1" t="n">
        <v>45145</v>
      </c>
      <c r="C1394" s="1" t="n">
        <v>45713</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35366-2023</t>
        </is>
      </c>
      <c r="B1395" s="1" t="n">
        <v>45145</v>
      </c>
      <c r="C1395" s="1" t="n">
        <v>45713</v>
      </c>
      <c r="D1395" t="inlineStr">
        <is>
          <t>VÄSTERNORRLANDS LÄN</t>
        </is>
      </c>
      <c r="E1395" t="inlineStr">
        <is>
          <t>ÅNGE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35258-2023</t>
        </is>
      </c>
      <c r="B1396" s="1" t="n">
        <v>45145</v>
      </c>
      <c r="C1396" s="1" t="n">
        <v>45713</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35762-2023</t>
        </is>
      </c>
      <c r="B1397" s="1" t="n">
        <v>45147</v>
      </c>
      <c r="C1397" s="1" t="n">
        <v>45713</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35747-2023</t>
        </is>
      </c>
      <c r="B1398" s="1" t="n">
        <v>45147</v>
      </c>
      <c r="C1398" s="1" t="n">
        <v>45713</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35748-2023</t>
        </is>
      </c>
      <c r="B1399" s="1" t="n">
        <v>45148</v>
      </c>
      <c r="C1399" s="1" t="n">
        <v>45713</v>
      </c>
      <c r="D1399" t="inlineStr">
        <is>
          <t>VÄSTERNORRLANDS LÄN</t>
        </is>
      </c>
      <c r="E1399" t="inlineStr">
        <is>
          <t>ÅNGE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35749-2023</t>
        </is>
      </c>
      <c r="B1400" s="1" t="n">
        <v>45147</v>
      </c>
      <c r="C1400" s="1" t="n">
        <v>45713</v>
      </c>
      <c r="D1400" t="inlineStr">
        <is>
          <t>VÄSTERNORRLANDS LÄN</t>
        </is>
      </c>
      <c r="E1400" t="inlineStr">
        <is>
          <t>ÅNGE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35979-2023</t>
        </is>
      </c>
      <c r="B1401" s="1" t="n">
        <v>45148</v>
      </c>
      <c r="C1401" s="1" t="n">
        <v>45713</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35970-2023</t>
        </is>
      </c>
      <c r="B1402" s="1" t="n">
        <v>45148</v>
      </c>
      <c r="C1402" s="1" t="n">
        <v>45713</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36210-2023</t>
        </is>
      </c>
      <c r="B1403" s="1" t="n">
        <v>45149</v>
      </c>
      <c r="C1403" s="1" t="n">
        <v>45713</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36290-2023</t>
        </is>
      </c>
      <c r="B1404" s="1" t="n">
        <v>45152</v>
      </c>
      <c r="C1404" s="1" t="n">
        <v>45713</v>
      </c>
      <c r="D1404" t="inlineStr">
        <is>
          <t>VÄSTERNORRLANDS LÄN</t>
        </is>
      </c>
      <c r="E1404" t="inlineStr">
        <is>
          <t>ÅNGE</t>
        </is>
      </c>
      <c r="F1404" t="inlineStr">
        <is>
          <t>Övriga Aktiebolag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36494-2023</t>
        </is>
      </c>
      <c r="B1405" s="1" t="n">
        <v>45153</v>
      </c>
      <c r="C1405" s="1" t="n">
        <v>45713</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36492-2023</t>
        </is>
      </c>
      <c r="B1406" s="1" t="n">
        <v>45153</v>
      </c>
      <c r="C1406" s="1" t="n">
        <v>45713</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36766-2023</t>
        </is>
      </c>
      <c r="B1407" s="1" t="n">
        <v>45153</v>
      </c>
      <c r="C1407" s="1" t="n">
        <v>45713</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36760-2023</t>
        </is>
      </c>
      <c r="B1408" s="1" t="n">
        <v>45153</v>
      </c>
      <c r="C1408" s="1" t="n">
        <v>45713</v>
      </c>
      <c r="D1408" t="inlineStr">
        <is>
          <t>VÄSTERNORRLANDS LÄN</t>
        </is>
      </c>
      <c r="E1408" t="inlineStr">
        <is>
          <t>ÅNGE</t>
        </is>
      </c>
      <c r="F1408" t="inlineStr">
        <is>
          <t>SCA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36801-2023</t>
        </is>
      </c>
      <c r="B1409" s="1" t="n">
        <v>45153</v>
      </c>
      <c r="C1409" s="1" t="n">
        <v>45713</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36790-2023</t>
        </is>
      </c>
      <c r="B1410" s="1" t="n">
        <v>45154</v>
      </c>
      <c r="C1410" s="1" t="n">
        <v>45713</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36973-2023</t>
        </is>
      </c>
      <c r="B1411" s="1" t="n">
        <v>45154</v>
      </c>
      <c r="C1411" s="1" t="n">
        <v>45713</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36987-2023</t>
        </is>
      </c>
      <c r="B1412" s="1" t="n">
        <v>45155</v>
      </c>
      <c r="C1412" s="1" t="n">
        <v>45713</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37252-2023</t>
        </is>
      </c>
      <c r="B1413" s="1" t="n">
        <v>45155</v>
      </c>
      <c r="C1413" s="1" t="n">
        <v>45713</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37471-2023</t>
        </is>
      </c>
      <c r="B1414" s="1" t="n">
        <v>45157</v>
      </c>
      <c r="C1414" s="1" t="n">
        <v>45713</v>
      </c>
      <c r="D1414" t="inlineStr">
        <is>
          <t>VÄSTERNORRLANDS LÄN</t>
        </is>
      </c>
      <c r="E1414" t="inlineStr">
        <is>
          <t>ÅNGE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37503-2023</t>
        </is>
      </c>
      <c r="B1415" s="1" t="n">
        <v>45157</v>
      </c>
      <c r="C1415" s="1" t="n">
        <v>45713</v>
      </c>
      <c r="D1415" t="inlineStr">
        <is>
          <t>VÄSTERNORRLANDS LÄN</t>
        </is>
      </c>
      <c r="E1415" t="inlineStr">
        <is>
          <t>ÅNGE</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37800-2023</t>
        </is>
      </c>
      <c r="B1416" s="1" t="n">
        <v>45159</v>
      </c>
      <c r="C1416" s="1" t="n">
        <v>45713</v>
      </c>
      <c r="D1416" t="inlineStr">
        <is>
          <t>VÄSTERNORRLANDS LÄN</t>
        </is>
      </c>
      <c r="E1416" t="inlineStr">
        <is>
          <t>ÅNGE</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37558-2023</t>
        </is>
      </c>
      <c r="B1417" s="1" t="n">
        <v>45159</v>
      </c>
      <c r="C1417" s="1" t="n">
        <v>45713</v>
      </c>
      <c r="D1417" t="inlineStr">
        <is>
          <t>VÄSTERNORRLANDS LÄN</t>
        </is>
      </c>
      <c r="E1417" t="inlineStr">
        <is>
          <t>ÅNGE</t>
        </is>
      </c>
      <c r="F1417" t="inlineStr">
        <is>
          <t>Kyrkan</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37801-2023</t>
        </is>
      </c>
      <c r="B1418" s="1" t="n">
        <v>45159</v>
      </c>
      <c r="C1418" s="1" t="n">
        <v>45713</v>
      </c>
      <c r="D1418" t="inlineStr">
        <is>
          <t>VÄSTERNORRLANDS LÄN</t>
        </is>
      </c>
      <c r="E1418" t="inlineStr">
        <is>
          <t>ÅNGE</t>
        </is>
      </c>
      <c r="F1418" t="inlineStr">
        <is>
          <t>SCA</t>
        </is>
      </c>
      <c r="G1418" t="n">
        <v>33.4</v>
      </c>
      <c r="H1418" t="n">
        <v>0</v>
      </c>
      <c r="I1418" t="n">
        <v>0</v>
      </c>
      <c r="J1418" t="n">
        <v>0</v>
      </c>
      <c r="K1418" t="n">
        <v>0</v>
      </c>
      <c r="L1418" t="n">
        <v>0</v>
      </c>
      <c r="M1418" t="n">
        <v>0</v>
      </c>
      <c r="N1418" t="n">
        <v>0</v>
      </c>
      <c r="O1418" t="n">
        <v>0</v>
      </c>
      <c r="P1418" t="n">
        <v>0</v>
      </c>
      <c r="Q1418" t="n">
        <v>0</v>
      </c>
      <c r="R1418" s="2" t="inlineStr"/>
    </row>
    <row r="1419" ht="15" customHeight="1">
      <c r="A1419" t="inlineStr">
        <is>
          <t>A 38090-2023</t>
        </is>
      </c>
      <c r="B1419" s="1" t="n">
        <v>45161</v>
      </c>
      <c r="C1419" s="1" t="n">
        <v>45713</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39245-2023</t>
        </is>
      </c>
      <c r="B1420" s="1" t="n">
        <v>45162</v>
      </c>
      <c r="C1420" s="1" t="n">
        <v>45713</v>
      </c>
      <c r="D1420" t="inlineStr">
        <is>
          <t>VÄSTERNORRLANDS LÄN</t>
        </is>
      </c>
      <c r="E1420" t="inlineStr">
        <is>
          <t>ÅNGE</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38886-2023</t>
        </is>
      </c>
      <c r="B1421" s="1" t="n">
        <v>45162</v>
      </c>
      <c r="C1421" s="1" t="n">
        <v>45713</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38871-2023</t>
        </is>
      </c>
      <c r="B1422" s="1" t="n">
        <v>45162</v>
      </c>
      <c r="C1422" s="1" t="n">
        <v>45713</v>
      </c>
      <c r="D1422" t="inlineStr">
        <is>
          <t>VÄSTERNORRLANDS LÄN</t>
        </is>
      </c>
      <c r="E1422" t="inlineStr">
        <is>
          <t>ÅNGE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39206-2023</t>
        </is>
      </c>
      <c r="B1423" s="1" t="n">
        <v>45162</v>
      </c>
      <c r="C1423" s="1" t="n">
        <v>45713</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39261-2023</t>
        </is>
      </c>
      <c r="B1424" s="1" t="n">
        <v>45162</v>
      </c>
      <c r="C1424" s="1" t="n">
        <v>45713</v>
      </c>
      <c r="D1424" t="inlineStr">
        <is>
          <t>VÄSTERNORRLANDS LÄN</t>
        </is>
      </c>
      <c r="E1424" t="inlineStr">
        <is>
          <t>ÅNGE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39254-2023</t>
        </is>
      </c>
      <c r="B1425" s="1" t="n">
        <v>45162</v>
      </c>
      <c r="C1425" s="1" t="n">
        <v>45713</v>
      </c>
      <c r="D1425" t="inlineStr">
        <is>
          <t>VÄSTERNORRLANDS LÄN</t>
        </is>
      </c>
      <c r="E1425" t="inlineStr">
        <is>
          <t>ÅNGE</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38795-2023</t>
        </is>
      </c>
      <c r="B1426" s="1" t="n">
        <v>45162</v>
      </c>
      <c r="C1426" s="1" t="n">
        <v>45713</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39112-2023</t>
        </is>
      </c>
      <c r="B1427" s="1" t="n">
        <v>45164</v>
      </c>
      <c r="C1427" s="1" t="n">
        <v>45713</v>
      </c>
      <c r="D1427" t="inlineStr">
        <is>
          <t>VÄSTERNORRLANDS LÄN</t>
        </is>
      </c>
      <c r="E1427" t="inlineStr">
        <is>
          <t>ÅNGE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39500-2023</t>
        </is>
      </c>
      <c r="B1428" s="1" t="n">
        <v>45166</v>
      </c>
      <c r="C1428" s="1" t="n">
        <v>45713</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39811-2023</t>
        </is>
      </c>
      <c r="B1429" s="1" t="n">
        <v>45167</v>
      </c>
      <c r="C1429" s="1" t="n">
        <v>45713</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39813-2023</t>
        </is>
      </c>
      <c r="B1430" s="1" t="n">
        <v>45168</v>
      </c>
      <c r="C1430" s="1" t="n">
        <v>45713</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39812-2023</t>
        </is>
      </c>
      <c r="B1431" s="1" t="n">
        <v>45168</v>
      </c>
      <c r="C1431" s="1" t="n">
        <v>45713</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40013-2023</t>
        </is>
      </c>
      <c r="B1432" s="1" t="n">
        <v>45167</v>
      </c>
      <c r="C1432" s="1" t="n">
        <v>45713</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39814-2023</t>
        </is>
      </c>
      <c r="B1433" s="1" t="n">
        <v>45168</v>
      </c>
      <c r="C1433" s="1" t="n">
        <v>45713</v>
      </c>
      <c r="D1433" t="inlineStr">
        <is>
          <t>VÄSTERNORRLANDS LÄN</t>
        </is>
      </c>
      <c r="E1433" t="inlineStr">
        <is>
          <t>ÅNGE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v>
      </c>
      <c r="C1434" s="1" t="n">
        <v>45713</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39996-2023</t>
        </is>
      </c>
      <c r="B1435" s="1" t="n">
        <v>45168</v>
      </c>
      <c r="C1435" s="1" t="n">
        <v>45713</v>
      </c>
      <c r="D1435" t="inlineStr">
        <is>
          <t>VÄSTERNORRLANDS LÄN</t>
        </is>
      </c>
      <c r="E1435" t="inlineStr">
        <is>
          <t>ÅNGE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39842-2023</t>
        </is>
      </c>
      <c r="B1436" s="1" t="n">
        <v>45168</v>
      </c>
      <c r="C1436" s="1" t="n">
        <v>45713</v>
      </c>
      <c r="D1436" t="inlineStr">
        <is>
          <t>VÄSTERNORRLANDS LÄN</t>
        </is>
      </c>
      <c r="E1436" t="inlineStr">
        <is>
          <t>ÅNGE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39843-2023</t>
        </is>
      </c>
      <c r="B1437" s="1" t="n">
        <v>45168</v>
      </c>
      <c r="C1437" s="1" t="n">
        <v>45713</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40005-2023</t>
        </is>
      </c>
      <c r="B1438" s="1" t="n">
        <v>45168</v>
      </c>
      <c r="C1438" s="1" t="n">
        <v>45713</v>
      </c>
      <c r="D1438" t="inlineStr">
        <is>
          <t>VÄSTERNORRLANDS LÄN</t>
        </is>
      </c>
      <c r="E1438" t="inlineStr">
        <is>
          <t>ÅNGE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39936-2023</t>
        </is>
      </c>
      <c r="B1439" s="1" t="n">
        <v>45168</v>
      </c>
      <c r="C1439" s="1" t="n">
        <v>45713</v>
      </c>
      <c r="D1439" t="inlineStr">
        <is>
          <t>VÄSTERNORRLANDS LÄN</t>
        </is>
      </c>
      <c r="E1439" t="inlineStr">
        <is>
          <t>ÅNGE</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39975-2023</t>
        </is>
      </c>
      <c r="B1440" s="1" t="n">
        <v>45168</v>
      </c>
      <c r="C1440" s="1" t="n">
        <v>45713</v>
      </c>
      <c r="D1440" t="inlineStr">
        <is>
          <t>VÄSTERNORRLANDS LÄN</t>
        </is>
      </c>
      <c r="E1440" t="inlineStr">
        <is>
          <t>ÅNGE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40208-2023</t>
        </is>
      </c>
      <c r="B1441" s="1" t="n">
        <v>45168</v>
      </c>
      <c r="C1441" s="1" t="n">
        <v>45713</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39973-2023</t>
        </is>
      </c>
      <c r="B1442" s="1" t="n">
        <v>45168</v>
      </c>
      <c r="C1442" s="1" t="n">
        <v>45713</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39985-2023</t>
        </is>
      </c>
      <c r="B1443" s="1" t="n">
        <v>45168</v>
      </c>
      <c r="C1443" s="1" t="n">
        <v>45713</v>
      </c>
      <c r="D1443" t="inlineStr">
        <is>
          <t>VÄSTERNORRLANDS LÄN</t>
        </is>
      </c>
      <c r="E1443" t="inlineStr">
        <is>
          <t>ÅNGE</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39995-2023</t>
        </is>
      </c>
      <c r="B1444" s="1" t="n">
        <v>45168</v>
      </c>
      <c r="C1444" s="1" t="n">
        <v>45713</v>
      </c>
      <c r="D1444" t="inlineStr">
        <is>
          <t>VÄSTERNORRLANDS LÄN</t>
        </is>
      </c>
      <c r="E1444" t="inlineStr">
        <is>
          <t>ÅNGE</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40378-2023</t>
        </is>
      </c>
      <c r="B1445" s="1" t="n">
        <v>45169</v>
      </c>
      <c r="C1445" s="1" t="n">
        <v>45713</v>
      </c>
      <c r="D1445" t="inlineStr">
        <is>
          <t>VÄSTERNORRLANDS LÄN</t>
        </is>
      </c>
      <c r="E1445" t="inlineStr">
        <is>
          <t>ÅNGE</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40663-2023</t>
        </is>
      </c>
      <c r="B1446" s="1" t="n">
        <v>45169</v>
      </c>
      <c r="C1446" s="1" t="n">
        <v>45713</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40626-2023</t>
        </is>
      </c>
      <c r="B1447" s="1" t="n">
        <v>45170</v>
      </c>
      <c r="C1447" s="1" t="n">
        <v>45713</v>
      </c>
      <c r="D1447" t="inlineStr">
        <is>
          <t>VÄSTERNORRLANDS LÄN</t>
        </is>
      </c>
      <c r="E1447" t="inlineStr">
        <is>
          <t>ÅNGE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40622-2023</t>
        </is>
      </c>
      <c r="B1448" s="1" t="n">
        <v>45170</v>
      </c>
      <c r="C1448" s="1" t="n">
        <v>45713</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40789-2023</t>
        </is>
      </c>
      <c r="B1449" s="1" t="n">
        <v>45171</v>
      </c>
      <c r="C1449" s="1" t="n">
        <v>45713</v>
      </c>
      <c r="D1449" t="inlineStr">
        <is>
          <t>VÄSTERNORRLANDS LÄN</t>
        </is>
      </c>
      <c r="E1449" t="inlineStr">
        <is>
          <t>ÅNGE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40790-2023</t>
        </is>
      </c>
      <c r="B1450" s="1" t="n">
        <v>45171</v>
      </c>
      <c r="C1450" s="1" t="n">
        <v>45713</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40755-2023</t>
        </is>
      </c>
      <c r="B1451" s="1" t="n">
        <v>45170</v>
      </c>
      <c r="C1451" s="1" t="n">
        <v>45713</v>
      </c>
      <c r="D1451" t="inlineStr">
        <is>
          <t>VÄSTERNORRLANDS LÄN</t>
        </is>
      </c>
      <c r="E1451" t="inlineStr">
        <is>
          <t>ÅNGE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40791-2023</t>
        </is>
      </c>
      <c r="B1452" s="1" t="n">
        <v>45171</v>
      </c>
      <c r="C1452" s="1" t="n">
        <v>45713</v>
      </c>
      <c r="D1452" t="inlineStr">
        <is>
          <t>VÄSTERNORRLANDS LÄN</t>
        </is>
      </c>
      <c r="E1452" t="inlineStr">
        <is>
          <t>ÅNGE</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40834-2023</t>
        </is>
      </c>
      <c r="B1453" s="1" t="n">
        <v>45172</v>
      </c>
      <c r="C1453" s="1" t="n">
        <v>45713</v>
      </c>
      <c r="D1453" t="inlineStr">
        <is>
          <t>VÄSTERNORRLANDS LÄN</t>
        </is>
      </c>
      <c r="E1453" t="inlineStr">
        <is>
          <t>ÅNGE</t>
        </is>
      </c>
      <c r="F1453" t="inlineStr">
        <is>
          <t>Kyrkan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40831-2023</t>
        </is>
      </c>
      <c r="B1454" s="1" t="n">
        <v>45172</v>
      </c>
      <c r="C1454" s="1" t="n">
        <v>45713</v>
      </c>
      <c r="D1454" t="inlineStr">
        <is>
          <t>VÄSTERNORRLANDS LÄN</t>
        </is>
      </c>
      <c r="E1454" t="inlineStr">
        <is>
          <t>ÅNGE</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40832-2023</t>
        </is>
      </c>
      <c r="B1455" s="1" t="n">
        <v>45172</v>
      </c>
      <c r="C1455" s="1" t="n">
        <v>45713</v>
      </c>
      <c r="D1455" t="inlineStr">
        <is>
          <t>VÄSTERNORRLANDS LÄN</t>
        </is>
      </c>
      <c r="E1455" t="inlineStr">
        <is>
          <t>ÅNGE</t>
        </is>
      </c>
      <c r="F1455" t="inlineStr">
        <is>
          <t>Kyrkan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42081-2023</t>
        </is>
      </c>
      <c r="B1456" s="1" t="n">
        <v>45174</v>
      </c>
      <c r="C1456" s="1" t="n">
        <v>45713</v>
      </c>
      <c r="D1456" t="inlineStr">
        <is>
          <t>VÄSTERNORRLANDS LÄN</t>
        </is>
      </c>
      <c r="E1456" t="inlineStr">
        <is>
          <t>ÅNGE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41370-2023</t>
        </is>
      </c>
      <c r="B1457" s="1" t="n">
        <v>45174</v>
      </c>
      <c r="C1457" s="1" t="n">
        <v>45713</v>
      </c>
      <c r="D1457" t="inlineStr">
        <is>
          <t>VÄSTERNORRLANDS LÄN</t>
        </is>
      </c>
      <c r="E1457" t="inlineStr">
        <is>
          <t>ÅNGE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42073-2023</t>
        </is>
      </c>
      <c r="B1458" s="1" t="n">
        <v>45174</v>
      </c>
      <c r="C1458" s="1" t="n">
        <v>45713</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42100-2023</t>
        </is>
      </c>
      <c r="B1459" s="1" t="n">
        <v>45174</v>
      </c>
      <c r="C1459" s="1" t="n">
        <v>45713</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41659-2023</t>
        </is>
      </c>
      <c r="B1460" s="1" t="n">
        <v>45176</v>
      </c>
      <c r="C1460" s="1" t="n">
        <v>45713</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41741-2023</t>
        </is>
      </c>
      <c r="B1461" s="1" t="n">
        <v>45176</v>
      </c>
      <c r="C1461" s="1" t="n">
        <v>45713</v>
      </c>
      <c r="D1461" t="inlineStr">
        <is>
          <t>VÄSTERNORRLANDS LÄN</t>
        </is>
      </c>
      <c r="E1461" t="inlineStr">
        <is>
          <t>ÅNGE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42559-2023</t>
        </is>
      </c>
      <c r="B1462" s="1" t="n">
        <v>45176</v>
      </c>
      <c r="C1462" s="1" t="n">
        <v>45713</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42699-2023</t>
        </is>
      </c>
      <c r="B1463" s="1" t="n">
        <v>45176</v>
      </c>
      <c r="C1463" s="1" t="n">
        <v>45713</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42130-2023</t>
        </is>
      </c>
      <c r="B1464" s="1" t="n">
        <v>45177</v>
      </c>
      <c r="C1464" s="1" t="n">
        <v>45713</v>
      </c>
      <c r="D1464" t="inlineStr">
        <is>
          <t>VÄSTERNORRLANDS LÄN</t>
        </is>
      </c>
      <c r="E1464" t="inlineStr">
        <is>
          <t>ÅNGE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42139-2023</t>
        </is>
      </c>
      <c r="B1465" s="1" t="n">
        <v>45177</v>
      </c>
      <c r="C1465" s="1" t="n">
        <v>45713</v>
      </c>
      <c r="D1465" t="inlineStr">
        <is>
          <t>VÄSTERNORRLANDS LÄN</t>
        </is>
      </c>
      <c r="E1465" t="inlineStr">
        <is>
          <t>ÅNGE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42346-2023</t>
        </is>
      </c>
      <c r="B1466" s="1" t="n">
        <v>45180</v>
      </c>
      <c r="C1466" s="1" t="n">
        <v>45713</v>
      </c>
      <c r="D1466" t="inlineStr">
        <is>
          <t>VÄSTERNORRLANDS LÄN</t>
        </is>
      </c>
      <c r="E1466" t="inlineStr">
        <is>
          <t>ÅNGE</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42242-2023</t>
        </is>
      </c>
      <c r="B1467" s="1" t="n">
        <v>45180</v>
      </c>
      <c r="C1467" s="1" t="n">
        <v>45713</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42506-2023</t>
        </is>
      </c>
      <c r="B1468" s="1" t="n">
        <v>45180</v>
      </c>
      <c r="C1468" s="1" t="n">
        <v>45713</v>
      </c>
      <c r="D1468" t="inlineStr">
        <is>
          <t>VÄSTERNORRLANDS LÄN</t>
        </is>
      </c>
      <c r="E1468" t="inlineStr">
        <is>
          <t>ÅNGE</t>
        </is>
      </c>
      <c r="F1468" t="inlineStr">
        <is>
          <t>SCA</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43053-2023</t>
        </is>
      </c>
      <c r="B1469" s="1" t="n">
        <v>45180</v>
      </c>
      <c r="C1469" s="1" t="n">
        <v>45713</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43218-2023</t>
        </is>
      </c>
      <c r="B1470" s="1" t="n">
        <v>45180</v>
      </c>
      <c r="C1470" s="1" t="n">
        <v>45713</v>
      </c>
      <c r="D1470" t="inlineStr">
        <is>
          <t>VÄSTERNORRLANDS LÄN</t>
        </is>
      </c>
      <c r="E1470" t="inlineStr">
        <is>
          <t>ÅNGE</t>
        </is>
      </c>
      <c r="F1470" t="inlineStr">
        <is>
          <t>SCA</t>
        </is>
      </c>
      <c r="G1470" t="n">
        <v>37.3</v>
      </c>
      <c r="H1470" t="n">
        <v>0</v>
      </c>
      <c r="I1470" t="n">
        <v>0</v>
      </c>
      <c r="J1470" t="n">
        <v>0</v>
      </c>
      <c r="K1470" t="n">
        <v>0</v>
      </c>
      <c r="L1470" t="n">
        <v>0</v>
      </c>
      <c r="M1470" t="n">
        <v>0</v>
      </c>
      <c r="N1470" t="n">
        <v>0</v>
      </c>
      <c r="O1470" t="n">
        <v>0</v>
      </c>
      <c r="P1470" t="n">
        <v>0</v>
      </c>
      <c r="Q1470" t="n">
        <v>0</v>
      </c>
      <c r="R1470" s="2" t="inlineStr"/>
    </row>
    <row r="1471" ht="15" customHeight="1">
      <c r="A1471" t="inlineStr">
        <is>
          <t>A 43186-2023</t>
        </is>
      </c>
      <c r="B1471" s="1" t="n">
        <v>45180</v>
      </c>
      <c r="C1471" s="1" t="n">
        <v>45713</v>
      </c>
      <c r="D1471" t="inlineStr">
        <is>
          <t>VÄSTERNORRLANDS LÄN</t>
        </is>
      </c>
      <c r="E1471" t="inlineStr">
        <is>
          <t>ÅNGE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43552-2023</t>
        </is>
      </c>
      <c r="B1472" s="1" t="n">
        <v>45181</v>
      </c>
      <c r="C1472" s="1" t="n">
        <v>45713</v>
      </c>
      <c r="D1472" t="inlineStr">
        <is>
          <t>VÄSTERNORRLANDS LÄN</t>
        </is>
      </c>
      <c r="E1472" t="inlineStr">
        <is>
          <t>ÅNGE</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42881-2023</t>
        </is>
      </c>
      <c r="B1473" s="1" t="n">
        <v>45182</v>
      </c>
      <c r="C1473" s="1" t="n">
        <v>45713</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43096-2023</t>
        </is>
      </c>
      <c r="B1474" s="1" t="n">
        <v>45182</v>
      </c>
      <c r="C1474" s="1" t="n">
        <v>45713</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44178-2023</t>
        </is>
      </c>
      <c r="B1475" s="1" t="n">
        <v>45183</v>
      </c>
      <c r="C1475" s="1" t="n">
        <v>45713</v>
      </c>
      <c r="D1475" t="inlineStr">
        <is>
          <t>VÄSTERNORRLANDS LÄN</t>
        </is>
      </c>
      <c r="E1475" t="inlineStr">
        <is>
          <t>ÅNGE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45713</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43615-2023</t>
        </is>
      </c>
      <c r="B1477" s="1" t="n">
        <v>45184</v>
      </c>
      <c r="C1477" s="1" t="n">
        <v>45713</v>
      </c>
      <c r="D1477" t="inlineStr">
        <is>
          <t>VÄSTERNORRLANDS LÄN</t>
        </is>
      </c>
      <c r="E1477" t="inlineStr">
        <is>
          <t>ÅNGE</t>
        </is>
      </c>
      <c r="F1477" t="inlineStr">
        <is>
          <t>Holmen skog AB</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43618-2023</t>
        </is>
      </c>
      <c r="B1478" s="1" t="n">
        <v>45184</v>
      </c>
      <c r="C1478" s="1" t="n">
        <v>45713</v>
      </c>
      <c r="D1478" t="inlineStr">
        <is>
          <t>VÄSTERNORRLANDS LÄN</t>
        </is>
      </c>
      <c r="E1478" t="inlineStr">
        <is>
          <t>ÅNGE</t>
        </is>
      </c>
      <c r="G1478" t="n">
        <v>22.6</v>
      </c>
      <c r="H1478" t="n">
        <v>0</v>
      </c>
      <c r="I1478" t="n">
        <v>0</v>
      </c>
      <c r="J1478" t="n">
        <v>0</v>
      </c>
      <c r="K1478" t="n">
        <v>0</v>
      </c>
      <c r="L1478" t="n">
        <v>0</v>
      </c>
      <c r="M1478" t="n">
        <v>0</v>
      </c>
      <c r="N1478" t="n">
        <v>0</v>
      </c>
      <c r="O1478" t="n">
        <v>0</v>
      </c>
      <c r="P1478" t="n">
        <v>0</v>
      </c>
      <c r="Q1478" t="n">
        <v>0</v>
      </c>
      <c r="R1478" s="2" t="inlineStr"/>
    </row>
    <row r="1479" ht="15" customHeight="1">
      <c r="A1479" t="inlineStr">
        <is>
          <t>A 43622-2023</t>
        </is>
      </c>
      <c r="B1479" s="1" t="n">
        <v>45184</v>
      </c>
      <c r="C1479" s="1" t="n">
        <v>45713</v>
      </c>
      <c r="D1479" t="inlineStr">
        <is>
          <t>VÄSTERNORRLANDS LÄN</t>
        </is>
      </c>
      <c r="E1479" t="inlineStr">
        <is>
          <t>ÅNGE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44639-2023</t>
        </is>
      </c>
      <c r="B1480" s="1" t="n">
        <v>45184</v>
      </c>
      <c r="C1480" s="1" t="n">
        <v>45713</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43916-2023</t>
        </is>
      </c>
      <c r="B1481" s="1" t="n">
        <v>45187</v>
      </c>
      <c r="C1481" s="1" t="n">
        <v>45713</v>
      </c>
      <c r="D1481" t="inlineStr">
        <is>
          <t>VÄSTERNORRLANDS LÄN</t>
        </is>
      </c>
      <c r="E1481" t="inlineStr">
        <is>
          <t>ÅNGE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43984-2023</t>
        </is>
      </c>
      <c r="B1482" s="1" t="n">
        <v>45187</v>
      </c>
      <c r="C1482" s="1" t="n">
        <v>45713</v>
      </c>
      <c r="D1482" t="inlineStr">
        <is>
          <t>VÄSTERNORRLANDS LÄN</t>
        </is>
      </c>
      <c r="E1482" t="inlineStr">
        <is>
          <t>ÅNGE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44013-2023</t>
        </is>
      </c>
      <c r="B1483" s="1" t="n">
        <v>45188</v>
      </c>
      <c r="C1483" s="1" t="n">
        <v>45713</v>
      </c>
      <c r="D1483" t="inlineStr">
        <is>
          <t>VÄSTERNORRLANDS LÄN</t>
        </is>
      </c>
      <c r="E1483" t="inlineStr">
        <is>
          <t>ÅNGE</t>
        </is>
      </c>
      <c r="F1483" t="inlineStr">
        <is>
          <t>Holmen skog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44268-2023</t>
        </is>
      </c>
      <c r="B1484" s="1" t="n">
        <v>45188</v>
      </c>
      <c r="C1484" s="1" t="n">
        <v>45713</v>
      </c>
      <c r="D1484" t="inlineStr">
        <is>
          <t>VÄSTERNORRLANDS LÄN</t>
        </is>
      </c>
      <c r="E1484" t="inlineStr">
        <is>
          <t>ÅNGE</t>
        </is>
      </c>
      <c r="F1484" t="inlineStr">
        <is>
          <t>Holmen skog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45572-2023</t>
        </is>
      </c>
      <c r="B1485" s="1" t="n">
        <v>45188</v>
      </c>
      <c r="C1485" s="1" t="n">
        <v>45713</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45598-2023</t>
        </is>
      </c>
      <c r="B1486" s="1" t="n">
        <v>45188</v>
      </c>
      <c r="C1486" s="1" t="n">
        <v>45713</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44979-2023</t>
        </is>
      </c>
      <c r="B1487" s="1" t="n">
        <v>45191</v>
      </c>
      <c r="C1487" s="1" t="n">
        <v>45713</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45027-2023</t>
        </is>
      </c>
      <c r="B1488" s="1" t="n">
        <v>45191</v>
      </c>
      <c r="C1488" s="1" t="n">
        <v>45713</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45933-2023</t>
        </is>
      </c>
      <c r="B1489" s="1" t="n">
        <v>45195</v>
      </c>
      <c r="C1489" s="1" t="n">
        <v>45713</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45941-2023</t>
        </is>
      </c>
      <c r="B1490" s="1" t="n">
        <v>45196</v>
      </c>
      <c r="C1490" s="1" t="n">
        <v>45713</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45932-2023</t>
        </is>
      </c>
      <c r="B1491" s="1" t="n">
        <v>45195</v>
      </c>
      <c r="C1491" s="1" t="n">
        <v>45713</v>
      </c>
      <c r="D1491" t="inlineStr">
        <is>
          <t>VÄSTERNORRLANDS LÄN</t>
        </is>
      </c>
      <c r="E1491" t="inlineStr">
        <is>
          <t>ÅNGE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45940-2023</t>
        </is>
      </c>
      <c r="B1492" s="1" t="n">
        <v>45196</v>
      </c>
      <c r="C1492" s="1" t="n">
        <v>45713</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45717-2023</t>
        </is>
      </c>
      <c r="B1493" s="1" t="n">
        <v>45195</v>
      </c>
      <c r="C1493" s="1" t="n">
        <v>45713</v>
      </c>
      <c r="D1493" t="inlineStr">
        <is>
          <t>VÄSTERNORRLANDS LÄN</t>
        </is>
      </c>
      <c r="E1493" t="inlineStr">
        <is>
          <t>ÅNGE</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45939-2023</t>
        </is>
      </c>
      <c r="B1494" s="1" t="n">
        <v>45196</v>
      </c>
      <c r="C1494" s="1" t="n">
        <v>45713</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46254-2023</t>
        </is>
      </c>
      <c r="B1495" s="1" t="n">
        <v>45196</v>
      </c>
      <c r="C1495" s="1" t="n">
        <v>45713</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46262-2023</t>
        </is>
      </c>
      <c r="B1496" s="1" t="n">
        <v>45197</v>
      </c>
      <c r="C1496" s="1" t="n">
        <v>45713</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45713</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46255-2023</t>
        </is>
      </c>
      <c r="B1498" s="1" t="n">
        <v>45196</v>
      </c>
      <c r="C1498" s="1" t="n">
        <v>45713</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47324-2023</t>
        </is>
      </c>
      <c r="B1499" s="1" t="n">
        <v>45196</v>
      </c>
      <c r="C1499" s="1" t="n">
        <v>45713</v>
      </c>
      <c r="D1499" t="inlineStr">
        <is>
          <t>VÄSTERNORRLANDS LÄN</t>
        </is>
      </c>
      <c r="E1499" t="inlineStr">
        <is>
          <t>ÅNGE</t>
        </is>
      </c>
      <c r="F1499" t="inlineStr">
        <is>
          <t>SCA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46211-2023</t>
        </is>
      </c>
      <c r="B1500" s="1" t="n">
        <v>45196</v>
      </c>
      <c r="C1500" s="1" t="n">
        <v>45713</v>
      </c>
      <c r="D1500" t="inlineStr">
        <is>
          <t>VÄSTERNORRLANDS LÄN</t>
        </is>
      </c>
      <c r="E1500" t="inlineStr">
        <is>
          <t>ÅNGE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47432-2023</t>
        </is>
      </c>
      <c r="B1501" s="1" t="n">
        <v>45197</v>
      </c>
      <c r="C1501" s="1" t="n">
        <v>45713</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46679-2023</t>
        </is>
      </c>
      <c r="B1502" s="1" t="n">
        <v>45198</v>
      </c>
      <c r="C1502" s="1" t="n">
        <v>45713</v>
      </c>
      <c r="D1502" t="inlineStr">
        <is>
          <t>VÄSTERNORRLANDS LÄN</t>
        </is>
      </c>
      <c r="E1502" t="inlineStr">
        <is>
          <t>ÅNGE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46689-2023</t>
        </is>
      </c>
      <c r="B1503" s="1" t="n">
        <v>45198</v>
      </c>
      <c r="C1503" s="1" t="n">
        <v>45713</v>
      </c>
      <c r="D1503" t="inlineStr">
        <is>
          <t>VÄSTERNORRLANDS LÄN</t>
        </is>
      </c>
      <c r="E1503" t="inlineStr">
        <is>
          <t>ÅNGE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46681-2023</t>
        </is>
      </c>
      <c r="B1504" s="1" t="n">
        <v>45198</v>
      </c>
      <c r="C1504" s="1" t="n">
        <v>45713</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46667-2023</t>
        </is>
      </c>
      <c r="B1505" s="1" t="n">
        <v>45198</v>
      </c>
      <c r="C1505" s="1" t="n">
        <v>45713</v>
      </c>
      <c r="D1505" t="inlineStr">
        <is>
          <t>VÄSTERNORRLANDS LÄN</t>
        </is>
      </c>
      <c r="E1505" t="inlineStr">
        <is>
          <t>ÅNGE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46795-2023</t>
        </is>
      </c>
      <c r="B1506" s="1" t="n">
        <v>45198</v>
      </c>
      <c r="C1506" s="1" t="n">
        <v>45713</v>
      </c>
      <c r="D1506" t="inlineStr">
        <is>
          <t>VÄSTERNORRLANDS LÄN</t>
        </is>
      </c>
      <c r="E1506" t="inlineStr">
        <is>
          <t>ÅNGE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47153-2023</t>
        </is>
      </c>
      <c r="B1507" s="1" t="n">
        <v>45202</v>
      </c>
      <c r="C1507" s="1" t="n">
        <v>45713</v>
      </c>
      <c r="D1507" t="inlineStr">
        <is>
          <t>VÄSTERNORRLANDS LÄN</t>
        </is>
      </c>
      <c r="E1507" t="inlineStr">
        <is>
          <t>ÅNGE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47233-2023</t>
        </is>
      </c>
      <c r="B1508" s="1" t="n">
        <v>45202</v>
      </c>
      <c r="C1508" s="1" t="n">
        <v>45713</v>
      </c>
      <c r="D1508" t="inlineStr">
        <is>
          <t>VÄSTERNORRLANDS LÄN</t>
        </is>
      </c>
      <c r="E1508" t="inlineStr">
        <is>
          <t>ÅNGE</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47489-2023</t>
        </is>
      </c>
      <c r="B1509" s="1" t="n">
        <v>45203</v>
      </c>
      <c r="C1509" s="1" t="n">
        <v>45713</v>
      </c>
      <c r="D1509" t="inlineStr">
        <is>
          <t>VÄSTERNORRLANDS LÄN</t>
        </is>
      </c>
      <c r="E1509" t="inlineStr">
        <is>
          <t>ÅNGE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47488-2023</t>
        </is>
      </c>
      <c r="B1510" s="1" t="n">
        <v>45203</v>
      </c>
      <c r="C1510" s="1" t="n">
        <v>45713</v>
      </c>
      <c r="D1510" t="inlineStr">
        <is>
          <t>VÄSTERNORRLANDS LÄN</t>
        </is>
      </c>
      <c r="E1510" t="inlineStr">
        <is>
          <t>ÅNGE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47779-2023</t>
        </is>
      </c>
      <c r="B1511" s="1" t="n">
        <v>45204</v>
      </c>
      <c r="C1511" s="1" t="n">
        <v>45713</v>
      </c>
      <c r="D1511" t="inlineStr">
        <is>
          <t>VÄSTERNORRLANDS LÄN</t>
        </is>
      </c>
      <c r="E1511" t="inlineStr">
        <is>
          <t>ÅNGE</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47787-2023</t>
        </is>
      </c>
      <c r="B1512" s="1" t="n">
        <v>45203</v>
      </c>
      <c r="C1512" s="1" t="n">
        <v>45713</v>
      </c>
      <c r="D1512" t="inlineStr">
        <is>
          <t>VÄSTERNORRLANDS LÄN</t>
        </is>
      </c>
      <c r="E1512" t="inlineStr">
        <is>
          <t>ÅNGE</t>
        </is>
      </c>
      <c r="F1512" t="inlineStr">
        <is>
          <t>SCA</t>
        </is>
      </c>
      <c r="G1512" t="n">
        <v>50.1</v>
      </c>
      <c r="H1512" t="n">
        <v>0</v>
      </c>
      <c r="I1512" t="n">
        <v>0</v>
      </c>
      <c r="J1512" t="n">
        <v>0</v>
      </c>
      <c r="K1512" t="n">
        <v>0</v>
      </c>
      <c r="L1512" t="n">
        <v>0</v>
      </c>
      <c r="M1512" t="n">
        <v>0</v>
      </c>
      <c r="N1512" t="n">
        <v>0</v>
      </c>
      <c r="O1512" t="n">
        <v>0</v>
      </c>
      <c r="P1512" t="n">
        <v>0</v>
      </c>
      <c r="Q1512" t="n">
        <v>0</v>
      </c>
      <c r="R1512" s="2" t="inlineStr"/>
    </row>
    <row r="1513" ht="15" customHeight="1">
      <c r="A1513" t="inlineStr">
        <is>
          <t>A 47786-2023</t>
        </is>
      </c>
      <c r="B1513" s="1" t="n">
        <v>45203</v>
      </c>
      <c r="C1513" s="1" t="n">
        <v>45713</v>
      </c>
      <c r="D1513" t="inlineStr">
        <is>
          <t>VÄSTERNORRLANDS LÄN</t>
        </is>
      </c>
      <c r="E1513" t="inlineStr">
        <is>
          <t>ÅNGE</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48815-2023</t>
        </is>
      </c>
      <c r="B1514" s="1" t="n">
        <v>45203</v>
      </c>
      <c r="C1514" s="1" t="n">
        <v>45713</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48811-2023</t>
        </is>
      </c>
      <c r="B1515" s="1" t="n">
        <v>45203</v>
      </c>
      <c r="C1515" s="1" t="n">
        <v>45713</v>
      </c>
      <c r="D1515" t="inlineStr">
        <is>
          <t>VÄSTERNORRLANDS LÄN</t>
        </is>
      </c>
      <c r="E1515" t="inlineStr">
        <is>
          <t>ÅNGE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48061-2023</t>
        </is>
      </c>
      <c r="B1516" s="1" t="n">
        <v>45205</v>
      </c>
      <c r="C1516" s="1" t="n">
        <v>45713</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48773-2023</t>
        </is>
      </c>
      <c r="B1517" s="1" t="n">
        <v>45209</v>
      </c>
      <c r="C1517" s="1" t="n">
        <v>45713</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48774-2023</t>
        </is>
      </c>
      <c r="B1518" s="1" t="n">
        <v>45208</v>
      </c>
      <c r="C1518" s="1" t="n">
        <v>45713</v>
      </c>
      <c r="D1518" t="inlineStr">
        <is>
          <t>VÄSTERNORRLANDS LÄN</t>
        </is>
      </c>
      <c r="E1518" t="inlineStr">
        <is>
          <t>ÅNGE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48632-2023</t>
        </is>
      </c>
      <c r="B1519" s="1" t="n">
        <v>45208</v>
      </c>
      <c r="C1519" s="1" t="n">
        <v>45713</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50095-2023</t>
        </is>
      </c>
      <c r="B1520" s="1" t="n">
        <v>45208</v>
      </c>
      <c r="C1520" s="1" t="n">
        <v>45713</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49038-2023</t>
        </is>
      </c>
      <c r="B1521" s="1" t="n">
        <v>45209</v>
      </c>
      <c r="C1521" s="1" t="n">
        <v>45713</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49945-2023</t>
        </is>
      </c>
      <c r="B1522" s="1" t="n">
        <v>45215</v>
      </c>
      <c r="C1522" s="1" t="n">
        <v>45713</v>
      </c>
      <c r="D1522" t="inlineStr">
        <is>
          <t>VÄSTERNORRLANDS LÄN</t>
        </is>
      </c>
      <c r="E1522" t="inlineStr">
        <is>
          <t>ÅNGE</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50215-2023</t>
        </is>
      </c>
      <c r="B1523" s="1" t="n">
        <v>45216</v>
      </c>
      <c r="C1523" s="1" t="n">
        <v>45713</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51890-2023</t>
        </is>
      </c>
      <c r="B1524" s="1" t="n">
        <v>45215</v>
      </c>
      <c r="C1524" s="1" t="n">
        <v>45713</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51887-2023</t>
        </is>
      </c>
      <c r="B1525" s="1" t="n">
        <v>45215</v>
      </c>
      <c r="C1525" s="1" t="n">
        <v>45713</v>
      </c>
      <c r="D1525" t="inlineStr">
        <is>
          <t>VÄSTERNORRLANDS LÄN</t>
        </is>
      </c>
      <c r="E1525" t="inlineStr">
        <is>
          <t>ÅNGE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51895-2023</t>
        </is>
      </c>
      <c r="B1526" s="1" t="n">
        <v>45215</v>
      </c>
      <c r="C1526" s="1" t="n">
        <v>45713</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51609-2023</t>
        </is>
      </c>
      <c r="B1527" s="1" t="n">
        <v>45215</v>
      </c>
      <c r="C1527" s="1" t="n">
        <v>45713</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51899-2023</t>
        </is>
      </c>
      <c r="B1528" s="1" t="n">
        <v>45215</v>
      </c>
      <c r="C1528" s="1" t="n">
        <v>45713</v>
      </c>
      <c r="D1528" t="inlineStr">
        <is>
          <t>VÄSTERNORRLANDS LÄN</t>
        </is>
      </c>
      <c r="E1528" t="inlineStr">
        <is>
          <t>ÅNGE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50508-2023</t>
        </is>
      </c>
      <c r="B1529" s="1" t="n">
        <v>45217</v>
      </c>
      <c r="C1529" s="1" t="n">
        <v>45713</v>
      </c>
      <c r="D1529" t="inlineStr">
        <is>
          <t>VÄSTERNORRLANDS LÄN</t>
        </is>
      </c>
      <c r="E1529" t="inlineStr">
        <is>
          <t>ÅNGE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51011-2023</t>
        </is>
      </c>
      <c r="B1530" s="1" t="n">
        <v>45218</v>
      </c>
      <c r="C1530" s="1" t="n">
        <v>45713</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51055-2023</t>
        </is>
      </c>
      <c r="B1531" s="1" t="n">
        <v>45218</v>
      </c>
      <c r="C1531" s="1" t="n">
        <v>45713</v>
      </c>
      <c r="D1531" t="inlineStr">
        <is>
          <t>VÄSTERNORRLANDS LÄN</t>
        </is>
      </c>
      <c r="E1531" t="inlineStr">
        <is>
          <t>ÅNGE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51411-2023</t>
        </is>
      </c>
      <c r="B1532" s="1" t="n">
        <v>45219</v>
      </c>
      <c r="C1532" s="1" t="n">
        <v>45713</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51270-2023</t>
        </is>
      </c>
      <c r="B1533" s="1" t="n">
        <v>45219</v>
      </c>
      <c r="C1533" s="1" t="n">
        <v>45713</v>
      </c>
      <c r="D1533" t="inlineStr">
        <is>
          <t>VÄSTERNORRLANDS LÄN</t>
        </is>
      </c>
      <c r="E1533" t="inlineStr">
        <is>
          <t>ÅNGE</t>
        </is>
      </c>
      <c r="F1533" t="inlineStr">
        <is>
          <t>Kyrkan</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51453-2023</t>
        </is>
      </c>
      <c r="B1534" s="1" t="n">
        <v>45220</v>
      </c>
      <c r="C1534" s="1" t="n">
        <v>45713</v>
      </c>
      <c r="D1534" t="inlineStr">
        <is>
          <t>VÄSTERNORRLANDS LÄN</t>
        </is>
      </c>
      <c r="E1534" t="inlineStr">
        <is>
          <t>ÅNGE</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51575-2023</t>
        </is>
      </c>
      <c r="B1535" s="1" t="n">
        <v>45222</v>
      </c>
      <c r="C1535" s="1" t="n">
        <v>45713</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53246-2023</t>
        </is>
      </c>
      <c r="B1536" s="1" t="n">
        <v>45222</v>
      </c>
      <c r="C1536" s="1" t="n">
        <v>45713</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51810-2023</t>
        </is>
      </c>
      <c r="B1537" s="1" t="n">
        <v>45223</v>
      </c>
      <c r="C1537" s="1" t="n">
        <v>45713</v>
      </c>
      <c r="D1537" t="inlineStr">
        <is>
          <t>VÄSTERNORRLANDS LÄN</t>
        </is>
      </c>
      <c r="E1537" t="inlineStr">
        <is>
          <t>ÅNGE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51907-2023</t>
        </is>
      </c>
      <c r="B1538" s="1" t="n">
        <v>45223</v>
      </c>
      <c r="C1538" s="1" t="n">
        <v>45713</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52742-2023</t>
        </is>
      </c>
      <c r="B1539" s="1" t="n">
        <v>45226</v>
      </c>
      <c r="C1539" s="1" t="n">
        <v>45713</v>
      </c>
      <c r="D1539" t="inlineStr">
        <is>
          <t>VÄSTERNORRLANDS LÄN</t>
        </is>
      </c>
      <c r="E1539" t="inlineStr">
        <is>
          <t>ÅNGE</t>
        </is>
      </c>
      <c r="F1539" t="inlineStr">
        <is>
          <t>SCA</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54771-2023</t>
        </is>
      </c>
      <c r="B1540" s="1" t="n">
        <v>45229</v>
      </c>
      <c r="C1540" s="1" t="n">
        <v>45713</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54754-2023</t>
        </is>
      </c>
      <c r="B1541" s="1" t="n">
        <v>45229</v>
      </c>
      <c r="C1541" s="1" t="n">
        <v>45713</v>
      </c>
      <c r="D1541" t="inlineStr">
        <is>
          <t>VÄSTERNORRLANDS LÄN</t>
        </is>
      </c>
      <c r="E1541" t="inlineStr">
        <is>
          <t>ÅNGE</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54761-2023</t>
        </is>
      </c>
      <c r="B1542" s="1" t="n">
        <v>45229</v>
      </c>
      <c r="C1542" s="1" t="n">
        <v>45713</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54823-2023</t>
        </is>
      </c>
      <c r="B1543" s="1" t="n">
        <v>45229</v>
      </c>
      <c r="C1543" s="1" t="n">
        <v>45713</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54769-2023</t>
        </is>
      </c>
      <c r="B1544" s="1" t="n">
        <v>45229</v>
      </c>
      <c r="C1544" s="1" t="n">
        <v>45713</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54773-2023</t>
        </is>
      </c>
      <c r="B1545" s="1" t="n">
        <v>45229</v>
      </c>
      <c r="C1545" s="1" t="n">
        <v>45713</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53651-2023</t>
        </is>
      </c>
      <c r="B1546" s="1" t="n">
        <v>45230</v>
      </c>
      <c r="C1546" s="1" t="n">
        <v>45713</v>
      </c>
      <c r="D1546" t="inlineStr">
        <is>
          <t>VÄSTERNORRLANDS LÄN</t>
        </is>
      </c>
      <c r="E1546" t="inlineStr">
        <is>
          <t>ÅNGE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53627-2023</t>
        </is>
      </c>
      <c r="B1547" s="1" t="n">
        <v>45230</v>
      </c>
      <c r="C1547" s="1" t="n">
        <v>45713</v>
      </c>
      <c r="D1547" t="inlineStr">
        <is>
          <t>VÄSTERNORRLANDS LÄN</t>
        </is>
      </c>
      <c r="E1547" t="inlineStr">
        <is>
          <t>ÅNGE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53549-2023</t>
        </is>
      </c>
      <c r="B1548" s="1" t="n">
        <v>45230</v>
      </c>
      <c r="C1548" s="1" t="n">
        <v>45713</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53765-2023</t>
        </is>
      </c>
      <c r="B1549" s="1" t="n">
        <v>45231</v>
      </c>
      <c r="C1549" s="1" t="n">
        <v>45713</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53512-2023</t>
        </is>
      </c>
      <c r="B1550" s="1" t="n">
        <v>45230</v>
      </c>
      <c r="C1550" s="1" t="n">
        <v>45713</v>
      </c>
      <c r="D1550" t="inlineStr">
        <is>
          <t>VÄSTERNORRLANDS LÄN</t>
        </is>
      </c>
      <c r="E1550" t="inlineStr">
        <is>
          <t>ÅNGE</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54079-2023</t>
        </is>
      </c>
      <c r="B1551" s="1" t="n">
        <v>45231</v>
      </c>
      <c r="C1551" s="1" t="n">
        <v>45713</v>
      </c>
      <c r="D1551" t="inlineStr">
        <is>
          <t>VÄSTERNORRLANDS LÄN</t>
        </is>
      </c>
      <c r="E1551" t="inlineStr">
        <is>
          <t>ÅNGE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54060-2023</t>
        </is>
      </c>
      <c r="B1552" s="1" t="n">
        <v>45232</v>
      </c>
      <c r="C1552" s="1" t="n">
        <v>45713</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54065-2023</t>
        </is>
      </c>
      <c r="B1553" s="1" t="n">
        <v>45232</v>
      </c>
      <c r="C1553" s="1" t="n">
        <v>45713</v>
      </c>
      <c r="D1553" t="inlineStr">
        <is>
          <t>VÄSTERNORRLANDS LÄN</t>
        </is>
      </c>
      <c r="E1553" t="inlineStr">
        <is>
          <t>ÅNGE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54338-2023</t>
        </is>
      </c>
      <c r="B1554" s="1" t="n">
        <v>45232</v>
      </c>
      <c r="C1554" s="1" t="n">
        <v>45713</v>
      </c>
      <c r="D1554" t="inlineStr">
        <is>
          <t>VÄSTERNORRLANDS LÄN</t>
        </is>
      </c>
      <c r="E1554" t="inlineStr">
        <is>
          <t>ÅNGE</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54342-2023</t>
        </is>
      </c>
      <c r="B1555" s="1" t="n">
        <v>45232</v>
      </c>
      <c r="C1555" s="1" t="n">
        <v>45713</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54346-2023</t>
        </is>
      </c>
      <c r="B1556" s="1" t="n">
        <v>45233</v>
      </c>
      <c r="C1556" s="1" t="n">
        <v>45713</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54336-2023</t>
        </is>
      </c>
      <c r="B1557" s="1" t="n">
        <v>45233</v>
      </c>
      <c r="C1557" s="1" t="n">
        <v>45713</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54341-2023</t>
        </is>
      </c>
      <c r="B1558" s="1" t="n">
        <v>45232</v>
      </c>
      <c r="C1558" s="1" t="n">
        <v>45713</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54339-2023</t>
        </is>
      </c>
      <c r="B1559" s="1" t="n">
        <v>45233</v>
      </c>
      <c r="C1559" s="1" t="n">
        <v>45713</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54613-2023</t>
        </is>
      </c>
      <c r="B1560" s="1" t="n">
        <v>45233</v>
      </c>
      <c r="C1560" s="1" t="n">
        <v>45713</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45713</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54614-2023</t>
        </is>
      </c>
      <c r="B1562" s="1" t="n">
        <v>45233</v>
      </c>
      <c r="C1562" s="1" t="n">
        <v>45713</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54602-2023</t>
        </is>
      </c>
      <c r="B1563" s="1" t="n">
        <v>45233</v>
      </c>
      <c r="C1563" s="1" t="n">
        <v>45713</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54566-2023</t>
        </is>
      </c>
      <c r="B1564" s="1" t="n">
        <v>45233</v>
      </c>
      <c r="C1564" s="1" t="n">
        <v>45713</v>
      </c>
      <c r="D1564" t="inlineStr">
        <is>
          <t>VÄSTERNORRLANDS LÄN</t>
        </is>
      </c>
      <c r="E1564" t="inlineStr">
        <is>
          <t>ÅNGE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54982-2023</t>
        </is>
      </c>
      <c r="B1565" s="1" t="n">
        <v>45236</v>
      </c>
      <c r="C1565" s="1" t="n">
        <v>45713</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55329-2023</t>
        </is>
      </c>
      <c r="B1566" s="1" t="n">
        <v>45237</v>
      </c>
      <c r="C1566" s="1" t="n">
        <v>45713</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55324-2023</t>
        </is>
      </c>
      <c r="B1567" s="1" t="n">
        <v>45238</v>
      </c>
      <c r="C1567" s="1" t="n">
        <v>45713</v>
      </c>
      <c r="D1567" t="inlineStr">
        <is>
          <t>VÄSTERNORRLANDS LÄN</t>
        </is>
      </c>
      <c r="E1567" t="inlineStr">
        <is>
          <t>ÅNGE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55328-2023</t>
        </is>
      </c>
      <c r="B1568" s="1" t="n">
        <v>45237</v>
      </c>
      <c r="C1568" s="1" t="n">
        <v>45713</v>
      </c>
      <c r="D1568" t="inlineStr">
        <is>
          <t>VÄSTERNORRLANDS LÄN</t>
        </is>
      </c>
      <c r="E1568" t="inlineStr">
        <is>
          <t>ÅNGE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55664-2023</t>
        </is>
      </c>
      <c r="B1569" s="1" t="n">
        <v>45239</v>
      </c>
      <c r="C1569" s="1" t="n">
        <v>45713</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55670-2023</t>
        </is>
      </c>
      <c r="B1570" s="1" t="n">
        <v>45239</v>
      </c>
      <c r="C1570" s="1" t="n">
        <v>45713</v>
      </c>
      <c r="D1570" t="inlineStr">
        <is>
          <t>VÄSTERNORRLANDS LÄN</t>
        </is>
      </c>
      <c r="E1570" t="inlineStr">
        <is>
          <t>ÅNGE</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56519-2023</t>
        </is>
      </c>
      <c r="B1571" s="1" t="n">
        <v>45238</v>
      </c>
      <c r="C1571" s="1" t="n">
        <v>45713</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55924-2023</t>
        </is>
      </c>
      <c r="B1572" s="1" t="n">
        <v>45239</v>
      </c>
      <c r="C1572" s="1" t="n">
        <v>45713</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55932-2023</t>
        </is>
      </c>
      <c r="B1573" s="1" t="n">
        <v>45239</v>
      </c>
      <c r="C1573" s="1" t="n">
        <v>45713</v>
      </c>
      <c r="D1573" t="inlineStr">
        <is>
          <t>VÄSTERNORRLANDS LÄN</t>
        </is>
      </c>
      <c r="E1573" t="inlineStr">
        <is>
          <t>ÅNGE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55925-2023</t>
        </is>
      </c>
      <c r="B1574" s="1" t="n">
        <v>45240</v>
      </c>
      <c r="C1574" s="1" t="n">
        <v>45713</v>
      </c>
      <c r="D1574" t="inlineStr">
        <is>
          <t>VÄSTERNORRLANDS LÄN</t>
        </is>
      </c>
      <c r="E1574" t="inlineStr">
        <is>
          <t>ÅNGE</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57109-2023</t>
        </is>
      </c>
      <c r="B1575" s="1" t="n">
        <v>45239</v>
      </c>
      <c r="C1575" s="1" t="n">
        <v>45713</v>
      </c>
      <c r="D1575" t="inlineStr">
        <is>
          <t>VÄSTERNORRLANDS LÄN</t>
        </is>
      </c>
      <c r="E1575" t="inlineStr">
        <is>
          <t>ÅNGE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56585-2023</t>
        </is>
      </c>
      <c r="B1576" s="1" t="n">
        <v>45243</v>
      </c>
      <c r="C1576" s="1" t="n">
        <v>45713</v>
      </c>
      <c r="D1576" t="inlineStr">
        <is>
          <t>VÄSTERNORRLANDS LÄN</t>
        </is>
      </c>
      <c r="E1576" t="inlineStr">
        <is>
          <t>ÅNGE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56615-2023</t>
        </is>
      </c>
      <c r="B1577" s="1" t="n">
        <v>45243</v>
      </c>
      <c r="C1577" s="1" t="n">
        <v>45713</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56683-2023</t>
        </is>
      </c>
      <c r="B1578" s="1" t="n">
        <v>45243</v>
      </c>
      <c r="C1578" s="1" t="n">
        <v>45713</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56699-2023</t>
        </is>
      </c>
      <c r="B1579" s="1" t="n">
        <v>45243</v>
      </c>
      <c r="C1579" s="1" t="n">
        <v>45713</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57560-2023</t>
        </is>
      </c>
      <c r="B1580" s="1" t="n">
        <v>45243</v>
      </c>
      <c r="C1580" s="1" t="n">
        <v>45713</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56696-2023</t>
        </is>
      </c>
      <c r="B1581" s="1" t="n">
        <v>45244</v>
      </c>
      <c r="C1581" s="1" t="n">
        <v>45713</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56700-2023</t>
        </is>
      </c>
      <c r="B1582" s="1" t="n">
        <v>45244</v>
      </c>
      <c r="C1582" s="1" t="n">
        <v>45713</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57396-2023</t>
        </is>
      </c>
      <c r="B1583" s="1" t="n">
        <v>45245</v>
      </c>
      <c r="C1583" s="1" t="n">
        <v>45713</v>
      </c>
      <c r="D1583" t="inlineStr">
        <is>
          <t>VÄSTERNORRLANDS LÄN</t>
        </is>
      </c>
      <c r="E1583" t="inlineStr">
        <is>
          <t>ÅNGE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57408-2023</t>
        </is>
      </c>
      <c r="B1584" s="1" t="n">
        <v>45245</v>
      </c>
      <c r="C1584" s="1" t="n">
        <v>45713</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57406-2023</t>
        </is>
      </c>
      <c r="B1585" s="1" t="n">
        <v>45245</v>
      </c>
      <c r="C1585" s="1" t="n">
        <v>45713</v>
      </c>
      <c r="D1585" t="inlineStr">
        <is>
          <t>VÄSTERNORRLANDS LÄN</t>
        </is>
      </c>
      <c r="E1585" t="inlineStr">
        <is>
          <t>ÅNGE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57410-2023</t>
        </is>
      </c>
      <c r="B1586" s="1" t="n">
        <v>45245</v>
      </c>
      <c r="C1586" s="1" t="n">
        <v>45713</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57516-2023</t>
        </is>
      </c>
      <c r="B1587" s="1" t="n">
        <v>45246</v>
      </c>
      <c r="C1587" s="1" t="n">
        <v>45713</v>
      </c>
      <c r="D1587" t="inlineStr">
        <is>
          <t>VÄSTERNORRLANDS LÄN</t>
        </is>
      </c>
      <c r="E1587" t="inlineStr">
        <is>
          <t>ÅNGE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57568-2023</t>
        </is>
      </c>
      <c r="B1588" s="1" t="n">
        <v>45246</v>
      </c>
      <c r="C1588" s="1" t="n">
        <v>45713</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57791-2023</t>
        </is>
      </c>
      <c r="B1589" s="1" t="n">
        <v>45247</v>
      </c>
      <c r="C1589" s="1" t="n">
        <v>45713</v>
      </c>
      <c r="D1589" t="inlineStr">
        <is>
          <t>VÄSTERNORRLANDS LÄN</t>
        </is>
      </c>
      <c r="E1589" t="inlineStr">
        <is>
          <t>ÅNGE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57780-2023</t>
        </is>
      </c>
      <c r="B1590" s="1" t="n">
        <v>45247</v>
      </c>
      <c r="C1590" s="1" t="n">
        <v>45713</v>
      </c>
      <c r="D1590" t="inlineStr">
        <is>
          <t>VÄSTERNORRLANDS LÄN</t>
        </is>
      </c>
      <c r="E1590" t="inlineStr">
        <is>
          <t>ÅNGE</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57927-2023</t>
        </is>
      </c>
      <c r="B1591" s="1" t="n">
        <v>45247</v>
      </c>
      <c r="C1591" s="1" t="n">
        <v>45713</v>
      </c>
      <c r="D1591" t="inlineStr">
        <is>
          <t>VÄSTERNORRLANDS LÄN</t>
        </is>
      </c>
      <c r="E1591" t="inlineStr">
        <is>
          <t>ÅNGE</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57956-2023</t>
        </is>
      </c>
      <c r="B1592" s="1" t="n">
        <v>45247</v>
      </c>
      <c r="C1592" s="1" t="n">
        <v>45713</v>
      </c>
      <c r="D1592" t="inlineStr">
        <is>
          <t>VÄSTERNORRLANDS LÄN</t>
        </is>
      </c>
      <c r="E1592" t="inlineStr">
        <is>
          <t>ÅNGE</t>
        </is>
      </c>
      <c r="F1592" t="inlineStr">
        <is>
          <t>Holmen skog AB</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58086-2023</t>
        </is>
      </c>
      <c r="B1593" s="1" t="n">
        <v>45248</v>
      </c>
      <c r="C1593" s="1" t="n">
        <v>45713</v>
      </c>
      <c r="D1593" t="inlineStr">
        <is>
          <t>VÄSTERNORRLANDS LÄN</t>
        </is>
      </c>
      <c r="E1593" t="inlineStr">
        <is>
          <t>ÅNGE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58098-2023</t>
        </is>
      </c>
      <c r="B1594" s="1" t="n">
        <v>45248</v>
      </c>
      <c r="C1594" s="1" t="n">
        <v>45713</v>
      </c>
      <c r="D1594" t="inlineStr">
        <is>
          <t>VÄSTERNORRLANDS LÄN</t>
        </is>
      </c>
      <c r="E1594" t="inlineStr">
        <is>
          <t>ÅNGE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58287-2023</t>
        </is>
      </c>
      <c r="B1595" s="1" t="n">
        <v>45250</v>
      </c>
      <c r="C1595" s="1" t="n">
        <v>45713</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58469-2023</t>
        </is>
      </c>
      <c r="B1596" s="1" t="n">
        <v>45250</v>
      </c>
      <c r="C1596" s="1" t="n">
        <v>45713</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58522-2023</t>
        </is>
      </c>
      <c r="B1597" s="1" t="n">
        <v>45251</v>
      </c>
      <c r="C1597" s="1" t="n">
        <v>45713</v>
      </c>
      <c r="D1597" t="inlineStr">
        <is>
          <t>VÄSTERNORRLANDS LÄN</t>
        </is>
      </c>
      <c r="E1597" t="inlineStr">
        <is>
          <t>ÅNGE</t>
        </is>
      </c>
      <c r="F1597" t="inlineStr">
        <is>
          <t>Övriga Aktiebolag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58550-2023</t>
        </is>
      </c>
      <c r="B1598" s="1" t="n">
        <v>45251</v>
      </c>
      <c r="C1598" s="1" t="n">
        <v>45713</v>
      </c>
      <c r="D1598" t="inlineStr">
        <is>
          <t>VÄSTERNORRLANDS LÄN</t>
        </is>
      </c>
      <c r="E1598" t="inlineStr">
        <is>
          <t>ÅNGE</t>
        </is>
      </c>
      <c r="F1598" t="inlineStr">
        <is>
          <t>Övriga Aktiebolag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v>
      </c>
      <c r="C1599" s="1" t="n">
        <v>45713</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58634-2023</t>
        </is>
      </c>
      <c r="B1600" s="1" t="n">
        <v>45251</v>
      </c>
      <c r="C1600" s="1" t="n">
        <v>45713</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58637-2023</t>
        </is>
      </c>
      <c r="B1601" s="1" t="n">
        <v>45251</v>
      </c>
      <c r="C1601" s="1" t="n">
        <v>45713</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58774-2023</t>
        </is>
      </c>
      <c r="B1602" s="1" t="n">
        <v>45251</v>
      </c>
      <c r="C1602" s="1" t="n">
        <v>45713</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58748-2023</t>
        </is>
      </c>
      <c r="B1603" s="1" t="n">
        <v>45251</v>
      </c>
      <c r="C1603" s="1" t="n">
        <v>45713</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58639-2023</t>
        </is>
      </c>
      <c r="B1604" s="1" t="n">
        <v>45251</v>
      </c>
      <c r="C1604" s="1" t="n">
        <v>45713</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58997-2023</t>
        </is>
      </c>
      <c r="B1605" s="1" t="n">
        <v>45252</v>
      </c>
      <c r="C1605" s="1" t="n">
        <v>45713</v>
      </c>
      <c r="D1605" t="inlineStr">
        <is>
          <t>VÄSTERNORRLANDS LÄN</t>
        </is>
      </c>
      <c r="E1605" t="inlineStr">
        <is>
          <t>ÅNGE</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59099-2023</t>
        </is>
      </c>
      <c r="B1606" s="1" t="n">
        <v>45253</v>
      </c>
      <c r="C1606" s="1" t="n">
        <v>45713</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59264-2023</t>
        </is>
      </c>
      <c r="B1607" s="1" t="n">
        <v>45253</v>
      </c>
      <c r="C1607" s="1" t="n">
        <v>45713</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59491-2023</t>
        </is>
      </c>
      <c r="B1608" s="1" t="n">
        <v>45254</v>
      </c>
      <c r="C1608" s="1" t="n">
        <v>45713</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60005-2023</t>
        </is>
      </c>
      <c r="B1609" s="1" t="n">
        <v>45258</v>
      </c>
      <c r="C1609" s="1" t="n">
        <v>45713</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60004-2023</t>
        </is>
      </c>
      <c r="B1610" s="1" t="n">
        <v>45257</v>
      </c>
      <c r="C1610" s="1" t="n">
        <v>45713</v>
      </c>
      <c r="D1610" t="inlineStr">
        <is>
          <t>VÄSTERNORRLANDS LÄN</t>
        </is>
      </c>
      <c r="E1610" t="inlineStr">
        <is>
          <t>ÅNGE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60205-2023</t>
        </is>
      </c>
      <c r="B1611" s="1" t="n">
        <v>45257</v>
      </c>
      <c r="C1611" s="1" t="n">
        <v>45713</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60216-2023</t>
        </is>
      </c>
      <c r="B1612" s="1" t="n">
        <v>45257</v>
      </c>
      <c r="C1612" s="1" t="n">
        <v>45713</v>
      </c>
      <c r="D1612" t="inlineStr">
        <is>
          <t>VÄSTERNORRLANDS LÄN</t>
        </is>
      </c>
      <c r="E1612" t="inlineStr">
        <is>
          <t>ÅNGE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60001-2023</t>
        </is>
      </c>
      <c r="B1613" s="1" t="n">
        <v>45257</v>
      </c>
      <c r="C1613" s="1" t="n">
        <v>45713</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60209-2023</t>
        </is>
      </c>
      <c r="B1614" s="1" t="n">
        <v>45257</v>
      </c>
      <c r="C1614" s="1" t="n">
        <v>45713</v>
      </c>
      <c r="D1614" t="inlineStr">
        <is>
          <t>VÄSTERNORRLANDS LÄN</t>
        </is>
      </c>
      <c r="E1614" t="inlineStr">
        <is>
          <t>ÅNGE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60003-2023</t>
        </is>
      </c>
      <c r="B1615" s="1" t="n">
        <v>45257</v>
      </c>
      <c r="C1615" s="1" t="n">
        <v>45713</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59999-2023</t>
        </is>
      </c>
      <c r="B1616" s="1" t="n">
        <v>45258</v>
      </c>
      <c r="C1616" s="1" t="n">
        <v>45713</v>
      </c>
      <c r="D1616" t="inlineStr">
        <is>
          <t>VÄSTERNORRLANDS LÄN</t>
        </is>
      </c>
      <c r="E1616" t="inlineStr">
        <is>
          <t>ÅNGE</t>
        </is>
      </c>
      <c r="F1616" t="inlineStr">
        <is>
          <t>SCA</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60156-2023</t>
        </is>
      </c>
      <c r="B1617" s="1" t="n">
        <v>45258</v>
      </c>
      <c r="C1617" s="1" t="n">
        <v>45713</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60153-2023</t>
        </is>
      </c>
      <c r="B1618" s="1" t="n">
        <v>45258</v>
      </c>
      <c r="C1618" s="1" t="n">
        <v>45713</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60568-2023</t>
        </is>
      </c>
      <c r="B1619" s="1" t="n">
        <v>45259</v>
      </c>
      <c r="C1619" s="1" t="n">
        <v>45713</v>
      </c>
      <c r="D1619" t="inlineStr">
        <is>
          <t>VÄSTERNORRLANDS LÄN</t>
        </is>
      </c>
      <c r="E1619" t="inlineStr">
        <is>
          <t>ÅNGE</t>
        </is>
      </c>
      <c r="F1619" t="inlineStr">
        <is>
          <t>Kyrkan</t>
        </is>
      </c>
      <c r="G1619" t="n">
        <v>23.2</v>
      </c>
      <c r="H1619" t="n">
        <v>0</v>
      </c>
      <c r="I1619" t="n">
        <v>0</v>
      </c>
      <c r="J1619" t="n">
        <v>0</v>
      </c>
      <c r="K1619" t="n">
        <v>0</v>
      </c>
      <c r="L1619" t="n">
        <v>0</v>
      </c>
      <c r="M1619" t="n">
        <v>0</v>
      </c>
      <c r="N1619" t="n">
        <v>0</v>
      </c>
      <c r="O1619" t="n">
        <v>0</v>
      </c>
      <c r="P1619" t="n">
        <v>0</v>
      </c>
      <c r="Q1619" t="n">
        <v>0</v>
      </c>
      <c r="R1619" s="2" t="inlineStr"/>
    </row>
    <row r="1620" ht="15" customHeight="1">
      <c r="A1620" t="inlineStr">
        <is>
          <t>A 61335-2023</t>
        </is>
      </c>
      <c r="B1620" s="1" t="n">
        <v>45264</v>
      </c>
      <c r="C1620" s="1" t="n">
        <v>45713</v>
      </c>
      <c r="D1620" t="inlineStr">
        <is>
          <t>VÄSTERNORRLANDS LÄN</t>
        </is>
      </c>
      <c r="E1620" t="inlineStr">
        <is>
          <t>ÅNGE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61461-2023</t>
        </is>
      </c>
      <c r="B1621" s="1" t="n">
        <v>45264</v>
      </c>
      <c r="C1621" s="1" t="n">
        <v>45713</v>
      </c>
      <c r="D1621" t="inlineStr">
        <is>
          <t>VÄSTERNORRLANDS LÄN</t>
        </is>
      </c>
      <c r="E1621" t="inlineStr">
        <is>
          <t>ÅNGE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61577-2023</t>
        </is>
      </c>
      <c r="B1622" s="1" t="n">
        <v>45265</v>
      </c>
      <c r="C1622" s="1" t="n">
        <v>45713</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61781-2023</t>
        </is>
      </c>
      <c r="B1623" s="1" t="n">
        <v>45265</v>
      </c>
      <c r="C1623" s="1" t="n">
        <v>45713</v>
      </c>
      <c r="D1623" t="inlineStr">
        <is>
          <t>VÄSTERNORRLANDS LÄN</t>
        </is>
      </c>
      <c r="E1623" t="inlineStr">
        <is>
          <t>ÅNGE</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61797-2023</t>
        </is>
      </c>
      <c r="B1624" s="1" t="n">
        <v>45265</v>
      </c>
      <c r="C1624" s="1" t="n">
        <v>45713</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61782-2023</t>
        </is>
      </c>
      <c r="B1625" s="1" t="n">
        <v>45265</v>
      </c>
      <c r="C1625" s="1" t="n">
        <v>45713</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62111-2023</t>
        </is>
      </c>
      <c r="B1626" s="1" t="n">
        <v>45266</v>
      </c>
      <c r="C1626" s="1" t="n">
        <v>45713</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62551-2023</t>
        </is>
      </c>
      <c r="B1627" s="1" t="n">
        <v>45268</v>
      </c>
      <c r="C1627" s="1" t="n">
        <v>45713</v>
      </c>
      <c r="D1627" t="inlineStr">
        <is>
          <t>VÄSTERNORRLANDS LÄN</t>
        </is>
      </c>
      <c r="E1627" t="inlineStr">
        <is>
          <t>ÅNGE</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62562-2023</t>
        </is>
      </c>
      <c r="B1628" s="1" t="n">
        <v>45268</v>
      </c>
      <c r="C1628" s="1" t="n">
        <v>45713</v>
      </c>
      <c r="D1628" t="inlineStr">
        <is>
          <t>VÄSTERNORRLANDS LÄN</t>
        </is>
      </c>
      <c r="E1628" t="inlineStr">
        <is>
          <t>ÅNGE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63066-2023</t>
        </is>
      </c>
      <c r="B1629" s="1" t="n">
        <v>45272</v>
      </c>
      <c r="C1629" s="1" t="n">
        <v>45713</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63064-2023</t>
        </is>
      </c>
      <c r="B1630" s="1" t="n">
        <v>45272</v>
      </c>
      <c r="C1630" s="1" t="n">
        <v>45713</v>
      </c>
      <c r="D1630" t="inlineStr">
        <is>
          <t>VÄSTERNORRLANDS LÄN</t>
        </is>
      </c>
      <c r="E1630" t="inlineStr">
        <is>
          <t>ÅNGE</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63057-2023</t>
        </is>
      </c>
      <c r="B1631" s="1" t="n">
        <v>45272</v>
      </c>
      <c r="C1631" s="1" t="n">
        <v>45713</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63065-2023</t>
        </is>
      </c>
      <c r="B1632" s="1" t="n">
        <v>45272</v>
      </c>
      <c r="C1632" s="1" t="n">
        <v>45713</v>
      </c>
      <c r="D1632" t="inlineStr">
        <is>
          <t>VÄSTERNORRLANDS LÄN</t>
        </is>
      </c>
      <c r="E1632" t="inlineStr">
        <is>
          <t>ÅNGE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63170-2023</t>
        </is>
      </c>
      <c r="B1633" s="1" t="n">
        <v>45273</v>
      </c>
      <c r="C1633" s="1" t="n">
        <v>45713</v>
      </c>
      <c r="D1633" t="inlineStr">
        <is>
          <t>VÄSTERNORRLANDS LÄN</t>
        </is>
      </c>
      <c r="E1633" t="inlineStr">
        <is>
          <t>ÅNGE</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63216-2023</t>
        </is>
      </c>
      <c r="B1634" s="1" t="n">
        <v>45273</v>
      </c>
      <c r="C1634" s="1" t="n">
        <v>45713</v>
      </c>
      <c r="D1634" t="inlineStr">
        <is>
          <t>VÄSTERNORRLANDS LÄN</t>
        </is>
      </c>
      <c r="E1634" t="inlineStr">
        <is>
          <t>ÅNGE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63290-2023</t>
        </is>
      </c>
      <c r="B1635" s="1" t="n">
        <v>45273</v>
      </c>
      <c r="C1635" s="1" t="n">
        <v>45713</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63374-2023</t>
        </is>
      </c>
      <c r="B1636" s="1" t="n">
        <v>45274</v>
      </c>
      <c r="C1636" s="1" t="n">
        <v>45713</v>
      </c>
      <c r="D1636" t="inlineStr">
        <is>
          <t>VÄSTERNORRLANDS LÄN</t>
        </is>
      </c>
      <c r="E1636" t="inlineStr">
        <is>
          <t>ÅNGE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63531-2023</t>
        </is>
      </c>
      <c r="B1637" s="1" t="n">
        <v>45274</v>
      </c>
      <c r="C1637" s="1" t="n">
        <v>45713</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63530-2023</t>
        </is>
      </c>
      <c r="B1638" s="1" t="n">
        <v>45274</v>
      </c>
      <c r="C1638" s="1" t="n">
        <v>45713</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63535-2023</t>
        </is>
      </c>
      <c r="B1639" s="1" t="n">
        <v>45274</v>
      </c>
      <c r="C1639" s="1" t="n">
        <v>45713</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63709-2023</t>
        </is>
      </c>
      <c r="B1640" s="1" t="n">
        <v>45275</v>
      </c>
      <c r="C1640" s="1" t="n">
        <v>45713</v>
      </c>
      <c r="D1640" t="inlineStr">
        <is>
          <t>VÄSTERNORRLANDS LÄN</t>
        </is>
      </c>
      <c r="E1640" t="inlineStr">
        <is>
          <t>ÅNGE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64392-2023</t>
        </is>
      </c>
      <c r="B1641" s="1" t="n">
        <v>45280</v>
      </c>
      <c r="C1641" s="1" t="n">
        <v>45713</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64375-2023</t>
        </is>
      </c>
      <c r="B1642" s="1" t="n">
        <v>45280</v>
      </c>
      <c r="C1642" s="1" t="n">
        <v>45713</v>
      </c>
      <c r="D1642" t="inlineStr">
        <is>
          <t>VÄSTERNORRLANDS LÄN</t>
        </is>
      </c>
      <c r="E1642" t="inlineStr">
        <is>
          <t>ÅNGE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64510-2023</t>
        </is>
      </c>
      <c r="B1643" s="1" t="n">
        <v>45281</v>
      </c>
      <c r="C1643" s="1" t="n">
        <v>45713</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64523-2023</t>
        </is>
      </c>
      <c r="B1644" s="1" t="n">
        <v>45281</v>
      </c>
      <c r="C1644" s="1" t="n">
        <v>45713</v>
      </c>
      <c r="D1644" t="inlineStr">
        <is>
          <t>VÄSTERNORRLANDS LÄN</t>
        </is>
      </c>
      <c r="E1644" t="inlineStr">
        <is>
          <t>ÅNGE</t>
        </is>
      </c>
      <c r="G1644" t="n">
        <v>62.6</v>
      </c>
      <c r="H1644" t="n">
        <v>0</v>
      </c>
      <c r="I1644" t="n">
        <v>0</v>
      </c>
      <c r="J1644" t="n">
        <v>0</v>
      </c>
      <c r="K1644" t="n">
        <v>0</v>
      </c>
      <c r="L1644" t="n">
        <v>0</v>
      </c>
      <c r="M1644" t="n">
        <v>0</v>
      </c>
      <c r="N1644" t="n">
        <v>0</v>
      </c>
      <c r="O1644" t="n">
        <v>0</v>
      </c>
      <c r="P1644" t="n">
        <v>0</v>
      </c>
      <c r="Q1644" t="n">
        <v>0</v>
      </c>
      <c r="R1644" s="2" t="inlineStr"/>
    </row>
    <row r="1645" ht="15" customHeight="1">
      <c r="A1645" t="inlineStr">
        <is>
          <t>A 64946-2023</t>
        </is>
      </c>
      <c r="B1645" s="1" t="n">
        <v>45282</v>
      </c>
      <c r="C1645" s="1" t="n">
        <v>45713</v>
      </c>
      <c r="D1645" t="inlineStr">
        <is>
          <t>VÄSTERNORRLANDS LÄN</t>
        </is>
      </c>
      <c r="E1645" t="inlineStr">
        <is>
          <t>ÅNGE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64950-2023</t>
        </is>
      </c>
      <c r="B1646" s="1" t="n">
        <v>45282</v>
      </c>
      <c r="C1646" s="1" t="n">
        <v>45713</v>
      </c>
      <c r="D1646" t="inlineStr">
        <is>
          <t>VÄSTERNORRLANDS LÄN</t>
        </is>
      </c>
      <c r="E1646" t="inlineStr">
        <is>
          <t>ÅNGE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64947-2023</t>
        </is>
      </c>
      <c r="B1647" s="1" t="n">
        <v>45282</v>
      </c>
      <c r="C1647" s="1" t="n">
        <v>45713</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64945-2023</t>
        </is>
      </c>
      <c r="B1648" s="1" t="n">
        <v>45282</v>
      </c>
      <c r="C1648" s="1" t="n">
        <v>45713</v>
      </c>
      <c r="D1648" t="inlineStr">
        <is>
          <t>VÄSTERNORRLANDS LÄN</t>
        </is>
      </c>
      <c r="E1648" t="inlineStr">
        <is>
          <t>ÅNGE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65021-2023</t>
        </is>
      </c>
      <c r="B1649" s="1" t="n">
        <v>45287</v>
      </c>
      <c r="C1649" s="1" t="n">
        <v>45713</v>
      </c>
      <c r="D1649" t="inlineStr">
        <is>
          <t>VÄSTERNORRLANDS LÄN</t>
        </is>
      </c>
      <c r="E1649" t="inlineStr">
        <is>
          <t>ÅNGE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213-2024</t>
        </is>
      </c>
      <c r="B1650" s="1" t="n">
        <v>45293</v>
      </c>
      <c r="C1650" s="1" t="n">
        <v>45713</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253-2024</t>
        </is>
      </c>
      <c r="B1651" s="1" t="n">
        <v>45294</v>
      </c>
      <c r="C1651" s="1" t="n">
        <v>45713</v>
      </c>
      <c r="D1651" t="inlineStr">
        <is>
          <t>VÄSTERNORRLANDS LÄN</t>
        </is>
      </c>
      <c r="E1651" t="inlineStr">
        <is>
          <t>ÅNGE</t>
        </is>
      </c>
      <c r="F1651" t="inlineStr">
        <is>
          <t>SCA</t>
        </is>
      </c>
      <c r="G1651" t="n">
        <v>54.6</v>
      </c>
      <c r="H1651" t="n">
        <v>0</v>
      </c>
      <c r="I1651" t="n">
        <v>0</v>
      </c>
      <c r="J1651" t="n">
        <v>0</v>
      </c>
      <c r="K1651" t="n">
        <v>0</v>
      </c>
      <c r="L1651" t="n">
        <v>0</v>
      </c>
      <c r="M1651" t="n">
        <v>0</v>
      </c>
      <c r="N1651" t="n">
        <v>0</v>
      </c>
      <c r="O1651" t="n">
        <v>0</v>
      </c>
      <c r="P1651" t="n">
        <v>0</v>
      </c>
      <c r="Q1651" t="n">
        <v>0</v>
      </c>
      <c r="R1651" s="2" t="inlineStr"/>
    </row>
    <row r="1652" ht="15" customHeight="1">
      <c r="A1652" t="inlineStr">
        <is>
          <t>A 251-2024</t>
        </is>
      </c>
      <c r="B1652" s="1" t="n">
        <v>45294</v>
      </c>
      <c r="C1652" s="1" t="n">
        <v>45713</v>
      </c>
      <c r="D1652" t="inlineStr">
        <is>
          <t>VÄSTERNORRLANDS LÄN</t>
        </is>
      </c>
      <c r="E1652" t="inlineStr">
        <is>
          <t>ÅNGE</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256-2024</t>
        </is>
      </c>
      <c r="B1653" s="1" t="n">
        <v>45295</v>
      </c>
      <c r="C1653" s="1" t="n">
        <v>45713</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405-2024</t>
        </is>
      </c>
      <c r="B1654" s="1" t="n">
        <v>45296</v>
      </c>
      <c r="C1654" s="1" t="n">
        <v>45713</v>
      </c>
      <c r="D1654" t="inlineStr">
        <is>
          <t>VÄSTERNORRLANDS LÄN</t>
        </is>
      </c>
      <c r="E1654" t="inlineStr">
        <is>
          <t>ÅNGE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741-2024</t>
        </is>
      </c>
      <c r="B1655" s="1" t="n">
        <v>45300</v>
      </c>
      <c r="C1655" s="1" t="n">
        <v>45713</v>
      </c>
      <c r="D1655" t="inlineStr">
        <is>
          <t>VÄSTERNORRLANDS LÄN</t>
        </is>
      </c>
      <c r="E1655" t="inlineStr">
        <is>
          <t>ÅNGE</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832-2024</t>
        </is>
      </c>
      <c r="B1656" s="1" t="n">
        <v>45300</v>
      </c>
      <c r="C1656" s="1" t="n">
        <v>45713</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1030-2024</t>
        </is>
      </c>
      <c r="B1657" s="1" t="n">
        <v>45301</v>
      </c>
      <c r="C1657" s="1" t="n">
        <v>45713</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1524-2024</t>
        </is>
      </c>
      <c r="B1658" s="1" t="n">
        <v>45306</v>
      </c>
      <c r="C1658" s="1" t="n">
        <v>45713</v>
      </c>
      <c r="D1658" t="inlineStr">
        <is>
          <t>VÄSTERNORRLANDS LÄN</t>
        </is>
      </c>
      <c r="E1658" t="inlineStr">
        <is>
          <t>ÅNGE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1886-2024</t>
        </is>
      </c>
      <c r="B1659" s="1" t="n">
        <v>45308</v>
      </c>
      <c r="C1659" s="1" t="n">
        <v>45713</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2060-2024</t>
        </is>
      </c>
      <c r="B1660" s="1" t="n">
        <v>45309</v>
      </c>
      <c r="C1660" s="1" t="n">
        <v>45713</v>
      </c>
      <c r="D1660" t="inlineStr">
        <is>
          <t>VÄSTERNORRLANDS LÄN</t>
        </is>
      </c>
      <c r="E1660" t="inlineStr">
        <is>
          <t>ÅNGE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2124-2024</t>
        </is>
      </c>
      <c r="B1661" s="1" t="n">
        <v>45309</v>
      </c>
      <c r="C1661" s="1" t="n">
        <v>45713</v>
      </c>
      <c r="D1661" t="inlineStr">
        <is>
          <t>VÄSTERNORRLANDS LÄN</t>
        </is>
      </c>
      <c r="E1661" t="inlineStr">
        <is>
          <t>ÅNGE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2121-2024</t>
        </is>
      </c>
      <c r="B1662" s="1" t="n">
        <v>45309</v>
      </c>
      <c r="C1662" s="1" t="n">
        <v>45713</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2372-2024</t>
        </is>
      </c>
      <c r="B1663" s="1" t="n">
        <v>45310</v>
      </c>
      <c r="C1663" s="1" t="n">
        <v>45713</v>
      </c>
      <c r="D1663" t="inlineStr">
        <is>
          <t>VÄSTERNORRLANDS LÄN</t>
        </is>
      </c>
      <c r="E1663" t="inlineStr">
        <is>
          <t>ÅNGE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2365-2024</t>
        </is>
      </c>
      <c r="B1664" s="1" t="n">
        <v>45310</v>
      </c>
      <c r="C1664" s="1" t="n">
        <v>45713</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2432-2024</t>
        </is>
      </c>
      <c r="B1665" s="1" t="n">
        <v>45310</v>
      </c>
      <c r="C1665" s="1" t="n">
        <v>45713</v>
      </c>
      <c r="D1665" t="inlineStr">
        <is>
          <t>VÄSTERNORRLANDS LÄN</t>
        </is>
      </c>
      <c r="E1665" t="inlineStr">
        <is>
          <t>ÅNGE</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2415-2024</t>
        </is>
      </c>
      <c r="B1666" s="1" t="n">
        <v>45310</v>
      </c>
      <c r="C1666" s="1" t="n">
        <v>45713</v>
      </c>
      <c r="D1666" t="inlineStr">
        <is>
          <t>VÄSTERNORRLANDS LÄN</t>
        </is>
      </c>
      <c r="E1666" t="inlineStr">
        <is>
          <t>ÅNGE</t>
        </is>
      </c>
      <c r="F1666" t="inlineStr">
        <is>
          <t>Kyrkan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2436-2024</t>
        </is>
      </c>
      <c r="B1667" s="1" t="n">
        <v>45310</v>
      </c>
      <c r="C1667" s="1" t="n">
        <v>45713</v>
      </c>
      <c r="D1667" t="inlineStr">
        <is>
          <t>VÄSTERNORRLANDS LÄN</t>
        </is>
      </c>
      <c r="E1667" t="inlineStr">
        <is>
          <t>ÅNGE</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2435-2024</t>
        </is>
      </c>
      <c r="B1668" s="1" t="n">
        <v>45310</v>
      </c>
      <c r="C1668" s="1" t="n">
        <v>45713</v>
      </c>
      <c r="D1668" t="inlineStr">
        <is>
          <t>VÄSTERNORRLANDS LÄN</t>
        </is>
      </c>
      <c r="E1668" t="inlineStr">
        <is>
          <t>ÅNGE</t>
        </is>
      </c>
      <c r="F1668" t="inlineStr">
        <is>
          <t>SCA</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2434-2024</t>
        </is>
      </c>
      <c r="B1669" s="1" t="n">
        <v>45310</v>
      </c>
      <c r="C1669" s="1" t="n">
        <v>45713</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2433-2024</t>
        </is>
      </c>
      <c r="B1670" s="1" t="n">
        <v>45310</v>
      </c>
      <c r="C1670" s="1" t="n">
        <v>45713</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2451-2024</t>
        </is>
      </c>
      <c r="B1671" s="1" t="n">
        <v>45312</v>
      </c>
      <c r="C1671" s="1" t="n">
        <v>45713</v>
      </c>
      <c r="D1671" t="inlineStr">
        <is>
          <t>VÄSTERNORRLANDS LÄN</t>
        </is>
      </c>
      <c r="E1671" t="inlineStr">
        <is>
          <t>ÅNGE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2788-2024</t>
        </is>
      </c>
      <c r="B1672" s="1" t="n">
        <v>45314</v>
      </c>
      <c r="C1672" s="1" t="n">
        <v>45713</v>
      </c>
      <c r="D1672" t="inlineStr">
        <is>
          <t>VÄSTERNORRLANDS LÄN</t>
        </is>
      </c>
      <c r="E1672" t="inlineStr">
        <is>
          <t>ÅNGE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3133-2024</t>
        </is>
      </c>
      <c r="B1673" s="1" t="n">
        <v>45316</v>
      </c>
      <c r="C1673" s="1" t="n">
        <v>45713</v>
      </c>
      <c r="D1673" t="inlineStr">
        <is>
          <t>VÄSTERNORRLANDS LÄN</t>
        </is>
      </c>
      <c r="E1673" t="inlineStr">
        <is>
          <t>ÅNGE</t>
        </is>
      </c>
      <c r="F1673" t="inlineStr">
        <is>
          <t>Holmen skog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3238-2024</t>
        </is>
      </c>
      <c r="B1674" s="1" t="n">
        <v>45316</v>
      </c>
      <c r="C1674" s="1" t="n">
        <v>45713</v>
      </c>
      <c r="D1674" t="inlineStr">
        <is>
          <t>VÄSTERNORRLANDS LÄN</t>
        </is>
      </c>
      <c r="E1674" t="inlineStr">
        <is>
          <t>ÅNGE</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3253-2024</t>
        </is>
      </c>
      <c r="B1675" s="1" t="n">
        <v>45316</v>
      </c>
      <c r="C1675" s="1" t="n">
        <v>45713</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3249-2024</t>
        </is>
      </c>
      <c r="B1676" s="1" t="n">
        <v>45316</v>
      </c>
      <c r="C1676" s="1" t="n">
        <v>45713</v>
      </c>
      <c r="D1676" t="inlineStr">
        <is>
          <t>VÄSTERNORRLANDS LÄN</t>
        </is>
      </c>
      <c r="E1676" t="inlineStr">
        <is>
          <t>ÅNGE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3256-2024</t>
        </is>
      </c>
      <c r="B1677" s="1" t="n">
        <v>45316</v>
      </c>
      <c r="C1677" s="1" t="n">
        <v>45713</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3347-2024</t>
        </is>
      </c>
      <c r="B1678" s="1" t="n">
        <v>45317</v>
      </c>
      <c r="C1678" s="1" t="n">
        <v>45713</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3354-2024</t>
        </is>
      </c>
      <c r="B1679" s="1" t="n">
        <v>45317</v>
      </c>
      <c r="C1679" s="1" t="n">
        <v>45713</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3357-2024</t>
        </is>
      </c>
      <c r="B1680" s="1" t="n">
        <v>45317</v>
      </c>
      <c r="C1680" s="1" t="n">
        <v>45713</v>
      </c>
      <c r="D1680" t="inlineStr">
        <is>
          <t>VÄSTERNORRLANDS LÄN</t>
        </is>
      </c>
      <c r="E1680" t="inlineStr">
        <is>
          <t>ÅNGE</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3523-2024</t>
        </is>
      </c>
      <c r="B1681" s="1" t="n">
        <v>45320</v>
      </c>
      <c r="C1681" s="1" t="n">
        <v>45713</v>
      </c>
      <c r="D1681" t="inlineStr">
        <is>
          <t>VÄSTERNORRLANDS LÄN</t>
        </is>
      </c>
      <c r="E1681" t="inlineStr">
        <is>
          <t>ÅNGE</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3532-2024</t>
        </is>
      </c>
      <c r="B1682" s="1" t="n">
        <v>45320</v>
      </c>
      <c r="C1682" s="1" t="n">
        <v>45713</v>
      </c>
      <c r="D1682" t="inlineStr">
        <is>
          <t>VÄSTERNORRLANDS LÄN</t>
        </is>
      </c>
      <c r="E1682" t="inlineStr">
        <is>
          <t>ÅNGE</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3580-2024</t>
        </is>
      </c>
      <c r="B1683" s="1" t="n">
        <v>45320</v>
      </c>
      <c r="C1683" s="1" t="n">
        <v>45713</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3624-2024</t>
        </is>
      </c>
      <c r="B1684" s="1" t="n">
        <v>45320</v>
      </c>
      <c r="C1684" s="1" t="n">
        <v>45713</v>
      </c>
      <c r="D1684" t="inlineStr">
        <is>
          <t>VÄSTERNORRLANDS LÄN</t>
        </is>
      </c>
      <c r="E1684" t="inlineStr">
        <is>
          <t>ÅNGE</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3996-2024</t>
        </is>
      </c>
      <c r="B1685" s="1" t="n">
        <v>45322</v>
      </c>
      <c r="C1685" s="1" t="n">
        <v>45713</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45713</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4140-2024</t>
        </is>
      </c>
      <c r="B1687" s="1" t="n">
        <v>45323</v>
      </c>
      <c r="C1687" s="1" t="n">
        <v>45713</v>
      </c>
      <c r="D1687" t="inlineStr">
        <is>
          <t>VÄSTERNORRLANDS LÄN</t>
        </is>
      </c>
      <c r="E1687" t="inlineStr">
        <is>
          <t>ÅNGE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4166-2024</t>
        </is>
      </c>
      <c r="B1688" s="1" t="n">
        <v>45323</v>
      </c>
      <c r="C1688" s="1" t="n">
        <v>45713</v>
      </c>
      <c r="D1688" t="inlineStr">
        <is>
          <t>VÄSTERNORRLANDS LÄN</t>
        </is>
      </c>
      <c r="E1688" t="inlineStr">
        <is>
          <t>ÅNGE</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4165-2024</t>
        </is>
      </c>
      <c r="B1689" s="1" t="n">
        <v>45323</v>
      </c>
      <c r="C1689" s="1" t="n">
        <v>45713</v>
      </c>
      <c r="D1689" t="inlineStr">
        <is>
          <t>VÄSTERNORRLANDS LÄN</t>
        </is>
      </c>
      <c r="E1689" t="inlineStr">
        <is>
          <t>ÅNGE</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4169-2024</t>
        </is>
      </c>
      <c r="B1690" s="1" t="n">
        <v>45323</v>
      </c>
      <c r="C1690" s="1" t="n">
        <v>45713</v>
      </c>
      <c r="D1690" t="inlineStr">
        <is>
          <t>VÄSTERNORRLANDS LÄN</t>
        </is>
      </c>
      <c r="E1690" t="inlineStr">
        <is>
          <t>ÅNGE</t>
        </is>
      </c>
      <c r="F1690" t="inlineStr">
        <is>
          <t>SCA</t>
        </is>
      </c>
      <c r="G1690" t="n">
        <v>23.2</v>
      </c>
      <c r="H1690" t="n">
        <v>0</v>
      </c>
      <c r="I1690" t="n">
        <v>0</v>
      </c>
      <c r="J1690" t="n">
        <v>0</v>
      </c>
      <c r="K1690" t="n">
        <v>0</v>
      </c>
      <c r="L1690" t="n">
        <v>0</v>
      </c>
      <c r="M1690" t="n">
        <v>0</v>
      </c>
      <c r="N1690" t="n">
        <v>0</v>
      </c>
      <c r="O1690" t="n">
        <v>0</v>
      </c>
      <c r="P1690" t="n">
        <v>0</v>
      </c>
      <c r="Q1690" t="n">
        <v>0</v>
      </c>
      <c r="R1690" s="2" t="inlineStr"/>
    </row>
    <row r="1691" ht="15" customHeight="1">
      <c r="A1691" t="inlineStr">
        <is>
          <t>A 4361-2024</t>
        </is>
      </c>
      <c r="B1691" s="1" t="n">
        <v>45325</v>
      </c>
      <c r="C1691" s="1" t="n">
        <v>45713</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4589-2024</t>
        </is>
      </c>
      <c r="B1692" s="1" t="n">
        <v>45327</v>
      </c>
      <c r="C1692" s="1" t="n">
        <v>45713</v>
      </c>
      <c r="D1692" t="inlineStr">
        <is>
          <t>VÄSTERNORRLANDS LÄN</t>
        </is>
      </c>
      <c r="E1692" t="inlineStr">
        <is>
          <t>ÅNGE</t>
        </is>
      </c>
      <c r="F1692" t="inlineStr">
        <is>
          <t>SCA</t>
        </is>
      </c>
      <c r="G1692" t="n">
        <v>23.5</v>
      </c>
      <c r="H1692" t="n">
        <v>0</v>
      </c>
      <c r="I1692" t="n">
        <v>0</v>
      </c>
      <c r="J1692" t="n">
        <v>0</v>
      </c>
      <c r="K1692" t="n">
        <v>0</v>
      </c>
      <c r="L1692" t="n">
        <v>0</v>
      </c>
      <c r="M1692" t="n">
        <v>0</v>
      </c>
      <c r="N1692" t="n">
        <v>0</v>
      </c>
      <c r="O1692" t="n">
        <v>0</v>
      </c>
      <c r="P1692" t="n">
        <v>0</v>
      </c>
      <c r="Q1692" t="n">
        <v>0</v>
      </c>
      <c r="R1692" s="2" t="inlineStr"/>
    </row>
    <row r="1693" ht="15" customHeight="1">
      <c r="A1693" t="inlineStr">
        <is>
          <t>A 4810-2024</t>
        </is>
      </c>
      <c r="B1693" s="1" t="n">
        <v>45328</v>
      </c>
      <c r="C1693" s="1" t="n">
        <v>45713</v>
      </c>
      <c r="D1693" t="inlineStr">
        <is>
          <t>VÄSTERNORRLANDS LÄN</t>
        </is>
      </c>
      <c r="E1693" t="inlineStr">
        <is>
          <t>ÅNGE</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4807-2024</t>
        </is>
      </c>
      <c r="B1694" s="1" t="n">
        <v>45328</v>
      </c>
      <c r="C1694" s="1" t="n">
        <v>45713</v>
      </c>
      <c r="D1694" t="inlineStr">
        <is>
          <t>VÄSTERNORRLANDS LÄN</t>
        </is>
      </c>
      <c r="E1694" t="inlineStr">
        <is>
          <t>ÅNGE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4904-2024</t>
        </is>
      </c>
      <c r="B1695" s="1" t="n">
        <v>45329</v>
      </c>
      <c r="C1695" s="1" t="n">
        <v>45713</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4898-2024</t>
        </is>
      </c>
      <c r="B1696" s="1" t="n">
        <v>45329</v>
      </c>
      <c r="C1696" s="1" t="n">
        <v>45713</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5268-2024</t>
        </is>
      </c>
      <c r="B1697" s="1" t="n">
        <v>45330</v>
      </c>
      <c r="C1697" s="1" t="n">
        <v>45713</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5433-2024</t>
        </is>
      </c>
      <c r="B1698" s="1" t="n">
        <v>45331</v>
      </c>
      <c r="C1698" s="1" t="n">
        <v>45713</v>
      </c>
      <c r="D1698" t="inlineStr">
        <is>
          <t>VÄSTERNORRLANDS LÄN</t>
        </is>
      </c>
      <c r="E1698" t="inlineStr">
        <is>
          <t>ÅNGE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5456-2024</t>
        </is>
      </c>
      <c r="B1699" s="1" t="n">
        <v>45331</v>
      </c>
      <c r="C1699" s="1" t="n">
        <v>45713</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5613-2024</t>
        </is>
      </c>
      <c r="B1700" s="1" t="n">
        <v>45334</v>
      </c>
      <c r="C1700" s="1" t="n">
        <v>45713</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5647-2024</t>
        </is>
      </c>
      <c r="B1701" s="1" t="n">
        <v>45334</v>
      </c>
      <c r="C1701" s="1" t="n">
        <v>45713</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5659-2024</t>
        </is>
      </c>
      <c r="B1702" s="1" t="n">
        <v>45334</v>
      </c>
      <c r="C1702" s="1" t="n">
        <v>45713</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6028-2024</t>
        </is>
      </c>
      <c r="B1703" s="1" t="n">
        <v>45336</v>
      </c>
      <c r="C1703" s="1" t="n">
        <v>45713</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6462-2024</t>
        </is>
      </c>
      <c r="B1704" s="1" t="n">
        <v>45338</v>
      </c>
      <c r="C1704" s="1" t="n">
        <v>45713</v>
      </c>
      <c r="D1704" t="inlineStr">
        <is>
          <t>VÄSTERNORRLANDS LÄN</t>
        </is>
      </c>
      <c r="E1704" t="inlineStr">
        <is>
          <t>ÅNGE</t>
        </is>
      </c>
      <c r="F1704" t="inlineStr">
        <is>
          <t>Kyrkan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6685-2024</t>
        </is>
      </c>
      <c r="B1705" s="1" t="n">
        <v>45341</v>
      </c>
      <c r="C1705" s="1" t="n">
        <v>45713</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6689-2024</t>
        </is>
      </c>
      <c r="B1706" s="1" t="n">
        <v>45341</v>
      </c>
      <c r="C1706" s="1" t="n">
        <v>45713</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6686-2024</t>
        </is>
      </c>
      <c r="B1707" s="1" t="n">
        <v>45341</v>
      </c>
      <c r="C1707" s="1" t="n">
        <v>45713</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6690-2024</t>
        </is>
      </c>
      <c r="B1708" s="1" t="n">
        <v>45341</v>
      </c>
      <c r="C1708" s="1" t="n">
        <v>45713</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6680-2024</t>
        </is>
      </c>
      <c r="B1709" s="1" t="n">
        <v>45341</v>
      </c>
      <c r="C1709" s="1" t="n">
        <v>45713</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v>
      </c>
      <c r="C1710" s="1" t="n">
        <v>45713</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6702-2024</t>
        </is>
      </c>
      <c r="B1711" s="1" t="n">
        <v>45341</v>
      </c>
      <c r="C1711" s="1" t="n">
        <v>45713</v>
      </c>
      <c r="D1711" t="inlineStr">
        <is>
          <t>VÄSTERNORRLANDS LÄN</t>
        </is>
      </c>
      <c r="E1711" t="inlineStr">
        <is>
          <t>ÅNGE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6701-2024</t>
        </is>
      </c>
      <c r="B1712" s="1" t="n">
        <v>45341</v>
      </c>
      <c r="C1712" s="1" t="n">
        <v>45713</v>
      </c>
      <c r="D1712" t="inlineStr">
        <is>
          <t>VÄSTERNORRLANDS LÄN</t>
        </is>
      </c>
      <c r="E1712" t="inlineStr">
        <is>
          <t>ÅNGE</t>
        </is>
      </c>
      <c r="F1712" t="inlineStr">
        <is>
          <t>SCA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6691-2024</t>
        </is>
      </c>
      <c r="B1713" s="1" t="n">
        <v>45341</v>
      </c>
      <c r="C1713" s="1" t="n">
        <v>45713</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6735-2024</t>
        </is>
      </c>
      <c r="B1714" s="1" t="n">
        <v>45342</v>
      </c>
      <c r="C1714" s="1" t="n">
        <v>45713</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6892-2024</t>
        </is>
      </c>
      <c r="B1715" s="1" t="n">
        <v>45342</v>
      </c>
      <c r="C1715" s="1" t="n">
        <v>45713</v>
      </c>
      <c r="D1715" t="inlineStr">
        <is>
          <t>VÄSTERNORRLANDS LÄN</t>
        </is>
      </c>
      <c r="E1715" t="inlineStr">
        <is>
          <t>ÅNGE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6995-2024</t>
        </is>
      </c>
      <c r="B1716" s="1" t="n">
        <v>45343</v>
      </c>
      <c r="C1716" s="1" t="n">
        <v>45713</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7110-2024</t>
        </is>
      </c>
      <c r="B1717" s="1" t="n">
        <v>45343</v>
      </c>
      <c r="C1717" s="1" t="n">
        <v>45713</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7300-2024</t>
        </is>
      </c>
      <c r="B1718" s="1" t="n">
        <v>45344</v>
      </c>
      <c r="C1718" s="1" t="n">
        <v>45713</v>
      </c>
      <c r="D1718" t="inlineStr">
        <is>
          <t>VÄSTERNORRLANDS LÄN</t>
        </is>
      </c>
      <c r="E1718" t="inlineStr">
        <is>
          <t>ÅNGE</t>
        </is>
      </c>
      <c r="F1718" t="inlineStr">
        <is>
          <t>SCA</t>
        </is>
      </c>
      <c r="G1718" t="n">
        <v>30.5</v>
      </c>
      <c r="H1718" t="n">
        <v>0</v>
      </c>
      <c r="I1718" t="n">
        <v>0</v>
      </c>
      <c r="J1718" t="n">
        <v>0</v>
      </c>
      <c r="K1718" t="n">
        <v>0</v>
      </c>
      <c r="L1718" t="n">
        <v>0</v>
      </c>
      <c r="M1718" t="n">
        <v>0</v>
      </c>
      <c r="N1718" t="n">
        <v>0</v>
      </c>
      <c r="O1718" t="n">
        <v>0</v>
      </c>
      <c r="P1718" t="n">
        <v>0</v>
      </c>
      <c r="Q1718" t="n">
        <v>0</v>
      </c>
      <c r="R1718" s="2" t="inlineStr"/>
    </row>
    <row r="1719" ht="15" customHeight="1">
      <c r="A1719" t="inlineStr">
        <is>
          <t>A 7692-2024</t>
        </is>
      </c>
      <c r="B1719" s="1" t="n">
        <v>45349</v>
      </c>
      <c r="C1719" s="1" t="n">
        <v>45713</v>
      </c>
      <c r="D1719" t="inlineStr">
        <is>
          <t>VÄSTERNORRLANDS LÄN</t>
        </is>
      </c>
      <c r="E1719" t="inlineStr">
        <is>
          <t>ÅNGE</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8025-2024</t>
        </is>
      </c>
      <c r="B1720" s="1" t="n">
        <v>45350</v>
      </c>
      <c r="C1720" s="1" t="n">
        <v>45713</v>
      </c>
      <c r="D1720" t="inlineStr">
        <is>
          <t>VÄSTERNORRLANDS LÄN</t>
        </is>
      </c>
      <c r="E1720" t="inlineStr">
        <is>
          <t>ÅNGE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8226-2024</t>
        </is>
      </c>
      <c r="B1721" s="1" t="n">
        <v>45351</v>
      </c>
      <c r="C1721" s="1" t="n">
        <v>45713</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8426-2024</t>
        </is>
      </c>
      <c r="B1722" s="1" t="n">
        <v>45353</v>
      </c>
      <c r="C1722" s="1" t="n">
        <v>45713</v>
      </c>
      <c r="D1722" t="inlineStr">
        <is>
          <t>VÄSTERNORRLANDS LÄN</t>
        </is>
      </c>
      <c r="E1722" t="inlineStr">
        <is>
          <t>ÅNGE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8427-2024</t>
        </is>
      </c>
      <c r="B1723" s="1" t="n">
        <v>45353</v>
      </c>
      <c r="C1723" s="1" t="n">
        <v>45713</v>
      </c>
      <c r="D1723" t="inlineStr">
        <is>
          <t>VÄSTERNORRLANDS LÄN</t>
        </is>
      </c>
      <c r="E1723" t="inlineStr">
        <is>
          <t>ÅNGE</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8413-2024</t>
        </is>
      </c>
      <c r="B1724" s="1" t="n">
        <v>45352</v>
      </c>
      <c r="C1724" s="1" t="n">
        <v>45713</v>
      </c>
      <c r="D1724" t="inlineStr">
        <is>
          <t>VÄSTERNORRLANDS LÄN</t>
        </is>
      </c>
      <c r="E1724" t="inlineStr">
        <is>
          <t>ÅNGE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8425-2024</t>
        </is>
      </c>
      <c r="B1725" s="1" t="n">
        <v>45353</v>
      </c>
      <c r="C1725" s="1" t="n">
        <v>45713</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8435-2024</t>
        </is>
      </c>
      <c r="B1726" s="1" t="n">
        <v>45353</v>
      </c>
      <c r="C1726" s="1" t="n">
        <v>45713</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8647-2024</t>
        </is>
      </c>
      <c r="B1727" s="1" t="n">
        <v>45356</v>
      </c>
      <c r="C1727" s="1" t="n">
        <v>45713</v>
      </c>
      <c r="D1727" t="inlineStr">
        <is>
          <t>VÄSTERNORRLANDS LÄN</t>
        </is>
      </c>
      <c r="E1727" t="inlineStr">
        <is>
          <t>ÅNGE</t>
        </is>
      </c>
      <c r="F1727" t="inlineStr">
        <is>
          <t>SCA</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8651-2024</t>
        </is>
      </c>
      <c r="B1728" s="1" t="n">
        <v>45356</v>
      </c>
      <c r="C1728" s="1" t="n">
        <v>45713</v>
      </c>
      <c r="D1728" t="inlineStr">
        <is>
          <t>VÄSTERNORRLANDS LÄN</t>
        </is>
      </c>
      <c r="E1728" t="inlineStr">
        <is>
          <t>ÅNGE</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8650-2024</t>
        </is>
      </c>
      <c r="B1729" s="1" t="n">
        <v>45356</v>
      </c>
      <c r="C1729" s="1" t="n">
        <v>45713</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9116-2024</t>
        </is>
      </c>
      <c r="B1730" s="1" t="n">
        <v>45358</v>
      </c>
      <c r="C1730" s="1" t="n">
        <v>45713</v>
      </c>
      <c r="D1730" t="inlineStr">
        <is>
          <t>VÄSTERNORRLANDS LÄN</t>
        </is>
      </c>
      <c r="E1730" t="inlineStr">
        <is>
          <t>ÅNGE</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9117-2024</t>
        </is>
      </c>
      <c r="B1731" s="1" t="n">
        <v>45358</v>
      </c>
      <c r="C1731" s="1" t="n">
        <v>45713</v>
      </c>
      <c r="D1731" t="inlineStr">
        <is>
          <t>VÄSTERNORRLANDS LÄN</t>
        </is>
      </c>
      <c r="E1731" t="inlineStr">
        <is>
          <t>ÅNGE</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9115-2024</t>
        </is>
      </c>
      <c r="B1732" s="1" t="n">
        <v>45358</v>
      </c>
      <c r="C1732" s="1" t="n">
        <v>45713</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9345-2024</t>
        </is>
      </c>
      <c r="B1733" s="1" t="n">
        <v>45359</v>
      </c>
      <c r="C1733" s="1" t="n">
        <v>45713</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9344-2024</t>
        </is>
      </c>
      <c r="B1734" s="1" t="n">
        <v>45359</v>
      </c>
      <c r="C1734" s="1" t="n">
        <v>45713</v>
      </c>
      <c r="D1734" t="inlineStr">
        <is>
          <t>VÄSTERNORRLANDS LÄN</t>
        </is>
      </c>
      <c r="E1734" t="inlineStr">
        <is>
          <t>ÅNGE</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9475-2024</t>
        </is>
      </c>
      <c r="B1735" s="1" t="n">
        <v>45359</v>
      </c>
      <c r="C1735" s="1" t="n">
        <v>45713</v>
      </c>
      <c r="D1735" t="inlineStr">
        <is>
          <t>VÄSTERNORRLANDS LÄN</t>
        </is>
      </c>
      <c r="E1735" t="inlineStr">
        <is>
          <t>ÅNGE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9567-2024</t>
        </is>
      </c>
      <c r="B1736" s="1" t="n">
        <v>45360</v>
      </c>
      <c r="C1736" s="1" t="n">
        <v>45713</v>
      </c>
      <c r="D1736" t="inlineStr">
        <is>
          <t>VÄSTERNORRLANDS LÄN</t>
        </is>
      </c>
      <c r="E1736" t="inlineStr">
        <is>
          <t>ÅNGE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9568-2024</t>
        </is>
      </c>
      <c r="B1737" s="1" t="n">
        <v>45360</v>
      </c>
      <c r="C1737" s="1" t="n">
        <v>45713</v>
      </c>
      <c r="D1737" t="inlineStr">
        <is>
          <t>VÄSTERNORRLANDS LÄN</t>
        </is>
      </c>
      <c r="E1737" t="inlineStr">
        <is>
          <t>ÅNGE</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9566-2024</t>
        </is>
      </c>
      <c r="B1738" s="1" t="n">
        <v>45360</v>
      </c>
      <c r="C1738" s="1" t="n">
        <v>45713</v>
      </c>
      <c r="D1738" t="inlineStr">
        <is>
          <t>VÄSTERNORRLANDS LÄN</t>
        </is>
      </c>
      <c r="E1738" t="inlineStr">
        <is>
          <t>ÅNGE</t>
        </is>
      </c>
      <c r="F1738" t="inlineStr">
        <is>
          <t>SCA</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9759-2024</t>
        </is>
      </c>
      <c r="B1739" s="1" t="n">
        <v>45362</v>
      </c>
      <c r="C1739" s="1" t="n">
        <v>45713</v>
      </c>
      <c r="D1739" t="inlineStr">
        <is>
          <t>VÄSTERNORRLANDS LÄN</t>
        </is>
      </c>
      <c r="E1739" t="inlineStr">
        <is>
          <t>ÅNGE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10023-2024</t>
        </is>
      </c>
      <c r="B1740" s="1" t="n">
        <v>45364</v>
      </c>
      <c r="C1740" s="1" t="n">
        <v>45713</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10195-2024</t>
        </is>
      </c>
      <c r="B1741" s="1" t="n">
        <v>45364</v>
      </c>
      <c r="C1741" s="1" t="n">
        <v>45713</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10199-2024</t>
        </is>
      </c>
      <c r="B1742" s="1" t="n">
        <v>45364</v>
      </c>
      <c r="C1742" s="1" t="n">
        <v>45713</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10198-2024</t>
        </is>
      </c>
      <c r="B1743" s="1" t="n">
        <v>45364</v>
      </c>
      <c r="C1743" s="1" t="n">
        <v>45713</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10202-2024</t>
        </is>
      </c>
      <c r="B1744" s="1" t="n">
        <v>45364</v>
      </c>
      <c r="C1744" s="1" t="n">
        <v>45713</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10781-2024</t>
        </is>
      </c>
      <c r="B1745" s="1" t="n">
        <v>45369</v>
      </c>
      <c r="C1745" s="1" t="n">
        <v>45713</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10878-2024</t>
        </is>
      </c>
      <c r="B1746" s="1" t="n">
        <v>45370</v>
      </c>
      <c r="C1746" s="1" t="n">
        <v>45713</v>
      </c>
      <c r="D1746" t="inlineStr">
        <is>
          <t>VÄSTERNORRLANDS LÄN</t>
        </is>
      </c>
      <c r="E1746" t="inlineStr">
        <is>
          <t>ÅNGE</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10914-2024</t>
        </is>
      </c>
      <c r="B1747" s="1" t="n">
        <v>45370</v>
      </c>
      <c r="C1747" s="1" t="n">
        <v>45713</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10922-2024</t>
        </is>
      </c>
      <c r="B1748" s="1" t="n">
        <v>45370</v>
      </c>
      <c r="C1748" s="1" t="n">
        <v>45713</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10917-2024</t>
        </is>
      </c>
      <c r="B1749" s="1" t="n">
        <v>45370</v>
      </c>
      <c r="C1749" s="1" t="n">
        <v>45713</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10919-2024</t>
        </is>
      </c>
      <c r="B1750" s="1" t="n">
        <v>45370</v>
      </c>
      <c r="C1750" s="1" t="n">
        <v>45713</v>
      </c>
      <c r="D1750" t="inlineStr">
        <is>
          <t>VÄSTERNORRLANDS LÄN</t>
        </is>
      </c>
      <c r="E1750" t="inlineStr">
        <is>
          <t>ÅNGE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11088-2024</t>
        </is>
      </c>
      <c r="B1751" s="1" t="n">
        <v>45370</v>
      </c>
      <c r="C1751" s="1" t="n">
        <v>45713</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11339-2024</t>
        </is>
      </c>
      <c r="B1752" s="1" t="n">
        <v>45372</v>
      </c>
      <c r="C1752" s="1" t="n">
        <v>45713</v>
      </c>
      <c r="D1752" t="inlineStr">
        <is>
          <t>VÄSTERNORRLANDS LÄN</t>
        </is>
      </c>
      <c r="E1752" t="inlineStr">
        <is>
          <t>ÅNGE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11396-2024</t>
        </is>
      </c>
      <c r="B1753" s="1" t="n">
        <v>45372</v>
      </c>
      <c r="C1753" s="1" t="n">
        <v>45713</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11548-2024</t>
        </is>
      </c>
      <c r="B1754" s="1" t="n">
        <v>45372</v>
      </c>
      <c r="C1754" s="1" t="n">
        <v>45713</v>
      </c>
      <c r="D1754" t="inlineStr">
        <is>
          <t>VÄSTERNORRLANDS LÄN</t>
        </is>
      </c>
      <c r="E1754" t="inlineStr">
        <is>
          <t>ÅNGE</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11764-2024</t>
        </is>
      </c>
      <c r="B1755" s="1" t="n">
        <v>45373</v>
      </c>
      <c r="C1755" s="1" t="n">
        <v>45713</v>
      </c>
      <c r="D1755" t="inlineStr">
        <is>
          <t>VÄSTERNORRLANDS LÄN</t>
        </is>
      </c>
      <c r="E1755" t="inlineStr">
        <is>
          <t>ÅNGE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12123-2024</t>
        </is>
      </c>
      <c r="B1756" s="1" t="n">
        <v>45377</v>
      </c>
      <c r="C1756" s="1" t="n">
        <v>45713</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12581-2024</t>
        </is>
      </c>
      <c r="B1757" s="1" t="n">
        <v>45379</v>
      </c>
      <c r="C1757" s="1" t="n">
        <v>45713</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12794-2024</t>
        </is>
      </c>
      <c r="B1758" s="1" t="n">
        <v>45384</v>
      </c>
      <c r="C1758" s="1" t="n">
        <v>45713</v>
      </c>
      <c r="D1758" t="inlineStr">
        <is>
          <t>VÄSTERNORRLANDS LÄN</t>
        </is>
      </c>
      <c r="E1758" t="inlineStr">
        <is>
          <t>ÅNGE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13088-2024</t>
        </is>
      </c>
      <c r="B1759" s="1" t="n">
        <v>45385</v>
      </c>
      <c r="C1759" s="1" t="n">
        <v>45713</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13096-2024</t>
        </is>
      </c>
      <c r="B1760" s="1" t="n">
        <v>45385</v>
      </c>
      <c r="C1760" s="1" t="n">
        <v>45713</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13091-2024</t>
        </is>
      </c>
      <c r="B1761" s="1" t="n">
        <v>45385</v>
      </c>
      <c r="C1761" s="1" t="n">
        <v>45713</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13056-2024</t>
        </is>
      </c>
      <c r="B1762" s="1" t="n">
        <v>45385</v>
      </c>
      <c r="C1762" s="1" t="n">
        <v>45713</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13101-2024</t>
        </is>
      </c>
      <c r="B1763" s="1" t="n">
        <v>45385</v>
      </c>
      <c r="C1763" s="1" t="n">
        <v>45713</v>
      </c>
      <c r="D1763" t="inlineStr">
        <is>
          <t>VÄSTERNORRLANDS LÄN</t>
        </is>
      </c>
      <c r="E1763" t="inlineStr">
        <is>
          <t>ÅNGE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13128-2024</t>
        </is>
      </c>
      <c r="B1764" s="1" t="n">
        <v>45386</v>
      </c>
      <c r="C1764" s="1" t="n">
        <v>45713</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13759-2024</t>
        </is>
      </c>
      <c r="B1765" s="1" t="n">
        <v>45390</v>
      </c>
      <c r="C1765" s="1" t="n">
        <v>45713</v>
      </c>
      <c r="D1765" t="inlineStr">
        <is>
          <t>VÄSTERNORRLANDS LÄN</t>
        </is>
      </c>
      <c r="E1765" t="inlineStr">
        <is>
          <t>ÅNGE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13761-2024</t>
        </is>
      </c>
      <c r="B1766" s="1" t="n">
        <v>45390</v>
      </c>
      <c r="C1766" s="1" t="n">
        <v>45713</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13765-2024</t>
        </is>
      </c>
      <c r="B1767" s="1" t="n">
        <v>45390</v>
      </c>
      <c r="C1767" s="1" t="n">
        <v>45713</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13769-2024</t>
        </is>
      </c>
      <c r="B1768" s="1" t="n">
        <v>45390</v>
      </c>
      <c r="C1768" s="1" t="n">
        <v>45713</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13773-2024</t>
        </is>
      </c>
      <c r="B1769" s="1" t="n">
        <v>45391</v>
      </c>
      <c r="C1769" s="1" t="n">
        <v>45713</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13760-2024</t>
        </is>
      </c>
      <c r="B1770" s="1" t="n">
        <v>45390</v>
      </c>
      <c r="C1770" s="1" t="n">
        <v>45713</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13764-2024</t>
        </is>
      </c>
      <c r="B1771" s="1" t="n">
        <v>45390</v>
      </c>
      <c r="C1771" s="1" t="n">
        <v>45713</v>
      </c>
      <c r="D1771" t="inlineStr">
        <is>
          <t>VÄSTERNORRLANDS LÄN</t>
        </is>
      </c>
      <c r="E1771" t="inlineStr">
        <is>
          <t>ÅNGE</t>
        </is>
      </c>
      <c r="F1771" t="inlineStr">
        <is>
          <t>SCA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13772-2024</t>
        </is>
      </c>
      <c r="B1772" s="1" t="n">
        <v>45391</v>
      </c>
      <c r="C1772" s="1" t="n">
        <v>45713</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13771-2024</t>
        </is>
      </c>
      <c r="B1773" s="1" t="n">
        <v>45391</v>
      </c>
      <c r="C1773" s="1" t="n">
        <v>45713</v>
      </c>
      <c r="D1773" t="inlineStr">
        <is>
          <t>VÄSTERNORRLANDS LÄN</t>
        </is>
      </c>
      <c r="E1773" t="inlineStr">
        <is>
          <t>ÅNGE</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14199-2024</t>
        </is>
      </c>
      <c r="B1774" s="1" t="n">
        <v>45393</v>
      </c>
      <c r="C1774" s="1" t="n">
        <v>45713</v>
      </c>
      <c r="D1774" t="inlineStr">
        <is>
          <t>VÄSTERNORRLANDS LÄN</t>
        </is>
      </c>
      <c r="E1774" t="inlineStr">
        <is>
          <t>ÅNGE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14829-2024</t>
        </is>
      </c>
      <c r="B1775" s="1" t="n">
        <v>45397</v>
      </c>
      <c r="C1775" s="1" t="n">
        <v>45713</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14856-2024</t>
        </is>
      </c>
      <c r="B1776" s="1" t="n">
        <v>45398</v>
      </c>
      <c r="C1776" s="1" t="n">
        <v>45713</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15157-2024</t>
        </is>
      </c>
      <c r="B1777" s="1" t="n">
        <v>45400</v>
      </c>
      <c r="C1777" s="1" t="n">
        <v>45713</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15369-2024</t>
        </is>
      </c>
      <c r="B1778" s="1" t="n">
        <v>45401</v>
      </c>
      <c r="C1778" s="1" t="n">
        <v>45713</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15367-2024</t>
        </is>
      </c>
      <c r="B1779" s="1" t="n">
        <v>45401</v>
      </c>
      <c r="C1779" s="1" t="n">
        <v>45713</v>
      </c>
      <c r="D1779" t="inlineStr">
        <is>
          <t>VÄSTERNORRLANDS LÄN</t>
        </is>
      </c>
      <c r="E1779" t="inlineStr">
        <is>
          <t>ÅNGE</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15368-2024</t>
        </is>
      </c>
      <c r="B1780" s="1" t="n">
        <v>45401</v>
      </c>
      <c r="C1780" s="1" t="n">
        <v>45713</v>
      </c>
      <c r="D1780" t="inlineStr">
        <is>
          <t>VÄSTERNORRLANDS LÄN</t>
        </is>
      </c>
      <c r="E1780" t="inlineStr">
        <is>
          <t>ÅNGE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15603-2024</t>
        </is>
      </c>
      <c r="B1781" s="1" t="n">
        <v>45402</v>
      </c>
      <c r="C1781" s="1" t="n">
        <v>45713</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15630-2024</t>
        </is>
      </c>
      <c r="B1782" s="1" t="n">
        <v>45403</v>
      </c>
      <c r="C1782" s="1" t="n">
        <v>45713</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15860-2024</t>
        </is>
      </c>
      <c r="B1783" s="1" t="n">
        <v>45405</v>
      </c>
      <c r="C1783" s="1" t="n">
        <v>45713</v>
      </c>
      <c r="D1783" t="inlineStr">
        <is>
          <t>VÄSTERNORRLANDS LÄN</t>
        </is>
      </c>
      <c r="E1783" t="inlineStr">
        <is>
          <t>ÅNGE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16045-2024</t>
        </is>
      </c>
      <c r="B1784" s="1" t="n">
        <v>45405</v>
      </c>
      <c r="C1784" s="1" t="n">
        <v>45713</v>
      </c>
      <c r="D1784" t="inlineStr">
        <is>
          <t>VÄSTERNORRLANDS LÄN</t>
        </is>
      </c>
      <c r="E1784" t="inlineStr">
        <is>
          <t>ÅNGE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16243-2024</t>
        </is>
      </c>
      <c r="B1785" s="1" t="n">
        <v>45407</v>
      </c>
      <c r="C1785" s="1" t="n">
        <v>45713</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16694-2024</t>
        </is>
      </c>
      <c r="B1786" s="1" t="n">
        <v>45408</v>
      </c>
      <c r="C1786" s="1" t="n">
        <v>45713</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16460-2024</t>
        </is>
      </c>
      <c r="B1787" s="1" t="n">
        <v>45408</v>
      </c>
      <c r="C1787" s="1" t="n">
        <v>45713</v>
      </c>
      <c r="D1787" t="inlineStr">
        <is>
          <t>VÄSTERNORRLANDS LÄN</t>
        </is>
      </c>
      <c r="E1787" t="inlineStr">
        <is>
          <t>ÅNGE</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16695-2024</t>
        </is>
      </c>
      <c r="B1788" s="1" t="n">
        <v>45408</v>
      </c>
      <c r="C1788" s="1" t="n">
        <v>45713</v>
      </c>
      <c r="D1788" t="inlineStr">
        <is>
          <t>VÄSTERNORRLANDS LÄN</t>
        </is>
      </c>
      <c r="E1788" t="inlineStr">
        <is>
          <t>ÅNGE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16706-2024</t>
        </is>
      </c>
      <c r="B1789" s="1" t="n">
        <v>45409</v>
      </c>
      <c r="C1789" s="1" t="n">
        <v>45713</v>
      </c>
      <c r="D1789" t="inlineStr">
        <is>
          <t>VÄSTERNORRLANDS LÄN</t>
        </is>
      </c>
      <c r="E1789" t="inlineStr">
        <is>
          <t>ÅNGE</t>
        </is>
      </c>
      <c r="F1789" t="inlineStr">
        <is>
          <t>SCA</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16718-2024</t>
        </is>
      </c>
      <c r="B1790" s="1" t="n">
        <v>45409</v>
      </c>
      <c r="C1790" s="1" t="n">
        <v>45713</v>
      </c>
      <c r="D1790" t="inlineStr">
        <is>
          <t>VÄSTERNORRLANDS LÄN</t>
        </is>
      </c>
      <c r="E1790" t="inlineStr">
        <is>
          <t>ÅNGE</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16705-2024</t>
        </is>
      </c>
      <c r="B1791" s="1" t="n">
        <v>45409</v>
      </c>
      <c r="C1791" s="1" t="n">
        <v>45713</v>
      </c>
      <c r="D1791" t="inlineStr">
        <is>
          <t>VÄSTERNORRLANDS LÄN</t>
        </is>
      </c>
      <c r="E1791" t="inlineStr">
        <is>
          <t>ÅNGE</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16915-2024</t>
        </is>
      </c>
      <c r="B1792" s="1" t="n">
        <v>45411</v>
      </c>
      <c r="C1792" s="1" t="n">
        <v>45713</v>
      </c>
      <c r="D1792" t="inlineStr">
        <is>
          <t>VÄSTERNORRLANDS LÄN</t>
        </is>
      </c>
      <c r="E1792" t="inlineStr">
        <is>
          <t>ÅNGE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16903-2024</t>
        </is>
      </c>
      <c r="B1793" s="1" t="n">
        <v>45411</v>
      </c>
      <c r="C1793" s="1" t="n">
        <v>45713</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16902-2024</t>
        </is>
      </c>
      <c r="B1794" s="1" t="n">
        <v>45411</v>
      </c>
      <c r="C1794" s="1" t="n">
        <v>45713</v>
      </c>
      <c r="D1794" t="inlineStr">
        <is>
          <t>VÄSTERNORRLANDS LÄN</t>
        </is>
      </c>
      <c r="E1794" t="inlineStr">
        <is>
          <t>ÅNGE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17171-2024</t>
        </is>
      </c>
      <c r="B1795" s="1" t="n">
        <v>45413</v>
      </c>
      <c r="C1795" s="1" t="n">
        <v>45713</v>
      </c>
      <c r="D1795" t="inlineStr">
        <is>
          <t>VÄSTERNORRLANDS LÄN</t>
        </is>
      </c>
      <c r="E1795" t="inlineStr">
        <is>
          <t>ÅNGE</t>
        </is>
      </c>
      <c r="F1795" t="inlineStr">
        <is>
          <t>SCA</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16978-2024</t>
        </is>
      </c>
      <c r="B1796" s="1" t="n">
        <v>45412</v>
      </c>
      <c r="C1796" s="1" t="n">
        <v>45713</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17421-2024</t>
        </is>
      </c>
      <c r="B1797" s="1" t="n">
        <v>45415</v>
      </c>
      <c r="C1797" s="1" t="n">
        <v>45713</v>
      </c>
      <c r="D1797" t="inlineStr">
        <is>
          <t>VÄSTERNORRLANDS LÄN</t>
        </is>
      </c>
      <c r="E1797" t="inlineStr">
        <is>
          <t>ÅNGE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17601-2024</t>
        </is>
      </c>
      <c r="B1798" s="1" t="n">
        <v>45415</v>
      </c>
      <c r="C1798" s="1" t="n">
        <v>45713</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17605-2024</t>
        </is>
      </c>
      <c r="B1799" s="1" t="n">
        <v>45415</v>
      </c>
      <c r="C1799" s="1" t="n">
        <v>45713</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17602-2024</t>
        </is>
      </c>
      <c r="B1800" s="1" t="n">
        <v>45415</v>
      </c>
      <c r="C1800" s="1" t="n">
        <v>45713</v>
      </c>
      <c r="D1800" t="inlineStr">
        <is>
          <t>VÄSTERNORRLANDS LÄN</t>
        </is>
      </c>
      <c r="E1800" t="inlineStr">
        <is>
          <t>ÅNGE</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17603-2024</t>
        </is>
      </c>
      <c r="B1801" s="1" t="n">
        <v>45415</v>
      </c>
      <c r="C1801" s="1" t="n">
        <v>45713</v>
      </c>
      <c r="D1801" t="inlineStr">
        <is>
          <t>VÄSTERNORRLANDS LÄN</t>
        </is>
      </c>
      <c r="E1801" t="inlineStr">
        <is>
          <t>ÅNGE</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17604-2024</t>
        </is>
      </c>
      <c r="B1802" s="1" t="n">
        <v>45415</v>
      </c>
      <c r="C1802" s="1" t="n">
        <v>45713</v>
      </c>
      <c r="D1802" t="inlineStr">
        <is>
          <t>VÄSTERNORRLANDS LÄN</t>
        </is>
      </c>
      <c r="E1802" t="inlineStr">
        <is>
          <t>ÅNGE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17589-2024</t>
        </is>
      </c>
      <c r="B1803" s="1" t="n">
        <v>45416</v>
      </c>
      <c r="C1803" s="1" t="n">
        <v>45713</v>
      </c>
      <c r="D1803" t="inlineStr">
        <is>
          <t>VÄSTERNORRLANDS LÄN</t>
        </is>
      </c>
      <c r="E1803" t="inlineStr">
        <is>
          <t>ÅNGE</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17819-2024</t>
        </is>
      </c>
      <c r="B1804" s="1" t="n">
        <v>45419</v>
      </c>
      <c r="C1804" s="1" t="n">
        <v>45713</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18002-2024</t>
        </is>
      </c>
      <c r="B1805" s="1" t="n">
        <v>45420</v>
      </c>
      <c r="C1805" s="1" t="n">
        <v>45713</v>
      </c>
      <c r="D1805" t="inlineStr">
        <is>
          <t>VÄSTERNORRLANDS LÄN</t>
        </is>
      </c>
      <c r="E1805" t="inlineStr">
        <is>
          <t>ÅNGE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18619-2024</t>
        </is>
      </c>
      <c r="B1806" s="1" t="n">
        <v>45426</v>
      </c>
      <c r="C1806" s="1" t="n">
        <v>45713</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18617-2024</t>
        </is>
      </c>
      <c r="B1807" s="1" t="n">
        <v>45425</v>
      </c>
      <c r="C1807" s="1" t="n">
        <v>45713</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18639-2024</t>
        </is>
      </c>
      <c r="B1808" s="1" t="n">
        <v>45426</v>
      </c>
      <c r="C1808" s="1" t="n">
        <v>45713</v>
      </c>
      <c r="D1808" t="inlineStr">
        <is>
          <t>VÄSTERNORRLANDS LÄN</t>
        </is>
      </c>
      <c r="E1808" t="inlineStr">
        <is>
          <t>ÅNGE</t>
        </is>
      </c>
      <c r="F1808" t="inlineStr">
        <is>
          <t>SCA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18456-2024</t>
        </is>
      </c>
      <c r="B1809" s="1" t="n">
        <v>45425</v>
      </c>
      <c r="C1809" s="1" t="n">
        <v>45713</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18632-2024</t>
        </is>
      </c>
      <c r="B1810" s="1" t="n">
        <v>45426</v>
      </c>
      <c r="C1810" s="1" t="n">
        <v>45713</v>
      </c>
      <c r="D1810" t="inlineStr">
        <is>
          <t>VÄSTERNORRLANDS LÄN</t>
        </is>
      </c>
      <c r="E1810" t="inlineStr">
        <is>
          <t>ÅNGE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18666-2024</t>
        </is>
      </c>
      <c r="B1811" s="1" t="n">
        <v>45425</v>
      </c>
      <c r="C1811" s="1" t="n">
        <v>45713</v>
      </c>
      <c r="D1811" t="inlineStr">
        <is>
          <t>VÄSTERNORRLANDS LÄN</t>
        </is>
      </c>
      <c r="E1811" t="inlineStr">
        <is>
          <t>ÅNGE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18618-2024</t>
        </is>
      </c>
      <c r="B1812" s="1" t="n">
        <v>45426</v>
      </c>
      <c r="C1812" s="1" t="n">
        <v>45713</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18878-2024</t>
        </is>
      </c>
      <c r="B1813" s="1" t="n">
        <v>45426</v>
      </c>
      <c r="C1813" s="1" t="n">
        <v>45713</v>
      </c>
      <c r="D1813" t="inlineStr">
        <is>
          <t>VÄSTERNORRLANDS LÄN</t>
        </is>
      </c>
      <c r="E1813" t="inlineStr">
        <is>
          <t>ÅNGE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18872-2024</t>
        </is>
      </c>
      <c r="B1814" s="1" t="n">
        <v>45427</v>
      </c>
      <c r="C1814" s="1" t="n">
        <v>45713</v>
      </c>
      <c r="D1814" t="inlineStr">
        <is>
          <t>VÄSTERNORRLANDS LÄN</t>
        </is>
      </c>
      <c r="E1814" t="inlineStr">
        <is>
          <t>ÅNGE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18880-2024</t>
        </is>
      </c>
      <c r="B1815" s="1" t="n">
        <v>45426</v>
      </c>
      <c r="C1815" s="1" t="n">
        <v>45713</v>
      </c>
      <c r="D1815" t="inlineStr">
        <is>
          <t>VÄSTERNORRLANDS LÄN</t>
        </is>
      </c>
      <c r="E1815" t="inlineStr">
        <is>
          <t>ÅNGE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18869-2024</t>
        </is>
      </c>
      <c r="B1816" s="1" t="n">
        <v>45426</v>
      </c>
      <c r="C1816" s="1" t="n">
        <v>45713</v>
      </c>
      <c r="D1816" t="inlineStr">
        <is>
          <t>VÄSTERNORRLANDS LÄN</t>
        </is>
      </c>
      <c r="E1816" t="inlineStr">
        <is>
          <t>ÅNGE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18881-2024</t>
        </is>
      </c>
      <c r="B1817" s="1" t="n">
        <v>45427</v>
      </c>
      <c r="C1817" s="1" t="n">
        <v>45713</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18879-2024</t>
        </is>
      </c>
      <c r="B1818" s="1" t="n">
        <v>45426</v>
      </c>
      <c r="C1818" s="1" t="n">
        <v>45713</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19066-2024</t>
        </is>
      </c>
      <c r="B1819" s="1" t="n">
        <v>45427</v>
      </c>
      <c r="C1819" s="1" t="n">
        <v>45713</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19343-2024</t>
        </is>
      </c>
      <c r="B1820" s="1" t="n">
        <v>45428</v>
      </c>
      <c r="C1820" s="1" t="n">
        <v>45713</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19342-2024</t>
        </is>
      </c>
      <c r="B1821" s="1" t="n">
        <v>45428</v>
      </c>
      <c r="C1821" s="1" t="n">
        <v>45713</v>
      </c>
      <c r="D1821" t="inlineStr">
        <is>
          <t>VÄSTERNORRLANDS LÄN</t>
        </is>
      </c>
      <c r="E1821" t="inlineStr">
        <is>
          <t>ÅNGE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19396-2024</t>
        </is>
      </c>
      <c r="B1822" s="1" t="n">
        <v>45428</v>
      </c>
      <c r="C1822" s="1" t="n">
        <v>45713</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19557-2024</t>
        </is>
      </c>
      <c r="B1823" s="1" t="n">
        <v>45429</v>
      </c>
      <c r="C1823" s="1" t="n">
        <v>45713</v>
      </c>
      <c r="D1823" t="inlineStr">
        <is>
          <t>VÄSTERNORRLANDS LÄN</t>
        </is>
      </c>
      <c r="E1823" t="inlineStr">
        <is>
          <t>ÅNGE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20276-2024</t>
        </is>
      </c>
      <c r="B1824" s="1" t="n">
        <v>45435</v>
      </c>
      <c r="C1824" s="1" t="n">
        <v>45713</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20761-2024</t>
        </is>
      </c>
      <c r="B1825" s="1" t="n">
        <v>45436</v>
      </c>
      <c r="C1825" s="1" t="n">
        <v>45713</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20927-2024</t>
        </is>
      </c>
      <c r="B1826" s="1" t="n">
        <v>45439</v>
      </c>
      <c r="C1826" s="1" t="n">
        <v>45713</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20915-2024</t>
        </is>
      </c>
      <c r="B1827" s="1" t="n">
        <v>45439</v>
      </c>
      <c r="C1827" s="1" t="n">
        <v>45713</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20925-2024</t>
        </is>
      </c>
      <c r="B1828" s="1" t="n">
        <v>45439</v>
      </c>
      <c r="C1828" s="1" t="n">
        <v>45713</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20932-2024</t>
        </is>
      </c>
      <c r="B1829" s="1" t="n">
        <v>45439</v>
      </c>
      <c r="C1829" s="1" t="n">
        <v>45713</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21089-2024</t>
        </is>
      </c>
      <c r="B1830" s="1" t="n">
        <v>45440</v>
      </c>
      <c r="C1830" s="1" t="n">
        <v>45713</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20815-2024</t>
        </is>
      </c>
      <c r="B1831" s="1" t="n">
        <v>45439</v>
      </c>
      <c r="C1831" s="1" t="n">
        <v>45713</v>
      </c>
      <c r="D1831" t="inlineStr">
        <is>
          <t>VÄSTERNORRLANDS LÄN</t>
        </is>
      </c>
      <c r="E1831" t="inlineStr">
        <is>
          <t>ÅNGE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21200-2024</t>
        </is>
      </c>
      <c r="B1832" s="1" t="n">
        <v>45440</v>
      </c>
      <c r="C1832" s="1" t="n">
        <v>45713</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21179-2024</t>
        </is>
      </c>
      <c r="B1833" s="1" t="n">
        <v>45440</v>
      </c>
      <c r="C1833" s="1" t="n">
        <v>45713</v>
      </c>
      <c r="D1833" t="inlineStr">
        <is>
          <t>VÄSTERNORRLANDS LÄN</t>
        </is>
      </c>
      <c r="E1833" t="inlineStr">
        <is>
          <t>ÅNGE</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21151-2024</t>
        </is>
      </c>
      <c r="B1834" s="1" t="n">
        <v>45440</v>
      </c>
      <c r="C1834" s="1" t="n">
        <v>45713</v>
      </c>
      <c r="D1834" t="inlineStr">
        <is>
          <t>VÄSTERNORRLANDS LÄN</t>
        </is>
      </c>
      <c r="E1834" t="inlineStr">
        <is>
          <t>ÅNGE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21387-2024</t>
        </is>
      </c>
      <c r="B1835" s="1" t="n">
        <v>45440</v>
      </c>
      <c r="C1835" s="1" t="n">
        <v>45713</v>
      </c>
      <c r="D1835" t="inlineStr">
        <is>
          <t>VÄSTERNORRLANDS LÄN</t>
        </is>
      </c>
      <c r="E1835" t="inlineStr">
        <is>
          <t>ÅNGE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21833-2024</t>
        </is>
      </c>
      <c r="B1836" s="1" t="n">
        <v>45442</v>
      </c>
      <c r="C1836" s="1" t="n">
        <v>45713</v>
      </c>
      <c r="D1836" t="inlineStr">
        <is>
          <t>VÄSTERNORRLANDS LÄN</t>
        </is>
      </c>
      <c r="E1836" t="inlineStr">
        <is>
          <t>ÅNGE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22122-2024</t>
        </is>
      </c>
      <c r="B1837" s="1" t="n">
        <v>45443</v>
      </c>
      <c r="C1837" s="1" t="n">
        <v>45713</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22463-2024</t>
        </is>
      </c>
      <c r="B1838" s="1" t="n">
        <v>45446</v>
      </c>
      <c r="C1838" s="1" t="n">
        <v>45713</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22187-2024</t>
        </is>
      </c>
      <c r="B1839" s="1" t="n">
        <v>45446</v>
      </c>
      <c r="C1839" s="1" t="n">
        <v>45713</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22465-2024</t>
        </is>
      </c>
      <c r="B1840" s="1" t="n">
        <v>45446</v>
      </c>
      <c r="C1840" s="1" t="n">
        <v>45713</v>
      </c>
      <c r="D1840" t="inlineStr">
        <is>
          <t>VÄSTERNORRLANDS LÄN</t>
        </is>
      </c>
      <c r="E1840" t="inlineStr">
        <is>
          <t>ÅNGE</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22461-2024</t>
        </is>
      </c>
      <c r="B1841" s="1" t="n">
        <v>45447</v>
      </c>
      <c r="C1841" s="1" t="n">
        <v>45713</v>
      </c>
      <c r="D1841" t="inlineStr">
        <is>
          <t>VÄSTERNORRLANDS LÄN</t>
        </is>
      </c>
      <c r="E1841" t="inlineStr">
        <is>
          <t>ÅNGE</t>
        </is>
      </c>
      <c r="F1841" t="inlineStr">
        <is>
          <t>SCA</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22460-2024</t>
        </is>
      </c>
      <c r="B1842" s="1" t="n">
        <v>45446</v>
      </c>
      <c r="C1842" s="1" t="n">
        <v>45713</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22464-2024</t>
        </is>
      </c>
      <c r="B1843" s="1" t="n">
        <v>45447</v>
      </c>
      <c r="C1843" s="1" t="n">
        <v>45713</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22679-2024</t>
        </is>
      </c>
      <c r="B1844" s="1" t="n">
        <v>45447</v>
      </c>
      <c r="C1844" s="1" t="n">
        <v>45713</v>
      </c>
      <c r="D1844" t="inlineStr">
        <is>
          <t>VÄSTERNORRLANDS LÄN</t>
        </is>
      </c>
      <c r="E1844" t="inlineStr">
        <is>
          <t>ÅNGE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22678-2024</t>
        </is>
      </c>
      <c r="B1845" s="1" t="n">
        <v>45448</v>
      </c>
      <c r="C1845" s="1" t="n">
        <v>45713</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22680-2024</t>
        </is>
      </c>
      <c r="B1846" s="1" t="n">
        <v>45448</v>
      </c>
      <c r="C1846" s="1" t="n">
        <v>45713</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22681-2024</t>
        </is>
      </c>
      <c r="B1847" s="1" t="n">
        <v>45447</v>
      </c>
      <c r="C1847" s="1" t="n">
        <v>45713</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22986-2024</t>
        </is>
      </c>
      <c r="B1848" s="1" t="n">
        <v>45450</v>
      </c>
      <c r="C1848" s="1" t="n">
        <v>45713</v>
      </c>
      <c r="D1848" t="inlineStr">
        <is>
          <t>VÄSTERNORRLANDS LÄN</t>
        </is>
      </c>
      <c r="E1848" t="inlineStr">
        <is>
          <t>ÅNGE</t>
        </is>
      </c>
      <c r="F1848" t="inlineStr">
        <is>
          <t>SCA</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22990-2024</t>
        </is>
      </c>
      <c r="B1849" s="1" t="n">
        <v>45450</v>
      </c>
      <c r="C1849" s="1" t="n">
        <v>45713</v>
      </c>
      <c r="D1849" t="inlineStr">
        <is>
          <t>VÄSTERNORRLANDS LÄN</t>
        </is>
      </c>
      <c r="E1849" t="inlineStr">
        <is>
          <t>ÅNGE</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22989-2024</t>
        </is>
      </c>
      <c r="B1850" s="1" t="n">
        <v>45450</v>
      </c>
      <c r="C1850" s="1" t="n">
        <v>45713</v>
      </c>
      <c r="D1850" t="inlineStr">
        <is>
          <t>VÄSTERNORRLANDS LÄN</t>
        </is>
      </c>
      <c r="E1850" t="inlineStr">
        <is>
          <t>ÅNGE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22987-2024</t>
        </is>
      </c>
      <c r="B1851" s="1" t="n">
        <v>45450</v>
      </c>
      <c r="C1851" s="1" t="n">
        <v>45713</v>
      </c>
      <c r="D1851" t="inlineStr">
        <is>
          <t>VÄSTERNORRLANDS LÄN</t>
        </is>
      </c>
      <c r="E1851" t="inlineStr">
        <is>
          <t>ÅNGE</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22991-2024</t>
        </is>
      </c>
      <c r="B1852" s="1" t="n">
        <v>45450</v>
      </c>
      <c r="C1852" s="1" t="n">
        <v>45713</v>
      </c>
      <c r="D1852" t="inlineStr">
        <is>
          <t>VÄSTERNORRLANDS LÄN</t>
        </is>
      </c>
      <c r="E1852" t="inlineStr">
        <is>
          <t>ÅNGE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22988-2024</t>
        </is>
      </c>
      <c r="B1853" s="1" t="n">
        <v>45450</v>
      </c>
      <c r="C1853" s="1" t="n">
        <v>45713</v>
      </c>
      <c r="D1853" t="inlineStr">
        <is>
          <t>VÄSTERNORRLANDS LÄN</t>
        </is>
      </c>
      <c r="E1853" t="inlineStr">
        <is>
          <t>ÅNGE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22984-2024</t>
        </is>
      </c>
      <c r="B1854" s="1" t="n">
        <v>45450</v>
      </c>
      <c r="C1854" s="1" t="n">
        <v>45713</v>
      </c>
      <c r="D1854" t="inlineStr">
        <is>
          <t>VÄSTERNORRLANDS LÄN</t>
        </is>
      </c>
      <c r="E1854" t="inlineStr">
        <is>
          <t>ÅNGE</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23035-2024</t>
        </is>
      </c>
      <c r="B1855" s="1" t="n">
        <v>45450</v>
      </c>
      <c r="C1855" s="1" t="n">
        <v>45713</v>
      </c>
      <c r="D1855" t="inlineStr">
        <is>
          <t>VÄSTERNORRLANDS LÄN</t>
        </is>
      </c>
      <c r="E1855" t="inlineStr">
        <is>
          <t>ÅNGE</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23045-2024</t>
        </is>
      </c>
      <c r="B1856" s="1" t="n">
        <v>45450</v>
      </c>
      <c r="C1856" s="1" t="n">
        <v>45713</v>
      </c>
      <c r="D1856" t="inlineStr">
        <is>
          <t>VÄSTERNORRLANDS LÄN</t>
        </is>
      </c>
      <c r="E1856" t="inlineStr">
        <is>
          <t>ÅNGE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23058-2024</t>
        </is>
      </c>
      <c r="B1857" s="1" t="n">
        <v>45450</v>
      </c>
      <c r="C1857" s="1" t="n">
        <v>45713</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23063-2024</t>
        </is>
      </c>
      <c r="B1858" s="1" t="n">
        <v>45450</v>
      </c>
      <c r="C1858" s="1" t="n">
        <v>45713</v>
      </c>
      <c r="D1858" t="inlineStr">
        <is>
          <t>VÄSTERNORRLANDS LÄN</t>
        </is>
      </c>
      <c r="E1858" t="inlineStr">
        <is>
          <t>ÅNGE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23069-2024</t>
        </is>
      </c>
      <c r="B1859" s="1" t="n">
        <v>45450</v>
      </c>
      <c r="C1859" s="1" t="n">
        <v>45713</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23225-2024</t>
        </is>
      </c>
      <c r="B1860" s="1" t="n">
        <v>45453</v>
      </c>
      <c r="C1860" s="1" t="n">
        <v>45713</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23224-2024</t>
        </is>
      </c>
      <c r="B1861" s="1" t="n">
        <v>45452</v>
      </c>
      <c r="C1861" s="1" t="n">
        <v>45713</v>
      </c>
      <c r="D1861" t="inlineStr">
        <is>
          <t>VÄSTERNORRLANDS LÄN</t>
        </is>
      </c>
      <c r="E1861" t="inlineStr">
        <is>
          <t>ÅNGE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23353-2024</t>
        </is>
      </c>
      <c r="B1862" s="1" t="n">
        <v>45453</v>
      </c>
      <c r="C1862" s="1" t="n">
        <v>45713</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23419-2024</t>
        </is>
      </c>
      <c r="B1863" s="1" t="n">
        <v>45453</v>
      </c>
      <c r="C1863" s="1" t="n">
        <v>45713</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23933-2024</t>
        </is>
      </c>
      <c r="B1864" s="1" t="n">
        <v>45455</v>
      </c>
      <c r="C1864" s="1" t="n">
        <v>45713</v>
      </c>
      <c r="D1864" t="inlineStr">
        <is>
          <t>VÄSTERNORRLANDS LÄN</t>
        </is>
      </c>
      <c r="E1864" t="inlineStr">
        <is>
          <t>ÅNGE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23961-2024</t>
        </is>
      </c>
      <c r="B1865" s="1" t="n">
        <v>45456</v>
      </c>
      <c r="C1865" s="1" t="n">
        <v>45713</v>
      </c>
      <c r="D1865" t="inlineStr">
        <is>
          <t>VÄSTERNORRLANDS LÄN</t>
        </is>
      </c>
      <c r="E1865" t="inlineStr">
        <is>
          <t>ÅNGE</t>
        </is>
      </c>
      <c r="F1865" t="inlineStr">
        <is>
          <t>SCA</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24131-2024</t>
        </is>
      </c>
      <c r="B1866" s="1" t="n">
        <v>45456</v>
      </c>
      <c r="C1866" s="1" t="n">
        <v>45713</v>
      </c>
      <c r="D1866" t="inlineStr">
        <is>
          <t>VÄSTERNORRLANDS LÄN</t>
        </is>
      </c>
      <c r="E1866" t="inlineStr">
        <is>
          <t>ÅNGE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24231-2024</t>
        </is>
      </c>
      <c r="B1867" s="1" t="n">
        <v>45457</v>
      </c>
      <c r="C1867" s="1" t="n">
        <v>45713</v>
      </c>
      <c r="D1867" t="inlineStr">
        <is>
          <t>VÄSTERNORRLANDS LÄN</t>
        </is>
      </c>
      <c r="E1867" t="inlineStr">
        <is>
          <t>ÅNGE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24436-2024</t>
        </is>
      </c>
      <c r="B1868" s="1" t="n">
        <v>45458</v>
      </c>
      <c r="C1868" s="1" t="n">
        <v>45713</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24229-2024</t>
        </is>
      </c>
      <c r="B1869" s="1" t="n">
        <v>45457</v>
      </c>
      <c r="C1869" s="1" t="n">
        <v>45713</v>
      </c>
      <c r="D1869" t="inlineStr">
        <is>
          <t>VÄSTERNORRLANDS LÄN</t>
        </is>
      </c>
      <c r="E1869" t="inlineStr">
        <is>
          <t>ÅNGE</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24232-2024</t>
        </is>
      </c>
      <c r="B1870" s="1" t="n">
        <v>45457</v>
      </c>
      <c r="C1870" s="1" t="n">
        <v>45713</v>
      </c>
      <c r="D1870" t="inlineStr">
        <is>
          <t>VÄSTERNORRLANDS LÄN</t>
        </is>
      </c>
      <c r="E1870" t="inlineStr">
        <is>
          <t>ÅNGE</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24498-2024</t>
        </is>
      </c>
      <c r="B1871" s="1" t="n">
        <v>45460</v>
      </c>
      <c r="C1871" s="1" t="n">
        <v>45713</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24798-2024</t>
        </is>
      </c>
      <c r="B1872" s="1" t="n">
        <v>45461</v>
      </c>
      <c r="C1872" s="1" t="n">
        <v>45713</v>
      </c>
      <c r="D1872" t="inlineStr">
        <is>
          <t>VÄSTERNORRLANDS LÄN</t>
        </is>
      </c>
      <c r="E1872" t="inlineStr">
        <is>
          <t>ÅNGE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24797-2024</t>
        </is>
      </c>
      <c r="B1873" s="1" t="n">
        <v>45461</v>
      </c>
      <c r="C1873" s="1" t="n">
        <v>45713</v>
      </c>
      <c r="D1873" t="inlineStr">
        <is>
          <t>VÄSTERNORRLANDS LÄN</t>
        </is>
      </c>
      <c r="E1873" t="inlineStr">
        <is>
          <t>ÅNGE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25033-2024</t>
        </is>
      </c>
      <c r="B1874" s="1" t="n">
        <v>45462</v>
      </c>
      <c r="C1874" s="1" t="n">
        <v>45713</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25025-2024</t>
        </is>
      </c>
      <c r="B1875" s="1" t="n">
        <v>45462</v>
      </c>
      <c r="C1875" s="1" t="n">
        <v>45713</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25376-2024</t>
        </is>
      </c>
      <c r="B1876" s="1" t="n">
        <v>45463</v>
      </c>
      <c r="C1876" s="1" t="n">
        <v>45713</v>
      </c>
      <c r="D1876" t="inlineStr">
        <is>
          <t>VÄSTERNORRLANDS LÄN</t>
        </is>
      </c>
      <c r="E1876" t="inlineStr">
        <is>
          <t>ÅNGE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25377-2024</t>
        </is>
      </c>
      <c r="B1877" s="1" t="n">
        <v>45463</v>
      </c>
      <c r="C1877" s="1" t="n">
        <v>45713</v>
      </c>
      <c r="D1877" t="inlineStr">
        <is>
          <t>VÄSTERNORRLANDS LÄN</t>
        </is>
      </c>
      <c r="E1877" t="inlineStr">
        <is>
          <t>ÅNGE</t>
        </is>
      </c>
      <c r="F1877" t="inlineStr">
        <is>
          <t>SCA</t>
        </is>
      </c>
      <c r="G1877" t="n">
        <v>20.7</v>
      </c>
      <c r="H1877" t="n">
        <v>0</v>
      </c>
      <c r="I1877" t="n">
        <v>0</v>
      </c>
      <c r="J1877" t="n">
        <v>0</v>
      </c>
      <c r="K1877" t="n">
        <v>0</v>
      </c>
      <c r="L1877" t="n">
        <v>0</v>
      </c>
      <c r="M1877" t="n">
        <v>0</v>
      </c>
      <c r="N1877" t="n">
        <v>0</v>
      </c>
      <c r="O1877" t="n">
        <v>0</v>
      </c>
      <c r="P1877" t="n">
        <v>0</v>
      </c>
      <c r="Q1877" t="n">
        <v>0</v>
      </c>
      <c r="R1877" s="2" t="inlineStr"/>
    </row>
    <row r="1878" ht="15" customHeight="1">
      <c r="A1878" t="inlineStr">
        <is>
          <t>A 25700-2024</t>
        </is>
      </c>
      <c r="B1878" s="1" t="n">
        <v>45463</v>
      </c>
      <c r="C1878" s="1" t="n">
        <v>45713</v>
      </c>
      <c r="D1878" t="inlineStr">
        <is>
          <t>VÄSTERNORRLANDS LÄN</t>
        </is>
      </c>
      <c r="E1878" t="inlineStr">
        <is>
          <t>ÅNGE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25867-2024</t>
        </is>
      </c>
      <c r="B1879" s="1" t="n">
        <v>45463</v>
      </c>
      <c r="C1879" s="1" t="n">
        <v>45713</v>
      </c>
      <c r="D1879" t="inlineStr">
        <is>
          <t>VÄSTERNORRLANDS LÄN</t>
        </is>
      </c>
      <c r="E1879" t="inlineStr">
        <is>
          <t>ÅNGE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26013-2024</t>
        </is>
      </c>
      <c r="B1880" s="1" t="n">
        <v>45467</v>
      </c>
      <c r="C1880" s="1" t="n">
        <v>45713</v>
      </c>
      <c r="D1880" t="inlineStr">
        <is>
          <t>VÄSTERNORRLANDS LÄN</t>
        </is>
      </c>
      <c r="E1880" t="inlineStr">
        <is>
          <t>ÅNGE</t>
        </is>
      </c>
      <c r="F1880" t="inlineStr">
        <is>
          <t>SCA</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26017-2024</t>
        </is>
      </c>
      <c r="B1881" s="1" t="n">
        <v>45468</v>
      </c>
      <c r="C1881" s="1" t="n">
        <v>45713</v>
      </c>
      <c r="D1881" t="inlineStr">
        <is>
          <t>VÄSTERNORRLANDS LÄN</t>
        </is>
      </c>
      <c r="E1881" t="inlineStr">
        <is>
          <t>ÅNGE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26021-2024</t>
        </is>
      </c>
      <c r="B1882" s="1" t="n">
        <v>45467</v>
      </c>
      <c r="C1882" s="1" t="n">
        <v>45713</v>
      </c>
      <c r="D1882" t="inlineStr">
        <is>
          <t>VÄSTERNORRLANDS LÄN</t>
        </is>
      </c>
      <c r="E1882" t="inlineStr">
        <is>
          <t>ÅNGE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26010-2024</t>
        </is>
      </c>
      <c r="B1883" s="1" t="n">
        <v>45468</v>
      </c>
      <c r="C1883" s="1" t="n">
        <v>45713</v>
      </c>
      <c r="D1883" t="inlineStr">
        <is>
          <t>VÄSTERNORRLANDS LÄN</t>
        </is>
      </c>
      <c r="E1883" t="inlineStr">
        <is>
          <t>ÅNGE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26011-2024</t>
        </is>
      </c>
      <c r="B1884" s="1" t="n">
        <v>45468</v>
      </c>
      <c r="C1884" s="1" t="n">
        <v>45713</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26015-2024</t>
        </is>
      </c>
      <c r="B1885" s="1" t="n">
        <v>45468</v>
      </c>
      <c r="C1885" s="1" t="n">
        <v>45713</v>
      </c>
      <c r="D1885" t="inlineStr">
        <is>
          <t>VÄSTERNORRLANDS LÄN</t>
        </is>
      </c>
      <c r="E1885" t="inlineStr">
        <is>
          <t>ÅNGE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26019-2024</t>
        </is>
      </c>
      <c r="B1886" s="1" t="n">
        <v>45468</v>
      </c>
      <c r="C1886" s="1" t="n">
        <v>45713</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26012-2024</t>
        </is>
      </c>
      <c r="B1887" s="1" t="n">
        <v>45467</v>
      </c>
      <c r="C1887" s="1" t="n">
        <v>45713</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26016-2024</t>
        </is>
      </c>
      <c r="B1888" s="1" t="n">
        <v>45467</v>
      </c>
      <c r="C1888" s="1" t="n">
        <v>45713</v>
      </c>
      <c r="D1888" t="inlineStr">
        <is>
          <t>VÄSTERNORRLANDS LÄN</t>
        </is>
      </c>
      <c r="E1888" t="inlineStr">
        <is>
          <t>ÅNGE</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26014-2024</t>
        </is>
      </c>
      <c r="B1889" s="1" t="n">
        <v>45468</v>
      </c>
      <c r="C1889" s="1" t="n">
        <v>45713</v>
      </c>
      <c r="D1889" t="inlineStr">
        <is>
          <t>VÄSTERNORRLANDS LÄN</t>
        </is>
      </c>
      <c r="E1889" t="inlineStr">
        <is>
          <t>ÅNGE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26018-2024</t>
        </is>
      </c>
      <c r="B1890" s="1" t="n">
        <v>45468</v>
      </c>
      <c r="C1890" s="1" t="n">
        <v>45713</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26321-2024</t>
        </is>
      </c>
      <c r="B1891" s="1" t="n">
        <v>45468</v>
      </c>
      <c r="C1891" s="1" t="n">
        <v>45713</v>
      </c>
      <c r="D1891" t="inlineStr">
        <is>
          <t>VÄSTERNORRLANDS LÄN</t>
        </is>
      </c>
      <c r="E1891" t="inlineStr">
        <is>
          <t>ÅNGE</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26641-2024</t>
        </is>
      </c>
      <c r="B1892" s="1" t="n">
        <v>45470</v>
      </c>
      <c r="C1892" s="1" t="n">
        <v>45713</v>
      </c>
      <c r="D1892" t="inlineStr">
        <is>
          <t>VÄSTERNORRLANDS LÄN</t>
        </is>
      </c>
      <c r="E1892" t="inlineStr">
        <is>
          <t>ÅNGE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26424-2024</t>
        </is>
      </c>
      <c r="B1893" s="1" t="n">
        <v>45469</v>
      </c>
      <c r="C1893" s="1" t="n">
        <v>45713</v>
      </c>
      <c r="D1893" t="inlineStr">
        <is>
          <t>VÄSTERNORRLANDS LÄN</t>
        </is>
      </c>
      <c r="E1893" t="inlineStr">
        <is>
          <t>ÅNGE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26490-2024</t>
        </is>
      </c>
      <c r="B1894" s="1" t="n">
        <v>45469</v>
      </c>
      <c r="C1894" s="1" t="n">
        <v>45713</v>
      </c>
      <c r="D1894" t="inlineStr">
        <is>
          <t>VÄSTERNORRLANDS LÄN</t>
        </is>
      </c>
      <c r="E1894" t="inlineStr">
        <is>
          <t>ÅNGE</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26639-2024</t>
        </is>
      </c>
      <c r="B1895" s="1" t="n">
        <v>45470</v>
      </c>
      <c r="C1895" s="1" t="n">
        <v>45713</v>
      </c>
      <c r="D1895" t="inlineStr">
        <is>
          <t>VÄSTERNORRLANDS LÄN</t>
        </is>
      </c>
      <c r="E1895" t="inlineStr">
        <is>
          <t>ÅNGE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26640-2024</t>
        </is>
      </c>
      <c r="B1896" s="1" t="n">
        <v>45470</v>
      </c>
      <c r="C1896" s="1" t="n">
        <v>45713</v>
      </c>
      <c r="D1896" t="inlineStr">
        <is>
          <t>VÄSTERNORRLANDS LÄN</t>
        </is>
      </c>
      <c r="E1896" t="inlineStr">
        <is>
          <t>ÅNGE</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26950-2024</t>
        </is>
      </c>
      <c r="B1897" s="1" t="n">
        <v>45470</v>
      </c>
      <c r="C1897" s="1" t="n">
        <v>45713</v>
      </c>
      <c r="D1897" t="inlineStr">
        <is>
          <t>VÄSTERNORRLANDS LÄN</t>
        </is>
      </c>
      <c r="E1897" t="inlineStr">
        <is>
          <t>ÅNGE</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26943-2024</t>
        </is>
      </c>
      <c r="B1898" s="1" t="n">
        <v>45470</v>
      </c>
      <c r="C1898" s="1" t="n">
        <v>45713</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26942-2024</t>
        </is>
      </c>
      <c r="B1899" s="1" t="n">
        <v>45470</v>
      </c>
      <c r="C1899" s="1" t="n">
        <v>45713</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26951-2024</t>
        </is>
      </c>
      <c r="B1900" s="1" t="n">
        <v>45471</v>
      </c>
      <c r="C1900" s="1" t="n">
        <v>45713</v>
      </c>
      <c r="D1900" t="inlineStr">
        <is>
          <t>VÄSTERNORRLANDS LÄN</t>
        </is>
      </c>
      <c r="E1900" t="inlineStr">
        <is>
          <t>ÅNGE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26952-2024</t>
        </is>
      </c>
      <c r="B1901" s="1" t="n">
        <v>45470</v>
      </c>
      <c r="C1901" s="1" t="n">
        <v>45713</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26957-2024</t>
        </is>
      </c>
      <c r="B1902" s="1" t="n">
        <v>45470</v>
      </c>
      <c r="C1902" s="1" t="n">
        <v>45713</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26945-2024</t>
        </is>
      </c>
      <c r="B1903" s="1" t="n">
        <v>45471</v>
      </c>
      <c r="C1903" s="1" t="n">
        <v>45713</v>
      </c>
      <c r="D1903" t="inlineStr">
        <is>
          <t>VÄSTERNORRLANDS LÄN</t>
        </is>
      </c>
      <c r="E1903" t="inlineStr">
        <is>
          <t>ÅNGE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27306-2024</t>
        </is>
      </c>
      <c r="B1904" s="1" t="n">
        <v>45472</v>
      </c>
      <c r="C1904" s="1" t="n">
        <v>45713</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27321-2024</t>
        </is>
      </c>
      <c r="B1905" s="1" t="n">
        <v>45471</v>
      </c>
      <c r="C1905" s="1" t="n">
        <v>45713</v>
      </c>
      <c r="D1905" t="inlineStr">
        <is>
          <t>VÄSTERNORRLANDS LÄN</t>
        </is>
      </c>
      <c r="E1905" t="inlineStr">
        <is>
          <t>ÅNGE</t>
        </is>
      </c>
      <c r="F1905" t="inlineStr">
        <is>
          <t>SCA</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27668-2024</t>
        </is>
      </c>
      <c r="B1906" s="1" t="n">
        <v>45475</v>
      </c>
      <c r="C1906" s="1" t="n">
        <v>45713</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27468-2024</t>
        </is>
      </c>
      <c r="B1907" s="1" t="n">
        <v>45474</v>
      </c>
      <c r="C1907" s="1" t="n">
        <v>45713</v>
      </c>
      <c r="D1907" t="inlineStr">
        <is>
          <t>VÄSTERNORRLANDS LÄN</t>
        </is>
      </c>
      <c r="E1907" t="inlineStr">
        <is>
          <t>ÅNGE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27461-2024</t>
        </is>
      </c>
      <c r="B1908" s="1" t="n">
        <v>45474</v>
      </c>
      <c r="C1908" s="1" t="n">
        <v>45713</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27630-2024</t>
        </is>
      </c>
      <c r="B1909" s="1" t="n">
        <v>45474</v>
      </c>
      <c r="C1909" s="1" t="n">
        <v>45713</v>
      </c>
      <c r="D1909" t="inlineStr">
        <is>
          <t>VÄSTERNORRLANDS LÄN</t>
        </is>
      </c>
      <c r="E1909" t="inlineStr">
        <is>
          <t>ÅNGE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27629-2024</t>
        </is>
      </c>
      <c r="B1910" s="1" t="n">
        <v>45474</v>
      </c>
      <c r="C1910" s="1" t="n">
        <v>45713</v>
      </c>
      <c r="D1910" t="inlineStr">
        <is>
          <t>VÄSTERNORRLANDS LÄN</t>
        </is>
      </c>
      <c r="E1910" t="inlineStr">
        <is>
          <t>ÅNGE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27661-2024</t>
        </is>
      </c>
      <c r="B1911" s="1" t="n">
        <v>45475</v>
      </c>
      <c r="C1911" s="1" t="n">
        <v>45713</v>
      </c>
      <c r="D1911" t="inlineStr">
        <is>
          <t>VÄSTERNORRLANDS LÄN</t>
        </is>
      </c>
      <c r="E1911" t="inlineStr">
        <is>
          <t>ÅNGE</t>
        </is>
      </c>
      <c r="F1911" t="inlineStr">
        <is>
          <t>SCA</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27935-2024</t>
        </is>
      </c>
      <c r="B1912" s="1" t="n">
        <v>45475</v>
      </c>
      <c r="C1912" s="1" t="n">
        <v>45713</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c r="U1912">
        <f>HYPERLINK("https://klasma.github.io/Logging_2260/knärot/A 27935-2024 karta knärot.png", "A 27935-2024")</f>
        <v/>
      </c>
      <c r="V1912">
        <f>HYPERLINK("https://klasma.github.io/Logging_2260/klagomål/A 27935-2024 FSC-klagomål.docx", "A 27935-2024")</f>
        <v/>
      </c>
      <c r="W1912">
        <f>HYPERLINK("https://klasma.github.io/Logging_2260/klagomålsmail/A 27935-2024 FSC-klagomål mail.docx", "A 27935-2024")</f>
        <v/>
      </c>
      <c r="X1912">
        <f>HYPERLINK("https://klasma.github.io/Logging_2260/tillsyn/A 27935-2024 tillsynsbegäran.docx", "A 27935-2024")</f>
        <v/>
      </c>
      <c r="Y1912">
        <f>HYPERLINK("https://klasma.github.io/Logging_2260/tillsynsmail/A 27935-2024 tillsynsbegäran mail.docx", "A 27935-2024")</f>
        <v/>
      </c>
    </row>
    <row r="1913" ht="15" customHeight="1">
      <c r="A1913" t="inlineStr">
        <is>
          <t>A 27915-2024</t>
        </is>
      </c>
      <c r="B1913" s="1" t="n">
        <v>45475</v>
      </c>
      <c r="C1913" s="1" t="n">
        <v>45713</v>
      </c>
      <c r="D1913" t="inlineStr">
        <is>
          <t>VÄSTERNORRLANDS LÄN</t>
        </is>
      </c>
      <c r="E1913" t="inlineStr">
        <is>
          <t>ÅNGE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27853-2024</t>
        </is>
      </c>
      <c r="B1914" s="1" t="n">
        <v>45475</v>
      </c>
      <c r="C1914" s="1" t="n">
        <v>45713</v>
      </c>
      <c r="D1914" t="inlineStr">
        <is>
          <t>VÄSTERNORRLANDS LÄN</t>
        </is>
      </c>
      <c r="E1914" t="inlineStr">
        <is>
          <t>ÅNGE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28171-2024</t>
        </is>
      </c>
      <c r="B1915" s="1" t="n">
        <v>45477</v>
      </c>
      <c r="C1915" s="1" t="n">
        <v>45713</v>
      </c>
      <c r="D1915" t="inlineStr">
        <is>
          <t>VÄSTERNORRLANDS LÄN</t>
        </is>
      </c>
      <c r="E1915" t="inlineStr">
        <is>
          <t>ÅNGE</t>
        </is>
      </c>
      <c r="F1915" t="inlineStr">
        <is>
          <t>SCA</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27952-2024</t>
        </is>
      </c>
      <c r="B1916" s="1" t="n">
        <v>45476</v>
      </c>
      <c r="C1916" s="1" t="n">
        <v>45713</v>
      </c>
      <c r="D1916" t="inlineStr">
        <is>
          <t>VÄSTERNORRLANDS LÄN</t>
        </is>
      </c>
      <c r="E1916" t="inlineStr">
        <is>
          <t>ÅNGE</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28506-2024</t>
        </is>
      </c>
      <c r="B1917" s="1" t="n">
        <v>45478</v>
      </c>
      <c r="C1917" s="1" t="n">
        <v>45713</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28504-2024</t>
        </is>
      </c>
      <c r="B1918" s="1" t="n">
        <v>45477</v>
      </c>
      <c r="C1918" s="1" t="n">
        <v>45713</v>
      </c>
      <c r="D1918" t="inlineStr">
        <is>
          <t>VÄSTERNORRLANDS LÄN</t>
        </is>
      </c>
      <c r="E1918" t="inlineStr">
        <is>
          <t>ÅNGE</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28873-2024</t>
        </is>
      </c>
      <c r="B1919" s="1" t="n">
        <v>45479</v>
      </c>
      <c r="C1919" s="1" t="n">
        <v>45713</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28604-2024</t>
        </is>
      </c>
      <c r="B1920" s="1" t="n">
        <v>45478</v>
      </c>
      <c r="C1920" s="1" t="n">
        <v>45713</v>
      </c>
      <c r="D1920" t="inlineStr">
        <is>
          <t>VÄSTERNORRLANDS LÄN</t>
        </is>
      </c>
      <c r="E1920" t="inlineStr">
        <is>
          <t>ÅNGE</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29088-2024</t>
        </is>
      </c>
      <c r="B1921" s="1" t="n">
        <v>45481</v>
      </c>
      <c r="C1921" s="1" t="n">
        <v>45713</v>
      </c>
      <c r="D1921" t="inlineStr">
        <is>
          <t>VÄSTERNORRLANDS LÄN</t>
        </is>
      </c>
      <c r="E1921" t="inlineStr">
        <is>
          <t>ÅNGE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29270-2024</t>
        </is>
      </c>
      <c r="B1922" s="1" t="n">
        <v>45483</v>
      </c>
      <c r="C1922" s="1" t="n">
        <v>45713</v>
      </c>
      <c r="D1922" t="inlineStr">
        <is>
          <t>VÄSTERNORRLANDS LÄN</t>
        </is>
      </c>
      <c r="E1922" t="inlineStr">
        <is>
          <t>ÅNGE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29193-2024</t>
        </is>
      </c>
      <c r="B1923" s="1" t="n">
        <v>45482</v>
      </c>
      <c r="C1923" s="1" t="n">
        <v>45713</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29268-2024</t>
        </is>
      </c>
      <c r="B1924" s="1" t="n">
        <v>45482</v>
      </c>
      <c r="C1924" s="1" t="n">
        <v>45713</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29196-2024</t>
        </is>
      </c>
      <c r="B1925" s="1" t="n">
        <v>45482</v>
      </c>
      <c r="C1925" s="1" t="n">
        <v>45713</v>
      </c>
      <c r="D1925" t="inlineStr">
        <is>
          <t>VÄSTERNORRLANDS LÄN</t>
        </is>
      </c>
      <c r="E1925" t="inlineStr">
        <is>
          <t>ÅNGE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29251-2024</t>
        </is>
      </c>
      <c r="B1926" s="1" t="n">
        <v>45483</v>
      </c>
      <c r="C1926" s="1" t="n">
        <v>45713</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29259-2024</t>
        </is>
      </c>
      <c r="B1927" s="1" t="n">
        <v>45483</v>
      </c>
      <c r="C1927" s="1" t="n">
        <v>45713</v>
      </c>
      <c r="D1927" t="inlineStr">
        <is>
          <t>VÄSTERNORRLANDS LÄN</t>
        </is>
      </c>
      <c r="E1927" t="inlineStr">
        <is>
          <t>ÅNGE</t>
        </is>
      </c>
      <c r="F1927" t="inlineStr">
        <is>
          <t>SCA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29271-2024</t>
        </is>
      </c>
      <c r="B1928" s="1" t="n">
        <v>45482</v>
      </c>
      <c r="C1928" s="1" t="n">
        <v>45713</v>
      </c>
      <c r="D1928" t="inlineStr">
        <is>
          <t>VÄSTERNORRLANDS LÄN</t>
        </is>
      </c>
      <c r="E1928" t="inlineStr">
        <is>
          <t>ÅNGE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29395-2024</t>
        </is>
      </c>
      <c r="B1929" s="1" t="n">
        <v>45483</v>
      </c>
      <c r="C1929" s="1" t="n">
        <v>45713</v>
      </c>
      <c r="D1929" t="inlineStr">
        <is>
          <t>VÄSTERNORRLANDS LÄN</t>
        </is>
      </c>
      <c r="E1929" t="inlineStr">
        <is>
          <t>ÅNGE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29421-2024</t>
        </is>
      </c>
      <c r="B1930" s="1" t="n">
        <v>45483</v>
      </c>
      <c r="C1930" s="1" t="n">
        <v>45713</v>
      </c>
      <c r="D1930" t="inlineStr">
        <is>
          <t>VÄSTERNORRLANDS LÄN</t>
        </is>
      </c>
      <c r="E1930" t="inlineStr">
        <is>
          <t>ÅNGE</t>
        </is>
      </c>
      <c r="F1930" t="inlineStr">
        <is>
          <t>Kyrkan</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29458-2024</t>
        </is>
      </c>
      <c r="B1931" s="1" t="n">
        <v>45484</v>
      </c>
      <c r="C1931" s="1" t="n">
        <v>45713</v>
      </c>
      <c r="D1931" t="inlineStr">
        <is>
          <t>VÄSTERNORRLANDS LÄN</t>
        </is>
      </c>
      <c r="E1931" t="inlineStr">
        <is>
          <t>ÅNGE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29462-2024</t>
        </is>
      </c>
      <c r="B1932" s="1" t="n">
        <v>45484</v>
      </c>
      <c r="C1932" s="1" t="n">
        <v>45713</v>
      </c>
      <c r="D1932" t="inlineStr">
        <is>
          <t>VÄSTERNORRLANDS LÄN</t>
        </is>
      </c>
      <c r="E1932" t="inlineStr">
        <is>
          <t>ÅNGE</t>
        </is>
      </c>
      <c r="F1932" t="inlineStr">
        <is>
          <t>SCA</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29470-2024</t>
        </is>
      </c>
      <c r="B1933" s="1" t="n">
        <v>45484</v>
      </c>
      <c r="C1933" s="1" t="n">
        <v>45713</v>
      </c>
      <c r="D1933" t="inlineStr">
        <is>
          <t>VÄSTERNORRLANDS LÄN</t>
        </is>
      </c>
      <c r="E1933" t="inlineStr">
        <is>
          <t>ÅNGE</t>
        </is>
      </c>
      <c r="F1933" t="inlineStr">
        <is>
          <t>SCA</t>
        </is>
      </c>
      <c r="G1933" t="n">
        <v>24.5</v>
      </c>
      <c r="H1933" t="n">
        <v>0</v>
      </c>
      <c r="I1933" t="n">
        <v>0</v>
      </c>
      <c r="J1933" t="n">
        <v>0</v>
      </c>
      <c r="K1933" t="n">
        <v>0</v>
      </c>
      <c r="L1933" t="n">
        <v>0</v>
      </c>
      <c r="M1933" t="n">
        <v>0</v>
      </c>
      <c r="N1933" t="n">
        <v>0</v>
      </c>
      <c r="O1933" t="n">
        <v>0</v>
      </c>
      <c r="P1933" t="n">
        <v>0</v>
      </c>
      <c r="Q1933" t="n">
        <v>0</v>
      </c>
      <c r="R1933" s="2" t="inlineStr"/>
    </row>
    <row r="1934" ht="15" customHeight="1">
      <c r="A1934" t="inlineStr">
        <is>
          <t>A 29673-2024</t>
        </is>
      </c>
      <c r="B1934" s="1" t="n">
        <v>45485</v>
      </c>
      <c r="C1934" s="1" t="n">
        <v>45713</v>
      </c>
      <c r="D1934" t="inlineStr">
        <is>
          <t>VÄSTERNORRLANDS LÄN</t>
        </is>
      </c>
      <c r="E1934" t="inlineStr">
        <is>
          <t>ÅNGE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29667-2024</t>
        </is>
      </c>
      <c r="B1935" s="1" t="n">
        <v>45485</v>
      </c>
      <c r="C1935" s="1" t="n">
        <v>45713</v>
      </c>
      <c r="D1935" t="inlineStr">
        <is>
          <t>VÄSTERNORRLANDS LÄN</t>
        </is>
      </c>
      <c r="E1935" t="inlineStr">
        <is>
          <t>ÅNGE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29699-2024</t>
        </is>
      </c>
      <c r="B1936" s="1" t="n">
        <v>45484</v>
      </c>
      <c r="C1936" s="1" t="n">
        <v>45713</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29666-2024</t>
        </is>
      </c>
      <c r="B1937" s="1" t="n">
        <v>45484</v>
      </c>
      <c r="C1937" s="1" t="n">
        <v>45713</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29664-2024</t>
        </is>
      </c>
      <c r="B1938" s="1" t="n">
        <v>45484</v>
      </c>
      <c r="C1938" s="1" t="n">
        <v>45713</v>
      </c>
      <c r="D1938" t="inlineStr">
        <is>
          <t>VÄSTERNORRLANDS LÄN</t>
        </is>
      </c>
      <c r="E1938" t="inlineStr">
        <is>
          <t>ÅNGE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29697-2024</t>
        </is>
      </c>
      <c r="B1939" s="1" t="n">
        <v>45484</v>
      </c>
      <c r="C1939" s="1" t="n">
        <v>45713</v>
      </c>
      <c r="D1939" t="inlineStr">
        <is>
          <t>VÄSTERNORRLANDS LÄN</t>
        </is>
      </c>
      <c r="E1939" t="inlineStr">
        <is>
          <t>ÅNGE</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29696-2024</t>
        </is>
      </c>
      <c r="B1940" s="1" t="n">
        <v>45485</v>
      </c>
      <c r="C1940" s="1" t="n">
        <v>45713</v>
      </c>
      <c r="D1940" t="inlineStr">
        <is>
          <t>VÄSTERNORRLANDS LÄN</t>
        </is>
      </c>
      <c r="E1940" t="inlineStr">
        <is>
          <t>ÅNGE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29702-2024</t>
        </is>
      </c>
      <c r="B1941" s="1" t="n">
        <v>45485</v>
      </c>
      <c r="C1941" s="1" t="n">
        <v>45713</v>
      </c>
      <c r="D1941" t="inlineStr">
        <is>
          <t>VÄSTERNORRLANDS LÄN</t>
        </is>
      </c>
      <c r="E1941" t="inlineStr">
        <is>
          <t>ÅNGE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29848-2024</t>
        </is>
      </c>
      <c r="B1942" s="1" t="n">
        <v>45485</v>
      </c>
      <c r="C1942" s="1" t="n">
        <v>45713</v>
      </c>
      <c r="D1942" t="inlineStr">
        <is>
          <t>VÄSTERNORRLANDS LÄN</t>
        </is>
      </c>
      <c r="E1942" t="inlineStr">
        <is>
          <t>ÅNGE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30055-2024</t>
        </is>
      </c>
      <c r="B1943" s="1" t="n">
        <v>45489</v>
      </c>
      <c r="C1943" s="1" t="n">
        <v>45713</v>
      </c>
      <c r="D1943" t="inlineStr">
        <is>
          <t>VÄSTERNORRLANDS LÄN</t>
        </is>
      </c>
      <c r="E1943" t="inlineStr">
        <is>
          <t>ÅNGE</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30054-2024</t>
        </is>
      </c>
      <c r="B1944" s="1" t="n">
        <v>45489</v>
      </c>
      <c r="C1944" s="1" t="n">
        <v>45713</v>
      </c>
      <c r="D1944" t="inlineStr">
        <is>
          <t>VÄSTERNORRLANDS LÄN</t>
        </is>
      </c>
      <c r="E1944" t="inlineStr">
        <is>
          <t>ÅNGE</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30235-2024</t>
        </is>
      </c>
      <c r="B1945" s="1" t="n">
        <v>45490</v>
      </c>
      <c r="C1945" s="1" t="n">
        <v>45713</v>
      </c>
      <c r="D1945" t="inlineStr">
        <is>
          <t>VÄSTERNORRLANDS LÄN</t>
        </is>
      </c>
      <c r="E1945" t="inlineStr">
        <is>
          <t>ÅNGE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30256-2024</t>
        </is>
      </c>
      <c r="B1946" s="1" t="n">
        <v>45490</v>
      </c>
      <c r="C1946" s="1" t="n">
        <v>45713</v>
      </c>
      <c r="D1946" t="inlineStr">
        <is>
          <t>VÄSTERNORRLANDS LÄN</t>
        </is>
      </c>
      <c r="E1946" t="inlineStr">
        <is>
          <t>ÅNGE</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30222-2024</t>
        </is>
      </c>
      <c r="B1947" s="1" t="n">
        <v>45490</v>
      </c>
      <c r="C1947" s="1" t="n">
        <v>45713</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30217-2024</t>
        </is>
      </c>
      <c r="B1948" s="1" t="n">
        <v>45490</v>
      </c>
      <c r="C1948" s="1" t="n">
        <v>45713</v>
      </c>
      <c r="D1948" t="inlineStr">
        <is>
          <t>VÄSTERNORRLANDS LÄN</t>
        </is>
      </c>
      <c r="E1948" t="inlineStr">
        <is>
          <t>ÅNGE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30346-2024</t>
        </is>
      </c>
      <c r="B1949" s="1" t="n">
        <v>45491</v>
      </c>
      <c r="C1949" s="1" t="n">
        <v>45713</v>
      </c>
      <c r="D1949" t="inlineStr">
        <is>
          <t>VÄSTERNORRLANDS LÄN</t>
        </is>
      </c>
      <c r="E1949" t="inlineStr">
        <is>
          <t>ÅNGE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30348-2024</t>
        </is>
      </c>
      <c r="B1950" s="1" t="n">
        <v>45491</v>
      </c>
      <c r="C1950" s="1" t="n">
        <v>45713</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30353-2024</t>
        </is>
      </c>
      <c r="B1951" s="1" t="n">
        <v>45491</v>
      </c>
      <c r="C1951" s="1" t="n">
        <v>45713</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30347-2024</t>
        </is>
      </c>
      <c r="B1952" s="1" t="n">
        <v>45491</v>
      </c>
      <c r="C1952" s="1" t="n">
        <v>45713</v>
      </c>
      <c r="D1952" t="inlineStr">
        <is>
          <t>VÄSTERNORRLANDS LÄN</t>
        </is>
      </c>
      <c r="E1952" t="inlineStr">
        <is>
          <t>ÅNGE</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30469-2024</t>
        </is>
      </c>
      <c r="B1953" s="1" t="n">
        <v>45491</v>
      </c>
      <c r="C1953" s="1" t="n">
        <v>45713</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30481-2024</t>
        </is>
      </c>
      <c r="B1954" s="1" t="n">
        <v>45492</v>
      </c>
      <c r="C1954" s="1" t="n">
        <v>45713</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30474-2024</t>
        </is>
      </c>
      <c r="B1955" s="1" t="n">
        <v>45491</v>
      </c>
      <c r="C1955" s="1" t="n">
        <v>45713</v>
      </c>
      <c r="D1955" t="inlineStr">
        <is>
          <t>VÄSTERNORRLANDS LÄN</t>
        </is>
      </c>
      <c r="E1955" t="inlineStr">
        <is>
          <t>ÅNGE</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30478-2024</t>
        </is>
      </c>
      <c r="B1956" s="1" t="n">
        <v>45492</v>
      </c>
      <c r="C1956" s="1" t="n">
        <v>45713</v>
      </c>
      <c r="D1956" t="inlineStr">
        <is>
          <t>VÄSTERNORRLANDS LÄN</t>
        </is>
      </c>
      <c r="E1956" t="inlineStr">
        <is>
          <t>ÅNGE</t>
        </is>
      </c>
      <c r="F1956" t="inlineStr">
        <is>
          <t>SCA</t>
        </is>
      </c>
      <c r="G1956" t="n">
        <v>2</v>
      </c>
      <c r="H1956" t="n">
        <v>0</v>
      </c>
      <c r="I1956" t="n">
        <v>0</v>
      </c>
      <c r="J1956" t="n">
        <v>0</v>
      </c>
      <c r="K1956" t="n">
        <v>0</v>
      </c>
      <c r="L1956" t="n">
        <v>0</v>
      </c>
      <c r="M1956" t="n">
        <v>0</v>
      </c>
      <c r="N1956" t="n">
        <v>0</v>
      </c>
      <c r="O1956" t="n">
        <v>0</v>
      </c>
      <c r="P1956" t="n">
        <v>0</v>
      </c>
      <c r="Q1956" t="n">
        <v>0</v>
      </c>
      <c r="R1956" s="2" t="inlineStr"/>
      <c r="U1956">
        <f>HYPERLINK("https://klasma.github.io/Logging_2260/knärot/A 30478-2024 karta knärot.png", "A 30478-2024")</f>
        <v/>
      </c>
      <c r="V1956">
        <f>HYPERLINK("https://klasma.github.io/Logging_2260/klagomål/A 30478-2024 FSC-klagomål.docx", "A 30478-2024")</f>
        <v/>
      </c>
      <c r="W1956">
        <f>HYPERLINK("https://klasma.github.io/Logging_2260/klagomålsmail/A 30478-2024 FSC-klagomål mail.docx", "A 30478-2024")</f>
        <v/>
      </c>
      <c r="X1956">
        <f>HYPERLINK("https://klasma.github.io/Logging_2260/tillsyn/A 30478-2024 tillsynsbegäran.docx", "A 30478-2024")</f>
        <v/>
      </c>
      <c r="Y1956">
        <f>HYPERLINK("https://klasma.github.io/Logging_2260/tillsynsmail/A 30478-2024 tillsynsbegäran mail.docx", "A 30478-2024")</f>
        <v/>
      </c>
    </row>
    <row r="1957" ht="15" customHeight="1">
      <c r="A1957" t="inlineStr">
        <is>
          <t>A 30467-2024</t>
        </is>
      </c>
      <c r="B1957" s="1" t="n">
        <v>45492</v>
      </c>
      <c r="C1957" s="1" t="n">
        <v>45713</v>
      </c>
      <c r="D1957" t="inlineStr">
        <is>
          <t>VÄSTERNORRLANDS LÄN</t>
        </is>
      </c>
      <c r="E1957" t="inlineStr">
        <is>
          <t>ÅNGE</t>
        </is>
      </c>
      <c r="F1957" t="inlineStr">
        <is>
          <t>SCA</t>
        </is>
      </c>
      <c r="G1957" t="n">
        <v>2.4</v>
      </c>
      <c r="H1957" t="n">
        <v>0</v>
      </c>
      <c r="I1957" t="n">
        <v>0</v>
      </c>
      <c r="J1957" t="n">
        <v>0</v>
      </c>
      <c r="K1957" t="n">
        <v>0</v>
      </c>
      <c r="L1957" t="n">
        <v>0</v>
      </c>
      <c r="M1957" t="n">
        <v>0</v>
      </c>
      <c r="N1957" t="n">
        <v>0</v>
      </c>
      <c r="O1957" t="n">
        <v>0</v>
      </c>
      <c r="P1957" t="n">
        <v>0</v>
      </c>
      <c r="Q1957" t="n">
        <v>0</v>
      </c>
      <c r="R1957" s="2" t="inlineStr"/>
      <c r="U1957">
        <f>HYPERLINK("https://klasma.github.io/Logging_2260/knärot/A 30467-2024 karta knärot.png", "A 30467-2024")</f>
        <v/>
      </c>
      <c r="V1957">
        <f>HYPERLINK("https://klasma.github.io/Logging_2260/klagomål/A 30467-2024 FSC-klagomål.docx", "A 30467-2024")</f>
        <v/>
      </c>
      <c r="W1957">
        <f>HYPERLINK("https://klasma.github.io/Logging_2260/klagomålsmail/A 30467-2024 FSC-klagomål mail.docx", "A 30467-2024")</f>
        <v/>
      </c>
      <c r="X1957">
        <f>HYPERLINK("https://klasma.github.io/Logging_2260/tillsyn/A 30467-2024 tillsynsbegäran.docx", "A 30467-2024")</f>
        <v/>
      </c>
      <c r="Y1957">
        <f>HYPERLINK("https://klasma.github.io/Logging_2260/tillsynsmail/A 30467-2024 tillsynsbegäran mail.docx", "A 30467-2024")</f>
        <v/>
      </c>
    </row>
    <row r="1958" ht="15" customHeight="1">
      <c r="A1958" t="inlineStr">
        <is>
          <t>A 30475-2024</t>
        </is>
      </c>
      <c r="B1958" s="1" t="n">
        <v>45491</v>
      </c>
      <c r="C1958" s="1" t="n">
        <v>45713</v>
      </c>
      <c r="D1958" t="inlineStr">
        <is>
          <t>VÄSTERNORRLANDS LÄN</t>
        </is>
      </c>
      <c r="E1958" t="inlineStr">
        <is>
          <t>ÅNGE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30568-2024</t>
        </is>
      </c>
      <c r="B1959" s="1" t="n">
        <v>45493</v>
      </c>
      <c r="C1959" s="1" t="n">
        <v>45713</v>
      </c>
      <c r="D1959" t="inlineStr">
        <is>
          <t>VÄSTERNORRLANDS LÄN</t>
        </is>
      </c>
      <c r="E1959" t="inlineStr">
        <is>
          <t>ÅNGE</t>
        </is>
      </c>
      <c r="F1959" t="inlineStr">
        <is>
          <t>SCA</t>
        </is>
      </c>
      <c r="G1959" t="n">
        <v>7.9</v>
      </c>
      <c r="H1959" t="n">
        <v>0</v>
      </c>
      <c r="I1959" t="n">
        <v>0</v>
      </c>
      <c r="J1959" t="n">
        <v>0</v>
      </c>
      <c r="K1959" t="n">
        <v>0</v>
      </c>
      <c r="L1959" t="n">
        <v>0</v>
      </c>
      <c r="M1959" t="n">
        <v>0</v>
      </c>
      <c r="N1959" t="n">
        <v>0</v>
      </c>
      <c r="O1959" t="n">
        <v>0</v>
      </c>
      <c r="P1959" t="n">
        <v>0</v>
      </c>
      <c r="Q1959" t="n">
        <v>0</v>
      </c>
      <c r="R1959" s="2" t="inlineStr"/>
      <c r="U1959">
        <f>HYPERLINK("https://klasma.github.io/Logging_2260/knärot/A 30568-2024 karta knärot.png", "A 30568-2024")</f>
        <v/>
      </c>
      <c r="V1959">
        <f>HYPERLINK("https://klasma.github.io/Logging_2260/klagomål/A 30568-2024 FSC-klagomål.docx", "A 30568-2024")</f>
        <v/>
      </c>
      <c r="W1959">
        <f>HYPERLINK("https://klasma.github.io/Logging_2260/klagomålsmail/A 30568-2024 FSC-klagomål mail.docx", "A 30568-2024")</f>
        <v/>
      </c>
      <c r="X1959">
        <f>HYPERLINK("https://klasma.github.io/Logging_2260/tillsyn/A 30568-2024 tillsynsbegäran.docx", "A 30568-2024")</f>
        <v/>
      </c>
      <c r="Y1959">
        <f>HYPERLINK("https://klasma.github.io/Logging_2260/tillsynsmail/A 30568-2024 tillsynsbegäran mail.docx", "A 30568-2024")</f>
        <v/>
      </c>
    </row>
    <row r="1960" ht="15" customHeight="1">
      <c r="A1960" t="inlineStr">
        <is>
          <t>A 30683-2024</t>
        </is>
      </c>
      <c r="B1960" s="1" t="n">
        <v>45495</v>
      </c>
      <c r="C1960" s="1" t="n">
        <v>45713</v>
      </c>
      <c r="D1960" t="inlineStr">
        <is>
          <t>VÄSTERNORRLANDS LÄN</t>
        </is>
      </c>
      <c r="E1960" t="inlineStr">
        <is>
          <t>ÅNGE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30687-2024</t>
        </is>
      </c>
      <c r="B1961" s="1" t="n">
        <v>45496</v>
      </c>
      <c r="C1961" s="1" t="n">
        <v>45713</v>
      </c>
      <c r="D1961" t="inlineStr">
        <is>
          <t>VÄSTERNORRLANDS LÄN</t>
        </is>
      </c>
      <c r="E1961" t="inlineStr">
        <is>
          <t>ÅNGE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30682-2024</t>
        </is>
      </c>
      <c r="B1962" s="1" t="n">
        <v>45496</v>
      </c>
      <c r="C1962" s="1" t="n">
        <v>45713</v>
      </c>
      <c r="D1962" t="inlineStr">
        <is>
          <t>VÄSTERNORRLANDS LÄN</t>
        </is>
      </c>
      <c r="E1962" t="inlineStr">
        <is>
          <t>ÅNGE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30754-2024</t>
        </is>
      </c>
      <c r="B1963" s="1" t="n">
        <v>45496</v>
      </c>
      <c r="C1963" s="1" t="n">
        <v>45713</v>
      </c>
      <c r="D1963" t="inlineStr">
        <is>
          <t>VÄSTERNORRLANDS LÄN</t>
        </is>
      </c>
      <c r="E1963" t="inlineStr">
        <is>
          <t>ÅNGE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30774-2024</t>
        </is>
      </c>
      <c r="B1964" s="1" t="n">
        <v>45497</v>
      </c>
      <c r="C1964" s="1" t="n">
        <v>45713</v>
      </c>
      <c r="D1964" t="inlineStr">
        <is>
          <t>VÄSTERNORRLANDS LÄN</t>
        </is>
      </c>
      <c r="E1964" t="inlineStr">
        <is>
          <t>ÅNGE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30751-2024</t>
        </is>
      </c>
      <c r="B1965" s="1" t="n">
        <v>45496</v>
      </c>
      <c r="C1965" s="1" t="n">
        <v>45713</v>
      </c>
      <c r="D1965" t="inlineStr">
        <is>
          <t>VÄSTERNORRLANDS LÄN</t>
        </is>
      </c>
      <c r="E1965" t="inlineStr">
        <is>
          <t>ÅNGE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30747-2024</t>
        </is>
      </c>
      <c r="B1966" s="1" t="n">
        <v>45496</v>
      </c>
      <c r="C1966" s="1" t="n">
        <v>45713</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30753-2024</t>
        </is>
      </c>
      <c r="B1967" s="1" t="n">
        <v>45496</v>
      </c>
      <c r="C1967" s="1" t="n">
        <v>45713</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31177-2024</t>
        </is>
      </c>
      <c r="B1968" s="1" t="n">
        <v>45503</v>
      </c>
      <c r="C1968" s="1" t="n">
        <v>45713</v>
      </c>
      <c r="D1968" t="inlineStr">
        <is>
          <t>VÄSTERNORRLANDS LÄN</t>
        </is>
      </c>
      <c r="E1968" t="inlineStr">
        <is>
          <t>ÅNGE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31182-2024</t>
        </is>
      </c>
      <c r="B1969" s="1" t="n">
        <v>45503</v>
      </c>
      <c r="C1969" s="1" t="n">
        <v>45713</v>
      </c>
      <c r="D1969" t="inlineStr">
        <is>
          <t>VÄSTERNORRLANDS LÄN</t>
        </is>
      </c>
      <c r="E1969" t="inlineStr">
        <is>
          <t>ÅNGE</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31184-2024</t>
        </is>
      </c>
      <c r="B1970" s="1" t="n">
        <v>45503</v>
      </c>
      <c r="C1970" s="1" t="n">
        <v>45713</v>
      </c>
      <c r="D1970" t="inlineStr">
        <is>
          <t>VÄSTERNORRLANDS LÄN</t>
        </is>
      </c>
      <c r="E1970" t="inlineStr">
        <is>
          <t>ÅNGE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31568-2024</t>
        </is>
      </c>
      <c r="B1971" s="1" t="n">
        <v>45506</v>
      </c>
      <c r="C1971" s="1" t="n">
        <v>45713</v>
      </c>
      <c r="D1971" t="inlineStr">
        <is>
          <t>VÄSTERNORRLANDS LÄN</t>
        </is>
      </c>
      <c r="E1971" t="inlineStr">
        <is>
          <t>ÅNGE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31492-2024</t>
        </is>
      </c>
      <c r="B1972" s="1" t="n">
        <v>45505</v>
      </c>
      <c r="C1972" s="1" t="n">
        <v>45713</v>
      </c>
      <c r="D1972" t="inlineStr">
        <is>
          <t>VÄSTERNORRLANDS LÄN</t>
        </is>
      </c>
      <c r="E1972" t="inlineStr">
        <is>
          <t>ÅNGE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31545-2024</t>
        </is>
      </c>
      <c r="B1973" s="1" t="n">
        <v>45505</v>
      </c>
      <c r="C1973" s="1" t="n">
        <v>45713</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31457-2024</t>
        </is>
      </c>
      <c r="B1974" s="1" t="n">
        <v>45505</v>
      </c>
      <c r="C1974" s="1" t="n">
        <v>45713</v>
      </c>
      <c r="D1974" t="inlineStr">
        <is>
          <t>VÄSTERNORRLANDS LÄN</t>
        </is>
      </c>
      <c r="E1974" t="inlineStr">
        <is>
          <t>ÅNGE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31563-2024</t>
        </is>
      </c>
      <c r="B1975" s="1" t="n">
        <v>45505</v>
      </c>
      <c r="C1975" s="1" t="n">
        <v>45713</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31447-2024</t>
        </is>
      </c>
      <c r="B1976" s="1" t="n">
        <v>45506</v>
      </c>
      <c r="C1976" s="1" t="n">
        <v>45713</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31671-2024</t>
        </is>
      </c>
      <c r="B1977" s="1" t="n">
        <v>45507</v>
      </c>
      <c r="C1977" s="1" t="n">
        <v>45713</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31729-2024</t>
        </is>
      </c>
      <c r="B1978" s="1" t="n">
        <v>45509</v>
      </c>
      <c r="C1978" s="1" t="n">
        <v>45713</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31863-2024</t>
        </is>
      </c>
      <c r="B1979" s="1" t="n">
        <v>45509</v>
      </c>
      <c r="C1979" s="1" t="n">
        <v>45713</v>
      </c>
      <c r="D1979" t="inlineStr">
        <is>
          <t>VÄSTERNORRLANDS LÄN</t>
        </is>
      </c>
      <c r="E1979" t="inlineStr">
        <is>
          <t>ÅNGE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31864-2024</t>
        </is>
      </c>
      <c r="B1980" s="1" t="n">
        <v>45509</v>
      </c>
      <c r="C1980" s="1" t="n">
        <v>45713</v>
      </c>
      <c r="D1980" t="inlineStr">
        <is>
          <t>VÄSTERNORRLANDS LÄN</t>
        </is>
      </c>
      <c r="E1980" t="inlineStr">
        <is>
          <t>ÅNGE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31866-2024</t>
        </is>
      </c>
      <c r="B1981" s="1" t="n">
        <v>45509</v>
      </c>
      <c r="C1981" s="1" t="n">
        <v>45713</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31867-2024</t>
        </is>
      </c>
      <c r="B1982" s="1" t="n">
        <v>45509</v>
      </c>
      <c r="C1982" s="1" t="n">
        <v>45713</v>
      </c>
      <c r="D1982" t="inlineStr">
        <is>
          <t>VÄSTERNORRLANDS LÄN</t>
        </is>
      </c>
      <c r="E1982" t="inlineStr">
        <is>
          <t>ÅNGE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32053-2024</t>
        </is>
      </c>
      <c r="B1983" s="1" t="n">
        <v>45510</v>
      </c>
      <c r="C1983" s="1" t="n">
        <v>45713</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32054-2024</t>
        </is>
      </c>
      <c r="B1984" s="1" t="n">
        <v>45510</v>
      </c>
      <c r="C1984" s="1" t="n">
        <v>45713</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32055-2024</t>
        </is>
      </c>
      <c r="B1985" s="1" t="n">
        <v>45510</v>
      </c>
      <c r="C1985" s="1" t="n">
        <v>45713</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32245-2024</t>
        </is>
      </c>
      <c r="B1986" s="1" t="n">
        <v>45511</v>
      </c>
      <c r="C1986" s="1" t="n">
        <v>45713</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32257-2024</t>
        </is>
      </c>
      <c r="B1987" s="1" t="n">
        <v>45511</v>
      </c>
      <c r="C1987" s="1" t="n">
        <v>45713</v>
      </c>
      <c r="D1987" t="inlineStr">
        <is>
          <t>VÄSTERNORRLANDS LÄN</t>
        </is>
      </c>
      <c r="E1987" t="inlineStr">
        <is>
          <t>ÅNGE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32458-2024</t>
        </is>
      </c>
      <c r="B1988" s="1" t="n">
        <v>45512</v>
      </c>
      <c r="C1988" s="1" t="n">
        <v>45713</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32442-2024</t>
        </is>
      </c>
      <c r="B1989" s="1" t="n">
        <v>45512</v>
      </c>
      <c r="C1989" s="1" t="n">
        <v>45713</v>
      </c>
      <c r="D1989" t="inlineStr">
        <is>
          <t>VÄSTERNORRLANDS LÄN</t>
        </is>
      </c>
      <c r="E1989" t="inlineStr">
        <is>
          <t>ÅNGE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32439-2024</t>
        </is>
      </c>
      <c r="B1990" s="1" t="n">
        <v>45512</v>
      </c>
      <c r="C1990" s="1" t="n">
        <v>45713</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32447-2024</t>
        </is>
      </c>
      <c r="B1991" s="1" t="n">
        <v>45513</v>
      </c>
      <c r="C1991" s="1" t="n">
        <v>45713</v>
      </c>
      <c r="D1991" t="inlineStr">
        <is>
          <t>VÄSTERNORRLANDS LÄN</t>
        </is>
      </c>
      <c r="E1991" t="inlineStr">
        <is>
          <t>ÅNGE</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32384-2024</t>
        </is>
      </c>
      <c r="B1992" s="1" t="n">
        <v>45512</v>
      </c>
      <c r="C1992" s="1" t="n">
        <v>45713</v>
      </c>
      <c r="D1992" t="inlineStr">
        <is>
          <t>VÄSTERNORRLANDS LÄN</t>
        </is>
      </c>
      <c r="E1992" t="inlineStr">
        <is>
          <t>ÅNGE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32640-2024</t>
        </is>
      </c>
      <c r="B1993" s="1" t="n">
        <v>45514</v>
      </c>
      <c r="C1993" s="1" t="n">
        <v>45713</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32641-2024</t>
        </is>
      </c>
      <c r="B1994" s="1" t="n">
        <v>45513</v>
      </c>
      <c r="C1994" s="1" t="n">
        <v>45713</v>
      </c>
      <c r="D1994" t="inlineStr">
        <is>
          <t>VÄSTERNORRLANDS LÄN</t>
        </is>
      </c>
      <c r="E1994" t="inlineStr">
        <is>
          <t>ÅNGE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32658-2024</t>
        </is>
      </c>
      <c r="B1995" s="1" t="n">
        <v>45513</v>
      </c>
      <c r="C1995" s="1" t="n">
        <v>45713</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32897-2024</t>
        </is>
      </c>
      <c r="B1996" s="1" t="n">
        <v>45517</v>
      </c>
      <c r="C1996" s="1" t="n">
        <v>45713</v>
      </c>
      <c r="D1996" t="inlineStr">
        <is>
          <t>VÄSTERNORRLANDS LÄN</t>
        </is>
      </c>
      <c r="E1996" t="inlineStr">
        <is>
          <t>ÅNGE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32922-2024</t>
        </is>
      </c>
      <c r="B1997" s="1" t="n">
        <v>45517</v>
      </c>
      <c r="C1997" s="1" t="n">
        <v>45713</v>
      </c>
      <c r="D1997" t="inlineStr">
        <is>
          <t>VÄSTERNORRLANDS LÄN</t>
        </is>
      </c>
      <c r="E1997" t="inlineStr">
        <is>
          <t>ÅNGE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32909-2024</t>
        </is>
      </c>
      <c r="B1998" s="1" t="n">
        <v>45516</v>
      </c>
      <c r="C1998" s="1" t="n">
        <v>45713</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33302-2024</t>
        </is>
      </c>
      <c r="B1999" s="1" t="n">
        <v>45519</v>
      </c>
      <c r="C1999" s="1" t="n">
        <v>45713</v>
      </c>
      <c r="D1999" t="inlineStr">
        <is>
          <t>VÄSTERNORRLANDS LÄN</t>
        </is>
      </c>
      <c r="E1999" t="inlineStr">
        <is>
          <t>ÅNGE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33210-2024</t>
        </is>
      </c>
      <c r="B2000" s="1" t="n">
        <v>45518</v>
      </c>
      <c r="C2000" s="1" t="n">
        <v>45713</v>
      </c>
      <c r="D2000" t="inlineStr">
        <is>
          <t>VÄSTERNORRLANDS LÄN</t>
        </is>
      </c>
      <c r="E2000" t="inlineStr">
        <is>
          <t>ÅNGE</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33313-2024</t>
        </is>
      </c>
      <c r="B2001" s="1" t="n">
        <v>45519</v>
      </c>
      <c r="C2001" s="1" t="n">
        <v>45713</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33305-2024</t>
        </is>
      </c>
      <c r="B2002" s="1" t="n">
        <v>45518</v>
      </c>
      <c r="C2002" s="1" t="n">
        <v>45713</v>
      </c>
      <c r="D2002" t="inlineStr">
        <is>
          <t>VÄSTERNORRLANDS LÄN</t>
        </is>
      </c>
      <c r="E2002" t="inlineStr">
        <is>
          <t>ÅNGE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33306-2024</t>
        </is>
      </c>
      <c r="B2003" s="1" t="n">
        <v>45518</v>
      </c>
      <c r="C2003" s="1" t="n">
        <v>45713</v>
      </c>
      <c r="D2003" t="inlineStr">
        <is>
          <t>VÄSTERNORRLANDS LÄN</t>
        </is>
      </c>
      <c r="E2003" t="inlineStr">
        <is>
          <t>ÅNGE</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33395-2024</t>
        </is>
      </c>
      <c r="B2004" s="1" t="n">
        <v>45519</v>
      </c>
      <c r="C2004" s="1" t="n">
        <v>45713</v>
      </c>
      <c r="D2004" t="inlineStr">
        <is>
          <t>VÄSTERNORRLANDS LÄN</t>
        </is>
      </c>
      <c r="E2004" t="inlineStr">
        <is>
          <t>ÅNGE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33373-2024</t>
        </is>
      </c>
      <c r="B2005" s="1" t="n">
        <v>45519</v>
      </c>
      <c r="C2005" s="1" t="n">
        <v>45713</v>
      </c>
      <c r="D2005" t="inlineStr">
        <is>
          <t>VÄSTERNORRLANDS LÄN</t>
        </is>
      </c>
      <c r="E2005" t="inlineStr">
        <is>
          <t>ÅNGE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33468-2024</t>
        </is>
      </c>
      <c r="B2006" s="1" t="n">
        <v>45519</v>
      </c>
      <c r="C2006" s="1" t="n">
        <v>45713</v>
      </c>
      <c r="D2006" t="inlineStr">
        <is>
          <t>VÄSTERNORRLANDS LÄN</t>
        </is>
      </c>
      <c r="E2006" t="inlineStr">
        <is>
          <t>ÅNGE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33747-2024</t>
        </is>
      </c>
      <c r="B2007" s="1" t="n">
        <v>45520</v>
      </c>
      <c r="C2007" s="1" t="n">
        <v>45713</v>
      </c>
      <c r="D2007" t="inlineStr">
        <is>
          <t>VÄSTERNORRLANDS LÄN</t>
        </is>
      </c>
      <c r="E2007" t="inlineStr">
        <is>
          <t>ÅNGE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33631-2024</t>
        </is>
      </c>
      <c r="B2008" s="1" t="n">
        <v>45520</v>
      </c>
      <c r="C2008" s="1" t="n">
        <v>45713</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33783-2024</t>
        </is>
      </c>
      <c r="B2009" s="1" t="n">
        <v>45520</v>
      </c>
      <c r="C2009" s="1" t="n">
        <v>45713</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33740-2024</t>
        </is>
      </c>
      <c r="B2010" s="1" t="n">
        <v>45520</v>
      </c>
      <c r="C2010" s="1" t="n">
        <v>45713</v>
      </c>
      <c r="D2010" t="inlineStr">
        <is>
          <t>VÄSTERNORRLANDS LÄN</t>
        </is>
      </c>
      <c r="E2010" t="inlineStr">
        <is>
          <t>ÅNGE</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33750-2024</t>
        </is>
      </c>
      <c r="B2011" s="1" t="n">
        <v>45520</v>
      </c>
      <c r="C2011" s="1" t="n">
        <v>45713</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33967-2024</t>
        </is>
      </c>
      <c r="B2012" s="1" t="n">
        <v>45523</v>
      </c>
      <c r="C2012" s="1" t="n">
        <v>45713</v>
      </c>
      <c r="D2012" t="inlineStr">
        <is>
          <t>VÄSTERNORRLANDS LÄN</t>
        </is>
      </c>
      <c r="E2012" t="inlineStr">
        <is>
          <t>ÅNGE</t>
        </is>
      </c>
      <c r="F2012" t="inlineStr">
        <is>
          <t>SCA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34107-2024</t>
        </is>
      </c>
      <c r="B2013" s="1" t="n">
        <v>45523</v>
      </c>
      <c r="C2013" s="1" t="n">
        <v>45713</v>
      </c>
      <c r="D2013" t="inlineStr">
        <is>
          <t>VÄSTERNORRLANDS LÄN</t>
        </is>
      </c>
      <c r="E2013" t="inlineStr">
        <is>
          <t>ÅNGE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34251-2024</t>
        </is>
      </c>
      <c r="B2014" s="1" t="n">
        <v>45524</v>
      </c>
      <c r="C2014" s="1" t="n">
        <v>45713</v>
      </c>
      <c r="D2014" t="inlineStr">
        <is>
          <t>VÄSTERNORRLANDS LÄN</t>
        </is>
      </c>
      <c r="E2014" t="inlineStr">
        <is>
          <t>ÅNGE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34457-2024</t>
        </is>
      </c>
      <c r="B2015" s="1" t="n">
        <v>45525</v>
      </c>
      <c r="C2015" s="1" t="n">
        <v>45713</v>
      </c>
      <c r="D2015" t="inlineStr">
        <is>
          <t>VÄSTERNORRLANDS LÄN</t>
        </is>
      </c>
      <c r="E2015" t="inlineStr">
        <is>
          <t>ÅNGE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34559-2024</t>
        </is>
      </c>
      <c r="B2016" s="1" t="n">
        <v>45526</v>
      </c>
      <c r="C2016" s="1" t="n">
        <v>45713</v>
      </c>
      <c r="D2016" t="inlineStr">
        <is>
          <t>VÄSTERNORRLANDS LÄN</t>
        </is>
      </c>
      <c r="E2016" t="inlineStr">
        <is>
          <t>ÅNGE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34754-2024</t>
        </is>
      </c>
      <c r="B2017" s="1" t="n">
        <v>45526</v>
      </c>
      <c r="C2017" s="1" t="n">
        <v>45713</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34815-2024</t>
        </is>
      </c>
      <c r="B2018" s="1" t="n">
        <v>45526</v>
      </c>
      <c r="C2018" s="1" t="n">
        <v>45713</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34649-2024</t>
        </is>
      </c>
      <c r="B2019" s="1" t="n">
        <v>45526</v>
      </c>
      <c r="C2019" s="1" t="n">
        <v>45713</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34726-2024</t>
        </is>
      </c>
      <c r="B2020" s="1" t="n">
        <v>45526</v>
      </c>
      <c r="C2020" s="1" t="n">
        <v>45713</v>
      </c>
      <c r="D2020" t="inlineStr">
        <is>
          <t>VÄSTERNORRLANDS LÄN</t>
        </is>
      </c>
      <c r="E2020" t="inlineStr">
        <is>
          <t>ÅNGE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34820-2024</t>
        </is>
      </c>
      <c r="B2021" s="1" t="n">
        <v>45526</v>
      </c>
      <c r="C2021" s="1" t="n">
        <v>45713</v>
      </c>
      <c r="D2021" t="inlineStr">
        <is>
          <t>VÄSTERNORRLANDS LÄN</t>
        </is>
      </c>
      <c r="E2021" t="inlineStr">
        <is>
          <t>ÅNGE</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34655-2024</t>
        </is>
      </c>
      <c r="B2022" s="1" t="n">
        <v>45526</v>
      </c>
      <c r="C2022" s="1" t="n">
        <v>45713</v>
      </c>
      <c r="D2022" t="inlineStr">
        <is>
          <t>VÄSTERNORRLANDS LÄN</t>
        </is>
      </c>
      <c r="E2022" t="inlineStr">
        <is>
          <t>ÅNGE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34679-2024</t>
        </is>
      </c>
      <c r="B2023" s="1" t="n">
        <v>45526</v>
      </c>
      <c r="C2023" s="1" t="n">
        <v>45713</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34691-2024</t>
        </is>
      </c>
      <c r="B2024" s="1" t="n">
        <v>45526</v>
      </c>
      <c r="C2024" s="1" t="n">
        <v>45713</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34727-2024</t>
        </is>
      </c>
      <c r="B2025" s="1" t="n">
        <v>45526</v>
      </c>
      <c r="C2025" s="1" t="n">
        <v>45713</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34861-2024</t>
        </is>
      </c>
      <c r="B2026" s="1" t="n">
        <v>45527</v>
      </c>
      <c r="C2026" s="1" t="n">
        <v>45713</v>
      </c>
      <c r="D2026" t="inlineStr">
        <is>
          <t>VÄSTERNORRLANDS LÄN</t>
        </is>
      </c>
      <c r="E2026" t="inlineStr">
        <is>
          <t>ÅNGE</t>
        </is>
      </c>
      <c r="F2026" t="inlineStr">
        <is>
          <t>SCA</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35257-2024</t>
        </is>
      </c>
      <c r="B2027" s="1" t="n">
        <v>45530</v>
      </c>
      <c r="C2027" s="1" t="n">
        <v>45713</v>
      </c>
      <c r="D2027" t="inlineStr">
        <is>
          <t>VÄSTERNORRLANDS LÄN</t>
        </is>
      </c>
      <c r="E2027" t="inlineStr">
        <is>
          <t>ÅNGE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35390-2024</t>
        </is>
      </c>
      <c r="B2028" s="1" t="n">
        <v>45531</v>
      </c>
      <c r="C2028" s="1" t="n">
        <v>45713</v>
      </c>
      <c r="D2028" t="inlineStr">
        <is>
          <t>VÄSTERNORRLANDS LÄN</t>
        </is>
      </c>
      <c r="E2028" t="inlineStr">
        <is>
          <t>ÅNGE</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35402-2024</t>
        </is>
      </c>
      <c r="B2029" s="1" t="n">
        <v>45531</v>
      </c>
      <c r="C2029" s="1" t="n">
        <v>45713</v>
      </c>
      <c r="D2029" t="inlineStr">
        <is>
          <t>VÄSTERNORRLANDS LÄN</t>
        </is>
      </c>
      <c r="E2029" t="inlineStr">
        <is>
          <t>ÅNGE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35414-2024</t>
        </is>
      </c>
      <c r="B2030" s="1" t="n">
        <v>45531</v>
      </c>
      <c r="C2030" s="1" t="n">
        <v>45713</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35426-2024</t>
        </is>
      </c>
      <c r="B2031" s="1" t="n">
        <v>45531</v>
      </c>
      <c r="C2031" s="1" t="n">
        <v>45713</v>
      </c>
      <c r="D2031" t="inlineStr">
        <is>
          <t>VÄSTERNORRLANDS LÄN</t>
        </is>
      </c>
      <c r="E2031" t="inlineStr">
        <is>
          <t>ÅNGE</t>
        </is>
      </c>
      <c r="F2031" t="inlineStr">
        <is>
          <t>SCA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35582-2024</t>
        </is>
      </c>
      <c r="B2032" s="1" t="n">
        <v>45531</v>
      </c>
      <c r="C2032" s="1" t="n">
        <v>45713</v>
      </c>
      <c r="D2032" t="inlineStr">
        <is>
          <t>VÄSTERNORRLANDS LÄN</t>
        </is>
      </c>
      <c r="E2032" t="inlineStr">
        <is>
          <t>ÅNGE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35399-2024</t>
        </is>
      </c>
      <c r="B2033" s="1" t="n">
        <v>45531</v>
      </c>
      <c r="C2033" s="1" t="n">
        <v>45713</v>
      </c>
      <c r="D2033" t="inlineStr">
        <is>
          <t>VÄSTERNORRLANDS LÄN</t>
        </is>
      </c>
      <c r="E2033" t="inlineStr">
        <is>
          <t>ÅNGE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35401-2024</t>
        </is>
      </c>
      <c r="B2034" s="1" t="n">
        <v>45531</v>
      </c>
      <c r="C2034" s="1" t="n">
        <v>45713</v>
      </c>
      <c r="D2034" t="inlineStr">
        <is>
          <t>VÄSTERNORRLANDS LÄN</t>
        </is>
      </c>
      <c r="E2034" t="inlineStr">
        <is>
          <t>ÅNGE</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35429-2024</t>
        </is>
      </c>
      <c r="B2035" s="1" t="n">
        <v>45531</v>
      </c>
      <c r="C2035" s="1" t="n">
        <v>45713</v>
      </c>
      <c r="D2035" t="inlineStr">
        <is>
          <t>VÄSTERNORRLANDS LÄN</t>
        </is>
      </c>
      <c r="E2035" t="inlineStr">
        <is>
          <t>ÅNGE</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35392-2024</t>
        </is>
      </c>
      <c r="B2036" s="1" t="n">
        <v>45531</v>
      </c>
      <c r="C2036" s="1" t="n">
        <v>45713</v>
      </c>
      <c r="D2036" t="inlineStr">
        <is>
          <t>VÄSTERNORRLANDS LÄN</t>
        </is>
      </c>
      <c r="E2036" t="inlineStr">
        <is>
          <t>ÅNGE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35488-2024</t>
        </is>
      </c>
      <c r="B2037" s="1" t="n">
        <v>45531</v>
      </c>
      <c r="C2037" s="1" t="n">
        <v>45713</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35577-2024</t>
        </is>
      </c>
      <c r="B2038" s="1" t="n">
        <v>45531</v>
      </c>
      <c r="C2038" s="1" t="n">
        <v>45713</v>
      </c>
      <c r="D2038" t="inlineStr">
        <is>
          <t>VÄSTERNORRLANDS LÄN</t>
        </is>
      </c>
      <c r="E2038" t="inlineStr">
        <is>
          <t>ÅNGE</t>
        </is>
      </c>
      <c r="F2038" t="inlineStr">
        <is>
          <t>SCA</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35581-2024</t>
        </is>
      </c>
      <c r="B2039" s="1" t="n">
        <v>45531</v>
      </c>
      <c r="C2039" s="1" t="n">
        <v>45713</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35593-2024</t>
        </is>
      </c>
      <c r="B2040" s="1" t="n">
        <v>45531</v>
      </c>
      <c r="C2040" s="1" t="n">
        <v>45713</v>
      </c>
      <c r="D2040" t="inlineStr">
        <is>
          <t>VÄSTERNORRLANDS LÄN</t>
        </is>
      </c>
      <c r="E2040" t="inlineStr">
        <is>
          <t>ÅNGE</t>
        </is>
      </c>
      <c r="G2040" t="n">
        <v>17.6</v>
      </c>
      <c r="H2040" t="n">
        <v>0</v>
      </c>
      <c r="I2040" t="n">
        <v>0</v>
      </c>
      <c r="J2040" t="n">
        <v>0</v>
      </c>
      <c r="K2040" t="n">
        <v>0</v>
      </c>
      <c r="L2040" t="n">
        <v>0</v>
      </c>
      <c r="M2040" t="n">
        <v>0</v>
      </c>
      <c r="N2040" t="n">
        <v>0</v>
      </c>
      <c r="O2040" t="n">
        <v>0</v>
      </c>
      <c r="P2040" t="n">
        <v>0</v>
      </c>
      <c r="Q2040" t="n">
        <v>0</v>
      </c>
      <c r="R2040" s="2" t="inlineStr"/>
    </row>
    <row r="2041" ht="15" customHeight="1">
      <c r="A2041" t="inlineStr">
        <is>
          <t>A 35579-2024</t>
        </is>
      </c>
      <c r="B2041" s="1" t="n">
        <v>45531</v>
      </c>
      <c r="C2041" s="1" t="n">
        <v>45713</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35576-2024</t>
        </is>
      </c>
      <c r="B2042" s="1" t="n">
        <v>45531</v>
      </c>
      <c r="C2042" s="1" t="n">
        <v>45713</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35580-2024</t>
        </is>
      </c>
      <c r="B2043" s="1" t="n">
        <v>45531</v>
      </c>
      <c r="C2043" s="1" t="n">
        <v>45713</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35592-2024</t>
        </is>
      </c>
      <c r="B2044" s="1" t="n">
        <v>45531</v>
      </c>
      <c r="C2044" s="1" t="n">
        <v>45713</v>
      </c>
      <c r="D2044" t="inlineStr">
        <is>
          <t>VÄSTERNORRLANDS LÄN</t>
        </is>
      </c>
      <c r="E2044" t="inlineStr">
        <is>
          <t>ÅNGE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35596-2024</t>
        </is>
      </c>
      <c r="B2045" s="1" t="n">
        <v>45531</v>
      </c>
      <c r="C2045" s="1" t="n">
        <v>45713</v>
      </c>
      <c r="D2045" t="inlineStr">
        <is>
          <t>VÄSTERNORRLANDS LÄN</t>
        </is>
      </c>
      <c r="E2045" t="inlineStr">
        <is>
          <t>ÅNGE</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35674-2024</t>
        </is>
      </c>
      <c r="B2046" s="1" t="n">
        <v>45532</v>
      </c>
      <c r="C2046" s="1" t="n">
        <v>45713</v>
      </c>
      <c r="D2046" t="inlineStr">
        <is>
          <t>VÄSTERNORRLANDS LÄN</t>
        </is>
      </c>
      <c r="E2046" t="inlineStr">
        <is>
          <t>ÅNGE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35650-2024</t>
        </is>
      </c>
      <c r="B2047" s="1" t="n">
        <v>45532</v>
      </c>
      <c r="C2047" s="1" t="n">
        <v>45713</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35672-2024</t>
        </is>
      </c>
      <c r="B2048" s="1" t="n">
        <v>45532</v>
      </c>
      <c r="C2048" s="1" t="n">
        <v>45713</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35979-2024</t>
        </is>
      </c>
      <c r="B2049" s="1" t="n">
        <v>45533</v>
      </c>
      <c r="C2049" s="1" t="n">
        <v>45713</v>
      </c>
      <c r="D2049" t="inlineStr">
        <is>
          <t>VÄSTERNORRLANDS LÄN</t>
        </is>
      </c>
      <c r="E2049" t="inlineStr">
        <is>
          <t>ÅNGE</t>
        </is>
      </c>
      <c r="F2049" t="inlineStr">
        <is>
          <t>Kyrkan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36321-2024</t>
        </is>
      </c>
      <c r="B2050" s="1" t="n">
        <v>45534</v>
      </c>
      <c r="C2050" s="1" t="n">
        <v>45713</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36342-2024</t>
        </is>
      </c>
      <c r="B2051" s="1" t="n">
        <v>45534</v>
      </c>
      <c r="C2051" s="1" t="n">
        <v>45713</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36466-2024</t>
        </is>
      </c>
      <c r="B2052" s="1" t="n">
        <v>45537</v>
      </c>
      <c r="C2052" s="1" t="n">
        <v>45713</v>
      </c>
      <c r="D2052" t="inlineStr">
        <is>
          <t>VÄSTERNORRLANDS LÄN</t>
        </is>
      </c>
      <c r="E2052" t="inlineStr">
        <is>
          <t>ÅNGE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36468-2024</t>
        </is>
      </c>
      <c r="B2053" s="1" t="n">
        <v>45537</v>
      </c>
      <c r="C2053" s="1" t="n">
        <v>45713</v>
      </c>
      <c r="D2053" t="inlineStr">
        <is>
          <t>VÄSTERNORRLANDS LÄN</t>
        </is>
      </c>
      <c r="E2053" t="inlineStr">
        <is>
          <t>ÅNGE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36786-2024</t>
        </is>
      </c>
      <c r="B2054" s="1" t="n">
        <v>45538</v>
      </c>
      <c r="C2054" s="1" t="n">
        <v>45713</v>
      </c>
      <c r="D2054" t="inlineStr">
        <is>
          <t>VÄSTERNORRLANDS LÄN</t>
        </is>
      </c>
      <c r="E2054" t="inlineStr">
        <is>
          <t>ÅNGE</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36787-2024</t>
        </is>
      </c>
      <c r="B2055" s="1" t="n">
        <v>45538</v>
      </c>
      <c r="C2055" s="1" t="n">
        <v>45713</v>
      </c>
      <c r="D2055" t="inlineStr">
        <is>
          <t>VÄSTERNORRLANDS LÄN</t>
        </is>
      </c>
      <c r="E2055" t="inlineStr">
        <is>
          <t>ÅNGE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36877-2024</t>
        </is>
      </c>
      <c r="B2056" s="1" t="n">
        <v>45538</v>
      </c>
      <c r="C2056" s="1" t="n">
        <v>45713</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36876-2024</t>
        </is>
      </c>
      <c r="B2057" s="1" t="n">
        <v>45538</v>
      </c>
      <c r="C2057" s="1" t="n">
        <v>45713</v>
      </c>
      <c r="D2057" t="inlineStr">
        <is>
          <t>VÄSTERNORRLANDS LÄN</t>
        </is>
      </c>
      <c r="E2057" t="inlineStr">
        <is>
          <t>ÅNGE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36875-2024</t>
        </is>
      </c>
      <c r="B2058" s="1" t="n">
        <v>45538</v>
      </c>
      <c r="C2058" s="1" t="n">
        <v>45713</v>
      </c>
      <c r="D2058" t="inlineStr">
        <is>
          <t>VÄSTERNORRLANDS LÄN</t>
        </is>
      </c>
      <c r="E2058" t="inlineStr">
        <is>
          <t>ÅNGE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37000-2024</t>
        </is>
      </c>
      <c r="B2059" s="1" t="n">
        <v>45539</v>
      </c>
      <c r="C2059" s="1" t="n">
        <v>45713</v>
      </c>
      <c r="D2059" t="inlineStr">
        <is>
          <t>VÄSTERNORRLANDS LÄN</t>
        </is>
      </c>
      <c r="E2059" t="inlineStr">
        <is>
          <t>ÅNGE</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37009-2024</t>
        </is>
      </c>
      <c r="B2060" s="1" t="n">
        <v>45539</v>
      </c>
      <c r="C2060" s="1" t="n">
        <v>45713</v>
      </c>
      <c r="D2060" t="inlineStr">
        <is>
          <t>VÄSTERNORRLANDS LÄN</t>
        </is>
      </c>
      <c r="E2060" t="inlineStr">
        <is>
          <t>ÅNGE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37038-2024</t>
        </is>
      </c>
      <c r="B2061" s="1" t="n">
        <v>45539</v>
      </c>
      <c r="C2061" s="1" t="n">
        <v>45713</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37010-2024</t>
        </is>
      </c>
      <c r="B2062" s="1" t="n">
        <v>45539</v>
      </c>
      <c r="C2062" s="1" t="n">
        <v>45713</v>
      </c>
      <c r="D2062" t="inlineStr">
        <is>
          <t>VÄSTERNORRLANDS LÄN</t>
        </is>
      </c>
      <c r="E2062" t="inlineStr">
        <is>
          <t>ÅNGE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36999-2024</t>
        </is>
      </c>
      <c r="B2063" s="1" t="n">
        <v>45539</v>
      </c>
      <c r="C2063" s="1" t="n">
        <v>45713</v>
      </c>
      <c r="D2063" t="inlineStr">
        <is>
          <t>VÄSTERNORRLANDS LÄN</t>
        </is>
      </c>
      <c r="E2063" t="inlineStr">
        <is>
          <t>ÅNGE</t>
        </is>
      </c>
      <c r="F2063" t="inlineStr">
        <is>
          <t>SCA</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37540-2024</t>
        </is>
      </c>
      <c r="B2064" s="1" t="n">
        <v>45541</v>
      </c>
      <c r="C2064" s="1" t="n">
        <v>45713</v>
      </c>
      <c r="D2064" t="inlineStr">
        <is>
          <t>VÄSTERNORRLANDS LÄN</t>
        </is>
      </c>
      <c r="E2064" t="inlineStr">
        <is>
          <t>ÅNGE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37577-2024</t>
        </is>
      </c>
      <c r="B2065" s="1" t="n">
        <v>45541</v>
      </c>
      <c r="C2065" s="1" t="n">
        <v>45713</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37992-2024</t>
        </is>
      </c>
      <c r="B2066" s="1" t="n">
        <v>45544</v>
      </c>
      <c r="C2066" s="1" t="n">
        <v>45713</v>
      </c>
      <c r="D2066" t="inlineStr">
        <is>
          <t>VÄSTERNORRLANDS LÄN</t>
        </is>
      </c>
      <c r="E2066" t="inlineStr">
        <is>
          <t>ÅNGE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37991-2024</t>
        </is>
      </c>
      <c r="B2067" s="1" t="n">
        <v>45544</v>
      </c>
      <c r="C2067" s="1" t="n">
        <v>45713</v>
      </c>
      <c r="D2067" t="inlineStr">
        <is>
          <t>VÄSTERNORRLANDS LÄN</t>
        </is>
      </c>
      <c r="E2067" t="inlineStr">
        <is>
          <t>ÅNGE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38002-2024</t>
        </is>
      </c>
      <c r="B2068" s="1" t="n">
        <v>45544</v>
      </c>
      <c r="C2068" s="1" t="n">
        <v>45713</v>
      </c>
      <c r="D2068" t="inlineStr">
        <is>
          <t>VÄSTERNORRLANDS LÄN</t>
        </is>
      </c>
      <c r="E2068" t="inlineStr">
        <is>
          <t>ÅNGE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38099-2024</t>
        </is>
      </c>
      <c r="B2069" s="1" t="n">
        <v>45545</v>
      </c>
      <c r="C2069" s="1" t="n">
        <v>45713</v>
      </c>
      <c r="D2069" t="inlineStr">
        <is>
          <t>VÄSTERNORRLANDS LÄN</t>
        </is>
      </c>
      <c r="E2069" t="inlineStr">
        <is>
          <t>ÅNGE</t>
        </is>
      </c>
      <c r="F2069" t="inlineStr">
        <is>
          <t>Holmen skog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38246-2024</t>
        </is>
      </c>
      <c r="B2070" s="1" t="n">
        <v>45545</v>
      </c>
      <c r="C2070" s="1" t="n">
        <v>45713</v>
      </c>
      <c r="D2070" t="inlineStr">
        <is>
          <t>VÄSTERNORRLANDS LÄN</t>
        </is>
      </c>
      <c r="E2070" t="inlineStr">
        <is>
          <t>ÅNGE</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38262-2024</t>
        </is>
      </c>
      <c r="B2071" s="1" t="n">
        <v>45545</v>
      </c>
      <c r="C2071" s="1" t="n">
        <v>45713</v>
      </c>
      <c r="D2071" t="inlineStr">
        <is>
          <t>VÄSTERNORRLANDS LÄN</t>
        </is>
      </c>
      <c r="E2071" t="inlineStr">
        <is>
          <t>ÅNGE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38272-2024</t>
        </is>
      </c>
      <c r="B2072" s="1" t="n">
        <v>45545</v>
      </c>
      <c r="C2072" s="1" t="n">
        <v>45713</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38510-2024</t>
        </is>
      </c>
      <c r="B2073" s="1" t="n">
        <v>45546</v>
      </c>
      <c r="C2073" s="1" t="n">
        <v>45713</v>
      </c>
      <c r="D2073" t="inlineStr">
        <is>
          <t>VÄSTERNORRLANDS LÄN</t>
        </is>
      </c>
      <c r="E2073" t="inlineStr">
        <is>
          <t>ÅNGE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38403-2024</t>
        </is>
      </c>
      <c r="B2074" s="1" t="n">
        <v>45546</v>
      </c>
      <c r="C2074" s="1" t="n">
        <v>45713</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38604-2024</t>
        </is>
      </c>
      <c r="B2075" s="1" t="n">
        <v>45546</v>
      </c>
      <c r="C2075" s="1" t="n">
        <v>45713</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38607-2024</t>
        </is>
      </c>
      <c r="B2076" s="1" t="n">
        <v>45546</v>
      </c>
      <c r="C2076" s="1" t="n">
        <v>45713</v>
      </c>
      <c r="D2076" t="inlineStr">
        <is>
          <t>VÄSTERNORRLANDS LÄN</t>
        </is>
      </c>
      <c r="E2076" t="inlineStr">
        <is>
          <t>ÅNGE</t>
        </is>
      </c>
      <c r="F2076" t="inlineStr">
        <is>
          <t>SCA</t>
        </is>
      </c>
      <c r="G2076" t="n">
        <v>1.5</v>
      </c>
      <c r="H2076" t="n">
        <v>0</v>
      </c>
      <c r="I2076" t="n">
        <v>0</v>
      </c>
      <c r="J2076" t="n">
        <v>0</v>
      </c>
      <c r="K2076" t="n">
        <v>0</v>
      </c>
      <c r="L2076" t="n">
        <v>0</v>
      </c>
      <c r="M2076" t="n">
        <v>0</v>
      </c>
      <c r="N2076" t="n">
        <v>0</v>
      </c>
      <c r="O2076" t="n">
        <v>0</v>
      </c>
      <c r="P2076" t="n">
        <v>0</v>
      </c>
      <c r="Q2076" t="n">
        <v>0</v>
      </c>
      <c r="R2076" s="2" t="inlineStr"/>
      <c r="U2076">
        <f>HYPERLINK("https://klasma.github.io/Logging_2260/knärot/A 38607-2024 karta knärot.png", "A 38607-2024")</f>
        <v/>
      </c>
      <c r="V2076">
        <f>HYPERLINK("https://klasma.github.io/Logging_2260/klagomål/A 38607-2024 FSC-klagomål.docx", "A 38607-2024")</f>
        <v/>
      </c>
      <c r="W2076">
        <f>HYPERLINK("https://klasma.github.io/Logging_2260/klagomålsmail/A 38607-2024 FSC-klagomål mail.docx", "A 38607-2024")</f>
        <v/>
      </c>
      <c r="X2076">
        <f>HYPERLINK("https://klasma.github.io/Logging_2260/tillsyn/A 38607-2024 tillsynsbegäran.docx", "A 38607-2024")</f>
        <v/>
      </c>
      <c r="Y2076">
        <f>HYPERLINK("https://klasma.github.io/Logging_2260/tillsynsmail/A 38607-2024 tillsynsbegäran mail.docx", "A 38607-2024")</f>
        <v/>
      </c>
    </row>
    <row r="2077" ht="15" customHeight="1">
      <c r="A2077" t="inlineStr">
        <is>
          <t>A 38688-2024</t>
        </is>
      </c>
      <c r="B2077" s="1" t="n">
        <v>45547</v>
      </c>
      <c r="C2077" s="1" t="n">
        <v>45713</v>
      </c>
      <c r="D2077" t="inlineStr">
        <is>
          <t>VÄSTERNORRLANDS LÄN</t>
        </is>
      </c>
      <c r="E2077" t="inlineStr">
        <is>
          <t>ÅNGE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38800-2024</t>
        </is>
      </c>
      <c r="B2078" s="1" t="n">
        <v>45547</v>
      </c>
      <c r="C2078" s="1" t="n">
        <v>45713</v>
      </c>
      <c r="D2078" t="inlineStr">
        <is>
          <t>VÄSTERNORRLANDS LÄN</t>
        </is>
      </c>
      <c r="E2078" t="inlineStr">
        <is>
          <t>ÅNGE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38990-2024</t>
        </is>
      </c>
      <c r="B2079" s="1" t="n">
        <v>45548</v>
      </c>
      <c r="C2079" s="1" t="n">
        <v>45713</v>
      </c>
      <c r="D2079" t="inlineStr">
        <is>
          <t>VÄSTERNORRLANDS LÄN</t>
        </is>
      </c>
      <c r="E2079" t="inlineStr">
        <is>
          <t>ÅNGE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39005-2024</t>
        </is>
      </c>
      <c r="B2080" s="1" t="n">
        <v>45548</v>
      </c>
      <c r="C2080" s="1" t="n">
        <v>45713</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39021-2024</t>
        </is>
      </c>
      <c r="B2081" s="1" t="n">
        <v>45548</v>
      </c>
      <c r="C2081" s="1" t="n">
        <v>45713</v>
      </c>
      <c r="D2081" t="inlineStr">
        <is>
          <t>VÄSTERNORRLANDS LÄN</t>
        </is>
      </c>
      <c r="E2081" t="inlineStr">
        <is>
          <t>ÅNGE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39119-2024</t>
        </is>
      </c>
      <c r="B2082" s="1" t="n">
        <v>45548</v>
      </c>
      <c r="C2082" s="1" t="n">
        <v>45713</v>
      </c>
      <c r="D2082" t="inlineStr">
        <is>
          <t>VÄSTERNORRLANDS LÄN</t>
        </is>
      </c>
      <c r="E2082" t="inlineStr">
        <is>
          <t>ÅNGE</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39174-2024</t>
        </is>
      </c>
      <c r="B2083" s="1" t="n">
        <v>45548</v>
      </c>
      <c r="C2083" s="1" t="n">
        <v>45713</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39178-2024</t>
        </is>
      </c>
      <c r="B2084" s="1" t="n">
        <v>45548</v>
      </c>
      <c r="C2084" s="1" t="n">
        <v>45713</v>
      </c>
      <c r="D2084" t="inlineStr">
        <is>
          <t>VÄSTERNORRLANDS LÄN</t>
        </is>
      </c>
      <c r="E2084" t="inlineStr">
        <is>
          <t>ÅNGE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39603-2024</t>
        </is>
      </c>
      <c r="B2085" s="1" t="n">
        <v>45552</v>
      </c>
      <c r="C2085" s="1" t="n">
        <v>45713</v>
      </c>
      <c r="D2085" t="inlineStr">
        <is>
          <t>VÄSTERNORRLANDS LÄN</t>
        </is>
      </c>
      <c r="E2085" t="inlineStr">
        <is>
          <t>ÅNGE</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39619-2024</t>
        </is>
      </c>
      <c r="B2086" s="1" t="n">
        <v>45552</v>
      </c>
      <c r="C2086" s="1" t="n">
        <v>45713</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39707-2024</t>
        </is>
      </c>
      <c r="B2087" s="1" t="n">
        <v>45552</v>
      </c>
      <c r="C2087" s="1" t="n">
        <v>45713</v>
      </c>
      <c r="D2087" t="inlineStr">
        <is>
          <t>VÄSTERNORRLANDS LÄN</t>
        </is>
      </c>
      <c r="E2087" t="inlineStr">
        <is>
          <t>ÅNGE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39682-2024</t>
        </is>
      </c>
      <c r="B2088" s="1" t="n">
        <v>45552</v>
      </c>
      <c r="C2088" s="1" t="n">
        <v>45713</v>
      </c>
      <c r="D2088" t="inlineStr">
        <is>
          <t>VÄSTERNORRLANDS LÄN</t>
        </is>
      </c>
      <c r="E2088" t="inlineStr">
        <is>
          <t>ÅNGE</t>
        </is>
      </c>
      <c r="G2088" t="n">
        <v>35.4</v>
      </c>
      <c r="H2088" t="n">
        <v>0</v>
      </c>
      <c r="I2088" t="n">
        <v>0</v>
      </c>
      <c r="J2088" t="n">
        <v>0</v>
      </c>
      <c r="K2088" t="n">
        <v>0</v>
      </c>
      <c r="L2088" t="n">
        <v>0</v>
      </c>
      <c r="M2088" t="n">
        <v>0</v>
      </c>
      <c r="N2088" t="n">
        <v>0</v>
      </c>
      <c r="O2088" t="n">
        <v>0</v>
      </c>
      <c r="P2088" t="n">
        <v>0</v>
      </c>
      <c r="Q2088" t="n">
        <v>0</v>
      </c>
      <c r="R2088" s="2" t="inlineStr"/>
    </row>
    <row r="2089" ht="15" customHeight="1">
      <c r="A2089" t="inlineStr">
        <is>
          <t>A 39764-2024</t>
        </is>
      </c>
      <c r="B2089" s="1" t="n">
        <v>45552</v>
      </c>
      <c r="C2089" s="1" t="n">
        <v>45713</v>
      </c>
      <c r="D2089" t="inlineStr">
        <is>
          <t>VÄSTERNORRLANDS LÄN</t>
        </is>
      </c>
      <c r="E2089" t="inlineStr">
        <is>
          <t>ÅNGE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40428-2024</t>
        </is>
      </c>
      <c r="B2090" s="1" t="n">
        <v>45555</v>
      </c>
      <c r="C2090" s="1" t="n">
        <v>45713</v>
      </c>
      <c r="D2090" t="inlineStr">
        <is>
          <t>VÄSTERNORRLANDS LÄN</t>
        </is>
      </c>
      <c r="E2090" t="inlineStr">
        <is>
          <t>ÅNGE</t>
        </is>
      </c>
      <c r="F2090" t="inlineStr">
        <is>
          <t>SCA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40656-2024</t>
        </is>
      </c>
      <c r="B2091" s="1" t="n">
        <v>45558</v>
      </c>
      <c r="C2091" s="1" t="n">
        <v>45713</v>
      </c>
      <c r="D2091" t="inlineStr">
        <is>
          <t>VÄSTERNORRLANDS LÄN</t>
        </is>
      </c>
      <c r="E2091" t="inlineStr">
        <is>
          <t>ÅNGE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40788-2024</t>
        </is>
      </c>
      <c r="B2092" s="1" t="n">
        <v>45558</v>
      </c>
      <c r="C2092" s="1" t="n">
        <v>45713</v>
      </c>
      <c r="D2092" t="inlineStr">
        <is>
          <t>VÄSTERNORRLANDS LÄN</t>
        </is>
      </c>
      <c r="E2092" t="inlineStr">
        <is>
          <t>ÅNGE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40803-2024</t>
        </is>
      </c>
      <c r="B2093" s="1" t="n">
        <v>45558</v>
      </c>
      <c r="C2093" s="1" t="n">
        <v>45713</v>
      </c>
      <c r="D2093" t="inlineStr">
        <is>
          <t>VÄSTERNORRLANDS LÄN</t>
        </is>
      </c>
      <c r="E2093" t="inlineStr">
        <is>
          <t>ÅNGE</t>
        </is>
      </c>
      <c r="F2093" t="inlineStr">
        <is>
          <t>SCA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40802-2024</t>
        </is>
      </c>
      <c r="B2094" s="1" t="n">
        <v>45558</v>
      </c>
      <c r="C2094" s="1" t="n">
        <v>45713</v>
      </c>
      <c r="D2094" t="inlineStr">
        <is>
          <t>VÄSTERNORRLANDS LÄN</t>
        </is>
      </c>
      <c r="E2094" t="inlineStr">
        <is>
          <t>ÅNGE</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41083-2024</t>
        </is>
      </c>
      <c r="B2095" s="1" t="n">
        <v>45559</v>
      </c>
      <c r="C2095" s="1" t="n">
        <v>45713</v>
      </c>
      <c r="D2095" t="inlineStr">
        <is>
          <t>VÄSTERNORRLANDS LÄN</t>
        </is>
      </c>
      <c r="E2095" t="inlineStr">
        <is>
          <t>ÅNGE</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41153-2024</t>
        </is>
      </c>
      <c r="B2096" s="1" t="n">
        <v>45559</v>
      </c>
      <c r="C2096" s="1" t="n">
        <v>45713</v>
      </c>
      <c r="D2096" t="inlineStr">
        <is>
          <t>VÄSTERNORRLANDS LÄN</t>
        </is>
      </c>
      <c r="E2096" t="inlineStr">
        <is>
          <t>ÅNGE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41284-2024</t>
        </is>
      </c>
      <c r="B2097" s="1" t="n">
        <v>45559</v>
      </c>
      <c r="C2097" s="1" t="n">
        <v>45713</v>
      </c>
      <c r="D2097" t="inlineStr">
        <is>
          <t>VÄSTERNORRLANDS LÄN</t>
        </is>
      </c>
      <c r="E2097" t="inlineStr">
        <is>
          <t>ÅNGE</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41222-2024</t>
        </is>
      </c>
      <c r="B2098" s="1" t="n">
        <v>45559</v>
      </c>
      <c r="C2098" s="1" t="n">
        <v>45713</v>
      </c>
      <c r="D2098" t="inlineStr">
        <is>
          <t>VÄSTERNORRLANDS LÄN</t>
        </is>
      </c>
      <c r="E2098" t="inlineStr">
        <is>
          <t>ÅNGE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41355-2024</t>
        </is>
      </c>
      <c r="B2099" s="1" t="n">
        <v>45559</v>
      </c>
      <c r="C2099" s="1" t="n">
        <v>45713</v>
      </c>
      <c r="D2099" t="inlineStr">
        <is>
          <t>VÄSTERNORRLANDS LÄN</t>
        </is>
      </c>
      <c r="E2099" t="inlineStr">
        <is>
          <t>ÅNGE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41302-2024</t>
        </is>
      </c>
      <c r="B2100" s="1" t="n">
        <v>45559</v>
      </c>
      <c r="C2100" s="1" t="n">
        <v>45713</v>
      </c>
      <c r="D2100" t="inlineStr">
        <is>
          <t>VÄSTERNORRLANDS LÄN</t>
        </is>
      </c>
      <c r="E2100" t="inlineStr">
        <is>
          <t>ÅNGE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41586-2024</t>
        </is>
      </c>
      <c r="B2101" s="1" t="n">
        <v>45560</v>
      </c>
      <c r="C2101" s="1" t="n">
        <v>45713</v>
      </c>
      <c r="D2101" t="inlineStr">
        <is>
          <t>VÄSTERNORRLANDS LÄN</t>
        </is>
      </c>
      <c r="E2101" t="inlineStr">
        <is>
          <t>ÅNGE</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41564-2024</t>
        </is>
      </c>
      <c r="B2102" s="1" t="n">
        <v>45560</v>
      </c>
      <c r="C2102" s="1" t="n">
        <v>45713</v>
      </c>
      <c r="D2102" t="inlineStr">
        <is>
          <t>VÄSTERNORRLANDS LÄN</t>
        </is>
      </c>
      <c r="E2102" t="inlineStr">
        <is>
          <t>ÅNGE</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41507-2024</t>
        </is>
      </c>
      <c r="B2103" s="1" t="n">
        <v>45560</v>
      </c>
      <c r="C2103" s="1" t="n">
        <v>45713</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41575-2024</t>
        </is>
      </c>
      <c r="B2104" s="1" t="n">
        <v>45560</v>
      </c>
      <c r="C2104" s="1" t="n">
        <v>45713</v>
      </c>
      <c r="D2104" t="inlineStr">
        <is>
          <t>VÄSTERNORRLANDS LÄN</t>
        </is>
      </c>
      <c r="E2104" t="inlineStr">
        <is>
          <t>ÅNGE</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41781-2024</t>
        </is>
      </c>
      <c r="B2105" s="1" t="n">
        <v>45561</v>
      </c>
      <c r="C2105" s="1" t="n">
        <v>45713</v>
      </c>
      <c r="D2105" t="inlineStr">
        <is>
          <t>VÄSTERNORRLANDS LÄN</t>
        </is>
      </c>
      <c r="E2105" t="inlineStr">
        <is>
          <t>ÅNGE</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41758-2024</t>
        </is>
      </c>
      <c r="B2106" s="1" t="n">
        <v>45561</v>
      </c>
      <c r="C2106" s="1" t="n">
        <v>45713</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41766-2024</t>
        </is>
      </c>
      <c r="B2107" s="1" t="n">
        <v>45561</v>
      </c>
      <c r="C2107" s="1" t="n">
        <v>45713</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42046-2024</t>
        </is>
      </c>
      <c r="B2108" s="1" t="n">
        <v>45561</v>
      </c>
      <c r="C2108" s="1" t="n">
        <v>45713</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42043-2024</t>
        </is>
      </c>
      <c r="B2109" s="1" t="n">
        <v>45561</v>
      </c>
      <c r="C2109" s="1" t="n">
        <v>45713</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41764-2024</t>
        </is>
      </c>
      <c r="B2110" s="1" t="n">
        <v>45561</v>
      </c>
      <c r="C2110" s="1" t="n">
        <v>45713</v>
      </c>
      <c r="D2110" t="inlineStr">
        <is>
          <t>VÄSTERNORRLANDS LÄN</t>
        </is>
      </c>
      <c r="E2110" t="inlineStr">
        <is>
          <t>ÅNGE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42004-2024</t>
        </is>
      </c>
      <c r="B2111" s="1" t="n">
        <v>45561</v>
      </c>
      <c r="C2111" s="1" t="n">
        <v>45713</v>
      </c>
      <c r="D2111" t="inlineStr">
        <is>
          <t>VÄSTERNORRLANDS LÄN</t>
        </is>
      </c>
      <c r="E2111" t="inlineStr">
        <is>
          <t>ÅNGE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42040-2024</t>
        </is>
      </c>
      <c r="B2112" s="1" t="n">
        <v>45561</v>
      </c>
      <c r="C2112" s="1" t="n">
        <v>45713</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42044-2024</t>
        </is>
      </c>
      <c r="B2113" s="1" t="n">
        <v>45561</v>
      </c>
      <c r="C2113" s="1" t="n">
        <v>45713</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42090-2024</t>
        </is>
      </c>
      <c r="B2114" s="1" t="n">
        <v>45562</v>
      </c>
      <c r="C2114" s="1" t="n">
        <v>45713</v>
      </c>
      <c r="D2114" t="inlineStr">
        <is>
          <t>VÄSTERNORRLANDS LÄN</t>
        </is>
      </c>
      <c r="E2114" t="inlineStr">
        <is>
          <t>ÅNGE</t>
        </is>
      </c>
      <c r="F2114" t="inlineStr">
        <is>
          <t>SCA</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42098-2024</t>
        </is>
      </c>
      <c r="B2115" s="1" t="n">
        <v>45562</v>
      </c>
      <c r="C2115" s="1" t="n">
        <v>45713</v>
      </c>
      <c r="D2115" t="inlineStr">
        <is>
          <t>VÄSTERNORRLANDS LÄN</t>
        </is>
      </c>
      <c r="E2115" t="inlineStr">
        <is>
          <t>ÅNGE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42529-2024</t>
        </is>
      </c>
      <c r="B2116" s="1" t="n">
        <v>45565</v>
      </c>
      <c r="C2116" s="1" t="n">
        <v>45713</v>
      </c>
      <c r="D2116" t="inlineStr">
        <is>
          <t>VÄSTERNORRLANDS LÄN</t>
        </is>
      </c>
      <c r="E2116" t="inlineStr">
        <is>
          <t>ÅNGE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42488-2024</t>
        </is>
      </c>
      <c r="B2117" s="1" t="n">
        <v>45565</v>
      </c>
      <c r="C2117" s="1" t="n">
        <v>45713</v>
      </c>
      <c r="D2117" t="inlineStr">
        <is>
          <t>VÄSTERNORRLANDS LÄN</t>
        </is>
      </c>
      <c r="E2117" t="inlineStr">
        <is>
          <t>ÅNGE</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42881-2024</t>
        </is>
      </c>
      <c r="B2118" s="1" t="n">
        <v>45566</v>
      </c>
      <c r="C2118" s="1" t="n">
        <v>45713</v>
      </c>
      <c r="D2118" t="inlineStr">
        <is>
          <t>VÄSTERNORRLANDS LÄN</t>
        </is>
      </c>
      <c r="E2118" t="inlineStr">
        <is>
          <t>ÅNGE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42880-2024</t>
        </is>
      </c>
      <c r="B2119" s="1" t="n">
        <v>45566</v>
      </c>
      <c r="C2119" s="1" t="n">
        <v>45713</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42948-2024</t>
        </is>
      </c>
      <c r="B2120" s="1" t="n">
        <v>45567</v>
      </c>
      <c r="C2120" s="1" t="n">
        <v>45713</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43139-2024</t>
        </is>
      </c>
      <c r="B2121" s="1" t="n">
        <v>45567</v>
      </c>
      <c r="C2121" s="1" t="n">
        <v>45713</v>
      </c>
      <c r="D2121" t="inlineStr">
        <is>
          <t>VÄSTERNORRLANDS LÄN</t>
        </is>
      </c>
      <c r="E2121" t="inlineStr">
        <is>
          <t>ÅNGE</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43190-2024</t>
        </is>
      </c>
      <c r="B2122" s="1" t="n">
        <v>45567</v>
      </c>
      <c r="C2122" s="1" t="n">
        <v>45713</v>
      </c>
      <c r="D2122" t="inlineStr">
        <is>
          <t>VÄSTERNORRLANDS LÄN</t>
        </is>
      </c>
      <c r="E2122" t="inlineStr">
        <is>
          <t>ÅNGE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42968-2024</t>
        </is>
      </c>
      <c r="B2123" s="1" t="n">
        <v>45567</v>
      </c>
      <c r="C2123" s="1" t="n">
        <v>45713</v>
      </c>
      <c r="D2123" t="inlineStr">
        <is>
          <t>VÄSTERNORRLANDS LÄN</t>
        </is>
      </c>
      <c r="E2123" t="inlineStr">
        <is>
          <t>ÅNGE</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42969-2024</t>
        </is>
      </c>
      <c r="B2124" s="1" t="n">
        <v>45567</v>
      </c>
      <c r="C2124" s="1" t="n">
        <v>45713</v>
      </c>
      <c r="D2124" t="inlineStr">
        <is>
          <t>VÄSTERNORRLANDS LÄN</t>
        </is>
      </c>
      <c r="E2124" t="inlineStr">
        <is>
          <t>ÅNGE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42953-2024</t>
        </is>
      </c>
      <c r="B2125" s="1" t="n">
        <v>45567</v>
      </c>
      <c r="C2125" s="1" t="n">
        <v>45713</v>
      </c>
      <c r="D2125" t="inlineStr">
        <is>
          <t>VÄSTERNORRLANDS LÄN</t>
        </is>
      </c>
      <c r="E2125" t="inlineStr">
        <is>
          <t>ÅNGE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43145-2024</t>
        </is>
      </c>
      <c r="B2126" s="1" t="n">
        <v>45567</v>
      </c>
      <c r="C2126" s="1" t="n">
        <v>45713</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42999-2024</t>
        </is>
      </c>
      <c r="B2127" s="1" t="n">
        <v>45567</v>
      </c>
      <c r="C2127" s="1" t="n">
        <v>45713</v>
      </c>
      <c r="D2127" t="inlineStr">
        <is>
          <t>VÄSTERNORRLANDS LÄN</t>
        </is>
      </c>
      <c r="E2127" t="inlineStr">
        <is>
          <t>ÅNGE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43184-2024</t>
        </is>
      </c>
      <c r="B2128" s="1" t="n">
        <v>45567</v>
      </c>
      <c r="C2128" s="1" t="n">
        <v>45713</v>
      </c>
      <c r="D2128" t="inlineStr">
        <is>
          <t>VÄSTERNORRLANDS LÄN</t>
        </is>
      </c>
      <c r="E2128" t="inlineStr">
        <is>
          <t>ÅNGE</t>
        </is>
      </c>
      <c r="G2128" t="n">
        <v>15.3</v>
      </c>
      <c r="H2128" t="n">
        <v>0</v>
      </c>
      <c r="I2128" t="n">
        <v>0</v>
      </c>
      <c r="J2128" t="n">
        <v>0</v>
      </c>
      <c r="K2128" t="n">
        <v>0</v>
      </c>
      <c r="L2128" t="n">
        <v>0</v>
      </c>
      <c r="M2128" t="n">
        <v>0</v>
      </c>
      <c r="N2128" t="n">
        <v>0</v>
      </c>
      <c r="O2128" t="n">
        <v>0</v>
      </c>
      <c r="P2128" t="n">
        <v>0</v>
      </c>
      <c r="Q2128" t="n">
        <v>0</v>
      </c>
      <c r="R2128" s="2" t="inlineStr"/>
    </row>
    <row r="2129" ht="15" customHeight="1">
      <c r="A2129" t="inlineStr">
        <is>
          <t>A 42958-2024</t>
        </is>
      </c>
      <c r="B2129" s="1" t="n">
        <v>45567</v>
      </c>
      <c r="C2129" s="1" t="n">
        <v>45713</v>
      </c>
      <c r="D2129" t="inlineStr">
        <is>
          <t>VÄSTERNORRLANDS LÄN</t>
        </is>
      </c>
      <c r="E2129" t="inlineStr">
        <is>
          <t>ÅNGE</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43343-2024</t>
        </is>
      </c>
      <c r="B2130" s="1" t="n">
        <v>45568</v>
      </c>
      <c r="C2130" s="1" t="n">
        <v>45713</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43366-2024</t>
        </is>
      </c>
      <c r="B2131" s="1" t="n">
        <v>45568</v>
      </c>
      <c r="C2131" s="1" t="n">
        <v>45713</v>
      </c>
      <c r="D2131" t="inlineStr">
        <is>
          <t>VÄSTERNORRLANDS LÄN</t>
        </is>
      </c>
      <c r="E2131" t="inlineStr">
        <is>
          <t>ÅNGE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43970-2024</t>
        </is>
      </c>
      <c r="B2132" s="1" t="n">
        <v>45571</v>
      </c>
      <c r="C2132" s="1" t="n">
        <v>45713</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43842-2024</t>
        </is>
      </c>
      <c r="B2133" s="1" t="n">
        <v>45572</v>
      </c>
      <c r="C2133" s="1" t="n">
        <v>45713</v>
      </c>
      <c r="D2133" t="inlineStr">
        <is>
          <t>VÄSTERNORRLANDS LÄN</t>
        </is>
      </c>
      <c r="E2133" t="inlineStr">
        <is>
          <t>ÅNGE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44158-2024</t>
        </is>
      </c>
      <c r="B2134" s="1" t="n">
        <v>45572</v>
      </c>
      <c r="C2134" s="1" t="n">
        <v>45713</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44389-2024</t>
        </is>
      </c>
      <c r="B2135" s="1" t="n">
        <v>45573</v>
      </c>
      <c r="C2135" s="1" t="n">
        <v>45713</v>
      </c>
      <c r="D2135" t="inlineStr">
        <is>
          <t>VÄSTERNORRLANDS LÄN</t>
        </is>
      </c>
      <c r="E2135" t="inlineStr">
        <is>
          <t>ÅNGE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44386-2024</t>
        </is>
      </c>
      <c r="B2136" s="1" t="n">
        <v>45573</v>
      </c>
      <c r="C2136" s="1" t="n">
        <v>45713</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44512-2024</t>
        </is>
      </c>
      <c r="B2137" s="1" t="n">
        <v>45574</v>
      </c>
      <c r="C2137" s="1" t="n">
        <v>45713</v>
      </c>
      <c r="D2137" t="inlineStr">
        <is>
          <t>VÄSTERNORRLANDS LÄN</t>
        </is>
      </c>
      <c r="E2137" t="inlineStr">
        <is>
          <t>ÅNGE</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44611-2024</t>
        </is>
      </c>
      <c r="B2138" s="1" t="n">
        <v>45574</v>
      </c>
      <c r="C2138" s="1" t="n">
        <v>45713</v>
      </c>
      <c r="D2138" t="inlineStr">
        <is>
          <t>VÄSTERNORRLANDS LÄN</t>
        </is>
      </c>
      <c r="E2138" t="inlineStr">
        <is>
          <t>ÅNGE</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44636-2024</t>
        </is>
      </c>
      <c r="B2139" s="1" t="n">
        <v>45574</v>
      </c>
      <c r="C2139" s="1" t="n">
        <v>45713</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44606-2024</t>
        </is>
      </c>
      <c r="B2140" s="1" t="n">
        <v>45574</v>
      </c>
      <c r="C2140" s="1" t="n">
        <v>45713</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44626-2024</t>
        </is>
      </c>
      <c r="B2141" s="1" t="n">
        <v>45574</v>
      </c>
      <c r="C2141" s="1" t="n">
        <v>45713</v>
      </c>
      <c r="D2141" t="inlineStr">
        <is>
          <t>VÄSTERNORRLANDS LÄN</t>
        </is>
      </c>
      <c r="E2141" t="inlineStr">
        <is>
          <t>ÅNGE</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44635-2024</t>
        </is>
      </c>
      <c r="B2142" s="1" t="n">
        <v>45574</v>
      </c>
      <c r="C2142" s="1" t="n">
        <v>45713</v>
      </c>
      <c r="D2142" t="inlineStr">
        <is>
          <t>VÄSTERNORRLANDS LÄN</t>
        </is>
      </c>
      <c r="E2142" t="inlineStr">
        <is>
          <t>ÅNGE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44565-2024</t>
        </is>
      </c>
      <c r="B2143" s="1" t="n">
        <v>45574</v>
      </c>
      <c r="C2143" s="1" t="n">
        <v>45713</v>
      </c>
      <c r="D2143" t="inlineStr">
        <is>
          <t>VÄSTERNORRLANDS LÄN</t>
        </is>
      </c>
      <c r="E2143" t="inlineStr">
        <is>
          <t>ÅNGE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44518-2024</t>
        </is>
      </c>
      <c r="B2144" s="1" t="n">
        <v>45574</v>
      </c>
      <c r="C2144" s="1" t="n">
        <v>45713</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44552-2024</t>
        </is>
      </c>
      <c r="B2145" s="1" t="n">
        <v>45574</v>
      </c>
      <c r="C2145" s="1" t="n">
        <v>45713</v>
      </c>
      <c r="D2145" t="inlineStr">
        <is>
          <t>VÄSTERNORRLANDS LÄN</t>
        </is>
      </c>
      <c r="E2145" t="inlineStr">
        <is>
          <t>ÅNGE</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44568-2024</t>
        </is>
      </c>
      <c r="B2146" s="1" t="n">
        <v>45574</v>
      </c>
      <c r="C2146" s="1" t="n">
        <v>45713</v>
      </c>
      <c r="D2146" t="inlineStr">
        <is>
          <t>VÄSTERNORRLANDS LÄN</t>
        </is>
      </c>
      <c r="E2146" t="inlineStr">
        <is>
          <t>ÅNGE</t>
        </is>
      </c>
      <c r="F2146" t="inlineStr">
        <is>
          <t>SCA</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44600-2024</t>
        </is>
      </c>
      <c r="B2147" s="1" t="n">
        <v>45574</v>
      </c>
      <c r="C2147" s="1" t="n">
        <v>45713</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44604-2024</t>
        </is>
      </c>
      <c r="B2148" s="1" t="n">
        <v>45574</v>
      </c>
      <c r="C2148" s="1" t="n">
        <v>45713</v>
      </c>
      <c r="D2148" t="inlineStr">
        <is>
          <t>VÄSTERNORRLANDS LÄN</t>
        </is>
      </c>
      <c r="E2148" t="inlineStr">
        <is>
          <t>ÅNGE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44876-2024</t>
        </is>
      </c>
      <c r="B2149" s="1" t="n">
        <v>45575</v>
      </c>
      <c r="C2149" s="1" t="n">
        <v>45713</v>
      </c>
      <c r="D2149" t="inlineStr">
        <is>
          <t>VÄSTERNORRLANDS LÄN</t>
        </is>
      </c>
      <c r="E2149" t="inlineStr">
        <is>
          <t>ÅNGE</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45030-2024</t>
        </is>
      </c>
      <c r="B2150" s="1" t="n">
        <v>45575</v>
      </c>
      <c r="C2150" s="1" t="n">
        <v>45713</v>
      </c>
      <c r="D2150" t="inlineStr">
        <is>
          <t>VÄSTERNORRLANDS LÄN</t>
        </is>
      </c>
      <c r="E2150" t="inlineStr">
        <is>
          <t>ÅNGE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45928-2024</t>
        </is>
      </c>
      <c r="B2151" s="1" t="n">
        <v>45580</v>
      </c>
      <c r="C2151" s="1" t="n">
        <v>45713</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45993-2024</t>
        </is>
      </c>
      <c r="B2152" s="1" t="n">
        <v>45580</v>
      </c>
      <c r="C2152" s="1" t="n">
        <v>45713</v>
      </c>
      <c r="D2152" t="inlineStr">
        <is>
          <t>VÄSTERNORRLANDS LÄN</t>
        </is>
      </c>
      <c r="E2152" t="inlineStr">
        <is>
          <t>ÅNGE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46015-2024</t>
        </is>
      </c>
      <c r="B2153" s="1" t="n">
        <v>45580</v>
      </c>
      <c r="C2153" s="1" t="n">
        <v>45713</v>
      </c>
      <c r="D2153" t="inlineStr">
        <is>
          <t>VÄSTERNORRLANDS LÄN</t>
        </is>
      </c>
      <c r="E2153" t="inlineStr">
        <is>
          <t>ÅNGE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46172-2024</t>
        </is>
      </c>
      <c r="B2154" s="1" t="n">
        <v>45581</v>
      </c>
      <c r="C2154" s="1" t="n">
        <v>45713</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46198-2024</t>
        </is>
      </c>
      <c r="B2155" s="1" t="n">
        <v>45581</v>
      </c>
      <c r="C2155" s="1" t="n">
        <v>45713</v>
      </c>
      <c r="D2155" t="inlineStr">
        <is>
          <t>VÄSTERNORRLANDS LÄN</t>
        </is>
      </c>
      <c r="E2155" t="inlineStr">
        <is>
          <t>ÅNGE</t>
        </is>
      </c>
      <c r="F2155" t="inlineStr">
        <is>
          <t>Övriga Aktiebolag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46249-2024</t>
        </is>
      </c>
      <c r="B2156" s="1" t="n">
        <v>45581</v>
      </c>
      <c r="C2156" s="1" t="n">
        <v>45713</v>
      </c>
      <c r="D2156" t="inlineStr">
        <is>
          <t>VÄSTERNORRLANDS LÄN</t>
        </is>
      </c>
      <c r="E2156" t="inlineStr">
        <is>
          <t>ÅNGE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46354-2024</t>
        </is>
      </c>
      <c r="B2157" s="1" t="n">
        <v>45582</v>
      </c>
      <c r="C2157" s="1" t="n">
        <v>45713</v>
      </c>
      <c r="D2157" t="inlineStr">
        <is>
          <t>VÄSTERNORRLANDS LÄN</t>
        </is>
      </c>
      <c r="E2157" t="inlineStr">
        <is>
          <t>ÅNGE</t>
        </is>
      </c>
      <c r="F2157" t="inlineStr">
        <is>
          <t>SCA</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46780-2024</t>
        </is>
      </c>
      <c r="B2158" s="1" t="n">
        <v>45583</v>
      </c>
      <c r="C2158" s="1" t="n">
        <v>45713</v>
      </c>
      <c r="D2158" t="inlineStr">
        <is>
          <t>VÄSTERNORRLANDS LÄN</t>
        </is>
      </c>
      <c r="E2158" t="inlineStr">
        <is>
          <t>ÅNGE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46733-2024</t>
        </is>
      </c>
      <c r="B2159" s="1" t="n">
        <v>45583</v>
      </c>
      <c r="C2159" s="1" t="n">
        <v>45713</v>
      </c>
      <c r="D2159" t="inlineStr">
        <is>
          <t>VÄSTERNORRLANDS LÄN</t>
        </is>
      </c>
      <c r="E2159" t="inlineStr">
        <is>
          <t>ÅNGE</t>
        </is>
      </c>
      <c r="F2159" t="inlineStr">
        <is>
          <t>SCA</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46775-2024</t>
        </is>
      </c>
      <c r="B2160" s="1" t="n">
        <v>45583</v>
      </c>
      <c r="C2160" s="1" t="n">
        <v>45713</v>
      </c>
      <c r="D2160" t="inlineStr">
        <is>
          <t>VÄSTERNORRLANDS LÄN</t>
        </is>
      </c>
      <c r="E2160" t="inlineStr">
        <is>
          <t>ÅNGE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46678-2024</t>
        </is>
      </c>
      <c r="B2161" s="1" t="n">
        <v>45583</v>
      </c>
      <c r="C2161" s="1" t="n">
        <v>45713</v>
      </c>
      <c r="D2161" t="inlineStr">
        <is>
          <t>VÄSTERNORRLANDS LÄN</t>
        </is>
      </c>
      <c r="E2161" t="inlineStr">
        <is>
          <t>ÅNGE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47243-2024</t>
        </is>
      </c>
      <c r="B2162" s="1" t="n">
        <v>45586</v>
      </c>
      <c r="C2162" s="1" t="n">
        <v>45713</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47298-2024</t>
        </is>
      </c>
      <c r="B2163" s="1" t="n">
        <v>45587</v>
      </c>
      <c r="C2163" s="1" t="n">
        <v>45713</v>
      </c>
      <c r="D2163" t="inlineStr">
        <is>
          <t>VÄSTERNORRLANDS LÄN</t>
        </is>
      </c>
      <c r="E2163" t="inlineStr">
        <is>
          <t>ÅNGE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47296-2024</t>
        </is>
      </c>
      <c r="B2164" s="1" t="n">
        <v>45587</v>
      </c>
      <c r="C2164" s="1" t="n">
        <v>45713</v>
      </c>
      <c r="D2164" t="inlineStr">
        <is>
          <t>VÄSTERNORRLANDS LÄN</t>
        </is>
      </c>
      <c r="E2164" t="inlineStr">
        <is>
          <t>ÅNGE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47624-2024</t>
        </is>
      </c>
      <c r="B2165" s="1" t="n">
        <v>45588</v>
      </c>
      <c r="C2165" s="1" t="n">
        <v>45713</v>
      </c>
      <c r="D2165" t="inlineStr">
        <is>
          <t>VÄSTERNORRLANDS LÄN</t>
        </is>
      </c>
      <c r="E2165" t="inlineStr">
        <is>
          <t>ÅNGE</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45713</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45713</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45713</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45713</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45713</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45713</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45713</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45713</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45713</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45713</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45713</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45713</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45713</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45713</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45713</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45713</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45713</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45713</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45713</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45713</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45713</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45713</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45713</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45713</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45713</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45713</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45713</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45713</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45713</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45713</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45713</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45713</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45713</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45713</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45713</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45713</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45713</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45713</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45713</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45713</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45713</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45713</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45713</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45713</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45713</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45713</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45713</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45713</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45713</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45713</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45713</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45713</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45713</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45713</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45713</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45713</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45713</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45713</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45713</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45713</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45713</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45713</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45713</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45713</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45713</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45713</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45713</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45713</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45713</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45713</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45713</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45713</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45713</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45713</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45713</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45713</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45713</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45713</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45713</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45713</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45713</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45713</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45713</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45713</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45713</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45713</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45713</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45713</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45713</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45713</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45713</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45713</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45713</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45713</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45713</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45713</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45713</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45713</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45713</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45713</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45713</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45713</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45713</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45713</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45713</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45713</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45713</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45713</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45713</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45713</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45713</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45713</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45713</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45713</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45713</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45713</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45713</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45713</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45713</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45713</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45713</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45713</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45713</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45713</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45713</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45713</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45713</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45713</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45713</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45713</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45713</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45713</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45713</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45713</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45713</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45713</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45713</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45713</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45713</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45713</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45713</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45713</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45713</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45713</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45713</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45713</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45713</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45713</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45713</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45713</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45713</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45713</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45713</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45713</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45713</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3947-2025</t>
        </is>
      </c>
      <c r="B2321" s="1" t="n">
        <v>45684</v>
      </c>
      <c r="C2321" s="1" t="n">
        <v>45713</v>
      </c>
      <c r="D2321" t="inlineStr">
        <is>
          <t>VÄSTERNORRLANDS LÄN</t>
        </is>
      </c>
      <c r="E2321" t="inlineStr">
        <is>
          <t>ÅNGE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3966-2025</t>
        </is>
      </c>
      <c r="B2322" s="1" t="n">
        <v>45684</v>
      </c>
      <c r="C2322" s="1" t="n">
        <v>45713</v>
      </c>
      <c r="D2322" t="inlineStr">
        <is>
          <t>VÄSTERNORRLANDS LÄN</t>
        </is>
      </c>
      <c r="E2322" t="inlineStr">
        <is>
          <t>ÅNGE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3986-2025</t>
        </is>
      </c>
      <c r="B2323" s="1" t="n">
        <v>45684</v>
      </c>
      <c r="C2323" s="1" t="n">
        <v>45713</v>
      </c>
      <c r="D2323" t="inlineStr">
        <is>
          <t>VÄSTERNORRLANDS LÄN</t>
        </is>
      </c>
      <c r="E2323" t="inlineStr">
        <is>
          <t>ÅNGE</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4073-2025</t>
        </is>
      </c>
      <c r="B2324" s="1" t="n">
        <v>45684</v>
      </c>
      <c r="C2324" s="1" t="n">
        <v>45713</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45713</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45713</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3977-2025</t>
        </is>
      </c>
      <c r="B2327" s="1" t="n">
        <v>45684</v>
      </c>
      <c r="C2327" s="1" t="n">
        <v>45713</v>
      </c>
      <c r="D2327" t="inlineStr">
        <is>
          <t>VÄSTERNORRLANDS LÄN</t>
        </is>
      </c>
      <c r="E2327" t="inlineStr">
        <is>
          <t>ÅNGE</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4094-2025</t>
        </is>
      </c>
      <c r="B2328" s="1" t="n">
        <v>45684</v>
      </c>
      <c r="C2328" s="1" t="n">
        <v>45713</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4072-2025</t>
        </is>
      </c>
      <c r="B2329" s="1" t="n">
        <v>45684</v>
      </c>
      <c r="C2329" s="1" t="n">
        <v>45713</v>
      </c>
      <c r="D2329" t="inlineStr">
        <is>
          <t>VÄSTERNORRLANDS LÄN</t>
        </is>
      </c>
      <c r="E2329" t="inlineStr">
        <is>
          <t>ÅNGE</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45713</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4236-2025</t>
        </is>
      </c>
      <c r="B2331" s="1" t="n">
        <v>45685</v>
      </c>
      <c r="C2331" s="1" t="n">
        <v>45713</v>
      </c>
      <c r="D2331" t="inlineStr">
        <is>
          <t>VÄSTERNORRLANDS LÄN</t>
        </is>
      </c>
      <c r="E2331" t="inlineStr">
        <is>
          <t>ÅNGE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4142-2025</t>
        </is>
      </c>
      <c r="B2332" s="1" t="n">
        <v>45685</v>
      </c>
      <c r="C2332" s="1" t="n">
        <v>45713</v>
      </c>
      <c r="D2332" t="inlineStr">
        <is>
          <t>VÄSTERNORRLANDS LÄN</t>
        </is>
      </c>
      <c r="E2332" t="inlineStr">
        <is>
          <t>ÅNGE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4186-2025</t>
        </is>
      </c>
      <c r="B2333" s="1" t="n">
        <v>45685</v>
      </c>
      <c r="C2333" s="1" t="n">
        <v>45713</v>
      </c>
      <c r="D2333" t="inlineStr">
        <is>
          <t>VÄSTERNORRLANDS LÄN</t>
        </is>
      </c>
      <c r="E2333" t="inlineStr">
        <is>
          <t>ÅNGE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45713</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4852-2025</t>
        </is>
      </c>
      <c r="B2335" s="1" t="n">
        <v>45688</v>
      </c>
      <c r="C2335" s="1" t="n">
        <v>45713</v>
      </c>
      <c r="D2335" t="inlineStr">
        <is>
          <t>VÄSTERNORRLANDS LÄN</t>
        </is>
      </c>
      <c r="E2335" t="inlineStr">
        <is>
          <t>ÅNGE</t>
        </is>
      </c>
      <c r="F2335" t="inlineStr">
        <is>
          <t>SCA</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4873-2025</t>
        </is>
      </c>
      <c r="B2336" s="1" t="n">
        <v>45688</v>
      </c>
      <c r="C2336" s="1" t="n">
        <v>45713</v>
      </c>
      <c r="D2336" t="inlineStr">
        <is>
          <t>VÄSTERNORRLANDS LÄN</t>
        </is>
      </c>
      <c r="E2336" t="inlineStr">
        <is>
          <t>ÅNGE</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4872-2025</t>
        </is>
      </c>
      <c r="B2337" s="1" t="n">
        <v>45688</v>
      </c>
      <c r="C2337" s="1" t="n">
        <v>45713</v>
      </c>
      <c r="D2337" t="inlineStr">
        <is>
          <t>VÄSTERNORRLANDS LÄN</t>
        </is>
      </c>
      <c r="E2337" t="inlineStr">
        <is>
          <t>ÅNGE</t>
        </is>
      </c>
      <c r="F2337" t="inlineStr">
        <is>
          <t>SCA</t>
        </is>
      </c>
      <c r="G2337" t="n">
        <v>31.3</v>
      </c>
      <c r="H2337" t="n">
        <v>0</v>
      </c>
      <c r="I2337" t="n">
        <v>0</v>
      </c>
      <c r="J2337" t="n">
        <v>0</v>
      </c>
      <c r="K2337" t="n">
        <v>0</v>
      </c>
      <c r="L2337" t="n">
        <v>0</v>
      </c>
      <c r="M2337" t="n">
        <v>0</v>
      </c>
      <c r="N2337" t="n">
        <v>0</v>
      </c>
      <c r="O2337" t="n">
        <v>0</v>
      </c>
      <c r="P2337" t="n">
        <v>0</v>
      </c>
      <c r="Q2337" t="n">
        <v>0</v>
      </c>
      <c r="R2337" s="2" t="inlineStr"/>
    </row>
    <row r="2338" ht="15" customHeight="1">
      <c r="A2338" t="inlineStr">
        <is>
          <t>A 4912-2025</t>
        </is>
      </c>
      <c r="B2338" s="1" t="n">
        <v>45688</v>
      </c>
      <c r="C2338" s="1" t="n">
        <v>45713</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4850-2025</t>
        </is>
      </c>
      <c r="B2339" s="1" t="n">
        <v>45688</v>
      </c>
      <c r="C2339" s="1" t="n">
        <v>45713</v>
      </c>
      <c r="D2339" t="inlineStr">
        <is>
          <t>VÄSTERNORRLANDS LÄN</t>
        </is>
      </c>
      <c r="E2339" t="inlineStr">
        <is>
          <t>ÅNGE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45713</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5037-2025</t>
        </is>
      </c>
      <c r="B2341" s="1" t="n">
        <v>45691</v>
      </c>
      <c r="C2341" s="1" t="n">
        <v>45713</v>
      </c>
      <c r="D2341" t="inlineStr">
        <is>
          <t>VÄSTERNORRLANDS LÄN</t>
        </is>
      </c>
      <c r="E2341" t="inlineStr">
        <is>
          <t>ÅNGE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5197-2025</t>
        </is>
      </c>
      <c r="B2342" s="1" t="n">
        <v>45691</v>
      </c>
      <c r="C2342" s="1" t="n">
        <v>45713</v>
      </c>
      <c r="D2342" t="inlineStr">
        <is>
          <t>VÄSTERNORRLANDS LÄN</t>
        </is>
      </c>
      <c r="E2342" t="inlineStr">
        <is>
          <t>ÅNGE</t>
        </is>
      </c>
      <c r="F2342" t="inlineStr">
        <is>
          <t>SCA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45713</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45713</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45713</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5246-2025</t>
        </is>
      </c>
      <c r="B2346" s="1" t="n">
        <v>45692</v>
      </c>
      <c r="C2346" s="1" t="n">
        <v>45713</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45713</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5602-2025</t>
        </is>
      </c>
      <c r="B2348" s="1" t="n">
        <v>45693</v>
      </c>
      <c r="C2348" s="1" t="n">
        <v>45713</v>
      </c>
      <c r="D2348" t="inlineStr">
        <is>
          <t>VÄSTERNORRLANDS LÄN</t>
        </is>
      </c>
      <c r="E2348" t="inlineStr">
        <is>
          <t>ÅNGE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5606-2025</t>
        </is>
      </c>
      <c r="B2349" s="1" t="n">
        <v>45693</v>
      </c>
      <c r="C2349" s="1" t="n">
        <v>45713</v>
      </c>
      <c r="D2349" t="inlineStr">
        <is>
          <t>VÄSTERNORRLANDS LÄN</t>
        </is>
      </c>
      <c r="E2349" t="inlineStr">
        <is>
          <t>ÅNGE</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5524-2025</t>
        </is>
      </c>
      <c r="B2350" s="1" t="n">
        <v>45693</v>
      </c>
      <c r="C2350" s="1" t="n">
        <v>45713</v>
      </c>
      <c r="D2350" t="inlineStr">
        <is>
          <t>VÄSTERNORRLANDS LÄN</t>
        </is>
      </c>
      <c r="E2350" t="inlineStr">
        <is>
          <t>ÅNGE</t>
        </is>
      </c>
      <c r="F2350" t="inlineStr">
        <is>
          <t>SCA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45713</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5911-2025</t>
        </is>
      </c>
      <c r="B2352" s="1" t="n">
        <v>45695</v>
      </c>
      <c r="C2352" s="1" t="n">
        <v>45713</v>
      </c>
      <c r="D2352" t="inlineStr">
        <is>
          <t>VÄSTERNORRLANDS LÄN</t>
        </is>
      </c>
      <c r="E2352" t="inlineStr">
        <is>
          <t>ÅNGE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5931-2025</t>
        </is>
      </c>
      <c r="B2353" s="1" t="n">
        <v>45695</v>
      </c>
      <c r="C2353" s="1" t="n">
        <v>45713</v>
      </c>
      <c r="D2353" t="inlineStr">
        <is>
          <t>VÄSTERNORRLANDS LÄN</t>
        </is>
      </c>
      <c r="E2353" t="inlineStr">
        <is>
          <t>ÅNGE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5999-2025</t>
        </is>
      </c>
      <c r="B2354" s="1" t="n">
        <v>45695</v>
      </c>
      <c r="C2354" s="1" t="n">
        <v>45713</v>
      </c>
      <c r="D2354" t="inlineStr">
        <is>
          <t>VÄSTERNORRLANDS LÄN</t>
        </is>
      </c>
      <c r="E2354" t="inlineStr">
        <is>
          <t>ÅNGE</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45713</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45713</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6293-2025</t>
        </is>
      </c>
      <c r="B2357" s="1" t="n">
        <v>45698</v>
      </c>
      <c r="C2357" s="1" t="n">
        <v>45713</v>
      </c>
      <c r="D2357" t="inlineStr">
        <is>
          <t>VÄSTERNORRLANDS LÄN</t>
        </is>
      </c>
      <c r="E2357" t="inlineStr">
        <is>
          <t>ÅNGE</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6292-2025</t>
        </is>
      </c>
      <c r="B2358" s="1" t="n">
        <v>45698</v>
      </c>
      <c r="C2358" s="1" t="n">
        <v>45713</v>
      </c>
      <c r="D2358" t="inlineStr">
        <is>
          <t>VÄSTERNORRLANDS LÄN</t>
        </is>
      </c>
      <c r="E2358" t="inlineStr">
        <is>
          <t>ÅNGE</t>
        </is>
      </c>
      <c r="F2358" t="inlineStr">
        <is>
          <t>SCA</t>
        </is>
      </c>
      <c r="G2358" t="n">
        <v>27.8</v>
      </c>
      <c r="H2358" t="n">
        <v>0</v>
      </c>
      <c r="I2358" t="n">
        <v>0</v>
      </c>
      <c r="J2358" t="n">
        <v>0</v>
      </c>
      <c r="K2358" t="n">
        <v>0</v>
      </c>
      <c r="L2358" t="n">
        <v>0</v>
      </c>
      <c r="M2358" t="n">
        <v>0</v>
      </c>
      <c r="N2358" t="n">
        <v>0</v>
      </c>
      <c r="O2358" t="n">
        <v>0</v>
      </c>
      <c r="P2358" t="n">
        <v>0</v>
      </c>
      <c r="Q2358" t="n">
        <v>0</v>
      </c>
      <c r="R2358" s="2" t="inlineStr"/>
    </row>
    <row r="2359" ht="15" customHeight="1">
      <c r="A2359" t="inlineStr">
        <is>
          <t>A 6153-2025</t>
        </is>
      </c>
      <c r="B2359" s="1" t="n">
        <v>45698</v>
      </c>
      <c r="C2359" s="1" t="n">
        <v>45713</v>
      </c>
      <c r="D2359" t="inlineStr">
        <is>
          <t>VÄSTERNORRLANDS LÄN</t>
        </is>
      </c>
      <c r="E2359" t="inlineStr">
        <is>
          <t>ÅNGE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45713</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45713</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45713</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6610-2025</t>
        </is>
      </c>
      <c r="B2363" s="1" t="n">
        <v>45700</v>
      </c>
      <c r="C2363" s="1" t="n">
        <v>45713</v>
      </c>
      <c r="D2363" t="inlineStr">
        <is>
          <t>VÄSTERNORRLANDS LÄN</t>
        </is>
      </c>
      <c r="E2363" t="inlineStr">
        <is>
          <t>ÅNGE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45713</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45713</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7571-2025</t>
        </is>
      </c>
      <c r="B2366" s="1" t="n">
        <v>45705</v>
      </c>
      <c r="C2366" s="1" t="n">
        <v>45713</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45713</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45713</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45713</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c r="A2370" t="inlineStr">
        <is>
          <t>A 8778-2025</t>
        </is>
      </c>
      <c r="B2370" s="1" t="n">
        <v>45712</v>
      </c>
      <c r="C2370" s="1" t="n">
        <v>45713</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2025-02-25T16:22:08Z</dcterms:created>
  <dcterms:modified xmlns:dcterms="http://purl.org/dc/terms/" xmlns:xsi="http://www.w3.org/2001/XMLSchema-instance" xsi:type="dcterms:W3CDTF">2025-02-25T16:22:10Z</dcterms:modified>
</cp:coreProperties>
</file>