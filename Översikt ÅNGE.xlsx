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46001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46001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46001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46001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46001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46001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46001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46001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46001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46001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46001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46001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46001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46001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46001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46001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46001</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45833-2025</t>
        </is>
      </c>
      <c r="B21" s="1" t="n">
        <v>45923</v>
      </c>
      <c r="C21" s="1" t="n">
        <v>46001</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46001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46001</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46001</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46001</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46001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46001</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46001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46001</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46001</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46001</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46001</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46001</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46001</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46001</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46001</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48738-2024</t>
        </is>
      </c>
      <c r="B37" s="1" t="n">
        <v>45593</v>
      </c>
      <c r="C37" s="1" t="n">
        <v>46001</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46001</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46001</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46001</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46001</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30840-2023</t>
        </is>
      </c>
      <c r="B42" s="1" t="n">
        <v>45112</v>
      </c>
      <c r="C42" s="1" t="n">
        <v>46001</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46001</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46001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34519-2022</t>
        </is>
      </c>
      <c r="B45" s="1" t="n">
        <v>44792</v>
      </c>
      <c r="C45" s="1" t="n">
        <v>46001</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46001</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46001</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46001</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46001</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46001</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46001</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46001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46001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46001</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46001</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46001</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46001</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46001</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46001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46001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46001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46001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46001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46001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46001</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46001</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46001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46001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46001</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46001</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46001</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46001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46001</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46001</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46001</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46001</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46001</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46001</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46001</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27955-2021</t>
        </is>
      </c>
      <c r="B80" s="1" t="n">
        <v>44354</v>
      </c>
      <c r="C80" s="1" t="n">
        <v>46001</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46001</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46001</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46001</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46001</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46001</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46001</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46001</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46001</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46001</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46001</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46001</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29880-2025</t>
        </is>
      </c>
      <c r="B92" s="1" t="n">
        <v>45826.36510416667</v>
      </c>
      <c r="C92" s="1" t="n">
        <v>46001</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29880-2025 artfynd.xlsx", "A 29880-2025")</f>
        <v/>
      </c>
      <c r="T92">
        <f>HYPERLINK("https://klasma.github.io/Logging_2260/kartor/A 29880-2025 karta.png", "A 29880-2025")</f>
        <v/>
      </c>
      <c r="V92">
        <f>HYPERLINK("https://klasma.github.io/Logging_2260/klagomål/A 29880-2025 FSC-klagomål.docx", "A 29880-2025")</f>
        <v/>
      </c>
      <c r="W92">
        <f>HYPERLINK("https://klasma.github.io/Logging_2260/klagomålsmail/A 29880-2025 FSC-klagomål mail.docx", "A 29880-2025")</f>
        <v/>
      </c>
      <c r="X92">
        <f>HYPERLINK("https://klasma.github.io/Logging_2260/tillsyn/A 29880-2025 tillsynsbegäran.docx", "A 29880-2025")</f>
        <v/>
      </c>
      <c r="Y92">
        <f>HYPERLINK("https://klasma.github.io/Logging_2260/tillsynsmail/A 29880-2025 tillsynsbegäran mail.docx", "A 29880-2025")</f>
        <v/>
      </c>
      <c r="Z92">
        <f>HYPERLINK("https://klasma.github.io/Logging_2260/fåglar/A 29880-2025 prioriterade fågelarter.docx", "A 29880-2025")</f>
        <v/>
      </c>
    </row>
    <row r="93" ht="15" customHeight="1">
      <c r="A93" t="inlineStr">
        <is>
          <t>A 59971-2025</t>
        </is>
      </c>
      <c r="B93" s="1" t="n">
        <v>45993.49002314815</v>
      </c>
      <c r="C93" s="1" t="n">
        <v>46001</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13696-2023</t>
        </is>
      </c>
      <c r="B94" s="1" t="n">
        <v>45006</v>
      </c>
      <c r="C94" s="1" t="n">
        <v>46001</v>
      </c>
      <c r="D94" t="inlineStr">
        <is>
          <t>VÄSTERNORRLANDS LÄN</t>
        </is>
      </c>
      <c r="E94" t="inlineStr">
        <is>
          <t>ÅNGE</t>
        </is>
      </c>
      <c r="F94" t="inlineStr">
        <is>
          <t>SCA</t>
        </is>
      </c>
      <c r="G94" t="n">
        <v>47.6</v>
      </c>
      <c r="H94" t="n">
        <v>1</v>
      </c>
      <c r="I94" t="n">
        <v>0</v>
      </c>
      <c r="J94" t="n">
        <v>4</v>
      </c>
      <c r="K94" t="n">
        <v>1</v>
      </c>
      <c r="L94" t="n">
        <v>0</v>
      </c>
      <c r="M94" t="n">
        <v>0</v>
      </c>
      <c r="N94" t="n">
        <v>0</v>
      </c>
      <c r="O94" t="n">
        <v>5</v>
      </c>
      <c r="P94" t="n">
        <v>1</v>
      </c>
      <c r="Q94" t="n">
        <v>5</v>
      </c>
      <c r="R94" s="2" t="inlineStr">
        <is>
          <t>Knärot
Dvärgbägarlav
Knottrig blåslav
Mörk kolflarnlav
Nordtagging</t>
        </is>
      </c>
      <c r="S94">
        <f>HYPERLINK("https://klasma.github.io/Logging_2260/artfynd/A 13696-2023 artfynd.xlsx", "A 13696-2023")</f>
        <v/>
      </c>
      <c r="T94">
        <f>HYPERLINK("https://klasma.github.io/Logging_2260/kartor/A 13696-2023 karta.png", "A 13696-2023")</f>
        <v/>
      </c>
      <c r="U94">
        <f>HYPERLINK("https://klasma.github.io/Logging_2260/knärot/A 13696-2023 karta knärot.png", "A 13696-2023")</f>
        <v/>
      </c>
      <c r="V94">
        <f>HYPERLINK("https://klasma.github.io/Logging_2260/klagomål/A 13696-2023 FSC-klagomål.docx", "A 13696-2023")</f>
        <v/>
      </c>
      <c r="W94">
        <f>HYPERLINK("https://klasma.github.io/Logging_2260/klagomålsmail/A 13696-2023 FSC-klagomål mail.docx", "A 13696-2023")</f>
        <v/>
      </c>
      <c r="X94">
        <f>HYPERLINK("https://klasma.github.io/Logging_2260/tillsyn/A 13696-2023 tillsynsbegäran.docx", "A 13696-2023")</f>
        <v/>
      </c>
      <c r="Y94">
        <f>HYPERLINK("https://klasma.github.io/Logging_2260/tillsynsmail/A 13696-2023 tillsynsbegäran mail.docx", "A 13696-2023")</f>
        <v/>
      </c>
    </row>
    <row r="95" ht="15" customHeight="1">
      <c r="A95" t="inlineStr">
        <is>
          <t>A 52601-2025</t>
        </is>
      </c>
      <c r="B95" s="1" t="n">
        <v>45954</v>
      </c>
      <c r="C95" s="1" t="n">
        <v>46001</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52269-2024</t>
        </is>
      </c>
      <c r="B96" s="1" t="n">
        <v>45608.65660879629</v>
      </c>
      <c r="C96" s="1" t="n">
        <v>46001</v>
      </c>
      <c r="D96" t="inlineStr">
        <is>
          <t>VÄSTERNORRLANDS LÄN</t>
        </is>
      </c>
      <c r="E96" t="inlineStr">
        <is>
          <t>ÅNGE</t>
        </is>
      </c>
      <c r="F96" t="inlineStr">
        <is>
          <t>SCA</t>
        </is>
      </c>
      <c r="G96" t="n">
        <v>5.1</v>
      </c>
      <c r="H96" t="n">
        <v>0</v>
      </c>
      <c r="I96" t="n">
        <v>2</v>
      </c>
      <c r="J96" t="n">
        <v>3</v>
      </c>
      <c r="K96" t="n">
        <v>0</v>
      </c>
      <c r="L96" t="n">
        <v>0</v>
      </c>
      <c r="M96" t="n">
        <v>0</v>
      </c>
      <c r="N96" t="n">
        <v>0</v>
      </c>
      <c r="O96" t="n">
        <v>3</v>
      </c>
      <c r="P96" t="n">
        <v>0</v>
      </c>
      <c r="Q96" t="n">
        <v>5</v>
      </c>
      <c r="R96" s="2" t="inlineStr">
        <is>
          <t>Lunglav
Rosenticka
Ullticka
Bårdlav
Stor aspticka</t>
        </is>
      </c>
      <c r="S96">
        <f>HYPERLINK("https://klasma.github.io/Logging_2260/artfynd/A 52269-2024 artfynd.xlsx", "A 52269-2024")</f>
        <v/>
      </c>
      <c r="T96">
        <f>HYPERLINK("https://klasma.github.io/Logging_2260/kartor/A 52269-2024 karta.png", "A 52269-2024")</f>
        <v/>
      </c>
      <c r="V96">
        <f>HYPERLINK("https://klasma.github.io/Logging_2260/klagomål/A 52269-2024 FSC-klagomål.docx", "A 52269-2024")</f>
        <v/>
      </c>
      <c r="W96">
        <f>HYPERLINK("https://klasma.github.io/Logging_2260/klagomålsmail/A 52269-2024 FSC-klagomål mail.docx", "A 52269-2024")</f>
        <v/>
      </c>
      <c r="X96">
        <f>HYPERLINK("https://klasma.github.io/Logging_2260/tillsyn/A 52269-2024 tillsynsbegäran.docx", "A 52269-2024")</f>
        <v/>
      </c>
      <c r="Y96">
        <f>HYPERLINK("https://klasma.github.io/Logging_2260/tillsynsmail/A 52269-2024 tillsynsbegäran mail.docx", "A 52269-2024")</f>
        <v/>
      </c>
    </row>
    <row r="97" ht="15" customHeight="1">
      <c r="A97" t="inlineStr">
        <is>
          <t>A 55004-2023</t>
        </is>
      </c>
      <c r="B97" s="1" t="n">
        <v>45236</v>
      </c>
      <c r="C97" s="1" t="n">
        <v>46001</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46548-2023</t>
        </is>
      </c>
      <c r="B98" s="1" t="n">
        <v>45197</v>
      </c>
      <c r="C98" s="1" t="n">
        <v>46001</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46001</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38713-2025</t>
        </is>
      </c>
      <c r="B100" s="1" t="n">
        <v>45886.34479166667</v>
      </c>
      <c r="C100" s="1" t="n">
        <v>46001</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39176-2024</t>
        </is>
      </c>
      <c r="B101" s="1" t="n">
        <v>45548</v>
      </c>
      <c r="C101" s="1" t="n">
        <v>46001</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54095-2025</t>
        </is>
      </c>
      <c r="B102" s="1" t="n">
        <v>45964.40685185185</v>
      </c>
      <c r="C102" s="1" t="n">
        <v>46001</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11029-2025</t>
        </is>
      </c>
      <c r="B103" s="1" t="n">
        <v>45723</v>
      </c>
      <c r="C103" s="1" t="n">
        <v>46001</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26953-2024</t>
        </is>
      </c>
      <c r="B104" s="1" t="n">
        <v>45470</v>
      </c>
      <c r="C104" s="1" t="n">
        <v>46001</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46001</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24796-2024</t>
        </is>
      </c>
      <c r="B106" s="1" t="n">
        <v>45460</v>
      </c>
      <c r="C106" s="1" t="n">
        <v>46001</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46001</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46001</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46001</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46001</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46001</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23754-2025</t>
        </is>
      </c>
      <c r="B112" s="1" t="n">
        <v>45793.45782407407</v>
      </c>
      <c r="C112" s="1" t="n">
        <v>46001</v>
      </c>
      <c r="D112" t="inlineStr">
        <is>
          <t>VÄSTERNORRLANDS LÄN</t>
        </is>
      </c>
      <c r="E112" t="inlineStr">
        <is>
          <t>ÅNGE</t>
        </is>
      </c>
      <c r="F112" t="inlineStr">
        <is>
          <t>Sveaskog</t>
        </is>
      </c>
      <c r="G112" t="n">
        <v>4.3</v>
      </c>
      <c r="H112" t="n">
        <v>3</v>
      </c>
      <c r="I112" t="n">
        <v>0</v>
      </c>
      <c r="J112" t="n">
        <v>1</v>
      </c>
      <c r="K112" t="n">
        <v>0</v>
      </c>
      <c r="L112" t="n">
        <v>0</v>
      </c>
      <c r="M112" t="n">
        <v>0</v>
      </c>
      <c r="N112" t="n">
        <v>0</v>
      </c>
      <c r="O112" t="n">
        <v>1</v>
      </c>
      <c r="P112" t="n">
        <v>0</v>
      </c>
      <c r="Q112" t="n">
        <v>3</v>
      </c>
      <c r="R112" s="2" t="inlineStr">
        <is>
          <t>Spillkråka
Tjäder
Blåsippa</t>
        </is>
      </c>
      <c r="S112">
        <f>HYPERLINK("https://klasma.github.io/Logging_2260/artfynd/A 23754-2025 artfynd.xlsx", "A 23754-2025")</f>
        <v/>
      </c>
      <c r="T112">
        <f>HYPERLINK("https://klasma.github.io/Logging_2260/kartor/A 23754-2025 karta.png", "A 23754-2025")</f>
        <v/>
      </c>
      <c r="U112">
        <f>HYPERLINK("https://klasma.github.io/Logging_2260/knärot/A 23754-2025 karta knärot.png", "A 23754-2025")</f>
        <v/>
      </c>
      <c r="V112">
        <f>HYPERLINK("https://klasma.github.io/Logging_2260/klagomål/A 23754-2025 FSC-klagomål.docx", "A 23754-2025")</f>
        <v/>
      </c>
      <c r="W112">
        <f>HYPERLINK("https://klasma.github.io/Logging_2260/klagomålsmail/A 23754-2025 FSC-klagomål mail.docx", "A 23754-2025")</f>
        <v/>
      </c>
      <c r="X112">
        <f>HYPERLINK("https://klasma.github.io/Logging_2260/tillsyn/A 23754-2025 tillsynsbegäran.docx", "A 23754-2025")</f>
        <v/>
      </c>
      <c r="Y112">
        <f>HYPERLINK("https://klasma.github.io/Logging_2260/tillsynsmail/A 23754-2025 tillsynsbegäran mail.docx", "A 23754-2025")</f>
        <v/>
      </c>
      <c r="Z112">
        <f>HYPERLINK("https://klasma.github.io/Logging_2260/fåglar/A 23754-2025 prioriterade fågelarter.docx", "A 23754-2025")</f>
        <v/>
      </c>
    </row>
    <row r="113" ht="15" customHeight="1">
      <c r="A113" t="inlineStr">
        <is>
          <t>A 23759-2025</t>
        </is>
      </c>
      <c r="B113" s="1" t="n">
        <v>45793.46409722222</v>
      </c>
      <c r="C113" s="1" t="n">
        <v>46001</v>
      </c>
      <c r="D113" t="inlineStr">
        <is>
          <t>VÄSTERNORRLANDS LÄN</t>
        </is>
      </c>
      <c r="E113" t="inlineStr">
        <is>
          <t>ÅNGE</t>
        </is>
      </c>
      <c r="F113" t="inlineStr">
        <is>
          <t>Sveaskog</t>
        </is>
      </c>
      <c r="G113" t="n">
        <v>5.2</v>
      </c>
      <c r="H113" t="n">
        <v>0</v>
      </c>
      <c r="I113" t="n">
        <v>1</v>
      </c>
      <c r="J113" t="n">
        <v>2</v>
      </c>
      <c r="K113" t="n">
        <v>0</v>
      </c>
      <c r="L113" t="n">
        <v>0</v>
      </c>
      <c r="M113" t="n">
        <v>0</v>
      </c>
      <c r="N113" t="n">
        <v>0</v>
      </c>
      <c r="O113" t="n">
        <v>2</v>
      </c>
      <c r="P113" t="n">
        <v>0</v>
      </c>
      <c r="Q113" t="n">
        <v>3</v>
      </c>
      <c r="R113" s="2" t="inlineStr">
        <is>
          <t>Lunglav
Skrovellav
Korallblylav</t>
        </is>
      </c>
      <c r="S113">
        <f>HYPERLINK("https://klasma.github.io/Logging_2260/artfynd/A 23759-2025 artfynd.xlsx", "A 23759-2025")</f>
        <v/>
      </c>
      <c r="T113">
        <f>HYPERLINK("https://klasma.github.io/Logging_2260/kartor/A 23759-2025 karta.png", "A 23759-2025")</f>
        <v/>
      </c>
      <c r="V113">
        <f>HYPERLINK("https://klasma.github.io/Logging_2260/klagomål/A 23759-2025 FSC-klagomål.docx", "A 23759-2025")</f>
        <v/>
      </c>
      <c r="W113">
        <f>HYPERLINK("https://klasma.github.io/Logging_2260/klagomålsmail/A 23759-2025 FSC-klagomål mail.docx", "A 23759-2025")</f>
        <v/>
      </c>
      <c r="X113">
        <f>HYPERLINK("https://klasma.github.io/Logging_2260/tillsyn/A 23759-2025 tillsynsbegäran.docx", "A 23759-2025")</f>
        <v/>
      </c>
      <c r="Y113">
        <f>HYPERLINK("https://klasma.github.io/Logging_2260/tillsynsmail/A 23759-2025 tillsynsbegäran mail.docx", "A 23759-2025")</f>
        <v/>
      </c>
    </row>
    <row r="114" ht="15" customHeight="1">
      <c r="A114" t="inlineStr">
        <is>
          <t>A 39029-2025</t>
        </is>
      </c>
      <c r="B114" s="1" t="n">
        <v>45888.40684027778</v>
      </c>
      <c r="C114" s="1" t="n">
        <v>46001</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22996-2023</t>
        </is>
      </c>
      <c r="B115" s="1" t="n">
        <v>45072</v>
      </c>
      <c r="C115" s="1" t="n">
        <v>46001</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29665-2024</t>
        </is>
      </c>
      <c r="B116" s="1" t="n">
        <v>45484</v>
      </c>
      <c r="C116" s="1" t="n">
        <v>46001</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46001</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28274-2023</t>
        </is>
      </c>
      <c r="B118" s="1" t="n">
        <v>45099</v>
      </c>
      <c r="C118" s="1" t="n">
        <v>46001</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26679-2025</t>
        </is>
      </c>
      <c r="B119" s="1" t="n">
        <v>45810</v>
      </c>
      <c r="C119" s="1" t="n">
        <v>46001</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41868-2025</t>
        </is>
      </c>
      <c r="B120" s="1" t="n">
        <v>45903.34429398148</v>
      </c>
      <c r="C120" s="1" t="n">
        <v>46001</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16307-2025</t>
        </is>
      </c>
      <c r="B121" s="1" t="n">
        <v>45751.34686342593</v>
      </c>
      <c r="C121" s="1" t="n">
        <v>46001</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43319-2025</t>
        </is>
      </c>
      <c r="B122" s="1" t="n">
        <v>45910.65681712963</v>
      </c>
      <c r="C122" s="1" t="n">
        <v>46001</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39179-2024</t>
        </is>
      </c>
      <c r="B123" s="1" t="n">
        <v>45548.65703703704</v>
      </c>
      <c r="C123" s="1" t="n">
        <v>46001</v>
      </c>
      <c r="D123" t="inlineStr">
        <is>
          <t>VÄSTERNORRLANDS LÄN</t>
        </is>
      </c>
      <c r="E123" t="inlineStr">
        <is>
          <t>ÅNGE</t>
        </is>
      </c>
      <c r="F123" t="inlineStr">
        <is>
          <t>SCA</t>
        </is>
      </c>
      <c r="G123" t="n">
        <v>4.2</v>
      </c>
      <c r="H123" t="n">
        <v>1</v>
      </c>
      <c r="I123" t="n">
        <v>2</v>
      </c>
      <c r="J123" t="n">
        <v>1</v>
      </c>
      <c r="K123" t="n">
        <v>0</v>
      </c>
      <c r="L123" t="n">
        <v>0</v>
      </c>
      <c r="M123" t="n">
        <v>0</v>
      </c>
      <c r="N123" t="n">
        <v>0</v>
      </c>
      <c r="O123" t="n">
        <v>1</v>
      </c>
      <c r="P123" t="n">
        <v>0</v>
      </c>
      <c r="Q123" t="n">
        <v>3</v>
      </c>
      <c r="R123" s="2" t="inlineStr">
        <is>
          <t>Rosenticka
Fjällig taggsvamp s.str.
Spindelblomster</t>
        </is>
      </c>
      <c r="S123">
        <f>HYPERLINK("https://klasma.github.io/Logging_2260/artfynd/A 39179-2024 artfynd.xlsx", "A 39179-2024")</f>
        <v/>
      </c>
      <c r="T123">
        <f>HYPERLINK("https://klasma.github.io/Logging_2260/kartor/A 39179-2024 karta.png", "A 39179-2024")</f>
        <v/>
      </c>
      <c r="V123">
        <f>HYPERLINK("https://klasma.github.io/Logging_2260/klagomål/A 39179-2024 FSC-klagomål.docx", "A 39179-2024")</f>
        <v/>
      </c>
      <c r="W123">
        <f>HYPERLINK("https://klasma.github.io/Logging_2260/klagomålsmail/A 39179-2024 FSC-klagomål mail.docx", "A 39179-2024")</f>
        <v/>
      </c>
      <c r="X123">
        <f>HYPERLINK("https://klasma.github.io/Logging_2260/tillsyn/A 39179-2024 tillsynsbegäran.docx", "A 39179-2024")</f>
        <v/>
      </c>
      <c r="Y123">
        <f>HYPERLINK("https://klasma.github.io/Logging_2260/tillsynsmail/A 39179-2024 tillsynsbegäran mail.docx", "A 39179-2024")</f>
        <v/>
      </c>
    </row>
    <row r="124" ht="15" customHeight="1">
      <c r="A124" t="inlineStr">
        <is>
          <t>A 39708-2024</t>
        </is>
      </c>
      <c r="B124" s="1" t="n">
        <v>45552.59408564815</v>
      </c>
      <c r="C124" s="1" t="n">
        <v>46001</v>
      </c>
      <c r="D124" t="inlineStr">
        <is>
          <t>VÄSTERNORRLANDS LÄN</t>
        </is>
      </c>
      <c r="E124" t="inlineStr">
        <is>
          <t>ÅNGE</t>
        </is>
      </c>
      <c r="F124" t="inlineStr">
        <is>
          <t>SCA</t>
        </is>
      </c>
      <c r="G124" t="n">
        <v>6.2</v>
      </c>
      <c r="H124" t="n">
        <v>0</v>
      </c>
      <c r="I124" t="n">
        <v>0</v>
      </c>
      <c r="J124" t="n">
        <v>3</v>
      </c>
      <c r="K124" t="n">
        <v>0</v>
      </c>
      <c r="L124" t="n">
        <v>0</v>
      </c>
      <c r="M124" t="n">
        <v>0</v>
      </c>
      <c r="N124" t="n">
        <v>0</v>
      </c>
      <c r="O124" t="n">
        <v>3</v>
      </c>
      <c r="P124" t="n">
        <v>0</v>
      </c>
      <c r="Q124" t="n">
        <v>3</v>
      </c>
      <c r="R124" s="2" t="inlineStr">
        <is>
          <t>Granticka
Ullticka
Vitgrynig nållav</t>
        </is>
      </c>
      <c r="S124">
        <f>HYPERLINK("https://klasma.github.io/Logging_2260/artfynd/A 39708-2024 artfynd.xlsx", "A 39708-2024")</f>
        <v/>
      </c>
      <c r="T124">
        <f>HYPERLINK("https://klasma.github.io/Logging_2260/kartor/A 39708-2024 karta.png", "A 39708-2024")</f>
        <v/>
      </c>
      <c r="V124">
        <f>HYPERLINK("https://klasma.github.io/Logging_2260/klagomål/A 39708-2024 FSC-klagomål.docx", "A 39708-2024")</f>
        <v/>
      </c>
      <c r="W124">
        <f>HYPERLINK("https://klasma.github.io/Logging_2260/klagomålsmail/A 39708-2024 FSC-klagomål mail.docx", "A 39708-2024")</f>
        <v/>
      </c>
      <c r="X124">
        <f>HYPERLINK("https://klasma.github.io/Logging_2260/tillsyn/A 39708-2024 tillsynsbegäran.docx", "A 39708-2024")</f>
        <v/>
      </c>
      <c r="Y124">
        <f>HYPERLINK("https://klasma.github.io/Logging_2260/tillsynsmail/A 39708-2024 tillsynsbegäran mail.docx", "A 39708-2024")</f>
        <v/>
      </c>
    </row>
    <row r="125" ht="15" customHeight="1">
      <c r="A125" t="inlineStr">
        <is>
          <t>A 53710-2025</t>
        </is>
      </c>
      <c r="B125" s="1" t="n">
        <v>45960.6153125</v>
      </c>
      <c r="C125" s="1" t="n">
        <v>46001</v>
      </c>
      <c r="D125" t="inlineStr">
        <is>
          <t>VÄSTERNORRLANDS LÄN</t>
        </is>
      </c>
      <c r="E125" t="inlineStr">
        <is>
          <t>ÅNGE</t>
        </is>
      </c>
      <c r="F125" t="inlineStr">
        <is>
          <t>SCA</t>
        </is>
      </c>
      <c r="G125" t="n">
        <v>7.9</v>
      </c>
      <c r="H125" t="n">
        <v>1</v>
      </c>
      <c r="I125" t="n">
        <v>0</v>
      </c>
      <c r="J125" t="n">
        <v>3</v>
      </c>
      <c r="K125" t="n">
        <v>0</v>
      </c>
      <c r="L125" t="n">
        <v>0</v>
      </c>
      <c r="M125" t="n">
        <v>0</v>
      </c>
      <c r="N125" t="n">
        <v>0</v>
      </c>
      <c r="O125" t="n">
        <v>3</v>
      </c>
      <c r="P125" t="n">
        <v>0</v>
      </c>
      <c r="Q125" t="n">
        <v>3</v>
      </c>
      <c r="R125" s="2" t="inlineStr">
        <is>
          <t>Kolflarnlav
Spillkråka
Vedskivlav</t>
        </is>
      </c>
      <c r="S125">
        <f>HYPERLINK("https://klasma.github.io/Logging_2260/artfynd/A 53710-2025 artfynd.xlsx", "A 53710-2025")</f>
        <v/>
      </c>
      <c r="T125">
        <f>HYPERLINK("https://klasma.github.io/Logging_2260/kartor/A 53710-2025 karta.png", "A 53710-2025")</f>
        <v/>
      </c>
      <c r="V125">
        <f>HYPERLINK("https://klasma.github.io/Logging_2260/klagomål/A 53710-2025 FSC-klagomål.docx", "A 53710-2025")</f>
        <v/>
      </c>
      <c r="W125">
        <f>HYPERLINK("https://klasma.github.io/Logging_2260/klagomålsmail/A 53710-2025 FSC-klagomål mail.docx", "A 53710-2025")</f>
        <v/>
      </c>
      <c r="X125">
        <f>HYPERLINK("https://klasma.github.io/Logging_2260/tillsyn/A 53710-2025 tillsynsbegäran.docx", "A 53710-2025")</f>
        <v/>
      </c>
      <c r="Y125">
        <f>HYPERLINK("https://klasma.github.io/Logging_2260/tillsynsmail/A 53710-2025 tillsynsbegäran mail.docx", "A 53710-2025")</f>
        <v/>
      </c>
      <c r="Z125">
        <f>HYPERLINK("https://klasma.github.io/Logging_2260/fåglar/A 53710-2025 prioriterade fågelarter.docx", "A 53710-2025")</f>
        <v/>
      </c>
    </row>
    <row r="126" ht="15" customHeight="1">
      <c r="A126" t="inlineStr">
        <is>
          <t>A 31212-2025</t>
        </is>
      </c>
      <c r="B126" s="1" t="n">
        <v>45832.71978009259</v>
      </c>
      <c r="C126" s="1" t="n">
        <v>46001</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43880-2025</t>
        </is>
      </c>
      <c r="B127" s="1" t="n">
        <v>45912</v>
      </c>
      <c r="C127" s="1" t="n">
        <v>46001</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47617-2024</t>
        </is>
      </c>
      <c r="B128" s="1" t="n">
        <v>45588.32125</v>
      </c>
      <c r="C128" s="1" t="n">
        <v>46001</v>
      </c>
      <c r="D128" t="inlineStr">
        <is>
          <t>VÄSTERNORRLANDS LÄN</t>
        </is>
      </c>
      <c r="E128" t="inlineStr">
        <is>
          <t>ÅNGE</t>
        </is>
      </c>
      <c r="F128" t="inlineStr">
        <is>
          <t>Holmen skog AB</t>
        </is>
      </c>
      <c r="G128" t="n">
        <v>8.300000000000001</v>
      </c>
      <c r="H128" t="n">
        <v>0</v>
      </c>
      <c r="I128" t="n">
        <v>0</v>
      </c>
      <c r="J128" t="n">
        <v>3</v>
      </c>
      <c r="K128" t="n">
        <v>0</v>
      </c>
      <c r="L128" t="n">
        <v>0</v>
      </c>
      <c r="M128" t="n">
        <v>0</v>
      </c>
      <c r="N128" t="n">
        <v>0</v>
      </c>
      <c r="O128" t="n">
        <v>3</v>
      </c>
      <c r="P128" t="n">
        <v>0</v>
      </c>
      <c r="Q128" t="n">
        <v>3</v>
      </c>
      <c r="R128" s="2" t="inlineStr">
        <is>
          <t>Granticka
Gränsticka
Lunglav</t>
        </is>
      </c>
      <c r="S128">
        <f>HYPERLINK("https://klasma.github.io/Logging_2260/artfynd/A 47617-2024 artfynd.xlsx", "A 47617-2024")</f>
        <v/>
      </c>
      <c r="T128">
        <f>HYPERLINK("https://klasma.github.io/Logging_2260/kartor/A 47617-2024 karta.png", "A 47617-2024")</f>
        <v/>
      </c>
      <c r="V128">
        <f>HYPERLINK("https://klasma.github.io/Logging_2260/klagomål/A 47617-2024 FSC-klagomål.docx", "A 47617-2024")</f>
        <v/>
      </c>
      <c r="W128">
        <f>HYPERLINK("https://klasma.github.io/Logging_2260/klagomålsmail/A 47617-2024 FSC-klagomål mail.docx", "A 47617-2024")</f>
        <v/>
      </c>
      <c r="X128">
        <f>HYPERLINK("https://klasma.github.io/Logging_2260/tillsyn/A 47617-2024 tillsynsbegäran.docx", "A 47617-2024")</f>
        <v/>
      </c>
      <c r="Y128">
        <f>HYPERLINK("https://klasma.github.io/Logging_2260/tillsynsmail/A 47617-2024 tillsynsbegäran mail.docx", "A 47617-2024")</f>
        <v/>
      </c>
    </row>
    <row r="129" ht="15" customHeight="1">
      <c r="A129" t="inlineStr">
        <is>
          <t>A 46417-2025</t>
        </is>
      </c>
      <c r="B129" s="1" t="n">
        <v>45925.59454861111</v>
      </c>
      <c r="C129" s="1" t="n">
        <v>46001</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33806-2025</t>
        </is>
      </c>
      <c r="B130" s="1" t="n">
        <v>45842.44865740741</v>
      </c>
      <c r="C130" s="1" t="n">
        <v>46001</v>
      </c>
      <c r="D130" t="inlineStr">
        <is>
          <t>VÄSTERNORRLANDS LÄN</t>
        </is>
      </c>
      <c r="E130" t="inlineStr">
        <is>
          <t>ÅNGE</t>
        </is>
      </c>
      <c r="F130" t="inlineStr">
        <is>
          <t>SCA</t>
        </is>
      </c>
      <c r="G130" t="n">
        <v>24.6</v>
      </c>
      <c r="H130" t="n">
        <v>3</v>
      </c>
      <c r="I130" t="n">
        <v>1</v>
      </c>
      <c r="J130" t="n">
        <v>0</v>
      </c>
      <c r="K130" t="n">
        <v>1</v>
      </c>
      <c r="L130" t="n">
        <v>0</v>
      </c>
      <c r="M130" t="n">
        <v>0</v>
      </c>
      <c r="N130" t="n">
        <v>0</v>
      </c>
      <c r="O130" t="n">
        <v>1</v>
      </c>
      <c r="P130" t="n">
        <v>1</v>
      </c>
      <c r="Q130" t="n">
        <v>3</v>
      </c>
      <c r="R130" s="2" t="inlineStr">
        <is>
          <t>Knärot
Grönkulla
Nattviol</t>
        </is>
      </c>
      <c r="S130">
        <f>HYPERLINK("https://klasma.github.io/Logging_2260/artfynd/A 33806-2025 artfynd.xlsx", "A 33806-2025")</f>
        <v/>
      </c>
      <c r="T130">
        <f>HYPERLINK("https://klasma.github.io/Logging_2260/kartor/A 33806-2025 karta.png", "A 33806-2025")</f>
        <v/>
      </c>
      <c r="U130">
        <f>HYPERLINK("https://klasma.github.io/Logging_2260/knärot/A 33806-2025 karta knärot.png", "A 33806-2025")</f>
        <v/>
      </c>
      <c r="V130">
        <f>HYPERLINK("https://klasma.github.io/Logging_2260/klagomål/A 33806-2025 FSC-klagomål.docx", "A 33806-2025")</f>
        <v/>
      </c>
      <c r="W130">
        <f>HYPERLINK("https://klasma.github.io/Logging_2260/klagomålsmail/A 33806-2025 FSC-klagomål mail.docx", "A 33806-2025")</f>
        <v/>
      </c>
      <c r="X130">
        <f>HYPERLINK("https://klasma.github.io/Logging_2260/tillsyn/A 33806-2025 tillsynsbegäran.docx", "A 33806-2025")</f>
        <v/>
      </c>
      <c r="Y130">
        <f>HYPERLINK("https://klasma.github.io/Logging_2260/tillsynsmail/A 33806-2025 tillsynsbegäran mail.docx", "A 33806-2025")</f>
        <v/>
      </c>
    </row>
    <row r="131" ht="15" customHeight="1">
      <c r="A131" t="inlineStr">
        <is>
          <t>A 37184-2025</t>
        </is>
      </c>
      <c r="B131" s="1" t="n">
        <v>45875.63591435185</v>
      </c>
      <c r="C131" s="1" t="n">
        <v>46001</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49530-2025</t>
        </is>
      </c>
      <c r="B132" s="1" t="n">
        <v>45939.40700231482</v>
      </c>
      <c r="C132" s="1" t="n">
        <v>46001</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38664-2025</t>
        </is>
      </c>
      <c r="B133" s="1" t="n">
        <v>45884.61503472222</v>
      </c>
      <c r="C133" s="1" t="n">
        <v>46001</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50259-2025</t>
        </is>
      </c>
      <c r="B134" s="1" t="n">
        <v>45944.34498842592</v>
      </c>
      <c r="C134" s="1" t="n">
        <v>46001</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38238-2025</t>
        </is>
      </c>
      <c r="B135" s="1" t="n">
        <v>45883.36497685185</v>
      </c>
      <c r="C135" s="1" t="n">
        <v>46001</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24795-2024</t>
        </is>
      </c>
      <c r="B136" s="1" t="n">
        <v>45460.95252314815</v>
      </c>
      <c r="C136" s="1" t="n">
        <v>46001</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7533-2023</t>
        </is>
      </c>
      <c r="B137" s="1" t="n">
        <v>44971</v>
      </c>
      <c r="C137" s="1" t="n">
        <v>46001</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39181-2024</t>
        </is>
      </c>
      <c r="B138" s="1" t="n">
        <v>45548</v>
      </c>
      <c r="C138" s="1" t="n">
        <v>46001</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21267-2025</t>
        </is>
      </c>
      <c r="B139" s="1" t="n">
        <v>45779</v>
      </c>
      <c r="C139" s="1" t="n">
        <v>46001</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46001</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46001</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46001</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46001</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46001</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46001</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46001</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24176-2025</t>
        </is>
      </c>
      <c r="B147" s="1" t="n">
        <v>45796.69832175926</v>
      </c>
      <c r="C147" s="1" t="n">
        <v>46001</v>
      </c>
      <c r="D147" t="inlineStr">
        <is>
          <t>VÄSTERNORRLANDS LÄN</t>
        </is>
      </c>
      <c r="E147" t="inlineStr">
        <is>
          <t>ÅNGE</t>
        </is>
      </c>
      <c r="F147" t="inlineStr">
        <is>
          <t>SCA</t>
        </is>
      </c>
      <c r="G147" t="n">
        <v>3.9</v>
      </c>
      <c r="H147" t="n">
        <v>0</v>
      </c>
      <c r="I147" t="n">
        <v>1</v>
      </c>
      <c r="J147" t="n">
        <v>1</v>
      </c>
      <c r="K147" t="n">
        <v>0</v>
      </c>
      <c r="L147" t="n">
        <v>0</v>
      </c>
      <c r="M147" t="n">
        <v>0</v>
      </c>
      <c r="N147" t="n">
        <v>0</v>
      </c>
      <c r="O147" t="n">
        <v>1</v>
      </c>
      <c r="P147" t="n">
        <v>0</v>
      </c>
      <c r="Q147" t="n">
        <v>2</v>
      </c>
      <c r="R147" s="2" t="inlineStr">
        <is>
          <t>Vitgrynig nållav
Vedticka</t>
        </is>
      </c>
      <c r="S147">
        <f>HYPERLINK("https://klasma.github.io/Logging_2260/artfynd/A 24176-2025 artfynd.xlsx", "A 24176-2025")</f>
        <v/>
      </c>
      <c r="T147">
        <f>HYPERLINK("https://klasma.github.io/Logging_2260/kartor/A 24176-2025 karta.png", "A 24176-2025")</f>
        <v/>
      </c>
      <c r="V147">
        <f>HYPERLINK("https://klasma.github.io/Logging_2260/klagomål/A 24176-2025 FSC-klagomål.docx", "A 24176-2025")</f>
        <v/>
      </c>
      <c r="W147">
        <f>HYPERLINK("https://klasma.github.io/Logging_2260/klagomålsmail/A 24176-2025 FSC-klagomål mail.docx", "A 24176-2025")</f>
        <v/>
      </c>
      <c r="X147">
        <f>HYPERLINK("https://klasma.github.io/Logging_2260/tillsyn/A 24176-2025 tillsynsbegäran.docx", "A 24176-2025")</f>
        <v/>
      </c>
      <c r="Y147">
        <f>HYPERLINK("https://klasma.github.io/Logging_2260/tillsynsmail/A 24176-2025 tillsynsbegäran mail.docx", "A 24176-2025")</f>
        <v/>
      </c>
    </row>
    <row r="148" ht="15" customHeight="1">
      <c r="A148" t="inlineStr">
        <is>
          <t>A 26906-2025</t>
        </is>
      </c>
      <c r="B148" s="1" t="n">
        <v>45811.34552083333</v>
      </c>
      <c r="C148" s="1" t="n">
        <v>46001</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42864-2025</t>
        </is>
      </c>
      <c r="B149" s="1" t="n">
        <v>45908</v>
      </c>
      <c r="C149" s="1" t="n">
        <v>46001</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43721-2025</t>
        </is>
      </c>
      <c r="B150" s="1" t="n">
        <v>45912.42800925926</v>
      </c>
      <c r="C150" s="1" t="n">
        <v>46001</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54625-2025</t>
        </is>
      </c>
      <c r="B151" s="1" t="n">
        <v>45966.34552083333</v>
      </c>
      <c r="C151" s="1" t="n">
        <v>46001</v>
      </c>
      <c r="D151" t="inlineStr">
        <is>
          <t>VÄSTERNORRLANDS LÄN</t>
        </is>
      </c>
      <c r="E151" t="inlineStr">
        <is>
          <t>ÅNGE</t>
        </is>
      </c>
      <c r="F151" t="inlineStr">
        <is>
          <t>SCA</t>
        </is>
      </c>
      <c r="G151" t="n">
        <v>2.5</v>
      </c>
      <c r="H151" t="n">
        <v>1</v>
      </c>
      <c r="I151" t="n">
        <v>1</v>
      </c>
      <c r="J151" t="n">
        <v>1</v>
      </c>
      <c r="K151" t="n">
        <v>0</v>
      </c>
      <c r="L151" t="n">
        <v>0</v>
      </c>
      <c r="M151" t="n">
        <v>0</v>
      </c>
      <c r="N151" t="n">
        <v>0</v>
      </c>
      <c r="O151" t="n">
        <v>1</v>
      </c>
      <c r="P151" t="n">
        <v>0</v>
      </c>
      <c r="Q151" t="n">
        <v>2</v>
      </c>
      <c r="R151" s="2" t="inlineStr">
        <is>
          <t>Talltita
Dropptaggsvamp</t>
        </is>
      </c>
      <c r="S151">
        <f>HYPERLINK("https://klasma.github.io/Logging_2260/artfynd/A 54625-2025 artfynd.xlsx", "A 54625-2025")</f>
        <v/>
      </c>
      <c r="T151">
        <f>HYPERLINK("https://klasma.github.io/Logging_2260/kartor/A 54625-2025 karta.png", "A 54625-2025")</f>
        <v/>
      </c>
      <c r="V151">
        <f>HYPERLINK("https://klasma.github.io/Logging_2260/klagomål/A 54625-2025 FSC-klagomål.docx", "A 54625-2025")</f>
        <v/>
      </c>
      <c r="W151">
        <f>HYPERLINK("https://klasma.github.io/Logging_2260/klagomålsmail/A 54625-2025 FSC-klagomål mail.docx", "A 54625-2025")</f>
        <v/>
      </c>
      <c r="X151">
        <f>HYPERLINK("https://klasma.github.io/Logging_2260/tillsyn/A 54625-2025 tillsynsbegäran.docx", "A 54625-2025")</f>
        <v/>
      </c>
      <c r="Y151">
        <f>HYPERLINK("https://klasma.github.io/Logging_2260/tillsynsmail/A 54625-2025 tillsynsbegäran mail.docx", "A 54625-2025")</f>
        <v/>
      </c>
      <c r="Z151">
        <f>HYPERLINK("https://klasma.github.io/Logging_2260/fåglar/A 54625-2025 prioriterade fågelarter.docx", "A 54625-2025")</f>
        <v/>
      </c>
    </row>
    <row r="152" ht="15" customHeight="1">
      <c r="A152" t="inlineStr">
        <is>
          <t>A 47719-2024</t>
        </is>
      </c>
      <c r="B152" s="1" t="n">
        <v>45588.48996527777</v>
      </c>
      <c r="C152" s="1" t="n">
        <v>46001</v>
      </c>
      <c r="D152" t="inlineStr">
        <is>
          <t>VÄSTERNORRLANDS LÄN</t>
        </is>
      </c>
      <c r="E152" t="inlineStr">
        <is>
          <t>ÅNGE</t>
        </is>
      </c>
      <c r="F152" t="inlineStr">
        <is>
          <t>SCA</t>
        </is>
      </c>
      <c r="G152" t="n">
        <v>1.4</v>
      </c>
      <c r="H152" t="n">
        <v>0</v>
      </c>
      <c r="I152" t="n">
        <v>0</v>
      </c>
      <c r="J152" t="n">
        <v>2</v>
      </c>
      <c r="K152" t="n">
        <v>0</v>
      </c>
      <c r="L152" t="n">
        <v>0</v>
      </c>
      <c r="M152" t="n">
        <v>0</v>
      </c>
      <c r="N152" t="n">
        <v>0</v>
      </c>
      <c r="O152" t="n">
        <v>2</v>
      </c>
      <c r="P152" t="n">
        <v>0</v>
      </c>
      <c r="Q152" t="n">
        <v>2</v>
      </c>
      <c r="R152" s="2" t="inlineStr">
        <is>
          <t>Dvärgbägarlav
Vedskivlav</t>
        </is>
      </c>
      <c r="S152">
        <f>HYPERLINK("https://klasma.github.io/Logging_2260/artfynd/A 47719-2024 artfynd.xlsx", "A 47719-2024")</f>
        <v/>
      </c>
      <c r="T152">
        <f>HYPERLINK("https://klasma.github.io/Logging_2260/kartor/A 47719-2024 karta.png", "A 47719-2024")</f>
        <v/>
      </c>
      <c r="V152">
        <f>HYPERLINK("https://klasma.github.io/Logging_2260/klagomål/A 47719-2024 FSC-klagomål.docx", "A 47719-2024")</f>
        <v/>
      </c>
      <c r="W152">
        <f>HYPERLINK("https://klasma.github.io/Logging_2260/klagomålsmail/A 47719-2024 FSC-klagomål mail.docx", "A 47719-2024")</f>
        <v/>
      </c>
      <c r="X152">
        <f>HYPERLINK("https://klasma.github.io/Logging_2260/tillsyn/A 47719-2024 tillsynsbegäran.docx", "A 47719-2024")</f>
        <v/>
      </c>
      <c r="Y152">
        <f>HYPERLINK("https://klasma.github.io/Logging_2260/tillsynsmail/A 47719-2024 tillsynsbegäran mail.docx", "A 47719-2024")</f>
        <v/>
      </c>
    </row>
    <row r="153" ht="15" customHeight="1">
      <c r="A153" t="inlineStr">
        <is>
          <t>A 57594-2022</t>
        </is>
      </c>
      <c r="B153" s="1" t="n">
        <v>44896.97854166666</v>
      </c>
      <c r="C153" s="1" t="n">
        <v>46001</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57597-2022</t>
        </is>
      </c>
      <c r="B154" s="1" t="n">
        <v>44896.97878472223</v>
      </c>
      <c r="C154" s="1" t="n">
        <v>46001</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36414-2025</t>
        </is>
      </c>
      <c r="B155" s="1" t="n">
        <v>45868.69246527777</v>
      </c>
      <c r="C155" s="1" t="n">
        <v>46001</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32659-2024</t>
        </is>
      </c>
      <c r="B156" s="1" t="n">
        <v>45513</v>
      </c>
      <c r="C156" s="1" t="n">
        <v>46001</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37800-2025</t>
        </is>
      </c>
      <c r="B157" s="1" t="n">
        <v>45881.34420138889</v>
      </c>
      <c r="C157" s="1" t="n">
        <v>46001</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38298-2025</t>
        </is>
      </c>
      <c r="B158" s="1" t="n">
        <v>45883.4568287037</v>
      </c>
      <c r="C158" s="1" t="n">
        <v>46001</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4873-2025</t>
        </is>
      </c>
      <c r="B159" s="1" t="n">
        <v>45688.67633101852</v>
      </c>
      <c r="C159" s="1" t="n">
        <v>46001</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29325-2023</t>
        </is>
      </c>
      <c r="B160" s="1" t="n">
        <v>45105</v>
      </c>
      <c r="C160" s="1" t="n">
        <v>46001</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46001</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46001</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46001</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46001</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31493-2024</t>
        </is>
      </c>
      <c r="B165" s="1" t="n">
        <v>45505</v>
      </c>
      <c r="C165" s="1" t="n">
        <v>46001</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17861-2023</t>
        </is>
      </c>
      <c r="B166" s="1" t="n">
        <v>45037.94171296297</v>
      </c>
      <c r="C166" s="1" t="n">
        <v>46001</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62861-2021</t>
        </is>
      </c>
      <c r="B167" s="1" t="n">
        <v>44503</v>
      </c>
      <c r="C167" s="1" t="n">
        <v>46001</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46001</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46001</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26020-2024</t>
        </is>
      </c>
      <c r="B170" s="1" t="n">
        <v>45467.9603125</v>
      </c>
      <c r="C170" s="1" t="n">
        <v>46001</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46001</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46001</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46001</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46001</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46001</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46001</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46001</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46001</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46001</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46001</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46001</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46001</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46001</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43171-2024</t>
        </is>
      </c>
      <c r="B184" s="1" t="n">
        <v>45567</v>
      </c>
      <c r="C184" s="1" t="n">
        <v>46001</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24798-2024</t>
        </is>
      </c>
      <c r="B185" s="1" t="n">
        <v>45460.95277777778</v>
      </c>
      <c r="C185" s="1" t="n">
        <v>46001</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HYPERLINK("https://klasma.github.io/Logging_2260/artfynd/A 24798-2024 artfynd.xlsx", "A 24798-2024")</f>
        <v/>
      </c>
      <c r="T185">
        <f>HYPERLINK("https://klasma.github.io/Logging_2260/kartor/A 24798-2024 karta.png", "A 24798-2024")</f>
        <v/>
      </c>
      <c r="V185">
        <f>HYPERLINK("https://klasma.github.io/Logging_2260/klagomål/A 24798-2024 FSC-klagomål.docx", "A 24798-2024")</f>
        <v/>
      </c>
      <c r="W185">
        <f>HYPERLINK("https://klasma.github.io/Logging_2260/klagomålsmail/A 24798-2024 FSC-klagomål mail.docx", "A 24798-2024")</f>
        <v/>
      </c>
      <c r="X185">
        <f>HYPERLINK("https://klasma.github.io/Logging_2260/tillsyn/A 24798-2024 tillsynsbegäran.docx", "A 24798-2024")</f>
        <v/>
      </c>
      <c r="Y185">
        <f>HYPERLINK("https://klasma.github.io/Logging_2260/tillsynsmail/A 24798-2024 tillsynsbegäran mail.docx", "A 24798-2024")</f>
        <v/>
      </c>
    </row>
    <row r="186" ht="15" customHeight="1">
      <c r="A186" t="inlineStr">
        <is>
          <t>A 24799-2024</t>
        </is>
      </c>
      <c r="B186" s="1" t="n">
        <v>45460</v>
      </c>
      <c r="C186" s="1" t="n">
        <v>46001</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13934-2024</t>
        </is>
      </c>
      <c r="B187" s="1" t="n">
        <v>45391</v>
      </c>
      <c r="C187" s="1" t="n">
        <v>46001</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23490-2025</t>
        </is>
      </c>
      <c r="B188" s="1" t="n">
        <v>45792.46907407408</v>
      </c>
      <c r="C188" s="1" t="n">
        <v>46001</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31544-2024</t>
        </is>
      </c>
      <c r="B189" s="1" t="n">
        <v>45505</v>
      </c>
      <c r="C189" s="1" t="n">
        <v>46001</v>
      </c>
      <c r="D189" t="inlineStr">
        <is>
          <t>VÄSTERNORRLANDS LÄN</t>
        </is>
      </c>
      <c r="E189" t="inlineStr">
        <is>
          <t>ÅNGE</t>
        </is>
      </c>
      <c r="F189" t="inlineStr">
        <is>
          <t>SCA</t>
        </is>
      </c>
      <c r="G189" t="n">
        <v>3.5</v>
      </c>
      <c r="H189" t="n">
        <v>0</v>
      </c>
      <c r="I189" t="n">
        <v>0</v>
      </c>
      <c r="J189" t="n">
        <v>1</v>
      </c>
      <c r="K189" t="n">
        <v>0</v>
      </c>
      <c r="L189" t="n">
        <v>0</v>
      </c>
      <c r="M189" t="n">
        <v>0</v>
      </c>
      <c r="N189" t="n">
        <v>0</v>
      </c>
      <c r="O189" t="n">
        <v>1</v>
      </c>
      <c r="P189" t="n">
        <v>0</v>
      </c>
      <c r="Q189" t="n">
        <v>1</v>
      </c>
      <c r="R189" s="2" t="inlineStr">
        <is>
          <t>Granticka</t>
        </is>
      </c>
      <c r="S189">
        <f>HYPERLINK("https://klasma.github.io/Logging_2260/artfynd/A 31544-2024 artfynd.xlsx", "A 31544-2024")</f>
        <v/>
      </c>
      <c r="T189">
        <f>HYPERLINK("https://klasma.github.io/Logging_2260/kartor/A 31544-2024 karta.png", "A 31544-2024")</f>
        <v/>
      </c>
      <c r="V189">
        <f>HYPERLINK("https://klasma.github.io/Logging_2260/klagomål/A 31544-2024 FSC-klagomål.docx", "A 31544-2024")</f>
        <v/>
      </c>
      <c r="W189">
        <f>HYPERLINK("https://klasma.github.io/Logging_2260/klagomålsmail/A 31544-2024 FSC-klagomål mail.docx", "A 31544-2024")</f>
        <v/>
      </c>
      <c r="X189">
        <f>HYPERLINK("https://klasma.github.io/Logging_2260/tillsyn/A 31544-2024 tillsynsbegäran.docx", "A 31544-2024")</f>
        <v/>
      </c>
      <c r="Y189">
        <f>HYPERLINK("https://klasma.github.io/Logging_2260/tillsynsmail/A 31544-2024 tillsynsbegäran mail.docx", "A 31544-2024")</f>
        <v/>
      </c>
    </row>
    <row r="190" ht="15" customHeight="1">
      <c r="A190" t="inlineStr">
        <is>
          <t>A 54386-2024</t>
        </is>
      </c>
      <c r="B190" s="1" t="n">
        <v>45617.44822916666</v>
      </c>
      <c r="C190" s="1" t="n">
        <v>46001</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42524-2025</t>
        </is>
      </c>
      <c r="B191" s="1" t="n">
        <v>45905.55262731481</v>
      </c>
      <c r="C191" s="1" t="n">
        <v>46001</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37914-2024</t>
        </is>
      </c>
      <c r="B192" s="1" t="n">
        <v>45544</v>
      </c>
      <c r="C192" s="1" t="n">
        <v>46001</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43590-2025</t>
        </is>
      </c>
      <c r="B193" s="1" t="n">
        <v>45911.65665509259</v>
      </c>
      <c r="C193" s="1" t="n">
        <v>46001</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27025-2025</t>
        </is>
      </c>
      <c r="B194" s="1" t="n">
        <v>45811</v>
      </c>
      <c r="C194" s="1" t="n">
        <v>46001</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46094-2025</t>
        </is>
      </c>
      <c r="B195" s="1" t="n">
        <v>45924</v>
      </c>
      <c r="C195" s="1" t="n">
        <v>46001</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35648-2025</t>
        </is>
      </c>
      <c r="B196" s="1" t="n">
        <v>45859.51670138889</v>
      </c>
      <c r="C196" s="1" t="n">
        <v>46001</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35839-2025</t>
        </is>
      </c>
      <c r="B197" s="1" t="n">
        <v>45861.53943287037</v>
      </c>
      <c r="C197" s="1" t="n">
        <v>46001</v>
      </c>
      <c r="D197" t="inlineStr">
        <is>
          <t>VÄSTERNORRLANDS LÄN</t>
        </is>
      </c>
      <c r="E197" t="inlineStr">
        <is>
          <t>ÅNGE</t>
        </is>
      </c>
      <c r="F197" t="inlineStr">
        <is>
          <t>Sveaskog</t>
        </is>
      </c>
      <c r="G197" t="n">
        <v>7.9</v>
      </c>
      <c r="H197" t="n">
        <v>0</v>
      </c>
      <c r="I197" t="n">
        <v>0</v>
      </c>
      <c r="J197" t="n">
        <v>1</v>
      </c>
      <c r="K197" t="n">
        <v>0</v>
      </c>
      <c r="L197" t="n">
        <v>0</v>
      </c>
      <c r="M197" t="n">
        <v>0</v>
      </c>
      <c r="N197" t="n">
        <v>0</v>
      </c>
      <c r="O197" t="n">
        <v>1</v>
      </c>
      <c r="P197" t="n">
        <v>0</v>
      </c>
      <c r="Q197" t="n">
        <v>1</v>
      </c>
      <c r="R197" s="2" t="inlineStr">
        <is>
          <t>Lunglav</t>
        </is>
      </c>
      <c r="S197">
        <f>HYPERLINK("https://klasma.github.io/Logging_2260/artfynd/A 35839-2025 artfynd.xlsx", "A 35839-2025")</f>
        <v/>
      </c>
      <c r="T197">
        <f>HYPERLINK("https://klasma.github.io/Logging_2260/kartor/A 35839-2025 karta.png", "A 35839-2025")</f>
        <v/>
      </c>
      <c r="V197">
        <f>HYPERLINK("https://klasma.github.io/Logging_2260/klagomål/A 35839-2025 FSC-klagomål.docx", "A 35839-2025")</f>
        <v/>
      </c>
      <c r="W197">
        <f>HYPERLINK("https://klasma.github.io/Logging_2260/klagomålsmail/A 35839-2025 FSC-klagomål mail.docx", "A 35839-2025")</f>
        <v/>
      </c>
      <c r="X197">
        <f>HYPERLINK("https://klasma.github.io/Logging_2260/tillsyn/A 35839-2025 tillsynsbegäran.docx", "A 35839-2025")</f>
        <v/>
      </c>
      <c r="Y197">
        <f>HYPERLINK("https://klasma.github.io/Logging_2260/tillsynsmail/A 35839-2025 tillsynsbegäran mail.docx", "A 35839-2025")</f>
        <v/>
      </c>
    </row>
    <row r="198" ht="15" customHeight="1">
      <c r="A198" t="inlineStr">
        <is>
          <t>A 47857-2025</t>
        </is>
      </c>
      <c r="B198" s="1" t="n">
        <v>45932.4068287037</v>
      </c>
      <c r="C198" s="1" t="n">
        <v>46001</v>
      </c>
      <c r="D198" t="inlineStr">
        <is>
          <t>VÄSTERNORRLANDS LÄN</t>
        </is>
      </c>
      <c r="E198" t="inlineStr">
        <is>
          <t>ÅNGE</t>
        </is>
      </c>
      <c r="G198" t="n">
        <v>2.5</v>
      </c>
      <c r="H198" t="n">
        <v>1</v>
      </c>
      <c r="I198" t="n">
        <v>0</v>
      </c>
      <c r="J198" t="n">
        <v>1</v>
      </c>
      <c r="K198" t="n">
        <v>0</v>
      </c>
      <c r="L198" t="n">
        <v>0</v>
      </c>
      <c r="M198" t="n">
        <v>0</v>
      </c>
      <c r="N198" t="n">
        <v>0</v>
      </c>
      <c r="O198" t="n">
        <v>1</v>
      </c>
      <c r="P198" t="n">
        <v>0</v>
      </c>
      <c r="Q198" t="n">
        <v>1</v>
      </c>
      <c r="R198" s="2" t="inlineStr">
        <is>
          <t>Kungsörn</t>
        </is>
      </c>
      <c r="S198">
        <f>HYPERLINK("https://klasma.github.io/Logging_2260/artfynd/A 47857-2025 artfynd.xlsx", "A 47857-2025")</f>
        <v/>
      </c>
      <c r="T198">
        <f>HYPERLINK("https://klasma.github.io/Logging_2260/kartor/A 47857-2025 karta.png", "A 47857-2025")</f>
        <v/>
      </c>
      <c r="V198">
        <f>HYPERLINK("https://klasma.github.io/Logging_2260/klagomål/A 47857-2025 FSC-klagomål.docx", "A 47857-2025")</f>
        <v/>
      </c>
      <c r="W198">
        <f>HYPERLINK("https://klasma.github.io/Logging_2260/klagomålsmail/A 47857-2025 FSC-klagomål mail.docx", "A 47857-2025")</f>
        <v/>
      </c>
      <c r="X198">
        <f>HYPERLINK("https://klasma.github.io/Logging_2260/tillsyn/A 47857-2025 tillsynsbegäran.docx", "A 47857-2025")</f>
        <v/>
      </c>
      <c r="Y198">
        <f>HYPERLINK("https://klasma.github.io/Logging_2260/tillsynsmail/A 47857-2025 tillsynsbegäran mail.docx", "A 47857-2025")</f>
        <v/>
      </c>
      <c r="Z198">
        <f>HYPERLINK("https://klasma.github.io/Logging_2260/fåglar/A 47857-2025 prioriterade fågelarter.docx", "A 47857-2025")</f>
        <v/>
      </c>
    </row>
    <row r="199" ht="15" customHeight="1">
      <c r="A199" t="inlineStr">
        <is>
          <t>A 48237-2025</t>
        </is>
      </c>
      <c r="B199" s="1" t="n">
        <v>45933</v>
      </c>
      <c r="C199" s="1" t="n">
        <v>46001</v>
      </c>
      <c r="D199" t="inlineStr">
        <is>
          <t>VÄSTERNORRLANDS LÄN</t>
        </is>
      </c>
      <c r="E199" t="inlineStr">
        <is>
          <t>ÅNGE</t>
        </is>
      </c>
      <c r="F199" t="inlineStr">
        <is>
          <t>SCA</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HYPERLINK("https://klasma.github.io/Logging_2260/artfynd/A 48237-2025 artfynd.xlsx", "A 48237-2025")</f>
        <v/>
      </c>
      <c r="T199">
        <f>HYPERLINK("https://klasma.github.io/Logging_2260/kartor/A 48237-2025 karta.png", "A 48237-2025")</f>
        <v/>
      </c>
      <c r="U199">
        <f>HYPERLINK("https://klasma.github.io/Logging_2260/knärot/A 48237-2025 karta knärot.png", "A 48237-2025")</f>
        <v/>
      </c>
      <c r="V199">
        <f>HYPERLINK("https://klasma.github.io/Logging_2260/klagomål/A 48237-2025 FSC-klagomål.docx", "A 48237-2025")</f>
        <v/>
      </c>
      <c r="W199">
        <f>HYPERLINK("https://klasma.github.io/Logging_2260/klagomålsmail/A 48237-2025 FSC-klagomål mail.docx", "A 48237-2025")</f>
        <v/>
      </c>
      <c r="X199">
        <f>HYPERLINK("https://klasma.github.io/Logging_2260/tillsyn/A 48237-2025 tillsynsbegäran.docx", "A 48237-2025")</f>
        <v/>
      </c>
      <c r="Y199">
        <f>HYPERLINK("https://klasma.github.io/Logging_2260/tillsynsmail/A 48237-2025 tillsynsbegäran mail.docx", "A 48237-2025")</f>
        <v/>
      </c>
    </row>
    <row r="200" ht="15" customHeight="1">
      <c r="A200" t="inlineStr">
        <is>
          <t>A 57272-2024</t>
        </is>
      </c>
      <c r="B200" s="1" t="n">
        <v>45629.57380787037</v>
      </c>
      <c r="C200" s="1" t="n">
        <v>46001</v>
      </c>
      <c r="D200" t="inlineStr">
        <is>
          <t>VÄSTERNORRLANDS LÄN</t>
        </is>
      </c>
      <c r="E200" t="inlineStr">
        <is>
          <t>ÅNGE</t>
        </is>
      </c>
      <c r="F200" t="inlineStr">
        <is>
          <t>SCA</t>
        </is>
      </c>
      <c r="G200" t="n">
        <v>5.4</v>
      </c>
      <c r="H200" t="n">
        <v>0</v>
      </c>
      <c r="I200" t="n">
        <v>0</v>
      </c>
      <c r="J200" t="n">
        <v>1</v>
      </c>
      <c r="K200" t="n">
        <v>0</v>
      </c>
      <c r="L200" t="n">
        <v>0</v>
      </c>
      <c r="M200" t="n">
        <v>0</v>
      </c>
      <c r="N200" t="n">
        <v>0</v>
      </c>
      <c r="O200" t="n">
        <v>1</v>
      </c>
      <c r="P200" t="n">
        <v>0</v>
      </c>
      <c r="Q200" t="n">
        <v>1</v>
      </c>
      <c r="R200" s="2" t="inlineStr">
        <is>
          <t>Orange taggsvamp</t>
        </is>
      </c>
      <c r="S200">
        <f>HYPERLINK("https://klasma.github.io/Logging_2260/artfynd/A 57272-2024 artfynd.xlsx", "A 57272-2024")</f>
        <v/>
      </c>
      <c r="T200">
        <f>HYPERLINK("https://klasma.github.io/Logging_2260/kartor/A 57272-2024 karta.png", "A 57272-2024")</f>
        <v/>
      </c>
      <c r="V200">
        <f>HYPERLINK("https://klasma.github.io/Logging_2260/klagomål/A 57272-2024 FSC-klagomål.docx", "A 57272-2024")</f>
        <v/>
      </c>
      <c r="W200">
        <f>HYPERLINK("https://klasma.github.io/Logging_2260/klagomålsmail/A 57272-2024 FSC-klagomål mail.docx", "A 57272-2024")</f>
        <v/>
      </c>
      <c r="X200">
        <f>HYPERLINK("https://klasma.github.io/Logging_2260/tillsyn/A 57272-2024 tillsynsbegäran.docx", "A 57272-2024")</f>
        <v/>
      </c>
      <c r="Y200">
        <f>HYPERLINK("https://klasma.github.io/Logging_2260/tillsynsmail/A 57272-2024 tillsynsbegäran mail.docx", "A 57272-2024")</f>
        <v/>
      </c>
    </row>
    <row r="201" ht="15" customHeight="1">
      <c r="A201" t="inlineStr">
        <is>
          <t>A 37432-2025</t>
        </is>
      </c>
      <c r="B201" s="1" t="n">
        <v>45877.51106481482</v>
      </c>
      <c r="C201" s="1" t="n">
        <v>46001</v>
      </c>
      <c r="D201" t="inlineStr">
        <is>
          <t>VÄSTERNORRLANDS LÄN</t>
        </is>
      </c>
      <c r="E201" t="inlineStr">
        <is>
          <t>ÅNGE</t>
        </is>
      </c>
      <c r="F201" t="inlineStr">
        <is>
          <t>SCA</t>
        </is>
      </c>
      <c r="G201" t="n">
        <v>1.2</v>
      </c>
      <c r="H201" t="n">
        <v>1</v>
      </c>
      <c r="I201" t="n">
        <v>1</v>
      </c>
      <c r="J201" t="n">
        <v>0</v>
      </c>
      <c r="K201" t="n">
        <v>0</v>
      </c>
      <c r="L201" t="n">
        <v>0</v>
      </c>
      <c r="M201" t="n">
        <v>0</v>
      </c>
      <c r="N201" t="n">
        <v>0</v>
      </c>
      <c r="O201" t="n">
        <v>0</v>
      </c>
      <c r="P201" t="n">
        <v>0</v>
      </c>
      <c r="Q201" t="n">
        <v>1</v>
      </c>
      <c r="R201" s="2" t="inlineStr">
        <is>
          <t>Spindelblomster</t>
        </is>
      </c>
      <c r="S201">
        <f>HYPERLINK("https://klasma.github.io/Logging_2260/artfynd/A 37432-2025 artfynd.xlsx", "A 37432-2025")</f>
        <v/>
      </c>
      <c r="T201">
        <f>HYPERLINK("https://klasma.github.io/Logging_2260/kartor/A 37432-2025 karta.png", "A 37432-2025")</f>
        <v/>
      </c>
      <c r="V201">
        <f>HYPERLINK("https://klasma.github.io/Logging_2260/klagomål/A 37432-2025 FSC-klagomål.docx", "A 37432-2025")</f>
        <v/>
      </c>
      <c r="W201">
        <f>HYPERLINK("https://klasma.github.io/Logging_2260/klagomålsmail/A 37432-2025 FSC-klagomål mail.docx", "A 37432-2025")</f>
        <v/>
      </c>
      <c r="X201">
        <f>HYPERLINK("https://klasma.github.io/Logging_2260/tillsyn/A 37432-2025 tillsynsbegäran.docx", "A 37432-2025")</f>
        <v/>
      </c>
      <c r="Y201">
        <f>HYPERLINK("https://klasma.github.io/Logging_2260/tillsynsmail/A 37432-2025 tillsynsbegäran mail.docx", "A 37432-2025")</f>
        <v/>
      </c>
    </row>
    <row r="202" ht="15" customHeight="1">
      <c r="A202" t="inlineStr">
        <is>
          <t>A 1449-2025</t>
        </is>
      </c>
      <c r="B202" s="1" t="n">
        <v>45670.27537037037</v>
      </c>
      <c r="C202" s="1" t="n">
        <v>46001</v>
      </c>
      <c r="D202" t="inlineStr">
        <is>
          <t>VÄSTERNORRLANDS LÄN</t>
        </is>
      </c>
      <c r="E202" t="inlineStr">
        <is>
          <t>ÅNGE</t>
        </is>
      </c>
      <c r="G202" t="n">
        <v>6.3</v>
      </c>
      <c r="H202" t="n">
        <v>0</v>
      </c>
      <c r="I202" t="n">
        <v>1</v>
      </c>
      <c r="J202" t="n">
        <v>0</v>
      </c>
      <c r="K202" t="n">
        <v>0</v>
      </c>
      <c r="L202" t="n">
        <v>0</v>
      </c>
      <c r="M202" t="n">
        <v>0</v>
      </c>
      <c r="N202" t="n">
        <v>0</v>
      </c>
      <c r="O202" t="n">
        <v>0</v>
      </c>
      <c r="P202" t="n">
        <v>0</v>
      </c>
      <c r="Q202" t="n">
        <v>1</v>
      </c>
      <c r="R202" s="2" t="inlineStr">
        <is>
          <t>Korallblylav</t>
        </is>
      </c>
      <c r="S202">
        <f>HYPERLINK("https://klasma.github.io/Logging_2260/artfynd/A 1449-2025 artfynd.xlsx", "A 1449-2025")</f>
        <v/>
      </c>
      <c r="T202">
        <f>HYPERLINK("https://klasma.github.io/Logging_2260/kartor/A 1449-2025 karta.png", "A 1449-2025")</f>
        <v/>
      </c>
      <c r="V202">
        <f>HYPERLINK("https://klasma.github.io/Logging_2260/klagomål/A 1449-2025 FSC-klagomål.docx", "A 1449-2025")</f>
        <v/>
      </c>
      <c r="W202">
        <f>HYPERLINK("https://klasma.github.io/Logging_2260/klagomålsmail/A 1449-2025 FSC-klagomål mail.docx", "A 1449-2025")</f>
        <v/>
      </c>
      <c r="X202">
        <f>HYPERLINK("https://klasma.github.io/Logging_2260/tillsyn/A 1449-2025 tillsynsbegäran.docx", "A 1449-2025")</f>
        <v/>
      </c>
      <c r="Y202">
        <f>HYPERLINK("https://klasma.github.io/Logging_2260/tillsynsmail/A 1449-2025 tillsynsbegäran mail.docx", "A 1449-2025")</f>
        <v/>
      </c>
    </row>
    <row r="203" ht="15" customHeight="1">
      <c r="A203" t="inlineStr">
        <is>
          <t>A 58534-2025</t>
        </is>
      </c>
      <c r="B203" s="1" t="n">
        <v>45985.80396990741</v>
      </c>
      <c r="C203" s="1" t="n">
        <v>46001</v>
      </c>
      <c r="D203" t="inlineStr">
        <is>
          <t>VÄSTERNORRLANDS LÄN</t>
        </is>
      </c>
      <c r="E203" t="inlineStr">
        <is>
          <t>ÅNGE</t>
        </is>
      </c>
      <c r="F203" t="inlineStr">
        <is>
          <t>Holmen skog AB</t>
        </is>
      </c>
      <c r="G203" t="n">
        <v>2.2</v>
      </c>
      <c r="H203" t="n">
        <v>0</v>
      </c>
      <c r="I203" t="n">
        <v>0</v>
      </c>
      <c r="J203" t="n">
        <v>1</v>
      </c>
      <c r="K203" t="n">
        <v>0</v>
      </c>
      <c r="L203" t="n">
        <v>0</v>
      </c>
      <c r="M203" t="n">
        <v>0</v>
      </c>
      <c r="N203" t="n">
        <v>0</v>
      </c>
      <c r="O203" t="n">
        <v>1</v>
      </c>
      <c r="P203" t="n">
        <v>0</v>
      </c>
      <c r="Q203" t="n">
        <v>1</v>
      </c>
      <c r="R203" s="2" t="inlineStr">
        <is>
          <t>Ullticka</t>
        </is>
      </c>
      <c r="S203">
        <f>HYPERLINK("https://klasma.github.io/Logging_2260/artfynd/A 58534-2025 artfynd.xlsx", "A 58534-2025")</f>
        <v/>
      </c>
      <c r="T203">
        <f>HYPERLINK("https://klasma.github.io/Logging_2260/kartor/A 58534-2025 karta.png", "A 58534-2025")</f>
        <v/>
      </c>
      <c r="V203">
        <f>HYPERLINK("https://klasma.github.io/Logging_2260/klagomål/A 58534-2025 FSC-klagomål.docx", "A 58534-2025")</f>
        <v/>
      </c>
      <c r="W203">
        <f>HYPERLINK("https://klasma.github.io/Logging_2260/klagomålsmail/A 58534-2025 FSC-klagomål mail.docx", "A 58534-2025")</f>
        <v/>
      </c>
      <c r="X203">
        <f>HYPERLINK("https://klasma.github.io/Logging_2260/tillsyn/A 58534-2025 tillsynsbegäran.docx", "A 58534-2025")</f>
        <v/>
      </c>
      <c r="Y203">
        <f>HYPERLINK("https://klasma.github.io/Logging_2260/tillsynsmail/A 58534-2025 tillsynsbegäran mail.docx", "A 58534-2025")</f>
        <v/>
      </c>
    </row>
    <row r="204" ht="15" customHeight="1">
      <c r="A204" t="inlineStr">
        <is>
          <t>A 53683-2025</t>
        </is>
      </c>
      <c r="B204" s="1" t="n">
        <v>45960</v>
      </c>
      <c r="C204" s="1" t="n">
        <v>46001</v>
      </c>
      <c r="D204" t="inlineStr">
        <is>
          <t>VÄSTERNORRLANDS LÄN</t>
        </is>
      </c>
      <c r="E204" t="inlineStr">
        <is>
          <t>ÅNGE</t>
        </is>
      </c>
      <c r="F204" t="inlineStr">
        <is>
          <t>SCA</t>
        </is>
      </c>
      <c r="G204" t="n">
        <v>3.6</v>
      </c>
      <c r="H204" t="n">
        <v>0</v>
      </c>
      <c r="I204" t="n">
        <v>1</v>
      </c>
      <c r="J204" t="n">
        <v>0</v>
      </c>
      <c r="K204" t="n">
        <v>0</v>
      </c>
      <c r="L204" t="n">
        <v>0</v>
      </c>
      <c r="M204" t="n">
        <v>0</v>
      </c>
      <c r="N204" t="n">
        <v>0</v>
      </c>
      <c r="O204" t="n">
        <v>0</v>
      </c>
      <c r="P204" t="n">
        <v>0</v>
      </c>
      <c r="Q204" t="n">
        <v>1</v>
      </c>
      <c r="R204" s="2" t="inlineStr">
        <is>
          <t>Ögonpyrola</t>
        </is>
      </c>
      <c r="S204">
        <f>HYPERLINK("https://klasma.github.io/Logging_2260/artfynd/A 53683-2025 artfynd.xlsx", "A 53683-2025")</f>
        <v/>
      </c>
      <c r="T204">
        <f>HYPERLINK("https://klasma.github.io/Logging_2260/kartor/A 53683-2025 karta.png", "A 53683-2025")</f>
        <v/>
      </c>
      <c r="U204">
        <f>HYPERLINK("https://klasma.github.io/Logging_2260/knärot/A 53683-2025 karta knärot.png", "A 53683-2025")</f>
        <v/>
      </c>
      <c r="V204">
        <f>HYPERLINK("https://klasma.github.io/Logging_2260/klagomål/A 53683-2025 FSC-klagomål.docx", "A 53683-2025")</f>
        <v/>
      </c>
      <c r="W204">
        <f>HYPERLINK("https://klasma.github.io/Logging_2260/klagomålsmail/A 53683-2025 FSC-klagomål mail.docx", "A 53683-2025")</f>
        <v/>
      </c>
      <c r="X204">
        <f>HYPERLINK("https://klasma.github.io/Logging_2260/tillsyn/A 53683-2025 tillsynsbegäran.docx", "A 53683-2025")</f>
        <v/>
      </c>
      <c r="Y204">
        <f>HYPERLINK("https://klasma.github.io/Logging_2260/tillsynsmail/A 53683-2025 tillsynsbegäran mail.docx", "A 53683-2025")</f>
        <v/>
      </c>
    </row>
    <row r="205" ht="15" customHeight="1">
      <c r="A205" t="inlineStr">
        <is>
          <t>A 29327-2023</t>
        </is>
      </c>
      <c r="B205" s="1" t="n">
        <v>45105.94349537037</v>
      </c>
      <c r="C205" s="1" t="n">
        <v>46001</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61076-2025</t>
        </is>
      </c>
      <c r="B206" s="1" t="n">
        <v>46000.39689814814</v>
      </c>
      <c r="C206" s="1" t="n">
        <v>46001</v>
      </c>
      <c r="D206" t="inlineStr">
        <is>
          <t>VÄSTERNORRLANDS LÄN</t>
        </is>
      </c>
      <c r="E206" t="inlineStr">
        <is>
          <t>ÅNGE</t>
        </is>
      </c>
      <c r="F206" t="inlineStr">
        <is>
          <t>Holmen skog AB</t>
        </is>
      </c>
      <c r="G206" t="n">
        <v>2.7</v>
      </c>
      <c r="H206" t="n">
        <v>0</v>
      </c>
      <c r="I206" t="n">
        <v>1</v>
      </c>
      <c r="J206" t="n">
        <v>0</v>
      </c>
      <c r="K206" t="n">
        <v>0</v>
      </c>
      <c r="L206" t="n">
        <v>0</v>
      </c>
      <c r="M206" t="n">
        <v>0</v>
      </c>
      <c r="N206" t="n">
        <v>0</v>
      </c>
      <c r="O206" t="n">
        <v>0</v>
      </c>
      <c r="P206" t="n">
        <v>0</v>
      </c>
      <c r="Q206" t="n">
        <v>1</v>
      </c>
      <c r="R206" s="2" t="inlineStr">
        <is>
          <t>Stor aspticka</t>
        </is>
      </c>
      <c r="S206">
        <f>HYPERLINK("https://klasma.github.io/Logging_2260/artfynd/A 61076-2025 artfynd.xlsx", "A 61076-2025")</f>
        <v/>
      </c>
      <c r="T206">
        <f>HYPERLINK("https://klasma.github.io/Logging_2260/kartor/A 61076-2025 karta.png", "A 61076-2025")</f>
        <v/>
      </c>
      <c r="V206">
        <f>HYPERLINK("https://klasma.github.io/Logging_2260/klagomål/A 61076-2025 FSC-klagomål.docx", "A 61076-2025")</f>
        <v/>
      </c>
      <c r="W206">
        <f>HYPERLINK("https://klasma.github.io/Logging_2260/klagomålsmail/A 61076-2025 FSC-klagomål mail.docx", "A 61076-2025")</f>
        <v/>
      </c>
      <c r="X206">
        <f>HYPERLINK("https://klasma.github.io/Logging_2260/tillsyn/A 61076-2025 tillsynsbegäran.docx", "A 61076-2025")</f>
        <v/>
      </c>
      <c r="Y206">
        <f>HYPERLINK("https://klasma.github.io/Logging_2260/tillsynsmail/A 61076-2025 tillsynsbegäran mail.docx", "A 61076-2025")</f>
        <v/>
      </c>
    </row>
    <row r="207" ht="15" customHeight="1">
      <c r="A207" t="inlineStr">
        <is>
          <t>A 30774-2024</t>
        </is>
      </c>
      <c r="B207" s="1" t="n">
        <v>45496.949375</v>
      </c>
      <c r="C207" s="1" t="n">
        <v>46001</v>
      </c>
      <c r="D207" t="inlineStr">
        <is>
          <t>VÄSTERNORRLANDS LÄN</t>
        </is>
      </c>
      <c r="E207" t="inlineStr">
        <is>
          <t>ÅNGE</t>
        </is>
      </c>
      <c r="F207" t="inlineStr">
        <is>
          <t>SCA</t>
        </is>
      </c>
      <c r="G207" t="n">
        <v>2.2</v>
      </c>
      <c r="H207" t="n">
        <v>1</v>
      </c>
      <c r="I207" t="n">
        <v>0</v>
      </c>
      <c r="J207" t="n">
        <v>0</v>
      </c>
      <c r="K207" t="n">
        <v>0</v>
      </c>
      <c r="L207" t="n">
        <v>0</v>
      </c>
      <c r="M207" t="n">
        <v>0</v>
      </c>
      <c r="N207" t="n">
        <v>0</v>
      </c>
      <c r="O207" t="n">
        <v>0</v>
      </c>
      <c r="P207" t="n">
        <v>0</v>
      </c>
      <c r="Q207" t="n">
        <v>1</v>
      </c>
      <c r="R207" s="2" t="inlineStr">
        <is>
          <t>Tjäder</t>
        </is>
      </c>
      <c r="S207">
        <f>HYPERLINK("https://klasma.github.io/Logging_2260/artfynd/A 30774-2024 artfynd.xlsx", "A 30774-2024")</f>
        <v/>
      </c>
      <c r="T207">
        <f>HYPERLINK("https://klasma.github.io/Logging_2260/kartor/A 30774-2024 karta.png", "A 30774-2024")</f>
        <v/>
      </c>
      <c r="V207">
        <f>HYPERLINK("https://klasma.github.io/Logging_2260/klagomål/A 30774-2024 FSC-klagomål.docx", "A 30774-2024")</f>
        <v/>
      </c>
      <c r="W207">
        <f>HYPERLINK("https://klasma.github.io/Logging_2260/klagomålsmail/A 30774-2024 FSC-klagomål mail.docx", "A 30774-2024")</f>
        <v/>
      </c>
      <c r="X207">
        <f>HYPERLINK("https://klasma.github.io/Logging_2260/tillsyn/A 30774-2024 tillsynsbegäran.docx", "A 30774-2024")</f>
        <v/>
      </c>
      <c r="Y207">
        <f>HYPERLINK("https://klasma.github.io/Logging_2260/tillsynsmail/A 30774-2024 tillsynsbegäran mail.docx", "A 30774-2024")</f>
        <v/>
      </c>
      <c r="Z207">
        <f>HYPERLINK("https://klasma.github.io/Logging_2260/fåglar/A 30774-2024 prioriterade fågelarter.docx", "A 30774-2024")</f>
        <v/>
      </c>
    </row>
    <row r="208" ht="15" customHeight="1">
      <c r="A208" t="inlineStr">
        <is>
          <t>A 64510-2023</t>
        </is>
      </c>
      <c r="B208" s="1" t="n">
        <v>45281</v>
      </c>
      <c r="C208" s="1" t="n">
        <v>46001</v>
      </c>
      <c r="D208" t="inlineStr">
        <is>
          <t>VÄSTERNORRLANDS LÄN</t>
        </is>
      </c>
      <c r="E208" t="inlineStr">
        <is>
          <t>ÅNGE</t>
        </is>
      </c>
      <c r="G208" t="n">
        <v>3.7</v>
      </c>
      <c r="H208" t="n">
        <v>0</v>
      </c>
      <c r="I208" t="n">
        <v>1</v>
      </c>
      <c r="J208" t="n">
        <v>0</v>
      </c>
      <c r="K208" t="n">
        <v>0</v>
      </c>
      <c r="L208" t="n">
        <v>0</v>
      </c>
      <c r="M208" t="n">
        <v>0</v>
      </c>
      <c r="N208" t="n">
        <v>0</v>
      </c>
      <c r="O208" t="n">
        <v>0</v>
      </c>
      <c r="P208" t="n">
        <v>0</v>
      </c>
      <c r="Q208" t="n">
        <v>1</v>
      </c>
      <c r="R208" s="2" t="inlineStr">
        <is>
          <t>Dropptaggsvamp</t>
        </is>
      </c>
      <c r="S208">
        <f>HYPERLINK("https://klasma.github.io/Logging_2260/artfynd/A 64510-2023 artfynd.xlsx", "A 64510-2023")</f>
        <v/>
      </c>
      <c r="T208">
        <f>HYPERLINK("https://klasma.github.io/Logging_2260/kartor/A 64510-2023 karta.png", "A 64510-2023")</f>
        <v/>
      </c>
      <c r="V208">
        <f>HYPERLINK("https://klasma.github.io/Logging_2260/klagomål/A 64510-2023 FSC-klagomål.docx", "A 64510-2023")</f>
        <v/>
      </c>
      <c r="W208">
        <f>HYPERLINK("https://klasma.github.io/Logging_2260/klagomålsmail/A 64510-2023 FSC-klagomål mail.docx", "A 64510-2023")</f>
        <v/>
      </c>
      <c r="X208">
        <f>HYPERLINK("https://klasma.github.io/Logging_2260/tillsyn/A 64510-2023 tillsynsbegäran.docx", "A 64510-2023")</f>
        <v/>
      </c>
      <c r="Y208">
        <f>HYPERLINK("https://klasma.github.io/Logging_2260/tillsynsmail/A 64510-2023 tillsynsbegäran mail.docx", "A 64510-2023")</f>
        <v/>
      </c>
    </row>
    <row r="209" ht="15" customHeight="1">
      <c r="A209" t="inlineStr">
        <is>
          <t>A 38603-2024</t>
        </is>
      </c>
      <c r="B209" s="1" t="n">
        <v>45546</v>
      </c>
      <c r="C209" s="1" t="n">
        <v>46001</v>
      </c>
      <c r="D209" t="inlineStr">
        <is>
          <t>VÄSTERNORRLANDS LÄN</t>
        </is>
      </c>
      <c r="E209" t="inlineStr">
        <is>
          <t>ÅNGE</t>
        </is>
      </c>
      <c r="F209" t="inlineStr">
        <is>
          <t>SCA</t>
        </is>
      </c>
      <c r="G209" t="n">
        <v>5.6</v>
      </c>
      <c r="H209" t="n">
        <v>0</v>
      </c>
      <c r="I209" t="n">
        <v>0</v>
      </c>
      <c r="J209" t="n">
        <v>0</v>
      </c>
      <c r="K209" t="n">
        <v>1</v>
      </c>
      <c r="L209" t="n">
        <v>0</v>
      </c>
      <c r="M209" t="n">
        <v>0</v>
      </c>
      <c r="N209" t="n">
        <v>0</v>
      </c>
      <c r="O209" t="n">
        <v>1</v>
      </c>
      <c r="P209" t="n">
        <v>1</v>
      </c>
      <c r="Q209" t="n">
        <v>1</v>
      </c>
      <c r="R209" s="2" t="inlineStr">
        <is>
          <t>Rynkskinn</t>
        </is>
      </c>
      <c r="S209">
        <f>HYPERLINK("https://klasma.github.io/Logging_2260/artfynd/A 38603-2024 artfynd.xlsx", "A 38603-2024")</f>
        <v/>
      </c>
      <c r="T209">
        <f>HYPERLINK("https://klasma.github.io/Logging_2260/kartor/A 38603-2024 karta.png", "A 38603-2024")</f>
        <v/>
      </c>
      <c r="V209">
        <f>HYPERLINK("https://klasma.github.io/Logging_2260/klagomål/A 38603-2024 FSC-klagomål.docx", "A 38603-2024")</f>
        <v/>
      </c>
      <c r="W209">
        <f>HYPERLINK("https://klasma.github.io/Logging_2260/klagomålsmail/A 38603-2024 FSC-klagomål mail.docx", "A 38603-2024")</f>
        <v/>
      </c>
      <c r="X209">
        <f>HYPERLINK("https://klasma.github.io/Logging_2260/tillsyn/A 38603-2024 tillsynsbegäran.docx", "A 38603-2024")</f>
        <v/>
      </c>
      <c r="Y209">
        <f>HYPERLINK("https://klasma.github.io/Logging_2260/tillsynsmail/A 38603-2024 tillsynsbegäran mail.docx", "A 38603-2024")</f>
        <v/>
      </c>
    </row>
    <row r="210" ht="15" customHeight="1">
      <c r="A210" t="inlineStr">
        <is>
          <t>A 20192-2025</t>
        </is>
      </c>
      <c r="B210" s="1" t="n">
        <v>45772.60177083333</v>
      </c>
      <c r="C210" s="1" t="n">
        <v>46001</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71366-2021</t>
        </is>
      </c>
      <c r="B211" s="1" t="n">
        <v>44539</v>
      </c>
      <c r="C211" s="1" t="n">
        <v>46001</v>
      </c>
      <c r="D211" t="inlineStr">
        <is>
          <t>VÄSTERNORRLANDS LÄN</t>
        </is>
      </c>
      <c r="E211" t="inlineStr">
        <is>
          <t>ÅNGE</t>
        </is>
      </c>
      <c r="F211" t="inlineStr">
        <is>
          <t>SCA</t>
        </is>
      </c>
      <c r="G211" t="n">
        <v>2.3</v>
      </c>
      <c r="H211" t="n">
        <v>1</v>
      </c>
      <c r="I211" t="n">
        <v>0</v>
      </c>
      <c r="J211" t="n">
        <v>0</v>
      </c>
      <c r="K211" t="n">
        <v>1</v>
      </c>
      <c r="L211" t="n">
        <v>0</v>
      </c>
      <c r="M211" t="n">
        <v>0</v>
      </c>
      <c r="N211" t="n">
        <v>0</v>
      </c>
      <c r="O211" t="n">
        <v>1</v>
      </c>
      <c r="P211" t="n">
        <v>1</v>
      </c>
      <c r="Q211" t="n">
        <v>1</v>
      </c>
      <c r="R211" s="2" t="inlineStr">
        <is>
          <t>Knärot</t>
        </is>
      </c>
      <c r="S211">
        <f>HYPERLINK("https://klasma.github.io/Logging_2260/artfynd/A 71366-2021 artfynd.xlsx", "A 71366-2021")</f>
        <v/>
      </c>
      <c r="T211">
        <f>HYPERLINK("https://klasma.github.io/Logging_2260/kartor/A 71366-2021 karta.png", "A 71366-2021")</f>
        <v/>
      </c>
      <c r="U211">
        <f>HYPERLINK("https://klasma.github.io/Logging_2260/knärot/A 71366-2021 karta knärot.png", "A 71366-2021")</f>
        <v/>
      </c>
      <c r="V211">
        <f>HYPERLINK("https://klasma.github.io/Logging_2260/klagomål/A 71366-2021 FSC-klagomål.docx", "A 71366-2021")</f>
        <v/>
      </c>
      <c r="W211">
        <f>HYPERLINK("https://klasma.github.io/Logging_2260/klagomålsmail/A 71366-2021 FSC-klagomål mail.docx", "A 71366-2021")</f>
        <v/>
      </c>
      <c r="X211">
        <f>HYPERLINK("https://klasma.github.io/Logging_2260/tillsyn/A 71366-2021 tillsynsbegäran.docx", "A 71366-2021")</f>
        <v/>
      </c>
      <c r="Y211">
        <f>HYPERLINK("https://klasma.github.io/Logging_2260/tillsynsmail/A 71366-2021 tillsynsbegäran mail.docx", "A 71366-2021")</f>
        <v/>
      </c>
    </row>
    <row r="212" ht="15" customHeight="1">
      <c r="A212" t="inlineStr">
        <is>
          <t>A 56091-2024</t>
        </is>
      </c>
      <c r="B212" s="1" t="n">
        <v>45624.40678240741</v>
      </c>
      <c r="C212" s="1" t="n">
        <v>46001</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31878-2024</t>
        </is>
      </c>
      <c r="B213" s="1" t="n">
        <v>45509</v>
      </c>
      <c r="C213" s="1" t="n">
        <v>46001</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31510-2024</t>
        </is>
      </c>
      <c r="B214" s="1" t="n">
        <v>45505</v>
      </c>
      <c r="C214" s="1" t="n">
        <v>46001</v>
      </c>
      <c r="D214" t="inlineStr">
        <is>
          <t>VÄSTERNORRLANDS LÄN</t>
        </is>
      </c>
      <c r="E214" t="inlineStr">
        <is>
          <t>ÅNGE</t>
        </is>
      </c>
      <c r="F214" t="inlineStr">
        <is>
          <t>SCA</t>
        </is>
      </c>
      <c r="G214" t="n">
        <v>6</v>
      </c>
      <c r="H214" t="n">
        <v>1</v>
      </c>
      <c r="I214" t="n">
        <v>0</v>
      </c>
      <c r="J214" t="n">
        <v>0</v>
      </c>
      <c r="K214" t="n">
        <v>1</v>
      </c>
      <c r="L214" t="n">
        <v>0</v>
      </c>
      <c r="M214" t="n">
        <v>0</v>
      </c>
      <c r="N214" t="n">
        <v>0</v>
      </c>
      <c r="O214" t="n">
        <v>1</v>
      </c>
      <c r="P214" t="n">
        <v>1</v>
      </c>
      <c r="Q214" t="n">
        <v>1</v>
      </c>
      <c r="R214" s="2" t="inlineStr">
        <is>
          <t>Doftticka</t>
        </is>
      </c>
      <c r="S214">
        <f>HYPERLINK("https://klasma.github.io/Logging_2260/artfynd/A 31510-2024 artfynd.xlsx", "A 31510-2024")</f>
        <v/>
      </c>
      <c r="T214">
        <f>HYPERLINK("https://klasma.github.io/Logging_2260/kartor/A 31510-2024 karta.png", "A 31510-2024")</f>
        <v/>
      </c>
      <c r="V214">
        <f>HYPERLINK("https://klasma.github.io/Logging_2260/klagomål/A 31510-2024 FSC-klagomål.docx", "A 31510-2024")</f>
        <v/>
      </c>
      <c r="W214">
        <f>HYPERLINK("https://klasma.github.io/Logging_2260/klagomålsmail/A 31510-2024 FSC-klagomål mail.docx", "A 31510-2024")</f>
        <v/>
      </c>
      <c r="X214">
        <f>HYPERLINK("https://klasma.github.io/Logging_2260/tillsyn/A 31510-2024 tillsynsbegäran.docx", "A 31510-2024")</f>
        <v/>
      </c>
      <c r="Y214">
        <f>HYPERLINK("https://klasma.github.io/Logging_2260/tillsynsmail/A 31510-2024 tillsynsbegäran mail.docx", "A 31510-2024")</f>
        <v/>
      </c>
    </row>
    <row r="215" ht="15" customHeight="1">
      <c r="A215" t="inlineStr">
        <is>
          <t>A 55015-2023</t>
        </is>
      </c>
      <c r="B215" s="1" t="n">
        <v>45237.32185185186</v>
      </c>
      <c r="C215" s="1" t="n">
        <v>46001</v>
      </c>
      <c r="D215" t="inlineStr">
        <is>
          <t>VÄSTERNORRLANDS LÄN</t>
        </is>
      </c>
      <c r="E215" t="inlineStr">
        <is>
          <t>ÅNGE</t>
        </is>
      </c>
      <c r="F215" t="inlineStr">
        <is>
          <t>Sveaskog</t>
        </is>
      </c>
      <c r="G215" t="n">
        <v>2.7</v>
      </c>
      <c r="H215" t="n">
        <v>0</v>
      </c>
      <c r="I215" t="n">
        <v>0</v>
      </c>
      <c r="J215" t="n">
        <v>1</v>
      </c>
      <c r="K215" t="n">
        <v>0</v>
      </c>
      <c r="L215" t="n">
        <v>0</v>
      </c>
      <c r="M215" t="n">
        <v>0</v>
      </c>
      <c r="N215" t="n">
        <v>0</v>
      </c>
      <c r="O215" t="n">
        <v>1</v>
      </c>
      <c r="P215" t="n">
        <v>0</v>
      </c>
      <c r="Q215" t="n">
        <v>1</v>
      </c>
      <c r="R215" s="2" t="inlineStr">
        <is>
          <t>Lunglav</t>
        </is>
      </c>
      <c r="S215">
        <f>HYPERLINK("https://klasma.github.io/Logging_2260/artfynd/A 55015-2023 artfynd.xlsx", "A 55015-2023")</f>
        <v/>
      </c>
      <c r="T215">
        <f>HYPERLINK("https://klasma.github.io/Logging_2260/kartor/A 55015-2023 karta.png", "A 55015-2023")</f>
        <v/>
      </c>
      <c r="V215">
        <f>HYPERLINK("https://klasma.github.io/Logging_2260/klagomål/A 55015-2023 FSC-klagomål.docx", "A 55015-2023")</f>
        <v/>
      </c>
      <c r="W215">
        <f>HYPERLINK("https://klasma.github.io/Logging_2260/klagomålsmail/A 55015-2023 FSC-klagomål mail.docx", "A 55015-2023")</f>
        <v/>
      </c>
      <c r="X215">
        <f>HYPERLINK("https://klasma.github.io/Logging_2260/tillsyn/A 55015-2023 tillsynsbegäran.docx", "A 55015-2023")</f>
        <v/>
      </c>
      <c r="Y215">
        <f>HYPERLINK("https://klasma.github.io/Logging_2260/tillsynsmail/A 55015-2023 tillsynsbegäran mail.docx", "A 55015-2023")</f>
        <v/>
      </c>
    </row>
    <row r="216" ht="15" customHeight="1">
      <c r="A216" t="inlineStr">
        <is>
          <t>A 34696-2024</t>
        </is>
      </c>
      <c r="B216" s="1" t="n">
        <v>45526</v>
      </c>
      <c r="C216" s="1" t="n">
        <v>46001</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41493-2021</t>
        </is>
      </c>
      <c r="B217" s="1" t="n">
        <v>44424</v>
      </c>
      <c r="C217" s="1" t="n">
        <v>46001</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25705-2024</t>
        </is>
      </c>
      <c r="B218" s="1" t="n">
        <v>45463.9428587963</v>
      </c>
      <c r="C218" s="1" t="n">
        <v>46001</v>
      </c>
      <c r="D218" t="inlineStr">
        <is>
          <t>VÄSTERNORRLANDS LÄN</t>
        </is>
      </c>
      <c r="E218" t="inlineStr">
        <is>
          <t>ÅNGE</t>
        </is>
      </c>
      <c r="F218" t="inlineStr">
        <is>
          <t>SCA</t>
        </is>
      </c>
      <c r="G218" t="n">
        <v>10.6</v>
      </c>
      <c r="H218" t="n">
        <v>1</v>
      </c>
      <c r="I218" t="n">
        <v>1</v>
      </c>
      <c r="J218" t="n">
        <v>0</v>
      </c>
      <c r="K218" t="n">
        <v>0</v>
      </c>
      <c r="L218" t="n">
        <v>0</v>
      </c>
      <c r="M218" t="n">
        <v>0</v>
      </c>
      <c r="N218" t="n">
        <v>0</v>
      </c>
      <c r="O218" t="n">
        <v>0</v>
      </c>
      <c r="P218" t="n">
        <v>0</v>
      </c>
      <c r="Q218" t="n">
        <v>1</v>
      </c>
      <c r="R218" s="2" t="inlineStr">
        <is>
          <t>Korallrot</t>
        </is>
      </c>
      <c r="S218">
        <f>HYPERLINK("https://klasma.github.io/Logging_2260/artfynd/A 25705-2024 artfynd.xlsx", "A 25705-2024")</f>
        <v/>
      </c>
      <c r="T218">
        <f>HYPERLINK("https://klasma.github.io/Logging_2260/kartor/A 25705-2024 karta.png", "A 25705-2024")</f>
        <v/>
      </c>
      <c r="V218">
        <f>HYPERLINK("https://klasma.github.io/Logging_2260/klagomål/A 25705-2024 FSC-klagomål.docx", "A 25705-2024")</f>
        <v/>
      </c>
      <c r="W218">
        <f>HYPERLINK("https://klasma.github.io/Logging_2260/klagomålsmail/A 25705-2024 FSC-klagomål mail.docx", "A 25705-2024")</f>
        <v/>
      </c>
      <c r="X218">
        <f>HYPERLINK("https://klasma.github.io/Logging_2260/tillsyn/A 25705-2024 tillsynsbegäran.docx", "A 25705-2024")</f>
        <v/>
      </c>
      <c r="Y218">
        <f>HYPERLINK("https://klasma.github.io/Logging_2260/tillsynsmail/A 25705-2024 tillsynsbegäran mail.docx", "A 25705-2024")</f>
        <v/>
      </c>
    </row>
    <row r="219" ht="15" customHeight="1">
      <c r="A219" t="inlineStr">
        <is>
          <t>A 52424-2023</t>
        </is>
      </c>
      <c r="B219" s="1" t="n">
        <v>45217</v>
      </c>
      <c r="C219" s="1" t="n">
        <v>46001</v>
      </c>
      <c r="D219" t="inlineStr">
        <is>
          <t>VÄSTERNORRLANDS LÄN</t>
        </is>
      </c>
      <c r="E219" t="inlineStr">
        <is>
          <t>ÅNGE</t>
        </is>
      </c>
      <c r="F219" t="inlineStr">
        <is>
          <t>SCA</t>
        </is>
      </c>
      <c r="G219" t="n">
        <v>3.8</v>
      </c>
      <c r="H219" t="n">
        <v>1</v>
      </c>
      <c r="I219" t="n">
        <v>0</v>
      </c>
      <c r="J219" t="n">
        <v>0</v>
      </c>
      <c r="K219" t="n">
        <v>0</v>
      </c>
      <c r="L219" t="n">
        <v>0</v>
      </c>
      <c r="M219" t="n">
        <v>0</v>
      </c>
      <c r="N219" t="n">
        <v>0</v>
      </c>
      <c r="O219" t="n">
        <v>0</v>
      </c>
      <c r="P219" t="n">
        <v>0</v>
      </c>
      <c r="Q219" t="n">
        <v>1</v>
      </c>
      <c r="R219" s="2" t="inlineStr">
        <is>
          <t>Revlummer</t>
        </is>
      </c>
      <c r="S219">
        <f>HYPERLINK("https://klasma.github.io/Logging_2260/artfynd/A 52424-2023 artfynd.xlsx", "A 52424-2023")</f>
        <v/>
      </c>
      <c r="T219">
        <f>HYPERLINK("https://klasma.github.io/Logging_2260/kartor/A 52424-2023 karta.png", "A 52424-2023")</f>
        <v/>
      </c>
      <c r="V219">
        <f>HYPERLINK("https://klasma.github.io/Logging_2260/klagomål/A 52424-2023 FSC-klagomål.docx", "A 52424-2023")</f>
        <v/>
      </c>
      <c r="W219">
        <f>HYPERLINK("https://klasma.github.io/Logging_2260/klagomålsmail/A 52424-2023 FSC-klagomål mail.docx", "A 52424-2023")</f>
        <v/>
      </c>
      <c r="X219">
        <f>HYPERLINK("https://klasma.github.io/Logging_2260/tillsyn/A 52424-2023 tillsynsbegäran.docx", "A 52424-2023")</f>
        <v/>
      </c>
      <c r="Y219">
        <f>HYPERLINK("https://klasma.github.io/Logging_2260/tillsynsmail/A 52424-2023 tillsynsbegäran mail.docx", "A 52424-2023")</f>
        <v/>
      </c>
    </row>
    <row r="220" ht="15" customHeight="1">
      <c r="A220" t="inlineStr">
        <is>
          <t>A 39638-2024</t>
        </is>
      </c>
      <c r="B220" s="1" t="n">
        <v>45552</v>
      </c>
      <c r="C220" s="1" t="n">
        <v>46001</v>
      </c>
      <c r="D220" t="inlineStr">
        <is>
          <t>VÄSTERNORRLANDS LÄN</t>
        </is>
      </c>
      <c r="E220" t="inlineStr">
        <is>
          <t>ÅNGE</t>
        </is>
      </c>
      <c r="G220" t="n">
        <v>3</v>
      </c>
      <c r="H220" t="n">
        <v>1</v>
      </c>
      <c r="I220" t="n">
        <v>0</v>
      </c>
      <c r="J220" t="n">
        <v>0</v>
      </c>
      <c r="K220" t="n">
        <v>0</v>
      </c>
      <c r="L220" t="n">
        <v>0</v>
      </c>
      <c r="M220" t="n">
        <v>0</v>
      </c>
      <c r="N220" t="n">
        <v>0</v>
      </c>
      <c r="O220" t="n">
        <v>0</v>
      </c>
      <c r="P220" t="n">
        <v>0</v>
      </c>
      <c r="Q220" t="n">
        <v>1</v>
      </c>
      <c r="R220" s="2" t="inlineStr">
        <is>
          <t>Tjäder</t>
        </is>
      </c>
      <c r="S220">
        <f>HYPERLINK("https://klasma.github.io/Logging_2260/artfynd/A 39638-2024 artfynd.xlsx", "A 39638-2024")</f>
        <v/>
      </c>
      <c r="T220">
        <f>HYPERLINK("https://klasma.github.io/Logging_2260/kartor/A 39638-2024 karta.png", "A 39638-2024")</f>
        <v/>
      </c>
      <c r="V220">
        <f>HYPERLINK("https://klasma.github.io/Logging_2260/klagomål/A 39638-2024 FSC-klagomål.docx", "A 39638-2024")</f>
        <v/>
      </c>
      <c r="W220">
        <f>HYPERLINK("https://klasma.github.io/Logging_2260/klagomålsmail/A 39638-2024 FSC-klagomål mail.docx", "A 39638-2024")</f>
        <v/>
      </c>
      <c r="X220">
        <f>HYPERLINK("https://klasma.github.io/Logging_2260/tillsyn/A 39638-2024 tillsynsbegäran.docx", "A 39638-2024")</f>
        <v/>
      </c>
      <c r="Y220">
        <f>HYPERLINK("https://klasma.github.io/Logging_2260/tillsynsmail/A 39638-2024 tillsynsbegäran mail.docx", "A 39638-2024")</f>
        <v/>
      </c>
      <c r="Z220">
        <f>HYPERLINK("https://klasma.github.io/Logging_2260/fåglar/A 39638-2024 prioriterade fågelarter.docx", "A 39638-2024")</f>
        <v/>
      </c>
    </row>
    <row r="221" ht="15" customHeight="1">
      <c r="A221" t="inlineStr">
        <is>
          <t>A 54751-2021</t>
        </is>
      </c>
      <c r="B221" s="1" t="n">
        <v>44473</v>
      </c>
      <c r="C221" s="1" t="n">
        <v>46001</v>
      </c>
      <c r="D221" t="inlineStr">
        <is>
          <t>VÄSTERNORRLANDS LÄN</t>
        </is>
      </c>
      <c r="E221" t="inlineStr">
        <is>
          <t>ÅNGE</t>
        </is>
      </c>
      <c r="G221" t="n">
        <v>6.5</v>
      </c>
      <c r="H221" t="n">
        <v>0</v>
      </c>
      <c r="I221" t="n">
        <v>0</v>
      </c>
      <c r="J221" t="n">
        <v>0</v>
      </c>
      <c r="K221" t="n">
        <v>1</v>
      </c>
      <c r="L221" t="n">
        <v>0</v>
      </c>
      <c r="M221" t="n">
        <v>0</v>
      </c>
      <c r="N221" t="n">
        <v>0</v>
      </c>
      <c r="O221" t="n">
        <v>1</v>
      </c>
      <c r="P221" t="n">
        <v>1</v>
      </c>
      <c r="Q221" t="n">
        <v>1</v>
      </c>
      <c r="R221" s="2" t="inlineStr">
        <is>
          <t>Gräddporing</t>
        </is>
      </c>
      <c r="S221">
        <f>HYPERLINK("https://klasma.github.io/Logging_2260/artfynd/A 54751-2021 artfynd.xlsx", "A 54751-2021")</f>
        <v/>
      </c>
      <c r="T221">
        <f>HYPERLINK("https://klasma.github.io/Logging_2260/kartor/A 54751-2021 karta.png", "A 54751-2021")</f>
        <v/>
      </c>
      <c r="V221">
        <f>HYPERLINK("https://klasma.github.io/Logging_2260/klagomål/A 54751-2021 FSC-klagomål.docx", "A 54751-2021")</f>
        <v/>
      </c>
      <c r="W221">
        <f>HYPERLINK("https://klasma.github.io/Logging_2260/klagomålsmail/A 54751-2021 FSC-klagomål mail.docx", "A 54751-2021")</f>
        <v/>
      </c>
      <c r="X221">
        <f>HYPERLINK("https://klasma.github.io/Logging_2260/tillsyn/A 54751-2021 tillsynsbegäran.docx", "A 54751-2021")</f>
        <v/>
      </c>
      <c r="Y221">
        <f>HYPERLINK("https://klasma.github.io/Logging_2260/tillsynsmail/A 54751-2021 tillsynsbegäran mail.docx", "A 54751-2021")</f>
        <v/>
      </c>
    </row>
    <row r="222" ht="15" customHeight="1">
      <c r="A222" t="inlineStr">
        <is>
          <t>A 40214-2024</t>
        </is>
      </c>
      <c r="B222" s="1" t="n">
        <v>45554.59460648148</v>
      </c>
      <c r="C222" s="1" t="n">
        <v>46001</v>
      </c>
      <c r="D222" t="inlineStr">
        <is>
          <t>VÄSTERNORRLANDS LÄN</t>
        </is>
      </c>
      <c r="E222" t="inlineStr">
        <is>
          <t>ÅNGE</t>
        </is>
      </c>
      <c r="F222" t="inlineStr">
        <is>
          <t>SCA</t>
        </is>
      </c>
      <c r="G222" t="n">
        <v>7.7</v>
      </c>
      <c r="H222" t="n">
        <v>0</v>
      </c>
      <c r="I222" t="n">
        <v>0</v>
      </c>
      <c r="J222" t="n">
        <v>1</v>
      </c>
      <c r="K222" t="n">
        <v>0</v>
      </c>
      <c r="L222" t="n">
        <v>0</v>
      </c>
      <c r="M222" t="n">
        <v>0</v>
      </c>
      <c r="N222" t="n">
        <v>0</v>
      </c>
      <c r="O222" t="n">
        <v>1</v>
      </c>
      <c r="P222" t="n">
        <v>0</v>
      </c>
      <c r="Q222" t="n">
        <v>1</v>
      </c>
      <c r="R222" s="2" t="inlineStr">
        <is>
          <t>Lunglav</t>
        </is>
      </c>
      <c r="S222">
        <f>HYPERLINK("https://klasma.github.io/Logging_2260/artfynd/A 40214-2024 artfynd.xlsx", "A 40214-2024")</f>
        <v/>
      </c>
      <c r="T222">
        <f>HYPERLINK("https://klasma.github.io/Logging_2260/kartor/A 40214-2024 karta.png", "A 40214-2024")</f>
        <v/>
      </c>
      <c r="V222">
        <f>HYPERLINK("https://klasma.github.io/Logging_2260/klagomål/A 40214-2024 FSC-klagomål.docx", "A 40214-2024")</f>
        <v/>
      </c>
      <c r="W222">
        <f>HYPERLINK("https://klasma.github.io/Logging_2260/klagomålsmail/A 40214-2024 FSC-klagomål mail.docx", "A 40214-2024")</f>
        <v/>
      </c>
      <c r="X222">
        <f>HYPERLINK("https://klasma.github.io/Logging_2260/tillsyn/A 40214-2024 tillsynsbegäran.docx", "A 40214-2024")</f>
        <v/>
      </c>
      <c r="Y222">
        <f>HYPERLINK("https://klasma.github.io/Logging_2260/tillsynsmail/A 40214-2024 tillsynsbegäran mail.docx", "A 40214-2024")</f>
        <v/>
      </c>
    </row>
    <row r="223" ht="15" customHeight="1">
      <c r="A223" t="inlineStr">
        <is>
          <t>A 39180-2024</t>
        </is>
      </c>
      <c r="B223" s="1" t="n">
        <v>45548.6571412037</v>
      </c>
      <c r="C223" s="1" t="n">
        <v>46001</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39933-2022</t>
        </is>
      </c>
      <c r="B224" s="1" t="n">
        <v>44819</v>
      </c>
      <c r="C224" s="1" t="n">
        <v>46001</v>
      </c>
      <c r="D224" t="inlineStr">
        <is>
          <t>VÄSTERNORRLANDS LÄN</t>
        </is>
      </c>
      <c r="E224" t="inlineStr">
        <is>
          <t>ÅNGE</t>
        </is>
      </c>
      <c r="F224" t="inlineStr">
        <is>
          <t>SCA</t>
        </is>
      </c>
      <c r="G224" t="n">
        <v>13.8</v>
      </c>
      <c r="H224" t="n">
        <v>1</v>
      </c>
      <c r="I224" t="n">
        <v>0</v>
      </c>
      <c r="J224" t="n">
        <v>0</v>
      </c>
      <c r="K224" t="n">
        <v>1</v>
      </c>
      <c r="L224" t="n">
        <v>0</v>
      </c>
      <c r="M224" t="n">
        <v>0</v>
      </c>
      <c r="N224" t="n">
        <v>0</v>
      </c>
      <c r="O224" t="n">
        <v>1</v>
      </c>
      <c r="P224" t="n">
        <v>1</v>
      </c>
      <c r="Q224" t="n">
        <v>1</v>
      </c>
      <c r="R224" s="2" t="inlineStr">
        <is>
          <t>Knärot</t>
        </is>
      </c>
      <c r="S224">
        <f>HYPERLINK("https://klasma.github.io/Logging_2260/artfynd/A 39933-2022 artfynd.xlsx", "A 39933-2022")</f>
        <v/>
      </c>
      <c r="T224">
        <f>HYPERLINK("https://klasma.github.io/Logging_2260/kartor/A 39933-2022 karta.png", "A 39933-2022")</f>
        <v/>
      </c>
      <c r="U224">
        <f>HYPERLINK("https://klasma.github.io/Logging_2260/knärot/A 39933-2022 karta knärot.png", "A 39933-2022")</f>
        <v/>
      </c>
      <c r="V224">
        <f>HYPERLINK("https://klasma.github.io/Logging_2260/klagomål/A 39933-2022 FSC-klagomål.docx", "A 39933-2022")</f>
        <v/>
      </c>
      <c r="W224">
        <f>HYPERLINK("https://klasma.github.io/Logging_2260/klagomålsmail/A 39933-2022 FSC-klagomål mail.docx", "A 39933-2022")</f>
        <v/>
      </c>
      <c r="X224">
        <f>HYPERLINK("https://klasma.github.io/Logging_2260/tillsyn/A 39933-2022 tillsynsbegäran.docx", "A 39933-2022")</f>
        <v/>
      </c>
      <c r="Y224">
        <f>HYPERLINK("https://klasma.github.io/Logging_2260/tillsynsmail/A 39933-2022 tillsynsbegäran mail.docx", "A 39933-2022")</f>
        <v/>
      </c>
    </row>
    <row r="225" ht="15" customHeight="1">
      <c r="A225" t="inlineStr">
        <is>
          <t>A 32457-2024</t>
        </is>
      </c>
      <c r="B225" s="1" t="n">
        <v>45512</v>
      </c>
      <c r="C225" s="1" t="n">
        <v>46001</v>
      </c>
      <c r="D225" t="inlineStr">
        <is>
          <t>VÄSTERNORRLANDS LÄN</t>
        </is>
      </c>
      <c r="E225" t="inlineStr">
        <is>
          <t>ÅNGE</t>
        </is>
      </c>
      <c r="F225" t="inlineStr">
        <is>
          <t>SCA</t>
        </is>
      </c>
      <c r="G225" t="n">
        <v>1.3</v>
      </c>
      <c r="H225" t="n">
        <v>0</v>
      </c>
      <c r="I225" t="n">
        <v>0</v>
      </c>
      <c r="J225" t="n">
        <v>1</v>
      </c>
      <c r="K225" t="n">
        <v>0</v>
      </c>
      <c r="L225" t="n">
        <v>0</v>
      </c>
      <c r="M225" t="n">
        <v>0</v>
      </c>
      <c r="N225" t="n">
        <v>0</v>
      </c>
      <c r="O225" t="n">
        <v>1</v>
      </c>
      <c r="P225" t="n">
        <v>0</v>
      </c>
      <c r="Q225" t="n">
        <v>1</v>
      </c>
      <c r="R225" s="2" t="inlineStr">
        <is>
          <t>Ullticka</t>
        </is>
      </c>
      <c r="S225">
        <f>HYPERLINK("https://klasma.github.io/Logging_2260/artfynd/A 32457-2024 artfynd.xlsx", "A 32457-2024")</f>
        <v/>
      </c>
      <c r="T225">
        <f>HYPERLINK("https://klasma.github.io/Logging_2260/kartor/A 32457-2024 karta.png", "A 32457-2024")</f>
        <v/>
      </c>
      <c r="V225">
        <f>HYPERLINK("https://klasma.github.io/Logging_2260/klagomål/A 32457-2024 FSC-klagomål.docx", "A 32457-2024")</f>
        <v/>
      </c>
      <c r="W225">
        <f>HYPERLINK("https://klasma.github.io/Logging_2260/klagomålsmail/A 32457-2024 FSC-klagomål mail.docx", "A 32457-2024")</f>
        <v/>
      </c>
      <c r="X225">
        <f>HYPERLINK("https://klasma.github.io/Logging_2260/tillsyn/A 32457-2024 tillsynsbegäran.docx", "A 32457-2024")</f>
        <v/>
      </c>
      <c r="Y225">
        <f>HYPERLINK("https://klasma.github.io/Logging_2260/tillsynsmail/A 32457-2024 tillsynsbegäran mail.docx", "A 32457-2024")</f>
        <v/>
      </c>
    </row>
    <row r="226" ht="15" customHeight="1">
      <c r="A226" t="inlineStr">
        <is>
          <t>A 4351-2024</t>
        </is>
      </c>
      <c r="B226" s="1" t="n">
        <v>45324</v>
      </c>
      <c r="C226" s="1" t="n">
        <v>46001</v>
      </c>
      <c r="D226" t="inlineStr">
        <is>
          <t>VÄSTERNORRLANDS LÄN</t>
        </is>
      </c>
      <c r="E226" t="inlineStr">
        <is>
          <t>ÅNGE</t>
        </is>
      </c>
      <c r="F226" t="inlineStr">
        <is>
          <t>SCA</t>
        </is>
      </c>
      <c r="G226" t="n">
        <v>0.5</v>
      </c>
      <c r="H226" t="n">
        <v>0</v>
      </c>
      <c r="I226" t="n">
        <v>0</v>
      </c>
      <c r="J226" t="n">
        <v>1</v>
      </c>
      <c r="K226" t="n">
        <v>0</v>
      </c>
      <c r="L226" t="n">
        <v>0</v>
      </c>
      <c r="M226" t="n">
        <v>0</v>
      </c>
      <c r="N226" t="n">
        <v>0</v>
      </c>
      <c r="O226" t="n">
        <v>1</v>
      </c>
      <c r="P226" t="n">
        <v>0</v>
      </c>
      <c r="Q226" t="n">
        <v>1</v>
      </c>
      <c r="R226" s="2" t="inlineStr">
        <is>
          <t>Garnlav</t>
        </is>
      </c>
      <c r="S226">
        <f>HYPERLINK("https://klasma.github.io/Logging_2260/artfynd/A 4351-2024 artfynd.xlsx", "A 4351-2024")</f>
        <v/>
      </c>
      <c r="T226">
        <f>HYPERLINK("https://klasma.github.io/Logging_2260/kartor/A 4351-2024 karta.png", "A 4351-2024")</f>
        <v/>
      </c>
      <c r="V226">
        <f>HYPERLINK("https://klasma.github.io/Logging_2260/klagomål/A 4351-2024 FSC-klagomål.docx", "A 4351-2024")</f>
        <v/>
      </c>
      <c r="W226">
        <f>HYPERLINK("https://klasma.github.io/Logging_2260/klagomålsmail/A 4351-2024 FSC-klagomål mail.docx", "A 4351-2024")</f>
        <v/>
      </c>
      <c r="X226">
        <f>HYPERLINK("https://klasma.github.io/Logging_2260/tillsyn/A 4351-2024 tillsynsbegäran.docx", "A 4351-2024")</f>
        <v/>
      </c>
      <c r="Y226">
        <f>HYPERLINK("https://klasma.github.io/Logging_2260/tillsynsmail/A 4351-2024 tillsynsbegäran mail.docx", "A 4351-2024")</f>
        <v/>
      </c>
    </row>
    <row r="227" ht="15" customHeight="1">
      <c r="A227" t="inlineStr">
        <is>
          <t>A 27308-2024</t>
        </is>
      </c>
      <c r="B227" s="1" t="n">
        <v>45471</v>
      </c>
      <c r="C227" s="1" t="n">
        <v>46001</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8057-2021</t>
        </is>
      </c>
      <c r="B228" s="1" t="n">
        <v>44238</v>
      </c>
      <c r="C228" s="1" t="n">
        <v>46001</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46001</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46001</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46001</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46001</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46001</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46001</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46001</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46001</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46001</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5381-2022</t>
        </is>
      </c>
      <c r="B238" s="1" t="n">
        <v>44594.9337037037</v>
      </c>
      <c r="C238" s="1" t="n">
        <v>46001</v>
      </c>
      <c r="D238" t="inlineStr">
        <is>
          <t>VÄSTERNORRLANDS LÄN</t>
        </is>
      </c>
      <c r="E238" t="inlineStr">
        <is>
          <t>ÅNGE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46001</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46001</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46001</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71396-2021</t>
        </is>
      </c>
      <c r="B242" s="1" t="n">
        <v>44540.35644675926</v>
      </c>
      <c r="C242" s="1" t="n">
        <v>46001</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66265-2021</t>
        </is>
      </c>
      <c r="B243" s="1" t="n">
        <v>44518.45263888889</v>
      </c>
      <c r="C243" s="1" t="n">
        <v>46001</v>
      </c>
      <c r="D243" t="inlineStr">
        <is>
          <t>VÄSTERNORRLANDS LÄN</t>
        </is>
      </c>
      <c r="E243" t="inlineStr">
        <is>
          <t>ÅNGE</t>
        </is>
      </c>
      <c r="G243" t="n">
        <v>6</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46001</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46001</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46350-2022</t>
        </is>
      </c>
      <c r="B246" s="1" t="n">
        <v>44847.95120370371</v>
      </c>
      <c r="C246" s="1" t="n">
        <v>46001</v>
      </c>
      <c r="D246" t="inlineStr">
        <is>
          <t>VÄSTERNORRLANDS LÄN</t>
        </is>
      </c>
      <c r="E246" t="inlineStr">
        <is>
          <t>ÅNGE</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24819-2021</t>
        </is>
      </c>
      <c r="B247" s="1" t="n">
        <v>44340</v>
      </c>
      <c r="C247" s="1" t="n">
        <v>46001</v>
      </c>
      <c r="D247" t="inlineStr">
        <is>
          <t>VÄSTERNORRLANDS LÄN</t>
        </is>
      </c>
      <c r="E247" t="inlineStr">
        <is>
          <t>ÅNGE</t>
        </is>
      </c>
      <c r="G247" t="n">
        <v>1.5</v>
      </c>
      <c r="H247" t="n">
        <v>0</v>
      </c>
      <c r="I247" t="n">
        <v>0</v>
      </c>
      <c r="J247" t="n">
        <v>0</v>
      </c>
      <c r="K247" t="n">
        <v>0</v>
      </c>
      <c r="L247" t="n">
        <v>0</v>
      </c>
      <c r="M247" t="n">
        <v>0</v>
      </c>
      <c r="N247" t="n">
        <v>0</v>
      </c>
      <c r="O247" t="n">
        <v>0</v>
      </c>
      <c r="P247" t="n">
        <v>0</v>
      </c>
      <c r="Q247" t="n">
        <v>0</v>
      </c>
      <c r="R247" s="2" t="inlineStr"/>
    </row>
    <row r="248" ht="15" customHeight="1">
      <c r="A248" t="inlineStr">
        <is>
          <t>A 53969-2021</t>
        </is>
      </c>
      <c r="B248" s="1" t="n">
        <v>44469</v>
      </c>
      <c r="C248" s="1" t="n">
        <v>46001</v>
      </c>
      <c r="D248" t="inlineStr">
        <is>
          <t>VÄSTERNORRLANDS LÄN</t>
        </is>
      </c>
      <c r="E248" t="inlineStr">
        <is>
          <t>ÅNGE</t>
        </is>
      </c>
      <c r="G248" t="n">
        <v>0.7</v>
      </c>
      <c r="H248" t="n">
        <v>0</v>
      </c>
      <c r="I248" t="n">
        <v>0</v>
      </c>
      <c r="J248" t="n">
        <v>0</v>
      </c>
      <c r="K248" t="n">
        <v>0</v>
      </c>
      <c r="L248" t="n">
        <v>0</v>
      </c>
      <c r="M248" t="n">
        <v>0</v>
      </c>
      <c r="N248" t="n">
        <v>0</v>
      </c>
      <c r="O248" t="n">
        <v>0</v>
      </c>
      <c r="P248" t="n">
        <v>0</v>
      </c>
      <c r="Q248" t="n">
        <v>0</v>
      </c>
      <c r="R248" s="2" t="inlineStr"/>
    </row>
    <row r="249" ht="15" customHeight="1">
      <c r="A249" t="inlineStr">
        <is>
          <t>A 19102-2021</t>
        </is>
      </c>
      <c r="B249" s="1" t="n">
        <v>44308</v>
      </c>
      <c r="C249" s="1" t="n">
        <v>46001</v>
      </c>
      <c r="D249" t="inlineStr">
        <is>
          <t>VÄSTERNORRLANDS LÄN</t>
        </is>
      </c>
      <c r="E249" t="inlineStr">
        <is>
          <t>ÅNGE</t>
        </is>
      </c>
      <c r="G249" t="n">
        <v>3.3</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46001</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46001</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46001</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46001</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46001</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6677-2022</t>
        </is>
      </c>
      <c r="B255" s="1" t="n">
        <v>44602.39258101852</v>
      </c>
      <c r="C255" s="1" t="n">
        <v>46001</v>
      </c>
      <c r="D255" t="inlineStr">
        <is>
          <t>VÄSTERNORRLANDS LÄN</t>
        </is>
      </c>
      <c r="E255" t="inlineStr">
        <is>
          <t>ÅNGE</t>
        </is>
      </c>
      <c r="G255" t="n">
        <v>2.7</v>
      </c>
      <c r="H255" t="n">
        <v>0</v>
      </c>
      <c r="I255" t="n">
        <v>0</v>
      </c>
      <c r="J255" t="n">
        <v>0</v>
      </c>
      <c r="K255" t="n">
        <v>0</v>
      </c>
      <c r="L255" t="n">
        <v>0</v>
      </c>
      <c r="M255" t="n">
        <v>0</v>
      </c>
      <c r="N255" t="n">
        <v>0</v>
      </c>
      <c r="O255" t="n">
        <v>0</v>
      </c>
      <c r="P255" t="n">
        <v>0</v>
      </c>
      <c r="Q255" t="n">
        <v>0</v>
      </c>
      <c r="R255" s="2" t="inlineStr"/>
    </row>
    <row r="256" ht="15" customHeight="1">
      <c r="A256" t="inlineStr">
        <is>
          <t>A 47282-2022</t>
        </is>
      </c>
      <c r="B256" s="1" t="n">
        <v>44852.95091435185</v>
      </c>
      <c r="C256" s="1" t="n">
        <v>46001</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7649-2022</t>
        </is>
      </c>
      <c r="B257" s="1" t="n">
        <v>44607</v>
      </c>
      <c r="C257" s="1" t="n">
        <v>46001</v>
      </c>
      <c r="D257" t="inlineStr">
        <is>
          <t>VÄSTERNORRLANDS LÄN</t>
        </is>
      </c>
      <c r="E257" t="inlineStr">
        <is>
          <t>ÅNGE</t>
        </is>
      </c>
      <c r="G257" t="n">
        <v>1.9</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46001</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46001</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46001</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65437-2021</t>
        </is>
      </c>
      <c r="B261" s="1" t="n">
        <v>44515.93900462963</v>
      </c>
      <c r="C261" s="1" t="n">
        <v>46001</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52705-2021</t>
        </is>
      </c>
      <c r="B262" s="1" t="n">
        <v>44466</v>
      </c>
      <c r="C262" s="1" t="n">
        <v>46001</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52726-2021</t>
        </is>
      </c>
      <c r="B263" s="1" t="n">
        <v>44466</v>
      </c>
      <c r="C263" s="1" t="n">
        <v>46001</v>
      </c>
      <c r="D263" t="inlineStr">
        <is>
          <t>VÄSTERNORRLANDS LÄN</t>
        </is>
      </c>
      <c r="E263" t="inlineStr">
        <is>
          <t>ÅNGE</t>
        </is>
      </c>
      <c r="F263" t="inlineStr">
        <is>
          <t>SCA</t>
        </is>
      </c>
      <c r="G263" t="n">
        <v>9.5</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46001</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46001</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46001</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51427-2021</t>
        </is>
      </c>
      <c r="B267" s="1" t="n">
        <v>44461</v>
      </c>
      <c r="C267" s="1" t="n">
        <v>46001</v>
      </c>
      <c r="D267" t="inlineStr">
        <is>
          <t>VÄSTERNORRLANDS LÄN</t>
        </is>
      </c>
      <c r="E267" t="inlineStr">
        <is>
          <t>ÅNGE</t>
        </is>
      </c>
      <c r="G267" t="n">
        <v>3.2</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46001</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46001</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46001</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19035-2022</t>
        </is>
      </c>
      <c r="B271" s="1" t="n">
        <v>44691</v>
      </c>
      <c r="C271" s="1" t="n">
        <v>46001</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46001</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32536-2022</t>
        </is>
      </c>
      <c r="B273" s="1" t="n">
        <v>44783.30246527777</v>
      </c>
      <c r="C273" s="1" t="n">
        <v>46001</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46001</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68812-2020</t>
        </is>
      </c>
      <c r="B275" s="1" t="n">
        <v>44187</v>
      </c>
      <c r="C275" s="1" t="n">
        <v>46001</v>
      </c>
      <c r="D275" t="inlineStr">
        <is>
          <t>VÄSTERNORRLANDS LÄN</t>
        </is>
      </c>
      <c r="E275" t="inlineStr">
        <is>
          <t>ÅNGE</t>
        </is>
      </c>
      <c r="G275" t="n">
        <v>1.6</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46001</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46001</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46001</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46001</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46001</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46001</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46001</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46001</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46001</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46001</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46001</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46001</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46001</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46001</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46001</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46001</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46001</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46001</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46001</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46001</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46001</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46001</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46001</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46001</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46001</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46001</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46001</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46001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46001</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46001</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46001</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46001</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46001</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46001</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46001</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46001</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46001</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46001</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46001</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46001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46001</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46001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46001</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46001</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46001</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46001</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46001</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46001</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46001</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46001</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46001</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46001</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46001</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46001</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46001</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46001</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46001</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46001</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46001</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46001</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46001</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46001</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46001</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46001</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46001</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46001</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46001</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46001</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46001</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46001</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46001</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46001</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46001</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46001</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46001</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46001</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46001</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46001</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46001</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46001</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46001</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46001</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46001</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46001</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46001</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46001</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46001</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46001</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46001</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46001</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46001</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46001</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46001</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46001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46001</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46001</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46001</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46001</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46001</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46001</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46001</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46001</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46001</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46001</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46001</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46001</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46001</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46001</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46001</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46001</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46001</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46001</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51810-2023</t>
        </is>
      </c>
      <c r="B388" s="1" t="n">
        <v>45222.96583333334</v>
      </c>
      <c r="C388" s="1" t="n">
        <v>46001</v>
      </c>
      <c r="D388" t="inlineStr">
        <is>
          <t>VÄSTERNORRLANDS LÄN</t>
        </is>
      </c>
      <c r="E388" t="inlineStr">
        <is>
          <t>ÅNGE</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25023-2022</t>
        </is>
      </c>
      <c r="B389" s="1" t="n">
        <v>44728</v>
      </c>
      <c r="C389" s="1" t="n">
        <v>46001</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16978-2024</t>
        </is>
      </c>
      <c r="B390" s="1" t="n">
        <v>45412.02416666667</v>
      </c>
      <c r="C390" s="1" t="n">
        <v>46001</v>
      </c>
      <c r="D390" t="inlineStr">
        <is>
          <t>VÄSTERNORRLANDS LÄN</t>
        </is>
      </c>
      <c r="E390" t="inlineStr">
        <is>
          <t>ÅNGE</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46001</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31696-2022</t>
        </is>
      </c>
      <c r="B392" s="1" t="n">
        <v>44776</v>
      </c>
      <c r="C392" s="1" t="n">
        <v>46001</v>
      </c>
      <c r="D392" t="inlineStr">
        <is>
          <t>VÄSTERNORRLANDS LÄN</t>
        </is>
      </c>
      <c r="E392" t="inlineStr">
        <is>
          <t>ÅNGE</t>
        </is>
      </c>
      <c r="G392" t="n">
        <v>1.8</v>
      </c>
      <c r="H392" t="n">
        <v>0</v>
      </c>
      <c r="I392" t="n">
        <v>0</v>
      </c>
      <c r="J392" t="n">
        <v>0</v>
      </c>
      <c r="K392" t="n">
        <v>0</v>
      </c>
      <c r="L392" t="n">
        <v>0</v>
      </c>
      <c r="M392" t="n">
        <v>0</v>
      </c>
      <c r="N392" t="n">
        <v>0</v>
      </c>
      <c r="O392" t="n">
        <v>0</v>
      </c>
      <c r="P392" t="n">
        <v>0</v>
      </c>
      <c r="Q392" t="n">
        <v>0</v>
      </c>
      <c r="R392" s="2" t="inlineStr"/>
    </row>
    <row r="393" ht="15" customHeight="1">
      <c r="A393" t="inlineStr">
        <is>
          <t>A 9605-2025</t>
        </is>
      </c>
      <c r="B393" s="1" t="n">
        <v>45715.65657407408</v>
      </c>
      <c r="C393" s="1" t="n">
        <v>46001</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46001</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20108-2025</t>
        </is>
      </c>
      <c r="B395" s="1" t="n">
        <v>45772.47006944445</v>
      </c>
      <c r="C395" s="1" t="n">
        <v>46001</v>
      </c>
      <c r="D395" t="inlineStr">
        <is>
          <t>VÄSTERNORRLANDS LÄN</t>
        </is>
      </c>
      <c r="E395" t="inlineStr">
        <is>
          <t>ÅNGE</t>
        </is>
      </c>
      <c r="F395" t="inlineStr">
        <is>
          <t>Naturvårdsverket</t>
        </is>
      </c>
      <c r="G395" t="n">
        <v>2</v>
      </c>
      <c r="H395" t="n">
        <v>0</v>
      </c>
      <c r="I395" t="n">
        <v>0</v>
      </c>
      <c r="J395" t="n">
        <v>0</v>
      </c>
      <c r="K395" t="n">
        <v>0</v>
      </c>
      <c r="L395" t="n">
        <v>0</v>
      </c>
      <c r="M395" t="n">
        <v>0</v>
      </c>
      <c r="N395" t="n">
        <v>0</v>
      </c>
      <c r="O395" t="n">
        <v>0</v>
      </c>
      <c r="P395" t="n">
        <v>0</v>
      </c>
      <c r="Q395" t="n">
        <v>0</v>
      </c>
      <c r="R395" s="2" t="inlineStr"/>
    </row>
    <row r="396" ht="15" customHeight="1">
      <c r="A396" t="inlineStr">
        <is>
          <t>A 63709-2023</t>
        </is>
      </c>
      <c r="B396" s="1" t="n">
        <v>45275.95069444444</v>
      </c>
      <c r="C396" s="1" t="n">
        <v>46001</v>
      </c>
      <c r="D396" t="inlineStr">
        <is>
          <t>VÄSTERNORRLANDS LÄN</t>
        </is>
      </c>
      <c r="E396" t="inlineStr">
        <is>
          <t>ÅNGE</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34091-2022</t>
        </is>
      </c>
      <c r="B397" s="1" t="n">
        <v>44791</v>
      </c>
      <c r="C397" s="1" t="n">
        <v>46001</v>
      </c>
      <c r="D397" t="inlineStr">
        <is>
          <t>VÄSTERNORRLANDS LÄN</t>
        </is>
      </c>
      <c r="E397" t="inlineStr">
        <is>
          <t>ÅNGE</t>
        </is>
      </c>
      <c r="G397" t="n">
        <v>10.1</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46001</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54342-2023</t>
        </is>
      </c>
      <c r="B399" s="1" t="n">
        <v>45232</v>
      </c>
      <c r="C399" s="1" t="n">
        <v>46001</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16853-2023</t>
        </is>
      </c>
      <c r="B400" s="1" t="n">
        <v>45033</v>
      </c>
      <c r="C400" s="1" t="n">
        <v>46001</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2365-2024</t>
        </is>
      </c>
      <c r="B401" s="1" t="n">
        <v>45310.59778935185</v>
      </c>
      <c r="C401" s="1" t="n">
        <v>46001</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2372-2024</t>
        </is>
      </c>
      <c r="B402" s="1" t="n">
        <v>45310.6115625</v>
      </c>
      <c r="C402" s="1" t="n">
        <v>46001</v>
      </c>
      <c r="D402" t="inlineStr">
        <is>
          <t>VÄSTERNORRLANDS LÄN</t>
        </is>
      </c>
      <c r="E402" t="inlineStr">
        <is>
          <t>ÅNGE</t>
        </is>
      </c>
      <c r="G402" t="n">
        <v>5.6</v>
      </c>
      <c r="H402" t="n">
        <v>0</v>
      </c>
      <c r="I402" t="n">
        <v>0</v>
      </c>
      <c r="J402" t="n">
        <v>0</v>
      </c>
      <c r="K402" t="n">
        <v>0</v>
      </c>
      <c r="L402" t="n">
        <v>0</v>
      </c>
      <c r="M402" t="n">
        <v>0</v>
      </c>
      <c r="N402" t="n">
        <v>0</v>
      </c>
      <c r="O402" t="n">
        <v>0</v>
      </c>
      <c r="P402" t="n">
        <v>0</v>
      </c>
      <c r="Q402" t="n">
        <v>0</v>
      </c>
      <c r="R402" s="2" t="inlineStr"/>
    </row>
    <row r="403" ht="15" customHeight="1">
      <c r="A403" t="inlineStr">
        <is>
          <t>A 17452-2025</t>
        </is>
      </c>
      <c r="B403" s="1" t="n">
        <v>45757.44842592593</v>
      </c>
      <c r="C403" s="1" t="n">
        <v>46001</v>
      </c>
      <c r="D403" t="inlineStr">
        <is>
          <t>VÄSTERNORRLANDS LÄN</t>
        </is>
      </c>
      <c r="E403" t="inlineStr">
        <is>
          <t>ÅNGE</t>
        </is>
      </c>
      <c r="F403" t="inlineStr">
        <is>
          <t>SCA</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53549-2023</t>
        </is>
      </c>
      <c r="B404" s="1" t="n">
        <v>45230</v>
      </c>
      <c r="C404" s="1" t="n">
        <v>46001</v>
      </c>
      <c r="D404" t="inlineStr">
        <is>
          <t>VÄSTERNORRLANDS LÄN</t>
        </is>
      </c>
      <c r="E404" t="inlineStr">
        <is>
          <t>ÅNGE</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35577-2024</t>
        </is>
      </c>
      <c r="B405" s="1" t="n">
        <v>45531</v>
      </c>
      <c r="C405" s="1" t="n">
        <v>46001</v>
      </c>
      <c r="D405" t="inlineStr">
        <is>
          <t>VÄSTERNORRLANDS LÄN</t>
        </is>
      </c>
      <c r="E405" t="inlineStr">
        <is>
          <t>ÅNGE</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35580-2024</t>
        </is>
      </c>
      <c r="B406" s="1" t="n">
        <v>45531</v>
      </c>
      <c r="C406" s="1" t="n">
        <v>46001</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46255-2023</t>
        </is>
      </c>
      <c r="B407" s="1" t="n">
        <v>45196</v>
      </c>
      <c r="C407" s="1" t="n">
        <v>46001</v>
      </c>
      <c r="D407" t="inlineStr">
        <is>
          <t>VÄSTERNORRLANDS LÄN</t>
        </is>
      </c>
      <c r="E407" t="inlineStr">
        <is>
          <t>ÅNGE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20761-2024</t>
        </is>
      </c>
      <c r="B408" s="1" t="n">
        <v>45436</v>
      </c>
      <c r="C408" s="1" t="n">
        <v>46001</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42857-2022</t>
        </is>
      </c>
      <c r="B409" s="1" t="n">
        <v>44832</v>
      </c>
      <c r="C409" s="1" t="n">
        <v>46001</v>
      </c>
      <c r="D409" t="inlineStr">
        <is>
          <t>VÄSTERNORRLANDS LÄN</t>
        </is>
      </c>
      <c r="E409" t="inlineStr">
        <is>
          <t>ÅNGE</t>
        </is>
      </c>
      <c r="G409" t="n">
        <v>3.4</v>
      </c>
      <c r="H409" t="n">
        <v>0</v>
      </c>
      <c r="I409" t="n">
        <v>0</v>
      </c>
      <c r="J409" t="n">
        <v>0</v>
      </c>
      <c r="K409" t="n">
        <v>0</v>
      </c>
      <c r="L409" t="n">
        <v>0</v>
      </c>
      <c r="M409" t="n">
        <v>0</v>
      </c>
      <c r="N409" t="n">
        <v>0</v>
      </c>
      <c r="O409" t="n">
        <v>0</v>
      </c>
      <c r="P409" t="n">
        <v>0</v>
      </c>
      <c r="Q409" t="n">
        <v>0</v>
      </c>
      <c r="R409" s="2" t="inlineStr"/>
    </row>
    <row r="410" ht="15" customHeight="1">
      <c r="A410" t="inlineStr">
        <is>
          <t>A 21200-2024</t>
        </is>
      </c>
      <c r="B410" s="1" t="n">
        <v>45440</v>
      </c>
      <c r="C410" s="1" t="n">
        <v>46001</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51383-2022</t>
        </is>
      </c>
      <c r="B411" s="1" t="n">
        <v>44866</v>
      </c>
      <c r="C411" s="1" t="n">
        <v>46001</v>
      </c>
      <c r="D411" t="inlineStr">
        <is>
          <t>VÄSTERNORRLANDS LÄN</t>
        </is>
      </c>
      <c r="E411" t="inlineStr">
        <is>
          <t>ÅNGE</t>
        </is>
      </c>
      <c r="G411" t="n">
        <v>1.5</v>
      </c>
      <c r="H411" t="n">
        <v>0</v>
      </c>
      <c r="I411" t="n">
        <v>0</v>
      </c>
      <c r="J411" t="n">
        <v>0</v>
      </c>
      <c r="K411" t="n">
        <v>0</v>
      </c>
      <c r="L411" t="n">
        <v>0</v>
      </c>
      <c r="M411" t="n">
        <v>0</v>
      </c>
      <c r="N411" t="n">
        <v>0</v>
      </c>
      <c r="O411" t="n">
        <v>0</v>
      </c>
      <c r="P411" t="n">
        <v>0</v>
      </c>
      <c r="Q411" t="n">
        <v>0</v>
      </c>
      <c r="R411" s="2" t="inlineStr"/>
    </row>
    <row r="412" ht="15" customHeight="1">
      <c r="A412" t="inlineStr">
        <is>
          <t>A 51393-2022</t>
        </is>
      </c>
      <c r="B412" s="1" t="n">
        <v>44869.43277777778</v>
      </c>
      <c r="C412" s="1" t="n">
        <v>46001</v>
      </c>
      <c r="D412" t="inlineStr">
        <is>
          <t>VÄSTERNORRLANDS LÄN</t>
        </is>
      </c>
      <c r="E412" t="inlineStr">
        <is>
          <t>ÅNGE</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15287-2025</t>
        </is>
      </c>
      <c r="B413" s="1" t="n">
        <v>45745</v>
      </c>
      <c r="C413" s="1" t="n">
        <v>46001</v>
      </c>
      <c r="D413" t="inlineStr">
        <is>
          <t>VÄSTERNORRLANDS LÄN</t>
        </is>
      </c>
      <c r="E413" t="inlineStr">
        <is>
          <t>ÅNGE</t>
        </is>
      </c>
      <c r="F413" t="inlineStr">
        <is>
          <t>SCA</t>
        </is>
      </c>
      <c r="G413" t="n">
        <v>4.3</v>
      </c>
      <c r="H413" t="n">
        <v>0</v>
      </c>
      <c r="I413" t="n">
        <v>0</v>
      </c>
      <c r="J413" t="n">
        <v>0</v>
      </c>
      <c r="K413" t="n">
        <v>0</v>
      </c>
      <c r="L413" t="n">
        <v>0</v>
      </c>
      <c r="M413" t="n">
        <v>0</v>
      </c>
      <c r="N413" t="n">
        <v>0</v>
      </c>
      <c r="O413" t="n">
        <v>0</v>
      </c>
      <c r="P413" t="n">
        <v>0</v>
      </c>
      <c r="Q413" t="n">
        <v>0</v>
      </c>
      <c r="R413" s="2" t="inlineStr"/>
    </row>
    <row r="414" ht="15" customHeight="1">
      <c r="A414" t="inlineStr">
        <is>
          <t>A 15288-2025</t>
        </is>
      </c>
      <c r="B414" s="1" t="n">
        <v>45745.34423611111</v>
      </c>
      <c r="C414" s="1" t="n">
        <v>46001</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58997-2023</t>
        </is>
      </c>
      <c r="B415" s="1" t="n">
        <v>45252.6352662037</v>
      </c>
      <c r="C415" s="1" t="n">
        <v>46001</v>
      </c>
      <c r="D415" t="inlineStr">
        <is>
          <t>VÄSTERNORRLANDS LÄN</t>
        </is>
      </c>
      <c r="E415" t="inlineStr">
        <is>
          <t>ÅNGE</t>
        </is>
      </c>
      <c r="F415" t="inlineStr">
        <is>
          <t>Övriga Aktiebolag</t>
        </is>
      </c>
      <c r="G415" t="n">
        <v>2.1</v>
      </c>
      <c r="H415" t="n">
        <v>0</v>
      </c>
      <c r="I415" t="n">
        <v>0</v>
      </c>
      <c r="J415" t="n">
        <v>0</v>
      </c>
      <c r="K415" t="n">
        <v>0</v>
      </c>
      <c r="L415" t="n">
        <v>0</v>
      </c>
      <c r="M415" t="n">
        <v>0</v>
      </c>
      <c r="N415" t="n">
        <v>0</v>
      </c>
      <c r="O415" t="n">
        <v>0</v>
      </c>
      <c r="P415" t="n">
        <v>0</v>
      </c>
      <c r="Q415" t="n">
        <v>0</v>
      </c>
      <c r="R415" s="2" t="inlineStr"/>
    </row>
    <row r="416" ht="15" customHeight="1">
      <c r="A416" t="inlineStr">
        <is>
          <t>A 18869-2024</t>
        </is>
      </c>
      <c r="B416" s="1" t="n">
        <v>45426</v>
      </c>
      <c r="C416" s="1" t="n">
        <v>46001</v>
      </c>
      <c r="D416" t="inlineStr">
        <is>
          <t>VÄSTERNORRLANDS LÄN</t>
        </is>
      </c>
      <c r="E416" t="inlineStr">
        <is>
          <t>ÅNGE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24797-2024</t>
        </is>
      </c>
      <c r="B417" s="1" t="n">
        <v>45460.95269675926</v>
      </c>
      <c r="C417" s="1" t="n">
        <v>46001</v>
      </c>
      <c r="D417" t="inlineStr">
        <is>
          <t>VÄSTERNORRLANDS LÄN</t>
        </is>
      </c>
      <c r="E417" t="inlineStr">
        <is>
          <t>ÅNGE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22680-2024</t>
        </is>
      </c>
      <c r="B418" s="1" t="n">
        <v>45447.94548611111</v>
      </c>
      <c r="C418" s="1" t="n">
        <v>46001</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47792-2022</t>
        </is>
      </c>
      <c r="B419" s="1" t="n">
        <v>44854.95238425926</v>
      </c>
      <c r="C419" s="1" t="n">
        <v>46001</v>
      </c>
      <c r="D419" t="inlineStr">
        <is>
          <t>VÄSTERNORRLANDS LÄN</t>
        </is>
      </c>
      <c r="E419" t="inlineStr">
        <is>
          <t>ÅNGE</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23035-2024</t>
        </is>
      </c>
      <c r="B420" s="1" t="n">
        <v>45450.39016203704</v>
      </c>
      <c r="C420" s="1" t="n">
        <v>46001</v>
      </c>
      <c r="D420" t="inlineStr">
        <is>
          <t>VÄSTERNORRLANDS LÄN</t>
        </is>
      </c>
      <c r="E420" t="inlineStr">
        <is>
          <t>ÅNGE</t>
        </is>
      </c>
      <c r="G420" t="n">
        <v>12.1</v>
      </c>
      <c r="H420" t="n">
        <v>0</v>
      </c>
      <c r="I420" t="n">
        <v>0</v>
      </c>
      <c r="J420" t="n">
        <v>0</v>
      </c>
      <c r="K420" t="n">
        <v>0</v>
      </c>
      <c r="L420" t="n">
        <v>0</v>
      </c>
      <c r="M420" t="n">
        <v>0</v>
      </c>
      <c r="N420" t="n">
        <v>0</v>
      </c>
      <c r="O420" t="n">
        <v>0</v>
      </c>
      <c r="P420" t="n">
        <v>0</v>
      </c>
      <c r="Q420" t="n">
        <v>0</v>
      </c>
      <c r="R420" s="2" t="inlineStr"/>
    </row>
    <row r="421" ht="15" customHeight="1">
      <c r="A421" t="inlineStr">
        <is>
          <t>A 23063-2024</t>
        </is>
      </c>
      <c r="B421" s="1" t="n">
        <v>45450.44278935185</v>
      </c>
      <c r="C421" s="1" t="n">
        <v>46001</v>
      </c>
      <c r="D421" t="inlineStr">
        <is>
          <t>VÄSTERNORRLANDS LÄN</t>
        </is>
      </c>
      <c r="E421" t="inlineStr">
        <is>
          <t>ÅNGE</t>
        </is>
      </c>
      <c r="G421" t="n">
        <v>0.8</v>
      </c>
      <c r="H421" t="n">
        <v>0</v>
      </c>
      <c r="I421" t="n">
        <v>0</v>
      </c>
      <c r="J421" t="n">
        <v>0</v>
      </c>
      <c r="K421" t="n">
        <v>0</v>
      </c>
      <c r="L421" t="n">
        <v>0</v>
      </c>
      <c r="M421" t="n">
        <v>0</v>
      </c>
      <c r="N421" t="n">
        <v>0</v>
      </c>
      <c r="O421" t="n">
        <v>0</v>
      </c>
      <c r="P421" t="n">
        <v>0</v>
      </c>
      <c r="Q421" t="n">
        <v>0</v>
      </c>
      <c r="R421" s="2" t="inlineStr"/>
    </row>
    <row r="422" ht="15" customHeight="1">
      <c r="A422" t="inlineStr">
        <is>
          <t>A 12581-2024</t>
        </is>
      </c>
      <c r="B422" s="1" t="n">
        <v>45379</v>
      </c>
      <c r="C422" s="1" t="n">
        <v>46001</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31325-2022</t>
        </is>
      </c>
      <c r="B423" s="1" t="n">
        <v>44774.41421296296</v>
      </c>
      <c r="C423" s="1" t="n">
        <v>46001</v>
      </c>
      <c r="D423" t="inlineStr">
        <is>
          <t>VÄSTERNORRLANDS LÄN</t>
        </is>
      </c>
      <c r="E423" t="inlineStr">
        <is>
          <t>ÅNGE</t>
        </is>
      </c>
      <c r="G423" t="n">
        <v>6.3</v>
      </c>
      <c r="H423" t="n">
        <v>0</v>
      </c>
      <c r="I423" t="n">
        <v>0</v>
      </c>
      <c r="J423" t="n">
        <v>0</v>
      </c>
      <c r="K423" t="n">
        <v>0</v>
      </c>
      <c r="L423" t="n">
        <v>0</v>
      </c>
      <c r="M423" t="n">
        <v>0</v>
      </c>
      <c r="N423" t="n">
        <v>0</v>
      </c>
      <c r="O423" t="n">
        <v>0</v>
      </c>
      <c r="P423" t="n">
        <v>0</v>
      </c>
      <c r="Q423" t="n">
        <v>0</v>
      </c>
      <c r="R423" s="2" t="inlineStr"/>
    </row>
    <row r="424" ht="15" customHeight="1">
      <c r="A424" t="inlineStr">
        <is>
          <t>A 24231-2024</t>
        </is>
      </c>
      <c r="B424" s="1" t="n">
        <v>45457.34393518518</v>
      </c>
      <c r="C424" s="1" t="n">
        <v>46001</v>
      </c>
      <c r="D424" t="inlineStr">
        <is>
          <t>VÄSTERNORRLANDS LÄN</t>
        </is>
      </c>
      <c r="E424" t="inlineStr">
        <is>
          <t>ÅNGE</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22549-2025</t>
        </is>
      </c>
      <c r="B425" s="1" t="n">
        <v>45788.48113425926</v>
      </c>
      <c r="C425" s="1" t="n">
        <v>46001</v>
      </c>
      <c r="D425" t="inlineStr">
        <is>
          <t>VÄSTERNORRLANDS LÄN</t>
        </is>
      </c>
      <c r="E425" t="inlineStr">
        <is>
          <t>ÅNGE</t>
        </is>
      </c>
      <c r="G425" t="n">
        <v>2.6</v>
      </c>
      <c r="H425" t="n">
        <v>0</v>
      </c>
      <c r="I425" t="n">
        <v>0</v>
      </c>
      <c r="J425" t="n">
        <v>0</v>
      </c>
      <c r="K425" t="n">
        <v>0</v>
      </c>
      <c r="L425" t="n">
        <v>0</v>
      </c>
      <c r="M425" t="n">
        <v>0</v>
      </c>
      <c r="N425" t="n">
        <v>0</v>
      </c>
      <c r="O425" t="n">
        <v>0</v>
      </c>
      <c r="P425" t="n">
        <v>0</v>
      </c>
      <c r="Q425" t="n">
        <v>0</v>
      </c>
      <c r="R425" s="2" t="inlineStr"/>
    </row>
    <row r="426" ht="15" customHeight="1">
      <c r="A426" t="inlineStr">
        <is>
          <t>A 38332-2025</t>
        </is>
      </c>
      <c r="B426" s="1" t="n">
        <v>45883.49151620371</v>
      </c>
      <c r="C426" s="1" t="n">
        <v>46001</v>
      </c>
      <c r="D426" t="inlineStr">
        <is>
          <t>VÄSTERNORRLANDS LÄN</t>
        </is>
      </c>
      <c r="E426" t="inlineStr">
        <is>
          <t>ÅNGE</t>
        </is>
      </c>
      <c r="F426" t="inlineStr">
        <is>
          <t>SCA</t>
        </is>
      </c>
      <c r="G426" t="n">
        <v>5.9</v>
      </c>
      <c r="H426" t="n">
        <v>0</v>
      </c>
      <c r="I426" t="n">
        <v>0</v>
      </c>
      <c r="J426" t="n">
        <v>0</v>
      </c>
      <c r="K426" t="n">
        <v>0</v>
      </c>
      <c r="L426" t="n">
        <v>0</v>
      </c>
      <c r="M426" t="n">
        <v>0</v>
      </c>
      <c r="N426" t="n">
        <v>0</v>
      </c>
      <c r="O426" t="n">
        <v>0</v>
      </c>
      <c r="P426" t="n">
        <v>0</v>
      </c>
      <c r="Q426" t="n">
        <v>0</v>
      </c>
      <c r="R426" s="2" t="inlineStr"/>
    </row>
    <row r="427" ht="15" customHeight="1">
      <c r="A427" t="inlineStr">
        <is>
          <t>A 22926-2025</t>
        </is>
      </c>
      <c r="B427" s="1" t="n">
        <v>45790</v>
      </c>
      <c r="C427" s="1" t="n">
        <v>46001</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22928-2025</t>
        </is>
      </c>
      <c r="B428" s="1" t="n">
        <v>45790.44825231482</v>
      </c>
      <c r="C428" s="1" t="n">
        <v>46001</v>
      </c>
      <c r="D428" t="inlineStr">
        <is>
          <t>VÄSTERNORRLANDS LÄN</t>
        </is>
      </c>
      <c r="E428" t="inlineStr">
        <is>
          <t>ÅNGE</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13773-2024</t>
        </is>
      </c>
      <c r="B429" s="1" t="n">
        <v>45390.95297453704</v>
      </c>
      <c r="C429" s="1" t="n">
        <v>46001</v>
      </c>
      <c r="D429" t="inlineStr">
        <is>
          <t>VÄSTERNORRLANDS LÄN</t>
        </is>
      </c>
      <c r="E429" t="inlineStr">
        <is>
          <t>ÅNGE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22791-2025</t>
        </is>
      </c>
      <c r="B430" s="1" t="n">
        <v>45789.65663194445</v>
      </c>
      <c r="C430" s="1" t="n">
        <v>46001</v>
      </c>
      <c r="D430" t="inlineStr">
        <is>
          <t>VÄSTERNORRLANDS LÄN</t>
        </is>
      </c>
      <c r="E430" t="inlineStr">
        <is>
          <t>ÅNGE</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9567-2024</t>
        </is>
      </c>
      <c r="B431" s="1" t="n">
        <v>45360.03635416667</v>
      </c>
      <c r="C431" s="1" t="n">
        <v>46001</v>
      </c>
      <c r="D431" t="inlineStr">
        <is>
          <t>VÄSTERNORRLANDS LÄN</t>
        </is>
      </c>
      <c r="E431" t="inlineStr">
        <is>
          <t>ÅNGE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23091-2025</t>
        </is>
      </c>
      <c r="B432" s="1" t="n">
        <v>45791.34456018519</v>
      </c>
      <c r="C432" s="1" t="n">
        <v>46001</v>
      </c>
      <c r="D432" t="inlineStr">
        <is>
          <t>VÄSTERNORRLANDS LÄN</t>
        </is>
      </c>
      <c r="E432" t="inlineStr">
        <is>
          <t>ÅNGE</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51311-2022</t>
        </is>
      </c>
      <c r="B433" s="1" t="n">
        <v>44868</v>
      </c>
      <c r="C433" s="1" t="n">
        <v>46001</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33428-2023</t>
        </is>
      </c>
      <c r="B434" s="1" t="n">
        <v>45128.94976851852</v>
      </c>
      <c r="C434" s="1" t="n">
        <v>46001</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23580-2025</t>
        </is>
      </c>
      <c r="B435" s="1" t="n">
        <v>45792.62555555555</v>
      </c>
      <c r="C435" s="1" t="n">
        <v>46001</v>
      </c>
      <c r="D435" t="inlineStr">
        <is>
          <t>VÄSTERNORRLANDS LÄN</t>
        </is>
      </c>
      <c r="E435" t="inlineStr">
        <is>
          <t>ÅNGE</t>
        </is>
      </c>
      <c r="F435" t="inlineStr">
        <is>
          <t>Kyrkan</t>
        </is>
      </c>
      <c r="G435" t="n">
        <v>2.6</v>
      </c>
      <c r="H435" t="n">
        <v>0</v>
      </c>
      <c r="I435" t="n">
        <v>0</v>
      </c>
      <c r="J435" t="n">
        <v>0</v>
      </c>
      <c r="K435" t="n">
        <v>0</v>
      </c>
      <c r="L435" t="n">
        <v>0</v>
      </c>
      <c r="M435" t="n">
        <v>0</v>
      </c>
      <c r="N435" t="n">
        <v>0</v>
      </c>
      <c r="O435" t="n">
        <v>0</v>
      </c>
      <c r="P435" t="n">
        <v>0</v>
      </c>
      <c r="Q435" t="n">
        <v>0</v>
      </c>
      <c r="R435" s="2" t="inlineStr"/>
    </row>
    <row r="436" ht="15" customHeight="1">
      <c r="A436" t="inlineStr">
        <is>
          <t>A 34815-2024</t>
        </is>
      </c>
      <c r="B436" s="1" t="n">
        <v>45526.70732638889</v>
      </c>
      <c r="C436" s="1" t="n">
        <v>46001</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56399-2022</t>
        </is>
      </c>
      <c r="B437" s="1" t="n">
        <v>44890</v>
      </c>
      <c r="C437" s="1" t="n">
        <v>46001</v>
      </c>
      <c r="D437" t="inlineStr">
        <is>
          <t>VÄSTERNORRLANDS LÄN</t>
        </is>
      </c>
      <c r="E437" t="inlineStr">
        <is>
          <t>ÅNGE</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23343-2025</t>
        </is>
      </c>
      <c r="B438" s="1" t="n">
        <v>45791.65702546296</v>
      </c>
      <c r="C438" s="1" t="n">
        <v>46001</v>
      </c>
      <c r="D438" t="inlineStr">
        <is>
          <t>VÄSTERNORRLANDS LÄN</t>
        </is>
      </c>
      <c r="E438" t="inlineStr">
        <is>
          <t>ÅNGE</t>
        </is>
      </c>
      <c r="F438" t="inlineStr">
        <is>
          <t>SCA</t>
        </is>
      </c>
      <c r="G438" t="n">
        <v>12.6</v>
      </c>
      <c r="H438" t="n">
        <v>0</v>
      </c>
      <c r="I438" t="n">
        <v>0</v>
      </c>
      <c r="J438" t="n">
        <v>0</v>
      </c>
      <c r="K438" t="n">
        <v>0</v>
      </c>
      <c r="L438" t="n">
        <v>0</v>
      </c>
      <c r="M438" t="n">
        <v>0</v>
      </c>
      <c r="N438" t="n">
        <v>0</v>
      </c>
      <c r="O438" t="n">
        <v>0</v>
      </c>
      <c r="P438" t="n">
        <v>0</v>
      </c>
      <c r="Q438" t="n">
        <v>0</v>
      </c>
      <c r="R438" s="2" t="inlineStr"/>
    </row>
    <row r="439" ht="15" customHeight="1">
      <c r="A439" t="inlineStr">
        <is>
          <t>A 23573-2025</t>
        </is>
      </c>
      <c r="B439" s="1" t="n">
        <v>45792.61497685185</v>
      </c>
      <c r="C439" s="1" t="n">
        <v>46001</v>
      </c>
      <c r="D439" t="inlineStr">
        <is>
          <t>VÄSTERNORRLANDS LÄN</t>
        </is>
      </c>
      <c r="E439" t="inlineStr">
        <is>
          <t>ÅNGE</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23590-2025</t>
        </is>
      </c>
      <c r="B440" s="1" t="n">
        <v>45792.63627314815</v>
      </c>
      <c r="C440" s="1" t="n">
        <v>46001</v>
      </c>
      <c r="D440" t="inlineStr">
        <is>
          <t>VÄSTERNORRLANDS LÄN</t>
        </is>
      </c>
      <c r="E440" t="inlineStr">
        <is>
          <t>ÅNGE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23495-2025</t>
        </is>
      </c>
      <c r="B441" s="1" t="n">
        <v>45792.46967592592</v>
      </c>
      <c r="C441" s="1" t="n">
        <v>46001</v>
      </c>
      <c r="D441" t="inlineStr">
        <is>
          <t>VÄSTERNORRLANDS LÄN</t>
        </is>
      </c>
      <c r="E441" t="inlineStr">
        <is>
          <t>ÅNGE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46001</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23589-2025</t>
        </is>
      </c>
      <c r="B443" s="1" t="n">
        <v>45792.63618055556</v>
      </c>
      <c r="C443" s="1" t="n">
        <v>46001</v>
      </c>
      <c r="D443" t="inlineStr">
        <is>
          <t>VÄSTERNORRLANDS LÄN</t>
        </is>
      </c>
      <c r="E443" t="inlineStr">
        <is>
          <t>ÅNGE</t>
        </is>
      </c>
      <c r="F443" t="inlineStr">
        <is>
          <t>SCA</t>
        </is>
      </c>
      <c r="G443" t="n">
        <v>10.7</v>
      </c>
      <c r="H443" t="n">
        <v>0</v>
      </c>
      <c r="I443" t="n">
        <v>0</v>
      </c>
      <c r="J443" t="n">
        <v>0</v>
      </c>
      <c r="K443" t="n">
        <v>0</v>
      </c>
      <c r="L443" t="n">
        <v>0</v>
      </c>
      <c r="M443" t="n">
        <v>0</v>
      </c>
      <c r="N443" t="n">
        <v>0</v>
      </c>
      <c r="O443" t="n">
        <v>0</v>
      </c>
      <c r="P443" t="n">
        <v>0</v>
      </c>
      <c r="Q443" t="n">
        <v>0</v>
      </c>
      <c r="R443" s="2" t="inlineStr"/>
    </row>
    <row r="444" ht="15" customHeight="1">
      <c r="A444" t="inlineStr">
        <is>
          <t>A 1420-2023</t>
        </is>
      </c>
      <c r="B444" s="1" t="n">
        <v>44936.92762731481</v>
      </c>
      <c r="C444" s="1" t="n">
        <v>46001</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60205-2023</t>
        </is>
      </c>
      <c r="B445" s="1" t="n">
        <v>45257</v>
      </c>
      <c r="C445" s="1" t="n">
        <v>46001</v>
      </c>
      <c r="D445" t="inlineStr">
        <is>
          <t>VÄSTERNORRLANDS LÄN</t>
        </is>
      </c>
      <c r="E445" t="inlineStr">
        <is>
          <t>ÅNGE</t>
        </is>
      </c>
      <c r="G445" t="n">
        <v>2.1</v>
      </c>
      <c r="H445" t="n">
        <v>0</v>
      </c>
      <c r="I445" t="n">
        <v>0</v>
      </c>
      <c r="J445" t="n">
        <v>0</v>
      </c>
      <c r="K445" t="n">
        <v>0</v>
      </c>
      <c r="L445" t="n">
        <v>0</v>
      </c>
      <c r="M445" t="n">
        <v>0</v>
      </c>
      <c r="N445" t="n">
        <v>0</v>
      </c>
      <c r="O445" t="n">
        <v>0</v>
      </c>
      <c r="P445" t="n">
        <v>0</v>
      </c>
      <c r="Q445" t="n">
        <v>0</v>
      </c>
      <c r="R445" s="2" t="inlineStr"/>
    </row>
    <row r="446" ht="15" customHeight="1">
      <c r="A446" t="inlineStr">
        <is>
          <t>A 33631-2024</t>
        </is>
      </c>
      <c r="B446" s="1" t="n">
        <v>45520</v>
      </c>
      <c r="C446" s="1" t="n">
        <v>46001</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3352-2021</t>
        </is>
      </c>
      <c r="B447" s="1" t="n">
        <v>44217</v>
      </c>
      <c r="C447" s="1" t="n">
        <v>46001</v>
      </c>
      <c r="D447" t="inlineStr">
        <is>
          <t>VÄSTERNORRLANDS LÄN</t>
        </is>
      </c>
      <c r="E447" t="inlineStr">
        <is>
          <t>ÅNGE</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44876-2024</t>
        </is>
      </c>
      <c r="B448" s="1" t="n">
        <v>45575.34474537037</v>
      </c>
      <c r="C448" s="1" t="n">
        <v>46001</v>
      </c>
      <c r="D448" t="inlineStr">
        <is>
          <t>VÄSTERNORRLANDS LÄN</t>
        </is>
      </c>
      <c r="E448" t="inlineStr">
        <is>
          <t>ÅNGE</t>
        </is>
      </c>
      <c r="F448" t="inlineStr">
        <is>
          <t>SCA</t>
        </is>
      </c>
      <c r="G448" t="n">
        <v>12.4</v>
      </c>
      <c r="H448" t="n">
        <v>0</v>
      </c>
      <c r="I448" t="n">
        <v>0</v>
      </c>
      <c r="J448" t="n">
        <v>0</v>
      </c>
      <c r="K448" t="n">
        <v>0</v>
      </c>
      <c r="L448" t="n">
        <v>0</v>
      </c>
      <c r="M448" t="n">
        <v>0</v>
      </c>
      <c r="N448" t="n">
        <v>0</v>
      </c>
      <c r="O448" t="n">
        <v>0</v>
      </c>
      <c r="P448" t="n">
        <v>0</v>
      </c>
      <c r="Q448" t="n">
        <v>0</v>
      </c>
      <c r="R448" s="2" t="inlineStr"/>
    </row>
    <row r="449" ht="15" customHeight="1">
      <c r="A449" t="inlineStr">
        <is>
          <t>A 11088-2024</t>
        </is>
      </c>
      <c r="B449" s="1" t="n">
        <v>45370</v>
      </c>
      <c r="C449" s="1" t="n">
        <v>46001</v>
      </c>
      <c r="D449" t="inlineStr">
        <is>
          <t>VÄSTERNORRLANDS LÄN</t>
        </is>
      </c>
      <c r="E449" t="inlineStr">
        <is>
          <t>ÅNGE</t>
        </is>
      </c>
      <c r="F449" t="inlineStr">
        <is>
          <t>SCA</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26012-2024</t>
        </is>
      </c>
      <c r="B450" s="1" t="n">
        <v>45467</v>
      </c>
      <c r="C450" s="1" t="n">
        <v>46001</v>
      </c>
      <c r="D450" t="inlineStr">
        <is>
          <t>VÄSTERNORRLANDS LÄN</t>
        </is>
      </c>
      <c r="E450" t="inlineStr">
        <is>
          <t>ÅNGE</t>
        </is>
      </c>
      <c r="F450" t="inlineStr">
        <is>
          <t>SCA</t>
        </is>
      </c>
      <c r="G450" t="n">
        <v>7.5</v>
      </c>
      <c r="H450" t="n">
        <v>0</v>
      </c>
      <c r="I450" t="n">
        <v>0</v>
      </c>
      <c r="J450" t="n">
        <v>0</v>
      </c>
      <c r="K450" t="n">
        <v>0</v>
      </c>
      <c r="L450" t="n">
        <v>0</v>
      </c>
      <c r="M450" t="n">
        <v>0</v>
      </c>
      <c r="N450" t="n">
        <v>0</v>
      </c>
      <c r="O450" t="n">
        <v>0</v>
      </c>
      <c r="P450" t="n">
        <v>0</v>
      </c>
      <c r="Q450" t="n">
        <v>0</v>
      </c>
      <c r="R450" s="2" t="inlineStr"/>
    </row>
    <row r="451" ht="15" customHeight="1">
      <c r="A451" t="inlineStr">
        <is>
          <t>A 23252-2025</t>
        </is>
      </c>
      <c r="B451" s="1" t="n">
        <v>45791.53157407408</v>
      </c>
      <c r="C451" s="1" t="n">
        <v>46001</v>
      </c>
      <c r="D451" t="inlineStr">
        <is>
          <t>VÄSTERNORRLANDS LÄN</t>
        </is>
      </c>
      <c r="E451" t="inlineStr">
        <is>
          <t>ÅNGE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23529-2025</t>
        </is>
      </c>
      <c r="B452" s="1" t="n">
        <v>45792.53158564815</v>
      </c>
      <c r="C452" s="1" t="n">
        <v>46001</v>
      </c>
      <c r="D452" t="inlineStr">
        <is>
          <t>VÄSTERNORRLANDS LÄN</t>
        </is>
      </c>
      <c r="E452" t="inlineStr">
        <is>
          <t>ÅNGE</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23552-2025</t>
        </is>
      </c>
      <c r="B453" s="1" t="n">
        <v>45792.5738425926</v>
      </c>
      <c r="C453" s="1" t="n">
        <v>46001</v>
      </c>
      <c r="D453" t="inlineStr">
        <is>
          <t>VÄSTERNORRLANDS LÄN</t>
        </is>
      </c>
      <c r="E453" t="inlineStr">
        <is>
          <t>ÅNGE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23748-2025</t>
        </is>
      </c>
      <c r="B454" s="1" t="n">
        <v>45793.44755787037</v>
      </c>
      <c r="C454" s="1" t="n">
        <v>46001</v>
      </c>
      <c r="D454" t="inlineStr">
        <is>
          <t>VÄSTERNORRLANDS LÄN</t>
        </is>
      </c>
      <c r="E454" t="inlineStr">
        <is>
          <t>ÅNGE</t>
        </is>
      </c>
      <c r="F454" t="inlineStr">
        <is>
          <t>Sveaskog</t>
        </is>
      </c>
      <c r="G454" t="n">
        <v>6.5</v>
      </c>
      <c r="H454" t="n">
        <v>0</v>
      </c>
      <c r="I454" t="n">
        <v>0</v>
      </c>
      <c r="J454" t="n">
        <v>0</v>
      </c>
      <c r="K454" t="n">
        <v>0</v>
      </c>
      <c r="L454" t="n">
        <v>0</v>
      </c>
      <c r="M454" t="n">
        <v>0</v>
      </c>
      <c r="N454" t="n">
        <v>0</v>
      </c>
      <c r="O454" t="n">
        <v>0</v>
      </c>
      <c r="P454" t="n">
        <v>0</v>
      </c>
      <c r="Q454" t="n">
        <v>0</v>
      </c>
      <c r="R454" s="2" t="inlineStr"/>
    </row>
    <row r="455" ht="15" customHeight="1">
      <c r="A455" t="inlineStr">
        <is>
          <t>A 43145-2024</t>
        </is>
      </c>
      <c r="B455" s="1" t="n">
        <v>45567.63030092593</v>
      </c>
      <c r="C455" s="1" t="n">
        <v>46001</v>
      </c>
      <c r="D455" t="inlineStr">
        <is>
          <t>VÄSTERNORRLANDS LÄN</t>
        </is>
      </c>
      <c r="E455" t="inlineStr">
        <is>
          <t>ÅNGE</t>
        </is>
      </c>
      <c r="G455" t="n">
        <v>1.4</v>
      </c>
      <c r="H455" t="n">
        <v>0</v>
      </c>
      <c r="I455" t="n">
        <v>0</v>
      </c>
      <c r="J455" t="n">
        <v>0</v>
      </c>
      <c r="K455" t="n">
        <v>0</v>
      </c>
      <c r="L455" t="n">
        <v>0</v>
      </c>
      <c r="M455" t="n">
        <v>0</v>
      </c>
      <c r="N455" t="n">
        <v>0</v>
      </c>
      <c r="O455" t="n">
        <v>0</v>
      </c>
      <c r="P455" t="n">
        <v>0</v>
      </c>
      <c r="Q455" t="n">
        <v>0</v>
      </c>
      <c r="R455" s="2" t="inlineStr"/>
    </row>
    <row r="456" ht="15" customHeight="1">
      <c r="A456" t="inlineStr">
        <is>
          <t>A 30348-2024</t>
        </is>
      </c>
      <c r="B456" s="1" t="n">
        <v>45490.95524305556</v>
      </c>
      <c r="C456" s="1" t="n">
        <v>46001</v>
      </c>
      <c r="D456" t="inlineStr">
        <is>
          <t>VÄSTERNORRLANDS LÄN</t>
        </is>
      </c>
      <c r="E456" t="inlineStr">
        <is>
          <t>ÅNGE</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31457-2024</t>
        </is>
      </c>
      <c r="B457" s="1" t="n">
        <v>45505</v>
      </c>
      <c r="C457" s="1" t="n">
        <v>46001</v>
      </c>
      <c r="D457" t="inlineStr">
        <is>
          <t>VÄSTERNORRLANDS LÄN</t>
        </is>
      </c>
      <c r="E457" t="inlineStr">
        <is>
          <t>ÅNGE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23899-2025</t>
        </is>
      </c>
      <c r="B458" s="1" t="n">
        <v>45794.34414351852</v>
      </c>
      <c r="C458" s="1" t="n">
        <v>46001</v>
      </c>
      <c r="D458" t="inlineStr">
        <is>
          <t>VÄSTERNORRLANDS LÄN</t>
        </is>
      </c>
      <c r="E458" t="inlineStr">
        <is>
          <t>ÅNGE</t>
        </is>
      </c>
      <c r="F458" t="inlineStr">
        <is>
          <t>SCA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23917-2025</t>
        </is>
      </c>
      <c r="B459" s="1" t="n">
        <v>45795.34481481482</v>
      </c>
      <c r="C459" s="1" t="n">
        <v>46001</v>
      </c>
      <c r="D459" t="inlineStr">
        <is>
          <t>VÄSTERNORRLANDS LÄN</t>
        </is>
      </c>
      <c r="E459" t="inlineStr">
        <is>
          <t>ÅNGE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35392-2024</t>
        </is>
      </c>
      <c r="B460" s="1" t="n">
        <v>45531.4025462963</v>
      </c>
      <c r="C460" s="1" t="n">
        <v>46001</v>
      </c>
      <c r="D460" t="inlineStr">
        <is>
          <t>VÄSTERNORRLANDS LÄN</t>
        </is>
      </c>
      <c r="E460" t="inlineStr">
        <is>
          <t>ÅNGE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43066-2022</t>
        </is>
      </c>
      <c r="B461" s="1" t="n">
        <v>44833</v>
      </c>
      <c r="C461" s="1" t="n">
        <v>46001</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57595-2022</t>
        </is>
      </c>
      <c r="B462" s="1" t="n">
        <v>44896.97862268519</v>
      </c>
      <c r="C462" s="1" t="n">
        <v>46001</v>
      </c>
      <c r="D462" t="inlineStr">
        <is>
          <t>VÄSTERNORRLANDS LÄN</t>
        </is>
      </c>
      <c r="E462" t="inlineStr">
        <is>
          <t>ÅNGE</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56188-2024</t>
        </is>
      </c>
      <c r="B463" s="1" t="n">
        <v>45624.57800925926</v>
      </c>
      <c r="C463" s="1" t="n">
        <v>46001</v>
      </c>
      <c r="D463" t="inlineStr">
        <is>
          <t>VÄSTERNORRLANDS LÄN</t>
        </is>
      </c>
      <c r="E463" t="inlineStr">
        <is>
          <t>ÅNGE</t>
        </is>
      </c>
      <c r="G463" t="n">
        <v>0.9</v>
      </c>
      <c r="H463" t="n">
        <v>0</v>
      </c>
      <c r="I463" t="n">
        <v>0</v>
      </c>
      <c r="J463" t="n">
        <v>0</v>
      </c>
      <c r="K463" t="n">
        <v>0</v>
      </c>
      <c r="L463" t="n">
        <v>0</v>
      </c>
      <c r="M463" t="n">
        <v>0</v>
      </c>
      <c r="N463" t="n">
        <v>0</v>
      </c>
      <c r="O463" t="n">
        <v>0</v>
      </c>
      <c r="P463" t="n">
        <v>0</v>
      </c>
      <c r="Q463" t="n">
        <v>0</v>
      </c>
      <c r="R463" s="2" t="inlineStr"/>
    </row>
    <row r="464" ht="15" customHeight="1">
      <c r="A464" t="inlineStr">
        <is>
          <t>A 39843-2023</t>
        </is>
      </c>
      <c r="B464" s="1" t="n">
        <v>45168</v>
      </c>
      <c r="C464" s="1" t="n">
        <v>46001</v>
      </c>
      <c r="D464" t="inlineStr">
        <is>
          <t>VÄSTERNORRLANDS LÄN</t>
        </is>
      </c>
      <c r="E464" t="inlineStr">
        <is>
          <t>ÅNGE</t>
        </is>
      </c>
      <c r="G464" t="n">
        <v>2.1</v>
      </c>
      <c r="H464" t="n">
        <v>0</v>
      </c>
      <c r="I464" t="n">
        <v>0</v>
      </c>
      <c r="J464" t="n">
        <v>0</v>
      </c>
      <c r="K464" t="n">
        <v>0</v>
      </c>
      <c r="L464" t="n">
        <v>0</v>
      </c>
      <c r="M464" t="n">
        <v>0</v>
      </c>
      <c r="N464" t="n">
        <v>0</v>
      </c>
      <c r="O464" t="n">
        <v>0</v>
      </c>
      <c r="P464" t="n">
        <v>0</v>
      </c>
      <c r="Q464" t="n">
        <v>0</v>
      </c>
      <c r="R464" s="2" t="inlineStr"/>
    </row>
    <row r="465" ht="15" customHeight="1">
      <c r="A465" t="inlineStr">
        <is>
          <t>A 23975-2025</t>
        </is>
      </c>
      <c r="B465" s="1" t="n">
        <v>45796.38614583333</v>
      </c>
      <c r="C465" s="1" t="n">
        <v>46001</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23976-2025</t>
        </is>
      </c>
      <c r="B466" s="1" t="n">
        <v>45796.38625</v>
      </c>
      <c r="C466" s="1" t="n">
        <v>46001</v>
      </c>
      <c r="D466" t="inlineStr">
        <is>
          <t>VÄSTERNORRLANDS LÄN</t>
        </is>
      </c>
      <c r="E466" t="inlineStr">
        <is>
          <t>ÅNGE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23921-2025</t>
        </is>
      </c>
      <c r="B467" s="1" t="n">
        <v>45795.34513888889</v>
      </c>
      <c r="C467" s="1" t="n">
        <v>46001</v>
      </c>
      <c r="D467" t="inlineStr">
        <is>
          <t>VÄSTERNORRLANDS LÄN</t>
        </is>
      </c>
      <c r="E467" t="inlineStr">
        <is>
          <t>ÅNGE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54079-2023</t>
        </is>
      </c>
      <c r="B468" s="1" t="n">
        <v>45231</v>
      </c>
      <c r="C468" s="1" t="n">
        <v>46001</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29702-2024</t>
        </is>
      </c>
      <c r="B469" s="1" t="n">
        <v>45485.31525462963</v>
      </c>
      <c r="C469" s="1" t="n">
        <v>46001</v>
      </c>
      <c r="D469" t="inlineStr">
        <is>
          <t>VÄSTERNORRLANDS LÄN</t>
        </is>
      </c>
      <c r="E469" t="inlineStr">
        <is>
          <t>ÅNGE</t>
        </is>
      </c>
      <c r="G469" t="n">
        <v>2.6</v>
      </c>
      <c r="H469" t="n">
        <v>0</v>
      </c>
      <c r="I469" t="n">
        <v>0</v>
      </c>
      <c r="J469" t="n">
        <v>0</v>
      </c>
      <c r="K469" t="n">
        <v>0</v>
      </c>
      <c r="L469" t="n">
        <v>0</v>
      </c>
      <c r="M469" t="n">
        <v>0</v>
      </c>
      <c r="N469" t="n">
        <v>0</v>
      </c>
      <c r="O469" t="n">
        <v>0</v>
      </c>
      <c r="P469" t="n">
        <v>0</v>
      </c>
      <c r="Q469" t="n">
        <v>0</v>
      </c>
      <c r="R469" s="2" t="inlineStr"/>
    </row>
    <row r="470" ht="15" customHeight="1">
      <c r="A470" t="inlineStr">
        <is>
          <t>A 24232-2024</t>
        </is>
      </c>
      <c r="B470" s="1" t="n">
        <v>45457.34686342593</v>
      </c>
      <c r="C470" s="1" t="n">
        <v>46001</v>
      </c>
      <c r="D470" t="inlineStr">
        <is>
          <t>VÄSTERNORRLANDS LÄN</t>
        </is>
      </c>
      <c r="E470" t="inlineStr">
        <is>
          <t>ÅNGE</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33783-2024</t>
        </is>
      </c>
      <c r="B471" s="1" t="n">
        <v>45520</v>
      </c>
      <c r="C471" s="1" t="n">
        <v>46001</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26641-2024</t>
        </is>
      </c>
      <c r="B472" s="1" t="n">
        <v>45469.92836805555</v>
      </c>
      <c r="C472" s="1" t="n">
        <v>46001</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41741-2023</t>
        </is>
      </c>
      <c r="B473" s="1" t="n">
        <v>45176.42164351852</v>
      </c>
      <c r="C473" s="1" t="n">
        <v>46001</v>
      </c>
      <c r="D473" t="inlineStr">
        <is>
          <t>VÄSTERNORRLANDS LÄN</t>
        </is>
      </c>
      <c r="E473" t="inlineStr">
        <is>
          <t>ÅNGE</t>
        </is>
      </c>
      <c r="G473" t="n">
        <v>7.8</v>
      </c>
      <c r="H473" t="n">
        <v>0</v>
      </c>
      <c r="I473" t="n">
        <v>0</v>
      </c>
      <c r="J473" t="n">
        <v>0</v>
      </c>
      <c r="K473" t="n">
        <v>0</v>
      </c>
      <c r="L473" t="n">
        <v>0</v>
      </c>
      <c r="M473" t="n">
        <v>0</v>
      </c>
      <c r="N473" t="n">
        <v>0</v>
      </c>
      <c r="O473" t="n">
        <v>0</v>
      </c>
      <c r="P473" t="n">
        <v>0</v>
      </c>
      <c r="Q473" t="n">
        <v>0</v>
      </c>
      <c r="R473" s="2" t="inlineStr"/>
    </row>
    <row r="474" ht="15" customHeight="1">
      <c r="A474" t="inlineStr">
        <is>
          <t>A 37992-2024</t>
        </is>
      </c>
      <c r="B474" s="1" t="n">
        <v>45544.59524305556</v>
      </c>
      <c r="C474" s="1" t="n">
        <v>46001</v>
      </c>
      <c r="D474" t="inlineStr">
        <is>
          <t>VÄSTERNORRLANDS LÄN</t>
        </is>
      </c>
      <c r="E474" t="inlineStr">
        <is>
          <t>ÅNGE</t>
        </is>
      </c>
      <c r="G474" t="n">
        <v>3.9</v>
      </c>
      <c r="H474" t="n">
        <v>0</v>
      </c>
      <c r="I474" t="n">
        <v>0</v>
      </c>
      <c r="J474" t="n">
        <v>0</v>
      </c>
      <c r="K474" t="n">
        <v>0</v>
      </c>
      <c r="L474" t="n">
        <v>0</v>
      </c>
      <c r="M474" t="n">
        <v>0</v>
      </c>
      <c r="N474" t="n">
        <v>0</v>
      </c>
      <c r="O474" t="n">
        <v>0</v>
      </c>
      <c r="P474" t="n">
        <v>0</v>
      </c>
      <c r="Q474" t="n">
        <v>0</v>
      </c>
      <c r="R474" s="2" t="inlineStr"/>
    </row>
    <row r="475" ht="15" customHeight="1">
      <c r="A475" t="inlineStr">
        <is>
          <t>A 45128-2022</t>
        </is>
      </c>
      <c r="B475" s="1" t="n">
        <v>44844.3146412037</v>
      </c>
      <c r="C475" s="1" t="n">
        <v>46001</v>
      </c>
      <c r="D475" t="inlineStr">
        <is>
          <t>VÄSTERNORRLANDS LÄN</t>
        </is>
      </c>
      <c r="E475" t="inlineStr">
        <is>
          <t>ÅNGE</t>
        </is>
      </c>
      <c r="G475" t="n">
        <v>4.1</v>
      </c>
      <c r="H475" t="n">
        <v>0</v>
      </c>
      <c r="I475" t="n">
        <v>0</v>
      </c>
      <c r="J475" t="n">
        <v>0</v>
      </c>
      <c r="K475" t="n">
        <v>0</v>
      </c>
      <c r="L475" t="n">
        <v>0</v>
      </c>
      <c r="M475" t="n">
        <v>0</v>
      </c>
      <c r="N475" t="n">
        <v>0</v>
      </c>
      <c r="O475" t="n">
        <v>0</v>
      </c>
      <c r="P475" t="n">
        <v>0</v>
      </c>
      <c r="Q475" t="n">
        <v>0</v>
      </c>
      <c r="R475" s="2" t="inlineStr"/>
    </row>
    <row r="476" ht="15" customHeight="1">
      <c r="A476" t="inlineStr">
        <is>
          <t>A 57516-2023</t>
        </is>
      </c>
      <c r="B476" s="1" t="n">
        <v>45246.44665509259</v>
      </c>
      <c r="C476" s="1" t="n">
        <v>46001</v>
      </c>
      <c r="D476" t="inlineStr">
        <is>
          <t>VÄSTERNORRLANDS LÄN</t>
        </is>
      </c>
      <c r="E476" t="inlineStr">
        <is>
          <t>ÅNGE</t>
        </is>
      </c>
      <c r="G476" t="n">
        <v>2.2</v>
      </c>
      <c r="H476" t="n">
        <v>0</v>
      </c>
      <c r="I476" t="n">
        <v>0</v>
      </c>
      <c r="J476" t="n">
        <v>0</v>
      </c>
      <c r="K476" t="n">
        <v>0</v>
      </c>
      <c r="L476" t="n">
        <v>0</v>
      </c>
      <c r="M476" t="n">
        <v>0</v>
      </c>
      <c r="N476" t="n">
        <v>0</v>
      </c>
      <c r="O476" t="n">
        <v>0</v>
      </c>
      <c r="P476" t="n">
        <v>0</v>
      </c>
      <c r="Q476" t="n">
        <v>0</v>
      </c>
      <c r="R476" s="2" t="inlineStr"/>
    </row>
    <row r="477" ht="15" customHeight="1">
      <c r="A477" t="inlineStr">
        <is>
          <t>A 26951-2024</t>
        </is>
      </c>
      <c r="B477" s="1" t="n">
        <v>45470.96991898148</v>
      </c>
      <c r="C477" s="1" t="n">
        <v>46001</v>
      </c>
      <c r="D477" t="inlineStr">
        <is>
          <t>VÄSTERNORRLANDS LÄN</t>
        </is>
      </c>
      <c r="E477" t="inlineStr">
        <is>
          <t>ÅNGE</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23069-2024</t>
        </is>
      </c>
      <c r="B478" s="1" t="n">
        <v>45450</v>
      </c>
      <c r="C478" s="1" t="n">
        <v>46001</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26952-2024</t>
        </is>
      </c>
      <c r="B479" s="1" t="n">
        <v>45470</v>
      </c>
      <c r="C479" s="1" t="n">
        <v>46001</v>
      </c>
      <c r="D479" t="inlineStr">
        <is>
          <t>VÄSTERNORRLANDS LÄN</t>
        </is>
      </c>
      <c r="E479" t="inlineStr">
        <is>
          <t>ÅNGE</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27321-2024</t>
        </is>
      </c>
      <c r="B480" s="1" t="n">
        <v>45471</v>
      </c>
      <c r="C480" s="1" t="n">
        <v>46001</v>
      </c>
      <c r="D480" t="inlineStr">
        <is>
          <t>VÄSTERNORRLANDS LÄN</t>
        </is>
      </c>
      <c r="E480" t="inlineStr">
        <is>
          <t>ÅNGE</t>
        </is>
      </c>
      <c r="F480" t="inlineStr">
        <is>
          <t>SCA</t>
        </is>
      </c>
      <c r="G480" t="n">
        <v>14.1</v>
      </c>
      <c r="H480" t="n">
        <v>0</v>
      </c>
      <c r="I480" t="n">
        <v>0</v>
      </c>
      <c r="J480" t="n">
        <v>0</v>
      </c>
      <c r="K480" t="n">
        <v>0</v>
      </c>
      <c r="L480" t="n">
        <v>0</v>
      </c>
      <c r="M480" t="n">
        <v>0</v>
      </c>
      <c r="N480" t="n">
        <v>0</v>
      </c>
      <c r="O480" t="n">
        <v>0</v>
      </c>
      <c r="P480" t="n">
        <v>0</v>
      </c>
      <c r="Q480" t="n">
        <v>0</v>
      </c>
      <c r="R480" s="2" t="inlineStr"/>
    </row>
    <row r="481" ht="15" customHeight="1">
      <c r="A481" t="inlineStr">
        <is>
          <t>A 37382-2021</t>
        </is>
      </c>
      <c r="B481" s="1" t="n">
        <v>44397</v>
      </c>
      <c r="C481" s="1" t="n">
        <v>46001</v>
      </c>
      <c r="D481" t="inlineStr">
        <is>
          <t>VÄSTERNORRLANDS LÄN</t>
        </is>
      </c>
      <c r="E481" t="inlineStr">
        <is>
          <t>ÅNGE</t>
        </is>
      </c>
      <c r="G481" t="n">
        <v>2.4</v>
      </c>
      <c r="H481" t="n">
        <v>0</v>
      </c>
      <c r="I481" t="n">
        <v>0</v>
      </c>
      <c r="J481" t="n">
        <v>0</v>
      </c>
      <c r="K481" t="n">
        <v>0</v>
      </c>
      <c r="L481" t="n">
        <v>0</v>
      </c>
      <c r="M481" t="n">
        <v>0</v>
      </c>
      <c r="N481" t="n">
        <v>0</v>
      </c>
      <c r="O481" t="n">
        <v>0</v>
      </c>
      <c r="P481" t="n">
        <v>0</v>
      </c>
      <c r="Q481" t="n">
        <v>0</v>
      </c>
      <c r="R481" s="2" t="inlineStr"/>
    </row>
    <row r="482" ht="15" customHeight="1">
      <c r="A482" t="inlineStr">
        <is>
          <t>A 27668-2024</t>
        </is>
      </c>
      <c r="B482" s="1" t="n">
        <v>45474.95435185185</v>
      </c>
      <c r="C482" s="1" t="n">
        <v>46001</v>
      </c>
      <c r="D482" t="inlineStr">
        <is>
          <t>VÄSTERNORRLANDS LÄN</t>
        </is>
      </c>
      <c r="E482" t="inlineStr">
        <is>
          <t>ÅNGE</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41575-2024</t>
        </is>
      </c>
      <c r="B483" s="1" t="n">
        <v>45560.55106481481</v>
      </c>
      <c r="C483" s="1" t="n">
        <v>46001</v>
      </c>
      <c r="D483" t="inlineStr">
        <is>
          <t>VÄSTERNORRLANDS LÄN</t>
        </is>
      </c>
      <c r="E483" t="inlineStr">
        <is>
          <t>ÅNGE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24008-2025</t>
        </is>
      </c>
      <c r="B484" s="1" t="n">
        <v>45796.43841435185</v>
      </c>
      <c r="C484" s="1" t="n">
        <v>46001</v>
      </c>
      <c r="D484" t="inlineStr">
        <is>
          <t>VÄSTERNORRLANDS LÄN</t>
        </is>
      </c>
      <c r="E484" t="inlineStr">
        <is>
          <t>ÅNGE</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1116-2023</t>
        </is>
      </c>
      <c r="B485" s="1" t="n">
        <v>44929</v>
      </c>
      <c r="C485" s="1" t="n">
        <v>46001</v>
      </c>
      <c r="D485" t="inlineStr">
        <is>
          <t>VÄSTERNORRLANDS LÄN</t>
        </is>
      </c>
      <c r="E485" t="inlineStr">
        <is>
          <t>ÅNGE</t>
        </is>
      </c>
      <c r="G485" t="n">
        <v>17.2</v>
      </c>
      <c r="H485" t="n">
        <v>0</v>
      </c>
      <c r="I485" t="n">
        <v>0</v>
      </c>
      <c r="J485" t="n">
        <v>0</v>
      </c>
      <c r="K485" t="n">
        <v>0</v>
      </c>
      <c r="L485" t="n">
        <v>0</v>
      </c>
      <c r="M485" t="n">
        <v>0</v>
      </c>
      <c r="N485" t="n">
        <v>0</v>
      </c>
      <c r="O485" t="n">
        <v>0</v>
      </c>
      <c r="P485" t="n">
        <v>0</v>
      </c>
      <c r="Q485" t="n">
        <v>0</v>
      </c>
      <c r="R485" s="2" t="inlineStr"/>
    </row>
    <row r="486" ht="15" customHeight="1">
      <c r="A486" t="inlineStr">
        <is>
          <t>A 19007-2025</t>
        </is>
      </c>
      <c r="B486" s="1" t="n">
        <v>45764.58515046296</v>
      </c>
      <c r="C486" s="1" t="n">
        <v>46001</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60004-2023</t>
        </is>
      </c>
      <c r="B487" s="1" t="n">
        <v>45257</v>
      </c>
      <c r="C487" s="1" t="n">
        <v>46001</v>
      </c>
      <c r="D487" t="inlineStr">
        <is>
          <t>VÄSTERNORRLANDS LÄN</t>
        </is>
      </c>
      <c r="E487" t="inlineStr">
        <is>
          <t>ÅNGE</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38703-2025</t>
        </is>
      </c>
      <c r="B488" s="1" t="n">
        <v>45885.34440972222</v>
      </c>
      <c r="C488" s="1" t="n">
        <v>46001</v>
      </c>
      <c r="D488" t="inlineStr">
        <is>
          <t>VÄSTERNORRLANDS LÄN</t>
        </is>
      </c>
      <c r="E488" t="inlineStr">
        <is>
          <t>ÅNGE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32051-2025</t>
        </is>
      </c>
      <c r="B489" s="1" t="n">
        <v>45835.44185185185</v>
      </c>
      <c r="C489" s="1" t="n">
        <v>46001</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20716-2025</t>
        </is>
      </c>
      <c r="B490" s="1" t="n">
        <v>45776.49026620371</v>
      </c>
      <c r="C490" s="1" t="n">
        <v>46001</v>
      </c>
      <c r="D490" t="inlineStr">
        <is>
          <t>VÄSTERNORRLANDS LÄN</t>
        </is>
      </c>
      <c r="E490" t="inlineStr">
        <is>
          <t>ÅNGE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43622-2023</t>
        </is>
      </c>
      <c r="B491" s="1" t="n">
        <v>45184.70777777778</v>
      </c>
      <c r="C491" s="1" t="n">
        <v>46001</v>
      </c>
      <c r="D491" t="inlineStr">
        <is>
          <t>VÄSTERNORRLANDS LÄN</t>
        </is>
      </c>
      <c r="E491" t="inlineStr">
        <is>
          <t>ÅNGE</t>
        </is>
      </c>
      <c r="F491" t="inlineStr">
        <is>
          <t>Holmen skog AB</t>
        </is>
      </c>
      <c r="G491" t="n">
        <v>5.9</v>
      </c>
      <c r="H491" t="n">
        <v>0</v>
      </c>
      <c r="I491" t="n">
        <v>0</v>
      </c>
      <c r="J491" t="n">
        <v>0</v>
      </c>
      <c r="K491" t="n">
        <v>0</v>
      </c>
      <c r="L491" t="n">
        <v>0</v>
      </c>
      <c r="M491" t="n">
        <v>0</v>
      </c>
      <c r="N491" t="n">
        <v>0</v>
      </c>
      <c r="O491" t="n">
        <v>0</v>
      </c>
      <c r="P491" t="n">
        <v>0</v>
      </c>
      <c r="Q491" t="n">
        <v>0</v>
      </c>
      <c r="R491" s="2" t="inlineStr"/>
    </row>
    <row r="492" ht="15" customHeight="1">
      <c r="A492" t="inlineStr">
        <is>
          <t>A 24458-2025</t>
        </is>
      </c>
      <c r="B492" s="1" t="n">
        <v>45798.34476851852</v>
      </c>
      <c r="C492" s="1" t="n">
        <v>46001</v>
      </c>
      <c r="D492" t="inlineStr">
        <is>
          <t>VÄSTERNORRLANDS LÄN</t>
        </is>
      </c>
      <c r="E492" t="inlineStr">
        <is>
          <t>ÅNGE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38711-2025</t>
        </is>
      </c>
      <c r="B493" s="1" t="n">
        <v>45886.34450231482</v>
      </c>
      <c r="C493" s="1" t="n">
        <v>46001</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38715-2025</t>
        </is>
      </c>
      <c r="B494" s="1" t="n">
        <v>45886.34501157407</v>
      </c>
      <c r="C494" s="1" t="n">
        <v>46001</v>
      </c>
      <c r="D494" t="inlineStr">
        <is>
          <t>VÄSTERNORRLANDS LÄN</t>
        </is>
      </c>
      <c r="E494" t="inlineStr">
        <is>
          <t>ÅNGE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29390-2021</t>
        </is>
      </c>
      <c r="B495" s="1" t="n">
        <v>44361</v>
      </c>
      <c r="C495" s="1" t="n">
        <v>46001</v>
      </c>
      <c r="D495" t="inlineStr">
        <is>
          <t>VÄSTERNORRLANDS LÄN</t>
        </is>
      </c>
      <c r="E495" t="inlineStr">
        <is>
          <t>ÅNGE</t>
        </is>
      </c>
      <c r="F495" t="inlineStr">
        <is>
          <t>Holmen skog AB</t>
        </is>
      </c>
      <c r="G495" t="n">
        <v>1.7</v>
      </c>
      <c r="H495" t="n">
        <v>0</v>
      </c>
      <c r="I495" t="n">
        <v>0</v>
      </c>
      <c r="J495" t="n">
        <v>0</v>
      </c>
      <c r="K495" t="n">
        <v>0</v>
      </c>
      <c r="L495" t="n">
        <v>0</v>
      </c>
      <c r="M495" t="n">
        <v>0</v>
      </c>
      <c r="N495" t="n">
        <v>0</v>
      </c>
      <c r="O495" t="n">
        <v>0</v>
      </c>
      <c r="P495" t="n">
        <v>0</v>
      </c>
      <c r="Q495" t="n">
        <v>0</v>
      </c>
      <c r="R495" s="2" t="inlineStr"/>
    </row>
    <row r="496" ht="15" customHeight="1">
      <c r="A496" t="inlineStr">
        <is>
          <t>A 30054-2024</t>
        </is>
      </c>
      <c r="B496" s="1" t="n">
        <v>45488.94758101852</v>
      </c>
      <c r="C496" s="1" t="n">
        <v>46001</v>
      </c>
      <c r="D496" t="inlineStr">
        <is>
          <t>VÄSTERNORRLANDS LÄN</t>
        </is>
      </c>
      <c r="E496" t="inlineStr">
        <is>
          <t>ÅNGE</t>
        </is>
      </c>
      <c r="F496" t="inlineStr">
        <is>
          <t>SCA</t>
        </is>
      </c>
      <c r="G496" t="n">
        <v>11.7</v>
      </c>
      <c r="H496" t="n">
        <v>0</v>
      </c>
      <c r="I496" t="n">
        <v>0</v>
      </c>
      <c r="J496" t="n">
        <v>0</v>
      </c>
      <c r="K496" t="n">
        <v>0</v>
      </c>
      <c r="L496" t="n">
        <v>0</v>
      </c>
      <c r="M496" t="n">
        <v>0</v>
      </c>
      <c r="N496" t="n">
        <v>0</v>
      </c>
      <c r="O496" t="n">
        <v>0</v>
      </c>
      <c r="P496" t="n">
        <v>0</v>
      </c>
      <c r="Q496" t="n">
        <v>0</v>
      </c>
      <c r="R496" s="2" t="inlineStr"/>
    </row>
    <row r="497" ht="15" customHeight="1">
      <c r="A497" t="inlineStr">
        <is>
          <t>A 63216-2023</t>
        </is>
      </c>
      <c r="B497" s="1" t="n">
        <v>45273.62721064815</v>
      </c>
      <c r="C497" s="1" t="n">
        <v>46001</v>
      </c>
      <c r="D497" t="inlineStr">
        <is>
          <t>VÄSTERNORRLANDS LÄN</t>
        </is>
      </c>
      <c r="E497" t="inlineStr">
        <is>
          <t>ÅNGE</t>
        </is>
      </c>
      <c r="F497" t="inlineStr">
        <is>
          <t>Holmen skog AB</t>
        </is>
      </c>
      <c r="G497" t="n">
        <v>2.9</v>
      </c>
      <c r="H497" t="n">
        <v>0</v>
      </c>
      <c r="I497" t="n">
        <v>0</v>
      </c>
      <c r="J497" t="n">
        <v>0</v>
      </c>
      <c r="K497" t="n">
        <v>0</v>
      </c>
      <c r="L497" t="n">
        <v>0</v>
      </c>
      <c r="M497" t="n">
        <v>0</v>
      </c>
      <c r="N497" t="n">
        <v>0</v>
      </c>
      <c r="O497" t="n">
        <v>0</v>
      </c>
      <c r="P497" t="n">
        <v>0</v>
      </c>
      <c r="Q497" t="n">
        <v>0</v>
      </c>
      <c r="R497" s="2" t="inlineStr"/>
    </row>
    <row r="498" ht="15" customHeight="1">
      <c r="A498" t="inlineStr">
        <is>
          <t>A 24357-2025</t>
        </is>
      </c>
      <c r="B498" s="1" t="n">
        <v>45797.59467592592</v>
      </c>
      <c r="C498" s="1" t="n">
        <v>46001</v>
      </c>
      <c r="D498" t="inlineStr">
        <is>
          <t>VÄSTERNORRLANDS LÄN</t>
        </is>
      </c>
      <c r="E498" t="inlineStr">
        <is>
          <t>ÅNGE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55197-2022</t>
        </is>
      </c>
      <c r="B499" s="1" t="n">
        <v>44886.93714120371</v>
      </c>
      <c r="C499" s="1" t="n">
        <v>46001</v>
      </c>
      <c r="D499" t="inlineStr">
        <is>
          <t>VÄSTERNORRLANDS LÄN</t>
        </is>
      </c>
      <c r="E499" t="inlineStr">
        <is>
          <t>ÅNGE</t>
        </is>
      </c>
      <c r="G499" t="n">
        <v>1.4</v>
      </c>
      <c r="H499" t="n">
        <v>0</v>
      </c>
      <c r="I499" t="n">
        <v>0</v>
      </c>
      <c r="J499" t="n">
        <v>0</v>
      </c>
      <c r="K499" t="n">
        <v>0</v>
      </c>
      <c r="L499" t="n">
        <v>0</v>
      </c>
      <c r="M499" t="n">
        <v>0</v>
      </c>
      <c r="N499" t="n">
        <v>0</v>
      </c>
      <c r="O499" t="n">
        <v>0</v>
      </c>
      <c r="P499" t="n">
        <v>0</v>
      </c>
      <c r="Q499" t="n">
        <v>0</v>
      </c>
      <c r="R499" s="2" t="inlineStr"/>
    </row>
    <row r="500" ht="15" customHeight="1">
      <c r="A500" t="inlineStr">
        <is>
          <t>A 50186-2021</t>
        </is>
      </c>
      <c r="B500" s="1" t="n">
        <v>44456</v>
      </c>
      <c r="C500" s="1" t="n">
        <v>46001</v>
      </c>
      <c r="D500" t="inlineStr">
        <is>
          <t>VÄSTERNORRLANDS LÄN</t>
        </is>
      </c>
      <c r="E500" t="inlineStr">
        <is>
          <t>ÅNGE</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24207-2025</t>
        </is>
      </c>
      <c r="B501" s="1" t="n">
        <v>45797.34439814815</v>
      </c>
      <c r="C501" s="1" t="n">
        <v>46001</v>
      </c>
      <c r="D501" t="inlineStr">
        <is>
          <t>VÄSTERNORRLANDS LÄN</t>
        </is>
      </c>
      <c r="E501" t="inlineStr">
        <is>
          <t>ÅNGE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24292-2025</t>
        </is>
      </c>
      <c r="B502" s="1" t="n">
        <v>45797.46657407407</v>
      </c>
      <c r="C502" s="1" t="n">
        <v>46001</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4142-2024</t>
        </is>
      </c>
      <c r="B503" s="1" t="n">
        <v>45323</v>
      </c>
      <c r="C503" s="1" t="n">
        <v>46001</v>
      </c>
      <c r="D503" t="inlineStr">
        <is>
          <t>VÄSTERNORRLANDS LÄN</t>
        </is>
      </c>
      <c r="E503" t="inlineStr">
        <is>
          <t>ÅNGE</t>
        </is>
      </c>
      <c r="G503" t="n">
        <v>1</v>
      </c>
      <c r="H503" t="n">
        <v>0</v>
      </c>
      <c r="I503" t="n">
        <v>0</v>
      </c>
      <c r="J503" t="n">
        <v>0</v>
      </c>
      <c r="K503" t="n">
        <v>0</v>
      </c>
      <c r="L503" t="n">
        <v>0</v>
      </c>
      <c r="M503" t="n">
        <v>0</v>
      </c>
      <c r="N503" t="n">
        <v>0</v>
      </c>
      <c r="O503" t="n">
        <v>0</v>
      </c>
      <c r="P503" t="n">
        <v>0</v>
      </c>
      <c r="Q503" t="n">
        <v>0</v>
      </c>
      <c r="R503" s="2" t="inlineStr"/>
    </row>
    <row r="504" ht="15" customHeight="1">
      <c r="A504" t="inlineStr">
        <is>
          <t>A 27853-2024</t>
        </is>
      </c>
      <c r="B504" s="1" t="n">
        <v>45475</v>
      </c>
      <c r="C504" s="1" t="n">
        <v>46001</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10781-2024</t>
        </is>
      </c>
      <c r="B505" s="1" t="n">
        <v>45369.59635416666</v>
      </c>
      <c r="C505" s="1" t="n">
        <v>46001</v>
      </c>
      <c r="D505" t="inlineStr">
        <is>
          <t>VÄSTERNORRLANDS LÄN</t>
        </is>
      </c>
      <c r="E505" t="inlineStr">
        <is>
          <t>ÅNGE</t>
        </is>
      </c>
      <c r="G505" t="n">
        <v>1.9</v>
      </c>
      <c r="H505" t="n">
        <v>0</v>
      </c>
      <c r="I505" t="n">
        <v>0</v>
      </c>
      <c r="J505" t="n">
        <v>0</v>
      </c>
      <c r="K505" t="n">
        <v>0</v>
      </c>
      <c r="L505" t="n">
        <v>0</v>
      </c>
      <c r="M505" t="n">
        <v>0</v>
      </c>
      <c r="N505" t="n">
        <v>0</v>
      </c>
      <c r="O505" t="n">
        <v>0</v>
      </c>
      <c r="P505" t="n">
        <v>0</v>
      </c>
      <c r="Q505" t="n">
        <v>0</v>
      </c>
      <c r="R505" s="2" t="inlineStr"/>
    </row>
    <row r="506" ht="15" customHeight="1">
      <c r="A506" t="inlineStr">
        <is>
          <t>A 39444-2025</t>
        </is>
      </c>
      <c r="B506" s="1" t="n">
        <v>45889.69826388889</v>
      </c>
      <c r="C506" s="1" t="n">
        <v>46001</v>
      </c>
      <c r="D506" t="inlineStr">
        <is>
          <t>VÄSTERNORRLANDS LÄN</t>
        </is>
      </c>
      <c r="E506" t="inlineStr">
        <is>
          <t>ÅNGE</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24627-2025</t>
        </is>
      </c>
      <c r="B507" s="1" t="n">
        <v>45798.59471064815</v>
      </c>
      <c r="C507" s="1" t="n">
        <v>46001</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24209-2025</t>
        </is>
      </c>
      <c r="B508" s="1" t="n">
        <v>45797.3446875</v>
      </c>
      <c r="C508" s="1" t="n">
        <v>46001</v>
      </c>
      <c r="D508" t="inlineStr">
        <is>
          <t>VÄSTERNORRLANDS LÄN</t>
        </is>
      </c>
      <c r="E508" t="inlineStr">
        <is>
          <t>ÅNGE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24232-2025</t>
        </is>
      </c>
      <c r="B509" s="1" t="n">
        <v>45797.37846064815</v>
      </c>
      <c r="C509" s="1" t="n">
        <v>46001</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25340-2025</t>
        </is>
      </c>
      <c r="B510" s="1" t="n">
        <v>45800.60074074074</v>
      </c>
      <c r="C510" s="1" t="n">
        <v>46001</v>
      </c>
      <c r="D510" t="inlineStr">
        <is>
          <t>VÄSTERNORRLANDS LÄN</t>
        </is>
      </c>
      <c r="E510" t="inlineStr">
        <is>
          <t>ÅNGE</t>
        </is>
      </c>
      <c r="G510" t="n">
        <v>2.7</v>
      </c>
      <c r="H510" t="n">
        <v>0</v>
      </c>
      <c r="I510" t="n">
        <v>0</v>
      </c>
      <c r="J510" t="n">
        <v>0</v>
      </c>
      <c r="K510" t="n">
        <v>0</v>
      </c>
      <c r="L510" t="n">
        <v>0</v>
      </c>
      <c r="M510" t="n">
        <v>0</v>
      </c>
      <c r="N510" t="n">
        <v>0</v>
      </c>
      <c r="O510" t="n">
        <v>0</v>
      </c>
      <c r="P510" t="n">
        <v>0</v>
      </c>
      <c r="Q510" t="n">
        <v>0</v>
      </c>
      <c r="R510" s="2" t="inlineStr"/>
    </row>
    <row r="511" ht="15" customHeight="1">
      <c r="A511" t="inlineStr">
        <is>
          <t>A 25273-2025</t>
        </is>
      </c>
      <c r="B511" s="1" t="n">
        <v>45800.55253472222</v>
      </c>
      <c r="C511" s="1" t="n">
        <v>46001</v>
      </c>
      <c r="D511" t="inlineStr">
        <is>
          <t>VÄSTERNORRLANDS LÄN</t>
        </is>
      </c>
      <c r="E511" t="inlineStr">
        <is>
          <t>ÅNGE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39434-2025</t>
        </is>
      </c>
      <c r="B512" s="1" t="n">
        <v>45889.67811342593</v>
      </c>
      <c r="C512" s="1" t="n">
        <v>46001</v>
      </c>
      <c r="D512" t="inlineStr">
        <is>
          <t>VÄSTERNORRLANDS LÄN</t>
        </is>
      </c>
      <c r="E512" t="inlineStr">
        <is>
          <t>ÅNGE</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25352-2025</t>
        </is>
      </c>
      <c r="B513" s="1" t="n">
        <v>45800.61552083334</v>
      </c>
      <c r="C513" s="1" t="n">
        <v>46001</v>
      </c>
      <c r="D513" t="inlineStr">
        <is>
          <t>VÄSTERNORRLANDS LÄN</t>
        </is>
      </c>
      <c r="E513" t="inlineStr">
        <is>
          <t>ÅNGE</t>
        </is>
      </c>
      <c r="F513" t="inlineStr">
        <is>
          <t>SCA</t>
        </is>
      </c>
      <c r="G513" t="n">
        <v>6.3</v>
      </c>
      <c r="H513" t="n">
        <v>0</v>
      </c>
      <c r="I513" t="n">
        <v>0</v>
      </c>
      <c r="J513" t="n">
        <v>0</v>
      </c>
      <c r="K513" t="n">
        <v>0</v>
      </c>
      <c r="L513" t="n">
        <v>0</v>
      </c>
      <c r="M513" t="n">
        <v>0</v>
      </c>
      <c r="N513" t="n">
        <v>0</v>
      </c>
      <c r="O513" t="n">
        <v>0</v>
      </c>
      <c r="P513" t="n">
        <v>0</v>
      </c>
      <c r="Q513" t="n">
        <v>0</v>
      </c>
      <c r="R513" s="2" t="inlineStr"/>
    </row>
    <row r="514" ht="15" customHeight="1">
      <c r="A514" t="inlineStr">
        <is>
          <t>A 31864-2024</t>
        </is>
      </c>
      <c r="B514" s="1" t="n">
        <v>45509.74791666667</v>
      </c>
      <c r="C514" s="1" t="n">
        <v>46001</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49532-2024</t>
        </is>
      </c>
      <c r="B515" s="1" t="n">
        <v>45596.41797453703</v>
      </c>
      <c r="C515" s="1" t="n">
        <v>46001</v>
      </c>
      <c r="D515" t="inlineStr">
        <is>
          <t>VÄSTERNORRLANDS LÄN</t>
        </is>
      </c>
      <c r="E515" t="inlineStr">
        <is>
          <t>ÅNGE</t>
        </is>
      </c>
      <c r="G515" t="n">
        <v>3.3</v>
      </c>
      <c r="H515" t="n">
        <v>0</v>
      </c>
      <c r="I515" t="n">
        <v>0</v>
      </c>
      <c r="J515" t="n">
        <v>0</v>
      </c>
      <c r="K515" t="n">
        <v>0</v>
      </c>
      <c r="L515" t="n">
        <v>0</v>
      </c>
      <c r="M515" t="n">
        <v>0</v>
      </c>
      <c r="N515" t="n">
        <v>0</v>
      </c>
      <c r="O515" t="n">
        <v>0</v>
      </c>
      <c r="P515" t="n">
        <v>0</v>
      </c>
      <c r="Q515" t="n">
        <v>0</v>
      </c>
      <c r="R515" s="2" t="inlineStr"/>
    </row>
    <row r="516" ht="15" customHeight="1">
      <c r="A516" t="inlineStr">
        <is>
          <t>A 25017-2025</t>
        </is>
      </c>
      <c r="B516" s="1" t="n">
        <v>45799.63791666667</v>
      </c>
      <c r="C516" s="1" t="n">
        <v>46001</v>
      </c>
      <c r="D516" t="inlineStr">
        <is>
          <t>VÄSTERNORRLANDS LÄN</t>
        </is>
      </c>
      <c r="E516" t="inlineStr">
        <is>
          <t>ÅNGE</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40790-2023</t>
        </is>
      </c>
      <c r="B517" s="1" t="n">
        <v>45170.95814814815</v>
      </c>
      <c r="C517" s="1" t="n">
        <v>46001</v>
      </c>
      <c r="D517" t="inlineStr">
        <is>
          <t>VÄSTERNORRLANDS LÄN</t>
        </is>
      </c>
      <c r="E517" t="inlineStr">
        <is>
          <t>ÅNGE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11310-2023</t>
        </is>
      </c>
      <c r="B518" s="1" t="n">
        <v>44993.01190972222</v>
      </c>
      <c r="C518" s="1" t="n">
        <v>46001</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1090-2023</t>
        </is>
      </c>
      <c r="B519" s="1" t="n">
        <v>44929</v>
      </c>
      <c r="C519" s="1" t="n">
        <v>46001</v>
      </c>
      <c r="D519" t="inlineStr">
        <is>
          <t>VÄSTERNORRLANDS LÄN</t>
        </is>
      </c>
      <c r="E519" t="inlineStr">
        <is>
          <t>ÅNGE</t>
        </is>
      </c>
      <c r="G519" t="n">
        <v>0.7</v>
      </c>
      <c r="H519" t="n">
        <v>0</v>
      </c>
      <c r="I519" t="n">
        <v>0</v>
      </c>
      <c r="J519" t="n">
        <v>0</v>
      </c>
      <c r="K519" t="n">
        <v>0</v>
      </c>
      <c r="L519" t="n">
        <v>0</v>
      </c>
      <c r="M519" t="n">
        <v>0</v>
      </c>
      <c r="N519" t="n">
        <v>0</v>
      </c>
      <c r="O519" t="n">
        <v>0</v>
      </c>
      <c r="P519" t="n">
        <v>0</v>
      </c>
      <c r="Q519" t="n">
        <v>0</v>
      </c>
      <c r="R519" s="2" t="inlineStr"/>
    </row>
    <row r="520" ht="15" customHeight="1">
      <c r="A520" t="inlineStr">
        <is>
          <t>A 35578-2025</t>
        </is>
      </c>
      <c r="B520" s="1" t="n">
        <v>45856.67797453704</v>
      </c>
      <c r="C520" s="1" t="n">
        <v>46001</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25241-2025</t>
        </is>
      </c>
      <c r="B521" s="1" t="n">
        <v>45800.49053240741</v>
      </c>
      <c r="C521" s="1" t="n">
        <v>46001</v>
      </c>
      <c r="D521" t="inlineStr">
        <is>
          <t>VÄSTERNORRLANDS LÄN</t>
        </is>
      </c>
      <c r="E521" t="inlineStr">
        <is>
          <t>ÅNGE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39768-2025</t>
        </is>
      </c>
      <c r="B522" s="1" t="n">
        <v>45891.44842592593</v>
      </c>
      <c r="C522" s="1" t="n">
        <v>46001</v>
      </c>
      <c r="D522" t="inlineStr">
        <is>
          <t>VÄSTERNORRLANDS LÄN</t>
        </is>
      </c>
      <c r="E522" t="inlineStr">
        <is>
          <t>ÅNGE</t>
        </is>
      </c>
      <c r="G522" t="n">
        <v>10.4</v>
      </c>
      <c r="H522" t="n">
        <v>0</v>
      </c>
      <c r="I522" t="n">
        <v>0</v>
      </c>
      <c r="J522" t="n">
        <v>0</v>
      </c>
      <c r="K522" t="n">
        <v>0</v>
      </c>
      <c r="L522" t="n">
        <v>0</v>
      </c>
      <c r="M522" t="n">
        <v>0</v>
      </c>
      <c r="N522" t="n">
        <v>0</v>
      </c>
      <c r="O522" t="n">
        <v>0</v>
      </c>
      <c r="P522" t="n">
        <v>0</v>
      </c>
      <c r="Q522" t="n">
        <v>0</v>
      </c>
      <c r="R522" s="2" t="inlineStr"/>
    </row>
    <row r="523" ht="15" customHeight="1">
      <c r="A523" t="inlineStr">
        <is>
          <t>A 25274-2025</t>
        </is>
      </c>
      <c r="B523" s="1" t="n">
        <v>45800.55276620371</v>
      </c>
      <c r="C523" s="1" t="n">
        <v>46001</v>
      </c>
      <c r="D523" t="inlineStr">
        <is>
          <t>VÄSTERNORRLANDS LÄN</t>
        </is>
      </c>
      <c r="E523" t="inlineStr">
        <is>
          <t>ÅNGE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33720-2025</t>
        </is>
      </c>
      <c r="B524" s="1" t="n">
        <v>45841.90605324074</v>
      </c>
      <c r="C524" s="1" t="n">
        <v>46001</v>
      </c>
      <c r="D524" t="inlineStr">
        <is>
          <t>VÄSTERNORRLANDS LÄN</t>
        </is>
      </c>
      <c r="E524" t="inlineStr">
        <is>
          <t>ÅNGE</t>
        </is>
      </c>
      <c r="G524" t="n">
        <v>6.4</v>
      </c>
      <c r="H524" t="n">
        <v>0</v>
      </c>
      <c r="I524" t="n">
        <v>0</v>
      </c>
      <c r="J524" t="n">
        <v>0</v>
      </c>
      <c r="K524" t="n">
        <v>0</v>
      </c>
      <c r="L524" t="n">
        <v>0</v>
      </c>
      <c r="M524" t="n">
        <v>0</v>
      </c>
      <c r="N524" t="n">
        <v>0</v>
      </c>
      <c r="O524" t="n">
        <v>0</v>
      </c>
      <c r="P524" t="n">
        <v>0</v>
      </c>
      <c r="Q524" t="n">
        <v>0</v>
      </c>
      <c r="R524" s="2" t="inlineStr"/>
    </row>
    <row r="525" ht="15" customHeight="1">
      <c r="A525" t="inlineStr">
        <is>
          <t>A 39729-2025</t>
        </is>
      </c>
      <c r="B525" s="1" t="n">
        <v>45891</v>
      </c>
      <c r="C525" s="1" t="n">
        <v>46001</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16450-2025</t>
        </is>
      </c>
      <c r="B526" s="1" t="n">
        <v>45751.51081018519</v>
      </c>
      <c r="C526" s="1" t="n">
        <v>46001</v>
      </c>
      <c r="D526" t="inlineStr">
        <is>
          <t>VÄSTERNORRLANDS LÄN</t>
        </is>
      </c>
      <c r="E526" t="inlineStr">
        <is>
          <t>ÅNGE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35426-2024</t>
        </is>
      </c>
      <c r="B527" s="1" t="n">
        <v>45531</v>
      </c>
      <c r="C527" s="1" t="n">
        <v>46001</v>
      </c>
      <c r="D527" t="inlineStr">
        <is>
          <t>VÄSTERNORRLANDS LÄN</t>
        </is>
      </c>
      <c r="E527" t="inlineStr">
        <is>
          <t>ÅNGE</t>
        </is>
      </c>
      <c r="F527" t="inlineStr">
        <is>
          <t>SCA</t>
        </is>
      </c>
      <c r="G527" t="n">
        <v>10.9</v>
      </c>
      <c r="H527" t="n">
        <v>0</v>
      </c>
      <c r="I527" t="n">
        <v>0</v>
      </c>
      <c r="J527" t="n">
        <v>0</v>
      </c>
      <c r="K527" t="n">
        <v>0</v>
      </c>
      <c r="L527" t="n">
        <v>0</v>
      </c>
      <c r="M527" t="n">
        <v>0</v>
      </c>
      <c r="N527" t="n">
        <v>0</v>
      </c>
      <c r="O527" t="n">
        <v>0</v>
      </c>
      <c r="P527" t="n">
        <v>0</v>
      </c>
      <c r="Q527" t="n">
        <v>0</v>
      </c>
      <c r="R527" s="2" t="inlineStr"/>
    </row>
    <row r="528" ht="15" customHeight="1">
      <c r="A528" t="inlineStr">
        <is>
          <t>A 31545-2024</t>
        </is>
      </c>
      <c r="B528" s="1" t="n">
        <v>45505</v>
      </c>
      <c r="C528" s="1" t="n">
        <v>46001</v>
      </c>
      <c r="D528" t="inlineStr">
        <is>
          <t>VÄSTERNORRLANDS LÄN</t>
        </is>
      </c>
      <c r="E528" t="inlineStr">
        <is>
          <t>ÅNGE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25332-2025</t>
        </is>
      </c>
      <c r="B529" s="1" t="n">
        <v>45800.59418981482</v>
      </c>
      <c r="C529" s="1" t="n">
        <v>46001</v>
      </c>
      <c r="D529" t="inlineStr">
        <is>
          <t>VÄSTERNORRLANDS LÄN</t>
        </is>
      </c>
      <c r="E529" t="inlineStr">
        <is>
          <t>ÅNGE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24852-2025</t>
        </is>
      </c>
      <c r="B530" s="1" t="n">
        <v>45799.46975694445</v>
      </c>
      <c r="C530" s="1" t="n">
        <v>46001</v>
      </c>
      <c r="D530" t="inlineStr">
        <is>
          <t>VÄSTERNORRLANDS LÄN</t>
        </is>
      </c>
      <c r="E530" t="inlineStr">
        <is>
          <t>ÅNGE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24847-2025</t>
        </is>
      </c>
      <c r="B531" s="1" t="n">
        <v>45799.46907407408</v>
      </c>
      <c r="C531" s="1" t="n">
        <v>46001</v>
      </c>
      <c r="D531" t="inlineStr">
        <is>
          <t>VÄSTERNORRLANDS LÄN</t>
        </is>
      </c>
      <c r="E531" t="inlineStr">
        <is>
          <t>ÅNGE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25067-2025</t>
        </is>
      </c>
      <c r="B532" s="1" t="n">
        <v>45799.71908564815</v>
      </c>
      <c r="C532" s="1" t="n">
        <v>46001</v>
      </c>
      <c r="D532" t="inlineStr">
        <is>
          <t>VÄSTERNORRLANDS LÄN</t>
        </is>
      </c>
      <c r="E532" t="inlineStr">
        <is>
          <t>ÅNGE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27915-2024</t>
        </is>
      </c>
      <c r="B533" s="1" t="n">
        <v>45475</v>
      </c>
      <c r="C533" s="1" t="n">
        <v>46001</v>
      </c>
      <c r="D533" t="inlineStr">
        <is>
          <t>VÄSTERNORRLANDS LÄN</t>
        </is>
      </c>
      <c r="E533" t="inlineStr">
        <is>
          <t>ÅNGE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40665-2025</t>
        </is>
      </c>
      <c r="B534" s="1" t="n">
        <v>45896.65663194445</v>
      </c>
      <c r="C534" s="1" t="n">
        <v>46001</v>
      </c>
      <c r="D534" t="inlineStr">
        <is>
          <t>VÄSTERNORRLANDS LÄN</t>
        </is>
      </c>
      <c r="E534" t="inlineStr">
        <is>
          <t>ÅNGE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25532-2025</t>
        </is>
      </c>
      <c r="B535" s="1" t="n">
        <v>45803.4065162037</v>
      </c>
      <c r="C535" s="1" t="n">
        <v>46001</v>
      </c>
      <c r="D535" t="inlineStr">
        <is>
          <t>VÄSTERNORRLANDS LÄN</t>
        </is>
      </c>
      <c r="E535" t="inlineStr">
        <is>
          <t>ÅNGE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1964-2022</t>
        </is>
      </c>
      <c r="B536" s="1" t="n">
        <v>44575.5050462963</v>
      </c>
      <c r="C536" s="1" t="n">
        <v>46001</v>
      </c>
      <c r="D536" t="inlineStr">
        <is>
          <t>VÄSTERNORRLANDS LÄN</t>
        </is>
      </c>
      <c r="E536" t="inlineStr">
        <is>
          <t>ÅNGE</t>
        </is>
      </c>
      <c r="G536" t="n">
        <v>1.1</v>
      </c>
      <c r="H536" t="n">
        <v>0</v>
      </c>
      <c r="I536" t="n">
        <v>0</v>
      </c>
      <c r="J536" t="n">
        <v>0</v>
      </c>
      <c r="K536" t="n">
        <v>0</v>
      </c>
      <c r="L536" t="n">
        <v>0</v>
      </c>
      <c r="M536" t="n">
        <v>0</v>
      </c>
      <c r="N536" t="n">
        <v>0</v>
      </c>
      <c r="O536" t="n">
        <v>0</v>
      </c>
      <c r="P536" t="n">
        <v>0</v>
      </c>
      <c r="Q536" t="n">
        <v>0</v>
      </c>
      <c r="R536" s="2" t="inlineStr"/>
    </row>
    <row r="537" ht="15" customHeight="1">
      <c r="A537" t="inlineStr">
        <is>
          <t>A 25810-2025</t>
        </is>
      </c>
      <c r="B537" s="1" t="n">
        <v>45804.42083333333</v>
      </c>
      <c r="C537" s="1" t="n">
        <v>46001</v>
      </c>
      <c r="D537" t="inlineStr">
        <is>
          <t>VÄSTERNORRLANDS LÄN</t>
        </is>
      </c>
      <c r="E537" t="inlineStr">
        <is>
          <t>ÅNGE</t>
        </is>
      </c>
      <c r="G537" t="n">
        <v>6.2</v>
      </c>
      <c r="H537" t="n">
        <v>0</v>
      </c>
      <c r="I537" t="n">
        <v>0</v>
      </c>
      <c r="J537" t="n">
        <v>0</v>
      </c>
      <c r="K537" t="n">
        <v>0</v>
      </c>
      <c r="L537" t="n">
        <v>0</v>
      </c>
      <c r="M537" t="n">
        <v>0</v>
      </c>
      <c r="N537" t="n">
        <v>0</v>
      </c>
      <c r="O537" t="n">
        <v>0</v>
      </c>
      <c r="P537" t="n">
        <v>0</v>
      </c>
      <c r="Q537" t="n">
        <v>0</v>
      </c>
      <c r="R537" s="2" t="inlineStr"/>
    </row>
    <row r="538" ht="15" customHeight="1">
      <c r="A538" t="inlineStr">
        <is>
          <t>A 31863-2024</t>
        </is>
      </c>
      <c r="B538" s="1" t="n">
        <v>45509.74121527778</v>
      </c>
      <c r="C538" s="1" t="n">
        <v>46001</v>
      </c>
      <c r="D538" t="inlineStr">
        <is>
          <t>VÄSTERNORRLANDS LÄN</t>
        </is>
      </c>
      <c r="E538" t="inlineStr">
        <is>
          <t>ÅNGE</t>
        </is>
      </c>
      <c r="G538" t="n">
        <v>4.5</v>
      </c>
      <c r="H538" t="n">
        <v>0</v>
      </c>
      <c r="I538" t="n">
        <v>0</v>
      </c>
      <c r="J538" t="n">
        <v>0</v>
      </c>
      <c r="K538" t="n">
        <v>0</v>
      </c>
      <c r="L538" t="n">
        <v>0</v>
      </c>
      <c r="M538" t="n">
        <v>0</v>
      </c>
      <c r="N538" t="n">
        <v>0</v>
      </c>
      <c r="O538" t="n">
        <v>0</v>
      </c>
      <c r="P538" t="n">
        <v>0</v>
      </c>
      <c r="Q538" t="n">
        <v>0</v>
      </c>
      <c r="R538" s="2" t="inlineStr"/>
    </row>
    <row r="539" ht="15" customHeight="1">
      <c r="A539" t="inlineStr">
        <is>
          <t>A 53651-2023</t>
        </is>
      </c>
      <c r="B539" s="1" t="n">
        <v>45230.60815972222</v>
      </c>
      <c r="C539" s="1" t="n">
        <v>46001</v>
      </c>
      <c r="D539" t="inlineStr">
        <is>
          <t>VÄSTERNORRLANDS LÄN</t>
        </is>
      </c>
      <c r="E539" t="inlineStr">
        <is>
          <t>ÅNGE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63522-2021</t>
        </is>
      </c>
      <c r="B540" s="1" t="n">
        <v>44508</v>
      </c>
      <c r="C540" s="1" t="n">
        <v>46001</v>
      </c>
      <c r="D540" t="inlineStr">
        <is>
          <t>VÄSTERNORRLANDS LÄN</t>
        </is>
      </c>
      <c r="E540" t="inlineStr">
        <is>
          <t>ÅNGE</t>
        </is>
      </c>
      <c r="F540" t="inlineStr">
        <is>
          <t>Övriga Aktiebolag</t>
        </is>
      </c>
      <c r="G540" t="n">
        <v>3.5</v>
      </c>
      <c r="H540" t="n">
        <v>0</v>
      </c>
      <c r="I540" t="n">
        <v>0</v>
      </c>
      <c r="J540" t="n">
        <v>0</v>
      </c>
      <c r="K540" t="n">
        <v>0</v>
      </c>
      <c r="L540" t="n">
        <v>0</v>
      </c>
      <c r="M540" t="n">
        <v>0</v>
      </c>
      <c r="N540" t="n">
        <v>0</v>
      </c>
      <c r="O540" t="n">
        <v>0</v>
      </c>
      <c r="P540" t="n">
        <v>0</v>
      </c>
      <c r="Q540" t="n">
        <v>0</v>
      </c>
      <c r="R540" s="2" t="inlineStr"/>
    </row>
    <row r="541" ht="15" customHeight="1">
      <c r="A541" t="inlineStr">
        <is>
          <t>A 57287-2022</t>
        </is>
      </c>
      <c r="B541" s="1" t="n">
        <v>44895.95</v>
      </c>
      <c r="C541" s="1" t="n">
        <v>46001</v>
      </c>
      <c r="D541" t="inlineStr">
        <is>
          <t>VÄSTERNORRLANDS LÄN</t>
        </is>
      </c>
      <c r="E541" t="inlineStr">
        <is>
          <t>ÅNGE</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57291-2022</t>
        </is>
      </c>
      <c r="B542" s="1" t="n">
        <v>44895</v>
      </c>
      <c r="C542" s="1" t="n">
        <v>46001</v>
      </c>
      <c r="D542" t="inlineStr">
        <is>
          <t>VÄSTERNORRLANDS LÄN</t>
        </is>
      </c>
      <c r="E542" t="inlineStr">
        <is>
          <t>ÅNGE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6680-2024</t>
        </is>
      </c>
      <c r="B543" s="1" t="n">
        <v>45341</v>
      </c>
      <c r="C543" s="1" t="n">
        <v>46001</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6685-2024</t>
        </is>
      </c>
      <c r="B544" s="1" t="n">
        <v>45341</v>
      </c>
      <c r="C544" s="1" t="n">
        <v>46001</v>
      </c>
      <c r="D544" t="inlineStr">
        <is>
          <t>VÄSTERNORRLANDS LÄN</t>
        </is>
      </c>
      <c r="E544" t="inlineStr">
        <is>
          <t>ÅNGE</t>
        </is>
      </c>
      <c r="G544" t="n">
        <v>0.5</v>
      </c>
      <c r="H544" t="n">
        <v>0</v>
      </c>
      <c r="I544" t="n">
        <v>0</v>
      </c>
      <c r="J544" t="n">
        <v>0</v>
      </c>
      <c r="K544" t="n">
        <v>0</v>
      </c>
      <c r="L544" t="n">
        <v>0</v>
      </c>
      <c r="M544" t="n">
        <v>0</v>
      </c>
      <c r="N544" t="n">
        <v>0</v>
      </c>
      <c r="O544" t="n">
        <v>0</v>
      </c>
      <c r="P544" t="n">
        <v>0</v>
      </c>
      <c r="Q544" t="n">
        <v>0</v>
      </c>
      <c r="R544" s="2" t="inlineStr"/>
    </row>
    <row r="545" ht="15" customHeight="1">
      <c r="A545" t="inlineStr">
        <is>
          <t>A 6689-2024</t>
        </is>
      </c>
      <c r="B545" s="1" t="n">
        <v>45341.9259375</v>
      </c>
      <c r="C545" s="1" t="n">
        <v>46001</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36877-2024</t>
        </is>
      </c>
      <c r="B546" s="1" t="n">
        <v>45538.59418981482</v>
      </c>
      <c r="C546" s="1" t="n">
        <v>46001</v>
      </c>
      <c r="D546" t="inlineStr">
        <is>
          <t>VÄSTERNORRLANDS LÄN</t>
        </is>
      </c>
      <c r="E546" t="inlineStr">
        <is>
          <t>ÅNGE</t>
        </is>
      </c>
      <c r="G546" t="n">
        <v>3.3</v>
      </c>
      <c r="H546" t="n">
        <v>0</v>
      </c>
      <c r="I546" t="n">
        <v>0</v>
      </c>
      <c r="J546" t="n">
        <v>0</v>
      </c>
      <c r="K546" t="n">
        <v>0</v>
      </c>
      <c r="L546" t="n">
        <v>0</v>
      </c>
      <c r="M546" t="n">
        <v>0</v>
      </c>
      <c r="N546" t="n">
        <v>0</v>
      </c>
      <c r="O546" t="n">
        <v>0</v>
      </c>
      <c r="P546" t="n">
        <v>0</v>
      </c>
      <c r="Q546" t="n">
        <v>0</v>
      </c>
      <c r="R546" s="2" t="inlineStr"/>
    </row>
    <row r="547" ht="15" customHeight="1">
      <c r="A547" t="inlineStr">
        <is>
          <t>A 25499-2025</t>
        </is>
      </c>
      <c r="B547" s="1" t="n">
        <v>45803.344375</v>
      </c>
      <c r="C547" s="1" t="n">
        <v>46001</v>
      </c>
      <c r="D547" t="inlineStr">
        <is>
          <t>VÄSTERNORRLANDS LÄN</t>
        </is>
      </c>
      <c r="E547" t="inlineStr">
        <is>
          <t>ÅNGE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35488-2024</t>
        </is>
      </c>
      <c r="B548" s="1" t="n">
        <v>45531</v>
      </c>
      <c r="C548" s="1" t="n">
        <v>46001</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25772-2025</t>
        </is>
      </c>
      <c r="B549" s="1" t="n">
        <v>45804.34520833333</v>
      </c>
      <c r="C549" s="1" t="n">
        <v>46001</v>
      </c>
      <c r="D549" t="inlineStr">
        <is>
          <t>VÄSTERNORRLANDS LÄN</t>
        </is>
      </c>
      <c r="E549" t="inlineStr">
        <is>
          <t>ÅNGE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35593-2024</t>
        </is>
      </c>
      <c r="B550" s="1" t="n">
        <v>45531</v>
      </c>
      <c r="C550" s="1" t="n">
        <v>46001</v>
      </c>
      <c r="D550" t="inlineStr">
        <is>
          <t>VÄSTERNORRLANDS LÄN</t>
        </is>
      </c>
      <c r="E550" t="inlineStr">
        <is>
          <t>ÅNGE</t>
        </is>
      </c>
      <c r="G550" t="n">
        <v>17.6</v>
      </c>
      <c r="H550" t="n">
        <v>0</v>
      </c>
      <c r="I550" t="n">
        <v>0</v>
      </c>
      <c r="J550" t="n">
        <v>0</v>
      </c>
      <c r="K550" t="n">
        <v>0</v>
      </c>
      <c r="L550" t="n">
        <v>0</v>
      </c>
      <c r="M550" t="n">
        <v>0</v>
      </c>
      <c r="N550" t="n">
        <v>0</v>
      </c>
      <c r="O550" t="n">
        <v>0</v>
      </c>
      <c r="P550" t="n">
        <v>0</v>
      </c>
      <c r="Q550" t="n">
        <v>0</v>
      </c>
      <c r="R550" s="2" t="inlineStr"/>
    </row>
    <row r="551" ht="15" customHeight="1">
      <c r="A551" t="inlineStr">
        <is>
          <t>A 27468-2024</t>
        </is>
      </c>
      <c r="B551" s="1" t="n">
        <v>45474</v>
      </c>
      <c r="C551" s="1" t="n">
        <v>46001</v>
      </c>
      <c r="D551" t="inlineStr">
        <is>
          <t>VÄSTERNORRLANDS LÄN</t>
        </is>
      </c>
      <c r="E551" t="inlineStr">
        <is>
          <t>ÅNGE</t>
        </is>
      </c>
      <c r="G551" t="n">
        <v>1.3</v>
      </c>
      <c r="H551" t="n">
        <v>0</v>
      </c>
      <c r="I551" t="n">
        <v>0</v>
      </c>
      <c r="J551" t="n">
        <v>0</v>
      </c>
      <c r="K551" t="n">
        <v>0</v>
      </c>
      <c r="L551" t="n">
        <v>0</v>
      </c>
      <c r="M551" t="n">
        <v>0</v>
      </c>
      <c r="N551" t="n">
        <v>0</v>
      </c>
      <c r="O551" t="n">
        <v>0</v>
      </c>
      <c r="P551" t="n">
        <v>0</v>
      </c>
      <c r="Q551" t="n">
        <v>0</v>
      </c>
      <c r="R551" s="2" t="inlineStr"/>
    </row>
    <row r="552" ht="15" customHeight="1">
      <c r="A552" t="inlineStr">
        <is>
          <t>A 15863-2022</t>
        </is>
      </c>
      <c r="B552" s="1" t="n">
        <v>44664</v>
      </c>
      <c r="C552" s="1" t="n">
        <v>46001</v>
      </c>
      <c r="D552" t="inlineStr">
        <is>
          <t>VÄSTERNORRLANDS LÄN</t>
        </is>
      </c>
      <c r="E552" t="inlineStr">
        <is>
          <t>ÅNGE</t>
        </is>
      </c>
      <c r="G552" t="n">
        <v>3.6</v>
      </c>
      <c r="H552" t="n">
        <v>0</v>
      </c>
      <c r="I552" t="n">
        <v>0</v>
      </c>
      <c r="J552" t="n">
        <v>0</v>
      </c>
      <c r="K552" t="n">
        <v>0</v>
      </c>
      <c r="L552" t="n">
        <v>0</v>
      </c>
      <c r="M552" t="n">
        <v>0</v>
      </c>
      <c r="N552" t="n">
        <v>0</v>
      </c>
      <c r="O552" t="n">
        <v>0</v>
      </c>
      <c r="P552" t="n">
        <v>0</v>
      </c>
      <c r="Q552" t="n">
        <v>0</v>
      </c>
      <c r="R552" s="2" t="inlineStr"/>
    </row>
    <row r="553" ht="15" customHeight="1">
      <c r="A553" t="inlineStr">
        <is>
          <t>A 30055-2024</t>
        </is>
      </c>
      <c r="B553" s="1" t="n">
        <v>45488.94767361111</v>
      </c>
      <c r="C553" s="1" t="n">
        <v>46001</v>
      </c>
      <c r="D553" t="inlineStr">
        <is>
          <t>VÄSTERNORRLANDS LÄN</t>
        </is>
      </c>
      <c r="E553" t="inlineStr">
        <is>
          <t>ÅNGE</t>
        </is>
      </c>
      <c r="F553" t="inlineStr">
        <is>
          <t>SCA</t>
        </is>
      </c>
      <c r="G553" t="n">
        <v>4.8</v>
      </c>
      <c r="H553" t="n">
        <v>0</v>
      </c>
      <c r="I553" t="n">
        <v>0</v>
      </c>
      <c r="J553" t="n">
        <v>0</v>
      </c>
      <c r="K553" t="n">
        <v>0</v>
      </c>
      <c r="L553" t="n">
        <v>0</v>
      </c>
      <c r="M553" t="n">
        <v>0</v>
      </c>
      <c r="N553" t="n">
        <v>0</v>
      </c>
      <c r="O553" t="n">
        <v>0</v>
      </c>
      <c r="P553" t="n">
        <v>0</v>
      </c>
      <c r="Q553" t="n">
        <v>0</v>
      </c>
      <c r="R553" s="2" t="inlineStr"/>
    </row>
    <row r="554" ht="15" customHeight="1">
      <c r="A554" t="inlineStr">
        <is>
          <t>A 41179-2025</t>
        </is>
      </c>
      <c r="B554" s="1" t="n">
        <v>45898.55277777778</v>
      </c>
      <c r="C554" s="1" t="n">
        <v>46001</v>
      </c>
      <c r="D554" t="inlineStr">
        <is>
          <t>VÄSTERNORRLANDS LÄN</t>
        </is>
      </c>
      <c r="E554" t="inlineStr">
        <is>
          <t>ÅNGE</t>
        </is>
      </c>
      <c r="F554" t="inlineStr">
        <is>
          <t>SCA</t>
        </is>
      </c>
      <c r="G554" t="n">
        <v>4.1</v>
      </c>
      <c r="H554" t="n">
        <v>0</v>
      </c>
      <c r="I554" t="n">
        <v>0</v>
      </c>
      <c r="J554" t="n">
        <v>0</v>
      </c>
      <c r="K554" t="n">
        <v>0</v>
      </c>
      <c r="L554" t="n">
        <v>0</v>
      </c>
      <c r="M554" t="n">
        <v>0</v>
      </c>
      <c r="N554" t="n">
        <v>0</v>
      </c>
      <c r="O554" t="n">
        <v>0</v>
      </c>
      <c r="P554" t="n">
        <v>0</v>
      </c>
      <c r="Q554" t="n">
        <v>0</v>
      </c>
      <c r="R554" s="2" t="inlineStr"/>
    </row>
    <row r="555" ht="15" customHeight="1">
      <c r="A555" t="inlineStr">
        <is>
          <t>A 41173-2025</t>
        </is>
      </c>
      <c r="B555" s="1" t="n">
        <v>45898</v>
      </c>
      <c r="C555" s="1" t="n">
        <v>46001</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40898-2025</t>
        </is>
      </c>
      <c r="B556" s="1" t="n">
        <v>45897.61503472222</v>
      </c>
      <c r="C556" s="1" t="n">
        <v>46001</v>
      </c>
      <c r="D556" t="inlineStr">
        <is>
          <t>VÄSTERNORRLANDS LÄN</t>
        </is>
      </c>
      <c r="E556" t="inlineStr">
        <is>
          <t>ÅNGE</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40899-2025</t>
        </is>
      </c>
      <c r="B557" s="1" t="n">
        <v>45897.61528935185</v>
      </c>
      <c r="C557" s="1" t="n">
        <v>46001</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26193-2025</t>
        </is>
      </c>
      <c r="B558" s="1" t="n">
        <v>45805.48922453704</v>
      </c>
      <c r="C558" s="1" t="n">
        <v>46001</v>
      </c>
      <c r="D558" t="inlineStr">
        <is>
          <t>VÄSTERNORRLANDS LÄN</t>
        </is>
      </c>
      <c r="E558" t="inlineStr">
        <is>
          <t>ÅNGE</t>
        </is>
      </c>
      <c r="G558" t="n">
        <v>2.3</v>
      </c>
      <c r="H558" t="n">
        <v>0</v>
      </c>
      <c r="I558" t="n">
        <v>0</v>
      </c>
      <c r="J558" t="n">
        <v>0</v>
      </c>
      <c r="K558" t="n">
        <v>0</v>
      </c>
      <c r="L558" t="n">
        <v>0</v>
      </c>
      <c r="M558" t="n">
        <v>0</v>
      </c>
      <c r="N558" t="n">
        <v>0</v>
      </c>
      <c r="O558" t="n">
        <v>0</v>
      </c>
      <c r="P558" t="n">
        <v>0</v>
      </c>
      <c r="Q558" t="n">
        <v>0</v>
      </c>
      <c r="R558" s="2" t="inlineStr"/>
    </row>
    <row r="559" ht="15" customHeight="1">
      <c r="A559" t="inlineStr">
        <is>
          <t>A 26388-2025</t>
        </is>
      </c>
      <c r="B559" s="1" t="n">
        <v>45806.51069444444</v>
      </c>
      <c r="C559" s="1" t="n">
        <v>46001</v>
      </c>
      <c r="D559" t="inlineStr">
        <is>
          <t>VÄSTERNORRLANDS LÄN</t>
        </is>
      </c>
      <c r="E559" t="inlineStr">
        <is>
          <t>ÅNGE</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26365-2025</t>
        </is>
      </c>
      <c r="B560" s="1" t="n">
        <v>45806.34412037037</v>
      </c>
      <c r="C560" s="1" t="n">
        <v>46001</v>
      </c>
      <c r="D560" t="inlineStr">
        <is>
          <t>VÄSTERNORRLANDS LÄN</t>
        </is>
      </c>
      <c r="E560" t="inlineStr">
        <is>
          <t>ÅNGE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26011-2024</t>
        </is>
      </c>
      <c r="B561" s="1" t="n">
        <v>45467.95828703704</v>
      </c>
      <c r="C561" s="1" t="n">
        <v>46001</v>
      </c>
      <c r="D561" t="inlineStr">
        <is>
          <t>VÄSTERNORRLANDS LÄN</t>
        </is>
      </c>
      <c r="E561" t="inlineStr">
        <is>
          <t>ÅNGE</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26014-2024</t>
        </is>
      </c>
      <c r="B562" s="1" t="n">
        <v>45467.95862268518</v>
      </c>
      <c r="C562" s="1" t="n">
        <v>46001</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26019-2024</t>
        </is>
      </c>
      <c r="B563" s="1" t="n">
        <v>45467.96015046296</v>
      </c>
      <c r="C563" s="1" t="n">
        <v>46001</v>
      </c>
      <c r="D563" t="inlineStr">
        <is>
          <t>VÄSTERNORRLANDS LÄN</t>
        </is>
      </c>
      <c r="E563" t="inlineStr">
        <is>
          <t>ÅNGE</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26389-2025</t>
        </is>
      </c>
      <c r="B564" s="1" t="n">
        <v>45806.51078703703</v>
      </c>
      <c r="C564" s="1" t="n">
        <v>46001</v>
      </c>
      <c r="D564" t="inlineStr">
        <is>
          <t>VÄSTERNORRLANDS LÄN</t>
        </is>
      </c>
      <c r="E564" t="inlineStr">
        <is>
          <t>ÅNGE</t>
        </is>
      </c>
      <c r="F564" t="inlineStr">
        <is>
          <t>SCA</t>
        </is>
      </c>
      <c r="G564" t="n">
        <v>11.9</v>
      </c>
      <c r="H564" t="n">
        <v>0</v>
      </c>
      <c r="I564" t="n">
        <v>0</v>
      </c>
      <c r="J564" t="n">
        <v>0</v>
      </c>
      <c r="K564" t="n">
        <v>0</v>
      </c>
      <c r="L564" t="n">
        <v>0</v>
      </c>
      <c r="M564" t="n">
        <v>0</v>
      </c>
      <c r="N564" t="n">
        <v>0</v>
      </c>
      <c r="O564" t="n">
        <v>0</v>
      </c>
      <c r="P564" t="n">
        <v>0</v>
      </c>
      <c r="Q564" t="n">
        <v>0</v>
      </c>
      <c r="R564" s="2" t="inlineStr"/>
    </row>
    <row r="565" ht="15" customHeight="1">
      <c r="A565" t="inlineStr">
        <is>
          <t>A 21262-2025</t>
        </is>
      </c>
      <c r="B565" s="1" t="n">
        <v>45779</v>
      </c>
      <c r="C565" s="1" t="n">
        <v>46001</v>
      </c>
      <c r="D565" t="inlineStr">
        <is>
          <t>VÄSTERNORRLANDS LÄN</t>
        </is>
      </c>
      <c r="E565" t="inlineStr">
        <is>
          <t>ÅNGE</t>
        </is>
      </c>
      <c r="F565" t="inlineStr">
        <is>
          <t>Sveaskog</t>
        </is>
      </c>
      <c r="G565" t="n">
        <v>9</v>
      </c>
      <c r="H565" t="n">
        <v>0</v>
      </c>
      <c r="I565" t="n">
        <v>0</v>
      </c>
      <c r="J565" t="n">
        <v>0</v>
      </c>
      <c r="K565" t="n">
        <v>0</v>
      </c>
      <c r="L565" t="n">
        <v>0</v>
      </c>
      <c r="M565" t="n">
        <v>0</v>
      </c>
      <c r="N565" t="n">
        <v>0</v>
      </c>
      <c r="O565" t="n">
        <v>0</v>
      </c>
      <c r="P565" t="n">
        <v>0</v>
      </c>
      <c r="Q565" t="n">
        <v>0</v>
      </c>
      <c r="R565" s="2" t="inlineStr"/>
    </row>
    <row r="566" ht="15" customHeight="1">
      <c r="A566" t="inlineStr">
        <is>
          <t>A 26366-2025</t>
        </is>
      </c>
      <c r="B566" s="1" t="n">
        <v>45806.34424768519</v>
      </c>
      <c r="C566" s="1" t="n">
        <v>46001</v>
      </c>
      <c r="D566" t="inlineStr">
        <is>
          <t>VÄSTERNORRLANDS LÄN</t>
        </is>
      </c>
      <c r="E566" t="inlineStr">
        <is>
          <t>ÅNGE</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40872-2025</t>
        </is>
      </c>
      <c r="B567" s="1" t="n">
        <v>45897.574375</v>
      </c>
      <c r="C567" s="1" t="n">
        <v>46001</v>
      </c>
      <c r="D567" t="inlineStr">
        <is>
          <t>VÄSTERNORRLANDS LÄN</t>
        </is>
      </c>
      <c r="E567" t="inlineStr">
        <is>
          <t>ÅNGE</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40818-2025</t>
        </is>
      </c>
      <c r="B568" s="1" t="n">
        <v>45897.48881944444</v>
      </c>
      <c r="C568" s="1" t="n">
        <v>46001</v>
      </c>
      <c r="D568" t="inlineStr">
        <is>
          <t>VÄSTERNORRLANDS LÄN</t>
        </is>
      </c>
      <c r="E568" t="inlineStr">
        <is>
          <t>ÅNGE</t>
        </is>
      </c>
      <c r="G568" t="n">
        <v>2.9</v>
      </c>
      <c r="H568" t="n">
        <v>0</v>
      </c>
      <c r="I568" t="n">
        <v>0</v>
      </c>
      <c r="J568" t="n">
        <v>0</v>
      </c>
      <c r="K568" t="n">
        <v>0</v>
      </c>
      <c r="L568" t="n">
        <v>0</v>
      </c>
      <c r="M568" t="n">
        <v>0</v>
      </c>
      <c r="N568" t="n">
        <v>0</v>
      </c>
      <c r="O568" t="n">
        <v>0</v>
      </c>
      <c r="P568" t="n">
        <v>0</v>
      </c>
      <c r="Q568" t="n">
        <v>0</v>
      </c>
      <c r="R568" s="2" t="inlineStr"/>
    </row>
    <row r="569" ht="15" customHeight="1">
      <c r="A569" t="inlineStr">
        <is>
          <t>A 40830-2025</t>
        </is>
      </c>
      <c r="B569" s="1" t="n">
        <v>45897.51079861111</v>
      </c>
      <c r="C569" s="1" t="n">
        <v>46001</v>
      </c>
      <c r="D569" t="inlineStr">
        <is>
          <t>VÄSTERNORRLANDS LÄN</t>
        </is>
      </c>
      <c r="E569" t="inlineStr">
        <is>
          <t>ÅNGE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14889-2022</t>
        </is>
      </c>
      <c r="B570" s="1" t="n">
        <v>44656</v>
      </c>
      <c r="C570" s="1" t="n">
        <v>46001</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26655-2025</t>
        </is>
      </c>
      <c r="B571" s="1" t="n">
        <v>45810.39047453704</v>
      </c>
      <c r="C571" s="1" t="n">
        <v>46001</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25973-2022</t>
        </is>
      </c>
      <c r="B572" s="1" t="n">
        <v>44734</v>
      </c>
      <c r="C572" s="1" t="n">
        <v>46001</v>
      </c>
      <c r="D572" t="inlineStr">
        <is>
          <t>VÄSTERNORRLANDS LÄN</t>
        </is>
      </c>
      <c r="E572" t="inlineStr">
        <is>
          <t>ÅNGE</t>
        </is>
      </c>
      <c r="G572" t="n">
        <v>4.1</v>
      </c>
      <c r="H572" t="n">
        <v>0</v>
      </c>
      <c r="I572" t="n">
        <v>0</v>
      </c>
      <c r="J572" t="n">
        <v>0</v>
      </c>
      <c r="K572" t="n">
        <v>0</v>
      </c>
      <c r="L572" t="n">
        <v>0</v>
      </c>
      <c r="M572" t="n">
        <v>0</v>
      </c>
      <c r="N572" t="n">
        <v>0</v>
      </c>
      <c r="O572" t="n">
        <v>0</v>
      </c>
      <c r="P572" t="n">
        <v>0</v>
      </c>
      <c r="Q572" t="n">
        <v>0</v>
      </c>
      <c r="R572" s="2" t="inlineStr"/>
    </row>
    <row r="573" ht="15" customHeight="1">
      <c r="A573" t="inlineStr">
        <is>
          <t>A 60817-2024</t>
        </is>
      </c>
      <c r="B573" s="1" t="n">
        <v>45644</v>
      </c>
      <c r="C573" s="1" t="n">
        <v>46001</v>
      </c>
      <c r="D573" t="inlineStr">
        <is>
          <t>VÄSTERNORRLANDS LÄN</t>
        </is>
      </c>
      <c r="E573" t="inlineStr">
        <is>
          <t>ÅNGE</t>
        </is>
      </c>
      <c r="G573" t="n">
        <v>3.2</v>
      </c>
      <c r="H573" t="n">
        <v>0</v>
      </c>
      <c r="I573" t="n">
        <v>0</v>
      </c>
      <c r="J573" t="n">
        <v>0</v>
      </c>
      <c r="K573" t="n">
        <v>0</v>
      </c>
      <c r="L573" t="n">
        <v>0</v>
      </c>
      <c r="M573" t="n">
        <v>0</v>
      </c>
      <c r="N573" t="n">
        <v>0</v>
      </c>
      <c r="O573" t="n">
        <v>0</v>
      </c>
      <c r="P573" t="n">
        <v>0</v>
      </c>
      <c r="Q573" t="n">
        <v>0</v>
      </c>
      <c r="R573" s="2" t="inlineStr"/>
    </row>
    <row r="574" ht="15" customHeight="1">
      <c r="A574" t="inlineStr">
        <is>
          <t>A 23225-2024</t>
        </is>
      </c>
      <c r="B574" s="1" t="n">
        <v>45452.9490162037</v>
      </c>
      <c r="C574" s="1" t="n">
        <v>46001</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26608-2025</t>
        </is>
      </c>
      <c r="B575" s="1" t="n">
        <v>45809.98600694445</v>
      </c>
      <c r="C575" s="1" t="n">
        <v>46001</v>
      </c>
      <c r="D575" t="inlineStr">
        <is>
          <t>VÄSTERNORRLANDS LÄN</t>
        </is>
      </c>
      <c r="E575" t="inlineStr">
        <is>
          <t>ÅNGE</t>
        </is>
      </c>
      <c r="G575" t="n">
        <v>4.5</v>
      </c>
      <c r="H575" t="n">
        <v>0</v>
      </c>
      <c r="I575" t="n">
        <v>0</v>
      </c>
      <c r="J575" t="n">
        <v>0</v>
      </c>
      <c r="K575" t="n">
        <v>0</v>
      </c>
      <c r="L575" t="n">
        <v>0</v>
      </c>
      <c r="M575" t="n">
        <v>0</v>
      </c>
      <c r="N575" t="n">
        <v>0</v>
      </c>
      <c r="O575" t="n">
        <v>0</v>
      </c>
      <c r="P575" t="n">
        <v>0</v>
      </c>
      <c r="Q575" t="n">
        <v>0</v>
      </c>
      <c r="R575" s="2" t="inlineStr"/>
    </row>
    <row r="576" ht="15" customHeight="1">
      <c r="A576" t="inlineStr">
        <is>
          <t>A 42242-2023</t>
        </is>
      </c>
      <c r="B576" s="1" t="n">
        <v>45180.35025462963</v>
      </c>
      <c r="C576" s="1" t="n">
        <v>46001</v>
      </c>
      <c r="D576" t="inlineStr">
        <is>
          <t>VÄSTERNORRLANDS LÄN</t>
        </is>
      </c>
      <c r="E576" t="inlineStr">
        <is>
          <t>ÅNGE</t>
        </is>
      </c>
      <c r="G576" t="n">
        <v>5.7</v>
      </c>
      <c r="H576" t="n">
        <v>0</v>
      </c>
      <c r="I576" t="n">
        <v>0</v>
      </c>
      <c r="J576" t="n">
        <v>0</v>
      </c>
      <c r="K576" t="n">
        <v>0</v>
      </c>
      <c r="L576" t="n">
        <v>0</v>
      </c>
      <c r="M576" t="n">
        <v>0</v>
      </c>
      <c r="N576" t="n">
        <v>0</v>
      </c>
      <c r="O576" t="n">
        <v>0</v>
      </c>
      <c r="P576" t="n">
        <v>0</v>
      </c>
      <c r="Q576" t="n">
        <v>0</v>
      </c>
      <c r="R576" s="2" t="inlineStr"/>
    </row>
    <row r="577" ht="15" customHeight="1">
      <c r="A577" t="inlineStr">
        <is>
          <t>A 33305-2024</t>
        </is>
      </c>
      <c r="B577" s="1" t="n">
        <v>45518</v>
      </c>
      <c r="C577" s="1" t="n">
        <v>46001</v>
      </c>
      <c r="D577" t="inlineStr">
        <is>
          <t>VÄSTERNORRLANDS LÄN</t>
        </is>
      </c>
      <c r="E577" t="inlineStr">
        <is>
          <t>ÅNGE</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33306-2024</t>
        </is>
      </c>
      <c r="B578" s="1" t="n">
        <v>45518</v>
      </c>
      <c r="C578" s="1" t="n">
        <v>46001</v>
      </c>
      <c r="D578" t="inlineStr">
        <is>
          <t>VÄSTERNORRLANDS LÄN</t>
        </is>
      </c>
      <c r="E578" t="inlineStr">
        <is>
          <t>ÅNGE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7535-2023</t>
        </is>
      </c>
      <c r="B579" s="1" t="n">
        <v>44971</v>
      </c>
      <c r="C579" s="1" t="n">
        <v>46001</v>
      </c>
      <c r="D579" t="inlineStr">
        <is>
          <t>VÄSTERNORRLANDS LÄN</t>
        </is>
      </c>
      <c r="E579" t="inlineStr">
        <is>
          <t>ÅNGE</t>
        </is>
      </c>
      <c r="F579" t="inlineStr">
        <is>
          <t>SCA</t>
        </is>
      </c>
      <c r="G579" t="n">
        <v>14.6</v>
      </c>
      <c r="H579" t="n">
        <v>0</v>
      </c>
      <c r="I579" t="n">
        <v>0</v>
      </c>
      <c r="J579" t="n">
        <v>0</v>
      </c>
      <c r="K579" t="n">
        <v>0</v>
      </c>
      <c r="L579" t="n">
        <v>0</v>
      </c>
      <c r="M579" t="n">
        <v>0</v>
      </c>
      <c r="N579" t="n">
        <v>0</v>
      </c>
      <c r="O579" t="n">
        <v>0</v>
      </c>
      <c r="P579" t="n">
        <v>0</v>
      </c>
      <c r="Q579" t="n">
        <v>0</v>
      </c>
      <c r="R579" s="2" t="inlineStr"/>
    </row>
    <row r="580" ht="15" customHeight="1">
      <c r="A580" t="inlineStr">
        <is>
          <t>A 37038-2024</t>
        </is>
      </c>
      <c r="B580" s="1" t="n">
        <v>45539.40881944444</v>
      </c>
      <c r="C580" s="1" t="n">
        <v>46001</v>
      </c>
      <c r="D580" t="inlineStr">
        <is>
          <t>VÄSTERNORRLANDS LÄN</t>
        </is>
      </c>
      <c r="E580" t="inlineStr">
        <is>
          <t>ÅNGE</t>
        </is>
      </c>
      <c r="G580" t="n">
        <v>1.4</v>
      </c>
      <c r="H580" t="n">
        <v>0</v>
      </c>
      <c r="I580" t="n">
        <v>0</v>
      </c>
      <c r="J580" t="n">
        <v>0</v>
      </c>
      <c r="K580" t="n">
        <v>0</v>
      </c>
      <c r="L580" t="n">
        <v>0</v>
      </c>
      <c r="M580" t="n">
        <v>0</v>
      </c>
      <c r="N580" t="n">
        <v>0</v>
      </c>
      <c r="O580" t="n">
        <v>0</v>
      </c>
      <c r="P580" t="n">
        <v>0</v>
      </c>
      <c r="Q580" t="n">
        <v>0</v>
      </c>
      <c r="R580" s="2" t="inlineStr"/>
    </row>
    <row r="581" ht="15" customHeight="1">
      <c r="A581" t="inlineStr">
        <is>
          <t>A 41355-2025</t>
        </is>
      </c>
      <c r="B581" s="1" t="n">
        <v>45900.34425925926</v>
      </c>
      <c r="C581" s="1" t="n">
        <v>46001</v>
      </c>
      <c r="D581" t="inlineStr">
        <is>
          <t>VÄSTERNORRLANDS LÄN</t>
        </is>
      </c>
      <c r="E581" t="inlineStr">
        <is>
          <t>ÅNGE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36790-2023</t>
        </is>
      </c>
      <c r="B582" s="1" t="n">
        <v>45154.36418981481</v>
      </c>
      <c r="C582" s="1" t="n">
        <v>46001</v>
      </c>
      <c r="D582" t="inlineStr">
        <is>
          <t>VÄSTERNORRLANDS LÄN</t>
        </is>
      </c>
      <c r="E582" t="inlineStr">
        <is>
          <t>ÅNGE</t>
        </is>
      </c>
      <c r="G582" t="n">
        <v>1.4</v>
      </c>
      <c r="H582" t="n">
        <v>0</v>
      </c>
      <c r="I582" t="n">
        <v>0</v>
      </c>
      <c r="J582" t="n">
        <v>0</v>
      </c>
      <c r="K582" t="n">
        <v>0</v>
      </c>
      <c r="L582" t="n">
        <v>0</v>
      </c>
      <c r="M582" t="n">
        <v>0</v>
      </c>
      <c r="N582" t="n">
        <v>0</v>
      </c>
      <c r="O582" t="n">
        <v>0</v>
      </c>
      <c r="P582" t="n">
        <v>0</v>
      </c>
      <c r="Q582" t="n">
        <v>0</v>
      </c>
      <c r="R582" s="2" t="inlineStr"/>
    </row>
    <row r="583" ht="15" customHeight="1">
      <c r="A583" t="inlineStr">
        <is>
          <t>A 26734-2025</t>
        </is>
      </c>
      <c r="B583" s="1" t="n">
        <v>45810.51087962963</v>
      </c>
      <c r="C583" s="1" t="n">
        <v>46001</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27023-2025</t>
        </is>
      </c>
      <c r="B584" s="1" t="n">
        <v>45811.57342592593</v>
      </c>
      <c r="C584" s="1" t="n">
        <v>46001</v>
      </c>
      <c r="D584" t="inlineStr">
        <is>
          <t>VÄSTERNORRLANDS LÄN</t>
        </is>
      </c>
      <c r="E584" t="inlineStr">
        <is>
          <t>ÅNGE</t>
        </is>
      </c>
      <c r="G584" t="n">
        <v>0.3</v>
      </c>
      <c r="H584" t="n">
        <v>0</v>
      </c>
      <c r="I584" t="n">
        <v>0</v>
      </c>
      <c r="J584" t="n">
        <v>0</v>
      </c>
      <c r="K584" t="n">
        <v>0</v>
      </c>
      <c r="L584" t="n">
        <v>0</v>
      </c>
      <c r="M584" t="n">
        <v>0</v>
      </c>
      <c r="N584" t="n">
        <v>0</v>
      </c>
      <c r="O584" t="n">
        <v>0</v>
      </c>
      <c r="P584" t="n">
        <v>0</v>
      </c>
      <c r="Q584" t="n">
        <v>0</v>
      </c>
      <c r="R584" s="2" t="inlineStr"/>
    </row>
    <row r="585" ht="15" customHeight="1">
      <c r="A585" t="inlineStr">
        <is>
          <t>A 27164-2025</t>
        </is>
      </c>
      <c r="B585" s="1" t="n">
        <v>45812.34430555555</v>
      </c>
      <c r="C585" s="1" t="n">
        <v>46001</v>
      </c>
      <c r="D585" t="inlineStr">
        <is>
          <t>VÄSTERNORRLANDS LÄN</t>
        </is>
      </c>
      <c r="E585" t="inlineStr">
        <is>
          <t>ÅNGE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26901-2025</t>
        </is>
      </c>
      <c r="B586" s="1" t="n">
        <v>45811.34457175926</v>
      </c>
      <c r="C586" s="1" t="n">
        <v>46001</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33750-2024</t>
        </is>
      </c>
      <c r="B587" s="1" t="n">
        <v>45520.56475694444</v>
      </c>
      <c r="C587" s="1" t="n">
        <v>46001</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27165-2025</t>
        </is>
      </c>
      <c r="B588" s="1" t="n">
        <v>45812.34440972222</v>
      </c>
      <c r="C588" s="1" t="n">
        <v>46001</v>
      </c>
      <c r="D588" t="inlineStr">
        <is>
          <t>VÄSTERNORRLANDS LÄN</t>
        </is>
      </c>
      <c r="E588" t="inlineStr">
        <is>
          <t>ÅNGE</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5931-2025</t>
        </is>
      </c>
      <c r="B589" s="1" t="n">
        <v>45695.44827546296</v>
      </c>
      <c r="C589" s="1" t="n">
        <v>46001</v>
      </c>
      <c r="D589" t="inlineStr">
        <is>
          <t>VÄSTERNORRLANDS LÄN</t>
        </is>
      </c>
      <c r="E589" t="inlineStr">
        <is>
          <t>ÅNGE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59626-2022</t>
        </is>
      </c>
      <c r="B590" s="1" t="n">
        <v>44907.92354166666</v>
      </c>
      <c r="C590" s="1" t="n">
        <v>46001</v>
      </c>
      <c r="D590" t="inlineStr">
        <is>
          <t>VÄSTERNORRLANDS LÄN</t>
        </is>
      </c>
      <c r="E590" t="inlineStr">
        <is>
          <t>ÅNGE</t>
        </is>
      </c>
      <c r="G590" t="n">
        <v>1.4</v>
      </c>
      <c r="H590" t="n">
        <v>0</v>
      </c>
      <c r="I590" t="n">
        <v>0</v>
      </c>
      <c r="J590" t="n">
        <v>0</v>
      </c>
      <c r="K590" t="n">
        <v>0</v>
      </c>
      <c r="L590" t="n">
        <v>0</v>
      </c>
      <c r="M590" t="n">
        <v>0</v>
      </c>
      <c r="N590" t="n">
        <v>0</v>
      </c>
      <c r="O590" t="n">
        <v>0</v>
      </c>
      <c r="P590" t="n">
        <v>0</v>
      </c>
      <c r="Q590" t="n">
        <v>0</v>
      </c>
      <c r="R590" s="2" t="inlineStr"/>
    </row>
    <row r="591" ht="15" customHeight="1">
      <c r="A591" t="inlineStr">
        <is>
          <t>A 3249-2024</t>
        </is>
      </c>
      <c r="B591" s="1" t="n">
        <v>45316</v>
      </c>
      <c r="C591" s="1" t="n">
        <v>46001</v>
      </c>
      <c r="D591" t="inlineStr">
        <is>
          <t>VÄSTERNORRLANDS LÄN</t>
        </is>
      </c>
      <c r="E591" t="inlineStr">
        <is>
          <t>ÅNGE</t>
        </is>
      </c>
      <c r="G591" t="n">
        <v>0.3</v>
      </c>
      <c r="H591" t="n">
        <v>0</v>
      </c>
      <c r="I591" t="n">
        <v>0</v>
      </c>
      <c r="J591" t="n">
        <v>0</v>
      </c>
      <c r="K591" t="n">
        <v>0</v>
      </c>
      <c r="L591" t="n">
        <v>0</v>
      </c>
      <c r="M591" t="n">
        <v>0</v>
      </c>
      <c r="N591" t="n">
        <v>0</v>
      </c>
      <c r="O591" t="n">
        <v>0</v>
      </c>
      <c r="P591" t="n">
        <v>0</v>
      </c>
      <c r="Q591" t="n">
        <v>0</v>
      </c>
      <c r="R591" s="2" t="inlineStr"/>
    </row>
    <row r="592" ht="15" customHeight="1">
      <c r="A592" t="inlineStr">
        <is>
          <t>A 27545-2025</t>
        </is>
      </c>
      <c r="B592" s="1" t="n">
        <v>45813.46942129629</v>
      </c>
      <c r="C592" s="1" t="n">
        <v>46001</v>
      </c>
      <c r="D592" t="inlineStr">
        <is>
          <t>VÄSTERNORRLANDS LÄN</t>
        </is>
      </c>
      <c r="E592" t="inlineStr">
        <is>
          <t>ÅNGE</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41870-2025</t>
        </is>
      </c>
      <c r="B593" s="1" t="n">
        <v>45903.3446412037</v>
      </c>
      <c r="C593" s="1" t="n">
        <v>46001</v>
      </c>
      <c r="D593" t="inlineStr">
        <is>
          <t>VÄSTERNORRLANDS LÄN</t>
        </is>
      </c>
      <c r="E593" t="inlineStr">
        <is>
          <t>ÅNGE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41872-2025</t>
        </is>
      </c>
      <c r="B594" s="1" t="n">
        <v>45903.34497685185</v>
      </c>
      <c r="C594" s="1" t="n">
        <v>46001</v>
      </c>
      <c r="D594" t="inlineStr">
        <is>
          <t>VÄSTERNORRLANDS LÄN</t>
        </is>
      </c>
      <c r="E594" t="inlineStr">
        <is>
          <t>ÅNGE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9759-2024</t>
        </is>
      </c>
      <c r="B595" s="1" t="n">
        <v>45362</v>
      </c>
      <c r="C595" s="1" t="n">
        <v>46001</v>
      </c>
      <c r="D595" t="inlineStr">
        <is>
          <t>VÄSTERNORRLANDS LÄN</t>
        </is>
      </c>
      <c r="E595" t="inlineStr">
        <is>
          <t>ÅNGE</t>
        </is>
      </c>
      <c r="G595" t="n">
        <v>2.5</v>
      </c>
      <c r="H595" t="n">
        <v>0</v>
      </c>
      <c r="I595" t="n">
        <v>0</v>
      </c>
      <c r="J595" t="n">
        <v>0</v>
      </c>
      <c r="K595" t="n">
        <v>0</v>
      </c>
      <c r="L595" t="n">
        <v>0</v>
      </c>
      <c r="M595" t="n">
        <v>0</v>
      </c>
      <c r="N595" t="n">
        <v>0</v>
      </c>
      <c r="O595" t="n">
        <v>0</v>
      </c>
      <c r="P595" t="n">
        <v>0</v>
      </c>
      <c r="Q595" t="n">
        <v>0</v>
      </c>
      <c r="R595" s="2" t="inlineStr"/>
    </row>
    <row r="596" ht="15" customHeight="1">
      <c r="A596" t="inlineStr">
        <is>
          <t>A 27572-2025</t>
        </is>
      </c>
      <c r="B596" s="1" t="n">
        <v>45813.49049768518</v>
      </c>
      <c r="C596" s="1" t="n">
        <v>46001</v>
      </c>
      <c r="D596" t="inlineStr">
        <is>
          <t>VÄSTERNORRLANDS LÄN</t>
        </is>
      </c>
      <c r="E596" t="inlineStr">
        <is>
          <t>ÅNGE</t>
        </is>
      </c>
      <c r="F596" t="inlineStr">
        <is>
          <t>SCA</t>
        </is>
      </c>
      <c r="G596" t="n">
        <v>14.3</v>
      </c>
      <c r="H596" t="n">
        <v>0</v>
      </c>
      <c r="I596" t="n">
        <v>0</v>
      </c>
      <c r="J596" t="n">
        <v>0</v>
      </c>
      <c r="K596" t="n">
        <v>0</v>
      </c>
      <c r="L596" t="n">
        <v>0</v>
      </c>
      <c r="M596" t="n">
        <v>0</v>
      </c>
      <c r="N596" t="n">
        <v>0</v>
      </c>
      <c r="O596" t="n">
        <v>0</v>
      </c>
      <c r="P596" t="n">
        <v>0</v>
      </c>
      <c r="Q596" t="n">
        <v>0</v>
      </c>
      <c r="R596" s="2" t="inlineStr"/>
    </row>
    <row r="597" ht="15" customHeight="1">
      <c r="A597" t="inlineStr">
        <is>
          <t>A 42889-2025</t>
        </is>
      </c>
      <c r="B597" s="1" t="n">
        <v>45908.65546296296</v>
      </c>
      <c r="C597" s="1" t="n">
        <v>46001</v>
      </c>
      <c r="D597" t="inlineStr">
        <is>
          <t>VÄSTERNORRLANDS LÄN</t>
        </is>
      </c>
      <c r="E597" t="inlineStr">
        <is>
          <t>ÅNGE</t>
        </is>
      </c>
      <c r="G597" t="n">
        <v>11.9</v>
      </c>
      <c r="H597" t="n">
        <v>0</v>
      </c>
      <c r="I597" t="n">
        <v>0</v>
      </c>
      <c r="J597" t="n">
        <v>0</v>
      </c>
      <c r="K597" t="n">
        <v>0</v>
      </c>
      <c r="L597" t="n">
        <v>0</v>
      </c>
      <c r="M597" t="n">
        <v>0</v>
      </c>
      <c r="N597" t="n">
        <v>0</v>
      </c>
      <c r="O597" t="n">
        <v>0</v>
      </c>
      <c r="P597" t="n">
        <v>0</v>
      </c>
      <c r="Q597" t="n">
        <v>0</v>
      </c>
      <c r="R597" s="2" t="inlineStr"/>
    </row>
    <row r="598" ht="15" customHeight="1">
      <c r="A598" t="inlineStr">
        <is>
          <t>A 27606-2025</t>
        </is>
      </c>
      <c r="B598" s="1" t="n">
        <v>45813.53200231482</v>
      </c>
      <c r="C598" s="1" t="n">
        <v>46001</v>
      </c>
      <c r="D598" t="inlineStr">
        <is>
          <t>VÄSTERNORRLANDS LÄN</t>
        </is>
      </c>
      <c r="E598" t="inlineStr">
        <is>
          <t>ÅNGE</t>
        </is>
      </c>
      <c r="F598" t="inlineStr">
        <is>
          <t>SCA</t>
        </is>
      </c>
      <c r="G598" t="n">
        <v>6.3</v>
      </c>
      <c r="H598" t="n">
        <v>0</v>
      </c>
      <c r="I598" t="n">
        <v>0</v>
      </c>
      <c r="J598" t="n">
        <v>0</v>
      </c>
      <c r="K598" t="n">
        <v>0</v>
      </c>
      <c r="L598" t="n">
        <v>0</v>
      </c>
      <c r="M598" t="n">
        <v>0</v>
      </c>
      <c r="N598" t="n">
        <v>0</v>
      </c>
      <c r="O598" t="n">
        <v>0</v>
      </c>
      <c r="P598" t="n">
        <v>0</v>
      </c>
      <c r="Q598" t="n">
        <v>0</v>
      </c>
      <c r="R598" s="2" t="inlineStr"/>
    </row>
    <row r="599" ht="15" customHeight="1">
      <c r="A599" t="inlineStr">
        <is>
          <t>A 42786-2025</t>
        </is>
      </c>
      <c r="B599" s="1" t="n">
        <v>45908.51097222222</v>
      </c>
      <c r="C599" s="1" t="n">
        <v>46001</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27639-2025</t>
        </is>
      </c>
      <c r="B600" s="1" t="n">
        <v>45813</v>
      </c>
      <c r="C600" s="1" t="n">
        <v>46001</v>
      </c>
      <c r="D600" t="inlineStr">
        <is>
          <t>VÄSTERNORRLANDS LÄN</t>
        </is>
      </c>
      <c r="E600" t="inlineStr">
        <is>
          <t>ÅNGE</t>
        </is>
      </c>
      <c r="G600" t="n">
        <v>22.9</v>
      </c>
      <c r="H600" t="n">
        <v>0</v>
      </c>
      <c r="I600" t="n">
        <v>0</v>
      </c>
      <c r="J600" t="n">
        <v>0</v>
      </c>
      <c r="K600" t="n">
        <v>0</v>
      </c>
      <c r="L600" t="n">
        <v>0</v>
      </c>
      <c r="M600" t="n">
        <v>0</v>
      </c>
      <c r="N600" t="n">
        <v>0</v>
      </c>
      <c r="O600" t="n">
        <v>0</v>
      </c>
      <c r="P600" t="n">
        <v>0</v>
      </c>
      <c r="Q600" t="n">
        <v>0</v>
      </c>
      <c r="R600" s="2" t="inlineStr"/>
    </row>
    <row r="601" ht="15" customHeight="1">
      <c r="A601" t="inlineStr">
        <is>
          <t>A 5035-2025</t>
        </is>
      </c>
      <c r="B601" s="1" t="n">
        <v>45691</v>
      </c>
      <c r="C601" s="1" t="n">
        <v>46001</v>
      </c>
      <c r="D601" t="inlineStr">
        <is>
          <t>VÄSTERNORRLANDS LÄN</t>
        </is>
      </c>
      <c r="E601" t="inlineStr">
        <is>
          <t>ÅNGE</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42863-2025</t>
        </is>
      </c>
      <c r="B602" s="1" t="n">
        <v>45908.61527777778</v>
      </c>
      <c r="C602" s="1" t="n">
        <v>46001</v>
      </c>
      <c r="D602" t="inlineStr">
        <is>
          <t>VÄSTERNORRLANDS LÄN</t>
        </is>
      </c>
      <c r="E602" t="inlineStr">
        <is>
          <t>ÅNGE</t>
        </is>
      </c>
      <c r="G602" t="n">
        <v>1.1</v>
      </c>
      <c r="H602" t="n">
        <v>0</v>
      </c>
      <c r="I602" t="n">
        <v>0</v>
      </c>
      <c r="J602" t="n">
        <v>0</v>
      </c>
      <c r="K602" t="n">
        <v>0</v>
      </c>
      <c r="L602" t="n">
        <v>0</v>
      </c>
      <c r="M602" t="n">
        <v>0</v>
      </c>
      <c r="N602" t="n">
        <v>0</v>
      </c>
      <c r="O602" t="n">
        <v>0</v>
      </c>
      <c r="P602" t="n">
        <v>0</v>
      </c>
      <c r="Q602" t="n">
        <v>0</v>
      </c>
      <c r="R602" s="2" t="inlineStr"/>
    </row>
    <row r="603" ht="15" customHeight="1">
      <c r="A603" t="inlineStr">
        <is>
          <t>A 42731-2025</t>
        </is>
      </c>
      <c r="B603" s="1" t="n">
        <v>45908.40686342592</v>
      </c>
      <c r="C603" s="1" t="n">
        <v>46001</v>
      </c>
      <c r="D603" t="inlineStr">
        <is>
          <t>VÄSTERNORRLANDS LÄN</t>
        </is>
      </c>
      <c r="E603" t="inlineStr">
        <is>
          <t>ÅNGE</t>
        </is>
      </c>
      <c r="G603" t="n">
        <v>14.1</v>
      </c>
      <c r="H603" t="n">
        <v>0</v>
      </c>
      <c r="I603" t="n">
        <v>0</v>
      </c>
      <c r="J603" t="n">
        <v>0</v>
      </c>
      <c r="K603" t="n">
        <v>0</v>
      </c>
      <c r="L603" t="n">
        <v>0</v>
      </c>
      <c r="M603" t="n">
        <v>0</v>
      </c>
      <c r="N603" t="n">
        <v>0</v>
      </c>
      <c r="O603" t="n">
        <v>0</v>
      </c>
      <c r="P603" t="n">
        <v>0</v>
      </c>
      <c r="Q603" t="n">
        <v>0</v>
      </c>
      <c r="R603" s="2" t="inlineStr"/>
    </row>
    <row r="604" ht="15" customHeight="1">
      <c r="A604" t="inlineStr">
        <is>
          <t>A 42785-2025</t>
        </is>
      </c>
      <c r="B604" s="1" t="n">
        <v>45908.51083333333</v>
      </c>
      <c r="C604" s="1" t="n">
        <v>46001</v>
      </c>
      <c r="D604" t="inlineStr">
        <is>
          <t>VÄSTERNORRLANDS LÄN</t>
        </is>
      </c>
      <c r="E604" t="inlineStr">
        <is>
          <t>ÅNGE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42953-2024</t>
        </is>
      </c>
      <c r="B605" s="1" t="n">
        <v>45567</v>
      </c>
      <c r="C605" s="1" t="n">
        <v>46001</v>
      </c>
      <c r="D605" t="inlineStr">
        <is>
          <t>VÄSTERNORRLANDS LÄN</t>
        </is>
      </c>
      <c r="E605" t="inlineStr">
        <is>
          <t>ÅNGE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42968-2024</t>
        </is>
      </c>
      <c r="B606" s="1" t="n">
        <v>45567</v>
      </c>
      <c r="C606" s="1" t="n">
        <v>46001</v>
      </c>
      <c r="D606" t="inlineStr">
        <is>
          <t>VÄSTERNORRLANDS LÄN</t>
        </is>
      </c>
      <c r="E606" t="inlineStr">
        <is>
          <t>ÅNGE</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21456-2025</t>
        </is>
      </c>
      <c r="B607" s="1" t="n">
        <v>45782.55342592593</v>
      </c>
      <c r="C607" s="1" t="n">
        <v>46001</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3-2025</t>
        </is>
      </c>
      <c r="B608" s="1" t="n">
        <v>45658.49819444444</v>
      </c>
      <c r="C608" s="1" t="n">
        <v>46001</v>
      </c>
      <c r="D608" t="inlineStr">
        <is>
          <t>VÄSTERNORRLANDS LÄN</t>
        </is>
      </c>
      <c r="E608" t="inlineStr">
        <is>
          <t>ÅNGE</t>
        </is>
      </c>
      <c r="G608" t="n">
        <v>2</v>
      </c>
      <c r="H608" t="n">
        <v>0</v>
      </c>
      <c r="I608" t="n">
        <v>0</v>
      </c>
      <c r="J608" t="n">
        <v>0</v>
      </c>
      <c r="K608" t="n">
        <v>0</v>
      </c>
      <c r="L608" t="n">
        <v>0</v>
      </c>
      <c r="M608" t="n">
        <v>0</v>
      </c>
      <c r="N608" t="n">
        <v>0</v>
      </c>
      <c r="O608" t="n">
        <v>0</v>
      </c>
      <c r="P608" t="n">
        <v>0</v>
      </c>
      <c r="Q608" t="n">
        <v>0</v>
      </c>
      <c r="R608" s="2" t="inlineStr"/>
    </row>
    <row r="609" ht="15" customHeight="1">
      <c r="A609" t="inlineStr">
        <is>
          <t>A 28070-2025</t>
        </is>
      </c>
      <c r="B609" s="1" t="n">
        <v>45817.67739583334</v>
      </c>
      <c r="C609" s="1" t="n">
        <v>46001</v>
      </c>
      <c r="D609" t="inlineStr">
        <is>
          <t>VÄSTERNORRLANDS LÄN</t>
        </is>
      </c>
      <c r="E609" t="inlineStr">
        <is>
          <t>ÅNGE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9619-2021</t>
        </is>
      </c>
      <c r="B610" s="1" t="n">
        <v>44251</v>
      </c>
      <c r="C610" s="1" t="n">
        <v>46001</v>
      </c>
      <c r="D610" t="inlineStr">
        <is>
          <t>VÄSTERNORRLANDS LÄN</t>
        </is>
      </c>
      <c r="E610" t="inlineStr">
        <is>
          <t>ÅNGE</t>
        </is>
      </c>
      <c r="G610" t="n">
        <v>10.4</v>
      </c>
      <c r="H610" t="n">
        <v>0</v>
      </c>
      <c r="I610" t="n">
        <v>0</v>
      </c>
      <c r="J610" t="n">
        <v>0</v>
      </c>
      <c r="K610" t="n">
        <v>0</v>
      </c>
      <c r="L610" t="n">
        <v>0</v>
      </c>
      <c r="M610" t="n">
        <v>0</v>
      </c>
      <c r="N610" t="n">
        <v>0</v>
      </c>
      <c r="O610" t="n">
        <v>0</v>
      </c>
      <c r="P610" t="n">
        <v>0</v>
      </c>
      <c r="Q610" t="n">
        <v>0</v>
      </c>
      <c r="R610" s="2" t="inlineStr"/>
    </row>
    <row r="611" ht="15" customHeight="1">
      <c r="A611" t="inlineStr">
        <is>
          <t>A 42730-2025</t>
        </is>
      </c>
      <c r="B611" s="1" t="n">
        <v>45908.40666666667</v>
      </c>
      <c r="C611" s="1" t="n">
        <v>46001</v>
      </c>
      <c r="D611" t="inlineStr">
        <is>
          <t>VÄSTERNORRLANDS LÄN</t>
        </is>
      </c>
      <c r="E611" t="inlineStr">
        <is>
          <t>ÅNGE</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42589-2025</t>
        </is>
      </c>
      <c r="B612" s="1" t="n">
        <v>45905.63585648148</v>
      </c>
      <c r="C612" s="1" t="n">
        <v>46001</v>
      </c>
      <c r="D612" t="inlineStr">
        <is>
          <t>VÄSTERNORRLANDS LÄN</t>
        </is>
      </c>
      <c r="E612" t="inlineStr">
        <is>
          <t>ÅNGE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42764-2025</t>
        </is>
      </c>
      <c r="B613" s="1" t="n">
        <v>45908.46943287037</v>
      </c>
      <c r="C613" s="1" t="n">
        <v>46001</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42880-2025</t>
        </is>
      </c>
      <c r="B614" s="1" t="n">
        <v>45908.63599537037</v>
      </c>
      <c r="C614" s="1" t="n">
        <v>46001</v>
      </c>
      <c r="D614" t="inlineStr">
        <is>
          <t>VÄSTERNORRLANDS LÄN</t>
        </is>
      </c>
      <c r="E614" t="inlineStr">
        <is>
          <t>ÅNGE</t>
        </is>
      </c>
      <c r="G614" t="n">
        <v>4.3</v>
      </c>
      <c r="H614" t="n">
        <v>0</v>
      </c>
      <c r="I614" t="n">
        <v>0</v>
      </c>
      <c r="J614" t="n">
        <v>0</v>
      </c>
      <c r="K614" t="n">
        <v>0</v>
      </c>
      <c r="L614" t="n">
        <v>0</v>
      </c>
      <c r="M614" t="n">
        <v>0</v>
      </c>
      <c r="N614" t="n">
        <v>0</v>
      </c>
      <c r="O614" t="n">
        <v>0</v>
      </c>
      <c r="P614" t="n">
        <v>0</v>
      </c>
      <c r="Q614" t="n">
        <v>0</v>
      </c>
      <c r="R614" s="2" t="inlineStr"/>
    </row>
    <row r="615" ht="15" customHeight="1">
      <c r="A615" t="inlineStr">
        <is>
          <t>A 43237-2025</t>
        </is>
      </c>
      <c r="B615" s="1" t="n">
        <v>45910.51670138889</v>
      </c>
      <c r="C615" s="1" t="n">
        <v>46001</v>
      </c>
      <c r="D615" t="inlineStr">
        <is>
          <t>VÄSTERNORRLANDS LÄN</t>
        </is>
      </c>
      <c r="E615" t="inlineStr">
        <is>
          <t>ÅNGE</t>
        </is>
      </c>
      <c r="G615" t="n">
        <v>0.7</v>
      </c>
      <c r="H615" t="n">
        <v>0</v>
      </c>
      <c r="I615" t="n">
        <v>0</v>
      </c>
      <c r="J615" t="n">
        <v>0</v>
      </c>
      <c r="K615" t="n">
        <v>0</v>
      </c>
      <c r="L615" t="n">
        <v>0</v>
      </c>
      <c r="M615" t="n">
        <v>0</v>
      </c>
      <c r="N615" t="n">
        <v>0</v>
      </c>
      <c r="O615" t="n">
        <v>0</v>
      </c>
      <c r="P615" t="n">
        <v>0</v>
      </c>
      <c r="Q615" t="n">
        <v>0</v>
      </c>
      <c r="R615" s="2" t="inlineStr"/>
    </row>
    <row r="616" ht="15" customHeight="1">
      <c r="A616" t="inlineStr">
        <is>
          <t>A 43250-2025</t>
        </is>
      </c>
      <c r="B616" s="1" t="n">
        <v>45910.5525462963</v>
      </c>
      <c r="C616" s="1" t="n">
        <v>46001</v>
      </c>
      <c r="D616" t="inlineStr">
        <is>
          <t>VÄSTERNORRLANDS LÄN</t>
        </is>
      </c>
      <c r="E616" t="inlineStr">
        <is>
          <t>ÅNGE</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53858-2024</t>
        </is>
      </c>
      <c r="B617" s="1" t="n">
        <v>45615</v>
      </c>
      <c r="C617" s="1" t="n">
        <v>46001</v>
      </c>
      <c r="D617" t="inlineStr">
        <is>
          <t>VÄSTERNORRLANDS LÄN</t>
        </is>
      </c>
      <c r="E617" t="inlineStr">
        <is>
          <t>ÅNGE</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43221-2025</t>
        </is>
      </c>
      <c r="B618" s="1" t="n">
        <v>45910.47981481482</v>
      </c>
      <c r="C618" s="1" t="n">
        <v>46001</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42100-2023</t>
        </is>
      </c>
      <c r="B619" s="1" t="n">
        <v>45174</v>
      </c>
      <c r="C619" s="1" t="n">
        <v>46001</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28085-2025</t>
        </is>
      </c>
      <c r="B620" s="1" t="n">
        <v>45817.71924768519</v>
      </c>
      <c r="C620" s="1" t="n">
        <v>46001</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43265-2025</t>
        </is>
      </c>
      <c r="B621" s="1" t="n">
        <v>45910.57377314815</v>
      </c>
      <c r="C621" s="1" t="n">
        <v>46001</v>
      </c>
      <c r="D621" t="inlineStr">
        <is>
          <t>VÄSTERNORRLANDS LÄN</t>
        </is>
      </c>
      <c r="E621" t="inlineStr">
        <is>
          <t>ÅNGE</t>
        </is>
      </c>
      <c r="F621" t="inlineStr">
        <is>
          <t>SCA</t>
        </is>
      </c>
      <c r="G621" t="n">
        <v>7</v>
      </c>
      <c r="H621" t="n">
        <v>0</v>
      </c>
      <c r="I621" t="n">
        <v>0</v>
      </c>
      <c r="J621" t="n">
        <v>0</v>
      </c>
      <c r="K621" t="n">
        <v>0</v>
      </c>
      <c r="L621" t="n">
        <v>0</v>
      </c>
      <c r="M621" t="n">
        <v>0</v>
      </c>
      <c r="N621" t="n">
        <v>0</v>
      </c>
      <c r="O621" t="n">
        <v>0</v>
      </c>
      <c r="P621" t="n">
        <v>0</v>
      </c>
      <c r="Q621" t="n">
        <v>0</v>
      </c>
      <c r="R621" s="2" t="inlineStr"/>
    </row>
    <row r="622" ht="15" customHeight="1">
      <c r="A622" t="inlineStr">
        <is>
          <t>A 43252-2025</t>
        </is>
      </c>
      <c r="B622" s="1" t="n">
        <v>45910.55292824074</v>
      </c>
      <c r="C622" s="1" t="n">
        <v>46001</v>
      </c>
      <c r="D622" t="inlineStr">
        <is>
          <t>VÄSTERNORRLANDS LÄN</t>
        </is>
      </c>
      <c r="E622" t="inlineStr">
        <is>
          <t>ÅNGE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28143-2025</t>
        </is>
      </c>
      <c r="B623" s="1" t="n">
        <v>45818.34546296296</v>
      </c>
      <c r="C623" s="1" t="n">
        <v>46001</v>
      </c>
      <c r="D623" t="inlineStr">
        <is>
          <t>VÄSTERNORRLANDS LÄN</t>
        </is>
      </c>
      <c r="E623" t="inlineStr">
        <is>
          <t>ÅNGE</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43091-2025</t>
        </is>
      </c>
      <c r="B624" s="1" t="n">
        <v>45909.62511574074</v>
      </c>
      <c r="C624" s="1" t="n">
        <v>46001</v>
      </c>
      <c r="D624" t="inlineStr">
        <is>
          <t>VÄSTERNORRLANDS LÄN</t>
        </is>
      </c>
      <c r="E624" t="inlineStr">
        <is>
          <t>ÅNGE</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51411-2023</t>
        </is>
      </c>
      <c r="B625" s="1" t="n">
        <v>45219</v>
      </c>
      <c r="C625" s="1" t="n">
        <v>46001</v>
      </c>
      <c r="D625" t="inlineStr">
        <is>
          <t>VÄSTERNORRLANDS LÄN</t>
        </is>
      </c>
      <c r="E625" t="inlineStr">
        <is>
          <t>ÅNGE</t>
        </is>
      </c>
      <c r="G625" t="n">
        <v>2.5</v>
      </c>
      <c r="H625" t="n">
        <v>0</v>
      </c>
      <c r="I625" t="n">
        <v>0</v>
      </c>
      <c r="J625" t="n">
        <v>0</v>
      </c>
      <c r="K625" t="n">
        <v>0</v>
      </c>
      <c r="L625" t="n">
        <v>0</v>
      </c>
      <c r="M625" t="n">
        <v>0</v>
      </c>
      <c r="N625" t="n">
        <v>0</v>
      </c>
      <c r="O625" t="n">
        <v>0</v>
      </c>
      <c r="P625" t="n">
        <v>0</v>
      </c>
      <c r="Q625" t="n">
        <v>0</v>
      </c>
      <c r="R625" s="2" t="inlineStr"/>
    </row>
    <row r="626" ht="15" customHeight="1">
      <c r="A626" t="inlineStr">
        <is>
          <t>A 1869-2022</t>
        </is>
      </c>
      <c r="B626" s="1" t="n">
        <v>44574</v>
      </c>
      <c r="C626" s="1" t="n">
        <v>46001</v>
      </c>
      <c r="D626" t="inlineStr">
        <is>
          <t>VÄSTERNORRLANDS LÄN</t>
        </is>
      </c>
      <c r="E626" t="inlineStr">
        <is>
          <t>ÅNGE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43077-2025</t>
        </is>
      </c>
      <c r="B627" s="1" t="n">
        <v>45909.6046412037</v>
      </c>
      <c r="C627" s="1" t="n">
        <v>46001</v>
      </c>
      <c r="D627" t="inlineStr">
        <is>
          <t>VÄSTERNORRLANDS LÄN</t>
        </is>
      </c>
      <c r="E627" t="inlineStr">
        <is>
          <t>ÅNGE</t>
        </is>
      </c>
      <c r="F627" t="inlineStr">
        <is>
          <t>Kyrkan</t>
        </is>
      </c>
      <c r="G627" t="n">
        <v>7.6</v>
      </c>
      <c r="H627" t="n">
        <v>0</v>
      </c>
      <c r="I627" t="n">
        <v>0</v>
      </c>
      <c r="J627" t="n">
        <v>0</v>
      </c>
      <c r="K627" t="n">
        <v>0</v>
      </c>
      <c r="L627" t="n">
        <v>0</v>
      </c>
      <c r="M627" t="n">
        <v>0</v>
      </c>
      <c r="N627" t="n">
        <v>0</v>
      </c>
      <c r="O627" t="n">
        <v>0</v>
      </c>
      <c r="P627" t="n">
        <v>0</v>
      </c>
      <c r="Q627" t="n">
        <v>0</v>
      </c>
      <c r="R627" s="2" t="inlineStr"/>
    </row>
    <row r="628" ht="15" customHeight="1">
      <c r="A628" t="inlineStr">
        <is>
          <t>A 28404-2025</t>
        </is>
      </c>
      <c r="B628" s="1" t="n">
        <v>45819.34532407407</v>
      </c>
      <c r="C628" s="1" t="n">
        <v>46001</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28896-2025</t>
        </is>
      </c>
      <c r="B629" s="1" t="n">
        <v>45820.63584490741</v>
      </c>
      <c r="C629" s="1" t="n">
        <v>46001</v>
      </c>
      <c r="D629" t="inlineStr">
        <is>
          <t>VÄSTERNORRLANDS LÄN</t>
        </is>
      </c>
      <c r="E629" t="inlineStr">
        <is>
          <t>ÅNGE</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43385-2025</t>
        </is>
      </c>
      <c r="B630" s="1" t="n">
        <v>45911.36508101852</v>
      </c>
      <c r="C630" s="1" t="n">
        <v>46001</v>
      </c>
      <c r="D630" t="inlineStr">
        <is>
          <t>VÄSTERNORRLANDS LÄN</t>
        </is>
      </c>
      <c r="E630" t="inlineStr">
        <is>
          <t>ÅNGE</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43707-2025</t>
        </is>
      </c>
      <c r="B631" s="1" t="n">
        <v>45912.40668981482</v>
      </c>
      <c r="C631" s="1" t="n">
        <v>46001</v>
      </c>
      <c r="D631" t="inlineStr">
        <is>
          <t>VÄSTERNORRLANDS LÄN</t>
        </is>
      </c>
      <c r="E631" t="inlineStr">
        <is>
          <t>ÅNGE</t>
        </is>
      </c>
      <c r="F631" t="inlineStr">
        <is>
          <t>SCA</t>
        </is>
      </c>
      <c r="G631" t="n">
        <v>12.5</v>
      </c>
      <c r="H631" t="n">
        <v>0</v>
      </c>
      <c r="I631" t="n">
        <v>0</v>
      </c>
      <c r="J631" t="n">
        <v>0</v>
      </c>
      <c r="K631" t="n">
        <v>0</v>
      </c>
      <c r="L631" t="n">
        <v>0</v>
      </c>
      <c r="M631" t="n">
        <v>0</v>
      </c>
      <c r="N631" t="n">
        <v>0</v>
      </c>
      <c r="O631" t="n">
        <v>0</v>
      </c>
      <c r="P631" t="n">
        <v>0</v>
      </c>
      <c r="Q631" t="n">
        <v>0</v>
      </c>
      <c r="R631" s="2" t="inlineStr"/>
      <c r="U631">
        <f>HYPERLINK("https://klasma.github.io/Logging_2260/knärot/A 43707-2025 karta knärot.png", "A 43707-2025")</f>
        <v/>
      </c>
      <c r="V631">
        <f>HYPERLINK("https://klasma.github.io/Logging_2260/klagomål/A 43707-2025 FSC-klagomål.docx", "A 43707-2025")</f>
        <v/>
      </c>
      <c r="W631">
        <f>HYPERLINK("https://klasma.github.io/Logging_2260/klagomålsmail/A 43707-2025 FSC-klagomål mail.docx", "A 43707-2025")</f>
        <v/>
      </c>
      <c r="X631">
        <f>HYPERLINK("https://klasma.github.io/Logging_2260/tillsyn/A 43707-2025 tillsynsbegäran.docx", "A 43707-2025")</f>
        <v/>
      </c>
      <c r="Y631">
        <f>HYPERLINK("https://klasma.github.io/Logging_2260/tillsynsmail/A 43707-2025 tillsynsbegäran mail.docx", "A 43707-2025")</f>
        <v/>
      </c>
    </row>
    <row r="632" ht="15" customHeight="1">
      <c r="A632" t="inlineStr">
        <is>
          <t>A 43415-2025</t>
        </is>
      </c>
      <c r="B632" s="1" t="n">
        <v>45911.40662037037</v>
      </c>
      <c r="C632" s="1" t="n">
        <v>46001</v>
      </c>
      <c r="D632" t="inlineStr">
        <is>
          <t>VÄSTERNORRLANDS LÄN</t>
        </is>
      </c>
      <c r="E632" t="inlineStr">
        <is>
          <t>ÅNGE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4095-2023</t>
        </is>
      </c>
      <c r="B633" s="1" t="n">
        <v>44952</v>
      </c>
      <c r="C633" s="1" t="n">
        <v>46001</v>
      </c>
      <c r="D633" t="inlineStr">
        <is>
          <t>VÄSTERNORRLANDS LÄN</t>
        </is>
      </c>
      <c r="E633" t="inlineStr">
        <is>
          <t>ÅNGE</t>
        </is>
      </c>
      <c r="G633" t="n">
        <v>13.4</v>
      </c>
      <c r="H633" t="n">
        <v>0</v>
      </c>
      <c r="I633" t="n">
        <v>0</v>
      </c>
      <c r="J633" t="n">
        <v>0</v>
      </c>
      <c r="K633" t="n">
        <v>0</v>
      </c>
      <c r="L633" t="n">
        <v>0</v>
      </c>
      <c r="M633" t="n">
        <v>0</v>
      </c>
      <c r="N633" t="n">
        <v>0</v>
      </c>
      <c r="O633" t="n">
        <v>0</v>
      </c>
      <c r="P633" t="n">
        <v>0</v>
      </c>
      <c r="Q633" t="n">
        <v>0</v>
      </c>
      <c r="R633" s="2" t="inlineStr"/>
    </row>
    <row r="634" ht="15" customHeight="1">
      <c r="A634" t="inlineStr">
        <is>
          <t>A 5367-2022</t>
        </is>
      </c>
      <c r="B634" s="1" t="n">
        <v>44594.92111111111</v>
      </c>
      <c r="C634" s="1" t="n">
        <v>46001</v>
      </c>
      <c r="D634" t="inlineStr">
        <is>
          <t>VÄSTERNORRLANDS LÄN</t>
        </is>
      </c>
      <c r="E634" t="inlineStr">
        <is>
          <t>ÅNGE</t>
        </is>
      </c>
      <c r="G634" t="n">
        <v>1.4</v>
      </c>
      <c r="H634" t="n">
        <v>0</v>
      </c>
      <c r="I634" t="n">
        <v>0</v>
      </c>
      <c r="J634" t="n">
        <v>0</v>
      </c>
      <c r="K634" t="n">
        <v>0</v>
      </c>
      <c r="L634" t="n">
        <v>0</v>
      </c>
      <c r="M634" t="n">
        <v>0</v>
      </c>
      <c r="N634" t="n">
        <v>0</v>
      </c>
      <c r="O634" t="n">
        <v>0</v>
      </c>
      <c r="P634" t="n">
        <v>0</v>
      </c>
      <c r="Q634" t="n">
        <v>0</v>
      </c>
      <c r="R634" s="2" t="inlineStr"/>
    </row>
    <row r="635" ht="15" customHeight="1">
      <c r="A635" t="inlineStr">
        <is>
          <t>A 28819-2025</t>
        </is>
      </c>
      <c r="B635" s="1" t="n">
        <v>45820.53758101852</v>
      </c>
      <c r="C635" s="1" t="n">
        <v>46001</v>
      </c>
      <c r="D635" t="inlineStr">
        <is>
          <t>VÄSTERNORRLANDS LÄN</t>
        </is>
      </c>
      <c r="E635" t="inlineStr">
        <is>
          <t>ÅNGE</t>
        </is>
      </c>
      <c r="G635" t="n">
        <v>2.9</v>
      </c>
      <c r="H635" t="n">
        <v>0</v>
      </c>
      <c r="I635" t="n">
        <v>0</v>
      </c>
      <c r="J635" t="n">
        <v>0</v>
      </c>
      <c r="K635" t="n">
        <v>0</v>
      </c>
      <c r="L635" t="n">
        <v>0</v>
      </c>
      <c r="M635" t="n">
        <v>0</v>
      </c>
      <c r="N635" t="n">
        <v>0</v>
      </c>
      <c r="O635" t="n">
        <v>0</v>
      </c>
      <c r="P635" t="n">
        <v>0</v>
      </c>
      <c r="Q635" t="n">
        <v>0</v>
      </c>
      <c r="R635" s="2" t="inlineStr"/>
    </row>
    <row r="636" ht="15" customHeight="1">
      <c r="A636" t="inlineStr">
        <is>
          <t>A 28845-2025</t>
        </is>
      </c>
      <c r="B636" s="1" t="n">
        <v>45820.57324074074</v>
      </c>
      <c r="C636" s="1" t="n">
        <v>46001</v>
      </c>
      <c r="D636" t="inlineStr">
        <is>
          <t>VÄSTERNORRLANDS LÄN</t>
        </is>
      </c>
      <c r="E636" t="inlineStr">
        <is>
          <t>ÅNGE</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43389-2025</t>
        </is>
      </c>
      <c r="B637" s="1" t="n">
        <v>45911.36560185185</v>
      </c>
      <c r="C637" s="1" t="n">
        <v>46001</v>
      </c>
      <c r="D637" t="inlineStr">
        <is>
          <t>VÄSTERNORRLANDS LÄN</t>
        </is>
      </c>
      <c r="E637" t="inlineStr">
        <is>
          <t>ÅNGE</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28814-2025</t>
        </is>
      </c>
      <c r="B638" s="1" t="n">
        <v>45820.52846064815</v>
      </c>
      <c r="C638" s="1" t="n">
        <v>46001</v>
      </c>
      <c r="D638" t="inlineStr">
        <is>
          <t>VÄSTERNORRLANDS LÄN</t>
        </is>
      </c>
      <c r="E638" t="inlineStr">
        <is>
          <t>ÅNGE</t>
        </is>
      </c>
      <c r="G638" t="n">
        <v>2.6</v>
      </c>
      <c r="H638" t="n">
        <v>0</v>
      </c>
      <c r="I638" t="n">
        <v>0</v>
      </c>
      <c r="J638" t="n">
        <v>0</v>
      </c>
      <c r="K638" t="n">
        <v>0</v>
      </c>
      <c r="L638" t="n">
        <v>0</v>
      </c>
      <c r="M638" t="n">
        <v>0</v>
      </c>
      <c r="N638" t="n">
        <v>0</v>
      </c>
      <c r="O638" t="n">
        <v>0</v>
      </c>
      <c r="P638" t="n">
        <v>0</v>
      </c>
      <c r="Q638" t="n">
        <v>0</v>
      </c>
      <c r="R638" s="2" t="inlineStr"/>
    </row>
    <row r="639" ht="15" customHeight="1">
      <c r="A639" t="inlineStr">
        <is>
          <t>A 43546-2025</t>
        </is>
      </c>
      <c r="B639" s="1" t="n">
        <v>45911.6153125</v>
      </c>
      <c r="C639" s="1" t="n">
        <v>46001</v>
      </c>
      <c r="D639" t="inlineStr">
        <is>
          <t>VÄSTERNORRLANDS LÄN</t>
        </is>
      </c>
      <c r="E639" t="inlineStr">
        <is>
          <t>ÅNGE</t>
        </is>
      </c>
      <c r="F639" t="inlineStr">
        <is>
          <t>SCA</t>
        </is>
      </c>
      <c r="G639" t="n">
        <v>9.6</v>
      </c>
      <c r="H639" t="n">
        <v>0</v>
      </c>
      <c r="I639" t="n">
        <v>0</v>
      </c>
      <c r="J639" t="n">
        <v>0</v>
      </c>
      <c r="K639" t="n">
        <v>0</v>
      </c>
      <c r="L639" t="n">
        <v>0</v>
      </c>
      <c r="M639" t="n">
        <v>0</v>
      </c>
      <c r="N639" t="n">
        <v>0</v>
      </c>
      <c r="O639" t="n">
        <v>0</v>
      </c>
      <c r="P639" t="n">
        <v>0</v>
      </c>
      <c r="Q639" t="n">
        <v>0</v>
      </c>
      <c r="R639" s="2" t="inlineStr"/>
    </row>
    <row r="640" ht="15" customHeight="1">
      <c r="A640" t="inlineStr">
        <is>
          <t>A 72239-2021</t>
        </is>
      </c>
      <c r="B640" s="1" t="n">
        <v>44544.9203587963</v>
      </c>
      <c r="C640" s="1" t="n">
        <v>46001</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28717-2025</t>
        </is>
      </c>
      <c r="B641" s="1" t="n">
        <v>45820</v>
      </c>
      <c r="C641" s="1" t="n">
        <v>46001</v>
      </c>
      <c r="D641" t="inlineStr">
        <is>
          <t>VÄSTERNORRLANDS LÄN</t>
        </is>
      </c>
      <c r="E641" t="inlineStr">
        <is>
          <t>ÅNGE</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29350-2025</t>
        </is>
      </c>
      <c r="B642" s="1" t="n">
        <v>45824.53206018519</v>
      </c>
      <c r="C642" s="1" t="n">
        <v>46001</v>
      </c>
      <c r="D642" t="inlineStr">
        <is>
          <t>VÄSTERNORRLANDS LÄN</t>
        </is>
      </c>
      <c r="E642" t="inlineStr">
        <is>
          <t>ÅNGE</t>
        </is>
      </c>
      <c r="G642" t="n">
        <v>8.6</v>
      </c>
      <c r="H642" t="n">
        <v>0</v>
      </c>
      <c r="I642" t="n">
        <v>0</v>
      </c>
      <c r="J642" t="n">
        <v>0</v>
      </c>
      <c r="K642" t="n">
        <v>0</v>
      </c>
      <c r="L642" t="n">
        <v>0</v>
      </c>
      <c r="M642" t="n">
        <v>0</v>
      </c>
      <c r="N642" t="n">
        <v>0</v>
      </c>
      <c r="O642" t="n">
        <v>0</v>
      </c>
      <c r="P642" t="n">
        <v>0</v>
      </c>
      <c r="Q642" t="n">
        <v>0</v>
      </c>
      <c r="R642" s="2" t="inlineStr"/>
    </row>
    <row r="643" ht="15" customHeight="1">
      <c r="A643" t="inlineStr">
        <is>
          <t>A 55882-2022</t>
        </is>
      </c>
      <c r="B643" s="1" t="n">
        <v>44888</v>
      </c>
      <c r="C643" s="1" t="n">
        <v>46001</v>
      </c>
      <c r="D643" t="inlineStr">
        <is>
          <t>VÄSTERNORRLANDS LÄN</t>
        </is>
      </c>
      <c r="E643" t="inlineStr">
        <is>
          <t>ÅNGE</t>
        </is>
      </c>
      <c r="G643" t="n">
        <v>2.7</v>
      </c>
      <c r="H643" t="n">
        <v>0</v>
      </c>
      <c r="I643" t="n">
        <v>0</v>
      </c>
      <c r="J643" t="n">
        <v>0</v>
      </c>
      <c r="K643" t="n">
        <v>0</v>
      </c>
      <c r="L643" t="n">
        <v>0</v>
      </c>
      <c r="M643" t="n">
        <v>0</v>
      </c>
      <c r="N643" t="n">
        <v>0</v>
      </c>
      <c r="O643" t="n">
        <v>0</v>
      </c>
      <c r="P643" t="n">
        <v>0</v>
      </c>
      <c r="Q643" t="n">
        <v>0</v>
      </c>
      <c r="R643" s="2" t="inlineStr"/>
    </row>
    <row r="644" ht="15" customHeight="1">
      <c r="A644" t="inlineStr">
        <is>
          <t>A 43386-2025</t>
        </is>
      </c>
      <c r="B644" s="1" t="n">
        <v>45911.36520833334</v>
      </c>
      <c r="C644" s="1" t="n">
        <v>46001</v>
      </c>
      <c r="D644" t="inlineStr">
        <is>
          <t>VÄSTERNORRLANDS LÄN</t>
        </is>
      </c>
      <c r="E644" t="inlineStr">
        <is>
          <t>ÅNGE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29153-2025</t>
        </is>
      </c>
      <c r="B645" s="1" t="n">
        <v>45821.63574074074</v>
      </c>
      <c r="C645" s="1" t="n">
        <v>46001</v>
      </c>
      <c r="D645" t="inlineStr">
        <is>
          <t>VÄSTERNORRLANDS LÄN</t>
        </is>
      </c>
      <c r="E645" t="inlineStr">
        <is>
          <t>ÅNGE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51054-2024</t>
        </is>
      </c>
      <c r="B646" s="1" t="n">
        <v>45603</v>
      </c>
      <c r="C646" s="1" t="n">
        <v>46001</v>
      </c>
      <c r="D646" t="inlineStr">
        <is>
          <t>VÄSTERNORRLANDS LÄN</t>
        </is>
      </c>
      <c r="E646" t="inlineStr">
        <is>
          <t>ÅNGE</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46249-2024</t>
        </is>
      </c>
      <c r="B647" s="1" t="n">
        <v>45581.59409722222</v>
      </c>
      <c r="C647" s="1" t="n">
        <v>46001</v>
      </c>
      <c r="D647" t="inlineStr">
        <is>
          <t>VÄSTERNORRLANDS LÄN</t>
        </is>
      </c>
      <c r="E647" t="inlineStr">
        <is>
          <t>ÅNGE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29862-2025</t>
        </is>
      </c>
      <c r="B648" s="1" t="n">
        <v>45826.3465625</v>
      </c>
      <c r="C648" s="1" t="n">
        <v>46001</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29882-2025</t>
        </is>
      </c>
      <c r="B649" s="1" t="n">
        <v>45826.36548611111</v>
      </c>
      <c r="C649" s="1" t="n">
        <v>46001</v>
      </c>
      <c r="D649" t="inlineStr">
        <is>
          <t>VÄSTERNORRLANDS LÄN</t>
        </is>
      </c>
      <c r="E649" t="inlineStr">
        <is>
          <t>ÅNGE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51059-2024</t>
        </is>
      </c>
      <c r="B650" s="1" t="n">
        <v>45603</v>
      </c>
      <c r="C650" s="1" t="n">
        <v>46001</v>
      </c>
      <c r="D650" t="inlineStr">
        <is>
          <t>VÄSTERNORRLANDS LÄN</t>
        </is>
      </c>
      <c r="E650" t="inlineStr">
        <is>
          <t>ÅNGE</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29916-2025</t>
        </is>
      </c>
      <c r="B651" s="1" t="n">
        <v>45826.41822916667</v>
      </c>
      <c r="C651" s="1" t="n">
        <v>46001</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53856-2024</t>
        </is>
      </c>
      <c r="B652" s="1" t="n">
        <v>45615</v>
      </c>
      <c r="C652" s="1" t="n">
        <v>46001</v>
      </c>
      <c r="D652" t="inlineStr">
        <is>
          <t>VÄSTERNORRLANDS LÄN</t>
        </is>
      </c>
      <c r="E652" t="inlineStr">
        <is>
          <t>ÅNGE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38272-2024</t>
        </is>
      </c>
      <c r="B653" s="1" t="n">
        <v>45545.60392361111</v>
      </c>
      <c r="C653" s="1" t="n">
        <v>46001</v>
      </c>
      <c r="D653" t="inlineStr">
        <is>
          <t>VÄSTERNORRLANDS LÄN</t>
        </is>
      </c>
      <c r="E653" t="inlineStr">
        <is>
          <t>ÅNGE</t>
        </is>
      </c>
      <c r="G653" t="n">
        <v>1.7</v>
      </c>
      <c r="H653" t="n">
        <v>0</v>
      </c>
      <c r="I653" t="n">
        <v>0</v>
      </c>
      <c r="J653" t="n">
        <v>0</v>
      </c>
      <c r="K653" t="n">
        <v>0</v>
      </c>
      <c r="L653" t="n">
        <v>0</v>
      </c>
      <c r="M653" t="n">
        <v>0</v>
      </c>
      <c r="N653" t="n">
        <v>0</v>
      </c>
      <c r="O653" t="n">
        <v>0</v>
      </c>
      <c r="P653" t="n">
        <v>0</v>
      </c>
      <c r="Q653" t="n">
        <v>0</v>
      </c>
      <c r="R653" s="2" t="inlineStr"/>
    </row>
    <row r="654" ht="15" customHeight="1">
      <c r="A654" t="inlineStr">
        <is>
          <t>A 29560-2025</t>
        </is>
      </c>
      <c r="B654" s="1" t="n">
        <v>45825.36497685185</v>
      </c>
      <c r="C654" s="1" t="n">
        <v>46001</v>
      </c>
      <c r="D654" t="inlineStr">
        <is>
          <t>VÄSTERNORRLANDS LÄN</t>
        </is>
      </c>
      <c r="E654" t="inlineStr">
        <is>
          <t>ÅNGE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44165-2025</t>
        </is>
      </c>
      <c r="B655" s="1" t="n">
        <v>45915.59840277778</v>
      </c>
      <c r="C655" s="1" t="n">
        <v>46001</v>
      </c>
      <c r="D655" t="inlineStr">
        <is>
          <t>VÄSTERNORRLANDS LÄN</t>
        </is>
      </c>
      <c r="E655" t="inlineStr">
        <is>
          <t>ÅNGE</t>
        </is>
      </c>
      <c r="G655" t="n">
        <v>0.7</v>
      </c>
      <c r="H655" t="n">
        <v>0</v>
      </c>
      <c r="I655" t="n">
        <v>0</v>
      </c>
      <c r="J655" t="n">
        <v>0</v>
      </c>
      <c r="K655" t="n">
        <v>0</v>
      </c>
      <c r="L655" t="n">
        <v>0</v>
      </c>
      <c r="M655" t="n">
        <v>0</v>
      </c>
      <c r="N655" t="n">
        <v>0</v>
      </c>
      <c r="O655" t="n">
        <v>0</v>
      </c>
      <c r="P655" t="n">
        <v>0</v>
      </c>
      <c r="Q655" t="n">
        <v>0</v>
      </c>
      <c r="R655" s="2" t="inlineStr"/>
    </row>
    <row r="656" ht="15" customHeight="1">
      <c r="A656" t="inlineStr">
        <is>
          <t>A 29786-2025</t>
        </is>
      </c>
      <c r="B656" s="1" t="n">
        <v>45825.65663194445</v>
      </c>
      <c r="C656" s="1" t="n">
        <v>46001</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16593-2023</t>
        </is>
      </c>
      <c r="B657" s="1" t="n">
        <v>45030</v>
      </c>
      <c r="C657" s="1" t="n">
        <v>46001</v>
      </c>
      <c r="D657" t="inlineStr">
        <is>
          <t>VÄSTERNORRLANDS LÄN</t>
        </is>
      </c>
      <c r="E657" t="inlineStr">
        <is>
          <t>ÅNGE</t>
        </is>
      </c>
      <c r="G657" t="n">
        <v>0.7</v>
      </c>
      <c r="H657" t="n">
        <v>0</v>
      </c>
      <c r="I657" t="n">
        <v>0</v>
      </c>
      <c r="J657" t="n">
        <v>0</v>
      </c>
      <c r="K657" t="n">
        <v>0</v>
      </c>
      <c r="L657" t="n">
        <v>0</v>
      </c>
      <c r="M657" t="n">
        <v>0</v>
      </c>
      <c r="N657" t="n">
        <v>0</v>
      </c>
      <c r="O657" t="n">
        <v>0</v>
      </c>
      <c r="P657" t="n">
        <v>0</v>
      </c>
      <c r="Q657" t="n">
        <v>0</v>
      </c>
      <c r="R657" s="2" t="inlineStr"/>
    </row>
    <row r="658" ht="15" customHeight="1">
      <c r="A658" t="inlineStr">
        <is>
          <t>A 16600-2023</t>
        </is>
      </c>
      <c r="B658" s="1" t="n">
        <v>45030</v>
      </c>
      <c r="C658" s="1" t="n">
        <v>46001</v>
      </c>
      <c r="D658" t="inlineStr">
        <is>
          <t>VÄSTERNORRLANDS LÄN</t>
        </is>
      </c>
      <c r="E658" t="inlineStr">
        <is>
          <t>ÅNGE</t>
        </is>
      </c>
      <c r="G658" t="n">
        <v>0.1</v>
      </c>
      <c r="H658" t="n">
        <v>0</v>
      </c>
      <c r="I658" t="n">
        <v>0</v>
      </c>
      <c r="J658" t="n">
        <v>0</v>
      </c>
      <c r="K658" t="n">
        <v>0</v>
      </c>
      <c r="L658" t="n">
        <v>0</v>
      </c>
      <c r="M658" t="n">
        <v>0</v>
      </c>
      <c r="N658" t="n">
        <v>0</v>
      </c>
      <c r="O658" t="n">
        <v>0</v>
      </c>
      <c r="P658" t="n">
        <v>0</v>
      </c>
      <c r="Q658" t="n">
        <v>0</v>
      </c>
      <c r="R658" s="2" t="inlineStr"/>
    </row>
    <row r="659" ht="15" customHeight="1">
      <c r="A659" t="inlineStr">
        <is>
          <t>A 42488-2024</t>
        </is>
      </c>
      <c r="B659" s="1" t="n">
        <v>45565.49420138889</v>
      </c>
      <c r="C659" s="1" t="n">
        <v>46001</v>
      </c>
      <c r="D659" t="inlineStr">
        <is>
          <t>VÄSTERNORRLANDS LÄN</t>
        </is>
      </c>
      <c r="E659" t="inlineStr">
        <is>
          <t>ÅNGE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35399-2024</t>
        </is>
      </c>
      <c r="B660" s="1" t="n">
        <v>45531.40438657408</v>
      </c>
      <c r="C660" s="1" t="n">
        <v>46001</v>
      </c>
      <c r="D660" t="inlineStr">
        <is>
          <t>VÄSTERNORRLANDS LÄN</t>
        </is>
      </c>
      <c r="E660" t="inlineStr">
        <is>
          <t>ÅNGE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53381-2025</t>
        </is>
      </c>
      <c r="B661" s="1" t="n">
        <v>45959.53690972222</v>
      </c>
      <c r="C661" s="1" t="n">
        <v>46001</v>
      </c>
      <c r="D661" t="inlineStr">
        <is>
          <t>VÄSTERNORRLANDS LÄN</t>
        </is>
      </c>
      <c r="E661" t="inlineStr">
        <is>
          <t>ÅNGE</t>
        </is>
      </c>
      <c r="G661" t="n">
        <v>9.6</v>
      </c>
      <c r="H661" t="n">
        <v>0</v>
      </c>
      <c r="I661" t="n">
        <v>0</v>
      </c>
      <c r="J661" t="n">
        <v>0</v>
      </c>
      <c r="K661" t="n">
        <v>0</v>
      </c>
      <c r="L661" t="n">
        <v>0</v>
      </c>
      <c r="M661" t="n">
        <v>0</v>
      </c>
      <c r="N661" t="n">
        <v>0</v>
      </c>
      <c r="O661" t="n">
        <v>0</v>
      </c>
      <c r="P661" t="n">
        <v>0</v>
      </c>
      <c r="Q661" t="n">
        <v>0</v>
      </c>
      <c r="R661" s="2" t="inlineStr"/>
    </row>
    <row r="662" ht="15" customHeight="1">
      <c r="A662" t="inlineStr">
        <is>
          <t>A 30475-2025</t>
        </is>
      </c>
      <c r="B662" s="1" t="n">
        <v>45828.34444444445</v>
      </c>
      <c r="C662" s="1" t="n">
        <v>46001</v>
      </c>
      <c r="D662" t="inlineStr">
        <is>
          <t>VÄSTERNORRLANDS LÄN</t>
        </is>
      </c>
      <c r="E662" t="inlineStr">
        <is>
          <t>ÅNGE</t>
        </is>
      </c>
      <c r="F662" t="inlineStr">
        <is>
          <t>SCA</t>
        </is>
      </c>
      <c r="G662" t="n">
        <v>5.1</v>
      </c>
      <c r="H662" t="n">
        <v>0</v>
      </c>
      <c r="I662" t="n">
        <v>0</v>
      </c>
      <c r="J662" t="n">
        <v>0</v>
      </c>
      <c r="K662" t="n">
        <v>0</v>
      </c>
      <c r="L662" t="n">
        <v>0</v>
      </c>
      <c r="M662" t="n">
        <v>0</v>
      </c>
      <c r="N662" t="n">
        <v>0</v>
      </c>
      <c r="O662" t="n">
        <v>0</v>
      </c>
      <c r="P662" t="n">
        <v>0</v>
      </c>
      <c r="Q662" t="n">
        <v>0</v>
      </c>
      <c r="R662" s="2" t="inlineStr"/>
    </row>
    <row r="663" ht="15" customHeight="1">
      <c r="A663" t="inlineStr">
        <is>
          <t>A 39682-2024</t>
        </is>
      </c>
      <c r="B663" s="1" t="n">
        <v>45552</v>
      </c>
      <c r="C663" s="1" t="n">
        <v>46001</v>
      </c>
      <c r="D663" t="inlineStr">
        <is>
          <t>VÄSTERNORRLANDS LÄN</t>
        </is>
      </c>
      <c r="E663" t="inlineStr">
        <is>
          <t>ÅNGE</t>
        </is>
      </c>
      <c r="G663" t="n">
        <v>35.4</v>
      </c>
      <c r="H663" t="n">
        <v>0</v>
      </c>
      <c r="I663" t="n">
        <v>0</v>
      </c>
      <c r="J663" t="n">
        <v>0</v>
      </c>
      <c r="K663" t="n">
        <v>0</v>
      </c>
      <c r="L663" t="n">
        <v>0</v>
      </c>
      <c r="M663" t="n">
        <v>0</v>
      </c>
      <c r="N663" t="n">
        <v>0</v>
      </c>
      <c r="O663" t="n">
        <v>0</v>
      </c>
      <c r="P663" t="n">
        <v>0</v>
      </c>
      <c r="Q663" t="n">
        <v>0</v>
      </c>
      <c r="R663" s="2" t="inlineStr"/>
    </row>
    <row r="664" ht="15" customHeight="1">
      <c r="A664" t="inlineStr">
        <is>
          <t>A 53713-2025</t>
        </is>
      </c>
      <c r="B664" s="1" t="n">
        <v>45960.61568287037</v>
      </c>
      <c r="C664" s="1" t="n">
        <v>46001</v>
      </c>
      <c r="D664" t="inlineStr">
        <is>
          <t>VÄSTERNORRLANDS LÄN</t>
        </is>
      </c>
      <c r="E664" t="inlineStr">
        <is>
          <t>ÅNGE</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17668-2023</t>
        </is>
      </c>
      <c r="B665" s="1" t="n">
        <v>45036</v>
      </c>
      <c r="C665" s="1" t="n">
        <v>46001</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8406-2023</t>
        </is>
      </c>
      <c r="B666" s="1" t="n">
        <v>44971</v>
      </c>
      <c r="C666" s="1" t="n">
        <v>46001</v>
      </c>
      <c r="D666" t="inlineStr">
        <is>
          <t>VÄSTERNORRLANDS LÄN</t>
        </is>
      </c>
      <c r="E666" t="inlineStr">
        <is>
          <t>ÅNGE</t>
        </is>
      </c>
      <c r="G666" t="n">
        <v>1.2</v>
      </c>
      <c r="H666" t="n">
        <v>0</v>
      </c>
      <c r="I666" t="n">
        <v>0</v>
      </c>
      <c r="J666" t="n">
        <v>0</v>
      </c>
      <c r="K666" t="n">
        <v>0</v>
      </c>
      <c r="L666" t="n">
        <v>0</v>
      </c>
      <c r="M666" t="n">
        <v>0</v>
      </c>
      <c r="N666" t="n">
        <v>0</v>
      </c>
      <c r="O666" t="n">
        <v>0</v>
      </c>
      <c r="P666" t="n">
        <v>0</v>
      </c>
      <c r="Q666" t="n">
        <v>0</v>
      </c>
      <c r="R666" s="2" t="inlineStr"/>
    </row>
    <row r="667" ht="15" customHeight="1">
      <c r="A667" t="inlineStr">
        <is>
          <t>A 44919-2025</t>
        </is>
      </c>
      <c r="B667" s="1" t="n">
        <v>45918.55246527777</v>
      </c>
      <c r="C667" s="1" t="n">
        <v>46001</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44935-2025</t>
        </is>
      </c>
      <c r="B668" s="1" t="n">
        <v>45918.57392361111</v>
      </c>
      <c r="C668" s="1" t="n">
        <v>46001</v>
      </c>
      <c r="D668" t="inlineStr">
        <is>
          <t>VÄSTERNORRLANDS LÄN</t>
        </is>
      </c>
      <c r="E668" t="inlineStr">
        <is>
          <t>ÅNGE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4651-2022</t>
        </is>
      </c>
      <c r="B669" s="1" t="n">
        <v>44592</v>
      </c>
      <c r="C669" s="1" t="n">
        <v>46001</v>
      </c>
      <c r="D669" t="inlineStr">
        <is>
          <t>VÄSTERNORRLANDS LÄN</t>
        </is>
      </c>
      <c r="E669" t="inlineStr">
        <is>
          <t>ÅNGE</t>
        </is>
      </c>
      <c r="G669" t="n">
        <v>1.7</v>
      </c>
      <c r="H669" t="n">
        <v>0</v>
      </c>
      <c r="I669" t="n">
        <v>0</v>
      </c>
      <c r="J669" t="n">
        <v>0</v>
      </c>
      <c r="K669" t="n">
        <v>0</v>
      </c>
      <c r="L669" t="n">
        <v>0</v>
      </c>
      <c r="M669" t="n">
        <v>0</v>
      </c>
      <c r="N669" t="n">
        <v>0</v>
      </c>
      <c r="O669" t="n">
        <v>0</v>
      </c>
      <c r="P669" t="n">
        <v>0</v>
      </c>
      <c r="Q669" t="n">
        <v>0</v>
      </c>
      <c r="R669" s="2" t="inlineStr"/>
    </row>
    <row r="670" ht="15" customHeight="1">
      <c r="A670" t="inlineStr">
        <is>
          <t>A 45933-2023</t>
        </is>
      </c>
      <c r="B670" s="1" t="n">
        <v>45195</v>
      </c>
      <c r="C670" s="1" t="n">
        <v>46001</v>
      </c>
      <c r="D670" t="inlineStr">
        <is>
          <t>VÄSTERNORRLANDS LÄN</t>
        </is>
      </c>
      <c r="E670" t="inlineStr">
        <is>
          <t>ÅNGE</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57601-2022</t>
        </is>
      </c>
      <c r="B671" s="1" t="n">
        <v>44896</v>
      </c>
      <c r="C671" s="1" t="n">
        <v>46001</v>
      </c>
      <c r="D671" t="inlineStr">
        <is>
          <t>VÄSTERNORRLANDS LÄN</t>
        </is>
      </c>
      <c r="E671" t="inlineStr">
        <is>
          <t>ÅNGE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34629-2025</t>
        </is>
      </c>
      <c r="B672" s="1" t="n">
        <v>45847.93006944445</v>
      </c>
      <c r="C672" s="1" t="n">
        <v>46001</v>
      </c>
      <c r="D672" t="inlineStr">
        <is>
          <t>VÄSTERNORRLANDS LÄN</t>
        </is>
      </c>
      <c r="E672" t="inlineStr">
        <is>
          <t>ÅNGE</t>
        </is>
      </c>
      <c r="G672" t="n">
        <v>0.2</v>
      </c>
      <c r="H672" t="n">
        <v>0</v>
      </c>
      <c r="I672" t="n">
        <v>0</v>
      </c>
      <c r="J672" t="n">
        <v>0</v>
      </c>
      <c r="K672" t="n">
        <v>0</v>
      </c>
      <c r="L672" t="n">
        <v>0</v>
      </c>
      <c r="M672" t="n">
        <v>0</v>
      </c>
      <c r="N672" t="n">
        <v>0</v>
      </c>
      <c r="O672" t="n">
        <v>0</v>
      </c>
      <c r="P672" t="n">
        <v>0</v>
      </c>
      <c r="Q672" t="n">
        <v>0</v>
      </c>
      <c r="R672" s="2" t="inlineStr"/>
    </row>
    <row r="673" ht="15" customHeight="1">
      <c r="A673" t="inlineStr">
        <is>
          <t>A 30875-2025</t>
        </is>
      </c>
      <c r="B673" s="1" t="n">
        <v>45832.34447916667</v>
      </c>
      <c r="C673" s="1" t="n">
        <v>46001</v>
      </c>
      <c r="D673" t="inlineStr">
        <is>
          <t>VÄSTERNORRLANDS LÄN</t>
        </is>
      </c>
      <c r="E673" t="inlineStr">
        <is>
          <t>ÅNGE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31211-2025</t>
        </is>
      </c>
      <c r="B674" s="1" t="n">
        <v>45832.71938657408</v>
      </c>
      <c r="C674" s="1" t="n">
        <v>46001</v>
      </c>
      <c r="D674" t="inlineStr">
        <is>
          <t>VÄSTERNORRLANDS LÄN</t>
        </is>
      </c>
      <c r="E674" t="inlineStr">
        <is>
          <t>ÅNGE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24552-2023</t>
        </is>
      </c>
      <c r="B675" s="1" t="n">
        <v>45082.94226851852</v>
      </c>
      <c r="C675" s="1" t="n">
        <v>46001</v>
      </c>
      <c r="D675" t="inlineStr">
        <is>
          <t>VÄSTERNORRLANDS LÄN</t>
        </is>
      </c>
      <c r="E675" t="inlineStr">
        <is>
          <t>ÅNGE</t>
        </is>
      </c>
      <c r="G675" t="n">
        <v>1.5</v>
      </c>
      <c r="H675" t="n">
        <v>0</v>
      </c>
      <c r="I675" t="n">
        <v>0</v>
      </c>
      <c r="J675" t="n">
        <v>0</v>
      </c>
      <c r="K675" t="n">
        <v>0</v>
      </c>
      <c r="L675" t="n">
        <v>0</v>
      </c>
      <c r="M675" t="n">
        <v>0</v>
      </c>
      <c r="N675" t="n">
        <v>0</v>
      </c>
      <c r="O675" t="n">
        <v>0</v>
      </c>
      <c r="P675" t="n">
        <v>0</v>
      </c>
      <c r="Q675" t="n">
        <v>0</v>
      </c>
      <c r="R675" s="2" t="inlineStr"/>
    </row>
    <row r="676" ht="15" customHeight="1">
      <c r="A676" t="inlineStr">
        <is>
          <t>A 53509-2025</t>
        </is>
      </c>
      <c r="B676" s="1" t="n">
        <v>45960.34506944445</v>
      </c>
      <c r="C676" s="1" t="n">
        <v>46001</v>
      </c>
      <c r="D676" t="inlineStr">
        <is>
          <t>VÄSTERNORRLANDS LÄN</t>
        </is>
      </c>
      <c r="E676" t="inlineStr">
        <is>
          <t>ÅNGE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30618-2025</t>
        </is>
      </c>
      <c r="B677" s="1" t="n">
        <v>45831.46909722222</v>
      </c>
      <c r="C677" s="1" t="n">
        <v>46001</v>
      </c>
      <c r="D677" t="inlineStr">
        <is>
          <t>VÄSTERNORRLANDS LÄN</t>
        </is>
      </c>
      <c r="E677" t="inlineStr">
        <is>
          <t>ÅNGE</t>
        </is>
      </c>
      <c r="G677" t="n">
        <v>1</v>
      </c>
      <c r="H677" t="n">
        <v>0</v>
      </c>
      <c r="I677" t="n">
        <v>0</v>
      </c>
      <c r="J677" t="n">
        <v>0</v>
      </c>
      <c r="K677" t="n">
        <v>0</v>
      </c>
      <c r="L677" t="n">
        <v>0</v>
      </c>
      <c r="M677" t="n">
        <v>0</v>
      </c>
      <c r="N677" t="n">
        <v>0</v>
      </c>
      <c r="O677" t="n">
        <v>0</v>
      </c>
      <c r="P677" t="n">
        <v>0</v>
      </c>
      <c r="Q677" t="n">
        <v>0</v>
      </c>
      <c r="R677" s="2" t="inlineStr"/>
    </row>
    <row r="678" ht="15" customHeight="1">
      <c r="A678" t="inlineStr">
        <is>
          <t>A 31188-2025</t>
        </is>
      </c>
      <c r="B678" s="1" t="n">
        <v>45832.67842592593</v>
      </c>
      <c r="C678" s="1" t="n">
        <v>46001</v>
      </c>
      <c r="D678" t="inlineStr">
        <is>
          <t>VÄSTERNORRLANDS LÄN</t>
        </is>
      </c>
      <c r="E678" t="inlineStr">
        <is>
          <t>ÅNGE</t>
        </is>
      </c>
      <c r="F678" t="inlineStr">
        <is>
          <t>SCA</t>
        </is>
      </c>
      <c r="G678" t="n">
        <v>14.9</v>
      </c>
      <c r="H678" t="n">
        <v>0</v>
      </c>
      <c r="I678" t="n">
        <v>0</v>
      </c>
      <c r="J678" t="n">
        <v>0</v>
      </c>
      <c r="K678" t="n">
        <v>0</v>
      </c>
      <c r="L678" t="n">
        <v>0</v>
      </c>
      <c r="M678" t="n">
        <v>0</v>
      </c>
      <c r="N678" t="n">
        <v>0</v>
      </c>
      <c r="O678" t="n">
        <v>0</v>
      </c>
      <c r="P678" t="n">
        <v>0</v>
      </c>
      <c r="Q678" t="n">
        <v>0</v>
      </c>
      <c r="R678" s="2" t="inlineStr"/>
    </row>
    <row r="679" ht="15" customHeight="1">
      <c r="A679" t="inlineStr">
        <is>
          <t>A 45403-2025</t>
        </is>
      </c>
      <c r="B679" s="1" t="n">
        <v>45922.42803240741</v>
      </c>
      <c r="C679" s="1" t="n">
        <v>46001</v>
      </c>
      <c r="D679" t="inlineStr">
        <is>
          <t>VÄSTERNORRLANDS LÄN</t>
        </is>
      </c>
      <c r="E679" t="inlineStr">
        <is>
          <t>ÅNGE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45404-2025</t>
        </is>
      </c>
      <c r="B680" s="1" t="n">
        <v>45922.42820601852</v>
      </c>
      <c r="C680" s="1" t="n">
        <v>46001</v>
      </c>
      <c r="D680" t="inlineStr">
        <is>
          <t>VÄSTERNORRLANDS LÄN</t>
        </is>
      </c>
      <c r="E680" t="inlineStr">
        <is>
          <t>ÅNGE</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31042-2025</t>
        </is>
      </c>
      <c r="B681" s="1" t="n">
        <v>45832.55267361111</v>
      </c>
      <c r="C681" s="1" t="n">
        <v>46001</v>
      </c>
      <c r="D681" t="inlineStr">
        <is>
          <t>VÄSTERNORRLANDS LÄN</t>
        </is>
      </c>
      <c r="E681" t="inlineStr">
        <is>
          <t>ÅNGE</t>
        </is>
      </c>
      <c r="F681" t="inlineStr">
        <is>
          <t>SCA</t>
        </is>
      </c>
      <c r="G681" t="n">
        <v>11.8</v>
      </c>
      <c r="H681" t="n">
        <v>0</v>
      </c>
      <c r="I681" t="n">
        <v>0</v>
      </c>
      <c r="J681" t="n">
        <v>0</v>
      </c>
      <c r="K681" t="n">
        <v>0</v>
      </c>
      <c r="L681" t="n">
        <v>0</v>
      </c>
      <c r="M681" t="n">
        <v>0</v>
      </c>
      <c r="N681" t="n">
        <v>0</v>
      </c>
      <c r="O681" t="n">
        <v>0</v>
      </c>
      <c r="P681" t="n">
        <v>0</v>
      </c>
      <c r="Q681" t="n">
        <v>0</v>
      </c>
      <c r="R681" s="2" t="inlineStr"/>
    </row>
    <row r="682" ht="15" customHeight="1">
      <c r="A682" t="inlineStr">
        <is>
          <t>A 31135-2025</t>
        </is>
      </c>
      <c r="B682" s="1" t="n">
        <v>45832.63581018519</v>
      </c>
      <c r="C682" s="1" t="n">
        <v>46001</v>
      </c>
      <c r="D682" t="inlineStr">
        <is>
          <t>VÄSTERNORRLANDS LÄN</t>
        </is>
      </c>
      <c r="E682" t="inlineStr">
        <is>
          <t>ÅNGE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30892-2025</t>
        </is>
      </c>
      <c r="B683" s="1" t="n">
        <v>45832.34663194444</v>
      </c>
      <c r="C683" s="1" t="n">
        <v>46001</v>
      </c>
      <c r="D683" t="inlineStr">
        <is>
          <t>VÄSTERNORRLANDS LÄN</t>
        </is>
      </c>
      <c r="E683" t="inlineStr">
        <is>
          <t>ÅNGE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30598-2025</t>
        </is>
      </c>
      <c r="B684" s="1" t="n">
        <v>45831.44834490741</v>
      </c>
      <c r="C684" s="1" t="n">
        <v>46001</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34649-2024</t>
        </is>
      </c>
      <c r="B685" s="1" t="n">
        <v>45526.48325231481</v>
      </c>
      <c r="C685" s="1" t="n">
        <v>46001</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53985-2025</t>
        </is>
      </c>
      <c r="B686" s="1" t="n">
        <v>45961.57366898148</v>
      </c>
      <c r="C686" s="1" t="n">
        <v>46001</v>
      </c>
      <c r="D686" t="inlineStr">
        <is>
          <t>VÄSTERNORRLANDS LÄN</t>
        </is>
      </c>
      <c r="E686" t="inlineStr">
        <is>
          <t>ÅNGE</t>
        </is>
      </c>
      <c r="F686" t="inlineStr">
        <is>
          <t>SCA</t>
        </is>
      </c>
      <c r="G686" t="n">
        <v>14.2</v>
      </c>
      <c r="H686" t="n">
        <v>0</v>
      </c>
      <c r="I686" t="n">
        <v>0</v>
      </c>
      <c r="J686" t="n">
        <v>0</v>
      </c>
      <c r="K686" t="n">
        <v>0</v>
      </c>
      <c r="L686" t="n">
        <v>0</v>
      </c>
      <c r="M686" t="n">
        <v>0</v>
      </c>
      <c r="N686" t="n">
        <v>0</v>
      </c>
      <c r="O686" t="n">
        <v>0</v>
      </c>
      <c r="P686" t="n">
        <v>0</v>
      </c>
      <c r="Q686" t="n">
        <v>0</v>
      </c>
      <c r="R686" s="2" t="inlineStr"/>
    </row>
    <row r="687" ht="15" customHeight="1">
      <c r="A687" t="inlineStr">
        <is>
          <t>A 31041-2025</t>
        </is>
      </c>
      <c r="B687" s="1" t="n">
        <v>45832.55247685185</v>
      </c>
      <c r="C687" s="1" t="n">
        <v>46001</v>
      </c>
      <c r="D687" t="inlineStr">
        <is>
          <t>VÄSTERNORRLANDS LÄN</t>
        </is>
      </c>
      <c r="E687" t="inlineStr">
        <is>
          <t>ÅNGE</t>
        </is>
      </c>
      <c r="F687" t="inlineStr">
        <is>
          <t>SCA</t>
        </is>
      </c>
      <c r="G687" t="n">
        <v>15.1</v>
      </c>
      <c r="H687" t="n">
        <v>0</v>
      </c>
      <c r="I687" t="n">
        <v>0</v>
      </c>
      <c r="J687" t="n">
        <v>0</v>
      </c>
      <c r="K687" t="n">
        <v>0</v>
      </c>
      <c r="L687" t="n">
        <v>0</v>
      </c>
      <c r="M687" t="n">
        <v>0</v>
      </c>
      <c r="N687" t="n">
        <v>0</v>
      </c>
      <c r="O687" t="n">
        <v>0</v>
      </c>
      <c r="P687" t="n">
        <v>0</v>
      </c>
      <c r="Q687" t="n">
        <v>0</v>
      </c>
      <c r="R687" s="2" t="inlineStr"/>
    </row>
    <row r="688" ht="15" customHeight="1">
      <c r="A688" t="inlineStr">
        <is>
          <t>A 31139-2025</t>
        </is>
      </c>
      <c r="B688" s="1" t="n">
        <v>45832.63633101852</v>
      </c>
      <c r="C688" s="1" t="n">
        <v>46001</v>
      </c>
      <c r="D688" t="inlineStr">
        <is>
          <t>VÄSTERNORRLANDS LÄN</t>
        </is>
      </c>
      <c r="E688" t="inlineStr">
        <is>
          <t>ÅNGE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30877-2025</t>
        </is>
      </c>
      <c r="B689" s="1" t="n">
        <v>45832.34478009259</v>
      </c>
      <c r="C689" s="1" t="n">
        <v>46001</v>
      </c>
      <c r="D689" t="inlineStr">
        <is>
          <t>VÄSTERNORRLANDS LÄN</t>
        </is>
      </c>
      <c r="E689" t="inlineStr">
        <is>
          <t>ÅNGE</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30888-2025</t>
        </is>
      </c>
      <c r="B690" s="1" t="n">
        <v>45832.34606481482</v>
      </c>
      <c r="C690" s="1" t="n">
        <v>46001</v>
      </c>
      <c r="D690" t="inlineStr">
        <is>
          <t>VÄSTERNORRLANDS LÄN</t>
        </is>
      </c>
      <c r="E690" t="inlineStr">
        <is>
          <t>ÅNGE</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45401-2025</t>
        </is>
      </c>
      <c r="B691" s="1" t="n">
        <v>45922.42767361111</v>
      </c>
      <c r="C691" s="1" t="n">
        <v>46001</v>
      </c>
      <c r="D691" t="inlineStr">
        <is>
          <t>VÄSTERNORRLANDS LÄN</t>
        </is>
      </c>
      <c r="E691" t="inlineStr">
        <is>
          <t>ÅNGE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34679-2024</t>
        </is>
      </c>
      <c r="B692" s="1" t="n">
        <v>45526</v>
      </c>
      <c r="C692" s="1" t="n">
        <v>46001</v>
      </c>
      <c r="D692" t="inlineStr">
        <is>
          <t>VÄSTERNORRLANDS LÄN</t>
        </is>
      </c>
      <c r="E692" t="inlineStr">
        <is>
          <t>ÅNGE</t>
        </is>
      </c>
      <c r="G692" t="n">
        <v>1.4</v>
      </c>
      <c r="H692" t="n">
        <v>0</v>
      </c>
      <c r="I692" t="n">
        <v>0</v>
      </c>
      <c r="J692" t="n">
        <v>0</v>
      </c>
      <c r="K692" t="n">
        <v>0</v>
      </c>
      <c r="L692" t="n">
        <v>0</v>
      </c>
      <c r="M692" t="n">
        <v>0</v>
      </c>
      <c r="N692" t="n">
        <v>0</v>
      </c>
      <c r="O692" t="n">
        <v>0</v>
      </c>
      <c r="P692" t="n">
        <v>0</v>
      </c>
      <c r="Q692" t="n">
        <v>0</v>
      </c>
      <c r="R692" s="2" t="inlineStr"/>
    </row>
    <row r="693" ht="15" customHeight="1">
      <c r="A693" t="inlineStr">
        <is>
          <t>A 31275-2025</t>
        </is>
      </c>
      <c r="B693" s="1" t="n">
        <v>45833.34459490741</v>
      </c>
      <c r="C693" s="1" t="n">
        <v>46001</v>
      </c>
      <c r="D693" t="inlineStr">
        <is>
          <t>VÄSTERNORRLANDS LÄN</t>
        </is>
      </c>
      <c r="E693" t="inlineStr">
        <is>
          <t>ÅNGE</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58445-2022</t>
        </is>
      </c>
      <c r="B694" s="1" t="n">
        <v>44901.95453703704</v>
      </c>
      <c r="C694" s="1" t="n">
        <v>46001</v>
      </c>
      <c r="D694" t="inlineStr">
        <is>
          <t>VÄSTERNORRLANDS LÄN</t>
        </is>
      </c>
      <c r="E694" t="inlineStr">
        <is>
          <t>ÅNGE</t>
        </is>
      </c>
      <c r="F694" t="inlineStr">
        <is>
          <t>SCA</t>
        </is>
      </c>
      <c r="G694" t="n">
        <v>3.6</v>
      </c>
      <c r="H694" t="n">
        <v>0</v>
      </c>
      <c r="I694" t="n">
        <v>0</v>
      </c>
      <c r="J694" t="n">
        <v>0</v>
      </c>
      <c r="K694" t="n">
        <v>0</v>
      </c>
      <c r="L694" t="n">
        <v>0</v>
      </c>
      <c r="M694" t="n">
        <v>0</v>
      </c>
      <c r="N694" t="n">
        <v>0</v>
      </c>
      <c r="O694" t="n">
        <v>0</v>
      </c>
      <c r="P694" t="n">
        <v>0</v>
      </c>
      <c r="Q694" t="n">
        <v>0</v>
      </c>
      <c r="R694" s="2" t="inlineStr"/>
    </row>
    <row r="695" ht="15" customHeight="1">
      <c r="A695" t="inlineStr">
        <is>
          <t>A 31452-2025</t>
        </is>
      </c>
      <c r="B695" s="1" t="n">
        <v>45833.53179398148</v>
      </c>
      <c r="C695" s="1" t="n">
        <v>46001</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31544-2025</t>
        </is>
      </c>
      <c r="B696" s="1" t="n">
        <v>45833.63597222222</v>
      </c>
      <c r="C696" s="1" t="n">
        <v>46001</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31646-2025</t>
        </is>
      </c>
      <c r="B697" s="1" t="n">
        <v>45834.34563657407</v>
      </c>
      <c r="C697" s="1" t="n">
        <v>46001</v>
      </c>
      <c r="D697" t="inlineStr">
        <is>
          <t>VÄSTERNORRLANDS LÄN</t>
        </is>
      </c>
      <c r="E697" t="inlineStr">
        <is>
          <t>ÅNGE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23058-2024</t>
        </is>
      </c>
      <c r="B698" s="1" t="n">
        <v>45450.44020833333</v>
      </c>
      <c r="C698" s="1" t="n">
        <v>46001</v>
      </c>
      <c r="D698" t="inlineStr">
        <is>
          <t>VÄSTERNORRLANDS LÄN</t>
        </is>
      </c>
      <c r="E698" t="inlineStr">
        <is>
          <t>ÅNGE</t>
        </is>
      </c>
      <c r="G698" t="n">
        <v>3.9</v>
      </c>
      <c r="H698" t="n">
        <v>0</v>
      </c>
      <c r="I698" t="n">
        <v>0</v>
      </c>
      <c r="J698" t="n">
        <v>0</v>
      </c>
      <c r="K698" t="n">
        <v>0</v>
      </c>
      <c r="L698" t="n">
        <v>0</v>
      </c>
      <c r="M698" t="n">
        <v>0</v>
      </c>
      <c r="N698" t="n">
        <v>0</v>
      </c>
      <c r="O698" t="n">
        <v>0</v>
      </c>
      <c r="P698" t="n">
        <v>0</v>
      </c>
      <c r="Q698" t="n">
        <v>0</v>
      </c>
      <c r="R698" s="2" t="inlineStr"/>
    </row>
    <row r="699" ht="15" customHeight="1">
      <c r="A699" t="inlineStr">
        <is>
          <t>A 53984-2025</t>
        </is>
      </c>
      <c r="B699" s="1" t="n">
        <v>45961.5734837963</v>
      </c>
      <c r="C699" s="1" t="n">
        <v>46001</v>
      </c>
      <c r="D699" t="inlineStr">
        <is>
          <t>VÄSTERNORRLANDS LÄN</t>
        </is>
      </c>
      <c r="E699" t="inlineStr">
        <is>
          <t>ÅNGE</t>
        </is>
      </c>
      <c r="F699" t="inlineStr">
        <is>
          <t>SCA</t>
        </is>
      </c>
      <c r="G699" t="n">
        <v>14.8</v>
      </c>
      <c r="H699" t="n">
        <v>0</v>
      </c>
      <c r="I699" t="n">
        <v>0</v>
      </c>
      <c r="J699" t="n">
        <v>0</v>
      </c>
      <c r="K699" t="n">
        <v>0</v>
      </c>
      <c r="L699" t="n">
        <v>0</v>
      </c>
      <c r="M699" t="n">
        <v>0</v>
      </c>
      <c r="N699" t="n">
        <v>0</v>
      </c>
      <c r="O699" t="n">
        <v>0</v>
      </c>
      <c r="P699" t="n">
        <v>0</v>
      </c>
      <c r="Q699" t="n">
        <v>0</v>
      </c>
      <c r="R699" s="2" t="inlineStr"/>
    </row>
    <row r="700" ht="15" customHeight="1">
      <c r="A700" t="inlineStr">
        <is>
          <t>A 31484-2025</t>
        </is>
      </c>
      <c r="B700" s="1" t="n">
        <v>45833.57418981481</v>
      </c>
      <c r="C700" s="1" t="n">
        <v>46001</v>
      </c>
      <c r="D700" t="inlineStr">
        <is>
          <t>VÄSTERNORRLANDS LÄN</t>
        </is>
      </c>
      <c r="E700" t="inlineStr">
        <is>
          <t>ÅNGE</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31642-2025</t>
        </is>
      </c>
      <c r="B701" s="1" t="n">
        <v>45834.34474537037</v>
      </c>
      <c r="C701" s="1" t="n">
        <v>46001</v>
      </c>
      <c r="D701" t="inlineStr">
        <is>
          <t>VÄSTERNORRLANDS LÄN</t>
        </is>
      </c>
      <c r="E701" t="inlineStr">
        <is>
          <t>ÅNGE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31666-2025</t>
        </is>
      </c>
      <c r="B702" s="1" t="n">
        <v>45834.36519675926</v>
      </c>
      <c r="C702" s="1" t="n">
        <v>46001</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64946-2023</t>
        </is>
      </c>
      <c r="B703" s="1" t="n">
        <v>45282.94678240741</v>
      </c>
      <c r="C703" s="1" t="n">
        <v>46001</v>
      </c>
      <c r="D703" t="inlineStr">
        <is>
          <t>VÄSTERNORRLANDS LÄN</t>
        </is>
      </c>
      <c r="E703" t="inlineStr">
        <is>
          <t>ÅNGE</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54705-2025</t>
        </is>
      </c>
      <c r="B704" s="1" t="n">
        <v>45966.4853125</v>
      </c>
      <c r="C704" s="1" t="n">
        <v>46001</v>
      </c>
      <c r="D704" t="inlineStr">
        <is>
          <t>VÄSTERNORRLANDS LÄN</t>
        </is>
      </c>
      <c r="E704" t="inlineStr">
        <is>
          <t>ÅNGE</t>
        </is>
      </c>
      <c r="G704" t="n">
        <v>4.5</v>
      </c>
      <c r="H704" t="n">
        <v>0</v>
      </c>
      <c r="I704" t="n">
        <v>0</v>
      </c>
      <c r="J704" t="n">
        <v>0</v>
      </c>
      <c r="K704" t="n">
        <v>0</v>
      </c>
      <c r="L704" t="n">
        <v>0</v>
      </c>
      <c r="M704" t="n">
        <v>0</v>
      </c>
      <c r="N704" t="n">
        <v>0</v>
      </c>
      <c r="O704" t="n">
        <v>0</v>
      </c>
      <c r="P704" t="n">
        <v>0</v>
      </c>
      <c r="Q704" t="n">
        <v>0</v>
      </c>
      <c r="R704" s="2" t="inlineStr"/>
    </row>
    <row r="705" ht="15" customHeight="1">
      <c r="A705" t="inlineStr">
        <is>
          <t>A 54819-2025</t>
        </is>
      </c>
      <c r="B705" s="1" t="n">
        <v>45966.65709490741</v>
      </c>
      <c r="C705" s="1" t="n">
        <v>46001</v>
      </c>
      <c r="D705" t="inlineStr">
        <is>
          <t>VÄSTERNORRLANDS LÄN</t>
        </is>
      </c>
      <c r="E705" t="inlineStr">
        <is>
          <t>ÅNGE</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45875-2025</t>
        </is>
      </c>
      <c r="B706" s="1" t="n">
        <v>45923.65690972222</v>
      </c>
      <c r="C706" s="1" t="n">
        <v>46001</v>
      </c>
      <c r="D706" t="inlineStr">
        <is>
          <t>VÄSTERNORRLANDS LÄN</t>
        </is>
      </c>
      <c r="E706" t="inlineStr">
        <is>
          <t>ÅNGE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54713-2025</t>
        </is>
      </c>
      <c r="B707" s="1" t="n">
        <v>45966.50446759259</v>
      </c>
      <c r="C707" s="1" t="n">
        <v>46001</v>
      </c>
      <c r="D707" t="inlineStr">
        <is>
          <t>VÄSTERNORRLANDS LÄN</t>
        </is>
      </c>
      <c r="E707" t="inlineStr">
        <is>
          <t>ÅNGE</t>
        </is>
      </c>
      <c r="G707" t="n">
        <v>1.9</v>
      </c>
      <c r="H707" t="n">
        <v>0</v>
      </c>
      <c r="I707" t="n">
        <v>0</v>
      </c>
      <c r="J707" t="n">
        <v>0</v>
      </c>
      <c r="K707" t="n">
        <v>0</v>
      </c>
      <c r="L707" t="n">
        <v>0</v>
      </c>
      <c r="M707" t="n">
        <v>0</v>
      </c>
      <c r="N707" t="n">
        <v>0</v>
      </c>
      <c r="O707" t="n">
        <v>0</v>
      </c>
      <c r="P707" t="n">
        <v>0</v>
      </c>
      <c r="Q707" t="n">
        <v>0</v>
      </c>
      <c r="R707" s="2" t="inlineStr"/>
    </row>
    <row r="708" ht="15" customHeight="1">
      <c r="A708" t="inlineStr">
        <is>
          <t>A 32025-2025</t>
        </is>
      </c>
      <c r="B708" s="1" t="n">
        <v>45835.40721064815</v>
      </c>
      <c r="C708" s="1" t="n">
        <v>46001</v>
      </c>
      <c r="D708" t="inlineStr">
        <is>
          <t>VÄSTERNORRLANDS LÄN</t>
        </is>
      </c>
      <c r="E708" t="inlineStr">
        <is>
          <t>ÅNGE</t>
        </is>
      </c>
      <c r="G708" t="n">
        <v>1.6</v>
      </c>
      <c r="H708" t="n">
        <v>0</v>
      </c>
      <c r="I708" t="n">
        <v>0</v>
      </c>
      <c r="J708" t="n">
        <v>0</v>
      </c>
      <c r="K708" t="n">
        <v>0</v>
      </c>
      <c r="L708" t="n">
        <v>0</v>
      </c>
      <c r="M708" t="n">
        <v>0</v>
      </c>
      <c r="N708" t="n">
        <v>0</v>
      </c>
      <c r="O708" t="n">
        <v>0</v>
      </c>
      <c r="P708" t="n">
        <v>0</v>
      </c>
      <c r="Q708" t="n">
        <v>0</v>
      </c>
      <c r="R708" s="2" t="inlineStr"/>
    </row>
    <row r="709" ht="15" customHeight="1">
      <c r="A709" t="inlineStr">
        <is>
          <t>A 45660-2025</t>
        </is>
      </c>
      <c r="B709" s="1" t="n">
        <v>45923.34494212963</v>
      </c>
      <c r="C709" s="1" t="n">
        <v>46001</v>
      </c>
      <c r="D709" t="inlineStr">
        <is>
          <t>VÄSTERNORRLANDS LÄN</t>
        </is>
      </c>
      <c r="E709" t="inlineStr">
        <is>
          <t>ÅNGE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46681-2023</t>
        </is>
      </c>
      <c r="B710" s="1" t="n">
        <v>45198</v>
      </c>
      <c r="C710" s="1" t="n">
        <v>46001</v>
      </c>
      <c r="D710" t="inlineStr">
        <is>
          <t>VÄSTERNORRLANDS LÄN</t>
        </is>
      </c>
      <c r="E710" t="inlineStr">
        <is>
          <t>ÅNGE</t>
        </is>
      </c>
      <c r="G710" t="n">
        <v>0.8</v>
      </c>
      <c r="H710" t="n">
        <v>0</v>
      </c>
      <c r="I710" t="n">
        <v>0</v>
      </c>
      <c r="J710" t="n">
        <v>0</v>
      </c>
      <c r="K710" t="n">
        <v>0</v>
      </c>
      <c r="L710" t="n">
        <v>0</v>
      </c>
      <c r="M710" t="n">
        <v>0</v>
      </c>
      <c r="N710" t="n">
        <v>0</v>
      </c>
      <c r="O710" t="n">
        <v>0</v>
      </c>
      <c r="P710" t="n">
        <v>0</v>
      </c>
      <c r="Q710" t="n">
        <v>0</v>
      </c>
      <c r="R710" s="2" t="inlineStr"/>
    </row>
    <row r="711" ht="15" customHeight="1">
      <c r="A711" t="inlineStr">
        <is>
          <t>A 26092-2025</t>
        </is>
      </c>
      <c r="B711" s="1" t="n">
        <v>45805</v>
      </c>
      <c r="C711" s="1" t="n">
        <v>46001</v>
      </c>
      <c r="D711" t="inlineStr">
        <is>
          <t>VÄSTERNORRLANDS LÄN</t>
        </is>
      </c>
      <c r="E711" t="inlineStr">
        <is>
          <t>ÅNGE</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41586-2024</t>
        </is>
      </c>
      <c r="B712" s="1" t="n">
        <v>45560.56089120371</v>
      </c>
      <c r="C712" s="1" t="n">
        <v>46001</v>
      </c>
      <c r="D712" t="inlineStr">
        <is>
          <t>VÄSTERNORRLANDS LÄN</t>
        </is>
      </c>
      <c r="E712" t="inlineStr">
        <is>
          <t>ÅNGE</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46111-2025</t>
        </is>
      </c>
      <c r="B713" s="1" t="n">
        <v>45924.56684027778</v>
      </c>
      <c r="C713" s="1" t="n">
        <v>46001</v>
      </c>
      <c r="D713" t="inlineStr">
        <is>
          <t>VÄSTERNORRLANDS LÄN</t>
        </is>
      </c>
      <c r="E713" t="inlineStr">
        <is>
          <t>ÅNGE</t>
        </is>
      </c>
      <c r="G713" t="n">
        <v>1.1</v>
      </c>
      <c r="H713" t="n">
        <v>0</v>
      </c>
      <c r="I713" t="n">
        <v>0</v>
      </c>
      <c r="J713" t="n">
        <v>0</v>
      </c>
      <c r="K713" t="n">
        <v>0</v>
      </c>
      <c r="L713" t="n">
        <v>0</v>
      </c>
      <c r="M713" t="n">
        <v>0</v>
      </c>
      <c r="N713" t="n">
        <v>0</v>
      </c>
      <c r="O713" t="n">
        <v>0</v>
      </c>
      <c r="P713" t="n">
        <v>0</v>
      </c>
      <c r="Q713" t="n">
        <v>0</v>
      </c>
      <c r="R713" s="2" t="inlineStr"/>
    </row>
    <row r="714" ht="15" customHeight="1">
      <c r="A714" t="inlineStr">
        <is>
          <t>A 46109-2025</t>
        </is>
      </c>
      <c r="B714" s="1" t="n">
        <v>45924.5596412037</v>
      </c>
      <c r="C714" s="1" t="n">
        <v>46001</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54702-2025</t>
        </is>
      </c>
      <c r="B715" s="1" t="n">
        <v>45966.4828587963</v>
      </c>
      <c r="C715" s="1" t="n">
        <v>46001</v>
      </c>
      <c r="D715" t="inlineStr">
        <is>
          <t>VÄSTERNORRLANDS LÄN</t>
        </is>
      </c>
      <c r="E715" t="inlineStr">
        <is>
          <t>ÅNGE</t>
        </is>
      </c>
      <c r="G715" t="n">
        <v>12.3</v>
      </c>
      <c r="H715" t="n">
        <v>0</v>
      </c>
      <c r="I715" t="n">
        <v>0</v>
      </c>
      <c r="J715" t="n">
        <v>0</v>
      </c>
      <c r="K715" t="n">
        <v>0</v>
      </c>
      <c r="L715" t="n">
        <v>0</v>
      </c>
      <c r="M715" t="n">
        <v>0</v>
      </c>
      <c r="N715" t="n">
        <v>0</v>
      </c>
      <c r="O715" t="n">
        <v>0</v>
      </c>
      <c r="P715" t="n">
        <v>0</v>
      </c>
      <c r="Q715" t="n">
        <v>0</v>
      </c>
      <c r="R715" s="2" t="inlineStr"/>
    </row>
    <row r="716" ht="15" customHeight="1">
      <c r="A716" t="inlineStr">
        <is>
          <t>A 48946-2024</t>
        </is>
      </c>
      <c r="B716" s="1" t="n">
        <v>45594.42736111111</v>
      </c>
      <c r="C716" s="1" t="n">
        <v>46001</v>
      </c>
      <c r="D716" t="inlineStr">
        <is>
          <t>VÄSTERNORRLANDS LÄN</t>
        </is>
      </c>
      <c r="E716" t="inlineStr">
        <is>
          <t>ÅNGE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32024-2025</t>
        </is>
      </c>
      <c r="B717" s="1" t="n">
        <v>45835.40706018519</v>
      </c>
      <c r="C717" s="1" t="n">
        <v>46001</v>
      </c>
      <c r="D717" t="inlineStr">
        <is>
          <t>VÄSTERNORRLANDS LÄN</t>
        </is>
      </c>
      <c r="E717" t="inlineStr">
        <is>
          <t>ÅNGE</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22988-2024</t>
        </is>
      </c>
      <c r="B718" s="1" t="n">
        <v>45449.94530092592</v>
      </c>
      <c r="C718" s="1" t="n">
        <v>46001</v>
      </c>
      <c r="D718" t="inlineStr">
        <is>
          <t>VÄSTERNORRLANDS LÄN</t>
        </is>
      </c>
      <c r="E718" t="inlineStr">
        <is>
          <t>ÅNGE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3023-2023</t>
        </is>
      </c>
      <c r="B719" s="1" t="n">
        <v>44945</v>
      </c>
      <c r="C719" s="1" t="n">
        <v>46001</v>
      </c>
      <c r="D719" t="inlineStr">
        <is>
          <t>VÄSTERNORRLANDS LÄN</t>
        </is>
      </c>
      <c r="E719" t="inlineStr">
        <is>
          <t>ÅNGE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3025-2023</t>
        </is>
      </c>
      <c r="B720" s="1" t="n">
        <v>44945</v>
      </c>
      <c r="C720" s="1" t="n">
        <v>46001</v>
      </c>
      <c r="D720" t="inlineStr">
        <is>
          <t>VÄSTERNORRLANDS LÄN</t>
        </is>
      </c>
      <c r="E720" t="inlineStr">
        <is>
          <t>ÅNGE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54357-2025</t>
        </is>
      </c>
      <c r="B721" s="1" t="n">
        <v>45965.3858912037</v>
      </c>
      <c r="C721" s="1" t="n">
        <v>46001</v>
      </c>
      <c r="D721" t="inlineStr">
        <is>
          <t>VÄSTERNORRLANDS LÄN</t>
        </is>
      </c>
      <c r="E721" t="inlineStr">
        <is>
          <t>ÅNGE</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54710-2025</t>
        </is>
      </c>
      <c r="B722" s="1" t="n">
        <v>45966.49515046296</v>
      </c>
      <c r="C722" s="1" t="n">
        <v>46001</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54680-2025</t>
        </is>
      </c>
      <c r="B723" s="1" t="n">
        <v>45966.42751157407</v>
      </c>
      <c r="C723" s="1" t="n">
        <v>46001</v>
      </c>
      <c r="D723" t="inlineStr">
        <is>
          <t>VÄSTERNORRLANDS LÄN</t>
        </is>
      </c>
      <c r="E723" t="inlineStr">
        <is>
          <t>ÅNGE</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54346-2025</t>
        </is>
      </c>
      <c r="B724" s="1" t="n">
        <v>45965.36525462963</v>
      </c>
      <c r="C724" s="1" t="n">
        <v>46001</v>
      </c>
      <c r="D724" t="inlineStr">
        <is>
          <t>VÄSTERNORRLANDS LÄN</t>
        </is>
      </c>
      <c r="E724" t="inlineStr">
        <is>
          <t>ÅNGE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45659-2025</t>
        </is>
      </c>
      <c r="B725" s="1" t="n">
        <v>45923.34471064815</v>
      </c>
      <c r="C725" s="1" t="n">
        <v>46001</v>
      </c>
      <c r="D725" t="inlineStr">
        <is>
          <t>VÄSTERNORRLANDS LÄN</t>
        </is>
      </c>
      <c r="E725" t="inlineStr">
        <is>
          <t>ÅNGE</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38002-2024</t>
        </is>
      </c>
      <c r="B726" s="1" t="n">
        <v>45544.61484953704</v>
      </c>
      <c r="C726" s="1" t="n">
        <v>46001</v>
      </c>
      <c r="D726" t="inlineStr">
        <is>
          <t>VÄSTERNORRLANDS LÄN</t>
        </is>
      </c>
      <c r="E726" t="inlineStr">
        <is>
          <t>ÅNGE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31568-2024</t>
        </is>
      </c>
      <c r="B727" s="1" t="n">
        <v>45505.96721064814</v>
      </c>
      <c r="C727" s="1" t="n">
        <v>46001</v>
      </c>
      <c r="D727" t="inlineStr">
        <is>
          <t>VÄSTERNORRLANDS LÄN</t>
        </is>
      </c>
      <c r="E727" t="inlineStr">
        <is>
          <t>ÅNGE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32847-2025</t>
        </is>
      </c>
      <c r="B728" s="1" t="n">
        <v>45839.57354166666</v>
      </c>
      <c r="C728" s="1" t="n">
        <v>46001</v>
      </c>
      <c r="D728" t="inlineStr">
        <is>
          <t>VÄSTERNORRLANDS LÄN</t>
        </is>
      </c>
      <c r="E728" t="inlineStr">
        <is>
          <t>ÅNGE</t>
        </is>
      </c>
      <c r="F728" t="inlineStr">
        <is>
          <t>SCA</t>
        </is>
      </c>
      <c r="G728" t="n">
        <v>9.4</v>
      </c>
      <c r="H728" t="n">
        <v>0</v>
      </c>
      <c r="I728" t="n">
        <v>0</v>
      </c>
      <c r="J728" t="n">
        <v>0</v>
      </c>
      <c r="K728" t="n">
        <v>0</v>
      </c>
      <c r="L728" t="n">
        <v>0</v>
      </c>
      <c r="M728" t="n">
        <v>0</v>
      </c>
      <c r="N728" t="n">
        <v>0</v>
      </c>
      <c r="O728" t="n">
        <v>0</v>
      </c>
      <c r="P728" t="n">
        <v>0</v>
      </c>
      <c r="Q728" t="n">
        <v>0</v>
      </c>
      <c r="R728" s="2" t="inlineStr"/>
    </row>
    <row r="729" ht="15" customHeight="1">
      <c r="A729" t="inlineStr">
        <is>
          <t>A 45970-2025</t>
        </is>
      </c>
      <c r="B729" s="1" t="n">
        <v>45924.36519675926</v>
      </c>
      <c r="C729" s="1" t="n">
        <v>46001</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44565-2024</t>
        </is>
      </c>
      <c r="B730" s="1" t="n">
        <v>45574.47518518518</v>
      </c>
      <c r="C730" s="1" t="n">
        <v>46001</v>
      </c>
      <c r="D730" t="inlineStr">
        <is>
          <t>VÄSTERNORRLANDS LÄN</t>
        </is>
      </c>
      <c r="E730" t="inlineStr">
        <is>
          <t>ÅNGE</t>
        </is>
      </c>
      <c r="G730" t="n">
        <v>1.8</v>
      </c>
      <c r="H730" t="n">
        <v>0</v>
      </c>
      <c r="I730" t="n">
        <v>0</v>
      </c>
      <c r="J730" t="n">
        <v>0</v>
      </c>
      <c r="K730" t="n">
        <v>0</v>
      </c>
      <c r="L730" t="n">
        <v>0</v>
      </c>
      <c r="M730" t="n">
        <v>0</v>
      </c>
      <c r="N730" t="n">
        <v>0</v>
      </c>
      <c r="O730" t="n">
        <v>0</v>
      </c>
      <c r="P730" t="n">
        <v>0</v>
      </c>
      <c r="Q730" t="n">
        <v>0</v>
      </c>
      <c r="R730" s="2" t="inlineStr"/>
    </row>
    <row r="731" ht="15" customHeight="1">
      <c r="A731" t="inlineStr">
        <is>
          <t>A 19997-2023</t>
        </is>
      </c>
      <c r="B731" s="1" t="n">
        <v>45054</v>
      </c>
      <c r="C731" s="1" t="n">
        <v>46001</v>
      </c>
      <c r="D731" t="inlineStr">
        <is>
          <t>VÄSTERNORRLANDS LÄN</t>
        </is>
      </c>
      <c r="E731" t="inlineStr">
        <is>
          <t>ÅNGE</t>
        </is>
      </c>
      <c r="G731" t="n">
        <v>0.3</v>
      </c>
      <c r="H731" t="n">
        <v>0</v>
      </c>
      <c r="I731" t="n">
        <v>0</v>
      </c>
      <c r="J731" t="n">
        <v>0</v>
      </c>
      <c r="K731" t="n">
        <v>0</v>
      </c>
      <c r="L731" t="n">
        <v>0</v>
      </c>
      <c r="M731" t="n">
        <v>0</v>
      </c>
      <c r="N731" t="n">
        <v>0</v>
      </c>
      <c r="O731" t="n">
        <v>0</v>
      </c>
      <c r="P731" t="n">
        <v>0</v>
      </c>
      <c r="Q731" t="n">
        <v>0</v>
      </c>
      <c r="R731" s="2" t="inlineStr"/>
    </row>
    <row r="732" ht="15" customHeight="1">
      <c r="A732" t="inlineStr">
        <is>
          <t>A 3352-2021</t>
        </is>
      </c>
      <c r="B732" s="1" t="n">
        <v>44217</v>
      </c>
      <c r="C732" s="1" t="n">
        <v>46001</v>
      </c>
      <c r="D732" t="inlineStr">
        <is>
          <t>VÄSTERNORRLANDS LÄN</t>
        </is>
      </c>
      <c r="E732" t="inlineStr">
        <is>
          <t>ÅNGE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54715-2025</t>
        </is>
      </c>
      <c r="B733" s="1" t="n">
        <v>45966.50961805556</v>
      </c>
      <c r="C733" s="1" t="n">
        <v>46001</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34959-2023</t>
        </is>
      </c>
      <c r="B734" s="1" t="n">
        <v>45142</v>
      </c>
      <c r="C734" s="1" t="n">
        <v>46001</v>
      </c>
      <c r="D734" t="inlineStr">
        <is>
          <t>VÄSTERNORRLANDS LÄN</t>
        </is>
      </c>
      <c r="E734" t="inlineStr">
        <is>
          <t>ÅNGE</t>
        </is>
      </c>
      <c r="F734" t="inlineStr">
        <is>
          <t>Sveaskog</t>
        </is>
      </c>
      <c r="G734" t="n">
        <v>6.6</v>
      </c>
      <c r="H734" t="n">
        <v>0</v>
      </c>
      <c r="I734" t="n">
        <v>0</v>
      </c>
      <c r="J734" t="n">
        <v>0</v>
      </c>
      <c r="K734" t="n">
        <v>0</v>
      </c>
      <c r="L734" t="n">
        <v>0</v>
      </c>
      <c r="M734" t="n">
        <v>0</v>
      </c>
      <c r="N734" t="n">
        <v>0</v>
      </c>
      <c r="O734" t="n">
        <v>0</v>
      </c>
      <c r="P734" t="n">
        <v>0</v>
      </c>
      <c r="Q734" t="n">
        <v>0</v>
      </c>
      <c r="R734" s="2" t="inlineStr"/>
    </row>
    <row r="735" ht="15" customHeight="1">
      <c r="A735" t="inlineStr">
        <is>
          <t>A 54197-2025</t>
        </is>
      </c>
      <c r="B735" s="1" t="n">
        <v>45964</v>
      </c>
      <c r="C735" s="1" t="n">
        <v>46001</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54346-2023</t>
        </is>
      </c>
      <c r="B736" s="1" t="n">
        <v>45232.96087962963</v>
      </c>
      <c r="C736" s="1" t="n">
        <v>46001</v>
      </c>
      <c r="D736" t="inlineStr">
        <is>
          <t>VÄSTERNORRLANDS LÄN</t>
        </is>
      </c>
      <c r="E736" t="inlineStr">
        <is>
          <t>ÅNGE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33782-2025</t>
        </is>
      </c>
      <c r="B737" s="1" t="n">
        <v>45842.40678240741</v>
      </c>
      <c r="C737" s="1" t="n">
        <v>46001</v>
      </c>
      <c r="D737" t="inlineStr">
        <is>
          <t>VÄSTERNORRLANDS LÄN</t>
        </is>
      </c>
      <c r="E737" t="inlineStr">
        <is>
          <t>ÅNGE</t>
        </is>
      </c>
      <c r="F737" t="inlineStr">
        <is>
          <t>SCA</t>
        </is>
      </c>
      <c r="G737" t="n">
        <v>8.4</v>
      </c>
      <c r="H737" t="n">
        <v>0</v>
      </c>
      <c r="I737" t="n">
        <v>0</v>
      </c>
      <c r="J737" t="n">
        <v>0</v>
      </c>
      <c r="K737" t="n">
        <v>0</v>
      </c>
      <c r="L737" t="n">
        <v>0</v>
      </c>
      <c r="M737" t="n">
        <v>0</v>
      </c>
      <c r="N737" t="n">
        <v>0</v>
      </c>
      <c r="O737" t="n">
        <v>0</v>
      </c>
      <c r="P737" t="n">
        <v>0</v>
      </c>
      <c r="Q737" t="n">
        <v>0</v>
      </c>
      <c r="R737" s="2" t="inlineStr"/>
    </row>
    <row r="738" ht="15" customHeight="1">
      <c r="A738" t="inlineStr">
        <is>
          <t>A 55049-2025</t>
        </is>
      </c>
      <c r="B738" s="1" t="n">
        <v>45967.66614583333</v>
      </c>
      <c r="C738" s="1" t="n">
        <v>46001</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46267-2025</t>
        </is>
      </c>
      <c r="B739" s="1" t="n">
        <v>45925.36578703704</v>
      </c>
      <c r="C739" s="1" t="n">
        <v>46001</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55328-2023</t>
        </is>
      </c>
      <c r="B740" s="1" t="n">
        <v>45237</v>
      </c>
      <c r="C740" s="1" t="n">
        <v>46001</v>
      </c>
      <c r="D740" t="inlineStr">
        <is>
          <t>VÄSTERNORRLANDS LÄN</t>
        </is>
      </c>
      <c r="E740" t="inlineStr">
        <is>
          <t>ÅNGE</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55160-2025</t>
        </is>
      </c>
      <c r="B741" s="1" t="n">
        <v>45968.46930555555</v>
      </c>
      <c r="C741" s="1" t="n">
        <v>46001</v>
      </c>
      <c r="D741" t="inlineStr">
        <is>
          <t>VÄSTERNORRLANDS LÄN</t>
        </is>
      </c>
      <c r="E741" t="inlineStr">
        <is>
          <t>ÅNGE</t>
        </is>
      </c>
      <c r="G741" t="n">
        <v>6.8</v>
      </c>
      <c r="H741" t="n">
        <v>0</v>
      </c>
      <c r="I741" t="n">
        <v>0</v>
      </c>
      <c r="J741" t="n">
        <v>0</v>
      </c>
      <c r="K741" t="n">
        <v>0</v>
      </c>
      <c r="L741" t="n">
        <v>0</v>
      </c>
      <c r="M741" t="n">
        <v>0</v>
      </c>
      <c r="N741" t="n">
        <v>0</v>
      </c>
      <c r="O741" t="n">
        <v>0</v>
      </c>
      <c r="P741" t="n">
        <v>0</v>
      </c>
      <c r="Q741" t="n">
        <v>0</v>
      </c>
      <c r="R741" s="2" t="inlineStr"/>
    </row>
    <row r="742" ht="15" customHeight="1">
      <c r="A742" t="inlineStr">
        <is>
          <t>A 46419-2025</t>
        </is>
      </c>
      <c r="B742" s="1" t="n">
        <v>45925.5949537037</v>
      </c>
      <c r="C742" s="1" t="n">
        <v>46001</v>
      </c>
      <c r="D742" t="inlineStr">
        <is>
          <t>VÄSTERNORRLANDS LÄN</t>
        </is>
      </c>
      <c r="E742" t="inlineStr">
        <is>
          <t>ÅNGE</t>
        </is>
      </c>
      <c r="F742" t="inlineStr">
        <is>
          <t>SCA</t>
        </is>
      </c>
      <c r="G742" t="n">
        <v>4.4</v>
      </c>
      <c r="H742" t="n">
        <v>0</v>
      </c>
      <c r="I742" t="n">
        <v>0</v>
      </c>
      <c r="J742" t="n">
        <v>0</v>
      </c>
      <c r="K742" t="n">
        <v>0</v>
      </c>
      <c r="L742" t="n">
        <v>0</v>
      </c>
      <c r="M742" t="n">
        <v>0</v>
      </c>
      <c r="N742" t="n">
        <v>0</v>
      </c>
      <c r="O742" t="n">
        <v>0</v>
      </c>
      <c r="P742" t="n">
        <v>0</v>
      </c>
      <c r="Q742" t="n">
        <v>0</v>
      </c>
      <c r="R742" s="2" t="inlineStr"/>
    </row>
    <row r="743" ht="15" customHeight="1">
      <c r="A743" t="inlineStr">
        <is>
          <t>A 46416-2025</t>
        </is>
      </c>
      <c r="B743" s="1" t="n">
        <v>45925.594375</v>
      </c>
      <c r="C743" s="1" t="n">
        <v>46001</v>
      </c>
      <c r="D743" t="inlineStr">
        <is>
          <t>VÄSTERNORRLANDS LÄN</t>
        </is>
      </c>
      <c r="E743" t="inlineStr">
        <is>
          <t>ÅNGE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55045-2025</t>
        </is>
      </c>
      <c r="B744" s="1" t="n">
        <v>45967.66068287037</v>
      </c>
      <c r="C744" s="1" t="n">
        <v>46001</v>
      </c>
      <c r="D744" t="inlineStr">
        <is>
          <t>VÄSTERNORRLANDS LÄN</t>
        </is>
      </c>
      <c r="E744" t="inlineStr">
        <is>
          <t>ÅNGE</t>
        </is>
      </c>
      <c r="G744" t="n">
        <v>0.9</v>
      </c>
      <c r="H744" t="n">
        <v>0</v>
      </c>
      <c r="I744" t="n">
        <v>0</v>
      </c>
      <c r="J744" t="n">
        <v>0</v>
      </c>
      <c r="K744" t="n">
        <v>0</v>
      </c>
      <c r="L744" t="n">
        <v>0</v>
      </c>
      <c r="M744" t="n">
        <v>0</v>
      </c>
      <c r="N744" t="n">
        <v>0</v>
      </c>
      <c r="O744" t="n">
        <v>0</v>
      </c>
      <c r="P744" t="n">
        <v>0</v>
      </c>
      <c r="Q744" t="n">
        <v>0</v>
      </c>
      <c r="R744" s="2" t="inlineStr"/>
    </row>
    <row r="745" ht="15" customHeight="1">
      <c r="A745" t="inlineStr">
        <is>
          <t>A 33717-2025</t>
        </is>
      </c>
      <c r="B745" s="1" t="n">
        <v>45841.89357638889</v>
      </c>
      <c r="C745" s="1" t="n">
        <v>46001</v>
      </c>
      <c r="D745" t="inlineStr">
        <is>
          <t>VÄSTERNORRLANDS LÄN</t>
        </is>
      </c>
      <c r="E745" t="inlineStr">
        <is>
          <t>ÅNGE</t>
        </is>
      </c>
      <c r="G745" t="n">
        <v>14.3</v>
      </c>
      <c r="H745" t="n">
        <v>0</v>
      </c>
      <c r="I745" t="n">
        <v>0</v>
      </c>
      <c r="J745" t="n">
        <v>0</v>
      </c>
      <c r="K745" t="n">
        <v>0</v>
      </c>
      <c r="L745" t="n">
        <v>0</v>
      </c>
      <c r="M745" t="n">
        <v>0</v>
      </c>
      <c r="N745" t="n">
        <v>0</v>
      </c>
      <c r="O745" t="n">
        <v>0</v>
      </c>
      <c r="P745" t="n">
        <v>0</v>
      </c>
      <c r="Q745" t="n">
        <v>0</v>
      </c>
      <c r="R745" s="2" t="inlineStr"/>
    </row>
    <row r="746" ht="15" customHeight="1">
      <c r="A746" t="inlineStr">
        <is>
          <t>A 33738-2025</t>
        </is>
      </c>
      <c r="B746" s="1" t="n">
        <v>45842.33795138889</v>
      </c>
      <c r="C746" s="1" t="n">
        <v>46001</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11531-2023</t>
        </is>
      </c>
      <c r="B747" s="1" t="n">
        <v>44993.77038194444</v>
      </c>
      <c r="C747" s="1" t="n">
        <v>46001</v>
      </c>
      <c r="D747" t="inlineStr">
        <is>
          <t>VÄSTERNORRLANDS LÄN</t>
        </is>
      </c>
      <c r="E747" t="inlineStr">
        <is>
          <t>ÅNGE</t>
        </is>
      </c>
      <c r="G747" t="n">
        <v>0.5</v>
      </c>
      <c r="H747" t="n">
        <v>0</v>
      </c>
      <c r="I747" t="n">
        <v>0</v>
      </c>
      <c r="J747" t="n">
        <v>0</v>
      </c>
      <c r="K747" t="n">
        <v>0</v>
      </c>
      <c r="L747" t="n">
        <v>0</v>
      </c>
      <c r="M747" t="n">
        <v>0</v>
      </c>
      <c r="N747" t="n">
        <v>0</v>
      </c>
      <c r="O747" t="n">
        <v>0</v>
      </c>
      <c r="P747" t="n">
        <v>0</v>
      </c>
      <c r="Q747" t="n">
        <v>0</v>
      </c>
      <c r="R747" s="2" t="inlineStr"/>
    </row>
    <row r="748" ht="15" customHeight="1">
      <c r="A748" t="inlineStr">
        <is>
          <t>A 11532-2023</t>
        </is>
      </c>
      <c r="B748" s="1" t="n">
        <v>44993.77212962963</v>
      </c>
      <c r="C748" s="1" t="n">
        <v>46001</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41355-2024</t>
        </is>
      </c>
      <c r="B749" s="1" t="n">
        <v>45559.69833333333</v>
      </c>
      <c r="C749" s="1" t="n">
        <v>46001</v>
      </c>
      <c r="D749" t="inlineStr">
        <is>
          <t>VÄSTERNORRLANDS LÄN</t>
        </is>
      </c>
      <c r="E749" t="inlineStr">
        <is>
          <t>ÅNGE</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34019-2025</t>
        </is>
      </c>
      <c r="B750" s="1" t="n">
        <v>45845.34416666667</v>
      </c>
      <c r="C750" s="1" t="n">
        <v>46001</v>
      </c>
      <c r="D750" t="inlineStr">
        <is>
          <t>VÄSTERNORRLANDS LÄN</t>
        </is>
      </c>
      <c r="E750" t="inlineStr">
        <is>
          <t>ÅNGE</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54926-2025</t>
        </is>
      </c>
      <c r="B751" s="1" t="n">
        <v>45967.40707175926</v>
      </c>
      <c r="C751" s="1" t="n">
        <v>46001</v>
      </c>
      <c r="D751" t="inlineStr">
        <is>
          <t>VÄSTERNORRLANDS LÄN</t>
        </is>
      </c>
      <c r="E751" t="inlineStr">
        <is>
          <t>ÅNGE</t>
        </is>
      </c>
      <c r="G751" t="n">
        <v>3.1</v>
      </c>
      <c r="H751" t="n">
        <v>0</v>
      </c>
      <c r="I751" t="n">
        <v>0</v>
      </c>
      <c r="J751" t="n">
        <v>0</v>
      </c>
      <c r="K751" t="n">
        <v>0</v>
      </c>
      <c r="L751" t="n">
        <v>0</v>
      </c>
      <c r="M751" t="n">
        <v>0</v>
      </c>
      <c r="N751" t="n">
        <v>0</v>
      </c>
      <c r="O751" t="n">
        <v>0</v>
      </c>
      <c r="P751" t="n">
        <v>0</v>
      </c>
      <c r="Q751" t="n">
        <v>0</v>
      </c>
      <c r="R751" s="2" t="inlineStr"/>
    </row>
    <row r="752" ht="15" customHeight="1">
      <c r="A752" t="inlineStr">
        <is>
          <t>A 55038-2025</t>
        </is>
      </c>
      <c r="B752" s="1" t="n">
        <v>45967.65527777778</v>
      </c>
      <c r="C752" s="1" t="n">
        <v>46001</v>
      </c>
      <c r="D752" t="inlineStr">
        <is>
          <t>VÄSTERNORRLANDS LÄN</t>
        </is>
      </c>
      <c r="E752" t="inlineStr">
        <is>
          <t>ÅNGE</t>
        </is>
      </c>
      <c r="G752" t="n">
        <v>4.5</v>
      </c>
      <c r="H752" t="n">
        <v>0</v>
      </c>
      <c r="I752" t="n">
        <v>0</v>
      </c>
      <c r="J752" t="n">
        <v>0</v>
      </c>
      <c r="K752" t="n">
        <v>0</v>
      </c>
      <c r="L752" t="n">
        <v>0</v>
      </c>
      <c r="M752" t="n">
        <v>0</v>
      </c>
      <c r="N752" t="n">
        <v>0</v>
      </c>
      <c r="O752" t="n">
        <v>0</v>
      </c>
      <c r="P752" t="n">
        <v>0</v>
      </c>
      <c r="Q752" t="n">
        <v>0</v>
      </c>
      <c r="R752" s="2" t="inlineStr"/>
    </row>
    <row r="753" ht="15" customHeight="1">
      <c r="A753" t="inlineStr">
        <is>
          <t>A 54925-2025</t>
        </is>
      </c>
      <c r="B753" s="1" t="n">
        <v>45967.40699074074</v>
      </c>
      <c r="C753" s="1" t="n">
        <v>46001</v>
      </c>
      <c r="D753" t="inlineStr">
        <is>
          <t>VÄSTERNORRLANDS LÄN</t>
        </is>
      </c>
      <c r="E753" t="inlineStr">
        <is>
          <t>ÅNGE</t>
        </is>
      </c>
      <c r="G753" t="n">
        <v>2.6</v>
      </c>
      <c r="H753" t="n">
        <v>0</v>
      </c>
      <c r="I753" t="n">
        <v>0</v>
      </c>
      <c r="J753" t="n">
        <v>0</v>
      </c>
      <c r="K753" t="n">
        <v>0</v>
      </c>
      <c r="L753" t="n">
        <v>0</v>
      </c>
      <c r="M753" t="n">
        <v>0</v>
      </c>
      <c r="N753" t="n">
        <v>0</v>
      </c>
      <c r="O753" t="n">
        <v>0</v>
      </c>
      <c r="P753" t="n">
        <v>0</v>
      </c>
      <c r="Q753" t="n">
        <v>0</v>
      </c>
      <c r="R753" s="2" t="inlineStr"/>
    </row>
    <row r="754" ht="15" customHeight="1">
      <c r="A754" t="inlineStr">
        <is>
          <t>A 45631-2021</t>
        </is>
      </c>
      <c r="B754" s="1" t="n">
        <v>44440.98045138889</v>
      </c>
      <c r="C754" s="1" t="n">
        <v>46001</v>
      </c>
      <c r="D754" t="inlineStr">
        <is>
          <t>VÄSTERNORRLANDS LÄN</t>
        </is>
      </c>
      <c r="E754" t="inlineStr">
        <is>
          <t>ÅNGE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57592-2022</t>
        </is>
      </c>
      <c r="B755" s="1" t="n">
        <v>44896.97841435186</v>
      </c>
      <c r="C755" s="1" t="n">
        <v>46001</v>
      </c>
      <c r="D755" t="inlineStr">
        <is>
          <t>VÄSTERNORRLANDS LÄN</t>
        </is>
      </c>
      <c r="E755" t="inlineStr">
        <is>
          <t>ÅNGE</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57602-2022</t>
        </is>
      </c>
      <c r="B756" s="1" t="n">
        <v>44896</v>
      </c>
      <c r="C756" s="1" t="n">
        <v>46001</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20231-2022</t>
        </is>
      </c>
      <c r="B757" s="1" t="n">
        <v>44698</v>
      </c>
      <c r="C757" s="1" t="n">
        <v>46001</v>
      </c>
      <c r="D757" t="inlineStr">
        <is>
          <t>VÄSTERNORRLANDS LÄN</t>
        </is>
      </c>
      <c r="E757" t="inlineStr">
        <is>
          <t>ÅNGE</t>
        </is>
      </c>
      <c r="G757" t="n">
        <v>4.2</v>
      </c>
      <c r="H757" t="n">
        <v>0</v>
      </c>
      <c r="I757" t="n">
        <v>0</v>
      </c>
      <c r="J757" t="n">
        <v>0</v>
      </c>
      <c r="K757" t="n">
        <v>0</v>
      </c>
      <c r="L757" t="n">
        <v>0</v>
      </c>
      <c r="M757" t="n">
        <v>0</v>
      </c>
      <c r="N757" t="n">
        <v>0</v>
      </c>
      <c r="O757" t="n">
        <v>0</v>
      </c>
      <c r="P757" t="n">
        <v>0</v>
      </c>
      <c r="Q757" t="n">
        <v>0</v>
      </c>
      <c r="R757" s="2" t="inlineStr"/>
    </row>
    <row r="758" ht="15" customHeight="1">
      <c r="A758" t="inlineStr">
        <is>
          <t>A 39985-2023</t>
        </is>
      </c>
      <c r="B758" s="1" t="n">
        <v>45168</v>
      </c>
      <c r="C758" s="1" t="n">
        <v>46001</v>
      </c>
      <c r="D758" t="inlineStr">
        <is>
          <t>VÄSTERNORRLANDS LÄN</t>
        </is>
      </c>
      <c r="E758" t="inlineStr">
        <is>
          <t>ÅNGE</t>
        </is>
      </c>
      <c r="G758" t="n">
        <v>0.1</v>
      </c>
      <c r="H758" t="n">
        <v>0</v>
      </c>
      <c r="I758" t="n">
        <v>0</v>
      </c>
      <c r="J758" t="n">
        <v>0</v>
      </c>
      <c r="K758" t="n">
        <v>0</v>
      </c>
      <c r="L758" t="n">
        <v>0</v>
      </c>
      <c r="M758" t="n">
        <v>0</v>
      </c>
      <c r="N758" t="n">
        <v>0</v>
      </c>
      <c r="O758" t="n">
        <v>0</v>
      </c>
      <c r="P758" t="n">
        <v>0</v>
      </c>
      <c r="Q758" t="n">
        <v>0</v>
      </c>
      <c r="R758" s="2" t="inlineStr"/>
    </row>
    <row r="759" ht="15" customHeight="1">
      <c r="A759" t="inlineStr">
        <is>
          <t>A 34031-2025</t>
        </is>
      </c>
      <c r="B759" s="1" t="n">
        <v>45845.36508101852</v>
      </c>
      <c r="C759" s="1" t="n">
        <v>46001</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58748-2023</t>
        </is>
      </c>
      <c r="B760" s="1" t="n">
        <v>45251.92936342592</v>
      </c>
      <c r="C760" s="1" t="n">
        <v>46001</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43552-2023</t>
        </is>
      </c>
      <c r="B761" s="1" t="n">
        <v>45181</v>
      </c>
      <c r="C761" s="1" t="n">
        <v>46001</v>
      </c>
      <c r="D761" t="inlineStr">
        <is>
          <t>VÄSTERNORRLANDS LÄN</t>
        </is>
      </c>
      <c r="E761" t="inlineStr">
        <is>
          <t>ÅNGE</t>
        </is>
      </c>
      <c r="F761" t="inlineStr">
        <is>
          <t>SCA</t>
        </is>
      </c>
      <c r="G761" t="n">
        <v>7.3</v>
      </c>
      <c r="H761" t="n">
        <v>0</v>
      </c>
      <c r="I761" t="n">
        <v>0</v>
      </c>
      <c r="J761" t="n">
        <v>0</v>
      </c>
      <c r="K761" t="n">
        <v>0</v>
      </c>
      <c r="L761" t="n">
        <v>0</v>
      </c>
      <c r="M761" t="n">
        <v>0</v>
      </c>
      <c r="N761" t="n">
        <v>0</v>
      </c>
      <c r="O761" t="n">
        <v>0</v>
      </c>
      <c r="P761" t="n">
        <v>0</v>
      </c>
      <c r="Q761" t="n">
        <v>0</v>
      </c>
      <c r="R761" s="2" t="inlineStr"/>
    </row>
    <row r="762" ht="15" customHeight="1">
      <c r="A762" t="inlineStr">
        <is>
          <t>A 47440-2025</t>
        </is>
      </c>
      <c r="B762" s="1" t="n">
        <v>45930.63766203704</v>
      </c>
      <c r="C762" s="1" t="n">
        <v>46001</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46775-2024</t>
        </is>
      </c>
      <c r="B763" s="1" t="n">
        <v>45583.49711805556</v>
      </c>
      <c r="C763" s="1" t="n">
        <v>46001</v>
      </c>
      <c r="D763" t="inlineStr">
        <is>
          <t>VÄSTERNORRLANDS LÄN</t>
        </is>
      </c>
      <c r="E763" t="inlineStr">
        <is>
          <t>ÅNGE</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46780-2024</t>
        </is>
      </c>
      <c r="B764" s="1" t="n">
        <v>45583.51076388889</v>
      </c>
      <c r="C764" s="1" t="n">
        <v>46001</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18880-2024</t>
        </is>
      </c>
      <c r="B765" s="1" t="n">
        <v>45426</v>
      </c>
      <c r="C765" s="1" t="n">
        <v>46001</v>
      </c>
      <c r="D765" t="inlineStr">
        <is>
          <t>VÄSTERNORRLANDS LÄN</t>
        </is>
      </c>
      <c r="E765" t="inlineStr">
        <is>
          <t>ÅNGE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47118-2025</t>
        </is>
      </c>
      <c r="B766" s="1" t="n">
        <v>45929.67770833334</v>
      </c>
      <c r="C766" s="1" t="n">
        <v>46001</v>
      </c>
      <c r="D766" t="inlineStr">
        <is>
          <t>VÄSTERNORRLANDS LÄN</t>
        </is>
      </c>
      <c r="E766" t="inlineStr">
        <is>
          <t>ÅNGE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34785-2025</t>
        </is>
      </c>
      <c r="B767" s="1" t="n">
        <v>45848.67771990741</v>
      </c>
      <c r="C767" s="1" t="n">
        <v>46001</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55558-2024</t>
        </is>
      </c>
      <c r="B768" s="1" t="n">
        <v>45622.52586805556</v>
      </c>
      <c r="C768" s="1" t="n">
        <v>46001</v>
      </c>
      <c r="D768" t="inlineStr">
        <is>
          <t>VÄSTERNORRLANDS LÄN</t>
        </is>
      </c>
      <c r="E768" t="inlineStr">
        <is>
          <t>ÅNGE</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47196-2025</t>
        </is>
      </c>
      <c r="B769" s="1" t="n">
        <v>45930.34520833333</v>
      </c>
      <c r="C769" s="1" t="n">
        <v>46001</v>
      </c>
      <c r="D769" t="inlineStr">
        <is>
          <t>VÄSTERNORRLANDS LÄN</t>
        </is>
      </c>
      <c r="E769" t="inlineStr">
        <is>
          <t>ÅNGE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34591-2025</t>
        </is>
      </c>
      <c r="B770" s="1" t="n">
        <v>45847.62920138889</v>
      </c>
      <c r="C770" s="1" t="n">
        <v>46001</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34593-2025</t>
        </is>
      </c>
      <c r="B771" s="1" t="n">
        <v>45847.6316087963</v>
      </c>
      <c r="C771" s="1" t="n">
        <v>46001</v>
      </c>
      <c r="D771" t="inlineStr">
        <is>
          <t>VÄSTERNORRLANDS LÄN</t>
        </is>
      </c>
      <c r="E771" t="inlineStr">
        <is>
          <t>ÅNGE</t>
        </is>
      </c>
      <c r="G771" t="n">
        <v>5.3</v>
      </c>
      <c r="H771" t="n">
        <v>0</v>
      </c>
      <c r="I771" t="n">
        <v>0</v>
      </c>
      <c r="J771" t="n">
        <v>0</v>
      </c>
      <c r="K771" t="n">
        <v>0</v>
      </c>
      <c r="L771" t="n">
        <v>0</v>
      </c>
      <c r="M771" t="n">
        <v>0</v>
      </c>
      <c r="N771" t="n">
        <v>0</v>
      </c>
      <c r="O771" t="n">
        <v>0</v>
      </c>
      <c r="P771" t="n">
        <v>0</v>
      </c>
      <c r="Q771" t="n">
        <v>0</v>
      </c>
      <c r="R771" s="2" t="inlineStr"/>
    </row>
    <row r="772" ht="15" customHeight="1">
      <c r="A772" t="inlineStr">
        <is>
          <t>A 20229-2022</t>
        </is>
      </c>
      <c r="B772" s="1" t="n">
        <v>44698.61150462963</v>
      </c>
      <c r="C772" s="1" t="n">
        <v>46001</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55556-2025</t>
        </is>
      </c>
      <c r="B773" s="1" t="n">
        <v>45971.64694444444</v>
      </c>
      <c r="C773" s="1" t="n">
        <v>46001</v>
      </c>
      <c r="D773" t="inlineStr">
        <is>
          <t>VÄSTERNORRLANDS LÄN</t>
        </is>
      </c>
      <c r="E773" t="inlineStr">
        <is>
          <t>ÅNGE</t>
        </is>
      </c>
      <c r="G773" t="n">
        <v>1.7</v>
      </c>
      <c r="H773" t="n">
        <v>0</v>
      </c>
      <c r="I773" t="n">
        <v>0</v>
      </c>
      <c r="J773" t="n">
        <v>0</v>
      </c>
      <c r="K773" t="n">
        <v>0</v>
      </c>
      <c r="L773" t="n">
        <v>0</v>
      </c>
      <c r="M773" t="n">
        <v>0</v>
      </c>
      <c r="N773" t="n">
        <v>0</v>
      </c>
      <c r="O773" t="n">
        <v>0</v>
      </c>
      <c r="P773" t="n">
        <v>0</v>
      </c>
      <c r="Q773" t="n">
        <v>0</v>
      </c>
      <c r="R773" s="2" t="inlineStr"/>
    </row>
    <row r="774" ht="15" customHeight="1">
      <c r="A774" t="inlineStr">
        <is>
          <t>A 46829-2025</t>
        </is>
      </c>
      <c r="B774" s="1" t="n">
        <v>45927.34513888889</v>
      </c>
      <c r="C774" s="1" t="n">
        <v>46001</v>
      </c>
      <c r="D774" t="inlineStr">
        <is>
          <t>VÄSTERNORRLANDS LÄN</t>
        </is>
      </c>
      <c r="E774" t="inlineStr">
        <is>
          <t>ÅNGE</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47488-2025</t>
        </is>
      </c>
      <c r="B775" s="1" t="n">
        <v>45930.69890046296</v>
      </c>
      <c r="C775" s="1" t="n">
        <v>46001</v>
      </c>
      <c r="D775" t="inlineStr">
        <is>
          <t>VÄSTERNORRLANDS LÄN</t>
        </is>
      </c>
      <c r="E775" t="inlineStr">
        <is>
          <t>ÅNGE</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58639-2023</t>
        </is>
      </c>
      <c r="B776" s="1" t="n">
        <v>45251</v>
      </c>
      <c r="C776" s="1" t="n">
        <v>46001</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55816-2025</t>
        </is>
      </c>
      <c r="B777" s="1" t="n">
        <v>45972.69851851852</v>
      </c>
      <c r="C777" s="1" t="n">
        <v>46001</v>
      </c>
      <c r="D777" t="inlineStr">
        <is>
          <t>VÄSTERNORRLANDS LÄN</t>
        </is>
      </c>
      <c r="E777" t="inlineStr">
        <is>
          <t>ÅNGE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46897-2025</t>
        </is>
      </c>
      <c r="B778" s="1" t="n">
        <v>45929.38597222222</v>
      </c>
      <c r="C778" s="1" t="n">
        <v>46001</v>
      </c>
      <c r="D778" t="inlineStr">
        <is>
          <t>VÄSTERNORRLANDS LÄN</t>
        </is>
      </c>
      <c r="E778" t="inlineStr">
        <is>
          <t>ÅNGE</t>
        </is>
      </c>
      <c r="G778" t="n">
        <v>10.6</v>
      </c>
      <c r="H778" t="n">
        <v>0</v>
      </c>
      <c r="I778" t="n">
        <v>0</v>
      </c>
      <c r="J778" t="n">
        <v>0</v>
      </c>
      <c r="K778" t="n">
        <v>0</v>
      </c>
      <c r="L778" t="n">
        <v>0</v>
      </c>
      <c r="M778" t="n">
        <v>0</v>
      </c>
      <c r="N778" t="n">
        <v>0</v>
      </c>
      <c r="O778" t="n">
        <v>0</v>
      </c>
      <c r="P778" t="n">
        <v>0</v>
      </c>
      <c r="Q778" t="n">
        <v>0</v>
      </c>
      <c r="R778" s="2" t="inlineStr"/>
    </row>
    <row r="779" ht="15" customHeight="1">
      <c r="A779" t="inlineStr">
        <is>
          <t>A 47377-2025</t>
        </is>
      </c>
      <c r="B779" s="1" t="n">
        <v>45930.59469907408</v>
      </c>
      <c r="C779" s="1" t="n">
        <v>46001</v>
      </c>
      <c r="D779" t="inlineStr">
        <is>
          <t>VÄSTERNORRLANDS LÄN</t>
        </is>
      </c>
      <c r="E779" t="inlineStr">
        <is>
          <t>ÅNGE</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47305-2025</t>
        </is>
      </c>
      <c r="B780" s="1" t="n">
        <v>45930</v>
      </c>
      <c r="C780" s="1" t="n">
        <v>46001</v>
      </c>
      <c r="D780" t="inlineStr">
        <is>
          <t>VÄSTERNORRLANDS LÄN</t>
        </is>
      </c>
      <c r="E780" t="inlineStr">
        <is>
          <t>ÅNGE</t>
        </is>
      </c>
      <c r="G780" t="n">
        <v>10.9</v>
      </c>
      <c r="H780" t="n">
        <v>0</v>
      </c>
      <c r="I780" t="n">
        <v>0</v>
      </c>
      <c r="J780" t="n">
        <v>0</v>
      </c>
      <c r="K780" t="n">
        <v>0</v>
      </c>
      <c r="L780" t="n">
        <v>0</v>
      </c>
      <c r="M780" t="n">
        <v>0</v>
      </c>
      <c r="N780" t="n">
        <v>0</v>
      </c>
      <c r="O780" t="n">
        <v>0</v>
      </c>
      <c r="P780" t="n">
        <v>0</v>
      </c>
      <c r="Q780" t="n">
        <v>0</v>
      </c>
      <c r="R780" s="2" t="inlineStr"/>
    </row>
    <row r="781" ht="15" customHeight="1">
      <c r="A781" t="inlineStr">
        <is>
          <t>A 35498-2022</t>
        </is>
      </c>
      <c r="B781" s="1" t="n">
        <v>44798.94810185185</v>
      </c>
      <c r="C781" s="1" t="n">
        <v>46001</v>
      </c>
      <c r="D781" t="inlineStr">
        <is>
          <t>VÄSTERNORRLANDS LÄN</t>
        </is>
      </c>
      <c r="E781" t="inlineStr">
        <is>
          <t>ÅNGE</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35143-2025</t>
        </is>
      </c>
      <c r="B782" s="1" t="n">
        <v>45852.65660879629</v>
      </c>
      <c r="C782" s="1" t="n">
        <v>46001</v>
      </c>
      <c r="D782" t="inlineStr">
        <is>
          <t>VÄSTERNORRLANDS LÄN</t>
        </is>
      </c>
      <c r="E782" t="inlineStr">
        <is>
          <t>ÅNGE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35061-2025</t>
        </is>
      </c>
      <c r="B783" s="1" t="n">
        <v>45852</v>
      </c>
      <c r="C783" s="1" t="n">
        <v>46001</v>
      </c>
      <c r="D783" t="inlineStr">
        <is>
          <t>VÄSTERNORRLANDS LÄN</t>
        </is>
      </c>
      <c r="E783" t="inlineStr">
        <is>
          <t>ÅNGE</t>
        </is>
      </c>
      <c r="F783" t="inlineStr">
        <is>
          <t>SCA</t>
        </is>
      </c>
      <c r="G783" t="n">
        <v>5.6</v>
      </c>
      <c r="H783" t="n">
        <v>0</v>
      </c>
      <c r="I783" t="n">
        <v>0</v>
      </c>
      <c r="J783" t="n">
        <v>0</v>
      </c>
      <c r="K783" t="n">
        <v>0</v>
      </c>
      <c r="L783" t="n">
        <v>0</v>
      </c>
      <c r="M783" t="n">
        <v>0</v>
      </c>
      <c r="N783" t="n">
        <v>0</v>
      </c>
      <c r="O783" t="n">
        <v>0</v>
      </c>
      <c r="P783" t="n">
        <v>0</v>
      </c>
      <c r="Q783" t="n">
        <v>0</v>
      </c>
      <c r="R783" s="2" t="inlineStr"/>
    </row>
    <row r="784" ht="15" customHeight="1">
      <c r="A784" t="inlineStr">
        <is>
          <t>A 46933-2025</t>
        </is>
      </c>
      <c r="B784" s="1" t="n">
        <v>45929.44645833333</v>
      </c>
      <c r="C784" s="1" t="n">
        <v>46001</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3347-2024</t>
        </is>
      </c>
      <c r="B785" s="1" t="n">
        <v>45317</v>
      </c>
      <c r="C785" s="1" t="n">
        <v>46001</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47752-2025</t>
        </is>
      </c>
      <c r="B786" s="1" t="n">
        <v>45931.66358796296</v>
      </c>
      <c r="C786" s="1" t="n">
        <v>46001</v>
      </c>
      <c r="D786" t="inlineStr">
        <is>
          <t>VÄSTERNORRLANDS LÄN</t>
        </is>
      </c>
      <c r="E786" t="inlineStr">
        <is>
          <t>ÅNGE</t>
        </is>
      </c>
      <c r="G786" t="n">
        <v>3.9</v>
      </c>
      <c r="H786" t="n">
        <v>0</v>
      </c>
      <c r="I786" t="n">
        <v>0</v>
      </c>
      <c r="J786" t="n">
        <v>0</v>
      </c>
      <c r="K786" t="n">
        <v>0</v>
      </c>
      <c r="L786" t="n">
        <v>0</v>
      </c>
      <c r="M786" t="n">
        <v>0</v>
      </c>
      <c r="N786" t="n">
        <v>0</v>
      </c>
      <c r="O786" t="n">
        <v>0</v>
      </c>
      <c r="P786" t="n">
        <v>0</v>
      </c>
      <c r="Q786" t="n">
        <v>0</v>
      </c>
      <c r="R786" s="2" t="inlineStr"/>
    </row>
    <row r="787" ht="15" customHeight="1">
      <c r="A787" t="inlineStr">
        <is>
          <t>A 9382-2025</t>
        </is>
      </c>
      <c r="B787" s="1" t="n">
        <v>45715.34425925926</v>
      </c>
      <c r="C787" s="1" t="n">
        <v>46001</v>
      </c>
      <c r="D787" t="inlineStr">
        <is>
          <t>VÄSTERNORRLANDS LÄN</t>
        </is>
      </c>
      <c r="E787" t="inlineStr">
        <is>
          <t>ÅNGE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35503-2025</t>
        </is>
      </c>
      <c r="B788" s="1" t="n">
        <v>45856</v>
      </c>
      <c r="C788" s="1" t="n">
        <v>46001</v>
      </c>
      <c r="D788" t="inlineStr">
        <is>
          <t>VÄSTERNORRLANDS LÄN</t>
        </is>
      </c>
      <c r="E788" t="inlineStr">
        <is>
          <t>ÅNGE</t>
        </is>
      </c>
      <c r="G788" t="n">
        <v>5.2</v>
      </c>
      <c r="H788" t="n">
        <v>0</v>
      </c>
      <c r="I788" t="n">
        <v>0</v>
      </c>
      <c r="J788" t="n">
        <v>0</v>
      </c>
      <c r="K788" t="n">
        <v>0</v>
      </c>
      <c r="L788" t="n">
        <v>0</v>
      </c>
      <c r="M788" t="n">
        <v>0</v>
      </c>
      <c r="N788" t="n">
        <v>0</v>
      </c>
      <c r="O788" t="n">
        <v>0</v>
      </c>
      <c r="P788" t="n">
        <v>0</v>
      </c>
      <c r="Q788" t="n">
        <v>0</v>
      </c>
      <c r="R788" s="2" t="inlineStr"/>
    </row>
    <row r="789" ht="15" customHeight="1">
      <c r="A789" t="inlineStr">
        <is>
          <t>A 35540-2025</t>
        </is>
      </c>
      <c r="B789" s="1" t="n">
        <v>45856.46912037037</v>
      </c>
      <c r="C789" s="1" t="n">
        <v>46001</v>
      </c>
      <c r="D789" t="inlineStr">
        <is>
          <t>VÄSTERNORRLANDS LÄN</t>
        </is>
      </c>
      <c r="E789" t="inlineStr">
        <is>
          <t>ÅNGE</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1711-2025</t>
        </is>
      </c>
      <c r="B790" s="1" t="n">
        <v>45671.31184027778</v>
      </c>
      <c r="C790" s="1" t="n">
        <v>46001</v>
      </c>
      <c r="D790" t="inlineStr">
        <is>
          <t>VÄSTERNORRLANDS LÄN</t>
        </is>
      </c>
      <c r="E790" t="inlineStr">
        <is>
          <t>ÅNGE</t>
        </is>
      </c>
      <c r="G790" t="n">
        <v>2.8</v>
      </c>
      <c r="H790" t="n">
        <v>0</v>
      </c>
      <c r="I790" t="n">
        <v>0</v>
      </c>
      <c r="J790" t="n">
        <v>0</v>
      </c>
      <c r="K790" t="n">
        <v>0</v>
      </c>
      <c r="L790" t="n">
        <v>0</v>
      </c>
      <c r="M790" t="n">
        <v>0</v>
      </c>
      <c r="N790" t="n">
        <v>0</v>
      </c>
      <c r="O790" t="n">
        <v>0</v>
      </c>
      <c r="P790" t="n">
        <v>0</v>
      </c>
      <c r="Q790" t="n">
        <v>0</v>
      </c>
      <c r="R790" s="2" t="inlineStr"/>
    </row>
    <row r="791" ht="15" customHeight="1">
      <c r="A791" t="inlineStr">
        <is>
          <t>A 35548-2025</t>
        </is>
      </c>
      <c r="B791" s="1" t="n">
        <v>45856.48995370371</v>
      </c>
      <c r="C791" s="1" t="n">
        <v>46001</v>
      </c>
      <c r="D791" t="inlineStr">
        <is>
          <t>VÄSTERNORRLANDS LÄN</t>
        </is>
      </c>
      <c r="E791" t="inlineStr">
        <is>
          <t>ÅNGE</t>
        </is>
      </c>
      <c r="F791" t="inlineStr">
        <is>
          <t>SCA</t>
        </is>
      </c>
      <c r="G791" t="n">
        <v>14.6</v>
      </c>
      <c r="H791" t="n">
        <v>0</v>
      </c>
      <c r="I791" t="n">
        <v>0</v>
      </c>
      <c r="J791" t="n">
        <v>0</v>
      </c>
      <c r="K791" t="n">
        <v>0</v>
      </c>
      <c r="L791" t="n">
        <v>0</v>
      </c>
      <c r="M791" t="n">
        <v>0</v>
      </c>
      <c r="N791" t="n">
        <v>0</v>
      </c>
      <c r="O791" t="n">
        <v>0</v>
      </c>
      <c r="P791" t="n">
        <v>0</v>
      </c>
      <c r="Q791" t="n">
        <v>0</v>
      </c>
      <c r="R791" s="2" t="inlineStr"/>
    </row>
    <row r="792" ht="15" customHeight="1">
      <c r="A792" t="inlineStr">
        <is>
          <t>A 35575-2025</t>
        </is>
      </c>
      <c r="B792" s="1" t="n">
        <v>45856.63591435185</v>
      </c>
      <c r="C792" s="1" t="n">
        <v>46001</v>
      </c>
      <c r="D792" t="inlineStr">
        <is>
          <t>VÄSTERNORRLANDS LÄN</t>
        </is>
      </c>
      <c r="E792" t="inlineStr">
        <is>
          <t>ÅNGE</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56077-2025</t>
        </is>
      </c>
      <c r="B793" s="1" t="n">
        <v>45973.65759259259</v>
      </c>
      <c r="C793" s="1" t="n">
        <v>46001</v>
      </c>
      <c r="D793" t="inlineStr">
        <is>
          <t>VÄSTERNORRLANDS LÄN</t>
        </is>
      </c>
      <c r="E793" t="inlineStr">
        <is>
          <t>ÅNGE</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42043-2024</t>
        </is>
      </c>
      <c r="B794" s="1" t="n">
        <v>45561</v>
      </c>
      <c r="C794" s="1" t="n">
        <v>46001</v>
      </c>
      <c r="D794" t="inlineStr">
        <is>
          <t>VÄSTERNORRLANDS LÄN</t>
        </is>
      </c>
      <c r="E794" t="inlineStr">
        <is>
          <t>ÅNGE</t>
        </is>
      </c>
      <c r="G794" t="n">
        <v>3.1</v>
      </c>
      <c r="H794" t="n">
        <v>0</v>
      </c>
      <c r="I794" t="n">
        <v>0</v>
      </c>
      <c r="J794" t="n">
        <v>0</v>
      </c>
      <c r="K794" t="n">
        <v>0</v>
      </c>
      <c r="L794" t="n">
        <v>0</v>
      </c>
      <c r="M794" t="n">
        <v>0</v>
      </c>
      <c r="N794" t="n">
        <v>0</v>
      </c>
      <c r="O794" t="n">
        <v>0</v>
      </c>
      <c r="P794" t="n">
        <v>0</v>
      </c>
      <c r="Q794" t="n">
        <v>0</v>
      </c>
      <c r="R794" s="2" t="inlineStr"/>
    </row>
    <row r="795" ht="15" customHeight="1">
      <c r="A795" t="inlineStr">
        <is>
          <t>A 42046-2024</t>
        </is>
      </c>
      <c r="B795" s="1" t="n">
        <v>45561.83422453704</v>
      </c>
      <c r="C795" s="1" t="n">
        <v>46001</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35497-2025</t>
        </is>
      </c>
      <c r="B796" s="1" t="n">
        <v>45856.29752314815</v>
      </c>
      <c r="C796" s="1" t="n">
        <v>46001</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35432-2025</t>
        </is>
      </c>
      <c r="B797" s="1" t="n">
        <v>45855.44831018519</v>
      </c>
      <c r="C797" s="1" t="n">
        <v>46001</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35577-2025</t>
        </is>
      </c>
      <c r="B798" s="1" t="n">
        <v>45856.67762731481</v>
      </c>
      <c r="C798" s="1" t="n">
        <v>46001</v>
      </c>
      <c r="D798" t="inlineStr">
        <is>
          <t>VÄSTERNORRLANDS LÄN</t>
        </is>
      </c>
      <c r="E798" t="inlineStr">
        <is>
          <t>ÅNGE</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55751-2024</t>
        </is>
      </c>
      <c r="B799" s="1" t="n">
        <v>45623.34409722222</v>
      </c>
      <c r="C799" s="1" t="n">
        <v>46001</v>
      </c>
      <c r="D799" t="inlineStr">
        <is>
          <t>VÄSTERNORRLANDS LÄN</t>
        </is>
      </c>
      <c r="E799" t="inlineStr">
        <is>
          <t>ÅNGE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35690-2025</t>
        </is>
      </c>
      <c r="B800" s="1" t="n">
        <v>45860.34421296296</v>
      </c>
      <c r="C800" s="1" t="n">
        <v>46001</v>
      </c>
      <c r="D800" t="inlineStr">
        <is>
          <t>VÄSTERNORRLANDS LÄN</t>
        </is>
      </c>
      <c r="E800" t="inlineStr">
        <is>
          <t>ÅNGE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35781-2025</t>
        </is>
      </c>
      <c r="B801" s="1" t="n">
        <v>45860.70613425926</v>
      </c>
      <c r="C801" s="1" t="n">
        <v>46001</v>
      </c>
      <c r="D801" t="inlineStr">
        <is>
          <t>VÄSTERNORRLANDS LÄN</t>
        </is>
      </c>
      <c r="E801" t="inlineStr">
        <is>
          <t>ÅNGE</t>
        </is>
      </c>
      <c r="G801" t="n">
        <v>2.2</v>
      </c>
      <c r="H801" t="n">
        <v>0</v>
      </c>
      <c r="I801" t="n">
        <v>0</v>
      </c>
      <c r="J801" t="n">
        <v>0</v>
      </c>
      <c r="K801" t="n">
        <v>0</v>
      </c>
      <c r="L801" t="n">
        <v>0</v>
      </c>
      <c r="M801" t="n">
        <v>0</v>
      </c>
      <c r="N801" t="n">
        <v>0</v>
      </c>
      <c r="O801" t="n">
        <v>0</v>
      </c>
      <c r="P801" t="n">
        <v>0</v>
      </c>
      <c r="Q801" t="n">
        <v>0</v>
      </c>
      <c r="R801" s="2" t="inlineStr"/>
    </row>
    <row r="802" ht="15" customHeight="1">
      <c r="A802" t="inlineStr">
        <is>
          <t>A 56232-2024</t>
        </is>
      </c>
      <c r="B802" s="1" t="n">
        <v>45624</v>
      </c>
      <c r="C802" s="1" t="n">
        <v>46001</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44635-2024</t>
        </is>
      </c>
      <c r="B803" s="1" t="n">
        <v>45574.51488425926</v>
      </c>
      <c r="C803" s="1" t="n">
        <v>46001</v>
      </c>
      <c r="D803" t="inlineStr">
        <is>
          <t>VÄSTERNORRLANDS LÄN</t>
        </is>
      </c>
      <c r="E803" t="inlineStr">
        <is>
          <t>ÅNGE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48055-2025</t>
        </is>
      </c>
      <c r="B804" s="1" t="n">
        <v>45932.67922453704</v>
      </c>
      <c r="C804" s="1" t="n">
        <v>46001</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48069-2025</t>
        </is>
      </c>
      <c r="B805" s="1" t="n">
        <v>45932.69865740741</v>
      </c>
      <c r="C805" s="1" t="n">
        <v>46001</v>
      </c>
      <c r="D805" t="inlineStr">
        <is>
          <t>VÄSTERNORRLANDS LÄN</t>
        </is>
      </c>
      <c r="E805" t="inlineStr">
        <is>
          <t>ÅNGE</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35766-2025</t>
        </is>
      </c>
      <c r="B806" s="1" t="n">
        <v>45860.63077546296</v>
      </c>
      <c r="C806" s="1" t="n">
        <v>46001</v>
      </c>
      <c r="D806" t="inlineStr">
        <is>
          <t>VÄSTERNORRLANDS LÄN</t>
        </is>
      </c>
      <c r="E806" t="inlineStr">
        <is>
          <t>ÅNGE</t>
        </is>
      </c>
      <c r="G806" t="n">
        <v>10.7</v>
      </c>
      <c r="H806" t="n">
        <v>0</v>
      </c>
      <c r="I806" t="n">
        <v>0</v>
      </c>
      <c r="J806" t="n">
        <v>0</v>
      </c>
      <c r="K806" t="n">
        <v>0</v>
      </c>
      <c r="L806" t="n">
        <v>0</v>
      </c>
      <c r="M806" t="n">
        <v>0</v>
      </c>
      <c r="N806" t="n">
        <v>0</v>
      </c>
      <c r="O806" t="n">
        <v>0</v>
      </c>
      <c r="P806" t="n">
        <v>0</v>
      </c>
      <c r="Q806" t="n">
        <v>0</v>
      </c>
      <c r="R806" s="2" t="inlineStr"/>
    </row>
    <row r="807" ht="15" customHeight="1">
      <c r="A807" t="inlineStr">
        <is>
          <t>A 16191-2023</t>
        </is>
      </c>
      <c r="B807" s="1" t="n">
        <v>45027.94111111111</v>
      </c>
      <c r="C807" s="1" t="n">
        <v>46001</v>
      </c>
      <c r="D807" t="inlineStr">
        <is>
          <t>VÄSTERNORRLANDS LÄN</t>
        </is>
      </c>
      <c r="E807" t="inlineStr">
        <is>
          <t>ÅNGE</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17670-2023</t>
        </is>
      </c>
      <c r="B808" s="1" t="n">
        <v>45036</v>
      </c>
      <c r="C808" s="1" t="n">
        <v>46001</v>
      </c>
      <c r="D808" t="inlineStr">
        <is>
          <t>VÄSTERNORRLANDS LÄN</t>
        </is>
      </c>
      <c r="E808" t="inlineStr">
        <is>
          <t>ÅNGE</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35826-2025</t>
        </is>
      </c>
      <c r="B809" s="1" t="n">
        <v>45861.48997685185</v>
      </c>
      <c r="C809" s="1" t="n">
        <v>46001</v>
      </c>
      <c r="D809" t="inlineStr">
        <is>
          <t>VÄSTERNORRLANDS LÄN</t>
        </is>
      </c>
      <c r="E809" t="inlineStr">
        <is>
          <t>ÅNGE</t>
        </is>
      </c>
      <c r="G809" t="n">
        <v>2.5</v>
      </c>
      <c r="H809" t="n">
        <v>0</v>
      </c>
      <c r="I809" t="n">
        <v>0</v>
      </c>
      <c r="J809" t="n">
        <v>0</v>
      </c>
      <c r="K809" t="n">
        <v>0</v>
      </c>
      <c r="L809" t="n">
        <v>0</v>
      </c>
      <c r="M809" t="n">
        <v>0</v>
      </c>
      <c r="N809" t="n">
        <v>0</v>
      </c>
      <c r="O809" t="n">
        <v>0</v>
      </c>
      <c r="P809" t="n">
        <v>0</v>
      </c>
      <c r="Q809" t="n">
        <v>0</v>
      </c>
      <c r="R809" s="2" t="inlineStr"/>
    </row>
    <row r="810" ht="15" customHeight="1">
      <c r="A810" t="inlineStr">
        <is>
          <t>A 35838-2025</t>
        </is>
      </c>
      <c r="B810" s="1" t="n">
        <v>45861.53829861111</v>
      </c>
      <c r="C810" s="1" t="n">
        <v>46001</v>
      </c>
      <c r="D810" t="inlineStr">
        <is>
          <t>VÄSTERNORRLANDS LÄN</t>
        </is>
      </c>
      <c r="E810" t="inlineStr">
        <is>
          <t>ÅNGE</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59412-2024</t>
        </is>
      </c>
      <c r="B811" s="1" t="n">
        <v>45638</v>
      </c>
      <c r="C811" s="1" t="n">
        <v>46001</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44518-2024</t>
        </is>
      </c>
      <c r="B812" s="1" t="n">
        <v>45574.43376157407</v>
      </c>
      <c r="C812" s="1" t="n">
        <v>46001</v>
      </c>
      <c r="D812" t="inlineStr">
        <is>
          <t>VÄSTERNORRLANDS LÄN</t>
        </is>
      </c>
      <c r="E812" t="inlineStr">
        <is>
          <t>ÅNGE</t>
        </is>
      </c>
      <c r="G812" t="n">
        <v>2.6</v>
      </c>
      <c r="H812" t="n">
        <v>0</v>
      </c>
      <c r="I812" t="n">
        <v>0</v>
      </c>
      <c r="J812" t="n">
        <v>0</v>
      </c>
      <c r="K812" t="n">
        <v>0</v>
      </c>
      <c r="L812" t="n">
        <v>0</v>
      </c>
      <c r="M812" t="n">
        <v>0</v>
      </c>
      <c r="N812" t="n">
        <v>0</v>
      </c>
      <c r="O812" t="n">
        <v>0</v>
      </c>
      <c r="P812" t="n">
        <v>0</v>
      </c>
      <c r="Q812" t="n">
        <v>0</v>
      </c>
      <c r="R812" s="2" t="inlineStr"/>
    </row>
    <row r="813" ht="15" customHeight="1">
      <c r="A813" t="inlineStr">
        <is>
          <t>A 51124-2024</t>
        </is>
      </c>
      <c r="B813" s="1" t="n">
        <v>45603.50716435185</v>
      </c>
      <c r="C813" s="1" t="n">
        <v>46001</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35827-2025</t>
        </is>
      </c>
      <c r="B814" s="1" t="n">
        <v>45861.49017361111</v>
      </c>
      <c r="C814" s="1" t="n">
        <v>46001</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30683-2024</t>
        </is>
      </c>
      <c r="B815" s="1" t="n">
        <v>45495</v>
      </c>
      <c r="C815" s="1" t="n">
        <v>46001</v>
      </c>
      <c r="D815" t="inlineStr">
        <is>
          <t>VÄSTERNORRLANDS LÄN</t>
        </is>
      </c>
      <c r="E815" t="inlineStr">
        <is>
          <t>ÅNGE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50674-2024</t>
        </is>
      </c>
      <c r="B816" s="1" t="n">
        <v>45601.85402777778</v>
      </c>
      <c r="C816" s="1" t="n">
        <v>46001</v>
      </c>
      <c r="D816" t="inlineStr">
        <is>
          <t>VÄSTERNORRLANDS LÄN</t>
        </is>
      </c>
      <c r="E816" t="inlineStr">
        <is>
          <t>ÅNGE</t>
        </is>
      </c>
      <c r="G816" t="n">
        <v>1.2</v>
      </c>
      <c r="H816" t="n">
        <v>0</v>
      </c>
      <c r="I816" t="n">
        <v>0</v>
      </c>
      <c r="J816" t="n">
        <v>0</v>
      </c>
      <c r="K816" t="n">
        <v>0</v>
      </c>
      <c r="L816" t="n">
        <v>0</v>
      </c>
      <c r="M816" t="n">
        <v>0</v>
      </c>
      <c r="N816" t="n">
        <v>0</v>
      </c>
      <c r="O816" t="n">
        <v>0</v>
      </c>
      <c r="P816" t="n">
        <v>0</v>
      </c>
      <c r="Q816" t="n">
        <v>0</v>
      </c>
      <c r="R816" s="2" t="inlineStr"/>
    </row>
    <row r="817" ht="15" customHeight="1">
      <c r="A817" t="inlineStr">
        <is>
          <t>A 54720-2024</t>
        </is>
      </c>
      <c r="B817" s="1" t="n">
        <v>45618.43715277778</v>
      </c>
      <c r="C817" s="1" t="n">
        <v>46001</v>
      </c>
      <c r="D817" t="inlineStr">
        <is>
          <t>VÄSTERNORRLANDS LÄN</t>
        </is>
      </c>
      <c r="E817" t="inlineStr">
        <is>
          <t>ÅNGE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53336-2024</t>
        </is>
      </c>
      <c r="B818" s="1" t="n">
        <v>45614.42753472222</v>
      </c>
      <c r="C818" s="1" t="n">
        <v>46001</v>
      </c>
      <c r="D818" t="inlineStr">
        <is>
          <t>VÄSTERNORRLANDS LÄN</t>
        </is>
      </c>
      <c r="E818" t="inlineStr">
        <is>
          <t>ÅNGE</t>
        </is>
      </c>
      <c r="G818" t="n">
        <v>1.5</v>
      </c>
      <c r="H818" t="n">
        <v>0</v>
      </c>
      <c r="I818" t="n">
        <v>0</v>
      </c>
      <c r="J818" t="n">
        <v>0</v>
      </c>
      <c r="K818" t="n">
        <v>0</v>
      </c>
      <c r="L818" t="n">
        <v>0</v>
      </c>
      <c r="M818" t="n">
        <v>0</v>
      </c>
      <c r="N818" t="n">
        <v>0</v>
      </c>
      <c r="O818" t="n">
        <v>0</v>
      </c>
      <c r="P818" t="n">
        <v>0</v>
      </c>
      <c r="Q818" t="n">
        <v>0</v>
      </c>
      <c r="R818" s="2" t="inlineStr"/>
    </row>
    <row r="819" ht="15" customHeight="1">
      <c r="A819" t="inlineStr">
        <is>
          <t>A 57598-2022</t>
        </is>
      </c>
      <c r="B819" s="1" t="n">
        <v>44896</v>
      </c>
      <c r="C819" s="1" t="n">
        <v>46001</v>
      </c>
      <c r="D819" t="inlineStr">
        <is>
          <t>VÄSTERNORRLANDS LÄN</t>
        </is>
      </c>
      <c r="E819" t="inlineStr">
        <is>
          <t>ÅNGE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56741-2025</t>
        </is>
      </c>
      <c r="B820" s="1" t="n">
        <v>45978.34726851852</v>
      </c>
      <c r="C820" s="1" t="n">
        <v>46001</v>
      </c>
      <c r="D820" t="inlineStr">
        <is>
          <t>VÄSTERNORRLANDS LÄN</t>
        </is>
      </c>
      <c r="E820" t="inlineStr">
        <is>
          <t>ÅNGE</t>
        </is>
      </c>
      <c r="G820" t="n">
        <v>11.4</v>
      </c>
      <c r="H820" t="n">
        <v>0</v>
      </c>
      <c r="I820" t="n">
        <v>0</v>
      </c>
      <c r="J820" t="n">
        <v>0</v>
      </c>
      <c r="K820" t="n">
        <v>0</v>
      </c>
      <c r="L820" t="n">
        <v>0</v>
      </c>
      <c r="M820" t="n">
        <v>0</v>
      </c>
      <c r="N820" t="n">
        <v>0</v>
      </c>
      <c r="O820" t="n">
        <v>0</v>
      </c>
      <c r="P820" t="n">
        <v>0</v>
      </c>
      <c r="Q820" t="n">
        <v>0</v>
      </c>
      <c r="R820" s="2" t="inlineStr"/>
    </row>
    <row r="821" ht="15" customHeight="1">
      <c r="A821" t="inlineStr">
        <is>
          <t>A 54627-2025</t>
        </is>
      </c>
      <c r="B821" s="1" t="n">
        <v>45966.34565972222</v>
      </c>
      <c r="C821" s="1" t="n">
        <v>46001</v>
      </c>
      <c r="D821" t="inlineStr">
        <is>
          <t>VÄSTERNORRLANDS LÄN</t>
        </is>
      </c>
      <c r="E821" t="inlineStr">
        <is>
          <t>ÅNGE</t>
        </is>
      </c>
      <c r="F821" t="inlineStr">
        <is>
          <t>SCA</t>
        </is>
      </c>
      <c r="G821" t="n">
        <v>18.5</v>
      </c>
      <c r="H821" t="n">
        <v>0</v>
      </c>
      <c r="I821" t="n">
        <v>0</v>
      </c>
      <c r="J821" t="n">
        <v>0</v>
      </c>
      <c r="K821" t="n">
        <v>0</v>
      </c>
      <c r="L821" t="n">
        <v>0</v>
      </c>
      <c r="M821" t="n">
        <v>0</v>
      </c>
      <c r="N821" t="n">
        <v>0</v>
      </c>
      <c r="O821" t="n">
        <v>0</v>
      </c>
      <c r="P821" t="n">
        <v>0</v>
      </c>
      <c r="Q821" t="n">
        <v>0</v>
      </c>
      <c r="R821" s="2" t="inlineStr"/>
    </row>
    <row r="822" ht="15" customHeight="1">
      <c r="A822" t="inlineStr">
        <is>
          <t>A 36205-2025</t>
        </is>
      </c>
      <c r="B822" s="1" t="n">
        <v>45867.44855324074</v>
      </c>
      <c r="C822" s="1" t="n">
        <v>46001</v>
      </c>
      <c r="D822" t="inlineStr">
        <is>
          <t>VÄSTERNORRLANDS LÄN</t>
        </is>
      </c>
      <c r="E822" t="inlineStr">
        <is>
          <t>ÅNGE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48234-2025</t>
        </is>
      </c>
      <c r="B823" s="1" t="n">
        <v>45933.53211805555</v>
      </c>
      <c r="C823" s="1" t="n">
        <v>46001</v>
      </c>
      <c r="D823" t="inlineStr">
        <is>
          <t>VÄSTERNORRLANDS LÄN</t>
        </is>
      </c>
      <c r="E823" t="inlineStr">
        <is>
          <t>ÅNGE</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48235-2025</t>
        </is>
      </c>
      <c r="B824" s="1" t="n">
        <v>45933.5321412037</v>
      </c>
      <c r="C824" s="1" t="n">
        <v>46001</v>
      </c>
      <c r="D824" t="inlineStr">
        <is>
          <t>VÄSTERNORRLANDS LÄN</t>
        </is>
      </c>
      <c r="E824" t="inlineStr">
        <is>
          <t>ÅNGE</t>
        </is>
      </c>
      <c r="G824" t="n">
        <v>3.1</v>
      </c>
      <c r="H824" t="n">
        <v>0</v>
      </c>
      <c r="I824" t="n">
        <v>0</v>
      </c>
      <c r="J824" t="n">
        <v>0</v>
      </c>
      <c r="K824" t="n">
        <v>0</v>
      </c>
      <c r="L824" t="n">
        <v>0</v>
      </c>
      <c r="M824" t="n">
        <v>0</v>
      </c>
      <c r="N824" t="n">
        <v>0</v>
      </c>
      <c r="O824" t="n">
        <v>0</v>
      </c>
      <c r="P824" t="n">
        <v>0</v>
      </c>
      <c r="Q824" t="n">
        <v>0</v>
      </c>
      <c r="R824" s="2" t="inlineStr"/>
    </row>
    <row r="825" ht="15" customHeight="1">
      <c r="A825" t="inlineStr">
        <is>
          <t>A 36240-2025</t>
        </is>
      </c>
      <c r="B825" s="1" t="n">
        <v>45867.55298611111</v>
      </c>
      <c r="C825" s="1" t="n">
        <v>46001</v>
      </c>
      <c r="D825" t="inlineStr">
        <is>
          <t>VÄSTERNORRLANDS LÄN</t>
        </is>
      </c>
      <c r="E825" t="inlineStr">
        <is>
          <t>ÅNGE</t>
        </is>
      </c>
      <c r="G825" t="n">
        <v>0.5</v>
      </c>
      <c r="H825" t="n">
        <v>0</v>
      </c>
      <c r="I825" t="n">
        <v>0</v>
      </c>
      <c r="J825" t="n">
        <v>0</v>
      </c>
      <c r="K825" t="n">
        <v>0</v>
      </c>
      <c r="L825" t="n">
        <v>0</v>
      </c>
      <c r="M825" t="n">
        <v>0</v>
      </c>
      <c r="N825" t="n">
        <v>0</v>
      </c>
      <c r="O825" t="n">
        <v>0</v>
      </c>
      <c r="P825" t="n">
        <v>0</v>
      </c>
      <c r="Q825" t="n">
        <v>0</v>
      </c>
      <c r="R825" s="2" t="inlineStr"/>
    </row>
    <row r="826" ht="15" customHeight="1">
      <c r="A826" t="inlineStr">
        <is>
          <t>A 36210-2025</t>
        </is>
      </c>
      <c r="B826" s="1" t="n">
        <v>45867.46930555555</v>
      </c>
      <c r="C826" s="1" t="n">
        <v>46001</v>
      </c>
      <c r="D826" t="inlineStr">
        <is>
          <t>VÄSTERNORRLANDS LÄN</t>
        </is>
      </c>
      <c r="E826" t="inlineStr">
        <is>
          <t>ÅNGE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36236-2025</t>
        </is>
      </c>
      <c r="B827" s="1" t="n">
        <v>45867.55245370371</v>
      </c>
      <c r="C827" s="1" t="n">
        <v>46001</v>
      </c>
      <c r="D827" t="inlineStr">
        <is>
          <t>VÄSTERNORRLANDS LÄN</t>
        </is>
      </c>
      <c r="E827" t="inlineStr">
        <is>
          <t>ÅNGE</t>
        </is>
      </c>
      <c r="G827" t="n">
        <v>0.9</v>
      </c>
      <c r="H827" t="n">
        <v>0</v>
      </c>
      <c r="I827" t="n">
        <v>0</v>
      </c>
      <c r="J827" t="n">
        <v>0</v>
      </c>
      <c r="K827" t="n">
        <v>0</v>
      </c>
      <c r="L827" t="n">
        <v>0</v>
      </c>
      <c r="M827" t="n">
        <v>0</v>
      </c>
      <c r="N827" t="n">
        <v>0</v>
      </c>
      <c r="O827" t="n">
        <v>0</v>
      </c>
      <c r="P827" t="n">
        <v>0</v>
      </c>
      <c r="Q827" t="n">
        <v>0</v>
      </c>
      <c r="R827" s="2" t="inlineStr"/>
    </row>
    <row r="828" ht="15" customHeight="1">
      <c r="A828" t="inlineStr">
        <is>
          <t>A 36248-2025</t>
        </is>
      </c>
      <c r="B828" s="1" t="n">
        <v>45867.57326388889</v>
      </c>
      <c r="C828" s="1" t="n">
        <v>46001</v>
      </c>
      <c r="D828" t="inlineStr">
        <is>
          <t>VÄSTERNORRLANDS LÄN</t>
        </is>
      </c>
      <c r="E828" t="inlineStr">
        <is>
          <t>ÅNGE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36237-2025</t>
        </is>
      </c>
      <c r="B829" s="1" t="n">
        <v>45867.55263888889</v>
      </c>
      <c r="C829" s="1" t="n">
        <v>46001</v>
      </c>
      <c r="D829" t="inlineStr">
        <is>
          <t>VÄSTERNORRLANDS LÄN</t>
        </is>
      </c>
      <c r="E829" t="inlineStr">
        <is>
          <t>ÅNGE</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1975-2025</t>
        </is>
      </c>
      <c r="B830" s="1" t="n">
        <v>45672.39332175926</v>
      </c>
      <c r="C830" s="1" t="n">
        <v>46001</v>
      </c>
      <c r="D830" t="inlineStr">
        <is>
          <t>VÄSTERNORRLANDS LÄN</t>
        </is>
      </c>
      <c r="E830" t="inlineStr">
        <is>
          <t>ÅNGE</t>
        </is>
      </c>
      <c r="G830" t="n">
        <v>6.2</v>
      </c>
      <c r="H830" t="n">
        <v>0</v>
      </c>
      <c r="I830" t="n">
        <v>0</v>
      </c>
      <c r="J830" t="n">
        <v>0</v>
      </c>
      <c r="K830" t="n">
        <v>0</v>
      </c>
      <c r="L830" t="n">
        <v>0</v>
      </c>
      <c r="M830" t="n">
        <v>0</v>
      </c>
      <c r="N830" t="n">
        <v>0</v>
      </c>
      <c r="O830" t="n">
        <v>0</v>
      </c>
      <c r="P830" t="n">
        <v>0</v>
      </c>
      <c r="Q830" t="n">
        <v>0</v>
      </c>
      <c r="R830" s="2" t="inlineStr"/>
    </row>
    <row r="831" ht="15" customHeight="1">
      <c r="A831" t="inlineStr">
        <is>
          <t>A 36193-2025</t>
        </is>
      </c>
      <c r="B831" s="1" t="n">
        <v>45867.42741898148</v>
      </c>
      <c r="C831" s="1" t="n">
        <v>46001</v>
      </c>
      <c r="D831" t="inlineStr">
        <is>
          <t>VÄSTERNORRLANDS LÄN</t>
        </is>
      </c>
      <c r="E831" t="inlineStr">
        <is>
          <t>ÅNGE</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36336-2025</t>
        </is>
      </c>
      <c r="B832" s="1" t="n">
        <v>45868.44751157407</v>
      </c>
      <c r="C832" s="1" t="n">
        <v>46001</v>
      </c>
      <c r="D832" t="inlineStr">
        <is>
          <t>VÄSTERNORRLANDS LÄN</t>
        </is>
      </c>
      <c r="E832" t="inlineStr">
        <is>
          <t>ÅNGE</t>
        </is>
      </c>
      <c r="G832" t="n">
        <v>7.3</v>
      </c>
      <c r="H832" t="n">
        <v>0</v>
      </c>
      <c r="I832" t="n">
        <v>0</v>
      </c>
      <c r="J832" t="n">
        <v>0</v>
      </c>
      <c r="K832" t="n">
        <v>0</v>
      </c>
      <c r="L832" t="n">
        <v>0</v>
      </c>
      <c r="M832" t="n">
        <v>0</v>
      </c>
      <c r="N832" t="n">
        <v>0</v>
      </c>
      <c r="O832" t="n">
        <v>0</v>
      </c>
      <c r="P832" t="n">
        <v>0</v>
      </c>
      <c r="Q832" t="n">
        <v>0</v>
      </c>
      <c r="R832" s="2" t="inlineStr"/>
    </row>
    <row r="833" ht="15" customHeight="1">
      <c r="A833" t="inlineStr">
        <is>
          <t>A 33429-2023</t>
        </is>
      </c>
      <c r="B833" s="1" t="n">
        <v>45128.94983796297</v>
      </c>
      <c r="C833" s="1" t="n">
        <v>46001</v>
      </c>
      <c r="D833" t="inlineStr">
        <is>
          <t>VÄSTERNORRLANDS LÄN</t>
        </is>
      </c>
      <c r="E833" t="inlineStr">
        <is>
          <t>ÅNGE</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36457-2025</t>
        </is>
      </c>
      <c r="B834" s="1" t="n">
        <v>45869.44842592593</v>
      </c>
      <c r="C834" s="1" t="n">
        <v>46001</v>
      </c>
      <c r="D834" t="inlineStr">
        <is>
          <t>VÄSTERNORRLANDS LÄN</t>
        </is>
      </c>
      <c r="E834" t="inlineStr">
        <is>
          <t>ÅNGE</t>
        </is>
      </c>
      <c r="F834" t="inlineStr">
        <is>
          <t>SCA</t>
        </is>
      </c>
      <c r="G834" t="n">
        <v>6.3</v>
      </c>
      <c r="H834" t="n">
        <v>0</v>
      </c>
      <c r="I834" t="n">
        <v>0</v>
      </c>
      <c r="J834" t="n">
        <v>0</v>
      </c>
      <c r="K834" t="n">
        <v>0</v>
      </c>
      <c r="L834" t="n">
        <v>0</v>
      </c>
      <c r="M834" t="n">
        <v>0</v>
      </c>
      <c r="N834" t="n">
        <v>0</v>
      </c>
      <c r="O834" t="n">
        <v>0</v>
      </c>
      <c r="P834" t="n">
        <v>0</v>
      </c>
      <c r="Q834" t="n">
        <v>0</v>
      </c>
      <c r="R834" s="2" t="inlineStr"/>
    </row>
    <row r="835" ht="15" customHeight="1">
      <c r="A835" t="inlineStr">
        <is>
          <t>A 20576-2021</t>
        </is>
      </c>
      <c r="B835" s="1" t="n">
        <v>44316.3290162037</v>
      </c>
      <c r="C835" s="1" t="n">
        <v>46001</v>
      </c>
      <c r="D835" t="inlineStr">
        <is>
          <t>VÄSTERNORRLANDS LÄN</t>
        </is>
      </c>
      <c r="E835" t="inlineStr">
        <is>
          <t>ÅNGE</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1235-2023</t>
        </is>
      </c>
      <c r="B836" s="1" t="n">
        <v>44935</v>
      </c>
      <c r="C836" s="1" t="n">
        <v>46001</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13501-2021</t>
        </is>
      </c>
      <c r="B837" s="1" t="n">
        <v>44273</v>
      </c>
      <c r="C837" s="1" t="n">
        <v>46001</v>
      </c>
      <c r="D837" t="inlineStr">
        <is>
          <t>VÄSTERNORRLANDS LÄN</t>
        </is>
      </c>
      <c r="E837" t="inlineStr">
        <is>
          <t>ÅNGE</t>
        </is>
      </c>
      <c r="G837" t="n">
        <v>0.4</v>
      </c>
      <c r="H837" t="n">
        <v>0</v>
      </c>
      <c r="I837" t="n">
        <v>0</v>
      </c>
      <c r="J837" t="n">
        <v>0</v>
      </c>
      <c r="K837" t="n">
        <v>0</v>
      </c>
      <c r="L837" t="n">
        <v>0</v>
      </c>
      <c r="M837" t="n">
        <v>0</v>
      </c>
      <c r="N837" t="n">
        <v>0</v>
      </c>
      <c r="O837" t="n">
        <v>0</v>
      </c>
      <c r="P837" t="n">
        <v>0</v>
      </c>
      <c r="Q837" t="n">
        <v>0</v>
      </c>
      <c r="R837" s="2" t="inlineStr"/>
    </row>
    <row r="838" ht="15" customHeight="1">
      <c r="A838" t="inlineStr">
        <is>
          <t>A 33302-2024</t>
        </is>
      </c>
      <c r="B838" s="1" t="n">
        <v>45518.96967592592</v>
      </c>
      <c r="C838" s="1" t="n">
        <v>46001</v>
      </c>
      <c r="D838" t="inlineStr">
        <is>
          <t>VÄSTERNORRLANDS LÄN</t>
        </is>
      </c>
      <c r="E838" t="inlineStr">
        <is>
          <t>ÅNGE</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7528-2023</t>
        </is>
      </c>
      <c r="B839" s="1" t="n">
        <v>44971.97662037037</v>
      </c>
      <c r="C839" s="1" t="n">
        <v>46001</v>
      </c>
      <c r="D839" t="inlineStr">
        <is>
          <t>VÄSTERNORRLANDS LÄN</t>
        </is>
      </c>
      <c r="E839" t="inlineStr">
        <is>
          <t>ÅNGE</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36456-2025</t>
        </is>
      </c>
      <c r="B840" s="1" t="n">
        <v>45869.44827546296</v>
      </c>
      <c r="C840" s="1" t="n">
        <v>46001</v>
      </c>
      <c r="D840" t="inlineStr">
        <is>
          <t>VÄSTERNORRLANDS LÄN</t>
        </is>
      </c>
      <c r="E840" t="inlineStr">
        <is>
          <t>ÅNGE</t>
        </is>
      </c>
      <c r="F840" t="inlineStr">
        <is>
          <t>SCA</t>
        </is>
      </c>
      <c r="G840" t="n">
        <v>7.2</v>
      </c>
      <c r="H840" t="n">
        <v>0</v>
      </c>
      <c r="I840" t="n">
        <v>0</v>
      </c>
      <c r="J840" t="n">
        <v>0</v>
      </c>
      <c r="K840" t="n">
        <v>0</v>
      </c>
      <c r="L840" t="n">
        <v>0</v>
      </c>
      <c r="M840" t="n">
        <v>0</v>
      </c>
      <c r="N840" t="n">
        <v>0</v>
      </c>
      <c r="O840" t="n">
        <v>0</v>
      </c>
      <c r="P840" t="n">
        <v>0</v>
      </c>
      <c r="Q840" t="n">
        <v>0</v>
      </c>
      <c r="R840" s="2" t="inlineStr"/>
    </row>
    <row r="841" ht="15" customHeight="1">
      <c r="A841" t="inlineStr">
        <is>
          <t>A 36491-2025</t>
        </is>
      </c>
      <c r="B841" s="1" t="n">
        <v>45869.53173611111</v>
      </c>
      <c r="C841" s="1" t="n">
        <v>46001</v>
      </c>
      <c r="D841" t="inlineStr">
        <is>
          <t>VÄSTERNORRLANDS LÄN</t>
        </is>
      </c>
      <c r="E841" t="inlineStr">
        <is>
          <t>ÅNGE</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36873-2025</t>
        </is>
      </c>
      <c r="B842" s="1" t="n">
        <v>45874.42935185185</v>
      </c>
      <c r="C842" s="1" t="n">
        <v>46001</v>
      </c>
      <c r="D842" t="inlineStr">
        <is>
          <t>VÄSTERNORRLANDS LÄN</t>
        </is>
      </c>
      <c r="E842" t="inlineStr">
        <is>
          <t>ÅNGE</t>
        </is>
      </c>
      <c r="F842" t="inlineStr">
        <is>
          <t>SCA</t>
        </is>
      </c>
      <c r="G842" t="n">
        <v>16.9</v>
      </c>
      <c r="H842" t="n">
        <v>0</v>
      </c>
      <c r="I842" t="n">
        <v>0</v>
      </c>
      <c r="J842" t="n">
        <v>0</v>
      </c>
      <c r="K842" t="n">
        <v>0</v>
      </c>
      <c r="L842" t="n">
        <v>0</v>
      </c>
      <c r="M842" t="n">
        <v>0</v>
      </c>
      <c r="N842" t="n">
        <v>0</v>
      </c>
      <c r="O842" t="n">
        <v>0</v>
      </c>
      <c r="P842" t="n">
        <v>0</v>
      </c>
      <c r="Q842" t="n">
        <v>0</v>
      </c>
      <c r="R842" s="2" t="inlineStr"/>
    </row>
    <row r="843" ht="15" customHeight="1">
      <c r="A843" t="inlineStr">
        <is>
          <t>A 56419-2025</t>
        </is>
      </c>
      <c r="B843" s="1" t="n">
        <v>45975.34445601852</v>
      </c>
      <c r="C843" s="1" t="n">
        <v>46001</v>
      </c>
      <c r="D843" t="inlineStr">
        <is>
          <t>VÄSTERNORRLANDS LÄN</t>
        </is>
      </c>
      <c r="E843" t="inlineStr">
        <is>
          <t>ÅNGE</t>
        </is>
      </c>
      <c r="F843" t="inlineStr">
        <is>
          <t>SCA</t>
        </is>
      </c>
      <c r="G843" t="n">
        <v>21.4</v>
      </c>
      <c r="H843" t="n">
        <v>0</v>
      </c>
      <c r="I843" t="n">
        <v>0</v>
      </c>
      <c r="J843" t="n">
        <v>0</v>
      </c>
      <c r="K843" t="n">
        <v>0</v>
      </c>
      <c r="L843" t="n">
        <v>0</v>
      </c>
      <c r="M843" t="n">
        <v>0</v>
      </c>
      <c r="N843" t="n">
        <v>0</v>
      </c>
      <c r="O843" t="n">
        <v>0</v>
      </c>
      <c r="P843" t="n">
        <v>0</v>
      </c>
      <c r="Q843" t="n">
        <v>0</v>
      </c>
      <c r="R843" s="2" t="inlineStr"/>
    </row>
    <row r="844" ht="15" customHeight="1">
      <c r="A844" t="inlineStr">
        <is>
          <t>A 56423-2025</t>
        </is>
      </c>
      <c r="B844" s="1" t="n">
        <v>45975.34528935186</v>
      </c>
      <c r="C844" s="1" t="n">
        <v>46001</v>
      </c>
      <c r="D844" t="inlineStr">
        <is>
          <t>VÄSTERNORRLANDS LÄN</t>
        </is>
      </c>
      <c r="E844" t="inlineStr">
        <is>
          <t>ÅNGE</t>
        </is>
      </c>
      <c r="F844" t="inlineStr">
        <is>
          <t>SCA</t>
        </is>
      </c>
      <c r="G844" t="n">
        <v>1.5</v>
      </c>
      <c r="H844" t="n">
        <v>0</v>
      </c>
      <c r="I844" t="n">
        <v>0</v>
      </c>
      <c r="J844" t="n">
        <v>0</v>
      </c>
      <c r="K844" t="n">
        <v>0</v>
      </c>
      <c r="L844" t="n">
        <v>0</v>
      </c>
      <c r="M844" t="n">
        <v>0</v>
      </c>
      <c r="N844" t="n">
        <v>0</v>
      </c>
      <c r="O844" t="n">
        <v>0</v>
      </c>
      <c r="P844" t="n">
        <v>0</v>
      </c>
      <c r="Q844" t="n">
        <v>0</v>
      </c>
      <c r="R844" s="2" t="inlineStr"/>
      <c r="U844">
        <f>HYPERLINK("https://klasma.github.io/Logging_2260/knärot/A 56423-2025 karta knärot.png", "A 56423-2025")</f>
        <v/>
      </c>
      <c r="V844">
        <f>HYPERLINK("https://klasma.github.io/Logging_2260/klagomål/A 56423-2025 FSC-klagomål.docx", "A 56423-2025")</f>
        <v/>
      </c>
      <c r="W844">
        <f>HYPERLINK("https://klasma.github.io/Logging_2260/klagomålsmail/A 56423-2025 FSC-klagomål mail.docx", "A 56423-2025")</f>
        <v/>
      </c>
      <c r="X844">
        <f>HYPERLINK("https://klasma.github.io/Logging_2260/tillsyn/A 56423-2025 tillsynsbegäran.docx", "A 56423-2025")</f>
        <v/>
      </c>
      <c r="Y844">
        <f>HYPERLINK("https://klasma.github.io/Logging_2260/tillsynsmail/A 56423-2025 tillsynsbegäran mail.docx", "A 56423-2025")</f>
        <v/>
      </c>
    </row>
    <row r="845" ht="15" customHeight="1">
      <c r="A845" t="inlineStr">
        <is>
          <t>A 48679-2025</t>
        </is>
      </c>
      <c r="B845" s="1" t="n">
        <v>45936.59196759259</v>
      </c>
      <c r="C845" s="1" t="n">
        <v>46001</v>
      </c>
      <c r="D845" t="inlineStr">
        <is>
          <t>VÄSTERNORRLANDS LÄN</t>
        </is>
      </c>
      <c r="E845" t="inlineStr">
        <is>
          <t>ÅNGE</t>
        </is>
      </c>
      <c r="G845" t="n">
        <v>2.1</v>
      </c>
      <c r="H845" t="n">
        <v>0</v>
      </c>
      <c r="I845" t="n">
        <v>0</v>
      </c>
      <c r="J845" t="n">
        <v>0</v>
      </c>
      <c r="K845" t="n">
        <v>0</v>
      </c>
      <c r="L845" t="n">
        <v>0</v>
      </c>
      <c r="M845" t="n">
        <v>0</v>
      </c>
      <c r="N845" t="n">
        <v>0</v>
      </c>
      <c r="O845" t="n">
        <v>0</v>
      </c>
      <c r="P845" t="n">
        <v>0</v>
      </c>
      <c r="Q845" t="n">
        <v>0</v>
      </c>
      <c r="R845" s="2" t="inlineStr"/>
    </row>
    <row r="846" ht="15" customHeight="1">
      <c r="A846" t="inlineStr">
        <is>
          <t>A 56666-2025</t>
        </is>
      </c>
      <c r="B846" s="1" t="n">
        <v>45975.67747685185</v>
      </c>
      <c r="C846" s="1" t="n">
        <v>46001</v>
      </c>
      <c r="D846" t="inlineStr">
        <is>
          <t>VÄSTERNORRLANDS LÄN</t>
        </is>
      </c>
      <c r="E846" t="inlineStr">
        <is>
          <t>ÅNGE</t>
        </is>
      </c>
      <c r="G846" t="n">
        <v>5.2</v>
      </c>
      <c r="H846" t="n">
        <v>0</v>
      </c>
      <c r="I846" t="n">
        <v>0</v>
      </c>
      <c r="J846" t="n">
        <v>0</v>
      </c>
      <c r="K846" t="n">
        <v>0</v>
      </c>
      <c r="L846" t="n">
        <v>0</v>
      </c>
      <c r="M846" t="n">
        <v>0</v>
      </c>
      <c r="N846" t="n">
        <v>0</v>
      </c>
      <c r="O846" t="n">
        <v>0</v>
      </c>
      <c r="P846" t="n">
        <v>0</v>
      </c>
      <c r="Q846" t="n">
        <v>0</v>
      </c>
      <c r="R846" s="2" t="inlineStr"/>
    </row>
    <row r="847" ht="15" customHeight="1">
      <c r="A847" t="inlineStr">
        <is>
          <t>A 34851-2023</t>
        </is>
      </c>
      <c r="B847" s="1" t="n">
        <v>45141</v>
      </c>
      <c r="C847" s="1" t="n">
        <v>46001</v>
      </c>
      <c r="D847" t="inlineStr">
        <is>
          <t>VÄSTERNORRLANDS LÄN</t>
        </is>
      </c>
      <c r="E847" t="inlineStr">
        <is>
          <t>ÅNGE</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36740-2025</t>
        </is>
      </c>
      <c r="B848" s="1" t="n">
        <v>45873.53237268519</v>
      </c>
      <c r="C848" s="1" t="n">
        <v>46001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36249-2025</t>
        </is>
      </c>
      <c r="B849" s="1" t="n">
        <v>45867</v>
      </c>
      <c r="C849" s="1" t="n">
        <v>46001</v>
      </c>
      <c r="D849" t="inlineStr">
        <is>
          <t>VÄSTERNORRLANDS LÄN</t>
        </is>
      </c>
      <c r="E849" t="inlineStr">
        <is>
          <t>ÅNGE</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18112-2025</t>
        </is>
      </c>
      <c r="B850" s="1" t="n">
        <v>45761.57350694444</v>
      </c>
      <c r="C850" s="1" t="n">
        <v>46001</v>
      </c>
      <c r="D850" t="inlineStr">
        <is>
          <t>VÄSTERNORRLANDS LÄN</t>
        </is>
      </c>
      <c r="E850" t="inlineStr">
        <is>
          <t>ÅNGE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57457-2025</t>
        </is>
      </c>
      <c r="B851" s="1" t="n">
        <v>45980.53001157408</v>
      </c>
      <c r="C851" s="1" t="n">
        <v>46001</v>
      </c>
      <c r="D851" t="inlineStr">
        <is>
          <t>VÄSTERNORRLANDS LÄN</t>
        </is>
      </c>
      <c r="E851" t="inlineStr">
        <is>
          <t>ÅNGE</t>
        </is>
      </c>
      <c r="G851" t="n">
        <v>2.4</v>
      </c>
      <c r="H851" t="n">
        <v>0</v>
      </c>
      <c r="I851" t="n">
        <v>0</v>
      </c>
      <c r="J851" t="n">
        <v>0</v>
      </c>
      <c r="K851" t="n">
        <v>0</v>
      </c>
      <c r="L851" t="n">
        <v>0</v>
      </c>
      <c r="M851" t="n">
        <v>0</v>
      </c>
      <c r="N851" t="n">
        <v>0</v>
      </c>
      <c r="O851" t="n">
        <v>0</v>
      </c>
      <c r="P851" t="n">
        <v>0</v>
      </c>
      <c r="Q851" t="n">
        <v>0</v>
      </c>
      <c r="R851" s="2" t="inlineStr"/>
    </row>
    <row r="852" ht="15" customHeight="1">
      <c r="A852" t="inlineStr">
        <is>
          <t>A 36723-2025</t>
        </is>
      </c>
      <c r="B852" s="1" t="n">
        <v>45873.47770833333</v>
      </c>
      <c r="C852" s="1" t="n">
        <v>46001</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36674-2025</t>
        </is>
      </c>
      <c r="B853" s="1" t="n">
        <v>45873.3930787037</v>
      </c>
      <c r="C853" s="1" t="n">
        <v>46001</v>
      </c>
      <c r="D853" t="inlineStr">
        <is>
          <t>VÄSTERNORRLANDS LÄN</t>
        </is>
      </c>
      <c r="E853" t="inlineStr">
        <is>
          <t>ÅNGE</t>
        </is>
      </c>
      <c r="G853" t="n">
        <v>0.5</v>
      </c>
      <c r="H853" t="n">
        <v>0</v>
      </c>
      <c r="I853" t="n">
        <v>0</v>
      </c>
      <c r="J853" t="n">
        <v>0</v>
      </c>
      <c r="K853" t="n">
        <v>0</v>
      </c>
      <c r="L853" t="n">
        <v>0</v>
      </c>
      <c r="M853" t="n">
        <v>0</v>
      </c>
      <c r="N853" t="n">
        <v>0</v>
      </c>
      <c r="O853" t="n">
        <v>0</v>
      </c>
      <c r="P853" t="n">
        <v>0</v>
      </c>
      <c r="Q853" t="n">
        <v>0</v>
      </c>
      <c r="R853" s="2" t="inlineStr"/>
    </row>
    <row r="854" ht="15" customHeight="1">
      <c r="A854" t="inlineStr">
        <is>
          <t>A 49377-2025</t>
        </is>
      </c>
      <c r="B854" s="1" t="n">
        <v>45938.63626157407</v>
      </c>
      <c r="C854" s="1" t="n">
        <v>46001</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58613-2023</t>
        </is>
      </c>
      <c r="B855" s="1" t="n">
        <v>45251.50709490741</v>
      </c>
      <c r="C855" s="1" t="n">
        <v>46001</v>
      </c>
      <c r="D855" t="inlineStr">
        <is>
          <t>VÄSTERNORRLANDS LÄN</t>
        </is>
      </c>
      <c r="E855" t="inlineStr">
        <is>
          <t>ÅNGE</t>
        </is>
      </c>
      <c r="F855" t="inlineStr">
        <is>
          <t>Övriga Aktiebolag</t>
        </is>
      </c>
      <c r="G855" t="n">
        <v>1.9</v>
      </c>
      <c r="H855" t="n">
        <v>0</v>
      </c>
      <c r="I855" t="n">
        <v>0</v>
      </c>
      <c r="J855" t="n">
        <v>0</v>
      </c>
      <c r="K855" t="n">
        <v>0</v>
      </c>
      <c r="L855" t="n">
        <v>0</v>
      </c>
      <c r="M855" t="n">
        <v>0</v>
      </c>
      <c r="N855" t="n">
        <v>0</v>
      </c>
      <c r="O855" t="n">
        <v>0</v>
      </c>
      <c r="P855" t="n">
        <v>0</v>
      </c>
      <c r="Q855" t="n">
        <v>0</v>
      </c>
      <c r="R855" s="2" t="inlineStr"/>
    </row>
    <row r="856" ht="15" customHeight="1">
      <c r="A856" t="inlineStr">
        <is>
          <t>A 26018-2024</t>
        </is>
      </c>
      <c r="B856" s="1" t="n">
        <v>45467.95998842592</v>
      </c>
      <c r="C856" s="1" t="n">
        <v>46001</v>
      </c>
      <c r="D856" t="inlineStr">
        <is>
          <t>VÄSTERNORRLANDS LÄN</t>
        </is>
      </c>
      <c r="E856" t="inlineStr">
        <is>
          <t>ÅNGE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26021-2024</t>
        </is>
      </c>
      <c r="B857" s="1" t="n">
        <v>45467</v>
      </c>
      <c r="C857" s="1" t="n">
        <v>46001</v>
      </c>
      <c r="D857" t="inlineStr">
        <is>
          <t>VÄSTERNORRLANDS LÄN</t>
        </is>
      </c>
      <c r="E857" t="inlineStr">
        <is>
          <t>ÅNGE</t>
        </is>
      </c>
      <c r="F857" t="inlineStr">
        <is>
          <t>SCA</t>
        </is>
      </c>
      <c r="G857" t="n">
        <v>7.7</v>
      </c>
      <c r="H857" t="n">
        <v>0</v>
      </c>
      <c r="I857" t="n">
        <v>0</v>
      </c>
      <c r="J857" t="n">
        <v>0</v>
      </c>
      <c r="K857" t="n">
        <v>0</v>
      </c>
      <c r="L857" t="n">
        <v>0</v>
      </c>
      <c r="M857" t="n">
        <v>0</v>
      </c>
      <c r="N857" t="n">
        <v>0</v>
      </c>
      <c r="O857" t="n">
        <v>0</v>
      </c>
      <c r="P857" t="n">
        <v>0</v>
      </c>
      <c r="Q857" t="n">
        <v>0</v>
      </c>
      <c r="R857" s="2" t="inlineStr"/>
    </row>
    <row r="858" ht="15" customHeight="1">
      <c r="A858" t="inlineStr">
        <is>
          <t>A 49156-2025</t>
        </is>
      </c>
      <c r="B858" s="1" t="n">
        <v>45938.3458912037</v>
      </c>
      <c r="C858" s="1" t="n">
        <v>46001</v>
      </c>
      <c r="D858" t="inlineStr">
        <is>
          <t>VÄSTERNORRLANDS LÄN</t>
        </is>
      </c>
      <c r="E858" t="inlineStr">
        <is>
          <t>ÅNGE</t>
        </is>
      </c>
      <c r="G858" t="n">
        <v>2.3</v>
      </c>
      <c r="H858" t="n">
        <v>0</v>
      </c>
      <c r="I858" t="n">
        <v>0</v>
      </c>
      <c r="J858" t="n">
        <v>0</v>
      </c>
      <c r="K858" t="n">
        <v>0</v>
      </c>
      <c r="L858" t="n">
        <v>0</v>
      </c>
      <c r="M858" t="n">
        <v>0</v>
      </c>
      <c r="N858" t="n">
        <v>0</v>
      </c>
      <c r="O858" t="n">
        <v>0</v>
      </c>
      <c r="P858" t="n">
        <v>0</v>
      </c>
      <c r="Q858" t="n">
        <v>0</v>
      </c>
      <c r="R858" s="2" t="inlineStr"/>
    </row>
    <row r="859" ht="15" customHeight="1">
      <c r="A859" t="inlineStr">
        <is>
          <t>A 49179-2025</t>
        </is>
      </c>
      <c r="B859" s="1" t="n">
        <v>45938.38579861111</v>
      </c>
      <c r="C859" s="1" t="n">
        <v>46001</v>
      </c>
      <c r="D859" t="inlineStr">
        <is>
          <t>VÄSTERNORRLANDS LÄN</t>
        </is>
      </c>
      <c r="E859" t="inlineStr">
        <is>
          <t>ÅNGE</t>
        </is>
      </c>
      <c r="G859" t="n">
        <v>2.3</v>
      </c>
      <c r="H859" t="n">
        <v>0</v>
      </c>
      <c r="I859" t="n">
        <v>0</v>
      </c>
      <c r="J859" t="n">
        <v>0</v>
      </c>
      <c r="K859" t="n">
        <v>0</v>
      </c>
      <c r="L859" t="n">
        <v>0</v>
      </c>
      <c r="M859" t="n">
        <v>0</v>
      </c>
      <c r="N859" t="n">
        <v>0</v>
      </c>
      <c r="O859" t="n">
        <v>0</v>
      </c>
      <c r="P859" t="n">
        <v>0</v>
      </c>
      <c r="Q859" t="n">
        <v>0</v>
      </c>
      <c r="R859" s="2" t="inlineStr"/>
    </row>
    <row r="860" ht="15" customHeight="1">
      <c r="A860" t="inlineStr">
        <is>
          <t>A 49381-2025</t>
        </is>
      </c>
      <c r="B860" s="1" t="n">
        <v>45938.63694444444</v>
      </c>
      <c r="C860" s="1" t="n">
        <v>46001</v>
      </c>
      <c r="D860" t="inlineStr">
        <is>
          <t>VÄSTERNORRLANDS LÄN</t>
        </is>
      </c>
      <c r="E860" t="inlineStr">
        <is>
          <t>ÅNGE</t>
        </is>
      </c>
      <c r="F860" t="inlineStr">
        <is>
          <t>SCA</t>
        </is>
      </c>
      <c r="G860" t="n">
        <v>20.6</v>
      </c>
      <c r="H860" t="n">
        <v>0</v>
      </c>
      <c r="I860" t="n">
        <v>0</v>
      </c>
      <c r="J860" t="n">
        <v>0</v>
      </c>
      <c r="K860" t="n">
        <v>0</v>
      </c>
      <c r="L860" t="n">
        <v>0</v>
      </c>
      <c r="M860" t="n">
        <v>0</v>
      </c>
      <c r="N860" t="n">
        <v>0</v>
      </c>
      <c r="O860" t="n">
        <v>0</v>
      </c>
      <c r="P860" t="n">
        <v>0</v>
      </c>
      <c r="Q860" t="n">
        <v>0</v>
      </c>
      <c r="R860" s="2" t="inlineStr"/>
    </row>
    <row r="861" ht="15" customHeight="1">
      <c r="A861" t="inlineStr">
        <is>
          <t>A 45932-2023</t>
        </is>
      </c>
      <c r="B861" s="1" t="n">
        <v>45195</v>
      </c>
      <c r="C861" s="1" t="n">
        <v>46001</v>
      </c>
      <c r="D861" t="inlineStr">
        <is>
          <t>VÄSTERNORRLANDS LÄN</t>
        </is>
      </c>
      <c r="E861" t="inlineStr">
        <is>
          <t>ÅNGE</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37045-2025</t>
        </is>
      </c>
      <c r="B862" s="1" t="n">
        <v>45875.34451388889</v>
      </c>
      <c r="C862" s="1" t="n">
        <v>46001</v>
      </c>
      <c r="D862" t="inlineStr">
        <is>
          <t>VÄSTERNORRLANDS LÄN</t>
        </is>
      </c>
      <c r="E862" t="inlineStr">
        <is>
          <t>ÅNGE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37047-2025</t>
        </is>
      </c>
      <c r="B863" s="1" t="n">
        <v>45875.34489583333</v>
      </c>
      <c r="C863" s="1" t="n">
        <v>46001</v>
      </c>
      <c r="D863" t="inlineStr">
        <is>
          <t>VÄSTERNORRLANDS LÄN</t>
        </is>
      </c>
      <c r="E863" t="inlineStr">
        <is>
          <t>ÅNGE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37275-2025</t>
        </is>
      </c>
      <c r="B864" s="1" t="n">
        <v>45876.49003472222</v>
      </c>
      <c r="C864" s="1" t="n">
        <v>46001</v>
      </c>
      <c r="D864" t="inlineStr">
        <is>
          <t>VÄSTERNORRLANDS LÄN</t>
        </is>
      </c>
      <c r="E864" t="inlineStr">
        <is>
          <t>ÅNGE</t>
        </is>
      </c>
      <c r="G864" t="n">
        <v>3.5</v>
      </c>
      <c r="H864" t="n">
        <v>0</v>
      </c>
      <c r="I864" t="n">
        <v>0</v>
      </c>
      <c r="J864" t="n">
        <v>0</v>
      </c>
      <c r="K864" t="n">
        <v>0</v>
      </c>
      <c r="L864" t="n">
        <v>0</v>
      </c>
      <c r="M864" t="n">
        <v>0</v>
      </c>
      <c r="N864" t="n">
        <v>0</v>
      </c>
      <c r="O864" t="n">
        <v>0</v>
      </c>
      <c r="P864" t="n">
        <v>0</v>
      </c>
      <c r="Q864" t="n">
        <v>0</v>
      </c>
      <c r="R864" s="2" t="inlineStr"/>
    </row>
    <row r="865" ht="15" customHeight="1">
      <c r="A865" t="inlineStr">
        <is>
          <t>A 6-2025</t>
        </is>
      </c>
      <c r="B865" s="1" t="n">
        <v>45658.50759259259</v>
      </c>
      <c r="C865" s="1" t="n">
        <v>46001</v>
      </c>
      <c r="D865" t="inlineStr">
        <is>
          <t>VÄSTERNORRLANDS LÄN</t>
        </is>
      </c>
      <c r="E865" t="inlineStr">
        <is>
          <t>ÅNGE</t>
        </is>
      </c>
      <c r="G865" t="n">
        <v>4.3</v>
      </c>
      <c r="H865" t="n">
        <v>0</v>
      </c>
      <c r="I865" t="n">
        <v>0</v>
      </c>
      <c r="J865" t="n">
        <v>0</v>
      </c>
      <c r="K865" t="n">
        <v>0</v>
      </c>
      <c r="L865" t="n">
        <v>0</v>
      </c>
      <c r="M865" t="n">
        <v>0</v>
      </c>
      <c r="N865" t="n">
        <v>0</v>
      </c>
      <c r="O865" t="n">
        <v>0</v>
      </c>
      <c r="P865" t="n">
        <v>0</v>
      </c>
      <c r="Q865" t="n">
        <v>0</v>
      </c>
      <c r="R865" s="2" t="inlineStr"/>
    </row>
    <row r="866" ht="15" customHeight="1">
      <c r="A866" t="inlineStr">
        <is>
          <t>A 37303-2025</t>
        </is>
      </c>
      <c r="B866" s="1" t="n">
        <v>45876.59445601852</v>
      </c>
      <c r="C866" s="1" t="n">
        <v>46001</v>
      </c>
      <c r="D866" t="inlineStr">
        <is>
          <t>VÄSTERNORRLANDS LÄN</t>
        </is>
      </c>
      <c r="E866" t="inlineStr">
        <is>
          <t>ÅNGE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39764-2024</t>
        </is>
      </c>
      <c r="B867" s="1" t="n">
        <v>45552.7190162037</v>
      </c>
      <c r="C867" s="1" t="n">
        <v>46001</v>
      </c>
      <c r="D867" t="inlineStr">
        <is>
          <t>VÄSTERNORRLANDS LÄN</t>
        </is>
      </c>
      <c r="E867" t="inlineStr">
        <is>
          <t>ÅNGE</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37233-2025</t>
        </is>
      </c>
      <c r="B868" s="1" t="n">
        <v>45876.34474537037</v>
      </c>
      <c r="C868" s="1" t="n">
        <v>46001</v>
      </c>
      <c r="D868" t="inlineStr">
        <is>
          <t>VÄSTERNORRLANDS LÄN</t>
        </is>
      </c>
      <c r="E868" t="inlineStr">
        <is>
          <t>ÅNGE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37108-2025</t>
        </is>
      </c>
      <c r="B869" s="1" t="n">
        <v>45875</v>
      </c>
      <c r="C869" s="1" t="n">
        <v>46001</v>
      </c>
      <c r="D869" t="inlineStr">
        <is>
          <t>VÄSTERNORRLANDS LÄN</t>
        </is>
      </c>
      <c r="E869" t="inlineStr">
        <is>
          <t>ÅNGE</t>
        </is>
      </c>
      <c r="G869" t="n">
        <v>4</v>
      </c>
      <c r="H869" t="n">
        <v>0</v>
      </c>
      <c r="I869" t="n">
        <v>0</v>
      </c>
      <c r="J869" t="n">
        <v>0</v>
      </c>
      <c r="K869" t="n">
        <v>0</v>
      </c>
      <c r="L869" t="n">
        <v>0</v>
      </c>
      <c r="M869" t="n">
        <v>0</v>
      </c>
      <c r="N869" t="n">
        <v>0</v>
      </c>
      <c r="O869" t="n">
        <v>0</v>
      </c>
      <c r="P869" t="n">
        <v>0</v>
      </c>
      <c r="Q869" t="n">
        <v>0</v>
      </c>
      <c r="R869" s="2" t="inlineStr"/>
    </row>
    <row r="870" ht="15" customHeight="1">
      <c r="A870" t="inlineStr">
        <is>
          <t>A 37177-2025</t>
        </is>
      </c>
      <c r="B870" s="1" t="n">
        <v>45875.61539351852</v>
      </c>
      <c r="C870" s="1" t="n">
        <v>46001</v>
      </c>
      <c r="D870" t="inlineStr">
        <is>
          <t>VÄSTERNORRLANDS LÄN</t>
        </is>
      </c>
      <c r="E870" t="inlineStr">
        <is>
          <t>ÅNGE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57081-2025</t>
        </is>
      </c>
      <c r="B871" s="1" t="n">
        <v>45979.40826388889</v>
      </c>
      <c r="C871" s="1" t="n">
        <v>46001</v>
      </c>
      <c r="D871" t="inlineStr">
        <is>
          <t>VÄSTERNORRLANDS LÄN</t>
        </is>
      </c>
      <c r="E871" t="inlineStr">
        <is>
          <t>ÅNGE</t>
        </is>
      </c>
      <c r="G871" t="n">
        <v>2.2</v>
      </c>
      <c r="H871" t="n">
        <v>0</v>
      </c>
      <c r="I871" t="n">
        <v>0</v>
      </c>
      <c r="J871" t="n">
        <v>0</v>
      </c>
      <c r="K871" t="n">
        <v>0</v>
      </c>
      <c r="L871" t="n">
        <v>0</v>
      </c>
      <c r="M871" t="n">
        <v>0</v>
      </c>
      <c r="N871" t="n">
        <v>0</v>
      </c>
      <c r="O871" t="n">
        <v>0</v>
      </c>
      <c r="P871" t="n">
        <v>0</v>
      </c>
      <c r="Q871" t="n">
        <v>0</v>
      </c>
      <c r="R871" s="2" t="inlineStr"/>
    </row>
    <row r="872" ht="15" customHeight="1">
      <c r="A872" t="inlineStr">
        <is>
          <t>A 57371-2025</t>
        </is>
      </c>
      <c r="B872" s="1" t="n">
        <v>45980.38586805556</v>
      </c>
      <c r="C872" s="1" t="n">
        <v>46001</v>
      </c>
      <c r="D872" t="inlineStr">
        <is>
          <t>VÄSTERNORRLANDS LÄN</t>
        </is>
      </c>
      <c r="E872" t="inlineStr">
        <is>
          <t>ÅNGE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37371-2025</t>
        </is>
      </c>
      <c r="B873" s="1" t="n">
        <v>45877.34472222222</v>
      </c>
      <c r="C873" s="1" t="n">
        <v>46001</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57283-2025</t>
        </is>
      </c>
      <c r="B874" s="1" t="n">
        <v>45979.71918981482</v>
      </c>
      <c r="C874" s="1" t="n">
        <v>46001</v>
      </c>
      <c r="D874" t="inlineStr">
        <is>
          <t>VÄSTERNORRLANDS LÄN</t>
        </is>
      </c>
      <c r="E874" t="inlineStr">
        <is>
          <t>ÅNGE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57302-2025</t>
        </is>
      </c>
      <c r="B875" s="1" t="n">
        <v>45979.87184027778</v>
      </c>
      <c r="C875" s="1" t="n">
        <v>46001</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37384-2025</t>
        </is>
      </c>
      <c r="B876" s="1" t="n">
        <v>45877.3859837963</v>
      </c>
      <c r="C876" s="1" t="n">
        <v>46001</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37663-2025</t>
        </is>
      </c>
      <c r="B877" s="1" t="n">
        <v>45880.51079861111</v>
      </c>
      <c r="C877" s="1" t="n">
        <v>46001</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53988-2024</t>
        </is>
      </c>
      <c r="B878" s="1" t="n">
        <v>45616.34408564815</v>
      </c>
      <c r="C878" s="1" t="n">
        <v>46001</v>
      </c>
      <c r="D878" t="inlineStr">
        <is>
          <t>VÄSTERNORRLANDS LÄN</t>
        </is>
      </c>
      <c r="E878" t="inlineStr">
        <is>
          <t>ÅNGE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54002-2024</t>
        </is>
      </c>
      <c r="B879" s="1" t="n">
        <v>45616.36491898148</v>
      </c>
      <c r="C879" s="1" t="n">
        <v>46001</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37723-2025</t>
        </is>
      </c>
      <c r="B880" s="1" t="n">
        <v>45880.61528935185</v>
      </c>
      <c r="C880" s="1" t="n">
        <v>46001</v>
      </c>
      <c r="D880" t="inlineStr">
        <is>
          <t>VÄSTERNORRLANDS LÄN</t>
        </is>
      </c>
      <c r="E880" t="inlineStr">
        <is>
          <t>ÅNGE</t>
        </is>
      </c>
      <c r="G880" t="n">
        <v>3</v>
      </c>
      <c r="H880" t="n">
        <v>0</v>
      </c>
      <c r="I880" t="n">
        <v>0</v>
      </c>
      <c r="J880" t="n">
        <v>0</v>
      </c>
      <c r="K880" t="n">
        <v>0</v>
      </c>
      <c r="L880" t="n">
        <v>0</v>
      </c>
      <c r="M880" t="n">
        <v>0</v>
      </c>
      <c r="N880" t="n">
        <v>0</v>
      </c>
      <c r="O880" t="n">
        <v>0</v>
      </c>
      <c r="P880" t="n">
        <v>0</v>
      </c>
      <c r="Q880" t="n">
        <v>0</v>
      </c>
      <c r="R880" s="2" t="inlineStr"/>
    </row>
    <row r="881" ht="15" customHeight="1">
      <c r="A881" t="inlineStr">
        <is>
          <t>A 37383-2025</t>
        </is>
      </c>
      <c r="B881" s="1" t="n">
        <v>45877.38581018519</v>
      </c>
      <c r="C881" s="1" t="n">
        <v>46001</v>
      </c>
      <c r="D881" t="inlineStr">
        <is>
          <t>VÄSTERNORRLANDS LÄN</t>
        </is>
      </c>
      <c r="E881" t="inlineStr">
        <is>
          <t>ÅNGE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57022-2025</t>
        </is>
      </c>
      <c r="B882" s="1" t="n">
        <v>45978.88921296296</v>
      </c>
      <c r="C882" s="1" t="n">
        <v>46001</v>
      </c>
      <c r="D882" t="inlineStr">
        <is>
          <t>VÄSTERNORRLANDS LÄN</t>
        </is>
      </c>
      <c r="E882" t="inlineStr">
        <is>
          <t>ÅNGE</t>
        </is>
      </c>
      <c r="G882" t="n">
        <v>1.2</v>
      </c>
      <c r="H882" t="n">
        <v>0</v>
      </c>
      <c r="I882" t="n">
        <v>0</v>
      </c>
      <c r="J882" t="n">
        <v>0</v>
      </c>
      <c r="K882" t="n">
        <v>0</v>
      </c>
      <c r="L882" t="n">
        <v>0</v>
      </c>
      <c r="M882" t="n">
        <v>0</v>
      </c>
      <c r="N882" t="n">
        <v>0</v>
      </c>
      <c r="O882" t="n">
        <v>0</v>
      </c>
      <c r="P882" t="n">
        <v>0</v>
      </c>
      <c r="Q882" t="n">
        <v>0</v>
      </c>
      <c r="R882" s="2" t="inlineStr"/>
    </row>
    <row r="883" ht="15" customHeight="1">
      <c r="A883" t="inlineStr">
        <is>
          <t>A 37719-2025</t>
        </is>
      </c>
      <c r="B883" s="1" t="n">
        <v>45880.61505787037</v>
      </c>
      <c r="C883" s="1" t="n">
        <v>46001</v>
      </c>
      <c r="D883" t="inlineStr">
        <is>
          <t>VÄSTERNORRLANDS LÄN</t>
        </is>
      </c>
      <c r="E883" t="inlineStr">
        <is>
          <t>ÅNGE</t>
        </is>
      </c>
      <c r="G883" t="n">
        <v>1.7</v>
      </c>
      <c r="H883" t="n">
        <v>0</v>
      </c>
      <c r="I883" t="n">
        <v>0</v>
      </c>
      <c r="J883" t="n">
        <v>0</v>
      </c>
      <c r="K883" t="n">
        <v>0</v>
      </c>
      <c r="L883" t="n">
        <v>0</v>
      </c>
      <c r="M883" t="n">
        <v>0</v>
      </c>
      <c r="N883" t="n">
        <v>0</v>
      </c>
      <c r="O883" t="n">
        <v>0</v>
      </c>
      <c r="P883" t="n">
        <v>0</v>
      </c>
      <c r="Q883" t="n">
        <v>0</v>
      </c>
      <c r="R883" s="2" t="inlineStr"/>
    </row>
    <row r="884" ht="15" customHeight="1">
      <c r="A884" t="inlineStr">
        <is>
          <t>A 48697-2024</t>
        </is>
      </c>
      <c r="B884" s="1" t="n">
        <v>45593.51136574074</v>
      </c>
      <c r="C884" s="1" t="n">
        <v>46001</v>
      </c>
      <c r="D884" t="inlineStr">
        <is>
          <t>VÄSTERNORRLANDS LÄN</t>
        </is>
      </c>
      <c r="E884" t="inlineStr">
        <is>
          <t>ÅNGE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20110-2023</t>
        </is>
      </c>
      <c r="B885" s="1" t="n">
        <v>45051</v>
      </c>
      <c r="C885" s="1" t="n">
        <v>46001</v>
      </c>
      <c r="D885" t="inlineStr">
        <is>
          <t>VÄSTERNORRLANDS LÄN</t>
        </is>
      </c>
      <c r="E885" t="inlineStr">
        <is>
          <t>ÅNGE</t>
        </is>
      </c>
      <c r="G885" t="n">
        <v>2.5</v>
      </c>
      <c r="H885" t="n">
        <v>0</v>
      </c>
      <c r="I885" t="n">
        <v>0</v>
      </c>
      <c r="J885" t="n">
        <v>0</v>
      </c>
      <c r="K885" t="n">
        <v>0</v>
      </c>
      <c r="L885" t="n">
        <v>0</v>
      </c>
      <c r="M885" t="n">
        <v>0</v>
      </c>
      <c r="N885" t="n">
        <v>0</v>
      </c>
      <c r="O885" t="n">
        <v>0</v>
      </c>
      <c r="P885" t="n">
        <v>0</v>
      </c>
      <c r="Q885" t="n">
        <v>0</v>
      </c>
      <c r="R885" s="2" t="inlineStr"/>
    </row>
    <row r="886" ht="15" customHeight="1">
      <c r="A886" t="inlineStr">
        <is>
          <t>A 34726-2024</t>
        </is>
      </c>
      <c r="B886" s="1" t="n">
        <v>45526.5733912037</v>
      </c>
      <c r="C886" s="1" t="n">
        <v>46001</v>
      </c>
      <c r="D886" t="inlineStr">
        <is>
          <t>VÄSTERNORRLANDS LÄN</t>
        </is>
      </c>
      <c r="E886" t="inlineStr">
        <is>
          <t>ÅNGE</t>
        </is>
      </c>
      <c r="G886" t="n">
        <v>1.9</v>
      </c>
      <c r="H886" t="n">
        <v>0</v>
      </c>
      <c r="I886" t="n">
        <v>0</v>
      </c>
      <c r="J886" t="n">
        <v>0</v>
      </c>
      <c r="K886" t="n">
        <v>0</v>
      </c>
      <c r="L886" t="n">
        <v>0</v>
      </c>
      <c r="M886" t="n">
        <v>0</v>
      </c>
      <c r="N886" t="n">
        <v>0</v>
      </c>
      <c r="O886" t="n">
        <v>0</v>
      </c>
      <c r="P886" t="n">
        <v>0</v>
      </c>
      <c r="Q886" t="n">
        <v>0</v>
      </c>
      <c r="R886" s="2" t="inlineStr"/>
    </row>
    <row r="887" ht="15" customHeight="1">
      <c r="A887" t="inlineStr">
        <is>
          <t>A 11764-2024</t>
        </is>
      </c>
      <c r="B887" s="1" t="n">
        <v>45373.94837962963</v>
      </c>
      <c r="C887" s="1" t="n">
        <v>46001</v>
      </c>
      <c r="D887" t="inlineStr">
        <is>
          <t>VÄSTERNORRLANDS LÄN</t>
        </is>
      </c>
      <c r="E887" t="inlineStr">
        <is>
          <t>ÅNGE</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38078-2025</t>
        </is>
      </c>
      <c r="B888" s="1" t="n">
        <v>45882.46918981482</v>
      </c>
      <c r="C888" s="1" t="n">
        <v>46001</v>
      </c>
      <c r="D888" t="inlineStr">
        <is>
          <t>VÄSTERNORRLANDS LÄN</t>
        </is>
      </c>
      <c r="E888" t="inlineStr">
        <is>
          <t>ÅNGE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54059-2024</t>
        </is>
      </c>
      <c r="B889" s="1" t="n">
        <v>45616.46943287037</v>
      </c>
      <c r="C889" s="1" t="n">
        <v>46001</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37919-2025</t>
        </is>
      </c>
      <c r="B890" s="1" t="n">
        <v>45881.57478009259</v>
      </c>
      <c r="C890" s="1" t="n">
        <v>46001</v>
      </c>
      <c r="D890" t="inlineStr">
        <is>
          <t>VÄSTERNORRLANDS LÄN</t>
        </is>
      </c>
      <c r="E890" t="inlineStr">
        <is>
          <t>ÅNGE</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37802-2025</t>
        </is>
      </c>
      <c r="B891" s="1" t="n">
        <v>45881.34447916667</v>
      </c>
      <c r="C891" s="1" t="n">
        <v>46001</v>
      </c>
      <c r="D891" t="inlineStr">
        <is>
          <t>VÄSTERNORRLANDS LÄN</t>
        </is>
      </c>
      <c r="E891" t="inlineStr">
        <is>
          <t>ÅNGE</t>
        </is>
      </c>
      <c r="F891" t="inlineStr">
        <is>
          <t>SCA</t>
        </is>
      </c>
      <c r="G891" t="n">
        <v>4.2</v>
      </c>
      <c r="H891" t="n">
        <v>0</v>
      </c>
      <c r="I891" t="n">
        <v>0</v>
      </c>
      <c r="J891" t="n">
        <v>0</v>
      </c>
      <c r="K891" t="n">
        <v>0</v>
      </c>
      <c r="L891" t="n">
        <v>0</v>
      </c>
      <c r="M891" t="n">
        <v>0</v>
      </c>
      <c r="N891" t="n">
        <v>0</v>
      </c>
      <c r="O891" t="n">
        <v>0</v>
      </c>
      <c r="P891" t="n">
        <v>0</v>
      </c>
      <c r="Q891" t="n">
        <v>0</v>
      </c>
      <c r="R891" s="2" t="inlineStr"/>
    </row>
    <row r="892" ht="15" customHeight="1">
      <c r="A892" t="inlineStr">
        <is>
          <t>A 57950-2025</t>
        </is>
      </c>
      <c r="B892" s="1" t="n">
        <v>45982.34473379629</v>
      </c>
      <c r="C892" s="1" t="n">
        <v>46001</v>
      </c>
      <c r="D892" t="inlineStr">
        <is>
          <t>VÄSTERNORRLANDS LÄN</t>
        </is>
      </c>
      <c r="E892" t="inlineStr">
        <is>
          <t>ÅNGE</t>
        </is>
      </c>
      <c r="G892" t="n">
        <v>0.8</v>
      </c>
      <c r="H892" t="n">
        <v>0</v>
      </c>
      <c r="I892" t="n">
        <v>0</v>
      </c>
      <c r="J892" t="n">
        <v>0</v>
      </c>
      <c r="K892" t="n">
        <v>0</v>
      </c>
      <c r="L892" t="n">
        <v>0</v>
      </c>
      <c r="M892" t="n">
        <v>0</v>
      </c>
      <c r="N892" t="n">
        <v>0</v>
      </c>
      <c r="O892" t="n">
        <v>0</v>
      </c>
      <c r="P892" t="n">
        <v>0</v>
      </c>
      <c r="Q892" t="n">
        <v>0</v>
      </c>
      <c r="R892" s="2" t="inlineStr"/>
    </row>
    <row r="893" ht="15" customHeight="1">
      <c r="A893" t="inlineStr">
        <is>
          <t>A 57960-2025</t>
        </is>
      </c>
      <c r="B893" s="1" t="n">
        <v>45982.36494212963</v>
      </c>
      <c r="C893" s="1" t="n">
        <v>46001</v>
      </c>
      <c r="D893" t="inlineStr">
        <is>
          <t>VÄSTERNORRLANDS LÄN</t>
        </is>
      </c>
      <c r="E893" t="inlineStr">
        <is>
          <t>ÅNGE</t>
        </is>
      </c>
      <c r="F893" t="inlineStr">
        <is>
          <t>SCA</t>
        </is>
      </c>
      <c r="G893" t="n">
        <v>0.2</v>
      </c>
      <c r="H893" t="n">
        <v>0</v>
      </c>
      <c r="I893" t="n">
        <v>0</v>
      </c>
      <c r="J893" t="n">
        <v>0</v>
      </c>
      <c r="K893" t="n">
        <v>0</v>
      </c>
      <c r="L893" t="n">
        <v>0</v>
      </c>
      <c r="M893" t="n">
        <v>0</v>
      </c>
      <c r="N893" t="n">
        <v>0</v>
      </c>
      <c r="O893" t="n">
        <v>0</v>
      </c>
      <c r="P893" t="n">
        <v>0</v>
      </c>
      <c r="Q893" t="n">
        <v>0</v>
      </c>
      <c r="R893" s="2" t="inlineStr"/>
    </row>
    <row r="894" ht="15" customHeight="1">
      <c r="A894" t="inlineStr">
        <is>
          <t>A 56849-2025</t>
        </is>
      </c>
      <c r="B894" s="1" t="n">
        <v>45978.48989583334</v>
      </c>
      <c r="C894" s="1" t="n">
        <v>46001</v>
      </c>
      <c r="D894" t="inlineStr">
        <is>
          <t>VÄSTERNORRLANDS LÄN</t>
        </is>
      </c>
      <c r="E894" t="inlineStr">
        <is>
          <t>ÅNGE</t>
        </is>
      </c>
      <c r="G894" t="n">
        <v>0.9</v>
      </c>
      <c r="H894" t="n">
        <v>0</v>
      </c>
      <c r="I894" t="n">
        <v>0</v>
      </c>
      <c r="J894" t="n">
        <v>0</v>
      </c>
      <c r="K894" t="n">
        <v>0</v>
      </c>
      <c r="L894" t="n">
        <v>0</v>
      </c>
      <c r="M894" t="n">
        <v>0</v>
      </c>
      <c r="N894" t="n">
        <v>0</v>
      </c>
      <c r="O894" t="n">
        <v>0</v>
      </c>
      <c r="P894" t="n">
        <v>0</v>
      </c>
      <c r="Q894" t="n">
        <v>0</v>
      </c>
      <c r="R894" s="2" t="inlineStr"/>
    </row>
    <row r="895" ht="15" customHeight="1">
      <c r="A895" t="inlineStr">
        <is>
          <t>A 44158-2024</t>
        </is>
      </c>
      <c r="B895" s="1" t="n">
        <v>45572</v>
      </c>
      <c r="C895" s="1" t="n">
        <v>46001</v>
      </c>
      <c r="D895" t="inlineStr">
        <is>
          <t>VÄSTERNORRLANDS LÄN</t>
        </is>
      </c>
      <c r="E895" t="inlineStr">
        <is>
          <t>ÅNGE</t>
        </is>
      </c>
      <c r="G895" t="n">
        <v>2.6</v>
      </c>
      <c r="H895" t="n">
        <v>0</v>
      </c>
      <c r="I895" t="n">
        <v>0</v>
      </c>
      <c r="J895" t="n">
        <v>0</v>
      </c>
      <c r="K895" t="n">
        <v>0</v>
      </c>
      <c r="L895" t="n">
        <v>0</v>
      </c>
      <c r="M895" t="n">
        <v>0</v>
      </c>
      <c r="N895" t="n">
        <v>0</v>
      </c>
      <c r="O895" t="n">
        <v>0</v>
      </c>
      <c r="P895" t="n">
        <v>0</v>
      </c>
      <c r="Q895" t="n">
        <v>0</v>
      </c>
      <c r="R895" s="2" t="inlineStr"/>
    </row>
    <row r="896" ht="15" customHeight="1">
      <c r="A896" t="inlineStr">
        <is>
          <t>A 57615-2025</t>
        </is>
      </c>
      <c r="B896" s="1" t="n">
        <v>45981.34431712963</v>
      </c>
      <c r="C896" s="1" t="n">
        <v>46001</v>
      </c>
      <c r="D896" t="inlineStr">
        <is>
          <t>VÄSTERNORRLANDS LÄN</t>
        </is>
      </c>
      <c r="E896" t="inlineStr">
        <is>
          <t>ÅNGE</t>
        </is>
      </c>
      <c r="G896" t="n">
        <v>3.4</v>
      </c>
      <c r="H896" t="n">
        <v>0</v>
      </c>
      <c r="I896" t="n">
        <v>0</v>
      </c>
      <c r="J896" t="n">
        <v>0</v>
      </c>
      <c r="K896" t="n">
        <v>0</v>
      </c>
      <c r="L896" t="n">
        <v>0</v>
      </c>
      <c r="M896" t="n">
        <v>0</v>
      </c>
      <c r="N896" t="n">
        <v>0</v>
      </c>
      <c r="O896" t="n">
        <v>0</v>
      </c>
      <c r="P896" t="n">
        <v>0</v>
      </c>
      <c r="Q896" t="n">
        <v>0</v>
      </c>
      <c r="R896" s="2" t="inlineStr"/>
    </row>
    <row r="897" ht="15" customHeight="1">
      <c r="A897" t="inlineStr">
        <is>
          <t>A 49562-2025</t>
        </is>
      </c>
      <c r="B897" s="1" t="n">
        <v>45939.46524305556</v>
      </c>
      <c r="C897" s="1" t="n">
        <v>46001</v>
      </c>
      <c r="D897" t="inlineStr">
        <is>
          <t>VÄSTERNORRLANDS LÄN</t>
        </is>
      </c>
      <c r="E897" t="inlineStr">
        <is>
          <t>ÅNGE</t>
        </is>
      </c>
      <c r="G897" t="n">
        <v>4.4</v>
      </c>
      <c r="H897" t="n">
        <v>0</v>
      </c>
      <c r="I897" t="n">
        <v>0</v>
      </c>
      <c r="J897" t="n">
        <v>0</v>
      </c>
      <c r="K897" t="n">
        <v>0</v>
      </c>
      <c r="L897" t="n">
        <v>0</v>
      </c>
      <c r="M897" t="n">
        <v>0</v>
      </c>
      <c r="N897" t="n">
        <v>0</v>
      </c>
      <c r="O897" t="n">
        <v>0</v>
      </c>
      <c r="P897" t="n">
        <v>0</v>
      </c>
      <c r="Q897" t="n">
        <v>0</v>
      </c>
      <c r="R897" s="2" t="inlineStr"/>
    </row>
    <row r="898" ht="15" customHeight="1">
      <c r="A898" t="inlineStr">
        <is>
          <t>A 2299-2025</t>
        </is>
      </c>
      <c r="B898" s="1" t="n">
        <v>45673.59516203704</v>
      </c>
      <c r="C898" s="1" t="n">
        <v>46001</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57991-2025</t>
        </is>
      </c>
      <c r="B899" s="1" t="n">
        <v>45982.42438657407</v>
      </c>
      <c r="C899" s="1" t="n">
        <v>46001</v>
      </c>
      <c r="D899" t="inlineStr">
        <is>
          <t>VÄSTERNORRLANDS LÄN</t>
        </is>
      </c>
      <c r="E899" t="inlineStr">
        <is>
          <t>ÅNGE</t>
        </is>
      </c>
      <c r="G899" t="n">
        <v>3.2</v>
      </c>
      <c r="H899" t="n">
        <v>0</v>
      </c>
      <c r="I899" t="n">
        <v>0</v>
      </c>
      <c r="J899" t="n">
        <v>0</v>
      </c>
      <c r="K899" t="n">
        <v>0</v>
      </c>
      <c r="L899" t="n">
        <v>0</v>
      </c>
      <c r="M899" t="n">
        <v>0</v>
      </c>
      <c r="N899" t="n">
        <v>0</v>
      </c>
      <c r="O899" t="n">
        <v>0</v>
      </c>
      <c r="P899" t="n">
        <v>0</v>
      </c>
      <c r="Q899" t="n">
        <v>0</v>
      </c>
      <c r="R899" s="2" t="inlineStr"/>
    </row>
    <row r="900" ht="15" customHeight="1">
      <c r="A900" t="inlineStr">
        <is>
          <t>A 49476-2025</t>
        </is>
      </c>
      <c r="B900" s="1" t="n">
        <v>45939.34506944445</v>
      </c>
      <c r="C900" s="1" t="n">
        <v>46001</v>
      </c>
      <c r="D900" t="inlineStr">
        <is>
          <t>VÄSTERNORRLANDS LÄN</t>
        </is>
      </c>
      <c r="E900" t="inlineStr">
        <is>
          <t>ÅNGE</t>
        </is>
      </c>
      <c r="F900" t="inlineStr">
        <is>
          <t>SCA</t>
        </is>
      </c>
      <c r="G900" t="n">
        <v>11.4</v>
      </c>
      <c r="H900" t="n">
        <v>0</v>
      </c>
      <c r="I900" t="n">
        <v>0</v>
      </c>
      <c r="J900" t="n">
        <v>0</v>
      </c>
      <c r="K900" t="n">
        <v>0</v>
      </c>
      <c r="L900" t="n">
        <v>0</v>
      </c>
      <c r="M900" t="n">
        <v>0</v>
      </c>
      <c r="N900" t="n">
        <v>0</v>
      </c>
      <c r="O900" t="n">
        <v>0</v>
      </c>
      <c r="P900" t="n">
        <v>0</v>
      </c>
      <c r="Q900" t="n">
        <v>0</v>
      </c>
      <c r="R900" s="2" t="inlineStr"/>
    </row>
    <row r="901" ht="15" customHeight="1">
      <c r="A901" t="inlineStr">
        <is>
          <t>A 44639-2023</t>
        </is>
      </c>
      <c r="B901" s="1" t="n">
        <v>45184</v>
      </c>
      <c r="C901" s="1" t="n">
        <v>46001</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58048-2025</t>
        </is>
      </c>
      <c r="B902" s="1" t="n">
        <v>45982.5109837963</v>
      </c>
      <c r="C902" s="1" t="n">
        <v>46001</v>
      </c>
      <c r="D902" t="inlineStr">
        <is>
          <t>VÄSTERNORRLANDS LÄN</t>
        </is>
      </c>
      <c r="E902" t="inlineStr">
        <is>
          <t>ÅNGE</t>
        </is>
      </c>
      <c r="F902" t="inlineStr">
        <is>
          <t>SCA</t>
        </is>
      </c>
      <c r="G902" t="n">
        <v>6.5</v>
      </c>
      <c r="H902" t="n">
        <v>0</v>
      </c>
      <c r="I902" t="n">
        <v>0</v>
      </c>
      <c r="J902" t="n">
        <v>0</v>
      </c>
      <c r="K902" t="n">
        <v>0</v>
      </c>
      <c r="L902" t="n">
        <v>0</v>
      </c>
      <c r="M902" t="n">
        <v>0</v>
      </c>
      <c r="N902" t="n">
        <v>0</v>
      </c>
      <c r="O902" t="n">
        <v>0</v>
      </c>
      <c r="P902" t="n">
        <v>0</v>
      </c>
      <c r="Q902" t="n">
        <v>0</v>
      </c>
      <c r="R902" s="2" t="inlineStr"/>
    </row>
    <row r="903" ht="15" customHeight="1">
      <c r="A903" t="inlineStr">
        <is>
          <t>A 17009-2023</t>
        </is>
      </c>
      <c r="B903" s="1" t="n">
        <v>45033.9455787037</v>
      </c>
      <c r="C903" s="1" t="n">
        <v>46001</v>
      </c>
      <c r="D903" t="inlineStr">
        <is>
          <t>VÄSTERNORRLANDS LÄN</t>
        </is>
      </c>
      <c r="E903" t="inlineStr">
        <is>
          <t>ÅNGE</t>
        </is>
      </c>
      <c r="F903" t="inlineStr">
        <is>
          <t>SCA</t>
        </is>
      </c>
      <c r="G903" t="n">
        <v>5.8</v>
      </c>
      <c r="H903" t="n">
        <v>0</v>
      </c>
      <c r="I903" t="n">
        <v>0</v>
      </c>
      <c r="J903" t="n">
        <v>0</v>
      </c>
      <c r="K903" t="n">
        <v>0</v>
      </c>
      <c r="L903" t="n">
        <v>0</v>
      </c>
      <c r="M903" t="n">
        <v>0</v>
      </c>
      <c r="N903" t="n">
        <v>0</v>
      </c>
      <c r="O903" t="n">
        <v>0</v>
      </c>
      <c r="P903" t="n">
        <v>0</v>
      </c>
      <c r="Q903" t="n">
        <v>0</v>
      </c>
      <c r="R903" s="2" t="inlineStr"/>
    </row>
    <row r="904" ht="15" customHeight="1">
      <c r="A904" t="inlineStr">
        <is>
          <t>A 60578-2024</t>
        </is>
      </c>
      <c r="B904" s="1" t="n">
        <v>45644.34434027778</v>
      </c>
      <c r="C904" s="1" t="n">
        <v>46001</v>
      </c>
      <c r="D904" t="inlineStr">
        <is>
          <t>VÄSTERNORRLANDS LÄN</t>
        </is>
      </c>
      <c r="E904" t="inlineStr">
        <is>
          <t>ÅNGE</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24977-2021</t>
        </is>
      </c>
      <c r="B905" s="1" t="n">
        <v>44341.51386574074</v>
      </c>
      <c r="C905" s="1" t="n">
        <v>46001</v>
      </c>
      <c r="D905" t="inlineStr">
        <is>
          <t>VÄSTERNORRLANDS LÄN</t>
        </is>
      </c>
      <c r="E905" t="inlineStr">
        <is>
          <t>ÅNGE</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25034-2023</t>
        </is>
      </c>
      <c r="B906" s="1" t="n">
        <v>45085</v>
      </c>
      <c r="C906" s="1" t="n">
        <v>46001</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49669-2025</t>
        </is>
      </c>
      <c r="B907" s="1" t="n">
        <v>45939.63710648148</v>
      </c>
      <c r="C907" s="1" t="n">
        <v>46001</v>
      </c>
      <c r="D907" t="inlineStr">
        <is>
          <t>VÄSTERNORRLANDS LÄN</t>
        </is>
      </c>
      <c r="E907" t="inlineStr">
        <is>
          <t>ÅNGE</t>
        </is>
      </c>
      <c r="F907" t="inlineStr">
        <is>
          <t>SCA</t>
        </is>
      </c>
      <c r="G907" t="n">
        <v>7.1</v>
      </c>
      <c r="H907" t="n">
        <v>0</v>
      </c>
      <c r="I907" t="n">
        <v>0</v>
      </c>
      <c r="J907" t="n">
        <v>0</v>
      </c>
      <c r="K907" t="n">
        <v>0</v>
      </c>
      <c r="L907" t="n">
        <v>0</v>
      </c>
      <c r="M907" t="n">
        <v>0</v>
      </c>
      <c r="N907" t="n">
        <v>0</v>
      </c>
      <c r="O907" t="n">
        <v>0</v>
      </c>
      <c r="P907" t="n">
        <v>0</v>
      </c>
      <c r="Q907" t="n">
        <v>0</v>
      </c>
      <c r="R907" s="2" t="inlineStr"/>
    </row>
    <row r="908" ht="15" customHeight="1">
      <c r="A908" t="inlineStr">
        <is>
          <t>A 49603-2025</t>
        </is>
      </c>
      <c r="B908" s="1" t="n">
        <v>45939.5484375</v>
      </c>
      <c r="C908" s="1" t="n">
        <v>46001</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49600-2025</t>
        </is>
      </c>
      <c r="B909" s="1" t="n">
        <v>45939.54434027777</v>
      </c>
      <c r="C909" s="1" t="n">
        <v>46001</v>
      </c>
      <c r="D909" t="inlineStr">
        <is>
          <t>VÄSTERNORRLANDS LÄN</t>
        </is>
      </c>
      <c r="E909" t="inlineStr">
        <is>
          <t>ÅNGE</t>
        </is>
      </c>
      <c r="G909" t="n">
        <v>1.4</v>
      </c>
      <c r="H909" t="n">
        <v>0</v>
      </c>
      <c r="I909" t="n">
        <v>0</v>
      </c>
      <c r="J909" t="n">
        <v>0</v>
      </c>
      <c r="K909" t="n">
        <v>0</v>
      </c>
      <c r="L909" t="n">
        <v>0</v>
      </c>
      <c r="M909" t="n">
        <v>0</v>
      </c>
      <c r="N909" t="n">
        <v>0</v>
      </c>
      <c r="O909" t="n">
        <v>0</v>
      </c>
      <c r="P909" t="n">
        <v>0</v>
      </c>
      <c r="Q909" t="n">
        <v>0</v>
      </c>
      <c r="R909" s="2" t="inlineStr"/>
    </row>
    <row r="910" ht="15" customHeight="1">
      <c r="A910" t="inlineStr">
        <is>
          <t>A 49566-2025</t>
        </is>
      </c>
      <c r="B910" s="1" t="n">
        <v>45939.46939814815</v>
      </c>
      <c r="C910" s="1" t="n">
        <v>46001</v>
      </c>
      <c r="D910" t="inlineStr">
        <is>
          <t>VÄSTERNORRLANDS LÄN</t>
        </is>
      </c>
      <c r="E910" t="inlineStr">
        <is>
          <t>ÅNGE</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22597-2021</t>
        </is>
      </c>
      <c r="B911" s="1" t="n">
        <v>44326</v>
      </c>
      <c r="C911" s="1" t="n">
        <v>46001</v>
      </c>
      <c r="D911" t="inlineStr">
        <is>
          <t>VÄSTERNORRLANDS LÄN</t>
        </is>
      </c>
      <c r="E911" t="inlineStr">
        <is>
          <t>ÅNGE</t>
        </is>
      </c>
      <c r="G911" t="n">
        <v>0.9</v>
      </c>
      <c r="H911" t="n">
        <v>0</v>
      </c>
      <c r="I911" t="n">
        <v>0</v>
      </c>
      <c r="J911" t="n">
        <v>0</v>
      </c>
      <c r="K911" t="n">
        <v>0</v>
      </c>
      <c r="L911" t="n">
        <v>0</v>
      </c>
      <c r="M911" t="n">
        <v>0</v>
      </c>
      <c r="N911" t="n">
        <v>0</v>
      </c>
      <c r="O911" t="n">
        <v>0</v>
      </c>
      <c r="P911" t="n">
        <v>0</v>
      </c>
      <c r="Q911" t="n">
        <v>0</v>
      </c>
      <c r="R911" s="2" t="inlineStr"/>
    </row>
    <row r="912" ht="15" customHeight="1">
      <c r="A912" t="inlineStr">
        <is>
          <t>A 57961-2025</t>
        </is>
      </c>
      <c r="B912" s="1" t="n">
        <v>45982.36502314815</v>
      </c>
      <c r="C912" s="1" t="n">
        <v>46001</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38686-2025</t>
        </is>
      </c>
      <c r="B913" s="1" t="n">
        <v>45884.65658564815</v>
      </c>
      <c r="C913" s="1" t="n">
        <v>46001</v>
      </c>
      <c r="D913" t="inlineStr">
        <is>
          <t>VÄSTERNORRLANDS LÄN</t>
        </is>
      </c>
      <c r="E913" t="inlineStr">
        <is>
          <t>ÅNGE</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58486-2025</t>
        </is>
      </c>
      <c r="B914" s="1" t="n">
        <v>45985.65660879629</v>
      </c>
      <c r="C914" s="1" t="n">
        <v>46001</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10282-2025</t>
        </is>
      </c>
      <c r="B915" s="1" t="n">
        <v>45720.40659722222</v>
      </c>
      <c r="C915" s="1" t="n">
        <v>46001</v>
      </c>
      <c r="D915" t="inlineStr">
        <is>
          <t>VÄSTERNORRLANDS LÄN</t>
        </is>
      </c>
      <c r="E915" t="inlineStr">
        <is>
          <t>ÅNGE</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58270-2025</t>
        </is>
      </c>
      <c r="B916" s="1" t="n">
        <v>45985.42633101852</v>
      </c>
      <c r="C916" s="1" t="n">
        <v>46001</v>
      </c>
      <c r="D916" t="inlineStr">
        <is>
          <t>VÄSTERNORRLANDS LÄN</t>
        </is>
      </c>
      <c r="E916" t="inlineStr">
        <is>
          <t>ÅNGE</t>
        </is>
      </c>
      <c r="G916" t="n">
        <v>5.1</v>
      </c>
      <c r="H916" t="n">
        <v>0</v>
      </c>
      <c r="I916" t="n">
        <v>0</v>
      </c>
      <c r="J916" t="n">
        <v>0</v>
      </c>
      <c r="K916" t="n">
        <v>0</v>
      </c>
      <c r="L916" t="n">
        <v>0</v>
      </c>
      <c r="M916" t="n">
        <v>0</v>
      </c>
      <c r="N916" t="n">
        <v>0</v>
      </c>
      <c r="O916" t="n">
        <v>0</v>
      </c>
      <c r="P916" t="n">
        <v>0</v>
      </c>
      <c r="Q916" t="n">
        <v>0</v>
      </c>
      <c r="R916" s="2" t="inlineStr"/>
    </row>
    <row r="917" ht="15" customHeight="1">
      <c r="A917" t="inlineStr">
        <is>
          <t>A 137-2025</t>
        </is>
      </c>
      <c r="B917" s="1" t="n">
        <v>45659.57684027778</v>
      </c>
      <c r="C917" s="1" t="n">
        <v>46001</v>
      </c>
      <c r="D917" t="inlineStr">
        <is>
          <t>VÄSTERNORRLANDS LÄN</t>
        </is>
      </c>
      <c r="E917" t="inlineStr">
        <is>
          <t>ÅNGE</t>
        </is>
      </c>
      <c r="G917" t="n">
        <v>0.2</v>
      </c>
      <c r="H917" t="n">
        <v>0</v>
      </c>
      <c r="I917" t="n">
        <v>0</v>
      </c>
      <c r="J917" t="n">
        <v>0</v>
      </c>
      <c r="K917" t="n">
        <v>0</v>
      </c>
      <c r="L917" t="n">
        <v>0</v>
      </c>
      <c r="M917" t="n">
        <v>0</v>
      </c>
      <c r="N917" t="n">
        <v>0</v>
      </c>
      <c r="O917" t="n">
        <v>0</v>
      </c>
      <c r="P917" t="n">
        <v>0</v>
      </c>
      <c r="Q917" t="n">
        <v>0</v>
      </c>
      <c r="R917" s="2" t="inlineStr"/>
    </row>
    <row r="918" ht="15" customHeight="1">
      <c r="A918" t="inlineStr">
        <is>
          <t>A 58588-2025</t>
        </is>
      </c>
      <c r="B918" s="1" t="n">
        <v>45986.4065625</v>
      </c>
      <c r="C918" s="1" t="n">
        <v>46001</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38693-2025</t>
        </is>
      </c>
      <c r="B919" s="1" t="n">
        <v>45884.69829861111</v>
      </c>
      <c r="C919" s="1" t="n">
        <v>46001</v>
      </c>
      <c r="D919" t="inlineStr">
        <is>
          <t>VÄSTERNORRLANDS LÄN</t>
        </is>
      </c>
      <c r="E919" t="inlineStr">
        <is>
          <t>ÅNGE</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50210-2025</t>
        </is>
      </c>
      <c r="B920" s="1" t="n">
        <v>45943.67379629629</v>
      </c>
      <c r="C920" s="1" t="n">
        <v>46001</v>
      </c>
      <c r="D920" t="inlineStr">
        <is>
          <t>VÄSTERNORRLANDS LÄN</t>
        </is>
      </c>
      <c r="E920" t="inlineStr">
        <is>
          <t>ÅNGE</t>
        </is>
      </c>
      <c r="G920" t="n">
        <v>2.5</v>
      </c>
      <c r="H920" t="n">
        <v>0</v>
      </c>
      <c r="I920" t="n">
        <v>0</v>
      </c>
      <c r="J920" t="n">
        <v>0</v>
      </c>
      <c r="K920" t="n">
        <v>0</v>
      </c>
      <c r="L920" t="n">
        <v>0</v>
      </c>
      <c r="M920" t="n">
        <v>0</v>
      </c>
      <c r="N920" t="n">
        <v>0</v>
      </c>
      <c r="O920" t="n">
        <v>0</v>
      </c>
      <c r="P920" t="n">
        <v>0</v>
      </c>
      <c r="Q920" t="n">
        <v>0</v>
      </c>
      <c r="R920" s="2" t="inlineStr"/>
    </row>
    <row r="921" ht="15" customHeight="1">
      <c r="A921" t="inlineStr">
        <is>
          <t>A 50001-2025</t>
        </is>
      </c>
      <c r="B921" s="1" t="n">
        <v>45943.34421296296</v>
      </c>
      <c r="C921" s="1" t="n">
        <v>46001</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10071-2023</t>
        </is>
      </c>
      <c r="B922" s="1" t="n">
        <v>44985.92418981482</v>
      </c>
      <c r="C922" s="1" t="n">
        <v>46001</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58268-2025</t>
        </is>
      </c>
      <c r="B923" s="1" t="n">
        <v>45985.42450231482</v>
      </c>
      <c r="C923" s="1" t="n">
        <v>46001</v>
      </c>
      <c r="D923" t="inlineStr">
        <is>
          <t>VÄSTERNORRLANDS LÄN</t>
        </is>
      </c>
      <c r="E923" t="inlineStr">
        <is>
          <t>ÅNGE</t>
        </is>
      </c>
      <c r="G923" t="n">
        <v>0.9</v>
      </c>
      <c r="H923" t="n">
        <v>0</v>
      </c>
      <c r="I923" t="n">
        <v>0</v>
      </c>
      <c r="J923" t="n">
        <v>0</v>
      </c>
      <c r="K923" t="n">
        <v>0</v>
      </c>
      <c r="L923" t="n">
        <v>0</v>
      </c>
      <c r="M923" t="n">
        <v>0</v>
      </c>
      <c r="N923" t="n">
        <v>0</v>
      </c>
      <c r="O923" t="n">
        <v>0</v>
      </c>
      <c r="P923" t="n">
        <v>0</v>
      </c>
      <c r="Q923" t="n">
        <v>0</v>
      </c>
      <c r="R923" s="2" t="inlineStr"/>
    </row>
    <row r="924" ht="15" customHeight="1">
      <c r="A924" t="inlineStr">
        <is>
          <t>A 58750-2025</t>
        </is>
      </c>
      <c r="B924" s="1" t="n">
        <v>45986.64064814815</v>
      </c>
      <c r="C924" s="1" t="n">
        <v>46001</v>
      </c>
      <c r="D924" t="inlineStr">
        <is>
          <t>VÄSTERNORRLANDS LÄN</t>
        </is>
      </c>
      <c r="E924" t="inlineStr">
        <is>
          <t>ÅNGE</t>
        </is>
      </c>
      <c r="G924" t="n">
        <v>2</v>
      </c>
      <c r="H924" t="n">
        <v>0</v>
      </c>
      <c r="I924" t="n">
        <v>0</v>
      </c>
      <c r="J924" t="n">
        <v>0</v>
      </c>
      <c r="K924" t="n">
        <v>0</v>
      </c>
      <c r="L924" t="n">
        <v>0</v>
      </c>
      <c r="M924" t="n">
        <v>0</v>
      </c>
      <c r="N924" t="n">
        <v>0</v>
      </c>
      <c r="O924" t="n">
        <v>0</v>
      </c>
      <c r="P924" t="n">
        <v>0</v>
      </c>
      <c r="Q924" t="n">
        <v>0</v>
      </c>
      <c r="R924" s="2" t="inlineStr"/>
    </row>
    <row r="925" ht="15" customHeight="1">
      <c r="A925" t="inlineStr">
        <is>
          <t>A 38386-2025</t>
        </is>
      </c>
      <c r="B925" s="1" t="n">
        <v>45883.57430555556</v>
      </c>
      <c r="C925" s="1" t="n">
        <v>46001</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38273-2025</t>
        </is>
      </c>
      <c r="B926" s="1" t="n">
        <v>45883.40740740741</v>
      </c>
      <c r="C926" s="1" t="n">
        <v>46001</v>
      </c>
      <c r="D926" t="inlineStr">
        <is>
          <t>VÄSTERNORRLANDS LÄN</t>
        </is>
      </c>
      <c r="E926" t="inlineStr">
        <is>
          <t>ÅNGE</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58388-2025</t>
        </is>
      </c>
      <c r="B927" s="1" t="n">
        <v>45985.54685185185</v>
      </c>
      <c r="C927" s="1" t="n">
        <v>46001</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50009-2025</t>
        </is>
      </c>
      <c r="B928" s="1" t="n">
        <v>45943.34527777778</v>
      </c>
      <c r="C928" s="1" t="n">
        <v>46001</v>
      </c>
      <c r="D928" t="inlineStr">
        <is>
          <t>VÄSTERNORRLANDS LÄN</t>
        </is>
      </c>
      <c r="E928" t="inlineStr">
        <is>
          <t>ÅNGE</t>
        </is>
      </c>
      <c r="G928" t="n">
        <v>0.6</v>
      </c>
      <c r="H928" t="n">
        <v>0</v>
      </c>
      <c r="I928" t="n">
        <v>0</v>
      </c>
      <c r="J928" t="n">
        <v>0</v>
      </c>
      <c r="K928" t="n">
        <v>0</v>
      </c>
      <c r="L928" t="n">
        <v>0</v>
      </c>
      <c r="M928" t="n">
        <v>0</v>
      </c>
      <c r="N928" t="n">
        <v>0</v>
      </c>
      <c r="O928" t="n">
        <v>0</v>
      </c>
      <c r="P928" t="n">
        <v>0</v>
      </c>
      <c r="Q928" t="n">
        <v>0</v>
      </c>
      <c r="R928" s="2" t="inlineStr"/>
    </row>
    <row r="929" ht="15" customHeight="1">
      <c r="A929" t="inlineStr">
        <is>
          <t>A 58585-2025</t>
        </is>
      </c>
      <c r="B929" s="1" t="n">
        <v>45986.39733796296</v>
      </c>
      <c r="C929" s="1" t="n">
        <v>46001</v>
      </c>
      <c r="D929" t="inlineStr">
        <is>
          <t>VÄSTERNORRLANDS LÄN</t>
        </is>
      </c>
      <c r="E929" t="inlineStr">
        <is>
          <t>ÅNGE</t>
        </is>
      </c>
      <c r="G929" t="n">
        <v>3.1</v>
      </c>
      <c r="H929" t="n">
        <v>0</v>
      </c>
      <c r="I929" t="n">
        <v>0</v>
      </c>
      <c r="J929" t="n">
        <v>0</v>
      </c>
      <c r="K929" t="n">
        <v>0</v>
      </c>
      <c r="L929" t="n">
        <v>0</v>
      </c>
      <c r="M929" t="n">
        <v>0</v>
      </c>
      <c r="N929" t="n">
        <v>0</v>
      </c>
      <c r="O929" t="n">
        <v>0</v>
      </c>
      <c r="P929" t="n">
        <v>0</v>
      </c>
      <c r="Q929" t="n">
        <v>0</v>
      </c>
      <c r="R929" s="2" t="inlineStr"/>
    </row>
    <row r="930" ht="15" customHeight="1">
      <c r="A930" t="inlineStr">
        <is>
          <t>A 58366-2025</t>
        </is>
      </c>
      <c r="B930" s="1" t="n">
        <v>45985.52600694444</v>
      </c>
      <c r="C930" s="1" t="n">
        <v>46001</v>
      </c>
      <c r="D930" t="inlineStr">
        <is>
          <t>VÄSTERNORRLANDS LÄN</t>
        </is>
      </c>
      <c r="E930" t="inlineStr">
        <is>
          <t>ÅNGE</t>
        </is>
      </c>
      <c r="G930" t="n">
        <v>2</v>
      </c>
      <c r="H930" t="n">
        <v>0</v>
      </c>
      <c r="I930" t="n">
        <v>0</v>
      </c>
      <c r="J930" t="n">
        <v>0</v>
      </c>
      <c r="K930" t="n">
        <v>0</v>
      </c>
      <c r="L930" t="n">
        <v>0</v>
      </c>
      <c r="M930" t="n">
        <v>0</v>
      </c>
      <c r="N930" t="n">
        <v>0</v>
      </c>
      <c r="O930" t="n">
        <v>0</v>
      </c>
      <c r="P930" t="n">
        <v>0</v>
      </c>
      <c r="Q930" t="n">
        <v>0</v>
      </c>
      <c r="R930" s="2" t="inlineStr"/>
    </row>
    <row r="931" ht="15" customHeight="1">
      <c r="A931" t="inlineStr">
        <is>
          <t>A 50008-2025</t>
        </is>
      </c>
      <c r="B931" s="1" t="n">
        <v>45943.34515046296</v>
      </c>
      <c r="C931" s="1" t="n">
        <v>46001</v>
      </c>
      <c r="D931" t="inlineStr">
        <is>
          <t>VÄSTERNORRLANDS LÄN</t>
        </is>
      </c>
      <c r="E931" t="inlineStr">
        <is>
          <t>ÅNGE</t>
        </is>
      </c>
      <c r="G931" t="n">
        <v>13.9</v>
      </c>
      <c r="H931" t="n">
        <v>0</v>
      </c>
      <c r="I931" t="n">
        <v>0</v>
      </c>
      <c r="J931" t="n">
        <v>0</v>
      </c>
      <c r="K931" t="n">
        <v>0</v>
      </c>
      <c r="L931" t="n">
        <v>0</v>
      </c>
      <c r="M931" t="n">
        <v>0</v>
      </c>
      <c r="N931" t="n">
        <v>0</v>
      </c>
      <c r="O931" t="n">
        <v>0</v>
      </c>
      <c r="P931" t="n">
        <v>0</v>
      </c>
      <c r="Q931" t="n">
        <v>0</v>
      </c>
      <c r="R931" s="2" t="inlineStr"/>
    </row>
    <row r="932" ht="15" customHeight="1">
      <c r="A932" t="inlineStr">
        <is>
          <t>A 58524-2025</t>
        </is>
      </c>
      <c r="B932" s="1" t="n">
        <v>45985.7190162037</v>
      </c>
      <c r="C932" s="1" t="n">
        <v>46001</v>
      </c>
      <c r="D932" t="inlineStr">
        <is>
          <t>VÄSTERNORRLANDS LÄN</t>
        </is>
      </c>
      <c r="E932" t="inlineStr">
        <is>
          <t>ÅNGE</t>
        </is>
      </c>
      <c r="G932" t="n">
        <v>2.2</v>
      </c>
      <c r="H932" t="n">
        <v>0</v>
      </c>
      <c r="I932" t="n">
        <v>0</v>
      </c>
      <c r="J932" t="n">
        <v>0</v>
      </c>
      <c r="K932" t="n">
        <v>0</v>
      </c>
      <c r="L932" t="n">
        <v>0</v>
      </c>
      <c r="M932" t="n">
        <v>0</v>
      </c>
      <c r="N932" t="n">
        <v>0</v>
      </c>
      <c r="O932" t="n">
        <v>0</v>
      </c>
      <c r="P932" t="n">
        <v>0</v>
      </c>
      <c r="Q932" t="n">
        <v>0</v>
      </c>
      <c r="R932" s="2" t="inlineStr"/>
    </row>
    <row r="933" ht="15" customHeight="1">
      <c r="A933" t="inlineStr">
        <is>
          <t>A 58599-2025</t>
        </is>
      </c>
      <c r="B933" s="1" t="n">
        <v>45986.42644675926</v>
      </c>
      <c r="C933" s="1" t="n">
        <v>46001</v>
      </c>
      <c r="D933" t="inlineStr">
        <is>
          <t>VÄSTERNORRLANDS LÄN</t>
        </is>
      </c>
      <c r="E933" t="inlineStr">
        <is>
          <t>ÅNGE</t>
        </is>
      </c>
      <c r="G933" t="n">
        <v>2</v>
      </c>
      <c r="H933" t="n">
        <v>0</v>
      </c>
      <c r="I933" t="n">
        <v>0</v>
      </c>
      <c r="J933" t="n">
        <v>0</v>
      </c>
      <c r="K933" t="n">
        <v>0</v>
      </c>
      <c r="L933" t="n">
        <v>0</v>
      </c>
      <c r="M933" t="n">
        <v>0</v>
      </c>
      <c r="N933" t="n">
        <v>0</v>
      </c>
      <c r="O933" t="n">
        <v>0</v>
      </c>
      <c r="P933" t="n">
        <v>0</v>
      </c>
      <c r="Q933" t="n">
        <v>0</v>
      </c>
      <c r="R933" s="2" t="inlineStr"/>
    </row>
    <row r="934" ht="15" customHeight="1">
      <c r="A934" t="inlineStr">
        <is>
          <t>A 58240-2025</t>
        </is>
      </c>
      <c r="B934" s="1" t="n">
        <v>45985.38796296297</v>
      </c>
      <c r="C934" s="1" t="n">
        <v>46001</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58242-2025</t>
        </is>
      </c>
      <c r="B935" s="1" t="n">
        <v>45985.38802083334</v>
      </c>
      <c r="C935" s="1" t="n">
        <v>46001</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53999-2025</t>
        </is>
      </c>
      <c r="B936" s="1" t="n">
        <v>45961</v>
      </c>
      <c r="C936" s="1" t="n">
        <v>46001</v>
      </c>
      <c r="D936" t="inlineStr">
        <is>
          <t>VÄSTERNORRLANDS LÄN</t>
        </is>
      </c>
      <c r="E936" t="inlineStr">
        <is>
          <t>ÅNGE</t>
        </is>
      </c>
      <c r="F936" t="inlineStr">
        <is>
          <t>SCA</t>
        </is>
      </c>
      <c r="G936" t="n">
        <v>6.7</v>
      </c>
      <c r="H936" t="n">
        <v>0</v>
      </c>
      <c r="I936" t="n">
        <v>0</v>
      </c>
      <c r="J936" t="n">
        <v>0</v>
      </c>
      <c r="K936" t="n">
        <v>0</v>
      </c>
      <c r="L936" t="n">
        <v>0</v>
      </c>
      <c r="M936" t="n">
        <v>0</v>
      </c>
      <c r="N936" t="n">
        <v>0</v>
      </c>
      <c r="O936" t="n">
        <v>0</v>
      </c>
      <c r="P936" t="n">
        <v>0</v>
      </c>
      <c r="Q936" t="n">
        <v>0</v>
      </c>
      <c r="R936" s="2" t="inlineStr"/>
    </row>
    <row r="937" ht="15" customHeight="1">
      <c r="A937" t="inlineStr">
        <is>
          <t>A 58439-2025</t>
        </is>
      </c>
      <c r="B937" s="1" t="n">
        <v>45985.61518518518</v>
      </c>
      <c r="C937" s="1" t="n">
        <v>46001</v>
      </c>
      <c r="D937" t="inlineStr">
        <is>
          <t>VÄSTERNORRLANDS LÄN</t>
        </is>
      </c>
      <c r="E937" t="inlineStr">
        <is>
          <t>ÅNGE</t>
        </is>
      </c>
      <c r="G937" t="n">
        <v>2.1</v>
      </c>
      <c r="H937" t="n">
        <v>0</v>
      </c>
      <c r="I937" t="n">
        <v>0</v>
      </c>
      <c r="J937" t="n">
        <v>0</v>
      </c>
      <c r="K937" t="n">
        <v>0</v>
      </c>
      <c r="L937" t="n">
        <v>0</v>
      </c>
      <c r="M937" t="n">
        <v>0</v>
      </c>
      <c r="N937" t="n">
        <v>0</v>
      </c>
      <c r="O937" t="n">
        <v>0</v>
      </c>
      <c r="P937" t="n">
        <v>0</v>
      </c>
      <c r="Q937" t="n">
        <v>0</v>
      </c>
      <c r="R937" s="2" t="inlineStr"/>
    </row>
    <row r="938" ht="15" customHeight="1">
      <c r="A938" t="inlineStr">
        <is>
          <t>A 16362-2023</t>
        </is>
      </c>
      <c r="B938" s="1" t="n">
        <v>45028.9250462963</v>
      </c>
      <c r="C938" s="1" t="n">
        <v>46001</v>
      </c>
      <c r="D938" t="inlineStr">
        <is>
          <t>VÄSTERNORRLANDS LÄN</t>
        </is>
      </c>
      <c r="E938" t="inlineStr">
        <is>
          <t>ÅNGE</t>
        </is>
      </c>
      <c r="G938" t="n">
        <v>4.8</v>
      </c>
      <c r="H938" t="n">
        <v>0</v>
      </c>
      <c r="I938" t="n">
        <v>0</v>
      </c>
      <c r="J938" t="n">
        <v>0</v>
      </c>
      <c r="K938" t="n">
        <v>0</v>
      </c>
      <c r="L938" t="n">
        <v>0</v>
      </c>
      <c r="M938" t="n">
        <v>0</v>
      </c>
      <c r="N938" t="n">
        <v>0</v>
      </c>
      <c r="O938" t="n">
        <v>0</v>
      </c>
      <c r="P938" t="n">
        <v>0</v>
      </c>
      <c r="Q938" t="n">
        <v>0</v>
      </c>
      <c r="R938" s="2" t="inlineStr"/>
    </row>
    <row r="939" ht="15" customHeight="1">
      <c r="A939" t="inlineStr">
        <is>
          <t>A 58536-2025</t>
        </is>
      </c>
      <c r="B939" s="1" t="n">
        <v>45985.83274305556</v>
      </c>
      <c r="C939" s="1" t="n">
        <v>46001</v>
      </c>
      <c r="D939" t="inlineStr">
        <is>
          <t>VÄSTERNORRLANDS LÄN</t>
        </is>
      </c>
      <c r="E939" t="inlineStr">
        <is>
          <t>ÅNGE</t>
        </is>
      </c>
      <c r="G939" t="n">
        <v>2</v>
      </c>
      <c r="H939" t="n">
        <v>0</v>
      </c>
      <c r="I939" t="n">
        <v>0</v>
      </c>
      <c r="J939" t="n">
        <v>0</v>
      </c>
      <c r="K939" t="n">
        <v>0</v>
      </c>
      <c r="L939" t="n">
        <v>0</v>
      </c>
      <c r="M939" t="n">
        <v>0</v>
      </c>
      <c r="N939" t="n">
        <v>0</v>
      </c>
      <c r="O939" t="n">
        <v>0</v>
      </c>
      <c r="P939" t="n">
        <v>0</v>
      </c>
      <c r="Q939" t="n">
        <v>0</v>
      </c>
      <c r="R939" s="2" t="inlineStr"/>
    </row>
    <row r="940" ht="15" customHeight="1">
      <c r="A940" t="inlineStr">
        <is>
          <t>A 38283-2025</t>
        </is>
      </c>
      <c r="B940" s="1" t="n">
        <v>45883.42740740741</v>
      </c>
      <c r="C940" s="1" t="n">
        <v>46001</v>
      </c>
      <c r="D940" t="inlineStr">
        <is>
          <t>VÄSTERNORRLANDS LÄN</t>
        </is>
      </c>
      <c r="E940" t="inlineStr">
        <is>
          <t>ÅNGE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58639-2025</t>
        </is>
      </c>
      <c r="B941" s="1" t="n">
        <v>45986.49042824074</v>
      </c>
      <c r="C941" s="1" t="n">
        <v>46001</v>
      </c>
      <c r="D941" t="inlineStr">
        <is>
          <t>VÄSTERNORRLANDS LÄN</t>
        </is>
      </c>
      <c r="E941" t="inlineStr">
        <is>
          <t>ÅNGE</t>
        </is>
      </c>
      <c r="G941" t="n">
        <v>2</v>
      </c>
      <c r="H941" t="n">
        <v>0</v>
      </c>
      <c r="I941" t="n">
        <v>0</v>
      </c>
      <c r="J941" t="n">
        <v>0</v>
      </c>
      <c r="K941" t="n">
        <v>0</v>
      </c>
      <c r="L941" t="n">
        <v>0</v>
      </c>
      <c r="M941" t="n">
        <v>0</v>
      </c>
      <c r="N941" t="n">
        <v>0</v>
      </c>
      <c r="O941" t="n">
        <v>0</v>
      </c>
      <c r="P941" t="n">
        <v>0</v>
      </c>
      <c r="Q941" t="n">
        <v>0</v>
      </c>
      <c r="R941" s="2" t="inlineStr"/>
    </row>
    <row r="942" ht="15" customHeight="1">
      <c r="A942" t="inlineStr">
        <is>
          <t>A 50291-2025</t>
        </is>
      </c>
      <c r="B942" s="1" t="n">
        <v>45944.40677083333</v>
      </c>
      <c r="C942" s="1" t="n">
        <v>46001</v>
      </c>
      <c r="D942" t="inlineStr">
        <is>
          <t>VÄSTERNORRLANDS LÄN</t>
        </is>
      </c>
      <c r="E942" t="inlineStr">
        <is>
          <t>ÅNGE</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58406-2025</t>
        </is>
      </c>
      <c r="B943" s="1" t="n">
        <v>45985.56913194444</v>
      </c>
      <c r="C943" s="1" t="n">
        <v>46001</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28779-2023</t>
        </is>
      </c>
      <c r="B944" s="1" t="n">
        <v>45104.34314814815</v>
      </c>
      <c r="C944" s="1" t="n">
        <v>46001</v>
      </c>
      <c r="D944" t="inlineStr">
        <is>
          <t>VÄSTERNORRLANDS LÄN</t>
        </is>
      </c>
      <c r="E944" t="inlineStr">
        <is>
          <t>ÅNGE</t>
        </is>
      </c>
      <c r="G944" t="n">
        <v>1.3</v>
      </c>
      <c r="H944" t="n">
        <v>0</v>
      </c>
      <c r="I944" t="n">
        <v>0</v>
      </c>
      <c r="J944" t="n">
        <v>0</v>
      </c>
      <c r="K944" t="n">
        <v>0</v>
      </c>
      <c r="L944" t="n">
        <v>0</v>
      </c>
      <c r="M944" t="n">
        <v>0</v>
      </c>
      <c r="N944" t="n">
        <v>0</v>
      </c>
      <c r="O944" t="n">
        <v>0</v>
      </c>
      <c r="P944" t="n">
        <v>0</v>
      </c>
      <c r="Q944" t="n">
        <v>0</v>
      </c>
      <c r="R944" s="2" t="inlineStr"/>
    </row>
    <row r="945" ht="15" customHeight="1">
      <c r="A945" t="inlineStr">
        <is>
          <t>A 63607-2021</t>
        </is>
      </c>
      <c r="B945" s="1" t="n">
        <v>44508.94650462963</v>
      </c>
      <c r="C945" s="1" t="n">
        <v>46001</v>
      </c>
      <c r="D945" t="inlineStr">
        <is>
          <t>VÄSTERNORRLANDS LÄN</t>
        </is>
      </c>
      <c r="E945" t="inlineStr">
        <is>
          <t>ÅNGE</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30235-2024</t>
        </is>
      </c>
      <c r="B946" s="1" t="n">
        <v>45490.49040509259</v>
      </c>
      <c r="C946" s="1" t="n">
        <v>46001</v>
      </c>
      <c r="D946" t="inlineStr">
        <is>
          <t>VÄSTERNORRLANDS LÄN</t>
        </is>
      </c>
      <c r="E946" t="inlineStr">
        <is>
          <t>ÅNGE</t>
        </is>
      </c>
      <c r="G946" t="n">
        <v>3.7</v>
      </c>
      <c r="H946" t="n">
        <v>0</v>
      </c>
      <c r="I946" t="n">
        <v>0</v>
      </c>
      <c r="J946" t="n">
        <v>0</v>
      </c>
      <c r="K946" t="n">
        <v>0</v>
      </c>
      <c r="L946" t="n">
        <v>0</v>
      </c>
      <c r="M946" t="n">
        <v>0</v>
      </c>
      <c r="N946" t="n">
        <v>0</v>
      </c>
      <c r="O946" t="n">
        <v>0</v>
      </c>
      <c r="P946" t="n">
        <v>0</v>
      </c>
      <c r="Q946" t="n">
        <v>0</v>
      </c>
      <c r="R946" s="2" t="inlineStr"/>
    </row>
    <row r="947" ht="15" customHeight="1">
      <c r="A947" t="inlineStr">
        <is>
          <t>A 50767-2025</t>
        </is>
      </c>
      <c r="B947" s="1" t="n">
        <v>45946</v>
      </c>
      <c r="C947" s="1" t="n">
        <v>46001</v>
      </c>
      <c r="D947" t="inlineStr">
        <is>
          <t>VÄSTERNORRLANDS LÄN</t>
        </is>
      </c>
      <c r="E947" t="inlineStr">
        <is>
          <t>ÅNGE</t>
        </is>
      </c>
      <c r="G947" t="n">
        <v>0.7</v>
      </c>
      <c r="H947" t="n">
        <v>0</v>
      </c>
      <c r="I947" t="n">
        <v>0</v>
      </c>
      <c r="J947" t="n">
        <v>0</v>
      </c>
      <c r="K947" t="n">
        <v>0</v>
      </c>
      <c r="L947" t="n">
        <v>0</v>
      </c>
      <c r="M947" t="n">
        <v>0</v>
      </c>
      <c r="N947" t="n">
        <v>0</v>
      </c>
      <c r="O947" t="n">
        <v>0</v>
      </c>
      <c r="P947" t="n">
        <v>0</v>
      </c>
      <c r="Q947" t="n">
        <v>0</v>
      </c>
      <c r="R947" s="2" t="inlineStr"/>
    </row>
    <row r="948" ht="15" customHeight="1">
      <c r="A948" t="inlineStr">
        <is>
          <t>A 50769-2025</t>
        </is>
      </c>
      <c r="B948" s="1" t="n">
        <v>45946.44864583333</v>
      </c>
      <c r="C948" s="1" t="n">
        <v>46001</v>
      </c>
      <c r="D948" t="inlineStr">
        <is>
          <t>VÄSTERNORRLANDS LÄN</t>
        </is>
      </c>
      <c r="E948" t="inlineStr">
        <is>
          <t>ÅNGE</t>
        </is>
      </c>
      <c r="G948" t="n">
        <v>3.4</v>
      </c>
      <c r="H948" t="n">
        <v>0</v>
      </c>
      <c r="I948" t="n">
        <v>0</v>
      </c>
      <c r="J948" t="n">
        <v>0</v>
      </c>
      <c r="K948" t="n">
        <v>0</v>
      </c>
      <c r="L948" t="n">
        <v>0</v>
      </c>
      <c r="M948" t="n">
        <v>0</v>
      </c>
      <c r="N948" t="n">
        <v>0</v>
      </c>
      <c r="O948" t="n">
        <v>0</v>
      </c>
      <c r="P948" t="n">
        <v>0</v>
      </c>
      <c r="Q948" t="n">
        <v>0</v>
      </c>
      <c r="R948" s="2" t="inlineStr"/>
    </row>
    <row r="949" ht="15" customHeight="1">
      <c r="A949" t="inlineStr">
        <is>
          <t>A 58890-2025</t>
        </is>
      </c>
      <c r="B949" s="1" t="n">
        <v>45987.49006944444</v>
      </c>
      <c r="C949" s="1" t="n">
        <v>46001</v>
      </c>
      <c r="D949" t="inlineStr">
        <is>
          <t>VÄSTERNORRLANDS LÄN</t>
        </is>
      </c>
      <c r="E949" t="inlineStr">
        <is>
          <t>ÅNGE</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41370-2023</t>
        </is>
      </c>
      <c r="B950" s="1" t="n">
        <v>45174.85951388889</v>
      </c>
      <c r="C950" s="1" t="n">
        <v>46001</v>
      </c>
      <c r="D950" t="inlineStr">
        <is>
          <t>VÄSTERNORRLANDS LÄN</t>
        </is>
      </c>
      <c r="E950" t="inlineStr">
        <is>
          <t>ÅNGE</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14927-2025</t>
        </is>
      </c>
      <c r="B951" s="1" t="n">
        <v>45743</v>
      </c>
      <c r="C951" s="1" t="n">
        <v>46001</v>
      </c>
      <c r="D951" t="inlineStr">
        <is>
          <t>VÄSTERNORRLANDS LÄN</t>
        </is>
      </c>
      <c r="E951" t="inlineStr">
        <is>
          <t>ÅNGE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38284-2022</t>
        </is>
      </c>
      <c r="B952" s="1" t="n">
        <v>44812.55149305556</v>
      </c>
      <c r="C952" s="1" t="n">
        <v>46001</v>
      </c>
      <c r="D952" t="inlineStr">
        <is>
          <t>VÄSTERNORRLANDS LÄN</t>
        </is>
      </c>
      <c r="E952" t="inlineStr">
        <is>
          <t>ÅNGE</t>
        </is>
      </c>
      <c r="G952" t="n">
        <v>2.4</v>
      </c>
      <c r="H952" t="n">
        <v>0</v>
      </c>
      <c r="I952" t="n">
        <v>0</v>
      </c>
      <c r="J952" t="n">
        <v>0</v>
      </c>
      <c r="K952" t="n">
        <v>0</v>
      </c>
      <c r="L952" t="n">
        <v>0</v>
      </c>
      <c r="M952" t="n">
        <v>0</v>
      </c>
      <c r="N952" t="n">
        <v>0</v>
      </c>
      <c r="O952" t="n">
        <v>0</v>
      </c>
      <c r="P952" t="n">
        <v>0</v>
      </c>
      <c r="Q952" t="n">
        <v>0</v>
      </c>
      <c r="R952" s="2" t="inlineStr"/>
    </row>
    <row r="953" ht="15" customHeight="1">
      <c r="A953" t="inlineStr">
        <is>
          <t>A 50460-2025</t>
        </is>
      </c>
      <c r="B953" s="1" t="n">
        <v>45945.345</v>
      </c>
      <c r="C953" s="1" t="n">
        <v>46001</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59063-2025</t>
        </is>
      </c>
      <c r="B954" s="1" t="n">
        <v>45988.40734953704</v>
      </c>
      <c r="C954" s="1" t="n">
        <v>46001</v>
      </c>
      <c r="D954" t="inlineStr">
        <is>
          <t>VÄSTERNORRLANDS LÄN</t>
        </is>
      </c>
      <c r="E954" t="inlineStr">
        <is>
          <t>ÅNGE</t>
        </is>
      </c>
      <c r="F954" t="inlineStr">
        <is>
          <t>SCA</t>
        </is>
      </c>
      <c r="G954" t="n">
        <v>5.7</v>
      </c>
      <c r="H954" t="n">
        <v>0</v>
      </c>
      <c r="I954" t="n">
        <v>0</v>
      </c>
      <c r="J954" t="n">
        <v>0</v>
      </c>
      <c r="K954" t="n">
        <v>0</v>
      </c>
      <c r="L954" t="n">
        <v>0</v>
      </c>
      <c r="M954" t="n">
        <v>0</v>
      </c>
      <c r="N954" t="n">
        <v>0</v>
      </c>
      <c r="O954" t="n">
        <v>0</v>
      </c>
      <c r="P954" t="n">
        <v>0</v>
      </c>
      <c r="Q954" t="n">
        <v>0</v>
      </c>
      <c r="R954" s="2" t="inlineStr"/>
    </row>
    <row r="955" ht="15" customHeight="1">
      <c r="A955" t="inlineStr">
        <is>
          <t>A 59062-2025</t>
        </is>
      </c>
      <c r="B955" s="1" t="n">
        <v>45988.40723379629</v>
      </c>
      <c r="C955" s="1" t="n">
        <v>46001</v>
      </c>
      <c r="D955" t="inlineStr">
        <is>
          <t>VÄSTERNORRLANDS LÄN</t>
        </is>
      </c>
      <c r="E955" t="inlineStr">
        <is>
          <t>ÅNGE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30353-2024</t>
        </is>
      </c>
      <c r="B956" s="1" t="n">
        <v>45490.95567129629</v>
      </c>
      <c r="C956" s="1" t="n">
        <v>46001</v>
      </c>
      <c r="D956" t="inlineStr">
        <is>
          <t>VÄSTERNORRLANDS LÄN</t>
        </is>
      </c>
      <c r="E956" t="inlineStr">
        <is>
          <t>ÅNGE</t>
        </is>
      </c>
      <c r="F956" t="inlineStr">
        <is>
          <t>SCA</t>
        </is>
      </c>
      <c r="G956" t="n">
        <v>4.6</v>
      </c>
      <c r="H956" t="n">
        <v>0</v>
      </c>
      <c r="I956" t="n">
        <v>0</v>
      </c>
      <c r="J956" t="n">
        <v>0</v>
      </c>
      <c r="K956" t="n">
        <v>0</v>
      </c>
      <c r="L956" t="n">
        <v>0</v>
      </c>
      <c r="M956" t="n">
        <v>0</v>
      </c>
      <c r="N956" t="n">
        <v>0</v>
      </c>
      <c r="O956" t="n">
        <v>0</v>
      </c>
      <c r="P956" t="n">
        <v>0</v>
      </c>
      <c r="Q956" t="n">
        <v>0</v>
      </c>
      <c r="R956" s="2" t="inlineStr"/>
    </row>
    <row r="957" ht="15" customHeight="1">
      <c r="A957" t="inlineStr">
        <is>
          <t>A 58906-2025</t>
        </is>
      </c>
      <c r="B957" s="1" t="n">
        <v>45987.51087962963</v>
      </c>
      <c r="C957" s="1" t="n">
        <v>46001</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58907-2025</t>
        </is>
      </c>
      <c r="B958" s="1" t="n">
        <v>45987.51108796296</v>
      </c>
      <c r="C958" s="1" t="n">
        <v>46001</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58823-2025</t>
        </is>
      </c>
      <c r="B959" s="1" t="n">
        <v>45987.3453125</v>
      </c>
      <c r="C959" s="1" t="n">
        <v>46001</v>
      </c>
      <c r="D959" t="inlineStr">
        <is>
          <t>VÄSTERNORRLANDS LÄN</t>
        </is>
      </c>
      <c r="E959" t="inlineStr">
        <is>
          <t>ÅNGE</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59065-2025</t>
        </is>
      </c>
      <c r="B960" s="1" t="n">
        <v>45988.40780092592</v>
      </c>
      <c r="C960" s="1" t="n">
        <v>46001</v>
      </c>
      <c r="D960" t="inlineStr">
        <is>
          <t>VÄSTERNORRLANDS LÄN</t>
        </is>
      </c>
      <c r="E960" t="inlineStr">
        <is>
          <t>ÅNGE</t>
        </is>
      </c>
      <c r="F960" t="inlineStr">
        <is>
          <t>SCA</t>
        </is>
      </c>
      <c r="G960" t="n">
        <v>5.7</v>
      </c>
      <c r="H960" t="n">
        <v>0</v>
      </c>
      <c r="I960" t="n">
        <v>0</v>
      </c>
      <c r="J960" t="n">
        <v>0</v>
      </c>
      <c r="K960" t="n">
        <v>0</v>
      </c>
      <c r="L960" t="n">
        <v>0</v>
      </c>
      <c r="M960" t="n">
        <v>0</v>
      </c>
      <c r="N960" t="n">
        <v>0</v>
      </c>
      <c r="O960" t="n">
        <v>0</v>
      </c>
      <c r="P960" t="n">
        <v>0</v>
      </c>
      <c r="Q960" t="n">
        <v>0</v>
      </c>
      <c r="R960" s="2" t="inlineStr"/>
    </row>
    <row r="961" ht="15" customHeight="1">
      <c r="A961" t="inlineStr">
        <is>
          <t>A 16606-2023</t>
        </is>
      </c>
      <c r="B961" s="1" t="n">
        <v>45030.3990625</v>
      </c>
      <c r="C961" s="1" t="n">
        <v>46001</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50571-2025</t>
        </is>
      </c>
      <c r="B962" s="1" t="n">
        <v>45945.57443287037</v>
      </c>
      <c r="C962" s="1" t="n">
        <v>46001</v>
      </c>
      <c r="D962" t="inlineStr">
        <is>
          <t>VÄSTERNORRLANDS LÄN</t>
        </is>
      </c>
      <c r="E962" t="inlineStr">
        <is>
          <t>ÅNGE</t>
        </is>
      </c>
      <c r="G962" t="n">
        <v>2.5</v>
      </c>
      <c r="H962" t="n">
        <v>0</v>
      </c>
      <c r="I962" t="n">
        <v>0</v>
      </c>
      <c r="J962" t="n">
        <v>0</v>
      </c>
      <c r="K962" t="n">
        <v>0</v>
      </c>
      <c r="L962" t="n">
        <v>0</v>
      </c>
      <c r="M962" t="n">
        <v>0</v>
      </c>
      <c r="N962" t="n">
        <v>0</v>
      </c>
      <c r="O962" t="n">
        <v>0</v>
      </c>
      <c r="P962" t="n">
        <v>0</v>
      </c>
      <c r="Q962" t="n">
        <v>0</v>
      </c>
      <c r="R962" s="2" t="inlineStr"/>
    </row>
    <row r="963" ht="15" customHeight="1">
      <c r="A963" t="inlineStr">
        <is>
          <t>A 59259-2025</t>
        </is>
      </c>
      <c r="B963" s="1" t="n">
        <v>45988.65748842592</v>
      </c>
      <c r="C963" s="1" t="n">
        <v>46001</v>
      </c>
      <c r="D963" t="inlineStr">
        <is>
          <t>VÄSTERNORRLANDS LÄN</t>
        </is>
      </c>
      <c r="E963" t="inlineStr">
        <is>
          <t>ÅNGE</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25047-2023</t>
        </is>
      </c>
      <c r="B964" s="1" t="n">
        <v>45085.94569444445</v>
      </c>
      <c r="C964" s="1" t="n">
        <v>46001</v>
      </c>
      <c r="D964" t="inlineStr">
        <is>
          <t>VÄSTERNORRLANDS LÄN</t>
        </is>
      </c>
      <c r="E964" t="inlineStr">
        <is>
          <t>ÅNGE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58892-2025</t>
        </is>
      </c>
      <c r="B965" s="1" t="n">
        <v>45987.49056712963</v>
      </c>
      <c r="C965" s="1" t="n">
        <v>46001</v>
      </c>
      <c r="D965" t="inlineStr">
        <is>
          <t>VÄSTERNORRLANDS LÄN</t>
        </is>
      </c>
      <c r="E965" t="inlineStr">
        <is>
          <t>ÅNGE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15791-2025</t>
        </is>
      </c>
      <c r="B966" s="1" t="n">
        <v>45748.631875</v>
      </c>
      <c r="C966" s="1" t="n">
        <v>46001</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59064-2025</t>
        </is>
      </c>
      <c r="B967" s="1" t="n">
        <v>45988.40768518519</v>
      </c>
      <c r="C967" s="1" t="n">
        <v>46001</v>
      </c>
      <c r="D967" t="inlineStr">
        <is>
          <t>VÄSTERNORRLANDS LÄN</t>
        </is>
      </c>
      <c r="E967" t="inlineStr">
        <is>
          <t>ÅNGE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51382-2025</t>
        </is>
      </c>
      <c r="B968" s="1" t="n">
        <v>45950.46019675926</v>
      </c>
      <c r="C968" s="1" t="n">
        <v>46001</v>
      </c>
      <c r="D968" t="inlineStr">
        <is>
          <t>VÄSTERNORRLANDS LÄN</t>
        </is>
      </c>
      <c r="E968" t="inlineStr">
        <is>
          <t>ÅNGE</t>
        </is>
      </c>
      <c r="G968" t="n">
        <v>3</v>
      </c>
      <c r="H968" t="n">
        <v>0</v>
      </c>
      <c r="I968" t="n">
        <v>0</v>
      </c>
      <c r="J968" t="n">
        <v>0</v>
      </c>
      <c r="K968" t="n">
        <v>0</v>
      </c>
      <c r="L968" t="n">
        <v>0</v>
      </c>
      <c r="M968" t="n">
        <v>0</v>
      </c>
      <c r="N968" t="n">
        <v>0</v>
      </c>
      <c r="O968" t="n">
        <v>0</v>
      </c>
      <c r="P968" t="n">
        <v>0</v>
      </c>
      <c r="Q968" t="n">
        <v>0</v>
      </c>
      <c r="R968" s="2" t="inlineStr"/>
    </row>
    <row r="969" ht="15" customHeight="1">
      <c r="A969" t="inlineStr">
        <is>
          <t>A 55007-2022</t>
        </is>
      </c>
      <c r="B969" s="1" t="n">
        <v>44881</v>
      </c>
      <c r="C969" s="1" t="n">
        <v>46001</v>
      </c>
      <c r="D969" t="inlineStr">
        <is>
          <t>VÄSTERNORRLANDS LÄN</t>
        </is>
      </c>
      <c r="E969" t="inlineStr">
        <is>
          <t>ÅNGE</t>
        </is>
      </c>
      <c r="G969" t="n">
        <v>2</v>
      </c>
      <c r="H969" t="n">
        <v>0</v>
      </c>
      <c r="I969" t="n">
        <v>0</v>
      </c>
      <c r="J969" t="n">
        <v>0</v>
      </c>
      <c r="K969" t="n">
        <v>0</v>
      </c>
      <c r="L969" t="n">
        <v>0</v>
      </c>
      <c r="M969" t="n">
        <v>0</v>
      </c>
      <c r="N969" t="n">
        <v>0</v>
      </c>
      <c r="O969" t="n">
        <v>0</v>
      </c>
      <c r="P969" t="n">
        <v>0</v>
      </c>
      <c r="Q969" t="n">
        <v>0</v>
      </c>
      <c r="R969" s="2" t="inlineStr"/>
    </row>
    <row r="970" ht="15" customHeight="1">
      <c r="A970" t="inlineStr">
        <is>
          <t>A 16281-2023</t>
        </is>
      </c>
      <c r="B970" s="1" t="n">
        <v>45028</v>
      </c>
      <c r="C970" s="1" t="n">
        <v>46001</v>
      </c>
      <c r="D970" t="inlineStr">
        <is>
          <t>VÄSTERNORRLANDS LÄN</t>
        </is>
      </c>
      <c r="E970" t="inlineStr">
        <is>
          <t>ÅNGE</t>
        </is>
      </c>
      <c r="G970" t="n">
        <v>1.6</v>
      </c>
      <c r="H970" t="n">
        <v>0</v>
      </c>
      <c r="I970" t="n">
        <v>0</v>
      </c>
      <c r="J970" t="n">
        <v>0</v>
      </c>
      <c r="K970" t="n">
        <v>0</v>
      </c>
      <c r="L970" t="n">
        <v>0</v>
      </c>
      <c r="M970" t="n">
        <v>0</v>
      </c>
      <c r="N970" t="n">
        <v>0</v>
      </c>
      <c r="O970" t="n">
        <v>0</v>
      </c>
      <c r="P970" t="n">
        <v>0</v>
      </c>
      <c r="Q970" t="n">
        <v>0</v>
      </c>
      <c r="R970" s="2" t="inlineStr"/>
    </row>
    <row r="971" ht="15" customHeight="1">
      <c r="A971" t="inlineStr">
        <is>
          <t>A 45459-2022</t>
        </is>
      </c>
      <c r="B971" s="1" t="n">
        <v>44845</v>
      </c>
      <c r="C971" s="1" t="n">
        <v>46001</v>
      </c>
      <c r="D971" t="inlineStr">
        <is>
          <t>VÄSTERNORRLANDS LÄN</t>
        </is>
      </c>
      <c r="E971" t="inlineStr">
        <is>
          <t>ÅNGE</t>
        </is>
      </c>
      <c r="G971" t="n">
        <v>0.9</v>
      </c>
      <c r="H971" t="n">
        <v>0</v>
      </c>
      <c r="I971" t="n">
        <v>0</v>
      </c>
      <c r="J971" t="n">
        <v>0</v>
      </c>
      <c r="K971" t="n">
        <v>0</v>
      </c>
      <c r="L971" t="n">
        <v>0</v>
      </c>
      <c r="M971" t="n">
        <v>0</v>
      </c>
      <c r="N971" t="n">
        <v>0</v>
      </c>
      <c r="O971" t="n">
        <v>0</v>
      </c>
      <c r="P971" t="n">
        <v>0</v>
      </c>
      <c r="Q971" t="n">
        <v>0</v>
      </c>
      <c r="R971" s="2" t="inlineStr"/>
    </row>
    <row r="972" ht="15" customHeight="1">
      <c r="A972" t="inlineStr">
        <is>
          <t>A 51393-2025</t>
        </is>
      </c>
      <c r="B972" s="1" t="n">
        <v>45950.46957175926</v>
      </c>
      <c r="C972" s="1" t="n">
        <v>46001</v>
      </c>
      <c r="D972" t="inlineStr">
        <is>
          <t>VÄSTERNORRLANDS LÄN</t>
        </is>
      </c>
      <c r="E972" t="inlineStr">
        <is>
          <t>ÅNGE</t>
        </is>
      </c>
      <c r="F972" t="inlineStr">
        <is>
          <t>SCA</t>
        </is>
      </c>
      <c r="G972" t="n">
        <v>17.9</v>
      </c>
      <c r="H972" t="n">
        <v>0</v>
      </c>
      <c r="I972" t="n">
        <v>0</v>
      </c>
      <c r="J972" t="n">
        <v>0</v>
      </c>
      <c r="K972" t="n">
        <v>0</v>
      </c>
      <c r="L972" t="n">
        <v>0</v>
      </c>
      <c r="M972" t="n">
        <v>0</v>
      </c>
      <c r="N972" t="n">
        <v>0</v>
      </c>
      <c r="O972" t="n">
        <v>0</v>
      </c>
      <c r="P972" t="n">
        <v>0</v>
      </c>
      <c r="Q972" t="n">
        <v>0</v>
      </c>
      <c r="R972" s="2" t="inlineStr"/>
    </row>
    <row r="973" ht="15" customHeight="1">
      <c r="A973" t="inlineStr">
        <is>
          <t>A 59641-2025</t>
        </is>
      </c>
      <c r="B973" s="1" t="n">
        <v>45992.4175925926</v>
      </c>
      <c r="C973" s="1" t="n">
        <v>46001</v>
      </c>
      <c r="D973" t="inlineStr">
        <is>
          <t>VÄSTERNORRLANDS LÄN</t>
        </is>
      </c>
      <c r="E973" t="inlineStr">
        <is>
          <t>ÅNGE</t>
        </is>
      </c>
      <c r="G973" t="n">
        <v>6.2</v>
      </c>
      <c r="H973" t="n">
        <v>0</v>
      </c>
      <c r="I973" t="n">
        <v>0</v>
      </c>
      <c r="J973" t="n">
        <v>0</v>
      </c>
      <c r="K973" t="n">
        <v>0</v>
      </c>
      <c r="L973" t="n">
        <v>0</v>
      </c>
      <c r="M973" t="n">
        <v>0</v>
      </c>
      <c r="N973" t="n">
        <v>0</v>
      </c>
      <c r="O973" t="n">
        <v>0</v>
      </c>
      <c r="P973" t="n">
        <v>0</v>
      </c>
      <c r="Q973" t="n">
        <v>0</v>
      </c>
      <c r="R973" s="2" t="inlineStr"/>
    </row>
    <row r="974" ht="15" customHeight="1">
      <c r="A974" t="inlineStr">
        <is>
          <t>A 59331-2025</t>
        </is>
      </c>
      <c r="B974" s="1" t="n">
        <v>45989.35978009259</v>
      </c>
      <c r="C974" s="1" t="n">
        <v>46001</v>
      </c>
      <c r="D974" t="inlineStr">
        <is>
          <t>VÄSTERNORRLANDS LÄN</t>
        </is>
      </c>
      <c r="E974" t="inlineStr">
        <is>
          <t>ÅNGE</t>
        </is>
      </c>
      <c r="G974" t="n">
        <v>0.7</v>
      </c>
      <c r="H974" t="n">
        <v>0</v>
      </c>
      <c r="I974" t="n">
        <v>0</v>
      </c>
      <c r="J974" t="n">
        <v>0</v>
      </c>
      <c r="K974" t="n">
        <v>0</v>
      </c>
      <c r="L974" t="n">
        <v>0</v>
      </c>
      <c r="M974" t="n">
        <v>0</v>
      </c>
      <c r="N974" t="n">
        <v>0</v>
      </c>
      <c r="O974" t="n">
        <v>0</v>
      </c>
      <c r="P974" t="n">
        <v>0</v>
      </c>
      <c r="Q974" t="n">
        <v>0</v>
      </c>
      <c r="R974" s="2" t="inlineStr"/>
    </row>
    <row r="975" ht="15" customHeight="1">
      <c r="A975" t="inlineStr">
        <is>
          <t>A 51109-2025</t>
        </is>
      </c>
      <c r="B975" s="1" t="n">
        <v>45947.50263888889</v>
      </c>
      <c r="C975" s="1" t="n">
        <v>46001</v>
      </c>
      <c r="D975" t="inlineStr">
        <is>
          <t>VÄSTERNORRLANDS LÄN</t>
        </is>
      </c>
      <c r="E975" t="inlineStr">
        <is>
          <t>ÅNGE</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2984-2025</t>
        </is>
      </c>
      <c r="B976" s="1" t="n">
        <v>45678.51094907407</v>
      </c>
      <c r="C976" s="1" t="n">
        <v>46001</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10017-2025</t>
        </is>
      </c>
      <c r="B977" s="1" t="n">
        <v>45719.46957175926</v>
      </c>
      <c r="C977" s="1" t="n">
        <v>46001</v>
      </c>
      <c r="D977" t="inlineStr">
        <is>
          <t>VÄSTERNORRLANDS LÄN</t>
        </is>
      </c>
      <c r="E977" t="inlineStr">
        <is>
          <t>ÅNGE</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51389-2025</t>
        </is>
      </c>
      <c r="B978" s="1" t="n">
        <v>45950.46767361111</v>
      </c>
      <c r="C978" s="1" t="n">
        <v>46001</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29270-2024</t>
        </is>
      </c>
      <c r="B979" s="1" t="n">
        <v>45482.94979166667</v>
      </c>
      <c r="C979" s="1" t="n">
        <v>46001</v>
      </c>
      <c r="D979" t="inlineStr">
        <is>
          <t>VÄSTERNORRLANDS LÄN</t>
        </is>
      </c>
      <c r="E979" t="inlineStr">
        <is>
          <t>ÅNGE</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29696-2024</t>
        </is>
      </c>
      <c r="B980" s="1" t="n">
        <v>45484.94524305555</v>
      </c>
      <c r="C980" s="1" t="n">
        <v>46001</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51416-2025</t>
        </is>
      </c>
      <c r="B981" s="1" t="n">
        <v>45950.51097222222</v>
      </c>
      <c r="C981" s="1" t="n">
        <v>46001</v>
      </c>
      <c r="D981" t="inlineStr">
        <is>
          <t>VÄSTERNORRLANDS LÄN</t>
        </is>
      </c>
      <c r="E981" t="inlineStr">
        <is>
          <t>ÅNGE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33062-2022</t>
        </is>
      </c>
      <c r="B982" s="1" t="n">
        <v>44785</v>
      </c>
      <c r="C982" s="1" t="n">
        <v>46001</v>
      </c>
      <c r="D982" t="inlineStr">
        <is>
          <t>VÄSTERNORRLANDS LÄN</t>
        </is>
      </c>
      <c r="E982" t="inlineStr">
        <is>
          <t>ÅNGE</t>
        </is>
      </c>
      <c r="G982" t="n">
        <v>0.5</v>
      </c>
      <c r="H982" t="n">
        <v>0</v>
      </c>
      <c r="I982" t="n">
        <v>0</v>
      </c>
      <c r="J982" t="n">
        <v>0</v>
      </c>
      <c r="K982" t="n">
        <v>0</v>
      </c>
      <c r="L982" t="n">
        <v>0</v>
      </c>
      <c r="M982" t="n">
        <v>0</v>
      </c>
      <c r="N982" t="n">
        <v>0</v>
      </c>
      <c r="O982" t="n">
        <v>0</v>
      </c>
      <c r="P982" t="n">
        <v>0</v>
      </c>
      <c r="Q982" t="n">
        <v>0</v>
      </c>
      <c r="R982" s="2" t="inlineStr"/>
    </row>
    <row r="983" ht="15" customHeight="1">
      <c r="A983" t="inlineStr">
        <is>
          <t>A 51370-2025</t>
        </is>
      </c>
      <c r="B983" s="1" t="n">
        <v>45950.44818287037</v>
      </c>
      <c r="C983" s="1" t="n">
        <v>46001</v>
      </c>
      <c r="D983" t="inlineStr">
        <is>
          <t>VÄSTERNORRLANDS LÄN</t>
        </is>
      </c>
      <c r="E983" t="inlineStr">
        <is>
          <t>ÅNGE</t>
        </is>
      </c>
      <c r="G983" t="n">
        <v>0.9</v>
      </c>
      <c r="H983" t="n">
        <v>0</v>
      </c>
      <c r="I983" t="n">
        <v>0</v>
      </c>
      <c r="J983" t="n">
        <v>0</v>
      </c>
      <c r="K983" t="n">
        <v>0</v>
      </c>
      <c r="L983" t="n">
        <v>0</v>
      </c>
      <c r="M983" t="n">
        <v>0</v>
      </c>
      <c r="N983" t="n">
        <v>0</v>
      </c>
      <c r="O983" t="n">
        <v>0</v>
      </c>
      <c r="P983" t="n">
        <v>0</v>
      </c>
      <c r="Q983" t="n">
        <v>0</v>
      </c>
      <c r="R983" s="2" t="inlineStr"/>
    </row>
    <row r="984" ht="15" customHeight="1">
      <c r="A984" t="inlineStr">
        <is>
          <t>A 27002-2023</t>
        </is>
      </c>
      <c r="B984" s="1" t="n">
        <v>45093</v>
      </c>
      <c r="C984" s="1" t="n">
        <v>46001</v>
      </c>
      <c r="D984" t="inlineStr">
        <is>
          <t>VÄSTERNORRLANDS LÄN</t>
        </is>
      </c>
      <c r="E984" t="inlineStr">
        <is>
          <t>ÅNGE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63170-2023</t>
        </is>
      </c>
      <c r="B985" s="1" t="n">
        <v>45273.57087962963</v>
      </c>
      <c r="C985" s="1" t="n">
        <v>46001</v>
      </c>
      <c r="D985" t="inlineStr">
        <is>
          <t>VÄSTERNORRLANDS LÄN</t>
        </is>
      </c>
      <c r="E985" t="inlineStr">
        <is>
          <t>ÅNGE</t>
        </is>
      </c>
      <c r="F985" t="inlineStr">
        <is>
          <t>Holmen skog AB</t>
        </is>
      </c>
      <c r="G985" t="n">
        <v>4.1</v>
      </c>
      <c r="H985" t="n">
        <v>0</v>
      </c>
      <c r="I985" t="n">
        <v>0</v>
      </c>
      <c r="J985" t="n">
        <v>0</v>
      </c>
      <c r="K985" t="n">
        <v>0</v>
      </c>
      <c r="L985" t="n">
        <v>0</v>
      </c>
      <c r="M985" t="n">
        <v>0</v>
      </c>
      <c r="N985" t="n">
        <v>0</v>
      </c>
      <c r="O985" t="n">
        <v>0</v>
      </c>
      <c r="P985" t="n">
        <v>0</v>
      </c>
      <c r="Q985" t="n">
        <v>0</v>
      </c>
      <c r="R985" s="2" t="inlineStr"/>
    </row>
    <row r="986" ht="15" customHeight="1">
      <c r="A986" t="inlineStr">
        <is>
          <t>A 30273-2023</t>
        </is>
      </c>
      <c r="B986" s="1" t="n">
        <v>45099</v>
      </c>
      <c r="C986" s="1" t="n">
        <v>46001</v>
      </c>
      <c r="D986" t="inlineStr">
        <is>
          <t>VÄSTERNORRLANDS LÄN</t>
        </is>
      </c>
      <c r="E986" t="inlineStr">
        <is>
          <t>ÅNGE</t>
        </is>
      </c>
      <c r="G986" t="n">
        <v>3.9</v>
      </c>
      <c r="H986" t="n">
        <v>0</v>
      </c>
      <c r="I986" t="n">
        <v>0</v>
      </c>
      <c r="J986" t="n">
        <v>0</v>
      </c>
      <c r="K986" t="n">
        <v>0</v>
      </c>
      <c r="L986" t="n">
        <v>0</v>
      </c>
      <c r="M986" t="n">
        <v>0</v>
      </c>
      <c r="N986" t="n">
        <v>0</v>
      </c>
      <c r="O986" t="n">
        <v>0</v>
      </c>
      <c r="P986" t="n">
        <v>0</v>
      </c>
      <c r="Q986" t="n">
        <v>0</v>
      </c>
      <c r="R986" s="2" t="inlineStr"/>
    </row>
    <row r="987" ht="15" customHeight="1">
      <c r="A987" t="inlineStr">
        <is>
          <t>A 59319-2025</t>
        </is>
      </c>
      <c r="B987" s="1" t="n">
        <v>45989.33283564815</v>
      </c>
      <c r="C987" s="1" t="n">
        <v>46001</v>
      </c>
      <c r="D987" t="inlineStr">
        <is>
          <t>VÄSTERNORRLANDS LÄN</t>
        </is>
      </c>
      <c r="E987" t="inlineStr">
        <is>
          <t>ÅNGE</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60368-2024</t>
        </is>
      </c>
      <c r="B988" s="1" t="n">
        <v>45643</v>
      </c>
      <c r="C988" s="1" t="n">
        <v>46001</v>
      </c>
      <c r="D988" t="inlineStr">
        <is>
          <t>VÄSTERNORRLANDS LÄN</t>
        </is>
      </c>
      <c r="E988" t="inlineStr">
        <is>
          <t>ÅNGE</t>
        </is>
      </c>
      <c r="G988" t="n">
        <v>1.8</v>
      </c>
      <c r="H988" t="n">
        <v>0</v>
      </c>
      <c r="I988" t="n">
        <v>0</v>
      </c>
      <c r="J988" t="n">
        <v>0</v>
      </c>
      <c r="K988" t="n">
        <v>0</v>
      </c>
      <c r="L988" t="n">
        <v>0</v>
      </c>
      <c r="M988" t="n">
        <v>0</v>
      </c>
      <c r="N988" t="n">
        <v>0</v>
      </c>
      <c r="O988" t="n">
        <v>0</v>
      </c>
      <c r="P988" t="n">
        <v>0</v>
      </c>
      <c r="Q988" t="n">
        <v>0</v>
      </c>
      <c r="R988" s="2" t="inlineStr"/>
    </row>
    <row r="989" ht="15" customHeight="1">
      <c r="A989" t="inlineStr">
        <is>
          <t>A 31729-2024</t>
        </is>
      </c>
      <c r="B989" s="1" t="n">
        <v>45509.35844907408</v>
      </c>
      <c r="C989" s="1" t="n">
        <v>46001</v>
      </c>
      <c r="D989" t="inlineStr">
        <is>
          <t>VÄSTERNORRLANDS LÄN</t>
        </is>
      </c>
      <c r="E989" t="inlineStr">
        <is>
          <t>ÅNGE</t>
        </is>
      </c>
      <c r="G989" t="n">
        <v>1.9</v>
      </c>
      <c r="H989" t="n">
        <v>0</v>
      </c>
      <c r="I989" t="n">
        <v>0</v>
      </c>
      <c r="J989" t="n">
        <v>0</v>
      </c>
      <c r="K989" t="n">
        <v>0</v>
      </c>
      <c r="L989" t="n">
        <v>0</v>
      </c>
      <c r="M989" t="n">
        <v>0</v>
      </c>
      <c r="N989" t="n">
        <v>0</v>
      </c>
      <c r="O989" t="n">
        <v>0</v>
      </c>
      <c r="P989" t="n">
        <v>0</v>
      </c>
      <c r="Q989" t="n">
        <v>0</v>
      </c>
      <c r="R989" s="2" t="inlineStr"/>
    </row>
    <row r="990" ht="15" customHeight="1">
      <c r="A990" t="inlineStr">
        <is>
          <t>A 34783-2021</t>
        </is>
      </c>
      <c r="B990" s="1" t="n">
        <v>44382</v>
      </c>
      <c r="C990" s="1" t="n">
        <v>46001</v>
      </c>
      <c r="D990" t="inlineStr">
        <is>
          <t>VÄSTERNORRLANDS LÄN</t>
        </is>
      </c>
      <c r="E990" t="inlineStr">
        <is>
          <t>ÅNGE</t>
        </is>
      </c>
      <c r="F990" t="inlineStr">
        <is>
          <t>SCA</t>
        </is>
      </c>
      <c r="G990" t="n">
        <v>8.5</v>
      </c>
      <c r="H990" t="n">
        <v>0</v>
      </c>
      <c r="I990" t="n">
        <v>0</v>
      </c>
      <c r="J990" t="n">
        <v>0</v>
      </c>
      <c r="K990" t="n">
        <v>0</v>
      </c>
      <c r="L990" t="n">
        <v>0</v>
      </c>
      <c r="M990" t="n">
        <v>0</v>
      </c>
      <c r="N990" t="n">
        <v>0</v>
      </c>
      <c r="O990" t="n">
        <v>0</v>
      </c>
      <c r="P990" t="n">
        <v>0</v>
      </c>
      <c r="Q990" t="n">
        <v>0</v>
      </c>
      <c r="R990" s="2" t="inlineStr"/>
    </row>
    <row r="991" ht="15" customHeight="1">
      <c r="A991" t="inlineStr">
        <is>
          <t>A 60278-2025</t>
        </is>
      </c>
      <c r="B991" s="1" t="n">
        <v>45994.63739583334</v>
      </c>
      <c r="C991" s="1" t="n">
        <v>46001</v>
      </c>
      <c r="D991" t="inlineStr">
        <is>
          <t>VÄSTERNORRLANDS LÄN</t>
        </is>
      </c>
      <c r="E991" t="inlineStr">
        <is>
          <t>ÅNGE</t>
        </is>
      </c>
      <c r="G991" t="n">
        <v>1.2</v>
      </c>
      <c r="H991" t="n">
        <v>0</v>
      </c>
      <c r="I991" t="n">
        <v>0</v>
      </c>
      <c r="J991" t="n">
        <v>0</v>
      </c>
      <c r="K991" t="n">
        <v>0</v>
      </c>
      <c r="L991" t="n">
        <v>0</v>
      </c>
      <c r="M991" t="n">
        <v>0</v>
      </c>
      <c r="N991" t="n">
        <v>0</v>
      </c>
      <c r="O991" t="n">
        <v>0</v>
      </c>
      <c r="P991" t="n">
        <v>0</v>
      </c>
      <c r="Q991" t="n">
        <v>0</v>
      </c>
      <c r="R991" s="2" t="inlineStr"/>
    </row>
    <row r="992" ht="15" customHeight="1">
      <c r="A992" t="inlineStr">
        <is>
          <t>A 59815-2025</t>
        </is>
      </c>
      <c r="B992" s="1" t="n">
        <v>45992.6359837963</v>
      </c>
      <c r="C992" s="1" t="n">
        <v>46001</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4187-2025</t>
        </is>
      </c>
      <c r="B993" s="1" t="n">
        <v>45685.44842592593</v>
      </c>
      <c r="C993" s="1" t="n">
        <v>46001</v>
      </c>
      <c r="D993" t="inlineStr">
        <is>
          <t>VÄSTERNORRLANDS LÄN</t>
        </is>
      </c>
      <c r="E993" t="inlineStr">
        <is>
          <t>ÅNGE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52121-2025</t>
        </is>
      </c>
      <c r="B994" s="1" t="n">
        <v>45952.71921296296</v>
      </c>
      <c r="C994" s="1" t="n">
        <v>46001</v>
      </c>
      <c r="D994" t="inlineStr">
        <is>
          <t>VÄSTERNORRLANDS LÄN</t>
        </is>
      </c>
      <c r="E994" t="inlineStr">
        <is>
          <t>ÅNGE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59023-2025</t>
        </is>
      </c>
      <c r="B995" s="1" t="n">
        <v>45988</v>
      </c>
      <c r="C995" s="1" t="n">
        <v>46001</v>
      </c>
      <c r="D995" t="inlineStr">
        <is>
          <t>VÄSTERNORRLANDS LÄN</t>
        </is>
      </c>
      <c r="E995" t="inlineStr">
        <is>
          <t>ÅNGE</t>
        </is>
      </c>
      <c r="F995" t="inlineStr">
        <is>
          <t>SCA</t>
        </is>
      </c>
      <c r="G995" t="n">
        <v>5.7</v>
      </c>
      <c r="H995" t="n">
        <v>0</v>
      </c>
      <c r="I995" t="n">
        <v>0</v>
      </c>
      <c r="J995" t="n">
        <v>0</v>
      </c>
      <c r="K995" t="n">
        <v>0</v>
      </c>
      <c r="L995" t="n">
        <v>0</v>
      </c>
      <c r="M995" t="n">
        <v>0</v>
      </c>
      <c r="N995" t="n">
        <v>0</v>
      </c>
      <c r="O995" t="n">
        <v>0</v>
      </c>
      <c r="P995" t="n">
        <v>0</v>
      </c>
      <c r="Q995" t="n">
        <v>0</v>
      </c>
      <c r="R995" s="2" t="inlineStr"/>
    </row>
    <row r="996" ht="15" customHeight="1">
      <c r="A996" t="inlineStr">
        <is>
          <t>A 60061-2025</t>
        </is>
      </c>
      <c r="B996" s="1" t="n">
        <v>45993.65673611111</v>
      </c>
      <c r="C996" s="1" t="n">
        <v>46001</v>
      </c>
      <c r="D996" t="inlineStr">
        <is>
          <t>VÄSTERNORRLANDS LÄN</t>
        </is>
      </c>
      <c r="E996" t="inlineStr">
        <is>
          <t>ÅNGE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60296-2025</t>
        </is>
      </c>
      <c r="B997" s="1" t="n">
        <v>45994.6568287037</v>
      </c>
      <c r="C997" s="1" t="n">
        <v>46001</v>
      </c>
      <c r="D997" t="inlineStr">
        <is>
          <t>VÄSTERNORRLANDS LÄN</t>
        </is>
      </c>
      <c r="E997" t="inlineStr">
        <is>
          <t>ÅNGE</t>
        </is>
      </c>
      <c r="G997" t="n">
        <v>0.4</v>
      </c>
      <c r="H997" t="n">
        <v>0</v>
      </c>
      <c r="I997" t="n">
        <v>0</v>
      </c>
      <c r="J997" t="n">
        <v>0</v>
      </c>
      <c r="K997" t="n">
        <v>0</v>
      </c>
      <c r="L997" t="n">
        <v>0</v>
      </c>
      <c r="M997" t="n">
        <v>0</v>
      </c>
      <c r="N997" t="n">
        <v>0</v>
      </c>
      <c r="O997" t="n">
        <v>0</v>
      </c>
      <c r="P997" t="n">
        <v>0</v>
      </c>
      <c r="Q997" t="n">
        <v>0</v>
      </c>
      <c r="R997" s="2" t="inlineStr"/>
    </row>
    <row r="998" ht="15" customHeight="1">
      <c r="A998" t="inlineStr">
        <is>
          <t>A 60118-2025</t>
        </is>
      </c>
      <c r="B998" s="1" t="n">
        <v>45994.3242824074</v>
      </c>
      <c r="C998" s="1" t="n">
        <v>46001</v>
      </c>
      <c r="D998" t="inlineStr">
        <is>
          <t>VÄSTERNORRLANDS LÄN</t>
        </is>
      </c>
      <c r="E998" t="inlineStr">
        <is>
          <t>ÅNGE</t>
        </is>
      </c>
      <c r="G998" t="n">
        <v>1.1</v>
      </c>
      <c r="H998" t="n">
        <v>0</v>
      </c>
      <c r="I998" t="n">
        <v>0</v>
      </c>
      <c r="J998" t="n">
        <v>0</v>
      </c>
      <c r="K998" t="n">
        <v>0</v>
      </c>
      <c r="L998" t="n">
        <v>0</v>
      </c>
      <c r="M998" t="n">
        <v>0</v>
      </c>
      <c r="N998" t="n">
        <v>0</v>
      </c>
      <c r="O998" t="n">
        <v>0</v>
      </c>
      <c r="P998" t="n">
        <v>0</v>
      </c>
      <c r="Q998" t="n">
        <v>0</v>
      </c>
      <c r="R998" s="2" t="inlineStr"/>
    </row>
    <row r="999" ht="15" customHeight="1">
      <c r="A999" t="inlineStr">
        <is>
          <t>A 12807-2025</t>
        </is>
      </c>
      <c r="B999" s="1" t="n">
        <v>45733.61537037037</v>
      </c>
      <c r="C999" s="1" t="n">
        <v>46001</v>
      </c>
      <c r="D999" t="inlineStr">
        <is>
          <t>VÄSTERNORRLANDS LÄN</t>
        </is>
      </c>
      <c r="E999" t="inlineStr">
        <is>
          <t>ÅNGE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51857-2025</t>
        </is>
      </c>
      <c r="B1000" s="1" t="n">
        <v>45952.36506944444</v>
      </c>
      <c r="C1000" s="1" t="n">
        <v>46001</v>
      </c>
      <c r="D1000" t="inlineStr">
        <is>
          <t>VÄSTERNORRLANDS LÄN</t>
        </is>
      </c>
      <c r="E1000" t="inlineStr">
        <is>
          <t>ÅNGE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18668-2023</t>
        </is>
      </c>
      <c r="B1001" s="1" t="n">
        <v>45043.57108796296</v>
      </c>
      <c r="C1001" s="1" t="n">
        <v>46001</v>
      </c>
      <c r="D1001" t="inlineStr">
        <is>
          <t>VÄSTERNORRLANDS LÄN</t>
        </is>
      </c>
      <c r="E1001" t="inlineStr">
        <is>
          <t>ÅNGE</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62261-2022</t>
        </is>
      </c>
      <c r="B1002" s="1" t="n">
        <v>44922.94378472222</v>
      </c>
      <c r="C1002" s="1" t="n">
        <v>46001</v>
      </c>
      <c r="D1002" t="inlineStr">
        <is>
          <t>VÄSTERNORRLANDS LÄN</t>
        </is>
      </c>
      <c r="E1002" t="inlineStr">
        <is>
          <t>ÅNGE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16524-2025</t>
        </is>
      </c>
      <c r="B1003" s="1" t="n">
        <v>45751.64310185185</v>
      </c>
      <c r="C1003" s="1" t="n">
        <v>46001</v>
      </c>
      <c r="D1003" t="inlineStr">
        <is>
          <t>VÄSTERNORRLANDS LÄN</t>
        </is>
      </c>
      <c r="E1003" t="inlineStr">
        <is>
          <t>ÅNGE</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60119-2025</t>
        </is>
      </c>
      <c r="B1004" s="1" t="n">
        <v>45994.33081018519</v>
      </c>
      <c r="C1004" s="1" t="n">
        <v>46001</v>
      </c>
      <c r="D1004" t="inlineStr">
        <is>
          <t>VÄSTERNORRLANDS LÄN</t>
        </is>
      </c>
      <c r="E1004" t="inlineStr">
        <is>
          <t>ÅNGE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47779-2023</t>
        </is>
      </c>
      <c r="B1005" s="1" t="n">
        <v>45203.92232638889</v>
      </c>
      <c r="C1005" s="1" t="n">
        <v>46001</v>
      </c>
      <c r="D1005" t="inlineStr">
        <is>
          <t>VÄSTERNORRLANDS LÄN</t>
        </is>
      </c>
      <c r="E1005" t="inlineStr">
        <is>
          <t>ÅNGE</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60134-2025</t>
        </is>
      </c>
      <c r="B1006" s="1" t="n">
        <v>45994.34793981481</v>
      </c>
      <c r="C1006" s="1" t="n">
        <v>46001</v>
      </c>
      <c r="D1006" t="inlineStr">
        <is>
          <t>VÄSTERNORRLANDS LÄN</t>
        </is>
      </c>
      <c r="E1006" t="inlineStr">
        <is>
          <t>ÅNGE</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60286-2025</t>
        </is>
      </c>
      <c r="B1007" s="1" t="n">
        <v>45994.64612268518</v>
      </c>
      <c r="C1007" s="1" t="n">
        <v>46001</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60342-2025</t>
        </is>
      </c>
      <c r="B1008" s="1" t="n">
        <v>45994.86804398148</v>
      </c>
      <c r="C1008" s="1" t="n">
        <v>46001</v>
      </c>
      <c r="D1008" t="inlineStr">
        <is>
          <t>VÄSTERNORRLANDS LÄN</t>
        </is>
      </c>
      <c r="E1008" t="inlineStr">
        <is>
          <t>ÅNGE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49502-2022</t>
        </is>
      </c>
      <c r="B1009" s="1" t="n">
        <v>44861.92613425926</v>
      </c>
      <c r="C1009" s="1" t="n">
        <v>46001</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52060-2025</t>
        </is>
      </c>
      <c r="B1010" s="1" t="n">
        <v>45952.63641203703</v>
      </c>
      <c r="C1010" s="1" t="n">
        <v>46001</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51813-2025</t>
        </is>
      </c>
      <c r="B1011" s="1" t="n">
        <v>45951.83082175926</v>
      </c>
      <c r="C1011" s="1" t="n">
        <v>46001</v>
      </c>
      <c r="D1011" t="inlineStr">
        <is>
          <t>VÄSTERNORRLANDS LÄN</t>
        </is>
      </c>
      <c r="E1011" t="inlineStr">
        <is>
          <t>ÅNGE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41825-2022</t>
        </is>
      </c>
      <c r="B1012" s="1" t="n">
        <v>44827</v>
      </c>
      <c r="C1012" s="1" t="n">
        <v>46001</v>
      </c>
      <c r="D1012" t="inlineStr">
        <is>
          <t>VÄSTERNORRLANDS LÄN</t>
        </is>
      </c>
      <c r="E1012" t="inlineStr">
        <is>
          <t>ÅNGE</t>
        </is>
      </c>
      <c r="F1012" t="inlineStr">
        <is>
          <t>SCA</t>
        </is>
      </c>
      <c r="G1012" t="n">
        <v>3.3</v>
      </c>
      <c r="H1012" t="n">
        <v>0</v>
      </c>
      <c r="I1012" t="n">
        <v>0</v>
      </c>
      <c r="J1012" t="n">
        <v>0</v>
      </c>
      <c r="K1012" t="n">
        <v>0</v>
      </c>
      <c r="L1012" t="n">
        <v>0</v>
      </c>
      <c r="M1012" t="n">
        <v>0</v>
      </c>
      <c r="N1012" t="n">
        <v>0</v>
      </c>
      <c r="O1012" t="n">
        <v>0</v>
      </c>
      <c r="P1012" t="n">
        <v>0</v>
      </c>
      <c r="Q1012" t="n">
        <v>0</v>
      </c>
      <c r="R1012" s="2" t="inlineStr"/>
      <c r="U1012">
        <f>HYPERLINK("https://klasma.github.io/Logging_2260/knärot/A 41825-2022 karta knärot.png", "A 41825-2022")</f>
        <v/>
      </c>
      <c r="V1012">
        <f>HYPERLINK("https://klasma.github.io/Logging_2260/klagomål/A 41825-2022 FSC-klagomål.docx", "A 41825-2022")</f>
        <v/>
      </c>
      <c r="W1012">
        <f>HYPERLINK("https://klasma.github.io/Logging_2260/klagomålsmail/A 41825-2022 FSC-klagomål mail.docx", "A 41825-2022")</f>
        <v/>
      </c>
      <c r="X1012">
        <f>HYPERLINK("https://klasma.github.io/Logging_2260/tillsyn/A 41825-2022 tillsynsbegäran.docx", "A 41825-2022")</f>
        <v/>
      </c>
      <c r="Y1012">
        <f>HYPERLINK("https://klasma.github.io/Logging_2260/tillsynsmail/A 41825-2022 tillsynsbegäran mail.docx", "A 41825-2022")</f>
        <v/>
      </c>
    </row>
    <row r="1013" ht="15" customHeight="1">
      <c r="A1013" t="inlineStr">
        <is>
          <t>A 42958-2024</t>
        </is>
      </c>
      <c r="B1013" s="1" t="n">
        <v>45567.37131944444</v>
      </c>
      <c r="C1013" s="1" t="n">
        <v>46001</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60124-2025</t>
        </is>
      </c>
      <c r="B1014" s="1" t="n">
        <v>45994.33722222222</v>
      </c>
      <c r="C1014" s="1" t="n">
        <v>46001</v>
      </c>
      <c r="D1014" t="inlineStr">
        <is>
          <t>VÄSTERNORRLANDS LÄN</t>
        </is>
      </c>
      <c r="E1014" t="inlineStr">
        <is>
          <t>ÅNGE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60079-2025</t>
        </is>
      </c>
      <c r="B1015" s="1" t="n">
        <v>45993.6834375</v>
      </c>
      <c r="C1015" s="1" t="n">
        <v>46001</v>
      </c>
      <c r="D1015" t="inlineStr">
        <is>
          <t>VÄSTERNORRLANDS LÄN</t>
        </is>
      </c>
      <c r="E1015" t="inlineStr">
        <is>
          <t>ÅNGE</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59022-2025</t>
        </is>
      </c>
      <c r="B1016" s="1" t="n">
        <v>45988</v>
      </c>
      <c r="C1016" s="1" t="n">
        <v>46001</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34861-2024</t>
        </is>
      </c>
      <c r="B1017" s="1" t="n">
        <v>45527.339375</v>
      </c>
      <c r="C1017" s="1" t="n">
        <v>46001</v>
      </c>
      <c r="D1017" t="inlineStr">
        <is>
          <t>VÄSTERNORRLANDS LÄN</t>
        </is>
      </c>
      <c r="E1017" t="inlineStr">
        <is>
          <t>ÅNGE</t>
        </is>
      </c>
      <c r="F1017" t="inlineStr">
        <is>
          <t>SCA</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17601-2024</t>
        </is>
      </c>
      <c r="B1018" s="1" t="n">
        <v>45415</v>
      </c>
      <c r="C1018" s="1" t="n">
        <v>46001</v>
      </c>
      <c r="D1018" t="inlineStr">
        <is>
          <t>VÄSTERNORRLANDS LÄN</t>
        </is>
      </c>
      <c r="E1018" t="inlineStr">
        <is>
          <t>ÅNGE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57846-2022</t>
        </is>
      </c>
      <c r="B1019" s="1" t="n">
        <v>44897.95008101852</v>
      </c>
      <c r="C1019" s="1" t="n">
        <v>46001</v>
      </c>
      <c r="D1019" t="inlineStr">
        <is>
          <t>VÄSTERNORRLANDS LÄN</t>
        </is>
      </c>
      <c r="E1019" t="inlineStr">
        <is>
          <t>ÅNGE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60582-2025</t>
        </is>
      </c>
      <c r="B1020" s="1" t="n">
        <v>45994</v>
      </c>
      <c r="C1020" s="1" t="n">
        <v>46001</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52392-2025</t>
        </is>
      </c>
      <c r="B1021" s="1" t="n">
        <v>45954.34424768519</v>
      </c>
      <c r="C1021" s="1" t="n">
        <v>46001</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52335-2025</t>
        </is>
      </c>
      <c r="B1022" s="1" t="n">
        <v>45953.68591435185</v>
      </c>
      <c r="C1022" s="1" t="n">
        <v>46001</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36342-2024</t>
        </is>
      </c>
      <c r="B1023" s="1" t="n">
        <v>45534.64315972223</v>
      </c>
      <c r="C1023" s="1" t="n">
        <v>46001</v>
      </c>
      <c r="D1023" t="inlineStr">
        <is>
          <t>VÄSTERNORRLANDS LÄN</t>
        </is>
      </c>
      <c r="E1023" t="inlineStr">
        <is>
          <t>ÅNGE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60403-2025</t>
        </is>
      </c>
      <c r="B1024" s="1" t="n">
        <v>45995.42762731481</v>
      </c>
      <c r="C1024" s="1" t="n">
        <v>46001</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54771-2023</t>
        </is>
      </c>
      <c r="B1025" s="1" t="n">
        <v>45229</v>
      </c>
      <c r="C1025" s="1" t="n">
        <v>46001</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32922-2024</t>
        </is>
      </c>
      <c r="B1026" s="1" t="n">
        <v>45516.95263888889</v>
      </c>
      <c r="C1026" s="1" t="n">
        <v>46001</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52283-2025</t>
        </is>
      </c>
      <c r="B1027" s="1" t="n">
        <v>45953.57346064815</v>
      </c>
      <c r="C1027" s="1" t="n">
        <v>46001</v>
      </c>
      <c r="D1027" t="inlineStr">
        <is>
          <t>VÄSTERNORRLANDS LÄN</t>
        </is>
      </c>
      <c r="E1027" t="inlineStr">
        <is>
          <t>ÅNGE</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52411-2025</t>
        </is>
      </c>
      <c r="B1028" s="1" t="n">
        <v>45954.36518518518</v>
      </c>
      <c r="C1028" s="1" t="n">
        <v>46001</v>
      </c>
      <c r="D1028" t="inlineStr">
        <is>
          <t>VÄSTERNORRLANDS LÄN</t>
        </is>
      </c>
      <c r="E1028" t="inlineStr">
        <is>
          <t>ÅNGE</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52306-2025</t>
        </is>
      </c>
      <c r="B1029" s="1" t="n">
        <v>45953.63600694444</v>
      </c>
      <c r="C1029" s="1" t="n">
        <v>46001</v>
      </c>
      <c r="D1029" t="inlineStr">
        <is>
          <t>VÄSTERNORRLANDS LÄN</t>
        </is>
      </c>
      <c r="E1029" t="inlineStr">
        <is>
          <t>ÅNGE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60590-2025</t>
        </is>
      </c>
      <c r="B1030" s="1" t="n">
        <v>45994</v>
      </c>
      <c r="C1030" s="1" t="n">
        <v>46001</v>
      </c>
      <c r="D1030" t="inlineStr">
        <is>
          <t>VÄSTERNORRLANDS LÄN</t>
        </is>
      </c>
      <c r="E1030" t="inlineStr">
        <is>
          <t>ÅNGE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60604-2025</t>
        </is>
      </c>
      <c r="B1031" s="1" t="n">
        <v>45995</v>
      </c>
      <c r="C1031" s="1" t="n">
        <v>46001</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20338-2025</t>
        </is>
      </c>
      <c r="B1032" s="1" t="n">
        <v>45775</v>
      </c>
      <c r="C1032" s="1" t="n">
        <v>46001</v>
      </c>
      <c r="D1032" t="inlineStr">
        <is>
          <t>VÄSTERNORRLANDS LÄN</t>
        </is>
      </c>
      <c r="E1032" t="inlineStr">
        <is>
          <t>ÅNGE</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36457-2021</t>
        </is>
      </c>
      <c r="B1033" s="1" t="n">
        <v>44390.93858796296</v>
      </c>
      <c r="C1033" s="1" t="n">
        <v>46001</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56699-2023</t>
        </is>
      </c>
      <c r="B1034" s="1" t="n">
        <v>45243</v>
      </c>
      <c r="C1034" s="1" t="n">
        <v>46001</v>
      </c>
      <c r="D1034" t="inlineStr">
        <is>
          <t>VÄSTERNORRLANDS LÄN</t>
        </is>
      </c>
      <c r="E1034" t="inlineStr">
        <is>
          <t>ÅNGE</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61928-2021</t>
        </is>
      </c>
      <c r="B1035" s="1" t="n">
        <v>44502.38475694445</v>
      </c>
      <c r="C1035" s="1" t="n">
        <v>46001</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60422-2025</t>
        </is>
      </c>
      <c r="B1036" s="1" t="n">
        <v>45995.46922453704</v>
      </c>
      <c r="C1036" s="1" t="n">
        <v>46001</v>
      </c>
      <c r="D1036" t="inlineStr">
        <is>
          <t>VÄSTERNORRLANDS LÄN</t>
        </is>
      </c>
      <c r="E1036" t="inlineStr">
        <is>
          <t>ÅNGE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16303-2025</t>
        </is>
      </c>
      <c r="B1037" s="1" t="n">
        <v>45751.3462037037</v>
      </c>
      <c r="C1037" s="1" t="n">
        <v>46001</v>
      </c>
      <c r="D1037" t="inlineStr">
        <is>
          <t>VÄSTERNORRLANDS LÄN</t>
        </is>
      </c>
      <c r="E1037" t="inlineStr">
        <is>
          <t>ÅNGE</t>
        </is>
      </c>
      <c r="F1037" t="inlineStr">
        <is>
          <t>SCA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37051-2021</t>
        </is>
      </c>
      <c r="B1038" s="1" t="n">
        <v>44393</v>
      </c>
      <c r="C1038" s="1" t="n">
        <v>46001</v>
      </c>
      <c r="D1038" t="inlineStr">
        <is>
          <t>VÄSTERNORRLANDS LÄN</t>
        </is>
      </c>
      <c r="E1038" t="inlineStr">
        <is>
          <t>ÅNGE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60520-2025</t>
        </is>
      </c>
      <c r="B1039" s="1" t="n">
        <v>45995.63694444444</v>
      </c>
      <c r="C1039" s="1" t="n">
        <v>46001</v>
      </c>
      <c r="D1039" t="inlineStr">
        <is>
          <t>VÄSTERNORRLANDS LÄN</t>
        </is>
      </c>
      <c r="E1039" t="inlineStr">
        <is>
          <t>ÅNGE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56908-2021</t>
        </is>
      </c>
      <c r="B1040" s="1" t="n">
        <v>44481.93844907408</v>
      </c>
      <c r="C1040" s="1" t="n">
        <v>46001</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732-2023</t>
        </is>
      </c>
      <c r="B1041" s="1" t="n">
        <v>44931.29981481482</v>
      </c>
      <c r="C1041" s="1" t="n">
        <v>46001</v>
      </c>
      <c r="D1041" t="inlineStr">
        <is>
          <t>VÄSTERNORRLANDS LÄN</t>
        </is>
      </c>
      <c r="E1041" t="inlineStr">
        <is>
          <t>ÅNGE</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5520-2022</t>
        </is>
      </c>
      <c r="B1042" s="1" t="n">
        <v>44595</v>
      </c>
      <c r="C1042" s="1" t="n">
        <v>46001</v>
      </c>
      <c r="D1042" t="inlineStr">
        <is>
          <t>VÄSTERNORRLANDS LÄN</t>
        </is>
      </c>
      <c r="E1042" t="inlineStr">
        <is>
          <t>ÅNGE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60960-2025</t>
        </is>
      </c>
      <c r="B1043" s="1" t="n">
        <v>45999</v>
      </c>
      <c r="C1043" s="1" t="n">
        <v>46001</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36786-2024</t>
        </is>
      </c>
      <c r="B1044" s="1" t="n">
        <v>45538</v>
      </c>
      <c r="C1044" s="1" t="n">
        <v>46001</v>
      </c>
      <c r="D1044" t="inlineStr">
        <is>
          <t>VÄSTERNORRLANDS LÄN</t>
        </is>
      </c>
      <c r="E1044" t="inlineStr">
        <is>
          <t>ÅNGE</t>
        </is>
      </c>
      <c r="F1044" t="inlineStr">
        <is>
          <t>SCA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52642-2025</t>
        </is>
      </c>
      <c r="B1045" s="1" t="n">
        <v>45955.34576388889</v>
      </c>
      <c r="C1045" s="1" t="n">
        <v>46001</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53663-2022</t>
        </is>
      </c>
      <c r="B1046" s="1" t="n">
        <v>44879</v>
      </c>
      <c r="C1046" s="1" t="n">
        <v>46001</v>
      </c>
      <c r="D1046" t="inlineStr">
        <is>
          <t>VÄSTERNORRLANDS LÄN</t>
        </is>
      </c>
      <c r="E1046" t="inlineStr">
        <is>
          <t>ÅNGE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49711-2024</t>
        </is>
      </c>
      <c r="B1047" s="1" t="n">
        <v>45596.69891203703</v>
      </c>
      <c r="C1047" s="1" t="n">
        <v>46001</v>
      </c>
      <c r="D1047" t="inlineStr">
        <is>
          <t>VÄSTERNORRLANDS LÄN</t>
        </is>
      </c>
      <c r="E1047" t="inlineStr">
        <is>
          <t>ÅNGE</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60950-2025</t>
        </is>
      </c>
      <c r="B1048" s="1" t="n">
        <v>45999</v>
      </c>
      <c r="C1048" s="1" t="n">
        <v>46001</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24293-2023</t>
        </is>
      </c>
      <c r="B1049" s="1" t="n">
        <v>45079.92756944444</v>
      </c>
      <c r="C1049" s="1" t="n">
        <v>46001</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25779-2023</t>
        </is>
      </c>
      <c r="B1050" s="1" t="n">
        <v>45090.47439814815</v>
      </c>
      <c r="C1050" s="1" t="n">
        <v>46001</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9211-2023</t>
        </is>
      </c>
      <c r="B1051" s="1" t="n">
        <v>44980</v>
      </c>
      <c r="C1051" s="1" t="n">
        <v>46001</v>
      </c>
      <c r="D1051" t="inlineStr">
        <is>
          <t>VÄSTERNORRLANDS LÄN</t>
        </is>
      </c>
      <c r="E1051" t="inlineStr">
        <is>
          <t>ÅNGE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8627-2023</t>
        </is>
      </c>
      <c r="B1052" s="1" t="n">
        <v>44977</v>
      </c>
      <c r="C1052" s="1" t="n">
        <v>46001</v>
      </c>
      <c r="D1052" t="inlineStr">
        <is>
          <t>VÄSTERNORRLANDS LÄN</t>
        </is>
      </c>
      <c r="E1052" t="inlineStr">
        <is>
          <t>ÅNGE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27260-2023</t>
        </is>
      </c>
      <c r="B1053" s="1" t="n">
        <v>45092</v>
      </c>
      <c r="C1053" s="1" t="n">
        <v>46001</v>
      </c>
      <c r="D1053" t="inlineStr">
        <is>
          <t>VÄSTERNORRLANDS LÄN</t>
        </is>
      </c>
      <c r="E1053" t="inlineStr">
        <is>
          <t>ÅNGE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54707-2025</t>
        </is>
      </c>
      <c r="B1054" s="1" t="n">
        <v>45966</v>
      </c>
      <c r="C1054" s="1" t="n">
        <v>46001</v>
      </c>
      <c r="D1054" t="inlineStr">
        <is>
          <t>VÄSTERNORRLANDS LÄN</t>
        </is>
      </c>
      <c r="E1054" t="inlineStr">
        <is>
          <t>ÅNGE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60599-2025</t>
        </is>
      </c>
      <c r="B1055" s="1" t="n">
        <v>45994</v>
      </c>
      <c r="C1055" s="1" t="n">
        <v>46001</v>
      </c>
      <c r="D1055" t="inlineStr">
        <is>
          <t>VÄSTERNORRLANDS LÄN</t>
        </is>
      </c>
      <c r="E1055" t="inlineStr">
        <is>
          <t>ÅNGE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16934-2025</t>
        </is>
      </c>
      <c r="B1056" s="1" t="n">
        <v>45755.40671296296</v>
      </c>
      <c r="C1056" s="1" t="n">
        <v>46001</v>
      </c>
      <c r="D1056" t="inlineStr">
        <is>
          <t>VÄSTERNORRLANDS LÄN</t>
        </is>
      </c>
      <c r="E1056" t="inlineStr">
        <is>
          <t>ÅNGE</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52858-2025</t>
        </is>
      </c>
      <c r="B1057" s="1" t="n">
        <v>45957.50284722223</v>
      </c>
      <c r="C1057" s="1" t="n">
        <v>46001</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61075-2025</t>
        </is>
      </c>
      <c r="B1058" s="1" t="n">
        <v>46000.3959837963</v>
      </c>
      <c r="C1058" s="1" t="n">
        <v>46001</v>
      </c>
      <c r="D1058" t="inlineStr">
        <is>
          <t>VÄSTERNORRLANDS LÄN</t>
        </is>
      </c>
      <c r="E1058" t="inlineStr">
        <is>
          <t>ÅNGE</t>
        </is>
      </c>
      <c r="F1058" t="inlineStr">
        <is>
          <t>Holmen skog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56434-2021</t>
        </is>
      </c>
      <c r="B1059" s="1" t="n">
        <v>44477</v>
      </c>
      <c r="C1059" s="1" t="n">
        <v>46001</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60402-2025</t>
        </is>
      </c>
      <c r="B1060" s="1" t="n">
        <v>45995.4262962963</v>
      </c>
      <c r="C1060" s="1" t="n">
        <v>46001</v>
      </c>
      <c r="D1060" t="inlineStr">
        <is>
          <t>VÄSTERNORRLANDS LÄN</t>
        </is>
      </c>
      <c r="E1060" t="inlineStr">
        <is>
          <t>ÅNGE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53012-2025</t>
        </is>
      </c>
      <c r="B1061" s="1" t="n">
        <v>45957.80320601852</v>
      </c>
      <c r="C1061" s="1" t="n">
        <v>46001</v>
      </c>
      <c r="D1061" t="inlineStr">
        <is>
          <t>VÄSTERNORRLANDS LÄN</t>
        </is>
      </c>
      <c r="E1061" t="inlineStr">
        <is>
          <t>ÅNGE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54946-2021</t>
        </is>
      </c>
      <c r="B1062" s="1" t="n">
        <v>44474.46466435185</v>
      </c>
      <c r="C1062" s="1" t="n">
        <v>46001</v>
      </c>
      <c r="D1062" t="inlineStr">
        <is>
          <t>VÄSTERNORRLANDS LÄN</t>
        </is>
      </c>
      <c r="E1062" t="inlineStr">
        <is>
          <t>ÅNGE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57109-2023</t>
        </is>
      </c>
      <c r="B1063" s="1" t="n">
        <v>45239</v>
      </c>
      <c r="C1063" s="1" t="n">
        <v>46001</v>
      </c>
      <c r="D1063" t="inlineStr">
        <is>
          <t>VÄSTERNORRLANDS LÄN</t>
        </is>
      </c>
      <c r="E1063" t="inlineStr">
        <is>
          <t>ÅNGE</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42346-2023</t>
        </is>
      </c>
      <c r="B1064" s="1" t="n">
        <v>45180</v>
      </c>
      <c r="C1064" s="1" t="n">
        <v>46001</v>
      </c>
      <c r="D1064" t="inlineStr">
        <is>
          <t>VÄSTERNORRLANDS LÄN</t>
        </is>
      </c>
      <c r="E1064" t="inlineStr">
        <is>
          <t>ÅNGE</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16563-2025</t>
        </is>
      </c>
      <c r="B1065" s="1" t="n">
        <v>45752.34430555555</v>
      </c>
      <c r="C1065" s="1" t="n">
        <v>46001</v>
      </c>
      <c r="D1065" t="inlineStr">
        <is>
          <t>VÄSTERNORRLANDS LÄN</t>
        </is>
      </c>
      <c r="E1065" t="inlineStr">
        <is>
          <t>ÅNGE</t>
        </is>
      </c>
      <c r="F1065" t="inlineStr">
        <is>
          <t>SCA</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53013-2025</t>
        </is>
      </c>
      <c r="B1066" s="1" t="n">
        <v>45957.81732638889</v>
      </c>
      <c r="C1066" s="1" t="n">
        <v>46001</v>
      </c>
      <c r="D1066" t="inlineStr">
        <is>
          <t>VÄSTERNORRLANDS LÄN</t>
        </is>
      </c>
      <c r="E1066" t="inlineStr">
        <is>
          <t>ÅNGE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53221-2025</t>
        </is>
      </c>
      <c r="B1067" s="1" t="n">
        <v>45958.60331018519</v>
      </c>
      <c r="C1067" s="1" t="n">
        <v>46001</v>
      </c>
      <c r="D1067" t="inlineStr">
        <is>
          <t>VÄSTERNORRLANDS LÄN</t>
        </is>
      </c>
      <c r="E1067" t="inlineStr">
        <is>
          <t>ÅNGE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61203-2025</t>
        </is>
      </c>
      <c r="B1068" s="1" t="n">
        <v>46000.61237268519</v>
      </c>
      <c r="C1068" s="1" t="n">
        <v>46001</v>
      </c>
      <c r="D1068" t="inlineStr">
        <is>
          <t>VÄSTERNORRLANDS LÄN</t>
        </is>
      </c>
      <c r="E1068" t="inlineStr">
        <is>
          <t>ÅNGE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15368-2024</t>
        </is>
      </c>
      <c r="B1069" s="1" t="n">
        <v>45400.92284722222</v>
      </c>
      <c r="C1069" s="1" t="n">
        <v>46001</v>
      </c>
      <c r="D1069" t="inlineStr">
        <is>
          <t>VÄSTERNORRLANDS LÄN</t>
        </is>
      </c>
      <c r="E1069" t="inlineStr">
        <is>
          <t>ÅNGE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61279-2025</t>
        </is>
      </c>
      <c r="B1070" s="1" t="n">
        <v>46000.69841435185</v>
      </c>
      <c r="C1070" s="1" t="n">
        <v>46001</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57636-2022</t>
        </is>
      </c>
      <c r="B1071" s="1" t="n">
        <v>44897</v>
      </c>
      <c r="C1071" s="1" t="n">
        <v>46001</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60864-2025</t>
        </is>
      </c>
      <c r="B1072" s="1" t="n">
        <v>45999.53170138889</v>
      </c>
      <c r="C1072" s="1" t="n">
        <v>46001</v>
      </c>
      <c r="D1072" t="inlineStr">
        <is>
          <t>VÄSTERNORRLANDS LÄN</t>
        </is>
      </c>
      <c r="E1072" t="inlineStr">
        <is>
          <t>ÅNGE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61308-2025</t>
        </is>
      </c>
      <c r="B1073" s="1" t="n">
        <v>46000.81952546296</v>
      </c>
      <c r="C1073" s="1" t="n">
        <v>46001</v>
      </c>
      <c r="D1073" t="inlineStr">
        <is>
          <t>VÄSTERNORRLANDS LÄN</t>
        </is>
      </c>
      <c r="E1073" t="inlineStr">
        <is>
          <t>ÅNGE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61200-2025</t>
        </is>
      </c>
      <c r="B1074" s="1" t="n">
        <v>46000.60918981482</v>
      </c>
      <c r="C1074" s="1" t="n">
        <v>46001</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52685-2024</t>
        </is>
      </c>
      <c r="B1075" s="1" t="n">
        <v>45610</v>
      </c>
      <c r="C1075" s="1" t="n">
        <v>46001</v>
      </c>
      <c r="D1075" t="inlineStr">
        <is>
          <t>VÄSTERNORRLANDS LÄN</t>
        </is>
      </c>
      <c r="E1075" t="inlineStr">
        <is>
          <t>ÅNGE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55664-2023</t>
        </is>
      </c>
      <c r="B1076" s="1" t="n">
        <v>45238.96748842593</v>
      </c>
      <c r="C1076" s="1" t="n">
        <v>46001</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53033-2025</t>
        </is>
      </c>
      <c r="B1077" s="1" t="n">
        <v>45958.34479166667</v>
      </c>
      <c r="C1077" s="1" t="n">
        <v>46001</v>
      </c>
      <c r="D1077" t="inlineStr">
        <is>
          <t>VÄSTERNORRLANDS LÄN</t>
        </is>
      </c>
      <c r="E1077" t="inlineStr">
        <is>
          <t>ÅNGE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58275-2022</t>
        </is>
      </c>
      <c r="B1078" s="1" t="n">
        <v>44901.47865740741</v>
      </c>
      <c r="C1078" s="1" t="n">
        <v>46001</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58605-2025</t>
        </is>
      </c>
      <c r="B1079" s="1" t="n">
        <v>45986</v>
      </c>
      <c r="C1079" s="1" t="n">
        <v>46001</v>
      </c>
      <c r="D1079" t="inlineStr">
        <is>
          <t>VÄSTERNORRLANDS LÄN</t>
        </is>
      </c>
      <c r="E1079" t="inlineStr">
        <is>
          <t>ÅNGE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29063-2023</t>
        </is>
      </c>
      <c r="B1080" s="1" t="n">
        <v>45104.94068287037</v>
      </c>
      <c r="C1080" s="1" t="n">
        <v>46001</v>
      </c>
      <c r="D1080" t="inlineStr">
        <is>
          <t>VÄSTERNORRLANDS LÄN</t>
        </is>
      </c>
      <c r="E1080" t="inlineStr">
        <is>
          <t>ÅNGE</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51609-2023</t>
        </is>
      </c>
      <c r="B1081" s="1" t="n">
        <v>45215</v>
      </c>
      <c r="C1081" s="1" t="n">
        <v>46001</v>
      </c>
      <c r="D1081" t="inlineStr">
        <is>
          <t>VÄSTERNORRLANDS LÄN</t>
        </is>
      </c>
      <c r="E1081" t="inlineStr">
        <is>
          <t>ÅNGE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53970-2021</t>
        </is>
      </c>
      <c r="B1082" s="1" t="n">
        <v>44469</v>
      </c>
      <c r="C1082" s="1" t="n">
        <v>46001</v>
      </c>
      <c r="D1082" t="inlineStr">
        <is>
          <t>VÄSTERNORRLANDS LÄN</t>
        </is>
      </c>
      <c r="E1082" t="inlineStr">
        <is>
          <t>ÅNGE</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2415-2024</t>
        </is>
      </c>
      <c r="B1083" s="1" t="n">
        <v>45310</v>
      </c>
      <c r="C1083" s="1" t="n">
        <v>46001</v>
      </c>
      <c r="D1083" t="inlineStr">
        <is>
          <t>VÄSTERNORRLANDS LÄN</t>
        </is>
      </c>
      <c r="E1083" t="inlineStr">
        <is>
          <t>ÅNGE</t>
        </is>
      </c>
      <c r="F1083" t="inlineStr">
        <is>
          <t>Kyrkan</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6686-2024</t>
        </is>
      </c>
      <c r="B1084" s="1" t="n">
        <v>45341</v>
      </c>
      <c r="C1084" s="1" t="n">
        <v>46001</v>
      </c>
      <c r="D1084" t="inlineStr">
        <is>
          <t>VÄSTERNORRLANDS LÄN</t>
        </is>
      </c>
      <c r="E1084" t="inlineStr">
        <is>
          <t>ÅNGE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30682-2024</t>
        </is>
      </c>
      <c r="B1085" s="1" t="n">
        <v>45495.95109953704</v>
      </c>
      <c r="C1085" s="1" t="n">
        <v>46001</v>
      </c>
      <c r="D1085" t="inlineStr">
        <is>
          <t>VÄSTERNORRLANDS LÄN</t>
        </is>
      </c>
      <c r="E1085" t="inlineStr">
        <is>
          <t>ÅNGE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30753-2024</t>
        </is>
      </c>
      <c r="B1086" s="1" t="n">
        <v>45496</v>
      </c>
      <c r="C1086" s="1" t="n">
        <v>46001</v>
      </c>
      <c r="D1086" t="inlineStr">
        <is>
          <t>VÄSTERNORRLANDS LÄN</t>
        </is>
      </c>
      <c r="E1086" t="inlineStr">
        <is>
          <t>ÅNGE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30754-2024</t>
        </is>
      </c>
      <c r="B1087" s="1" t="n">
        <v>45496</v>
      </c>
      <c r="C1087" s="1" t="n">
        <v>46001</v>
      </c>
      <c r="D1087" t="inlineStr">
        <is>
          <t>VÄSTERNORRLANDS LÄN</t>
        </is>
      </c>
      <c r="E1087" t="inlineStr">
        <is>
          <t>ÅNGE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38960-2021</t>
        </is>
      </c>
      <c r="B1088" s="1" t="n">
        <v>44411</v>
      </c>
      <c r="C1088" s="1" t="n">
        <v>46001</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35581-2024</t>
        </is>
      </c>
      <c r="B1089" s="1" t="n">
        <v>45531</v>
      </c>
      <c r="C1089" s="1" t="n">
        <v>46001</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65633-2021</t>
        </is>
      </c>
      <c r="B1090" s="1" t="n">
        <v>44516.56181712963</v>
      </c>
      <c r="C1090" s="1" t="n">
        <v>46001</v>
      </c>
      <c r="D1090" t="inlineStr">
        <is>
          <t>VÄSTERNORRLANDS LÄN</t>
        </is>
      </c>
      <c r="E1090" t="inlineStr">
        <is>
          <t>ÅNGE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41507-2024</t>
        </is>
      </c>
      <c r="B1091" s="1" t="n">
        <v>45560</v>
      </c>
      <c r="C1091" s="1" t="n">
        <v>46001</v>
      </c>
      <c r="D1091" t="inlineStr">
        <is>
          <t>VÄSTERNORRLANDS LÄN</t>
        </is>
      </c>
      <c r="E1091" t="inlineStr">
        <is>
          <t>ÅNGE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6487-2021</t>
        </is>
      </c>
      <c r="B1092" s="1" t="n">
        <v>44235</v>
      </c>
      <c r="C1092" s="1" t="n">
        <v>46001</v>
      </c>
      <c r="D1092" t="inlineStr">
        <is>
          <t>VÄSTERNORRLANDS LÄN</t>
        </is>
      </c>
      <c r="E1092" t="inlineStr">
        <is>
          <t>ÅNGE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17749-2025</t>
        </is>
      </c>
      <c r="B1093" s="1" t="n">
        <v>45758.48380787037</v>
      </c>
      <c r="C1093" s="1" t="n">
        <v>46001</v>
      </c>
      <c r="D1093" t="inlineStr">
        <is>
          <t>VÄSTERNORRLANDS LÄN</t>
        </is>
      </c>
      <c r="E1093" t="inlineStr">
        <is>
          <t>ÅNGE</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42044-2024</t>
        </is>
      </c>
      <c r="B1094" s="1" t="n">
        <v>45561</v>
      </c>
      <c r="C1094" s="1" t="n">
        <v>46001</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3256-2024</t>
        </is>
      </c>
      <c r="B1095" s="1" t="n">
        <v>45316</v>
      </c>
      <c r="C1095" s="1" t="n">
        <v>46001</v>
      </c>
      <c r="D1095" t="inlineStr">
        <is>
          <t>VÄSTERNORRLANDS LÄN</t>
        </is>
      </c>
      <c r="E1095" t="inlineStr">
        <is>
          <t>ÅNGE</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2451-2024</t>
        </is>
      </c>
      <c r="B1096" s="1" t="n">
        <v>45312.58627314815</v>
      </c>
      <c r="C1096" s="1" t="n">
        <v>46001</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14751-2025</t>
        </is>
      </c>
      <c r="B1097" s="1" t="n">
        <v>45742.65863425926</v>
      </c>
      <c r="C1097" s="1" t="n">
        <v>46001</v>
      </c>
      <c r="D1097" t="inlineStr">
        <is>
          <t>VÄSTERNORRLANDS LÄN</t>
        </is>
      </c>
      <c r="E1097" t="inlineStr">
        <is>
          <t>ÅNGE</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10339-2025</t>
        </is>
      </c>
      <c r="B1098" s="1" t="n">
        <v>45720</v>
      </c>
      <c r="C1098" s="1" t="n">
        <v>46001</v>
      </c>
      <c r="D1098" t="inlineStr">
        <is>
          <t>VÄSTERNORRLANDS LÄN</t>
        </is>
      </c>
      <c r="E1098" t="inlineStr">
        <is>
          <t>ÅNGE</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41083-2024</t>
        </is>
      </c>
      <c r="B1099" s="1" t="n">
        <v>45559.40684027778</v>
      </c>
      <c r="C1099" s="1" t="n">
        <v>46001</v>
      </c>
      <c r="D1099" t="inlineStr">
        <is>
          <t>VÄSTERNORRLANDS LÄN</t>
        </is>
      </c>
      <c r="E1099" t="inlineStr">
        <is>
          <t>ÅNGE</t>
        </is>
      </c>
      <c r="F1099" t="inlineStr">
        <is>
          <t>SCA</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41766-2024</t>
        </is>
      </c>
      <c r="B1100" s="1" t="n">
        <v>45561.34594907407</v>
      </c>
      <c r="C1100" s="1" t="n">
        <v>46001</v>
      </c>
      <c r="D1100" t="inlineStr">
        <is>
          <t>VÄSTERNORRLANDS LÄN</t>
        </is>
      </c>
      <c r="E1100" t="inlineStr">
        <is>
          <t>ÅNGE</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18067-2025</t>
        </is>
      </c>
      <c r="B1101" s="1" t="n">
        <v>45761.49016203704</v>
      </c>
      <c r="C1101" s="1" t="n">
        <v>46001</v>
      </c>
      <c r="D1101" t="inlineStr">
        <is>
          <t>VÄSTERNORRLANDS LÄN</t>
        </is>
      </c>
      <c r="E1101" t="inlineStr">
        <is>
          <t>ÅNGE</t>
        </is>
      </c>
      <c r="F1101" t="inlineStr">
        <is>
          <t>SCA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51024-2024</t>
        </is>
      </c>
      <c r="B1102" s="1" t="n">
        <v>45603.4141087963</v>
      </c>
      <c r="C1102" s="1" t="n">
        <v>46001</v>
      </c>
      <c r="D1102" t="inlineStr">
        <is>
          <t>VÄSTERNORRLANDS LÄN</t>
        </is>
      </c>
      <c r="E1102" t="inlineStr">
        <is>
          <t>ÅNGE</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1095-2023</t>
        </is>
      </c>
      <c r="B1103" s="1" t="n">
        <v>44929</v>
      </c>
      <c r="C1103" s="1" t="n">
        <v>46001</v>
      </c>
      <c r="D1103" t="inlineStr">
        <is>
          <t>VÄSTERNORRLANDS LÄN</t>
        </is>
      </c>
      <c r="E1103" t="inlineStr">
        <is>
          <t>ÅNGE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64121-2021</t>
        </is>
      </c>
      <c r="B1104" s="1" t="n">
        <v>44510.4730787037</v>
      </c>
      <c r="C1104" s="1" t="n">
        <v>46001</v>
      </c>
      <c r="D1104" t="inlineStr">
        <is>
          <t>VÄSTERNORRLANDS LÄN</t>
        </is>
      </c>
      <c r="E1104" t="inlineStr">
        <is>
          <t>ÅNGE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42881-2024</t>
        </is>
      </c>
      <c r="B1105" s="1" t="n">
        <v>45566.70916666667</v>
      </c>
      <c r="C1105" s="1" t="n">
        <v>46001</v>
      </c>
      <c r="D1105" t="inlineStr">
        <is>
          <t>VÄSTERNORRLANDS LÄN</t>
        </is>
      </c>
      <c r="E1105" t="inlineStr">
        <is>
          <t>ÅNGE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50651-2021</t>
        </is>
      </c>
      <c r="B1106" s="1" t="n">
        <v>44459</v>
      </c>
      <c r="C1106" s="1" t="n">
        <v>46001</v>
      </c>
      <c r="D1106" t="inlineStr">
        <is>
          <t>VÄSTERNORRLANDS LÄN</t>
        </is>
      </c>
      <c r="E1106" t="inlineStr">
        <is>
          <t>ÅNGE</t>
        </is>
      </c>
      <c r="G1106" t="n">
        <v>20.6</v>
      </c>
      <c r="H1106" t="n">
        <v>0</v>
      </c>
      <c r="I1106" t="n">
        <v>0</v>
      </c>
      <c r="J1106" t="n">
        <v>0</v>
      </c>
      <c r="K1106" t="n">
        <v>0</v>
      </c>
      <c r="L1106" t="n">
        <v>0</v>
      </c>
      <c r="M1106" t="n">
        <v>0</v>
      </c>
      <c r="N1106" t="n">
        <v>0</v>
      </c>
      <c r="O1106" t="n">
        <v>0</v>
      </c>
      <c r="P1106" t="n">
        <v>0</v>
      </c>
      <c r="Q1106" t="n">
        <v>0</v>
      </c>
      <c r="R1106" s="2" t="inlineStr"/>
    </row>
    <row r="1107" ht="15" customHeight="1">
      <c r="A1107" t="inlineStr">
        <is>
          <t>A 22752-2023</t>
        </is>
      </c>
      <c r="B1107" s="1" t="n">
        <v>45071.94104166667</v>
      </c>
      <c r="C1107" s="1" t="n">
        <v>46001</v>
      </c>
      <c r="D1107" t="inlineStr">
        <is>
          <t>VÄSTERNORRLANDS LÄN</t>
        </is>
      </c>
      <c r="E1107" t="inlineStr">
        <is>
          <t>ÅNGE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60779-2024</t>
        </is>
      </c>
      <c r="B1108" s="1" t="n">
        <v>45644</v>
      </c>
      <c r="C1108" s="1" t="n">
        <v>46001</v>
      </c>
      <c r="D1108" t="inlineStr">
        <is>
          <t>VÄSTERNORRLANDS LÄN</t>
        </is>
      </c>
      <c r="E1108" t="inlineStr">
        <is>
          <t>ÅNGE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28428-2023</t>
        </is>
      </c>
      <c r="B1109" s="1" t="n">
        <v>45102</v>
      </c>
      <c r="C1109" s="1" t="n">
        <v>46001</v>
      </c>
      <c r="D1109" t="inlineStr">
        <is>
          <t>VÄSTERNORRLANDS LÄN</t>
        </is>
      </c>
      <c r="E1109" t="inlineStr">
        <is>
          <t>ÅNGE</t>
        </is>
      </c>
      <c r="F1109" t="inlineStr">
        <is>
          <t>Kyrkan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43366-2024</t>
        </is>
      </c>
      <c r="B1110" s="1" t="n">
        <v>45568</v>
      </c>
      <c r="C1110" s="1" t="n">
        <v>46001</v>
      </c>
      <c r="D1110" t="inlineStr">
        <is>
          <t>VÄSTERNORRLANDS LÄN</t>
        </is>
      </c>
      <c r="E1110" t="inlineStr">
        <is>
          <t>ÅNGE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34491-2023</t>
        </is>
      </c>
      <c r="B1111" s="1" t="n">
        <v>45139.94775462963</v>
      </c>
      <c r="C1111" s="1" t="n">
        <v>46001</v>
      </c>
      <c r="D1111" t="inlineStr">
        <is>
          <t>VÄSTERNORRLANDS LÄN</t>
        </is>
      </c>
      <c r="E1111" t="inlineStr">
        <is>
          <t>ÅNGE</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10089-2023</t>
        </is>
      </c>
      <c r="B1112" s="1" t="n">
        <v>44985</v>
      </c>
      <c r="C1112" s="1" t="n">
        <v>46001</v>
      </c>
      <c r="D1112" t="inlineStr">
        <is>
          <t>VÄSTERNORRLANDS LÄN</t>
        </is>
      </c>
      <c r="E1112" t="inlineStr">
        <is>
          <t>ÅNGE</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44985.94511574074</v>
      </c>
      <c r="C1113" s="1" t="n">
        <v>46001</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39005-2024</t>
        </is>
      </c>
      <c r="B1114" s="1" t="n">
        <v>45548.42743055556</v>
      </c>
      <c r="C1114" s="1" t="n">
        <v>46001</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c r="U1114">
        <f>HYPERLINK("https://klasma.github.io/Logging_2260/knärot/A 39005-2024 karta knärot.png", "A 39005-2024")</f>
        <v/>
      </c>
      <c r="V1114">
        <f>HYPERLINK("https://klasma.github.io/Logging_2260/klagomål/A 39005-2024 FSC-klagomål.docx", "A 39005-2024")</f>
        <v/>
      </c>
      <c r="W1114">
        <f>HYPERLINK("https://klasma.github.io/Logging_2260/klagomålsmail/A 39005-2024 FSC-klagomål mail.docx", "A 39005-2024")</f>
        <v/>
      </c>
      <c r="X1114">
        <f>HYPERLINK("https://klasma.github.io/Logging_2260/tillsyn/A 39005-2024 tillsynsbegäran.docx", "A 39005-2024")</f>
        <v/>
      </c>
      <c r="Y1114">
        <f>HYPERLINK("https://klasma.github.io/Logging_2260/tillsynsmail/A 39005-2024 tillsynsbegäran mail.docx", "A 39005-2024")</f>
        <v/>
      </c>
    </row>
    <row r="1115" ht="15" customHeight="1">
      <c r="A1115" t="inlineStr">
        <is>
          <t>A 57593-2022</t>
        </is>
      </c>
      <c r="B1115" s="1" t="n">
        <v>44896.97847222222</v>
      </c>
      <c r="C1115" s="1" t="n">
        <v>46001</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57596-2022</t>
        </is>
      </c>
      <c r="B1116" s="1" t="n">
        <v>44896.97871527778</v>
      </c>
      <c r="C1116" s="1" t="n">
        <v>46001</v>
      </c>
      <c r="D1116" t="inlineStr">
        <is>
          <t>VÄSTERNORRLANDS LÄN</t>
        </is>
      </c>
      <c r="E1116" t="inlineStr">
        <is>
          <t>ÅNGE</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41222-2024</t>
        </is>
      </c>
      <c r="B1117" s="1" t="n">
        <v>45559.55306712963</v>
      </c>
      <c r="C1117" s="1" t="n">
        <v>46001</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13091-2024</t>
        </is>
      </c>
      <c r="B1118" s="1" t="n">
        <v>45385</v>
      </c>
      <c r="C1118" s="1" t="n">
        <v>46001</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3624-2024</t>
        </is>
      </c>
      <c r="B1119" s="1" t="n">
        <v>45320.95305555555</v>
      </c>
      <c r="C1119" s="1" t="n">
        <v>46001</v>
      </c>
      <c r="D1119" t="inlineStr">
        <is>
          <t>VÄSTERNORRLANDS LÄN</t>
        </is>
      </c>
      <c r="E1119" t="inlineStr">
        <is>
          <t>ÅNGE</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1127-2023</t>
        </is>
      </c>
      <c r="B1120" s="1" t="n">
        <v>44929</v>
      </c>
      <c r="C1120" s="1" t="n">
        <v>46001</v>
      </c>
      <c r="D1120" t="inlineStr">
        <is>
          <t>VÄSTERNORRLANDS LÄN</t>
        </is>
      </c>
      <c r="E1120" t="inlineStr">
        <is>
          <t>ÅNGE</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41781-2024</t>
        </is>
      </c>
      <c r="B1121" s="1" t="n">
        <v>45561.34938657407</v>
      </c>
      <c r="C1121" s="1" t="n">
        <v>46001</v>
      </c>
      <c r="D1121" t="inlineStr">
        <is>
          <t>VÄSTERNORRLANDS LÄN</t>
        </is>
      </c>
      <c r="E1121" t="inlineStr">
        <is>
          <t>ÅNGE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58469-2023</t>
        </is>
      </c>
      <c r="B1122" s="1" t="n">
        <v>45250</v>
      </c>
      <c r="C1122" s="1" t="n">
        <v>46001</v>
      </c>
      <c r="D1122" t="inlineStr">
        <is>
          <t>VÄSTERNORRLANDS LÄN</t>
        </is>
      </c>
      <c r="E1122" t="inlineStr">
        <is>
          <t>ÅNGE</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42090-2024</t>
        </is>
      </c>
      <c r="B1123" s="1" t="n">
        <v>45562</v>
      </c>
      <c r="C1123" s="1" t="n">
        <v>46001</v>
      </c>
      <c r="D1123" t="inlineStr">
        <is>
          <t>VÄSTERNORRLANDS LÄN</t>
        </is>
      </c>
      <c r="E1123" t="inlineStr">
        <is>
          <t>ÅNGE</t>
        </is>
      </c>
      <c r="F1123" t="inlineStr">
        <is>
          <t>SCA</t>
        </is>
      </c>
      <c r="G1123" t="n">
        <v>20.2</v>
      </c>
      <c r="H1123" t="n">
        <v>0</v>
      </c>
      <c r="I1123" t="n">
        <v>0</v>
      </c>
      <c r="J1123" t="n">
        <v>0</v>
      </c>
      <c r="K1123" t="n">
        <v>0</v>
      </c>
      <c r="L1123" t="n">
        <v>0</v>
      </c>
      <c r="M1123" t="n">
        <v>0</v>
      </c>
      <c r="N1123" t="n">
        <v>0</v>
      </c>
      <c r="O1123" t="n">
        <v>0</v>
      </c>
      <c r="P1123" t="n">
        <v>0</v>
      </c>
      <c r="Q1123" t="n">
        <v>0</v>
      </c>
      <c r="R1123" s="2" t="inlineStr"/>
    </row>
    <row r="1124" ht="15" customHeight="1">
      <c r="A1124" t="inlineStr">
        <is>
          <t>A 42098-2024</t>
        </is>
      </c>
      <c r="B1124" s="1" t="n">
        <v>45562.34532407407</v>
      </c>
      <c r="C1124" s="1" t="n">
        <v>46001</v>
      </c>
      <c r="D1124" t="inlineStr">
        <is>
          <t>VÄSTERNORRLANDS LÄN</t>
        </is>
      </c>
      <c r="E1124" t="inlineStr">
        <is>
          <t>ÅNGE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55324-2023</t>
        </is>
      </c>
      <c r="B1125" s="1" t="n">
        <v>45237.9734837963</v>
      </c>
      <c r="C1125" s="1" t="n">
        <v>46001</v>
      </c>
      <c r="D1125" t="inlineStr">
        <is>
          <t>VÄSTERNORRLANDS LÄN</t>
        </is>
      </c>
      <c r="E1125" t="inlineStr">
        <is>
          <t>ÅNGE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4361-2024</t>
        </is>
      </c>
      <c r="B1126" s="1" t="n">
        <v>45325.65047453704</v>
      </c>
      <c r="C1126" s="1" t="n">
        <v>46001</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65229-2021</t>
        </is>
      </c>
      <c r="B1127" s="1" t="n">
        <v>44515</v>
      </c>
      <c r="C1127" s="1" t="n">
        <v>46001</v>
      </c>
      <c r="D1127" t="inlineStr">
        <is>
          <t>VÄSTERNORRLANDS LÄN</t>
        </is>
      </c>
      <c r="E1127" t="inlineStr">
        <is>
          <t>ÅNGE</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32069-2023</t>
        </is>
      </c>
      <c r="B1128" s="1" t="n">
        <v>45107</v>
      </c>
      <c r="C1128" s="1" t="n">
        <v>46001</v>
      </c>
      <c r="D1128" t="inlineStr">
        <is>
          <t>VÄSTERNORRLANDS LÄN</t>
        </is>
      </c>
      <c r="E1128" t="inlineStr">
        <is>
          <t>ÅNGE</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19829-2025</t>
        </is>
      </c>
      <c r="B1129" s="1" t="n">
        <v>45771.46944444445</v>
      </c>
      <c r="C1129" s="1" t="n">
        <v>46001</v>
      </c>
      <c r="D1129" t="inlineStr">
        <is>
          <t>VÄSTERNORRLANDS LÄN</t>
        </is>
      </c>
      <c r="E1129" t="inlineStr">
        <is>
          <t>ÅNGE</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46015-2024</t>
        </is>
      </c>
      <c r="B1130" s="1" t="n">
        <v>45580.67760416667</v>
      </c>
      <c r="C1130" s="1" t="n">
        <v>46001</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41302-2024</t>
        </is>
      </c>
      <c r="B1131" s="1" t="n">
        <v>45559.62077546296</v>
      </c>
      <c r="C1131" s="1" t="n">
        <v>46001</v>
      </c>
      <c r="D1131" t="inlineStr">
        <is>
          <t>VÄSTERNORRLANDS LÄN</t>
        </is>
      </c>
      <c r="E1131" t="inlineStr">
        <is>
          <t>ÅNGE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16576-2023</t>
        </is>
      </c>
      <c r="B1132" s="1" t="n">
        <v>45029.94251157407</v>
      </c>
      <c r="C1132" s="1" t="n">
        <v>46001</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37503-2023</t>
        </is>
      </c>
      <c r="B1133" s="1" t="n">
        <v>45157.5796875</v>
      </c>
      <c r="C1133" s="1" t="n">
        <v>46001</v>
      </c>
      <c r="D1133" t="inlineStr">
        <is>
          <t>VÄSTERNORRLANDS LÄN</t>
        </is>
      </c>
      <c r="E1133" t="inlineStr">
        <is>
          <t>ÅNGE</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3323-2023</t>
        </is>
      </c>
      <c r="B1134" s="1" t="n">
        <v>44945</v>
      </c>
      <c r="C1134" s="1" t="n">
        <v>46001</v>
      </c>
      <c r="D1134" t="inlineStr">
        <is>
          <t>VÄSTERNORRLANDS LÄN</t>
        </is>
      </c>
      <c r="E1134" t="inlineStr">
        <is>
          <t>ÅNGE</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51377-2024</t>
        </is>
      </c>
      <c r="B1135" s="1" t="n">
        <v>45604.38142361111</v>
      </c>
      <c r="C1135" s="1" t="n">
        <v>46001</v>
      </c>
      <c r="D1135" t="inlineStr">
        <is>
          <t>VÄSTERNORRLANDS LÄN</t>
        </is>
      </c>
      <c r="E1135" t="inlineStr">
        <is>
          <t>ÅNGE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60860-2022</t>
        </is>
      </c>
      <c r="B1136" s="1" t="n">
        <v>44914</v>
      </c>
      <c r="C1136" s="1" t="n">
        <v>46001</v>
      </c>
      <c r="D1136" t="inlineStr">
        <is>
          <t>VÄSTERNORRLANDS LÄN</t>
        </is>
      </c>
      <c r="E1136" t="inlineStr">
        <is>
          <t>ÅNGE</t>
        </is>
      </c>
      <c r="F1136" t="inlineStr">
        <is>
          <t>Holmen skog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57286-2022</t>
        </is>
      </c>
      <c r="B1137" s="1" t="n">
        <v>44895.94991898148</v>
      </c>
      <c r="C1137" s="1" t="n">
        <v>46001</v>
      </c>
      <c r="D1137" t="inlineStr">
        <is>
          <t>VÄSTERNORRLANDS LÄN</t>
        </is>
      </c>
      <c r="E1137" t="inlineStr">
        <is>
          <t>ÅNGE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16572-2023</t>
        </is>
      </c>
      <c r="B1138" s="1" t="n">
        <v>45029.94224537037</v>
      </c>
      <c r="C1138" s="1" t="n">
        <v>46001</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16365-2023</t>
        </is>
      </c>
      <c r="B1139" s="1" t="n">
        <v>45028</v>
      </c>
      <c r="C1139" s="1" t="n">
        <v>46001</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24063-2023</t>
        </is>
      </c>
      <c r="B1140" s="1" t="n">
        <v>45078.94140046297</v>
      </c>
      <c r="C1140" s="1" t="n">
        <v>46001</v>
      </c>
      <c r="D1140" t="inlineStr">
        <is>
          <t>VÄSTERNORRLANDS LÄN</t>
        </is>
      </c>
      <c r="E1140" t="inlineStr">
        <is>
          <t>ÅNGE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10087-2023</t>
        </is>
      </c>
      <c r="B1141" s="1" t="n">
        <v>44985</v>
      </c>
      <c r="C1141" s="1" t="n">
        <v>46001</v>
      </c>
      <c r="D1141" t="inlineStr">
        <is>
          <t>VÄSTERNORRLANDS LÄN</t>
        </is>
      </c>
      <c r="E1141" t="inlineStr">
        <is>
          <t>ÅNGE</t>
        </is>
      </c>
      <c r="F1141" t="inlineStr">
        <is>
          <t>SCA</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27682-2023</t>
        </is>
      </c>
      <c r="B1142" s="1" t="n">
        <v>45097.93758101852</v>
      </c>
      <c r="C1142" s="1" t="n">
        <v>46001</v>
      </c>
      <c r="D1142" t="inlineStr">
        <is>
          <t>VÄSTERNORRLANDS LÄN</t>
        </is>
      </c>
      <c r="E1142" t="inlineStr">
        <is>
          <t>ÅNGE</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38795-2023</t>
        </is>
      </c>
      <c r="B1143" s="1" t="n">
        <v>45162</v>
      </c>
      <c r="C1143" s="1" t="n">
        <v>46001</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35979-2023</t>
        </is>
      </c>
      <c r="B1144" s="1" t="n">
        <v>45148</v>
      </c>
      <c r="C1144" s="1" t="n">
        <v>46001</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35582-2024</t>
        </is>
      </c>
      <c r="B1145" s="1" t="n">
        <v>45531.64800925926</v>
      </c>
      <c r="C1145" s="1" t="n">
        <v>46001</v>
      </c>
      <c r="D1145" t="inlineStr">
        <is>
          <t>VÄSTERNORRLANDS LÄN</t>
        </is>
      </c>
      <c r="E1145" t="inlineStr">
        <is>
          <t>ÅNGE</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36466-2024</t>
        </is>
      </c>
      <c r="B1146" s="1" t="n">
        <v>45537.35872685185</v>
      </c>
      <c r="C1146" s="1" t="n">
        <v>46001</v>
      </c>
      <c r="D1146" t="inlineStr">
        <is>
          <t>VÄSTERNORRLANDS LÄN</t>
        </is>
      </c>
      <c r="E1146" t="inlineStr">
        <is>
          <t>ÅNGE</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52785-2024</t>
        </is>
      </c>
      <c r="B1147" s="1" t="n">
        <v>45610.55273148148</v>
      </c>
      <c r="C1147" s="1" t="n">
        <v>46001</v>
      </c>
      <c r="D1147" t="inlineStr">
        <is>
          <t>VÄSTERNORRLANDS LÄN</t>
        </is>
      </c>
      <c r="E1147" t="inlineStr">
        <is>
          <t>ÅNGE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52786-2024</t>
        </is>
      </c>
      <c r="B1148" s="1" t="n">
        <v>45610.55283564814</v>
      </c>
      <c r="C1148" s="1" t="n">
        <v>46001</v>
      </c>
      <c r="D1148" t="inlineStr">
        <is>
          <t>VÄSTERNORRLANDS LÄN</t>
        </is>
      </c>
      <c r="E1148" t="inlineStr">
        <is>
          <t>ÅNGE</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48787-2024</t>
        </is>
      </c>
      <c r="B1149" s="1" t="n">
        <v>45593.63888888889</v>
      </c>
      <c r="C1149" s="1" t="n">
        <v>46001</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58939-2021</t>
        </is>
      </c>
      <c r="B1150" s="1" t="n">
        <v>44489</v>
      </c>
      <c r="C1150" s="1" t="n">
        <v>46001</v>
      </c>
      <c r="D1150" t="inlineStr">
        <is>
          <t>VÄSTERNORRLANDS LÄN</t>
        </is>
      </c>
      <c r="E1150" t="inlineStr">
        <is>
          <t>ÅNGE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42969-2024</t>
        </is>
      </c>
      <c r="B1151" s="1" t="n">
        <v>45567.37300925926</v>
      </c>
      <c r="C1151" s="1" t="n">
        <v>46001</v>
      </c>
      <c r="D1151" t="inlineStr">
        <is>
          <t>VÄSTERNORRLANDS LÄN</t>
        </is>
      </c>
      <c r="E1151" t="inlineStr">
        <is>
          <t>ÅNGE</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52683-2024</t>
        </is>
      </c>
      <c r="B1152" s="1" t="n">
        <v>45610</v>
      </c>
      <c r="C1152" s="1" t="n">
        <v>46001</v>
      </c>
      <c r="D1152" t="inlineStr">
        <is>
          <t>VÄSTERNORRLANDS LÄN</t>
        </is>
      </c>
      <c r="E1152" t="inlineStr">
        <is>
          <t>ÅNGE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37558-2023</t>
        </is>
      </c>
      <c r="B1153" s="1" t="n">
        <v>45159.34511574074</v>
      </c>
      <c r="C1153" s="1" t="n">
        <v>46001</v>
      </c>
      <c r="D1153" t="inlineStr">
        <is>
          <t>VÄSTERNORRLANDS LÄN</t>
        </is>
      </c>
      <c r="E1153" t="inlineStr">
        <is>
          <t>ÅNGE</t>
        </is>
      </c>
      <c r="F1153" t="inlineStr">
        <is>
          <t>Kyrkan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34852-2023</t>
        </is>
      </c>
      <c r="B1154" s="1" t="n">
        <v>45141</v>
      </c>
      <c r="C1154" s="1" t="n">
        <v>46001</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19798-2025</t>
        </is>
      </c>
      <c r="B1155" s="1" t="n">
        <v>45771.44824074074</v>
      </c>
      <c r="C1155" s="1" t="n">
        <v>46001</v>
      </c>
      <c r="D1155" t="inlineStr">
        <is>
          <t>VÄSTERNORRLANDS LÄN</t>
        </is>
      </c>
      <c r="E1155" t="inlineStr">
        <is>
          <t>ÅNGE</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10558-2023</t>
        </is>
      </c>
      <c r="B1156" s="1" t="n">
        <v>44987.94438657408</v>
      </c>
      <c r="C1156" s="1" t="n">
        <v>46001</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49487-2024</t>
        </is>
      </c>
      <c r="B1157" s="1" t="n">
        <v>45596.35813657408</v>
      </c>
      <c r="C1157" s="1" t="n">
        <v>46001</v>
      </c>
      <c r="D1157" t="inlineStr">
        <is>
          <t>VÄSTERNORRLANDS LÄN</t>
        </is>
      </c>
      <c r="E1157" t="inlineStr">
        <is>
          <t>ÅNGE</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44606-2024</t>
        </is>
      </c>
      <c r="B1158" s="1" t="n">
        <v>45574.51195601852</v>
      </c>
      <c r="C1158" s="1" t="n">
        <v>46001</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44626-2024</t>
        </is>
      </c>
      <c r="B1159" s="1" t="n">
        <v>45574.51378472222</v>
      </c>
      <c r="C1159" s="1" t="n">
        <v>46001</v>
      </c>
      <c r="D1159" t="inlineStr">
        <is>
          <t>VÄSTERNORRLANDS LÄN</t>
        </is>
      </c>
      <c r="E1159" t="inlineStr">
        <is>
          <t>ÅNGE</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61781-2023</t>
        </is>
      </c>
      <c r="B1160" s="1" t="n">
        <v>45265.95708333333</v>
      </c>
      <c r="C1160" s="1" t="n">
        <v>46001</v>
      </c>
      <c r="D1160" t="inlineStr">
        <is>
          <t>VÄSTERNORRLANDS LÄN</t>
        </is>
      </c>
      <c r="E1160" t="inlineStr">
        <is>
          <t>ÅNGE</t>
        </is>
      </c>
      <c r="F1160" t="inlineStr">
        <is>
          <t>SCA</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49187-2024</t>
        </is>
      </c>
      <c r="B1161" s="1" t="n">
        <v>45595.34490740741</v>
      </c>
      <c r="C1161" s="1" t="n">
        <v>46001</v>
      </c>
      <c r="D1161" t="inlineStr">
        <is>
          <t>VÄSTERNORRLANDS LÄN</t>
        </is>
      </c>
      <c r="E1161" t="inlineStr">
        <is>
          <t>ÅNGE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28873-2024</t>
        </is>
      </c>
      <c r="B1162" s="1" t="n">
        <v>45478.94766203704</v>
      </c>
      <c r="C1162" s="1" t="n">
        <v>46001</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31563-2024</t>
        </is>
      </c>
      <c r="B1163" s="1" t="n">
        <v>45505</v>
      </c>
      <c r="C1163" s="1" t="n">
        <v>46001</v>
      </c>
      <c r="D1163" t="inlineStr">
        <is>
          <t>VÄSTERNORRLANDS LÄN</t>
        </is>
      </c>
      <c r="E1163" t="inlineStr">
        <is>
          <t>ÅNGE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34705-2023</t>
        </is>
      </c>
      <c r="B1164" s="1" t="n">
        <v>45140.96452546296</v>
      </c>
      <c r="C1164" s="1" t="n">
        <v>46001</v>
      </c>
      <c r="D1164" t="inlineStr">
        <is>
          <t>VÄSTERNORRLANDS LÄN</t>
        </is>
      </c>
      <c r="E1164" t="inlineStr">
        <is>
          <t>ÅNGE</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34750-2023</t>
        </is>
      </c>
      <c r="B1165" s="1" t="n">
        <v>45139</v>
      </c>
      <c r="C1165" s="1" t="n">
        <v>46001</v>
      </c>
      <c r="D1165" t="inlineStr">
        <is>
          <t>VÄSTERNORRLANDS LÄN</t>
        </is>
      </c>
      <c r="E1165" t="inlineStr">
        <is>
          <t>ÅNGE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69790-2021</t>
        </is>
      </c>
      <c r="B1166" s="1" t="n">
        <v>44532.605625</v>
      </c>
      <c r="C1166" s="1" t="n">
        <v>46001</v>
      </c>
      <c r="D1166" t="inlineStr">
        <is>
          <t>VÄSTERNORRLANDS LÄN</t>
        </is>
      </c>
      <c r="E1166" t="inlineStr">
        <is>
          <t>ÅNGE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3330-2025</t>
        </is>
      </c>
      <c r="B1167" s="1" t="n">
        <v>45679.70041666667</v>
      </c>
      <c r="C1167" s="1" t="n">
        <v>46001</v>
      </c>
      <c r="D1167" t="inlineStr">
        <is>
          <t>VÄSTERNORRLANDS LÄN</t>
        </is>
      </c>
      <c r="E1167" t="inlineStr">
        <is>
          <t>ÅNGE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31229-2023</t>
        </is>
      </c>
      <c r="B1168" s="1" t="n">
        <v>45114</v>
      </c>
      <c r="C1168" s="1" t="n">
        <v>46001</v>
      </c>
      <c r="D1168" t="inlineStr">
        <is>
          <t>VÄSTERNORRLANDS LÄN</t>
        </is>
      </c>
      <c r="E1168" t="inlineStr">
        <is>
          <t>ÅNGE</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48690-2024</t>
        </is>
      </c>
      <c r="B1169" s="1" t="n">
        <v>45593.50704861111</v>
      </c>
      <c r="C1169" s="1" t="n">
        <v>46001</v>
      </c>
      <c r="D1169" t="inlineStr">
        <is>
          <t>VÄSTERNORRLANDS LÄN</t>
        </is>
      </c>
      <c r="E1169" t="inlineStr">
        <is>
          <t>ÅNGE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19342-2024</t>
        </is>
      </c>
      <c r="B1170" s="1" t="n">
        <v>45428</v>
      </c>
      <c r="C1170" s="1" t="n">
        <v>46001</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25035-2023</t>
        </is>
      </c>
      <c r="B1171" s="1" t="n">
        <v>45085</v>
      </c>
      <c r="C1171" s="1" t="n">
        <v>46001</v>
      </c>
      <c r="D1171" t="inlineStr">
        <is>
          <t>VÄSTERNORRLANDS LÄN</t>
        </is>
      </c>
      <c r="E1171" t="inlineStr">
        <is>
          <t>ÅNGE</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40755-2023</t>
        </is>
      </c>
      <c r="B1172" s="1" t="n">
        <v>45170</v>
      </c>
      <c r="C1172" s="1" t="n">
        <v>46001</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41284-2024</t>
        </is>
      </c>
      <c r="B1173" s="1" t="n">
        <v>45559.59520833333</v>
      </c>
      <c r="C1173" s="1" t="n">
        <v>46001</v>
      </c>
      <c r="D1173" t="inlineStr">
        <is>
          <t>VÄSTERNORRLANDS LÄN</t>
        </is>
      </c>
      <c r="E1173" t="inlineStr">
        <is>
          <t>ÅNGE</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32901-2023</t>
        </is>
      </c>
      <c r="B1174" s="1" t="n">
        <v>45124.95063657407</v>
      </c>
      <c r="C1174" s="1" t="n">
        <v>46001</v>
      </c>
      <c r="D1174" t="inlineStr">
        <is>
          <t>VÄSTERNORRLANDS LÄN</t>
        </is>
      </c>
      <c r="E1174" t="inlineStr">
        <is>
          <t>ÅNGE</t>
        </is>
      </c>
      <c r="F1174" t="inlineStr">
        <is>
          <t>SCA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16903-2024</t>
        </is>
      </c>
      <c r="B1175" s="1" t="n">
        <v>45411.63106481481</v>
      </c>
      <c r="C1175" s="1" t="n">
        <v>46001</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16915-2024</t>
        </is>
      </c>
      <c r="B1176" s="1" t="n">
        <v>45411.65185185185</v>
      </c>
      <c r="C1176" s="1" t="n">
        <v>46001</v>
      </c>
      <c r="D1176" t="inlineStr">
        <is>
          <t>VÄSTERNORRLANDS LÄN</t>
        </is>
      </c>
      <c r="E1176" t="inlineStr">
        <is>
          <t>ÅNGE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5613-2024</t>
        </is>
      </c>
      <c r="B1177" s="1" t="n">
        <v>45334</v>
      </c>
      <c r="C1177" s="1" t="n">
        <v>46001</v>
      </c>
      <c r="D1177" t="inlineStr">
        <is>
          <t>VÄSTERNORRLANDS LÄN</t>
        </is>
      </c>
      <c r="E1177" t="inlineStr">
        <is>
          <t>ÅNGE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54456-2024</t>
        </is>
      </c>
      <c r="B1178" s="1" t="n">
        <v>45617.53160879629</v>
      </c>
      <c r="C1178" s="1" t="n">
        <v>46001</v>
      </c>
      <c r="D1178" t="inlineStr">
        <is>
          <t>VÄSTERNORRLANDS LÄN</t>
        </is>
      </c>
      <c r="E1178" t="inlineStr">
        <is>
          <t>ÅNGE</t>
        </is>
      </c>
      <c r="F1178" t="inlineStr">
        <is>
          <t>SCA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25311-2023</t>
        </is>
      </c>
      <c r="B1179" s="1" t="n">
        <v>45086.93869212963</v>
      </c>
      <c r="C1179" s="1" t="n">
        <v>46001</v>
      </c>
      <c r="D1179" t="inlineStr">
        <is>
          <t>VÄSTERNORRLANDS LÄN</t>
        </is>
      </c>
      <c r="E1179" t="inlineStr">
        <is>
          <t>ÅNGE</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4904-2024</t>
        </is>
      </c>
      <c r="B1180" s="1" t="n">
        <v>45329.47856481482</v>
      </c>
      <c r="C1180" s="1" t="n">
        <v>46001</v>
      </c>
      <c r="D1180" t="inlineStr">
        <is>
          <t>VÄSTERNORRLANDS LÄN</t>
        </is>
      </c>
      <c r="E1180" t="inlineStr">
        <is>
          <t>ÅNGE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29462-2024</t>
        </is>
      </c>
      <c r="B1181" s="1" t="n">
        <v>45483.96979166667</v>
      </c>
      <c r="C1181" s="1" t="n">
        <v>46001</v>
      </c>
      <c r="D1181" t="inlineStr">
        <is>
          <t>VÄSTERNORRLANDS LÄN</t>
        </is>
      </c>
      <c r="E1181" t="inlineStr">
        <is>
          <t>ÅNGE</t>
        </is>
      </c>
      <c r="F1181" t="inlineStr">
        <is>
          <t>SCA</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44178-2023</t>
        </is>
      </c>
      <c r="B1182" s="1" t="n">
        <v>45183</v>
      </c>
      <c r="C1182" s="1" t="n">
        <v>46001</v>
      </c>
      <c r="D1182" t="inlineStr">
        <is>
          <t>VÄSTERNORRLANDS LÄN</t>
        </is>
      </c>
      <c r="E1182" t="inlineStr">
        <is>
          <t>ÅNGE</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8648-2025</t>
        </is>
      </c>
      <c r="B1183" s="1" t="n">
        <v>45712.34501157407</v>
      </c>
      <c r="C1183" s="1" t="n">
        <v>46001</v>
      </c>
      <c r="D1183" t="inlineStr">
        <is>
          <t>VÄSTERNORRLANDS LÄN</t>
        </is>
      </c>
      <c r="E1183" t="inlineStr">
        <is>
          <t>ÅNGE</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27952-2024</t>
        </is>
      </c>
      <c r="B1184" s="1" t="n">
        <v>45476.33063657407</v>
      </c>
      <c r="C1184" s="1" t="n">
        <v>46001</v>
      </c>
      <c r="D1184" t="inlineStr">
        <is>
          <t>VÄSTERNORRLANDS LÄN</t>
        </is>
      </c>
      <c r="E1184" t="inlineStr">
        <is>
          <t>ÅNGE</t>
        </is>
      </c>
      <c r="G1184" t="n">
        <v>12.2</v>
      </c>
      <c r="H1184" t="n">
        <v>0</v>
      </c>
      <c r="I1184" t="n">
        <v>0</v>
      </c>
      <c r="J1184" t="n">
        <v>0</v>
      </c>
      <c r="K1184" t="n">
        <v>0</v>
      </c>
      <c r="L1184" t="n">
        <v>0</v>
      </c>
      <c r="M1184" t="n">
        <v>0</v>
      </c>
      <c r="N1184" t="n">
        <v>0</v>
      </c>
      <c r="O1184" t="n">
        <v>0</v>
      </c>
      <c r="P1184" t="n">
        <v>0</v>
      </c>
      <c r="Q1184" t="n">
        <v>0</v>
      </c>
      <c r="R1184" s="2" t="inlineStr"/>
    </row>
    <row r="1185" ht="15" customHeight="1">
      <c r="A1185" t="inlineStr">
        <is>
          <t>A 32439-2024</t>
        </is>
      </c>
      <c r="B1185" s="1" t="n">
        <v>45512</v>
      </c>
      <c r="C1185" s="1" t="n">
        <v>46001</v>
      </c>
      <c r="D1185" t="inlineStr">
        <is>
          <t>VÄSTERNORRLANDS LÄN</t>
        </is>
      </c>
      <c r="E1185" t="inlineStr">
        <is>
          <t>ÅNGE</t>
        </is>
      </c>
      <c r="F1185" t="inlineStr">
        <is>
          <t>SCA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60363-2024</t>
        </is>
      </c>
      <c r="B1186" s="1" t="n">
        <v>45643</v>
      </c>
      <c r="C1186" s="1" t="n">
        <v>46001</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51070-2024</t>
        </is>
      </c>
      <c r="B1187" s="1" t="n">
        <v>45603</v>
      </c>
      <c r="C1187" s="1" t="n">
        <v>46001</v>
      </c>
      <c r="D1187" t="inlineStr">
        <is>
          <t>VÄSTERNORRLANDS LÄN</t>
        </is>
      </c>
      <c r="E1187" t="inlineStr">
        <is>
          <t>ÅNGE</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60514-2024</t>
        </is>
      </c>
      <c r="B1188" s="1" t="n">
        <v>45643.67474537037</v>
      </c>
      <c r="C1188" s="1" t="n">
        <v>46001</v>
      </c>
      <c r="D1188" t="inlineStr">
        <is>
          <t>VÄSTERNORRLANDS LÄN</t>
        </is>
      </c>
      <c r="E1188" t="inlineStr">
        <is>
          <t>ÅNGE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52665-2024</t>
        </is>
      </c>
      <c r="B1189" s="1" t="n">
        <v>45610.36549768518</v>
      </c>
      <c r="C1189" s="1" t="n">
        <v>46001</v>
      </c>
      <c r="D1189" t="inlineStr">
        <is>
          <t>VÄSTERNORRLANDS LÄN</t>
        </is>
      </c>
      <c r="E1189" t="inlineStr">
        <is>
          <t>ÅNGE</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41831-2021</t>
        </is>
      </c>
      <c r="B1190" s="1" t="n">
        <v>44425.92212962963</v>
      </c>
      <c r="C1190" s="1" t="n">
        <v>46001</v>
      </c>
      <c r="D1190" t="inlineStr">
        <is>
          <t>VÄSTERNORRLANDS LÄN</t>
        </is>
      </c>
      <c r="E1190" t="inlineStr">
        <is>
          <t>ÅNGE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57815-2024</t>
        </is>
      </c>
      <c r="B1191" s="1" t="n">
        <v>45631.37068287037</v>
      </c>
      <c r="C1191" s="1" t="n">
        <v>46001</v>
      </c>
      <c r="D1191" t="inlineStr">
        <is>
          <t>VÄSTERNORRLANDS LÄN</t>
        </is>
      </c>
      <c r="E1191" t="inlineStr">
        <is>
          <t>ÅNGE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6691-2024</t>
        </is>
      </c>
      <c r="B1192" s="1" t="n">
        <v>45341</v>
      </c>
      <c r="C1192" s="1" t="n">
        <v>46001</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12123-2024</t>
        </is>
      </c>
      <c r="B1193" s="1" t="n">
        <v>45377</v>
      </c>
      <c r="C1193" s="1" t="n">
        <v>46001</v>
      </c>
      <c r="D1193" t="inlineStr">
        <is>
          <t>VÄSTERNORRLANDS LÄN</t>
        </is>
      </c>
      <c r="E1193" t="inlineStr">
        <is>
          <t>ÅNGE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12806-2025</t>
        </is>
      </c>
      <c r="B1194" s="1" t="n">
        <v>45733.61518518518</v>
      </c>
      <c r="C1194" s="1" t="n">
        <v>46001</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20024-2023</t>
        </is>
      </c>
      <c r="B1195" s="1" t="n">
        <v>45051</v>
      </c>
      <c r="C1195" s="1" t="n">
        <v>46001</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13164-2022</t>
        </is>
      </c>
      <c r="B1196" s="1" t="n">
        <v>44644</v>
      </c>
      <c r="C1196" s="1" t="n">
        <v>46001</v>
      </c>
      <c r="D1196" t="inlineStr">
        <is>
          <t>VÄSTERNORRLANDS LÄN</t>
        </is>
      </c>
      <c r="E1196" t="inlineStr">
        <is>
          <t>ÅNGE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5456-2024</t>
        </is>
      </c>
      <c r="B1197" s="1" t="n">
        <v>45331</v>
      </c>
      <c r="C1197" s="1" t="n">
        <v>46001</v>
      </c>
      <c r="D1197" t="inlineStr">
        <is>
          <t>VÄSTERNORRLANDS LÄN</t>
        </is>
      </c>
      <c r="E1197" t="inlineStr">
        <is>
          <t>ÅNGE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30474-2024</t>
        </is>
      </c>
      <c r="B1198" s="1" t="n">
        <v>45491</v>
      </c>
      <c r="C1198" s="1" t="n">
        <v>46001</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30475-2024</t>
        </is>
      </c>
      <c r="B1199" s="1" t="n">
        <v>45491</v>
      </c>
      <c r="C1199" s="1" t="n">
        <v>46001</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71965-2021</t>
        </is>
      </c>
      <c r="B1200" s="1" t="n">
        <v>44544.32483796297</v>
      </c>
      <c r="C1200" s="1" t="n">
        <v>46001</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56574-2024</t>
        </is>
      </c>
      <c r="B1201" s="1" t="n">
        <v>45625.59616898148</v>
      </c>
      <c r="C1201" s="1" t="n">
        <v>46001</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58087-2024</t>
        </is>
      </c>
      <c r="B1202" s="1" t="n">
        <v>45632.34502314815</v>
      </c>
      <c r="C1202" s="1" t="n">
        <v>46001</v>
      </c>
      <c r="D1202" t="inlineStr">
        <is>
          <t>VÄSTERNORRLANDS LÄN</t>
        </is>
      </c>
      <c r="E1202" t="inlineStr">
        <is>
          <t>ÅNGE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50231-2024</t>
        </is>
      </c>
      <c r="B1203" s="1" t="n">
        <v>45600.55251157407</v>
      </c>
      <c r="C1203" s="1" t="n">
        <v>46001</v>
      </c>
      <c r="D1203" t="inlineStr">
        <is>
          <t>VÄSTERNORRLANDS LÄN</t>
        </is>
      </c>
      <c r="E1203" t="inlineStr">
        <is>
          <t>ÅNGE</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59600-2024</t>
        </is>
      </c>
      <c r="B1204" s="1" t="n">
        <v>45638.71763888889</v>
      </c>
      <c r="C1204" s="1" t="n">
        <v>46001</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3133-2024</t>
        </is>
      </c>
      <c r="B1205" s="1" t="n">
        <v>45316.55885416667</v>
      </c>
      <c r="C1205" s="1" t="n">
        <v>46001</v>
      </c>
      <c r="D1205" t="inlineStr">
        <is>
          <t>VÄSTERNORRLANDS LÄN</t>
        </is>
      </c>
      <c r="E1205" t="inlineStr">
        <is>
          <t>ÅNGE</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17210-2022</t>
        </is>
      </c>
      <c r="B1206" s="1" t="n">
        <v>44677.92701388889</v>
      </c>
      <c r="C1206" s="1" t="n">
        <v>46001</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10195-2024</t>
        </is>
      </c>
      <c r="B1207" s="1" t="n">
        <v>45364</v>
      </c>
      <c r="C1207" s="1" t="n">
        <v>46001</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361-2025</t>
        </is>
      </c>
      <c r="B1208" s="1" t="n">
        <v>45660</v>
      </c>
      <c r="C1208" s="1" t="n">
        <v>46001</v>
      </c>
      <c r="D1208" t="inlineStr">
        <is>
          <t>VÄSTERNORRLANDS LÄN</t>
        </is>
      </c>
      <c r="E1208" t="inlineStr">
        <is>
          <t>ÅNGE</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12021-2022</t>
        </is>
      </c>
      <c r="B1209" s="1" t="n">
        <v>44635</v>
      </c>
      <c r="C1209" s="1" t="n">
        <v>46001</v>
      </c>
      <c r="D1209" t="inlineStr">
        <is>
          <t>VÄSTERNORRLANDS LÄN</t>
        </is>
      </c>
      <c r="E1209" t="inlineStr">
        <is>
          <t>ÅNGE</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6690-2024</t>
        </is>
      </c>
      <c r="B1210" s="1" t="n">
        <v>45341</v>
      </c>
      <c r="C1210" s="1" t="n">
        <v>46001</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3977-2025</t>
        </is>
      </c>
      <c r="B1211" s="1" t="n">
        <v>45684</v>
      </c>
      <c r="C1211" s="1" t="n">
        <v>46001</v>
      </c>
      <c r="D1211" t="inlineStr">
        <is>
          <t>VÄSTERNORRLANDS LÄN</t>
        </is>
      </c>
      <c r="E1211" t="inlineStr">
        <is>
          <t>ÅNGE</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14976-2025</t>
        </is>
      </c>
      <c r="B1212" s="1" t="n">
        <v>45743</v>
      </c>
      <c r="C1212" s="1" t="n">
        <v>46001</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5249-2025</t>
        </is>
      </c>
      <c r="B1213" s="1" t="n">
        <v>45692.34465277778</v>
      </c>
      <c r="C1213" s="1" t="n">
        <v>46001</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57271-2024</t>
        </is>
      </c>
      <c r="B1214" s="1" t="n">
        <v>45629.57364583333</v>
      </c>
      <c r="C1214" s="1" t="n">
        <v>46001</v>
      </c>
      <c r="D1214" t="inlineStr">
        <is>
          <t>VÄSTERNORRLANDS LÄN</t>
        </is>
      </c>
      <c r="E1214" t="inlineStr">
        <is>
          <t>ÅNGE</t>
        </is>
      </c>
      <c r="F1214" t="inlineStr">
        <is>
          <t>SCA</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5369-2022</t>
        </is>
      </c>
      <c r="B1215" s="1" t="n">
        <v>44594.92113425926</v>
      </c>
      <c r="C1215" s="1" t="n">
        <v>46001</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22755-2023</t>
        </is>
      </c>
      <c r="B1216" s="1" t="n">
        <v>45071.94127314815</v>
      </c>
      <c r="C1216" s="1" t="n">
        <v>46001</v>
      </c>
      <c r="D1216" t="inlineStr">
        <is>
          <t>VÄSTERNORRLANDS LÄN</t>
        </is>
      </c>
      <c r="E1216" t="inlineStr">
        <is>
          <t>ÅNGE</t>
        </is>
      </c>
      <c r="F1216" t="inlineStr">
        <is>
          <t>SCA</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50419-2022</t>
        </is>
      </c>
      <c r="B1217" s="1" t="n">
        <v>44861</v>
      </c>
      <c r="C1217" s="1" t="n">
        <v>46001</v>
      </c>
      <c r="D1217" t="inlineStr">
        <is>
          <t>VÄSTERNORRLANDS LÄN</t>
        </is>
      </c>
      <c r="E1217" t="inlineStr">
        <is>
          <t>ÅNGE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42881-2023</t>
        </is>
      </c>
      <c r="B1218" s="1" t="n">
        <v>45182.45256944445</v>
      </c>
      <c r="C1218" s="1" t="n">
        <v>46001</v>
      </c>
      <c r="D1218" t="inlineStr">
        <is>
          <t>VÄSTERNORRLANDS LÄN</t>
        </is>
      </c>
      <c r="E1218" t="inlineStr">
        <is>
          <t>ÅNGE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18430-2025</t>
        </is>
      </c>
      <c r="B1219" s="1" t="n">
        <v>45762.63576388889</v>
      </c>
      <c r="C1219" s="1" t="n">
        <v>46001</v>
      </c>
      <c r="D1219" t="inlineStr">
        <is>
          <t>VÄSTERNORRLANDS LÄN</t>
        </is>
      </c>
      <c r="E1219" t="inlineStr">
        <is>
          <t>ÅNGE</t>
        </is>
      </c>
      <c r="F1219" t="inlineStr">
        <is>
          <t>SCA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43916-2023</t>
        </is>
      </c>
      <c r="B1220" s="1" t="n">
        <v>45187.72152777778</v>
      </c>
      <c r="C1220" s="1" t="n">
        <v>46001</v>
      </c>
      <c r="D1220" t="inlineStr">
        <is>
          <t>VÄSTERNORRLANDS LÄN</t>
        </is>
      </c>
      <c r="E1220" t="inlineStr">
        <is>
          <t>ÅNGE</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20255-2023</t>
        </is>
      </c>
      <c r="B1221" s="1" t="n">
        <v>45055</v>
      </c>
      <c r="C1221" s="1" t="n">
        <v>46001</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54429-2024</t>
        </is>
      </c>
      <c r="B1222" s="1" t="n">
        <v>45617.49087962963</v>
      </c>
      <c r="C1222" s="1" t="n">
        <v>46001</v>
      </c>
      <c r="D1222" t="inlineStr">
        <is>
          <t>VÄSTERNORRLANDS LÄN</t>
        </is>
      </c>
      <c r="E1222" t="inlineStr">
        <is>
          <t>ÅNGE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36492-2023</t>
        </is>
      </c>
      <c r="B1223" s="1" t="n">
        <v>45152.92479166666</v>
      </c>
      <c r="C1223" s="1" t="n">
        <v>46001</v>
      </c>
      <c r="D1223" t="inlineStr">
        <is>
          <t>VÄSTERNORRLANDS LÄN</t>
        </is>
      </c>
      <c r="E1223" t="inlineStr">
        <is>
          <t>ÅNGE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8650-2024</t>
        </is>
      </c>
      <c r="B1224" s="1" t="n">
        <v>45356</v>
      </c>
      <c r="C1224" s="1" t="n">
        <v>46001</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56569-2024</t>
        </is>
      </c>
      <c r="B1225" s="1" t="n">
        <v>45625</v>
      </c>
      <c r="C1225" s="1" t="n">
        <v>46001</v>
      </c>
      <c r="D1225" t="inlineStr">
        <is>
          <t>VÄSTERNORRLANDS LÄN</t>
        </is>
      </c>
      <c r="E1225" t="inlineStr">
        <is>
          <t>ÅNGE</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57529-2024</t>
        </is>
      </c>
      <c r="B1226" s="1" t="n">
        <v>45630</v>
      </c>
      <c r="C1226" s="1" t="n">
        <v>46001</v>
      </c>
      <c r="D1226" t="inlineStr">
        <is>
          <t>VÄSTERNORRLANDS LÄN</t>
        </is>
      </c>
      <c r="E1226" t="inlineStr">
        <is>
          <t>ÅNGE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4872-2025</t>
        </is>
      </c>
      <c r="B1227" s="1" t="n">
        <v>45688.67619212963</v>
      </c>
      <c r="C1227" s="1" t="n">
        <v>46001</v>
      </c>
      <c r="D1227" t="inlineStr">
        <is>
          <t>VÄSTERNORRLANDS LÄN</t>
        </is>
      </c>
      <c r="E1227" t="inlineStr">
        <is>
          <t>ÅNGE</t>
        </is>
      </c>
      <c r="F1227" t="inlineStr">
        <is>
          <t>SCA</t>
        </is>
      </c>
      <c r="G1227" t="n">
        <v>31.3</v>
      </c>
      <c r="H1227" t="n">
        <v>0</v>
      </c>
      <c r="I1227" t="n">
        <v>0</v>
      </c>
      <c r="J1227" t="n">
        <v>0</v>
      </c>
      <c r="K1227" t="n">
        <v>0</v>
      </c>
      <c r="L1227" t="n">
        <v>0</v>
      </c>
      <c r="M1227" t="n">
        <v>0</v>
      </c>
      <c r="N1227" t="n">
        <v>0</v>
      </c>
      <c r="O1227" t="n">
        <v>0</v>
      </c>
      <c r="P1227" t="n">
        <v>0</v>
      </c>
      <c r="Q1227" t="n">
        <v>0</v>
      </c>
      <c r="R1227" s="2" t="inlineStr"/>
      <c r="U1227">
        <f>HYPERLINK("https://klasma.github.io/Logging_2260/knärot/A 4872-2025 karta knärot.png", "A 4872-2025")</f>
        <v/>
      </c>
      <c r="V1227">
        <f>HYPERLINK("https://klasma.github.io/Logging_2260/klagomål/A 4872-2025 FSC-klagomål.docx", "A 4872-2025")</f>
        <v/>
      </c>
      <c r="W1227">
        <f>HYPERLINK("https://klasma.github.io/Logging_2260/klagomålsmail/A 4872-2025 FSC-klagomål mail.docx", "A 4872-2025")</f>
        <v/>
      </c>
      <c r="X1227">
        <f>HYPERLINK("https://klasma.github.io/Logging_2260/tillsyn/A 4872-2025 tillsynsbegäran.docx", "A 4872-2025")</f>
        <v/>
      </c>
      <c r="Y1227">
        <f>HYPERLINK("https://klasma.github.io/Logging_2260/tillsynsmail/A 4872-2025 tillsynsbegäran mail.docx", "A 4872-2025")</f>
        <v/>
      </c>
    </row>
    <row r="1228" ht="15" customHeight="1">
      <c r="A1228" t="inlineStr">
        <is>
          <t>A 16973-2025</t>
        </is>
      </c>
      <c r="B1228" s="1" t="n">
        <v>45755.46967592592</v>
      </c>
      <c r="C1228" s="1" t="n">
        <v>46001</v>
      </c>
      <c r="D1228" t="inlineStr">
        <is>
          <t>VÄSTERNORRLANDS LÄN</t>
        </is>
      </c>
      <c r="E1228" t="inlineStr">
        <is>
          <t>ÅNGE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48632-2023</t>
        </is>
      </c>
      <c r="B1229" s="1" t="n">
        <v>45208.57944444445</v>
      </c>
      <c r="C1229" s="1" t="n">
        <v>46001</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8747-2022</t>
        </is>
      </c>
      <c r="B1230" s="1" t="n">
        <v>44614.33912037037</v>
      </c>
      <c r="C1230" s="1" t="n">
        <v>46001</v>
      </c>
      <c r="D1230" t="inlineStr">
        <is>
          <t>VÄSTERNORRLANDS LÄN</t>
        </is>
      </c>
      <c r="E1230" t="inlineStr">
        <is>
          <t>ÅNGE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14888-2022</t>
        </is>
      </c>
      <c r="B1231" s="1" t="n">
        <v>44656</v>
      </c>
      <c r="C1231" s="1" t="n">
        <v>46001</v>
      </c>
      <c r="D1231" t="inlineStr">
        <is>
          <t>VÄSTERNORRLANDS LÄN</t>
        </is>
      </c>
      <c r="E1231" t="inlineStr">
        <is>
          <t>ÅNGE</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55329-2023</t>
        </is>
      </c>
      <c r="B1232" s="1" t="n">
        <v>45237</v>
      </c>
      <c r="C1232" s="1" t="n">
        <v>46001</v>
      </c>
      <c r="D1232" t="inlineStr">
        <is>
          <t>VÄSTERNORRLANDS LÄN</t>
        </is>
      </c>
      <c r="E1232" t="inlineStr">
        <is>
          <t>ÅNGE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3986-2025</t>
        </is>
      </c>
      <c r="B1233" s="1" t="n">
        <v>45684.55262731481</v>
      </c>
      <c r="C1233" s="1" t="n">
        <v>46001</v>
      </c>
      <c r="D1233" t="inlineStr">
        <is>
          <t>VÄSTERNORRLANDS LÄN</t>
        </is>
      </c>
      <c r="E1233" t="inlineStr">
        <is>
          <t>ÅNGE</t>
        </is>
      </c>
      <c r="F1233" t="inlineStr">
        <is>
          <t>SCA</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46795-2023</t>
        </is>
      </c>
      <c r="B1234" s="1" t="n">
        <v>45198</v>
      </c>
      <c r="C1234" s="1" t="n">
        <v>46001</v>
      </c>
      <c r="D1234" t="inlineStr">
        <is>
          <t>VÄSTERNORRLANDS LÄN</t>
        </is>
      </c>
      <c r="E1234" t="inlineStr">
        <is>
          <t>ÅNGE</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4094-2025</t>
        </is>
      </c>
      <c r="B1235" s="1" t="n">
        <v>45684.6778125</v>
      </c>
      <c r="C1235" s="1" t="n">
        <v>46001</v>
      </c>
      <c r="D1235" t="inlineStr">
        <is>
          <t>VÄSTERNORRLANDS LÄN</t>
        </is>
      </c>
      <c r="E1235" t="inlineStr">
        <is>
          <t>ÅNGE</t>
        </is>
      </c>
      <c r="F1235" t="inlineStr">
        <is>
          <t>SCA</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39973-2023</t>
        </is>
      </c>
      <c r="B1236" s="1" t="n">
        <v>45168.5858912037</v>
      </c>
      <c r="C1236" s="1" t="n">
        <v>46001</v>
      </c>
      <c r="D1236" t="inlineStr">
        <is>
          <t>VÄSTERNORRLANDS LÄN</t>
        </is>
      </c>
      <c r="E1236" t="inlineStr">
        <is>
          <t>ÅNGE</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58637-2023</t>
        </is>
      </c>
      <c r="B1237" s="1" t="n">
        <v>45251</v>
      </c>
      <c r="C1237" s="1" t="n">
        <v>46001</v>
      </c>
      <c r="D1237" t="inlineStr">
        <is>
          <t>VÄSTERNORRLANDS LÄN</t>
        </is>
      </c>
      <c r="E1237" t="inlineStr">
        <is>
          <t>ÅNGE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4236-2025</t>
        </is>
      </c>
      <c r="B1238" s="1" t="n">
        <v>45685.56534722223</v>
      </c>
      <c r="C1238" s="1" t="n">
        <v>46001</v>
      </c>
      <c r="D1238" t="inlineStr">
        <is>
          <t>VÄSTERNORRLANDS LÄN</t>
        </is>
      </c>
      <c r="E1238" t="inlineStr">
        <is>
          <t>ÅNGE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51131-2022</t>
        </is>
      </c>
      <c r="B1239" s="1" t="n">
        <v>44868</v>
      </c>
      <c r="C1239" s="1" t="n">
        <v>46001</v>
      </c>
      <c r="D1239" t="inlineStr">
        <is>
          <t>VÄSTERNORRLANDS LÄN</t>
        </is>
      </c>
      <c r="E1239" t="inlineStr">
        <is>
          <t>ÅNGE</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5999-2025</t>
        </is>
      </c>
      <c r="B1240" s="1" t="n">
        <v>45695</v>
      </c>
      <c r="C1240" s="1" t="n">
        <v>46001</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26015-2024</t>
        </is>
      </c>
      <c r="B1241" s="1" t="n">
        <v>45467.95872685185</v>
      </c>
      <c r="C1241" s="1" t="n">
        <v>46001</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26010-2024</t>
        </is>
      </c>
      <c r="B1242" s="1" t="n">
        <v>45467.95819444444</v>
      </c>
      <c r="C1242" s="1" t="n">
        <v>46001</v>
      </c>
      <c r="D1242" t="inlineStr">
        <is>
          <t>VÄSTERNORRLANDS LÄN</t>
        </is>
      </c>
      <c r="E1242" t="inlineStr">
        <is>
          <t>ÅNGE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60365-2024</t>
        </is>
      </c>
      <c r="B1243" s="1" t="n">
        <v>45643</v>
      </c>
      <c r="C1243" s="1" t="n">
        <v>46001</v>
      </c>
      <c r="D1243" t="inlineStr">
        <is>
          <t>VÄSTERNORRLANDS LÄN</t>
        </is>
      </c>
      <c r="E1243" t="inlineStr">
        <is>
          <t>ÅNGE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11871-2025</t>
        </is>
      </c>
      <c r="B1244" s="1" t="n">
        <v>45728.42740740741</v>
      </c>
      <c r="C1244" s="1" t="n">
        <v>46001</v>
      </c>
      <c r="D1244" t="inlineStr">
        <is>
          <t>VÄSTERNORRLANDS LÄN</t>
        </is>
      </c>
      <c r="E1244" t="inlineStr">
        <is>
          <t>ÅNGE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15799-2025</t>
        </is>
      </c>
      <c r="B1245" s="1" t="n">
        <v>45748.64768518518</v>
      </c>
      <c r="C1245" s="1" t="n">
        <v>46001</v>
      </c>
      <c r="D1245" t="inlineStr">
        <is>
          <t>VÄSTERNORRLANDS LÄN</t>
        </is>
      </c>
      <c r="E1245" t="inlineStr">
        <is>
          <t>ÅNGE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47488-2023</t>
        </is>
      </c>
      <c r="B1246" s="1" t="n">
        <v>45202.94168981481</v>
      </c>
      <c r="C1246" s="1" t="n">
        <v>46001</v>
      </c>
      <c r="D1246" t="inlineStr">
        <is>
          <t>VÄSTERNORRLANDS LÄN</t>
        </is>
      </c>
      <c r="E1246" t="inlineStr">
        <is>
          <t>ÅNGE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54982-2023</t>
        </is>
      </c>
      <c r="B1247" s="1" t="n">
        <v>45236</v>
      </c>
      <c r="C1247" s="1" t="n">
        <v>46001</v>
      </c>
      <c r="D1247" t="inlineStr">
        <is>
          <t>VÄSTERNORRLANDS LÄN</t>
        </is>
      </c>
      <c r="E1247" t="inlineStr">
        <is>
          <t>ÅNGE</t>
        </is>
      </c>
      <c r="F1247" t="inlineStr">
        <is>
          <t>SCA</t>
        </is>
      </c>
      <c r="G1247" t="n">
        <v>26.2</v>
      </c>
      <c r="H1247" t="n">
        <v>0</v>
      </c>
      <c r="I1247" t="n">
        <v>0</v>
      </c>
      <c r="J1247" t="n">
        <v>0</v>
      </c>
      <c r="K1247" t="n">
        <v>0</v>
      </c>
      <c r="L1247" t="n">
        <v>0</v>
      </c>
      <c r="M1247" t="n">
        <v>0</v>
      </c>
      <c r="N1247" t="n">
        <v>0</v>
      </c>
      <c r="O1247" t="n">
        <v>0</v>
      </c>
      <c r="P1247" t="n">
        <v>0</v>
      </c>
      <c r="Q1247" t="n">
        <v>0</v>
      </c>
      <c r="R1247" s="2" t="inlineStr"/>
    </row>
    <row r="1248" ht="15" customHeight="1">
      <c r="A1248" t="inlineStr">
        <is>
          <t>A 57560-2023</t>
        </is>
      </c>
      <c r="B1248" s="1" t="n">
        <v>45243</v>
      </c>
      <c r="C1248" s="1" t="n">
        <v>46001</v>
      </c>
      <c r="D1248" t="inlineStr">
        <is>
          <t>VÄSTERNORRLANDS LÄN</t>
        </is>
      </c>
      <c r="E1248" t="inlineStr">
        <is>
          <t>ÅNGE</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57568-2023</t>
        </is>
      </c>
      <c r="B1249" s="1" t="n">
        <v>45246.50484953704</v>
      </c>
      <c r="C1249" s="1" t="n">
        <v>46001</v>
      </c>
      <c r="D1249" t="inlineStr">
        <is>
          <t>VÄSTERNORRLANDS LÄN</t>
        </is>
      </c>
      <c r="E1249" t="inlineStr">
        <is>
          <t>ÅNGE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63530-2023</t>
        </is>
      </c>
      <c r="B1250" s="1" t="n">
        <v>45274</v>
      </c>
      <c r="C1250" s="1" t="n">
        <v>46001</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3253-2024</t>
        </is>
      </c>
      <c r="B1251" s="1" t="n">
        <v>45316</v>
      </c>
      <c r="C1251" s="1" t="n">
        <v>46001</v>
      </c>
      <c r="D1251" t="inlineStr">
        <is>
          <t>VÄSTERNORRLANDS LÄN</t>
        </is>
      </c>
      <c r="E1251" t="inlineStr">
        <is>
          <t>ÅNGE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49945-2023</t>
        </is>
      </c>
      <c r="B1252" s="1" t="n">
        <v>45215.3625462963</v>
      </c>
      <c r="C1252" s="1" t="n">
        <v>46001</v>
      </c>
      <c r="D1252" t="inlineStr">
        <is>
          <t>VÄSTERNORRLANDS LÄN</t>
        </is>
      </c>
      <c r="E1252" t="inlineStr">
        <is>
          <t>ÅNGE</t>
        </is>
      </c>
      <c r="F1252" t="inlineStr">
        <is>
          <t>Holmen skog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25903-2022</t>
        </is>
      </c>
      <c r="B1253" s="1" t="n">
        <v>44733</v>
      </c>
      <c r="C1253" s="1" t="n">
        <v>46001</v>
      </c>
      <c r="D1253" t="inlineStr">
        <is>
          <t>VÄSTERNORRLANDS LÄN</t>
        </is>
      </c>
      <c r="E1253" t="inlineStr">
        <is>
          <t>ÅNGE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19709-2025</t>
        </is>
      </c>
      <c r="B1254" s="1" t="n">
        <v>45771.34263888889</v>
      </c>
      <c r="C1254" s="1" t="n">
        <v>46001</v>
      </c>
      <c r="D1254" t="inlineStr">
        <is>
          <t>VÄSTERNORRLANDS LÄN</t>
        </is>
      </c>
      <c r="E1254" t="inlineStr">
        <is>
          <t>ÅNGE</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24324-2022</t>
        </is>
      </c>
      <c r="B1255" s="1" t="n">
        <v>44725.945</v>
      </c>
      <c r="C1255" s="1" t="n">
        <v>46001</v>
      </c>
      <c r="D1255" t="inlineStr">
        <is>
          <t>VÄSTERNORRLANDS LÄN</t>
        </is>
      </c>
      <c r="E1255" t="inlineStr">
        <is>
          <t>ÅNGE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24325-2022</t>
        </is>
      </c>
      <c r="B1256" s="1" t="n">
        <v>44725.94506944445</v>
      </c>
      <c r="C1256" s="1" t="n">
        <v>46001</v>
      </c>
      <c r="D1256" t="inlineStr">
        <is>
          <t>VÄSTERNORRLANDS LÄN</t>
        </is>
      </c>
      <c r="E1256" t="inlineStr">
        <is>
          <t>ÅNGE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30803-2022</t>
        </is>
      </c>
      <c r="B1257" s="1" t="n">
        <v>44764</v>
      </c>
      <c r="C1257" s="1" t="n">
        <v>46001</v>
      </c>
      <c r="D1257" t="inlineStr">
        <is>
          <t>VÄSTERNORRLANDS LÄN</t>
        </is>
      </c>
      <c r="E1257" t="inlineStr">
        <is>
          <t>ÅNGE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17744-2025</t>
        </is>
      </c>
      <c r="B1258" s="1" t="n">
        <v>45758</v>
      </c>
      <c r="C1258" s="1" t="n">
        <v>46001</v>
      </c>
      <c r="D1258" t="inlineStr">
        <is>
          <t>VÄSTERNORRLANDS LÄN</t>
        </is>
      </c>
      <c r="E1258" t="inlineStr">
        <is>
          <t>ÅNGE</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2433-2024</t>
        </is>
      </c>
      <c r="B1259" s="1" t="n">
        <v>45310</v>
      </c>
      <c r="C1259" s="1" t="n">
        <v>46001</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56615-2023</t>
        </is>
      </c>
      <c r="B1260" s="1" t="n">
        <v>45243</v>
      </c>
      <c r="C1260" s="1" t="n">
        <v>46001</v>
      </c>
      <c r="D1260" t="inlineStr">
        <is>
          <t>VÄSTERNORRLANDS LÄN</t>
        </is>
      </c>
      <c r="E1260" t="inlineStr">
        <is>
          <t>ÅNGE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61461-2023</t>
        </is>
      </c>
      <c r="B1261" s="1" t="n">
        <v>45264.9261574074</v>
      </c>
      <c r="C1261" s="1" t="n">
        <v>46001</v>
      </c>
      <c r="D1261" t="inlineStr">
        <is>
          <t>VÄSTERNORRLANDS LÄN</t>
        </is>
      </c>
      <c r="E1261" t="inlineStr">
        <is>
          <t>ÅNGE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27661-2024</t>
        </is>
      </c>
      <c r="B1262" s="1" t="n">
        <v>45474.95365740741</v>
      </c>
      <c r="C1262" s="1" t="n">
        <v>46001</v>
      </c>
      <c r="D1262" t="inlineStr">
        <is>
          <t>VÄSTERNORRLANDS LÄN</t>
        </is>
      </c>
      <c r="E1262" t="inlineStr">
        <is>
          <t>ÅNGE</t>
        </is>
      </c>
      <c r="F1262" t="inlineStr">
        <is>
          <t>SCA</t>
        </is>
      </c>
      <c r="G1262" t="n">
        <v>19.1</v>
      </c>
      <c r="H1262" t="n">
        <v>0</v>
      </c>
      <c r="I1262" t="n">
        <v>0</v>
      </c>
      <c r="J1262" t="n">
        <v>0</v>
      </c>
      <c r="K1262" t="n">
        <v>0</v>
      </c>
      <c r="L1262" t="n">
        <v>0</v>
      </c>
      <c r="M1262" t="n">
        <v>0</v>
      </c>
      <c r="N1262" t="n">
        <v>0</v>
      </c>
      <c r="O1262" t="n">
        <v>0</v>
      </c>
      <c r="P1262" t="n">
        <v>0</v>
      </c>
      <c r="Q1262" t="n">
        <v>0</v>
      </c>
      <c r="R1262" s="2" t="inlineStr"/>
    </row>
    <row r="1263" ht="15" customHeight="1">
      <c r="A1263" t="inlineStr">
        <is>
          <t>A 45890-2021</t>
        </is>
      </c>
      <c r="B1263" s="1" t="n">
        <v>44441</v>
      </c>
      <c r="C1263" s="1" t="n">
        <v>46001</v>
      </c>
      <c r="D1263" t="inlineStr">
        <is>
          <t>VÄSTERNORRLANDS LÄN</t>
        </is>
      </c>
      <c r="E1263" t="inlineStr">
        <is>
          <t>ÅNGE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60003-2023</t>
        </is>
      </c>
      <c r="B1264" s="1" t="n">
        <v>45257</v>
      </c>
      <c r="C1264" s="1" t="n">
        <v>46001</v>
      </c>
      <c r="D1264" t="inlineStr">
        <is>
          <t>VÄSTERNORRLANDS LÄN</t>
        </is>
      </c>
      <c r="E1264" t="inlineStr">
        <is>
          <t>ÅNGE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213-2024</t>
        </is>
      </c>
      <c r="B1265" s="1" t="n">
        <v>45293</v>
      </c>
      <c r="C1265" s="1" t="n">
        <v>46001</v>
      </c>
      <c r="D1265" t="inlineStr">
        <is>
          <t>VÄSTERNORRLANDS LÄN</t>
        </is>
      </c>
      <c r="E1265" t="inlineStr">
        <is>
          <t>ÅNGE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40788-2024</t>
        </is>
      </c>
      <c r="B1266" s="1" t="n">
        <v>45558.50974537037</v>
      </c>
      <c r="C1266" s="1" t="n">
        <v>46001</v>
      </c>
      <c r="D1266" t="inlineStr">
        <is>
          <t>VÄSTERNORRLANDS LÄN</t>
        </is>
      </c>
      <c r="E1266" t="inlineStr">
        <is>
          <t>ÅNGE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741-2024</t>
        </is>
      </c>
      <c r="B1267" s="1" t="n">
        <v>45300.46591435185</v>
      </c>
      <c r="C1267" s="1" t="n">
        <v>46001</v>
      </c>
      <c r="D1267" t="inlineStr">
        <is>
          <t>VÄSTERNORRLANDS LÄN</t>
        </is>
      </c>
      <c r="E1267" t="inlineStr">
        <is>
          <t>ÅNGE</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54611-2023</t>
        </is>
      </c>
      <c r="B1268" s="1" t="n">
        <v>45233</v>
      </c>
      <c r="C1268" s="1" t="n">
        <v>46001</v>
      </c>
      <c r="D1268" t="inlineStr">
        <is>
          <t>VÄSTERNORRLANDS LÄN</t>
        </is>
      </c>
      <c r="E1268" t="inlineStr">
        <is>
          <t>ÅNGE</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14673-2025</t>
        </is>
      </c>
      <c r="B1269" s="1" t="n">
        <v>45742.55309027778</v>
      </c>
      <c r="C1269" s="1" t="n">
        <v>46001</v>
      </c>
      <c r="D1269" t="inlineStr">
        <is>
          <t>VÄSTERNORRLANDS LÄN</t>
        </is>
      </c>
      <c r="E1269" t="inlineStr">
        <is>
          <t>ÅNGE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15032-2025</t>
        </is>
      </c>
      <c r="B1270" s="1" t="n">
        <v>45743.67748842593</v>
      </c>
      <c r="C1270" s="1" t="n">
        <v>46001</v>
      </c>
      <c r="D1270" t="inlineStr">
        <is>
          <t>VÄSTERNORRLANDS LÄN</t>
        </is>
      </c>
      <c r="E1270" t="inlineStr">
        <is>
          <t>ÅNGE</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7692-2024</t>
        </is>
      </c>
      <c r="B1271" s="1" t="n">
        <v>45349</v>
      </c>
      <c r="C1271" s="1" t="n">
        <v>46001</v>
      </c>
      <c r="D1271" t="inlineStr">
        <is>
          <t>VÄSTERNORRLANDS LÄN</t>
        </is>
      </c>
      <c r="E1271" t="inlineStr">
        <is>
          <t>ÅNGE</t>
        </is>
      </c>
      <c r="F1271" t="inlineStr">
        <is>
          <t>SCA</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29673-2024</t>
        </is>
      </c>
      <c r="B1272" s="1" t="n">
        <v>45484.94210648148</v>
      </c>
      <c r="C1272" s="1" t="n">
        <v>46001</v>
      </c>
      <c r="D1272" t="inlineStr">
        <is>
          <t>VÄSTERNORRLANDS LÄN</t>
        </is>
      </c>
      <c r="E1272" t="inlineStr">
        <is>
          <t>ÅNGE</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5602-2025</t>
        </is>
      </c>
      <c r="B1273" s="1" t="n">
        <v>45693</v>
      </c>
      <c r="C1273" s="1" t="n">
        <v>46001</v>
      </c>
      <c r="D1273" t="inlineStr">
        <is>
          <t>VÄSTERNORRLANDS LÄN</t>
        </is>
      </c>
      <c r="E1273" t="inlineStr">
        <is>
          <t>ÅNGE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30751-2024</t>
        </is>
      </c>
      <c r="B1274" s="1" t="n">
        <v>45496.69339120371</v>
      </c>
      <c r="C1274" s="1" t="n">
        <v>46001</v>
      </c>
      <c r="D1274" t="inlineStr">
        <is>
          <t>VÄSTERNORRLANDS LÄN</t>
        </is>
      </c>
      <c r="E1274" t="inlineStr">
        <is>
          <t>ÅNGE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38099-2024</t>
        </is>
      </c>
      <c r="B1275" s="1" t="n">
        <v>45545.35920138889</v>
      </c>
      <c r="C1275" s="1" t="n">
        <v>46001</v>
      </c>
      <c r="D1275" t="inlineStr">
        <is>
          <t>VÄSTERNORRLANDS LÄN</t>
        </is>
      </c>
      <c r="E1275" t="inlineStr">
        <is>
          <t>ÅNGE</t>
        </is>
      </c>
      <c r="F1275" t="inlineStr">
        <is>
          <t>Holmen skog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44636-2024</t>
        </is>
      </c>
      <c r="B1276" s="1" t="n">
        <v>45574.51491898148</v>
      </c>
      <c r="C1276" s="1" t="n">
        <v>46001</v>
      </c>
      <c r="D1276" t="inlineStr">
        <is>
          <t>VÄSTERNORRLANDS LÄN</t>
        </is>
      </c>
      <c r="E1276" t="inlineStr">
        <is>
          <t>ÅNGE</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64375-2023</t>
        </is>
      </c>
      <c r="B1277" s="1" t="n">
        <v>45280</v>
      </c>
      <c r="C1277" s="1" t="n">
        <v>46001</v>
      </c>
      <c r="D1277" t="inlineStr">
        <is>
          <t>VÄSTERNORRLANDS LÄN</t>
        </is>
      </c>
      <c r="E1277" t="inlineStr">
        <is>
          <t>ÅNGE</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60296-2021</t>
        </is>
      </c>
      <c r="B1278" s="1" t="n">
        <v>44495</v>
      </c>
      <c r="C1278" s="1" t="n">
        <v>46001</v>
      </c>
      <c r="D1278" t="inlineStr">
        <is>
          <t>VÄSTERNORRLANDS LÄN</t>
        </is>
      </c>
      <c r="E1278" t="inlineStr">
        <is>
          <t>ÅNGE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63556-2021</t>
        </is>
      </c>
      <c r="B1279" s="1" t="n">
        <v>44508.70231481481</v>
      </c>
      <c r="C1279" s="1" t="n">
        <v>46001</v>
      </c>
      <c r="D1279" t="inlineStr">
        <is>
          <t>VÄSTERNORRLANDS LÄN</t>
        </is>
      </c>
      <c r="E1279" t="inlineStr">
        <is>
          <t>ÅNGE</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10922-2024</t>
        </is>
      </c>
      <c r="B1280" s="1" t="n">
        <v>45370</v>
      </c>
      <c r="C1280" s="1" t="n">
        <v>46001</v>
      </c>
      <c r="D1280" t="inlineStr">
        <is>
          <t>VÄSTERNORRLANDS LÄN</t>
        </is>
      </c>
      <c r="E1280" t="inlineStr">
        <is>
          <t>ÅNGE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21089-2024</t>
        </is>
      </c>
      <c r="B1281" s="1" t="n">
        <v>45439.94987268518</v>
      </c>
      <c r="C1281" s="1" t="n">
        <v>46001</v>
      </c>
      <c r="D1281" t="inlineStr">
        <is>
          <t>VÄSTERNORRLANDS LÄN</t>
        </is>
      </c>
      <c r="E1281" t="inlineStr">
        <is>
          <t>ÅNGE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64950-2023</t>
        </is>
      </c>
      <c r="B1282" s="1" t="n">
        <v>45282</v>
      </c>
      <c r="C1282" s="1" t="n">
        <v>46001</v>
      </c>
      <c r="D1282" t="inlineStr">
        <is>
          <t>VÄSTERNORRLANDS LÄN</t>
        </is>
      </c>
      <c r="E1282" t="inlineStr">
        <is>
          <t>ÅNGE</t>
        </is>
      </c>
      <c r="F1282" t="inlineStr">
        <is>
          <t>SCA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20393-2022</t>
        </is>
      </c>
      <c r="B1283" s="1" t="n">
        <v>44699</v>
      </c>
      <c r="C1283" s="1" t="n">
        <v>46001</v>
      </c>
      <c r="D1283" t="inlineStr">
        <is>
          <t>VÄSTERNORRLANDS LÄN</t>
        </is>
      </c>
      <c r="E1283" t="inlineStr">
        <is>
          <t>ÅNGE</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4727-2023</t>
        </is>
      </c>
      <c r="B1284" s="1" t="n">
        <v>44953</v>
      </c>
      <c r="C1284" s="1" t="n">
        <v>46001</v>
      </c>
      <c r="D1284" t="inlineStr">
        <is>
          <t>VÄSTERNORRLANDS LÄN</t>
        </is>
      </c>
      <c r="E1284" t="inlineStr">
        <is>
          <t>ÅNGE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35650-2024</t>
        </is>
      </c>
      <c r="B1285" s="1" t="n">
        <v>45532.34123842593</v>
      </c>
      <c r="C1285" s="1" t="n">
        <v>46001</v>
      </c>
      <c r="D1285" t="inlineStr">
        <is>
          <t>VÄSTERNORRLANDS LÄN</t>
        </is>
      </c>
      <c r="E1285" t="inlineStr">
        <is>
          <t>ÅNGE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3357-2024</t>
        </is>
      </c>
      <c r="B1286" s="1" t="n">
        <v>45317</v>
      </c>
      <c r="C1286" s="1" t="n">
        <v>46001</v>
      </c>
      <c r="D1286" t="inlineStr">
        <is>
          <t>VÄSTERNORRLANDS LÄN</t>
        </is>
      </c>
      <c r="E1286" t="inlineStr">
        <is>
          <t>ÅNGE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46332-2023</t>
        </is>
      </c>
      <c r="B1287" s="1" t="n">
        <v>45196</v>
      </c>
      <c r="C1287" s="1" t="n">
        <v>46001</v>
      </c>
      <c r="D1287" t="inlineStr">
        <is>
          <t>VÄSTERNORRLANDS LÄN</t>
        </is>
      </c>
      <c r="E1287" t="inlineStr">
        <is>
          <t>ÅNGE</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64945-2023</t>
        </is>
      </c>
      <c r="B1288" s="1" t="n">
        <v>45282.94668981482</v>
      </c>
      <c r="C1288" s="1" t="n">
        <v>46001</v>
      </c>
      <c r="D1288" t="inlineStr">
        <is>
          <t>VÄSTERNORRLANDS LÄN</t>
        </is>
      </c>
      <c r="E1288" t="inlineStr">
        <is>
          <t>ÅNGE</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23018-2021</t>
        </is>
      </c>
      <c r="B1289" s="1" t="n">
        <v>44328</v>
      </c>
      <c r="C1289" s="1" t="n">
        <v>46001</v>
      </c>
      <c r="D1289" t="inlineStr">
        <is>
          <t>VÄSTERNORRLANDS LÄN</t>
        </is>
      </c>
      <c r="E1289" t="inlineStr">
        <is>
          <t>ÅNGE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31866-2024</t>
        </is>
      </c>
      <c r="B1290" s="1" t="n">
        <v>45509</v>
      </c>
      <c r="C1290" s="1" t="n">
        <v>46001</v>
      </c>
      <c r="D1290" t="inlineStr">
        <is>
          <t>VÄSTERNORRLANDS LÄN</t>
        </is>
      </c>
      <c r="E1290" t="inlineStr">
        <is>
          <t>ÅNGE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31867-2024</t>
        </is>
      </c>
      <c r="B1291" s="1" t="n">
        <v>45509</v>
      </c>
      <c r="C1291" s="1" t="n">
        <v>46001</v>
      </c>
      <c r="D1291" t="inlineStr">
        <is>
          <t>VÄSTERNORRLANDS LÄN</t>
        </is>
      </c>
      <c r="E1291" t="inlineStr">
        <is>
          <t>ÅNGE</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39178-2024</t>
        </is>
      </c>
      <c r="B1292" s="1" t="n">
        <v>45548.65692129629</v>
      </c>
      <c r="C1292" s="1" t="n">
        <v>46001</v>
      </c>
      <c r="D1292" t="inlineStr">
        <is>
          <t>VÄSTERNORRLANDS LÄN</t>
        </is>
      </c>
      <c r="E1292" t="inlineStr">
        <is>
          <t>ÅNGE</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29193-2024</t>
        </is>
      </c>
      <c r="B1293" s="1" t="n">
        <v>45482.56510416666</v>
      </c>
      <c r="C1293" s="1" t="n">
        <v>46001</v>
      </c>
      <c r="D1293" t="inlineStr">
        <is>
          <t>VÄSTERNORRLANDS LÄN</t>
        </is>
      </c>
      <c r="E1293" t="inlineStr">
        <is>
          <t>ÅNGE</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42040-2024</t>
        </is>
      </c>
      <c r="B1294" s="1" t="n">
        <v>45561.80983796297</v>
      </c>
      <c r="C1294" s="1" t="n">
        <v>46001</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34691-2024</t>
        </is>
      </c>
      <c r="B1295" s="1" t="n">
        <v>45526.54516203704</v>
      </c>
      <c r="C1295" s="1" t="n">
        <v>46001</v>
      </c>
      <c r="D1295" t="inlineStr">
        <is>
          <t>VÄSTERNORRLANDS LÄN</t>
        </is>
      </c>
      <c r="E1295" t="inlineStr">
        <is>
          <t>ÅNGE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54210-2024</t>
        </is>
      </c>
      <c r="B1296" s="1" t="n">
        <v>45616.65662037037</v>
      </c>
      <c r="C1296" s="1" t="n">
        <v>46001</v>
      </c>
      <c r="D1296" t="inlineStr">
        <is>
          <t>VÄSTERNORRLANDS LÄN</t>
        </is>
      </c>
      <c r="E1296" t="inlineStr">
        <is>
          <t>ÅNGE</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52805-2024</t>
        </is>
      </c>
      <c r="B1297" s="1" t="n">
        <v>45610.57344907407</v>
      </c>
      <c r="C1297" s="1" t="n">
        <v>46001</v>
      </c>
      <c r="D1297" t="inlineStr">
        <is>
          <t>VÄSTERNORRLANDS LÄN</t>
        </is>
      </c>
      <c r="E1297" t="inlineStr">
        <is>
          <t>ÅNGE</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61577-2023</t>
        </is>
      </c>
      <c r="B1298" s="1" t="n">
        <v>45265.47366898148</v>
      </c>
      <c r="C1298" s="1" t="n">
        <v>46001</v>
      </c>
      <c r="D1298" t="inlineStr">
        <is>
          <t>VÄSTERNORRLANDS LÄN</t>
        </is>
      </c>
      <c r="E1298" t="inlineStr">
        <is>
          <t>ÅNGE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1735-2025</t>
        </is>
      </c>
      <c r="B1299" s="1" t="n">
        <v>45671.38594907407</v>
      </c>
      <c r="C1299" s="1" t="n">
        <v>46001</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45939-2023</t>
        </is>
      </c>
      <c r="B1300" s="1" t="n">
        <v>45195.94578703704</v>
      </c>
      <c r="C1300" s="1" t="n">
        <v>46001</v>
      </c>
      <c r="D1300" t="inlineStr">
        <is>
          <t>VÄSTERNORRLANDS LÄN</t>
        </is>
      </c>
      <c r="E1300" t="inlineStr">
        <is>
          <t>ÅNGE</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61585-2022</t>
        </is>
      </c>
      <c r="B1301" s="1" t="n">
        <v>44916.63380787037</v>
      </c>
      <c r="C1301" s="1" t="n">
        <v>46001</v>
      </c>
      <c r="D1301" t="inlineStr">
        <is>
          <t>VÄSTERNORRLANDS LÄN</t>
        </is>
      </c>
      <c r="E1301" t="inlineStr">
        <is>
          <t>ÅNGE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3574-2025</t>
        </is>
      </c>
      <c r="B1302" s="1" t="n">
        <v>45680.71916666667</v>
      </c>
      <c r="C1302" s="1" t="n">
        <v>46001</v>
      </c>
      <c r="D1302" t="inlineStr">
        <is>
          <t>VÄSTERNORRLANDS LÄN</t>
        </is>
      </c>
      <c r="E1302" t="inlineStr">
        <is>
          <t>ÅNGE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29048-2021</t>
        </is>
      </c>
      <c r="B1303" s="1" t="n">
        <v>44358</v>
      </c>
      <c r="C1303" s="1" t="n">
        <v>46001</v>
      </c>
      <c r="D1303" t="inlineStr">
        <is>
          <t>VÄSTERNORRLANDS LÄN</t>
        </is>
      </c>
      <c r="E1303" t="inlineStr">
        <is>
          <t>ÅNGE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3022-2023</t>
        </is>
      </c>
      <c r="B1304" s="1" t="n">
        <v>44945</v>
      </c>
      <c r="C1304" s="1" t="n">
        <v>46001</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39021-2024</t>
        </is>
      </c>
      <c r="B1305" s="1" t="n">
        <v>45548</v>
      </c>
      <c r="C1305" s="1" t="n">
        <v>46001</v>
      </c>
      <c r="D1305" t="inlineStr">
        <is>
          <t>VÄSTERNORRLANDS LÄN</t>
        </is>
      </c>
      <c r="E1305" t="inlineStr">
        <is>
          <t>ÅNGE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13875-2022</t>
        </is>
      </c>
      <c r="B1306" s="1" t="n">
        <v>44649</v>
      </c>
      <c r="C1306" s="1" t="n">
        <v>46001</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4876-2023</t>
        </is>
      </c>
      <c r="B1307" s="1" t="n">
        <v>44957.94023148148</v>
      </c>
      <c r="C1307" s="1" t="n">
        <v>46001</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3362-2023</t>
        </is>
      </c>
      <c r="B1308" s="1" t="n">
        <v>44945</v>
      </c>
      <c r="C1308" s="1" t="n">
        <v>46001</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44415-2021</t>
        </is>
      </c>
      <c r="B1309" s="1" t="n">
        <v>44435</v>
      </c>
      <c r="C1309" s="1" t="n">
        <v>46001</v>
      </c>
      <c r="D1309" t="inlineStr">
        <is>
          <t>VÄSTERNORRLANDS LÄN</t>
        </is>
      </c>
      <c r="E1309" t="inlineStr">
        <is>
          <t>ÅNGE</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5455-2023</t>
        </is>
      </c>
      <c r="B1310" s="1" t="n">
        <v>44959.93983796296</v>
      </c>
      <c r="C1310" s="1" t="n">
        <v>46001</v>
      </c>
      <c r="D1310" t="inlineStr">
        <is>
          <t>VÄSTERNORRLANDS LÄN</t>
        </is>
      </c>
      <c r="E1310" t="inlineStr">
        <is>
          <t>ÅNGE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59986-2021</t>
        </is>
      </c>
      <c r="B1311" s="1" t="n">
        <v>44494</v>
      </c>
      <c r="C1311" s="1" t="n">
        <v>46001</v>
      </c>
      <c r="D1311" t="inlineStr">
        <is>
          <t>VÄSTERNORRLANDS LÄN</t>
        </is>
      </c>
      <c r="E1311" t="inlineStr">
        <is>
          <t>ÅNGE</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50235-2021</t>
        </is>
      </c>
      <c r="B1312" s="1" t="n">
        <v>44457</v>
      </c>
      <c r="C1312" s="1" t="n">
        <v>46001</v>
      </c>
      <c r="D1312" t="inlineStr">
        <is>
          <t>VÄSTERNORRLANDS LÄN</t>
        </is>
      </c>
      <c r="E1312" t="inlineStr">
        <is>
          <t>ÅNGE</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47950-2024</t>
        </is>
      </c>
      <c r="B1313" s="1" t="n">
        <v>45589.36511574074</v>
      </c>
      <c r="C1313" s="1" t="n">
        <v>46001</v>
      </c>
      <c r="D1313" t="inlineStr">
        <is>
          <t>VÄSTERNORRLANDS LÄN</t>
        </is>
      </c>
      <c r="E1313" t="inlineStr">
        <is>
          <t>ÅNGE</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11299-2023</t>
        </is>
      </c>
      <c r="B1314" s="1" t="n">
        <v>44993.01074074074</v>
      </c>
      <c r="C1314" s="1" t="n">
        <v>46001</v>
      </c>
      <c r="D1314" t="inlineStr">
        <is>
          <t>VÄSTERNORRLANDS LÄN</t>
        </is>
      </c>
      <c r="E1314" t="inlineStr">
        <is>
          <t>ÅNGE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11309-2023</t>
        </is>
      </c>
      <c r="B1315" s="1" t="n">
        <v>44993.0118287037</v>
      </c>
      <c r="C1315" s="1" t="n">
        <v>46001</v>
      </c>
      <c r="D1315" t="inlineStr">
        <is>
          <t>VÄSTERNORRLANDS LÄN</t>
        </is>
      </c>
      <c r="E1315" t="inlineStr">
        <is>
          <t>ÅNGE</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62834-2021</t>
        </is>
      </c>
      <c r="B1316" s="1" t="n">
        <v>44503</v>
      </c>
      <c r="C1316" s="1" t="n">
        <v>46001</v>
      </c>
      <c r="D1316" t="inlineStr">
        <is>
          <t>VÄSTERNORRLANDS LÄN</t>
        </is>
      </c>
      <c r="E1316" t="inlineStr">
        <is>
          <t>ÅNGE</t>
        </is>
      </c>
      <c r="F1316" t="inlineStr">
        <is>
          <t>Övriga statliga verk och myndigheter</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10557-2023</t>
        </is>
      </c>
      <c r="B1317" s="1" t="n">
        <v>44987</v>
      </c>
      <c r="C1317" s="1" t="n">
        <v>46001</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8418-2023</t>
        </is>
      </c>
      <c r="B1318" s="1" t="n">
        <v>44971</v>
      </c>
      <c r="C1318" s="1" t="n">
        <v>46001</v>
      </c>
      <c r="D1318" t="inlineStr">
        <is>
          <t>VÄSTERNORRLANDS LÄN</t>
        </is>
      </c>
      <c r="E1318" t="inlineStr">
        <is>
          <t>ÅNGE</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4006-2022</t>
        </is>
      </c>
      <c r="B1319" s="1" t="n">
        <v>44587.92019675926</v>
      </c>
      <c r="C1319" s="1" t="n">
        <v>46001</v>
      </c>
      <c r="D1319" t="inlineStr">
        <is>
          <t>VÄSTERNORRLANDS LÄN</t>
        </is>
      </c>
      <c r="E1319" t="inlineStr">
        <is>
          <t>ÅNGE</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48725-2024</t>
        </is>
      </c>
      <c r="B1320" s="1" t="n">
        <v>45593.55793981482</v>
      </c>
      <c r="C1320" s="1" t="n">
        <v>46001</v>
      </c>
      <c r="D1320" t="inlineStr">
        <is>
          <t>VÄSTERNORRLANDS LÄN</t>
        </is>
      </c>
      <c r="E1320" t="inlineStr">
        <is>
          <t>ÅNGE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48988-2021</t>
        </is>
      </c>
      <c r="B1321" s="1" t="n">
        <v>44453.43</v>
      </c>
      <c r="C1321" s="1" t="n">
        <v>46001</v>
      </c>
      <c r="D1321" t="inlineStr">
        <is>
          <t>VÄSTERNORRLANDS LÄN</t>
        </is>
      </c>
      <c r="E1321" t="inlineStr">
        <is>
          <t>ÅNGE</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1886-2024</t>
        </is>
      </c>
      <c r="B1322" s="1" t="n">
        <v>45307.96335648148</v>
      </c>
      <c r="C1322" s="1" t="n">
        <v>46001</v>
      </c>
      <c r="D1322" t="inlineStr">
        <is>
          <t>VÄSTERNORRLANDS LÄN</t>
        </is>
      </c>
      <c r="E1322" t="inlineStr">
        <is>
          <t>ÅNGE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44979-2023</t>
        </is>
      </c>
      <c r="B1323" s="1" t="n">
        <v>45190.95752314815</v>
      </c>
      <c r="C1323" s="1" t="n">
        <v>46001</v>
      </c>
      <c r="D1323" t="inlineStr">
        <is>
          <t>VÄSTERNORRLANDS LÄN</t>
        </is>
      </c>
      <c r="E1323" t="inlineStr">
        <is>
          <t>ÅNGE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17923-2025</t>
        </is>
      </c>
      <c r="B1324" s="1" t="n">
        <v>45759.34415509259</v>
      </c>
      <c r="C1324" s="1" t="n">
        <v>46001</v>
      </c>
      <c r="D1324" t="inlineStr">
        <is>
          <t>VÄSTERNORRLANDS LÄN</t>
        </is>
      </c>
      <c r="E1324" t="inlineStr">
        <is>
          <t>ÅNGE</t>
        </is>
      </c>
      <c r="F1324" t="inlineStr">
        <is>
          <t>SCA</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1582-2025</t>
        </is>
      </c>
      <c r="B1325" s="1" t="n">
        <v>45670</v>
      </c>
      <c r="C1325" s="1" t="n">
        <v>46001</v>
      </c>
      <c r="D1325" t="inlineStr">
        <is>
          <t>VÄSTERNORRLANDS LÄN</t>
        </is>
      </c>
      <c r="E1325" t="inlineStr">
        <is>
          <t>ÅNGE</t>
        </is>
      </c>
      <c r="G1325" t="n">
        <v>7.3</v>
      </c>
      <c r="H1325" t="n">
        <v>0</v>
      </c>
      <c r="I1325" t="n">
        <v>0</v>
      </c>
      <c r="J1325" t="n">
        <v>0</v>
      </c>
      <c r="K1325" t="n">
        <v>0</v>
      </c>
      <c r="L1325" t="n">
        <v>0</v>
      </c>
      <c r="M1325" t="n">
        <v>0</v>
      </c>
      <c r="N1325" t="n">
        <v>0</v>
      </c>
      <c r="O1325" t="n">
        <v>0</v>
      </c>
      <c r="P1325" t="n">
        <v>0</v>
      </c>
      <c r="Q1325" t="n">
        <v>0</v>
      </c>
      <c r="R1325" s="2" t="inlineStr"/>
      <c r="U1325">
        <f>HYPERLINK("https://klasma.github.io/Logging_2260/knärot/A 1582-2025 karta knärot.png", "A 1582-2025")</f>
        <v/>
      </c>
      <c r="V1325">
        <f>HYPERLINK("https://klasma.github.io/Logging_2260/klagomål/A 1582-2025 FSC-klagomål.docx", "A 1582-2025")</f>
        <v/>
      </c>
      <c r="W1325">
        <f>HYPERLINK("https://klasma.github.io/Logging_2260/klagomålsmail/A 1582-2025 FSC-klagomål mail.docx", "A 1582-2025")</f>
        <v/>
      </c>
      <c r="X1325">
        <f>HYPERLINK("https://klasma.github.io/Logging_2260/tillsyn/A 1582-2025 tillsynsbegäran.docx", "A 1582-2025")</f>
        <v/>
      </c>
      <c r="Y1325">
        <f>HYPERLINK("https://klasma.github.io/Logging_2260/tillsynsmail/A 1582-2025 tillsynsbegäran mail.docx", "A 1582-2025")</f>
        <v/>
      </c>
    </row>
    <row r="1326" ht="15" customHeight="1">
      <c r="A1326" t="inlineStr">
        <is>
          <t>A 54908-2021</t>
        </is>
      </c>
      <c r="B1326" s="1" t="n">
        <v>44474.39769675926</v>
      </c>
      <c r="C1326" s="1" t="n">
        <v>46001</v>
      </c>
      <c r="D1326" t="inlineStr">
        <is>
          <t>VÄSTERNORRLANDS LÄN</t>
        </is>
      </c>
      <c r="E1326" t="inlineStr">
        <is>
          <t>ÅNGE</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27951-2021</t>
        </is>
      </c>
      <c r="B1327" s="1" t="n">
        <v>44354</v>
      </c>
      <c r="C1327" s="1" t="n">
        <v>46001</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22990-2024</t>
        </is>
      </c>
      <c r="B1328" s="1" t="n">
        <v>45449.94548611111</v>
      </c>
      <c r="C1328" s="1" t="n">
        <v>46001</v>
      </c>
      <c r="D1328" t="inlineStr">
        <is>
          <t>VÄSTERNORRLANDS LÄN</t>
        </is>
      </c>
      <c r="E1328" t="inlineStr">
        <is>
          <t>ÅNGE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39589-2022</t>
        </is>
      </c>
      <c r="B1329" s="1" t="n">
        <v>44818</v>
      </c>
      <c r="C1329" s="1" t="n">
        <v>46001</v>
      </c>
      <c r="D1329" t="inlineStr">
        <is>
          <t>VÄSTERNORRLANDS LÄN</t>
        </is>
      </c>
      <c r="E1329" t="inlineStr">
        <is>
          <t>ÅNGE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25320-2023</t>
        </is>
      </c>
      <c r="B1330" s="1" t="n">
        <v>45086.93929398148</v>
      </c>
      <c r="C1330" s="1" t="n">
        <v>46001</v>
      </c>
      <c r="D1330" t="inlineStr">
        <is>
          <t>VÄSTERNORRLANDS LÄN</t>
        </is>
      </c>
      <c r="E1330" t="inlineStr">
        <is>
          <t>ÅNGE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24541-2023</t>
        </is>
      </c>
      <c r="B1331" s="1" t="n">
        <v>45082.94135416667</v>
      </c>
      <c r="C1331" s="1" t="n">
        <v>46001</v>
      </c>
      <c r="D1331" t="inlineStr">
        <is>
          <t>VÄSTERNORRLANDS LÄN</t>
        </is>
      </c>
      <c r="E1331" t="inlineStr">
        <is>
          <t>ÅNGE</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18542-2022</t>
        </is>
      </c>
      <c r="B1332" s="1" t="n">
        <v>44686</v>
      </c>
      <c r="C1332" s="1" t="n">
        <v>46001</v>
      </c>
      <c r="D1332" t="inlineStr">
        <is>
          <t>VÄSTERNORRLANDS LÄN</t>
        </is>
      </c>
      <c r="E1332" t="inlineStr">
        <is>
          <t>ÅNGE</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44600-2024</t>
        </is>
      </c>
      <c r="B1333" s="1" t="n">
        <v>45574.51113425926</v>
      </c>
      <c r="C1333" s="1" t="n">
        <v>46001</v>
      </c>
      <c r="D1333" t="inlineStr">
        <is>
          <t>VÄSTERNORRLANDS LÄN</t>
        </is>
      </c>
      <c r="E1333" t="inlineStr">
        <is>
          <t>ÅNGE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26013-2024</t>
        </is>
      </c>
      <c r="B1334" s="1" t="n">
        <v>45467</v>
      </c>
      <c r="C1334" s="1" t="n">
        <v>46001</v>
      </c>
      <c r="D1334" t="inlineStr">
        <is>
          <t>VÄSTERNORRLANDS LÄN</t>
        </is>
      </c>
      <c r="E1334" t="inlineStr">
        <is>
          <t>ÅNGE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25377-2024</t>
        </is>
      </c>
      <c r="B1335" s="1" t="n">
        <v>45462.96211805556</v>
      </c>
      <c r="C1335" s="1" t="n">
        <v>46001</v>
      </c>
      <c r="D1335" t="inlineStr">
        <is>
          <t>VÄSTERNORRLANDS LÄN</t>
        </is>
      </c>
      <c r="E1335" t="inlineStr">
        <is>
          <t>ÅNGE</t>
        </is>
      </c>
      <c r="F1335" t="inlineStr">
        <is>
          <t>SCA</t>
        </is>
      </c>
      <c r="G1335" t="n">
        <v>20.7</v>
      </c>
      <c r="H1335" t="n">
        <v>0</v>
      </c>
      <c r="I1335" t="n">
        <v>0</v>
      </c>
      <c r="J1335" t="n">
        <v>0</v>
      </c>
      <c r="K1335" t="n">
        <v>0</v>
      </c>
      <c r="L1335" t="n">
        <v>0</v>
      </c>
      <c r="M1335" t="n">
        <v>0</v>
      </c>
      <c r="N1335" t="n">
        <v>0</v>
      </c>
      <c r="O1335" t="n">
        <v>0</v>
      </c>
      <c r="P1335" t="n">
        <v>0</v>
      </c>
      <c r="Q1335" t="n">
        <v>0</v>
      </c>
      <c r="R1335" s="2" t="inlineStr"/>
    </row>
    <row r="1336" ht="15" customHeight="1">
      <c r="A1336" t="inlineStr">
        <is>
          <t>A 56956-2022</t>
        </is>
      </c>
      <c r="B1336" s="1" t="n">
        <v>44894</v>
      </c>
      <c r="C1336" s="1" t="n">
        <v>46001</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4883-2023</t>
        </is>
      </c>
      <c r="B1337" s="1" t="n">
        <v>44957</v>
      </c>
      <c r="C1337" s="1" t="n">
        <v>46001</v>
      </c>
      <c r="D1337" t="inlineStr">
        <is>
          <t>VÄSTERNORRLANDS LÄN</t>
        </is>
      </c>
      <c r="E1337" t="inlineStr">
        <is>
          <t>ÅNGE</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8755-2022</t>
        </is>
      </c>
      <c r="B1338" s="1" t="n">
        <v>44614</v>
      </c>
      <c r="C1338" s="1" t="n">
        <v>46001</v>
      </c>
      <c r="D1338" t="inlineStr">
        <is>
          <t>VÄSTERNORRLANDS LÄN</t>
        </is>
      </c>
      <c r="E1338" t="inlineStr">
        <is>
          <t>ÅNGE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30747-2024</t>
        </is>
      </c>
      <c r="B1339" s="1" t="n">
        <v>45496</v>
      </c>
      <c r="C1339" s="1" t="n">
        <v>46001</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58929-2024</t>
        </is>
      </c>
      <c r="B1340" s="1" t="n">
        <v>45636.51090277778</v>
      </c>
      <c r="C1340" s="1" t="n">
        <v>46001</v>
      </c>
      <c r="D1340" t="inlineStr">
        <is>
          <t>VÄSTERNORRLANDS LÄN</t>
        </is>
      </c>
      <c r="E1340" t="inlineStr">
        <is>
          <t>ÅNGE</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46254-2023</t>
        </is>
      </c>
      <c r="B1341" s="1" t="n">
        <v>45196</v>
      </c>
      <c r="C1341" s="1" t="n">
        <v>46001</v>
      </c>
      <c r="D1341" t="inlineStr">
        <is>
          <t>VÄSTERNORRLANDS LÄN</t>
        </is>
      </c>
      <c r="E1341" t="inlineStr">
        <is>
          <t>ÅNGE</t>
        </is>
      </c>
      <c r="F1341" t="inlineStr">
        <is>
          <t>SCA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46262-2023</t>
        </is>
      </c>
      <c r="B1342" s="1" t="n">
        <v>45196.93855324074</v>
      </c>
      <c r="C1342" s="1" t="n">
        <v>46001</v>
      </c>
      <c r="D1342" t="inlineStr">
        <is>
          <t>VÄSTERNORRLANDS LÄN</t>
        </is>
      </c>
      <c r="E1342" t="inlineStr">
        <is>
          <t>ÅNGE</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45027-2023</t>
        </is>
      </c>
      <c r="B1343" s="1" t="n">
        <v>45190.96303240741</v>
      </c>
      <c r="C1343" s="1" t="n">
        <v>46001</v>
      </c>
      <c r="D1343" t="inlineStr">
        <is>
          <t>VÄSTERNORRLANDS LÄN</t>
        </is>
      </c>
      <c r="E1343" t="inlineStr">
        <is>
          <t>ÅNGE</t>
        </is>
      </c>
      <c r="F1343" t="inlineStr">
        <is>
          <t>SCA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21409-2022</t>
        </is>
      </c>
      <c r="B1344" s="1" t="n">
        <v>44705.9406712963</v>
      </c>
      <c r="C1344" s="1" t="n">
        <v>46001</v>
      </c>
      <c r="D1344" t="inlineStr">
        <is>
          <t>VÄSTERNORRLANDS LÄN</t>
        </is>
      </c>
      <c r="E1344" t="inlineStr">
        <is>
          <t>ÅNGE</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55380-2024</t>
        </is>
      </c>
      <c r="B1345" s="1" t="n">
        <v>45622.28810185185</v>
      </c>
      <c r="C1345" s="1" t="n">
        <v>46001</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22678-2024</t>
        </is>
      </c>
      <c r="B1346" s="1" t="n">
        <v>45447.94533564815</v>
      </c>
      <c r="C1346" s="1" t="n">
        <v>46001</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10084-2023</t>
        </is>
      </c>
      <c r="B1347" s="1" t="n">
        <v>44985.94465277778</v>
      </c>
      <c r="C1347" s="1" t="n">
        <v>46001</v>
      </c>
      <c r="D1347" t="inlineStr">
        <is>
          <t>VÄSTERNORRLANDS LÄN</t>
        </is>
      </c>
      <c r="E1347" t="inlineStr">
        <is>
          <t>ÅNGE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39991-2023</t>
        </is>
      </c>
      <c r="B1348" s="1" t="n">
        <v>45168.6043287037</v>
      </c>
      <c r="C1348" s="1" t="n">
        <v>46001</v>
      </c>
      <c r="D1348" t="inlineStr">
        <is>
          <t>VÄSTERNORRLANDS LÄN</t>
        </is>
      </c>
      <c r="E1348" t="inlineStr">
        <is>
          <t>ÅNGE</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15167-2025</t>
        </is>
      </c>
      <c r="B1349" s="1" t="n">
        <v>45744.49009259259</v>
      </c>
      <c r="C1349" s="1" t="n">
        <v>46001</v>
      </c>
      <c r="D1349" t="inlineStr">
        <is>
          <t>VÄSTERNORRLANDS LÄN</t>
        </is>
      </c>
      <c r="E1349" t="inlineStr">
        <is>
          <t>ÅNGE</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30556-2023</t>
        </is>
      </c>
      <c r="B1350" s="1" t="n">
        <v>45111.87935185185</v>
      </c>
      <c r="C1350" s="1" t="n">
        <v>46001</v>
      </c>
      <c r="D1350" t="inlineStr">
        <is>
          <t>VÄSTERNORRLANDS LÄN</t>
        </is>
      </c>
      <c r="E1350" t="inlineStr">
        <is>
          <t>ÅNGE</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5393-2025</t>
        </is>
      </c>
      <c r="B1351" s="1" t="n">
        <v>45692.63574074074</v>
      </c>
      <c r="C1351" s="1" t="n">
        <v>46001</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34971-2023</t>
        </is>
      </c>
      <c r="B1352" s="1" t="n">
        <v>45142.61635416667</v>
      </c>
      <c r="C1352" s="1" t="n">
        <v>46001</v>
      </c>
      <c r="D1352" t="inlineStr">
        <is>
          <t>VÄSTERNORRLANDS LÄN</t>
        </is>
      </c>
      <c r="E1352" t="inlineStr">
        <is>
          <t>ÅNGE</t>
        </is>
      </c>
      <c r="F1352" t="inlineStr">
        <is>
          <t>Sveaskog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9480-2022</t>
        </is>
      </c>
      <c r="B1353" s="1" t="n">
        <v>44616</v>
      </c>
      <c r="C1353" s="1" t="n">
        <v>46001</v>
      </c>
      <c r="D1353" t="inlineStr">
        <is>
          <t>VÄSTERNORRLANDS LÄN</t>
        </is>
      </c>
      <c r="E1353" t="inlineStr">
        <is>
          <t>ÅNGE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18617-2024</t>
        </is>
      </c>
      <c r="B1354" s="1" t="n">
        <v>45425</v>
      </c>
      <c r="C1354" s="1" t="n">
        <v>46001</v>
      </c>
      <c r="D1354" t="inlineStr">
        <is>
          <t>VÄSTERNORRLANDS LÄN</t>
        </is>
      </c>
      <c r="E1354" t="inlineStr">
        <is>
          <t>ÅNGE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8868-2023</t>
        </is>
      </c>
      <c r="B1355" s="1" t="n">
        <v>44978</v>
      </c>
      <c r="C1355" s="1" t="n">
        <v>46001</v>
      </c>
      <c r="D1355" t="inlineStr">
        <is>
          <t>VÄSTERNORRLANDS LÄN</t>
        </is>
      </c>
      <c r="E1355" t="inlineStr">
        <is>
          <t>ÅNGE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10917-2024</t>
        </is>
      </c>
      <c r="B1356" s="1" t="n">
        <v>45370</v>
      </c>
      <c r="C1356" s="1" t="n">
        <v>46001</v>
      </c>
      <c r="D1356" t="inlineStr">
        <is>
          <t>VÄSTERNORRLANDS LÄN</t>
        </is>
      </c>
      <c r="E1356" t="inlineStr">
        <is>
          <t>ÅNGE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43775-2022</t>
        </is>
      </c>
      <c r="B1357" s="1" t="n">
        <v>44837.95053240741</v>
      </c>
      <c r="C1357" s="1" t="n">
        <v>46001</v>
      </c>
      <c r="D1357" t="inlineStr">
        <is>
          <t>VÄSTERNORRLANDS LÄN</t>
        </is>
      </c>
      <c r="E1357" t="inlineStr">
        <is>
          <t>ÅNGE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27306-2024</t>
        </is>
      </c>
      <c r="B1358" s="1" t="n">
        <v>45471.94454861111</v>
      </c>
      <c r="C1358" s="1" t="n">
        <v>46001</v>
      </c>
      <c r="D1358" t="inlineStr">
        <is>
          <t>VÄSTERNORRLANDS LÄN</t>
        </is>
      </c>
      <c r="E1358" t="inlineStr">
        <is>
          <t>ÅNGE</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11396-2024</t>
        </is>
      </c>
      <c r="B1359" s="1" t="n">
        <v>45372</v>
      </c>
      <c r="C1359" s="1" t="n">
        <v>46001</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25680-2023</t>
        </is>
      </c>
      <c r="B1360" s="1" t="n">
        <v>45089</v>
      </c>
      <c r="C1360" s="1" t="n">
        <v>46001</v>
      </c>
      <c r="D1360" t="inlineStr">
        <is>
          <t>VÄSTERNORRLANDS LÄN</t>
        </is>
      </c>
      <c r="E1360" t="inlineStr">
        <is>
          <t>ÅNGE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59818-2024</t>
        </is>
      </c>
      <c r="B1361" s="1" t="n">
        <v>45639.63572916666</v>
      </c>
      <c r="C1361" s="1" t="n">
        <v>46001</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1769-2023</t>
        </is>
      </c>
      <c r="B1362" s="1" t="n">
        <v>44938.58025462963</v>
      </c>
      <c r="C1362" s="1" t="n">
        <v>46001</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1775-2023</t>
        </is>
      </c>
      <c r="B1363" s="1" t="n">
        <v>44938</v>
      </c>
      <c r="C1363" s="1" t="n">
        <v>46001</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10878-2024</t>
        </is>
      </c>
      <c r="B1364" s="1" t="n">
        <v>45370</v>
      </c>
      <c r="C1364" s="1" t="n">
        <v>46001</v>
      </c>
      <c r="D1364" t="inlineStr">
        <is>
          <t>VÄSTERNORRLANDS LÄN</t>
        </is>
      </c>
      <c r="E1364" t="inlineStr">
        <is>
          <t>ÅNGE</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19066-2024</t>
        </is>
      </c>
      <c r="B1365" s="1" t="n">
        <v>45427</v>
      </c>
      <c r="C1365" s="1" t="n">
        <v>46001</v>
      </c>
      <c r="D1365" t="inlineStr">
        <is>
          <t>VÄSTERNORRLANDS LÄN</t>
        </is>
      </c>
      <c r="E1365" t="inlineStr">
        <is>
          <t>ÅNGE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3629-2023</t>
        </is>
      </c>
      <c r="B1366" s="1" t="n">
        <v>44950</v>
      </c>
      <c r="C1366" s="1" t="n">
        <v>46001</v>
      </c>
      <c r="D1366" t="inlineStr">
        <is>
          <t>VÄSTERNORRLANDS LÄN</t>
        </is>
      </c>
      <c r="E1366" t="inlineStr">
        <is>
          <t>ÅNGE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3631-2023</t>
        </is>
      </c>
      <c r="B1367" s="1" t="n">
        <v>44950</v>
      </c>
      <c r="C1367" s="1" t="n">
        <v>46001</v>
      </c>
      <c r="D1367" t="inlineStr">
        <is>
          <t>VÄSTERNORRLANDS LÄN</t>
        </is>
      </c>
      <c r="E1367" t="inlineStr">
        <is>
          <t>ÅNGE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31177-2024</t>
        </is>
      </c>
      <c r="B1368" s="1" t="n">
        <v>45503</v>
      </c>
      <c r="C1368" s="1" t="n">
        <v>46001</v>
      </c>
      <c r="D1368" t="inlineStr">
        <is>
          <t>VÄSTERNORRLANDS LÄN</t>
        </is>
      </c>
      <c r="E1368" t="inlineStr">
        <is>
          <t>ÅNGE</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50179-2024</t>
        </is>
      </c>
      <c r="B1369" s="1" t="n">
        <v>45600</v>
      </c>
      <c r="C1369" s="1" t="n">
        <v>46001</v>
      </c>
      <c r="D1369" t="inlineStr">
        <is>
          <t>VÄSTERNORRLANDS LÄN</t>
        </is>
      </c>
      <c r="E1369" t="inlineStr">
        <is>
          <t>ÅNGE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2140-2023</t>
        </is>
      </c>
      <c r="B1370" s="1" t="n">
        <v>44940</v>
      </c>
      <c r="C1370" s="1" t="n">
        <v>46001</v>
      </c>
      <c r="D1370" t="inlineStr">
        <is>
          <t>VÄSTERNORRLANDS LÄN</t>
        </is>
      </c>
      <c r="E1370" t="inlineStr">
        <is>
          <t>ÅNGE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30347-2024</t>
        </is>
      </c>
      <c r="B1371" s="1" t="n">
        <v>45490.95515046296</v>
      </c>
      <c r="C1371" s="1" t="n">
        <v>46001</v>
      </c>
      <c r="D1371" t="inlineStr">
        <is>
          <t>VÄSTERNORRLANDS LÄN</t>
        </is>
      </c>
      <c r="E1371" t="inlineStr">
        <is>
          <t>ÅNGE</t>
        </is>
      </c>
      <c r="F1371" t="inlineStr">
        <is>
          <t>SCA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55177-2024</t>
        </is>
      </c>
      <c r="B1372" s="1" t="n">
        <v>45621.53179398148</v>
      </c>
      <c r="C1372" s="1" t="n">
        <v>46001</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43096-2023</t>
        </is>
      </c>
      <c r="B1373" s="1" t="n">
        <v>45182</v>
      </c>
      <c r="C1373" s="1" t="n">
        <v>46001</v>
      </c>
      <c r="D1373" t="inlineStr">
        <is>
          <t>VÄSTERNORRLANDS LÄN</t>
        </is>
      </c>
      <c r="E1373" t="inlineStr">
        <is>
          <t>ÅNGE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3322-2025</t>
        </is>
      </c>
      <c r="B1374" s="1" t="n">
        <v>45679.6989699074</v>
      </c>
      <c r="C1374" s="1" t="n">
        <v>46001</v>
      </c>
      <c r="D1374" t="inlineStr">
        <is>
          <t>VÄSTERNORRLANDS LÄN</t>
        </is>
      </c>
      <c r="E1374" t="inlineStr">
        <is>
          <t>ÅNGE</t>
        </is>
      </c>
      <c r="F1374" t="inlineStr">
        <is>
          <t>SCA</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3327-2025</t>
        </is>
      </c>
      <c r="B1375" s="1" t="n">
        <v>45679.69967592593</v>
      </c>
      <c r="C1375" s="1" t="n">
        <v>46001</v>
      </c>
      <c r="D1375" t="inlineStr">
        <is>
          <t>VÄSTERNORRLANDS LÄN</t>
        </is>
      </c>
      <c r="E1375" t="inlineStr">
        <is>
          <t>ÅNGE</t>
        </is>
      </c>
      <c r="F1375" t="inlineStr">
        <is>
          <t>SCA</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3947-2025</t>
        </is>
      </c>
      <c r="B1376" s="1" t="n">
        <v>45684.49001157407</v>
      </c>
      <c r="C1376" s="1" t="n">
        <v>46001</v>
      </c>
      <c r="D1376" t="inlineStr">
        <is>
          <t>VÄSTERNORRLANDS LÄN</t>
        </is>
      </c>
      <c r="E1376" t="inlineStr">
        <is>
          <t>ÅNGE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15603-2024</t>
        </is>
      </c>
      <c r="B1377" s="1" t="n">
        <v>45401.92501157407</v>
      </c>
      <c r="C1377" s="1" t="n">
        <v>46001</v>
      </c>
      <c r="D1377" t="inlineStr">
        <is>
          <t>VÄSTERNORRLANDS LÄN</t>
        </is>
      </c>
      <c r="E1377" t="inlineStr">
        <is>
          <t>ÅNGE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52804-2024</t>
        </is>
      </c>
      <c r="B1378" s="1" t="n">
        <v>45610.57322916666</v>
      </c>
      <c r="C1378" s="1" t="n">
        <v>46001</v>
      </c>
      <c r="D1378" t="inlineStr">
        <is>
          <t>VÄSTERNORRLANDS LÄN</t>
        </is>
      </c>
      <c r="E1378" t="inlineStr">
        <is>
          <t>ÅNGE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21151-2024</t>
        </is>
      </c>
      <c r="B1379" s="1" t="n">
        <v>45440</v>
      </c>
      <c r="C1379" s="1" t="n">
        <v>46001</v>
      </c>
      <c r="D1379" t="inlineStr">
        <is>
          <t>VÄSTERNORRLANDS LÄN</t>
        </is>
      </c>
      <c r="E1379" t="inlineStr">
        <is>
          <t>ÅNGE</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13706-2023</t>
        </is>
      </c>
      <c r="B1380" s="1" t="n">
        <v>45006</v>
      </c>
      <c r="C1380" s="1" t="n">
        <v>46001</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6462-2024</t>
        </is>
      </c>
      <c r="B1381" s="1" t="n">
        <v>45338</v>
      </c>
      <c r="C1381" s="1" t="n">
        <v>46001</v>
      </c>
      <c r="D1381" t="inlineStr">
        <is>
          <t>VÄSTERNORRLANDS LÄN</t>
        </is>
      </c>
      <c r="E1381" t="inlineStr">
        <is>
          <t>ÅNGE</t>
        </is>
      </c>
      <c r="F1381" t="inlineStr">
        <is>
          <t>Kyrkan</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26490-2024</t>
        </is>
      </c>
      <c r="B1382" s="1" t="n">
        <v>45469</v>
      </c>
      <c r="C1382" s="1" t="n">
        <v>46001</v>
      </c>
      <c r="D1382" t="inlineStr">
        <is>
          <t>VÄSTERNORRLANDS LÄN</t>
        </is>
      </c>
      <c r="E1382" t="inlineStr">
        <is>
          <t>ÅNGE</t>
        </is>
      </c>
      <c r="F1382" t="inlineStr">
        <is>
          <t>Sveaskog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33747-2024</t>
        </is>
      </c>
      <c r="B1383" s="1" t="n">
        <v>45520</v>
      </c>
      <c r="C1383" s="1" t="n">
        <v>46001</v>
      </c>
      <c r="D1383" t="inlineStr">
        <is>
          <t>VÄSTERNORRLANDS LÄN</t>
        </is>
      </c>
      <c r="E1383" t="inlineStr">
        <is>
          <t>ÅNGE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34754-2024</t>
        </is>
      </c>
      <c r="B1384" s="1" t="n">
        <v>45526</v>
      </c>
      <c r="C1384" s="1" t="n">
        <v>46001</v>
      </c>
      <c r="D1384" t="inlineStr">
        <is>
          <t>VÄSTERNORRLANDS LÄN</t>
        </is>
      </c>
      <c r="E1384" t="inlineStr">
        <is>
          <t>ÅNGE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22411-2023</t>
        </is>
      </c>
      <c r="B1385" s="1" t="n">
        <v>45070</v>
      </c>
      <c r="C1385" s="1" t="n">
        <v>46001</v>
      </c>
      <c r="D1385" t="inlineStr">
        <is>
          <t>VÄSTERNORRLANDS LÄN</t>
        </is>
      </c>
      <c r="E1385" t="inlineStr">
        <is>
          <t>ÅNGE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4071-2025</t>
        </is>
      </c>
      <c r="B1386" s="1" t="n">
        <v>45684.63579861111</v>
      </c>
      <c r="C1386" s="1" t="n">
        <v>46001</v>
      </c>
      <c r="D1386" t="inlineStr">
        <is>
          <t>VÄSTERNORRLANDS LÄN</t>
        </is>
      </c>
      <c r="E1386" t="inlineStr">
        <is>
          <t>ÅNGE</t>
        </is>
      </c>
      <c r="F1386" t="inlineStr">
        <is>
          <t>SCA</t>
        </is>
      </c>
      <c r="G1386" t="n">
        <v>13.7</v>
      </c>
      <c r="H1386" t="n">
        <v>0</v>
      </c>
      <c r="I1386" t="n">
        <v>0</v>
      </c>
      <c r="J1386" t="n">
        <v>0</v>
      </c>
      <c r="K1386" t="n">
        <v>0</v>
      </c>
      <c r="L1386" t="n">
        <v>0</v>
      </c>
      <c r="M1386" t="n">
        <v>0</v>
      </c>
      <c r="N1386" t="n">
        <v>0</v>
      </c>
      <c r="O1386" t="n">
        <v>0</v>
      </c>
      <c r="P1386" t="n">
        <v>0</v>
      </c>
      <c r="Q1386" t="n">
        <v>0</v>
      </c>
      <c r="R1386" s="2" t="inlineStr"/>
    </row>
    <row r="1387" ht="15" customHeight="1">
      <c r="A1387" t="inlineStr">
        <is>
          <t>A 6619-2025</t>
        </is>
      </c>
      <c r="B1387" s="1" t="n">
        <v>45700.36541666667</v>
      </c>
      <c r="C1387" s="1" t="n">
        <v>46001</v>
      </c>
      <c r="D1387" t="inlineStr">
        <is>
          <t>VÄSTERNORRLANDS LÄN</t>
        </is>
      </c>
      <c r="E1387" t="inlineStr">
        <is>
          <t>ÅNGE</t>
        </is>
      </c>
      <c r="F1387" t="inlineStr">
        <is>
          <t>SCA</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8070-2022</t>
        </is>
      </c>
      <c r="B1388" s="1" t="n">
        <v>44609.48665509259</v>
      </c>
      <c r="C1388" s="1" t="n">
        <v>46001</v>
      </c>
      <c r="D1388" t="inlineStr">
        <is>
          <t>VÄSTERNORRLANDS LÄN</t>
        </is>
      </c>
      <c r="E1388" t="inlineStr">
        <is>
          <t>ÅNGE</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14097-2022</t>
        </is>
      </c>
      <c r="B1389" s="1" t="n">
        <v>44651</v>
      </c>
      <c r="C1389" s="1" t="n">
        <v>46001</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29667-2024</t>
        </is>
      </c>
      <c r="B1390" s="1" t="n">
        <v>45484.94041666666</v>
      </c>
      <c r="C1390" s="1" t="n">
        <v>46001</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39975-2023</t>
        </is>
      </c>
      <c r="B1391" s="1" t="n">
        <v>45168.58844907407</v>
      </c>
      <c r="C1391" s="1" t="n">
        <v>46001</v>
      </c>
      <c r="D1391" t="inlineStr">
        <is>
          <t>VÄSTERNORRLANDS LÄN</t>
        </is>
      </c>
      <c r="E1391" t="inlineStr">
        <is>
          <t>ÅNGE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32776-2022</t>
        </is>
      </c>
      <c r="B1392" s="1" t="n">
        <v>44783.94607638889</v>
      </c>
      <c r="C1392" s="1" t="n">
        <v>46001</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11032-2025</t>
        </is>
      </c>
      <c r="B1393" s="1" t="n">
        <v>45723.47601851852</v>
      </c>
      <c r="C1393" s="1" t="n">
        <v>46001</v>
      </c>
      <c r="D1393" t="inlineStr">
        <is>
          <t>VÄSTERNORRLANDS LÄN</t>
        </is>
      </c>
      <c r="E1393" t="inlineStr">
        <is>
          <t>ÅNGE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56874-2024</t>
        </is>
      </c>
      <c r="B1394" s="1" t="n">
        <v>45628</v>
      </c>
      <c r="C1394" s="1" t="n">
        <v>46001</v>
      </c>
      <c r="D1394" t="inlineStr">
        <is>
          <t>VÄSTERNORRLANDS LÄN</t>
        </is>
      </c>
      <c r="E1394" t="inlineStr">
        <is>
          <t>ÅNGE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16657-2025</t>
        </is>
      </c>
      <c r="B1395" s="1" t="n">
        <v>45754.40700231482</v>
      </c>
      <c r="C1395" s="1" t="n">
        <v>46001</v>
      </c>
      <c r="D1395" t="inlineStr">
        <is>
          <t>VÄSTERNORRLANDS LÄN</t>
        </is>
      </c>
      <c r="E1395" t="inlineStr">
        <is>
          <t>ÅNGE</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6608-2025</t>
        </is>
      </c>
      <c r="B1396" s="1" t="n">
        <v>45700.34415509259</v>
      </c>
      <c r="C1396" s="1" t="n">
        <v>46001</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51871-2024</t>
        </is>
      </c>
      <c r="B1397" s="1" t="n">
        <v>45607</v>
      </c>
      <c r="C1397" s="1" t="n">
        <v>46001</v>
      </c>
      <c r="D1397" t="inlineStr">
        <is>
          <t>VÄSTERNORRLANDS LÄN</t>
        </is>
      </c>
      <c r="E1397" t="inlineStr">
        <is>
          <t>ÅNGE</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19065-2025</t>
        </is>
      </c>
      <c r="B1398" s="1" t="n">
        <v>45765</v>
      </c>
      <c r="C1398" s="1" t="n">
        <v>46001</v>
      </c>
      <c r="D1398" t="inlineStr">
        <is>
          <t>VÄSTERNORRLANDS LÄN</t>
        </is>
      </c>
      <c r="E1398" t="inlineStr">
        <is>
          <t>ÅNGE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36290-2023</t>
        </is>
      </c>
      <c r="B1399" s="1" t="n">
        <v>45152.35467592593</v>
      </c>
      <c r="C1399" s="1" t="n">
        <v>46001</v>
      </c>
      <c r="D1399" t="inlineStr">
        <is>
          <t>VÄSTERNORRLANDS LÄN</t>
        </is>
      </c>
      <c r="E1399" t="inlineStr">
        <is>
          <t>ÅNGE</t>
        </is>
      </c>
      <c r="F1399" t="inlineStr">
        <is>
          <t>Övriga Aktiebolag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48369-2024</t>
        </is>
      </c>
      <c r="B1400" s="1" t="n">
        <v>45590.57960648148</v>
      </c>
      <c r="C1400" s="1" t="n">
        <v>46001</v>
      </c>
      <c r="D1400" t="inlineStr">
        <is>
          <t>VÄSTERNORRLANDS LÄN</t>
        </is>
      </c>
      <c r="E1400" t="inlineStr">
        <is>
          <t>ÅNGE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1714-2025</t>
        </is>
      </c>
      <c r="B1401" s="1" t="n">
        <v>45671.32474537037</v>
      </c>
      <c r="C1401" s="1" t="n">
        <v>46001</v>
      </c>
      <c r="D1401" t="inlineStr">
        <is>
          <t>VÄSTERNORRLANDS LÄN</t>
        </is>
      </c>
      <c r="E1401" t="inlineStr">
        <is>
          <t>ÅNGE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11529-2023</t>
        </is>
      </c>
      <c r="B1402" s="1" t="n">
        <v>44993</v>
      </c>
      <c r="C1402" s="1" t="n">
        <v>46001</v>
      </c>
      <c r="D1402" t="inlineStr">
        <is>
          <t>VÄSTERNORRLANDS LÄN</t>
        </is>
      </c>
      <c r="E1402" t="inlineStr">
        <is>
          <t>ÅNGE</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31182-2024</t>
        </is>
      </c>
      <c r="B1403" s="1" t="n">
        <v>45503</v>
      </c>
      <c r="C1403" s="1" t="n">
        <v>46001</v>
      </c>
      <c r="D1403" t="inlineStr">
        <is>
          <t>VÄSTERNORRLANDS LÄN</t>
        </is>
      </c>
      <c r="E1403" t="inlineStr">
        <is>
          <t>ÅNGE</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41758-2024</t>
        </is>
      </c>
      <c r="B1404" s="1" t="n">
        <v>45561.34478009259</v>
      </c>
      <c r="C1404" s="1" t="n">
        <v>46001</v>
      </c>
      <c r="D1404" t="inlineStr">
        <is>
          <t>VÄSTERNORRLANDS LÄN</t>
        </is>
      </c>
      <c r="E1404" t="inlineStr">
        <is>
          <t>ÅNGE</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5433-2024</t>
        </is>
      </c>
      <c r="B1405" s="1" t="n">
        <v>45331</v>
      </c>
      <c r="C1405" s="1" t="n">
        <v>46001</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19926-2025</t>
        </is>
      </c>
      <c r="B1406" s="1" t="n">
        <v>45771.6357175926</v>
      </c>
      <c r="C1406" s="1" t="n">
        <v>46001</v>
      </c>
      <c r="D1406" t="inlineStr">
        <is>
          <t>VÄSTERNORRLANDS LÄN</t>
        </is>
      </c>
      <c r="E1406" t="inlineStr">
        <is>
          <t>ÅNGE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51055-2023</t>
        </is>
      </c>
      <c r="B1407" s="1" t="n">
        <v>45218</v>
      </c>
      <c r="C1407" s="1" t="n">
        <v>46001</v>
      </c>
      <c r="D1407" t="inlineStr">
        <is>
          <t>VÄSTERNORRLANDS LÄN</t>
        </is>
      </c>
      <c r="E1407" t="inlineStr">
        <is>
          <t>ÅNGE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6684-2024</t>
        </is>
      </c>
      <c r="B1408" s="1" t="n">
        <v>45341.92555555556</v>
      </c>
      <c r="C1408" s="1" t="n">
        <v>46001</v>
      </c>
      <c r="D1408" t="inlineStr">
        <is>
          <t>VÄSTERNORRLANDS LÄN</t>
        </is>
      </c>
      <c r="E1408" t="inlineStr">
        <is>
          <t>ÅNGE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113-2025</t>
        </is>
      </c>
      <c r="B1409" s="1" t="n">
        <v>45659.5106712963</v>
      </c>
      <c r="C1409" s="1" t="n">
        <v>46001</v>
      </c>
      <c r="D1409" t="inlineStr">
        <is>
          <t>VÄSTERNORRLANDS LÄN</t>
        </is>
      </c>
      <c r="E1409" t="inlineStr">
        <is>
          <t>ÅNGE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1403-2025</t>
        </is>
      </c>
      <c r="B1410" s="1" t="n">
        <v>45667.70548611111</v>
      </c>
      <c r="C1410" s="1" t="n">
        <v>46001</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39619-2024</t>
        </is>
      </c>
      <c r="B1411" s="1" t="n">
        <v>45552</v>
      </c>
      <c r="C1411" s="1" t="n">
        <v>46001</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58774-2023</t>
        </is>
      </c>
      <c r="B1412" s="1" t="n">
        <v>45251</v>
      </c>
      <c r="C1412" s="1" t="n">
        <v>46001</v>
      </c>
      <c r="D1412" t="inlineStr">
        <is>
          <t>VÄSTERNORRLANDS LÄN</t>
        </is>
      </c>
      <c r="E1412" t="inlineStr">
        <is>
          <t>ÅNGE</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4359-2025</t>
        </is>
      </c>
      <c r="B1413" s="1" t="n">
        <v>45686.33072916666</v>
      </c>
      <c r="C1413" s="1" t="n">
        <v>46001</v>
      </c>
      <c r="D1413" t="inlineStr">
        <is>
          <t>VÄSTERNORRLANDS LÄN</t>
        </is>
      </c>
      <c r="E1413" t="inlineStr">
        <is>
          <t>ÅNGE</t>
        </is>
      </c>
      <c r="F1413" t="inlineStr">
        <is>
          <t>Holmen skog AB</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11399-2025</t>
        </is>
      </c>
      <c r="B1414" s="1" t="n">
        <v>45726.57364583333</v>
      </c>
      <c r="C1414" s="1" t="n">
        <v>46001</v>
      </c>
      <c r="D1414" t="inlineStr">
        <is>
          <t>VÄSTERNORRLANDS LÄN</t>
        </is>
      </c>
      <c r="E1414" t="inlineStr">
        <is>
          <t>ÅNGE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15822-2025</t>
        </is>
      </c>
      <c r="B1415" s="1" t="n">
        <v>45748.70172453704</v>
      </c>
      <c r="C1415" s="1" t="n">
        <v>46001</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57591-2022</t>
        </is>
      </c>
      <c r="B1416" s="1" t="n">
        <v>44896.97834490741</v>
      </c>
      <c r="C1416" s="1" t="n">
        <v>46001</v>
      </c>
      <c r="D1416" t="inlineStr">
        <is>
          <t>VÄSTERNORRLANDS LÄN</t>
        </is>
      </c>
      <c r="E1416" t="inlineStr">
        <is>
          <t>ÅNGE</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17044-2023</t>
        </is>
      </c>
      <c r="B1417" s="1" t="n">
        <v>45034</v>
      </c>
      <c r="C1417" s="1" t="n">
        <v>46001</v>
      </c>
      <c r="D1417" t="inlineStr">
        <is>
          <t>VÄSTERNORRLANDS LÄN</t>
        </is>
      </c>
      <c r="E1417" t="inlineStr">
        <is>
          <t>ÅNGE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60812-2024</t>
        </is>
      </c>
      <c r="B1418" s="1" t="n">
        <v>45644</v>
      </c>
      <c r="C1418" s="1" t="n">
        <v>46001</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58943-2022</t>
        </is>
      </c>
      <c r="B1419" s="1" t="n">
        <v>44903.64400462963</v>
      </c>
      <c r="C1419" s="1" t="n">
        <v>46001</v>
      </c>
      <c r="D1419" t="inlineStr">
        <is>
          <t>VÄSTERNORRLANDS LÄN</t>
        </is>
      </c>
      <c r="E1419" t="inlineStr">
        <is>
          <t>ÅNGE</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1103-2023</t>
        </is>
      </c>
      <c r="B1420" s="1" t="n">
        <v>44929</v>
      </c>
      <c r="C1420" s="1" t="n">
        <v>46001</v>
      </c>
      <c r="D1420" t="inlineStr">
        <is>
          <t>VÄSTERNORRLANDS LÄN</t>
        </is>
      </c>
      <c r="E1420" t="inlineStr">
        <is>
          <t>ÅNGE</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57526-2024</t>
        </is>
      </c>
      <c r="B1421" s="1" t="n">
        <v>45630</v>
      </c>
      <c r="C1421" s="1" t="n">
        <v>46001</v>
      </c>
      <c r="D1421" t="inlineStr">
        <is>
          <t>VÄSTERNORRLANDS LÄN</t>
        </is>
      </c>
      <c r="E1421" t="inlineStr">
        <is>
          <t>ÅNGE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18456-2024</t>
        </is>
      </c>
      <c r="B1422" s="1" t="n">
        <v>45425.46831018518</v>
      </c>
      <c r="C1422" s="1" t="n">
        <v>46001</v>
      </c>
      <c r="D1422" t="inlineStr">
        <is>
          <t>VÄSTERNORRLANDS LÄN</t>
        </is>
      </c>
      <c r="E1422" t="inlineStr">
        <is>
          <t>ÅNGE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44180-2023</t>
        </is>
      </c>
      <c r="B1423" s="1" t="n">
        <v>45183</v>
      </c>
      <c r="C1423" s="1" t="n">
        <v>46001</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5197-2025</t>
        </is>
      </c>
      <c r="B1424" s="1" t="n">
        <v>45691.65701388889</v>
      </c>
      <c r="C1424" s="1" t="n">
        <v>46001</v>
      </c>
      <c r="D1424" t="inlineStr">
        <is>
          <t>VÄSTERNORRLANDS LÄN</t>
        </is>
      </c>
      <c r="E1424" t="inlineStr">
        <is>
          <t>ÅNGE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5246-2025</t>
        </is>
      </c>
      <c r="B1425" s="1" t="n">
        <v>45692.34427083333</v>
      </c>
      <c r="C1425" s="1" t="n">
        <v>46001</v>
      </c>
      <c r="D1425" t="inlineStr">
        <is>
          <t>VÄSTERNORRLANDS LÄN</t>
        </is>
      </c>
      <c r="E1425" t="inlineStr">
        <is>
          <t>ÅNGE</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41829-2021</t>
        </is>
      </c>
      <c r="B1426" s="1" t="n">
        <v>44425.92202546296</v>
      </c>
      <c r="C1426" s="1" t="n">
        <v>46001</v>
      </c>
      <c r="D1426" t="inlineStr">
        <is>
          <t>VÄSTERNORRLANDS LÄN</t>
        </is>
      </c>
      <c r="E1426" t="inlineStr">
        <is>
          <t>ÅNGE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50612-2024</t>
        </is>
      </c>
      <c r="B1427" s="1" t="n">
        <v>45601</v>
      </c>
      <c r="C1427" s="1" t="n">
        <v>46001</v>
      </c>
      <c r="D1427" t="inlineStr">
        <is>
          <t>VÄSTERNORRLANDS LÄN</t>
        </is>
      </c>
      <c r="E1427" t="inlineStr">
        <is>
          <t>ÅNGE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13491-2023</t>
        </is>
      </c>
      <c r="B1428" s="1" t="n">
        <v>45005.93929398148</v>
      </c>
      <c r="C1428" s="1" t="n">
        <v>46001</v>
      </c>
      <c r="D1428" t="inlineStr">
        <is>
          <t>VÄSTERNORRLANDS LÄN</t>
        </is>
      </c>
      <c r="E1428" t="inlineStr">
        <is>
          <t>ÅNGE</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47243-2024</t>
        </is>
      </c>
      <c r="B1429" s="1" t="n">
        <v>45586.6987962963</v>
      </c>
      <c r="C1429" s="1" t="n">
        <v>46001</v>
      </c>
      <c r="D1429" t="inlineStr">
        <is>
          <t>VÄSTERNORRLANDS LÄN</t>
        </is>
      </c>
      <c r="E1429" t="inlineStr">
        <is>
          <t>ÅNGE</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37540-2024</t>
        </is>
      </c>
      <c r="B1430" s="1" t="n">
        <v>45541.42111111111</v>
      </c>
      <c r="C1430" s="1" t="n">
        <v>46001</v>
      </c>
      <c r="D1430" t="inlineStr">
        <is>
          <t>VÄSTERNORRLANDS LÄN</t>
        </is>
      </c>
      <c r="E1430" t="inlineStr">
        <is>
          <t>ÅNGE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42948-2024</t>
        </is>
      </c>
      <c r="B1431" s="1" t="n">
        <v>45567.36628472222</v>
      </c>
      <c r="C1431" s="1" t="n">
        <v>46001</v>
      </c>
      <c r="D1431" t="inlineStr">
        <is>
          <t>VÄSTERNORRLANDS LÄN</t>
        </is>
      </c>
      <c r="E1431" t="inlineStr">
        <is>
          <t>ÅNGE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54585-2024</t>
        </is>
      </c>
      <c r="B1432" s="1" t="n">
        <v>45617.65762731482</v>
      </c>
      <c r="C1432" s="1" t="n">
        <v>46001</v>
      </c>
      <c r="D1432" t="inlineStr">
        <is>
          <t>VÄSTERNORRLANDS LÄN</t>
        </is>
      </c>
      <c r="E1432" t="inlineStr">
        <is>
          <t>ÅNGE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15404-2025</t>
        </is>
      </c>
      <c r="B1433" s="1" t="n">
        <v>45747.44665509259</v>
      </c>
      <c r="C1433" s="1" t="n">
        <v>46001</v>
      </c>
      <c r="D1433" t="inlineStr">
        <is>
          <t>VÄSTERNORRLANDS LÄN</t>
        </is>
      </c>
      <c r="E1433" t="inlineStr">
        <is>
          <t>ÅNGE</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17703-2025</t>
        </is>
      </c>
      <c r="B1434" s="1" t="n">
        <v>45758.4275462963</v>
      </c>
      <c r="C1434" s="1" t="n">
        <v>46001</v>
      </c>
      <c r="D1434" t="inlineStr">
        <is>
          <t>VÄSTERNORRLANDS LÄN</t>
        </is>
      </c>
      <c r="E1434" t="inlineStr">
        <is>
          <t>ÅNGE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42529-2024</t>
        </is>
      </c>
      <c r="B1435" s="1" t="n">
        <v>45565.57324074074</v>
      </c>
      <c r="C1435" s="1" t="n">
        <v>46001</v>
      </c>
      <c r="D1435" t="inlineStr">
        <is>
          <t>VÄSTERNORRLANDS LÄN</t>
        </is>
      </c>
      <c r="E1435" t="inlineStr">
        <is>
          <t>ÅNGE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3966-2025</t>
        </is>
      </c>
      <c r="B1436" s="1" t="n">
        <v>45684.51072916666</v>
      </c>
      <c r="C1436" s="1" t="n">
        <v>46001</v>
      </c>
      <c r="D1436" t="inlineStr">
        <is>
          <t>VÄSTERNORRLANDS LÄN</t>
        </is>
      </c>
      <c r="E1436" t="inlineStr">
        <is>
          <t>ÅNGE</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54316-2024</t>
        </is>
      </c>
      <c r="B1437" s="1" t="n">
        <v>45617.34443287037</v>
      </c>
      <c r="C1437" s="1" t="n">
        <v>46001</v>
      </c>
      <c r="D1437" t="inlineStr">
        <is>
          <t>VÄSTERNORRLANDS LÄN</t>
        </is>
      </c>
      <c r="E1437" t="inlineStr">
        <is>
          <t>ÅNGE</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4186-2025</t>
        </is>
      </c>
      <c r="B1438" s="1" t="n">
        <v>45685.44827546296</v>
      </c>
      <c r="C1438" s="1" t="n">
        <v>46001</v>
      </c>
      <c r="D1438" t="inlineStr">
        <is>
          <t>VÄSTERNORRLANDS LÄN</t>
        </is>
      </c>
      <c r="E1438" t="inlineStr">
        <is>
          <t>ÅNGE</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53209-2024</t>
        </is>
      </c>
      <c r="B1439" s="1" t="n">
        <v>45612.51079861111</v>
      </c>
      <c r="C1439" s="1" t="n">
        <v>46001</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15778-2025</t>
        </is>
      </c>
      <c r="B1440" s="1" t="n">
        <v>45748.60030092593</v>
      </c>
      <c r="C1440" s="1" t="n">
        <v>46001</v>
      </c>
      <c r="D1440" t="inlineStr">
        <is>
          <t>VÄSTERNORRLANDS LÄN</t>
        </is>
      </c>
      <c r="E1440" t="inlineStr">
        <is>
          <t>ÅNGE</t>
        </is>
      </c>
      <c r="F1440" t="inlineStr">
        <is>
          <t>SCA</t>
        </is>
      </c>
      <c r="G1440" t="n">
        <v>13.6</v>
      </c>
      <c r="H1440" t="n">
        <v>0</v>
      </c>
      <c r="I1440" t="n">
        <v>0</v>
      </c>
      <c r="J1440" t="n">
        <v>0</v>
      </c>
      <c r="K1440" t="n">
        <v>0</v>
      </c>
      <c r="L1440" t="n">
        <v>0</v>
      </c>
      <c r="M1440" t="n">
        <v>0</v>
      </c>
      <c r="N1440" t="n">
        <v>0</v>
      </c>
      <c r="O1440" t="n">
        <v>0</v>
      </c>
      <c r="P1440" t="n">
        <v>0</v>
      </c>
      <c r="Q1440" t="n">
        <v>0</v>
      </c>
      <c r="R1440" s="2" t="inlineStr"/>
    </row>
    <row r="1441" ht="15" customHeight="1">
      <c r="A1441" t="inlineStr">
        <is>
          <t>A 17718-2025</t>
        </is>
      </c>
      <c r="B1441" s="1" t="n">
        <v>45758.44815972223</v>
      </c>
      <c r="C1441" s="1" t="n">
        <v>46001</v>
      </c>
      <c r="D1441" t="inlineStr">
        <is>
          <t>VÄSTERNORRLANDS LÄN</t>
        </is>
      </c>
      <c r="E1441" t="inlineStr">
        <is>
          <t>ÅNGE</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38246-2024</t>
        </is>
      </c>
      <c r="B1442" s="1" t="n">
        <v>45545.57327546296</v>
      </c>
      <c r="C1442" s="1" t="n">
        <v>46001</v>
      </c>
      <c r="D1442" t="inlineStr">
        <is>
          <t>VÄSTERNORRLANDS LÄN</t>
        </is>
      </c>
      <c r="E1442" t="inlineStr">
        <is>
          <t>ÅNGE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26943-2024</t>
        </is>
      </c>
      <c r="B1443" s="1" t="n">
        <v>45470</v>
      </c>
      <c r="C1443" s="1" t="n">
        <v>46001</v>
      </c>
      <c r="D1443" t="inlineStr">
        <is>
          <t>VÄSTERNORRLANDS LÄN</t>
        </is>
      </c>
      <c r="E1443" t="inlineStr">
        <is>
          <t>ÅNGE</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53512-2023</t>
        </is>
      </c>
      <c r="B1444" s="1" t="n">
        <v>45230</v>
      </c>
      <c r="C1444" s="1" t="n">
        <v>46001</v>
      </c>
      <c r="D1444" t="inlineStr">
        <is>
          <t>VÄSTERNORRLANDS LÄN</t>
        </is>
      </c>
      <c r="E1444" t="inlineStr">
        <is>
          <t>ÅNGE</t>
        </is>
      </c>
      <c r="F1444" t="inlineStr">
        <is>
          <t>Holmen skog AB</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20776-2025</t>
        </is>
      </c>
      <c r="B1445" s="1" t="n">
        <v>45776.59410879629</v>
      </c>
      <c r="C1445" s="1" t="n">
        <v>46001</v>
      </c>
      <c r="D1445" t="inlineStr">
        <is>
          <t>VÄSTERNORRLANDS LÄN</t>
        </is>
      </c>
      <c r="E1445" t="inlineStr">
        <is>
          <t>ÅNGE</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20718-2025</t>
        </is>
      </c>
      <c r="B1446" s="1" t="n">
        <v>45776.49047453704</v>
      </c>
      <c r="C1446" s="1" t="n">
        <v>46001</v>
      </c>
      <c r="D1446" t="inlineStr">
        <is>
          <t>VÄSTERNORRLANDS LÄN</t>
        </is>
      </c>
      <c r="E1446" t="inlineStr">
        <is>
          <t>ÅNGE</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20864-2025</t>
        </is>
      </c>
      <c r="B1447" s="1" t="n">
        <v>45777.34417824074</v>
      </c>
      <c r="C1447" s="1" t="n">
        <v>46001</v>
      </c>
      <c r="D1447" t="inlineStr">
        <is>
          <t>VÄSTERNORRLANDS LÄN</t>
        </is>
      </c>
      <c r="E1447" t="inlineStr">
        <is>
          <t>ÅNGE</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21068-2025</t>
        </is>
      </c>
      <c r="B1448" s="1" t="n">
        <v>45777.59413194445</v>
      </c>
      <c r="C1448" s="1" t="n">
        <v>46001</v>
      </c>
      <c r="D1448" t="inlineStr">
        <is>
          <t>VÄSTERNORRLANDS LÄN</t>
        </is>
      </c>
      <c r="E1448" t="inlineStr">
        <is>
          <t>ÅNGE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20868-2025</t>
        </is>
      </c>
      <c r="B1449" s="1" t="n">
        <v>45777.34483796296</v>
      </c>
      <c r="C1449" s="1" t="n">
        <v>46001</v>
      </c>
      <c r="D1449" t="inlineStr">
        <is>
          <t>VÄSTERNORRLANDS LÄN</t>
        </is>
      </c>
      <c r="E1449" t="inlineStr">
        <is>
          <t>ÅNGE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21176-2025</t>
        </is>
      </c>
      <c r="B1450" s="1" t="n">
        <v>45779.42798611111</v>
      </c>
      <c r="C1450" s="1" t="n">
        <v>46001</v>
      </c>
      <c r="D1450" t="inlineStr">
        <is>
          <t>VÄSTERNORRLANDS LÄN</t>
        </is>
      </c>
      <c r="E1450" t="inlineStr">
        <is>
          <t>ÅNGE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21197-2025</t>
        </is>
      </c>
      <c r="B1451" s="1" t="n">
        <v>45779.46949074074</v>
      </c>
      <c r="C1451" s="1" t="n">
        <v>46001</v>
      </c>
      <c r="D1451" t="inlineStr">
        <is>
          <t>VÄSTERNORRLANDS LÄN</t>
        </is>
      </c>
      <c r="E1451" t="inlineStr">
        <is>
          <t>ÅNGE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21563-2025</t>
        </is>
      </c>
      <c r="B1452" s="1" t="n">
        <v>45782.69822916666</v>
      </c>
      <c r="C1452" s="1" t="n">
        <v>46001</v>
      </c>
      <c r="D1452" t="inlineStr">
        <is>
          <t>VÄSTERNORRLANDS LÄN</t>
        </is>
      </c>
      <c r="E1452" t="inlineStr">
        <is>
          <t>ÅNGE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45030-2024</t>
        </is>
      </c>
      <c r="B1453" s="1" t="n">
        <v>45575.52089120371</v>
      </c>
      <c r="C1453" s="1" t="n">
        <v>46001</v>
      </c>
      <c r="D1453" t="inlineStr">
        <is>
          <t>VÄSTERNORRLANDS LÄN</t>
        </is>
      </c>
      <c r="E1453" t="inlineStr">
        <is>
          <t>ÅNGE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21263-2025</t>
        </is>
      </c>
      <c r="B1454" s="1" t="n">
        <v>45779.61233796296</v>
      </c>
      <c r="C1454" s="1" t="n">
        <v>46001</v>
      </c>
      <c r="D1454" t="inlineStr">
        <is>
          <t>VÄSTERNORRLANDS LÄN</t>
        </is>
      </c>
      <c r="E1454" t="inlineStr">
        <is>
          <t>ÅNGE</t>
        </is>
      </c>
      <c r="F1454" t="inlineStr">
        <is>
          <t>Sveaskog</t>
        </is>
      </c>
      <c r="G1454" t="n">
        <v>14.9</v>
      </c>
      <c r="H1454" t="n">
        <v>0</v>
      </c>
      <c r="I1454" t="n">
        <v>0</v>
      </c>
      <c r="J1454" t="n">
        <v>0</v>
      </c>
      <c r="K1454" t="n">
        <v>0</v>
      </c>
      <c r="L1454" t="n">
        <v>0</v>
      </c>
      <c r="M1454" t="n">
        <v>0</v>
      </c>
      <c r="N1454" t="n">
        <v>0</v>
      </c>
      <c r="O1454" t="n">
        <v>0</v>
      </c>
      <c r="P1454" t="n">
        <v>0</v>
      </c>
      <c r="Q1454" t="n">
        <v>0</v>
      </c>
      <c r="R1454" s="2" t="inlineStr"/>
    </row>
    <row r="1455" ht="15" customHeight="1">
      <c r="A1455" t="inlineStr">
        <is>
          <t>A 21174-2025</t>
        </is>
      </c>
      <c r="B1455" s="1" t="n">
        <v>45779.42746527777</v>
      </c>
      <c r="C1455" s="1" t="n">
        <v>46001</v>
      </c>
      <c r="D1455" t="inlineStr">
        <is>
          <t>VÄSTERNORRLANDS LÄN</t>
        </is>
      </c>
      <c r="E1455" t="inlineStr">
        <is>
          <t>ÅNGE</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21251-2025</t>
        </is>
      </c>
      <c r="B1456" s="1" t="n">
        <v>45779.57417824074</v>
      </c>
      <c r="C1456" s="1" t="n">
        <v>46001</v>
      </c>
      <c r="D1456" t="inlineStr">
        <is>
          <t>VÄSTERNORRLANDS LÄN</t>
        </is>
      </c>
      <c r="E1456" t="inlineStr">
        <is>
          <t>ÅNGE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21712-2025</t>
        </is>
      </c>
      <c r="B1457" s="1" t="n">
        <v>45783.53210648148</v>
      </c>
      <c r="C1457" s="1" t="n">
        <v>46001</v>
      </c>
      <c r="D1457" t="inlineStr">
        <is>
          <t>VÄSTERNORRLANDS LÄN</t>
        </is>
      </c>
      <c r="E1457" t="inlineStr">
        <is>
          <t>ÅNGE</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2539-2025</t>
        </is>
      </c>
      <c r="B1458" s="1" t="n">
        <v>45674.61581018518</v>
      </c>
      <c r="C1458" s="1" t="n">
        <v>46001</v>
      </c>
      <c r="D1458" t="inlineStr">
        <is>
          <t>VÄSTERNORRLANDS LÄN</t>
        </is>
      </c>
      <c r="E1458" t="inlineStr">
        <is>
          <t>ÅNGE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22187-2024</t>
        </is>
      </c>
      <c r="B1459" s="1" t="n">
        <v>45446.35222222222</v>
      </c>
      <c r="C1459" s="1" t="n">
        <v>46001</v>
      </c>
      <c r="D1459" t="inlineStr">
        <is>
          <t>VÄSTERNORRLANDS LÄN</t>
        </is>
      </c>
      <c r="E1459" t="inlineStr">
        <is>
          <t>ÅNGE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21883-2025</t>
        </is>
      </c>
      <c r="B1460" s="1" t="n">
        <v>45784.41361111111</v>
      </c>
      <c r="C1460" s="1" t="n">
        <v>46001</v>
      </c>
      <c r="D1460" t="inlineStr">
        <is>
          <t>VÄSTERNORRLANDS LÄN</t>
        </is>
      </c>
      <c r="E1460" t="inlineStr">
        <is>
          <t>ÅNGE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21597-2025</t>
        </is>
      </c>
      <c r="B1461" s="1" t="n">
        <v>45783.34493055556</v>
      </c>
      <c r="C1461" s="1" t="n">
        <v>46001</v>
      </c>
      <c r="D1461" t="inlineStr">
        <is>
          <t>VÄSTERNORRLANDS LÄN</t>
        </is>
      </c>
      <c r="E1461" t="inlineStr">
        <is>
          <t>ÅNGE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25867-2024</t>
        </is>
      </c>
      <c r="B1462" s="1" t="n">
        <v>45463</v>
      </c>
      <c r="C1462" s="1" t="n">
        <v>46001</v>
      </c>
      <c r="D1462" t="inlineStr">
        <is>
          <t>VÄSTERNORRLANDS LÄN</t>
        </is>
      </c>
      <c r="E1462" t="inlineStr">
        <is>
          <t>ÅNGE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17669-2023</t>
        </is>
      </c>
      <c r="B1463" s="1" t="n">
        <v>45036.94457175926</v>
      </c>
      <c r="C1463" s="1" t="n">
        <v>46001</v>
      </c>
      <c r="D1463" t="inlineStr">
        <is>
          <t>VÄSTERNORRLANDS LÄN</t>
        </is>
      </c>
      <c r="E1463" t="inlineStr">
        <is>
          <t>ÅNGE</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29395-2023</t>
        </is>
      </c>
      <c r="B1464" s="1" t="n">
        <v>45106.4359837963</v>
      </c>
      <c r="C1464" s="1" t="n">
        <v>46001</v>
      </c>
      <c r="D1464" t="inlineStr">
        <is>
          <t>VÄSTERNORRLANDS LÄN</t>
        </is>
      </c>
      <c r="E1464" t="inlineStr">
        <is>
          <t>ÅNGE</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21862-2025</t>
        </is>
      </c>
      <c r="B1465" s="1" t="n">
        <v>45784.36519675926</v>
      </c>
      <c r="C1465" s="1" t="n">
        <v>46001</v>
      </c>
      <c r="D1465" t="inlineStr">
        <is>
          <t>VÄSTERNORRLANDS LÄN</t>
        </is>
      </c>
      <c r="E1465" t="inlineStr">
        <is>
          <t>ÅNGE</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21982-2025</t>
        </is>
      </c>
      <c r="B1466" s="1" t="n">
        <v>45784.65660879629</v>
      </c>
      <c r="C1466" s="1" t="n">
        <v>46001</v>
      </c>
      <c r="D1466" t="inlineStr">
        <is>
          <t>VÄSTERNORRLANDS LÄN</t>
        </is>
      </c>
      <c r="E1466" t="inlineStr">
        <is>
          <t>ÅNGE</t>
        </is>
      </c>
      <c r="F1466" t="inlineStr">
        <is>
          <t>SCA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54295-2024</t>
        </is>
      </c>
      <c r="B1467" s="1" t="n">
        <v>45617</v>
      </c>
      <c r="C1467" s="1" t="n">
        <v>46001</v>
      </c>
      <c r="D1467" t="inlineStr">
        <is>
          <t>VÄSTERNORRLANDS LÄN</t>
        </is>
      </c>
      <c r="E1467" t="inlineStr">
        <is>
          <t>ÅNGE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21686-2025</t>
        </is>
      </c>
      <c r="B1468" s="1" t="n">
        <v>45783.490625</v>
      </c>
      <c r="C1468" s="1" t="n">
        <v>46001</v>
      </c>
      <c r="D1468" t="inlineStr">
        <is>
          <t>VÄSTERNORRLANDS LÄN</t>
        </is>
      </c>
      <c r="E1468" t="inlineStr">
        <is>
          <t>ÅNGE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21741-2025</t>
        </is>
      </c>
      <c r="B1469" s="1" t="n">
        <v>45783.59415509259</v>
      </c>
      <c r="C1469" s="1" t="n">
        <v>46001</v>
      </c>
      <c r="D1469" t="inlineStr">
        <is>
          <t>VÄSTERNORRLANDS LÄN</t>
        </is>
      </c>
      <c r="E1469" t="inlineStr">
        <is>
          <t>ÅNGE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39119-2024</t>
        </is>
      </c>
      <c r="B1470" s="1" t="n">
        <v>45548.58939814815</v>
      </c>
      <c r="C1470" s="1" t="n">
        <v>46001</v>
      </c>
      <c r="D1470" t="inlineStr">
        <is>
          <t>VÄSTERNORRLANDS LÄN</t>
        </is>
      </c>
      <c r="E1470" t="inlineStr">
        <is>
          <t>ÅNGE</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21685-2025</t>
        </is>
      </c>
      <c r="B1471" s="1" t="n">
        <v>45783.49050925926</v>
      </c>
      <c r="C1471" s="1" t="n">
        <v>46001</v>
      </c>
      <c r="D1471" t="inlineStr">
        <is>
          <t>VÄSTERNORRLANDS LÄN</t>
        </is>
      </c>
      <c r="E1471" t="inlineStr">
        <is>
          <t>ÅNGE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32257-2024</t>
        </is>
      </c>
      <c r="B1472" s="1" t="n">
        <v>45511</v>
      </c>
      <c r="C1472" s="1" t="n">
        <v>46001</v>
      </c>
      <c r="D1472" t="inlineStr">
        <is>
          <t>VÄSTERNORRLANDS LÄN</t>
        </is>
      </c>
      <c r="E1472" t="inlineStr">
        <is>
          <t>ÅNGE</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31492-2024</t>
        </is>
      </c>
      <c r="B1473" s="1" t="n">
        <v>45505</v>
      </c>
      <c r="C1473" s="1" t="n">
        <v>46001</v>
      </c>
      <c r="D1473" t="inlineStr">
        <is>
          <t>VÄSTERNORRLANDS LÄN</t>
        </is>
      </c>
      <c r="E1473" t="inlineStr">
        <is>
          <t>ÅNGE</t>
        </is>
      </c>
      <c r="F1473" t="inlineStr">
        <is>
          <t>SCA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38800-2024</t>
        </is>
      </c>
      <c r="B1474" s="1" t="n">
        <v>45547</v>
      </c>
      <c r="C1474" s="1" t="n">
        <v>46001</v>
      </c>
      <c r="D1474" t="inlineStr">
        <is>
          <t>VÄSTERNORRLANDS LÄN</t>
        </is>
      </c>
      <c r="E1474" t="inlineStr">
        <is>
          <t>ÅNGE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20880-2025</t>
        </is>
      </c>
      <c r="B1475" s="1" t="n">
        <v>45777</v>
      </c>
      <c r="C1475" s="1" t="n">
        <v>46001</v>
      </c>
      <c r="D1475" t="inlineStr">
        <is>
          <t>VÄSTERNORRLANDS LÄN</t>
        </is>
      </c>
      <c r="E1475" t="inlineStr">
        <is>
          <t>ÅNGE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22219-2025</t>
        </is>
      </c>
      <c r="B1476" s="1" t="n">
        <v>45785.65849537037</v>
      </c>
      <c r="C1476" s="1" t="n">
        <v>46001</v>
      </c>
      <c r="D1476" t="inlineStr">
        <is>
          <t>VÄSTERNORRLANDS LÄN</t>
        </is>
      </c>
      <c r="E1476" t="inlineStr">
        <is>
          <t>ÅNGE</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22206-2025</t>
        </is>
      </c>
      <c r="B1477" s="1" t="n">
        <v>45785.65699074074</v>
      </c>
      <c r="C1477" s="1" t="n">
        <v>46001</v>
      </c>
      <c r="D1477" t="inlineStr">
        <is>
          <t>VÄSTERNORRLANDS LÄN</t>
        </is>
      </c>
      <c r="E1477" t="inlineStr">
        <is>
          <t>ÅNGE</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26640-2024</t>
        </is>
      </c>
      <c r="B1478" s="1" t="n">
        <v>45469.92831018518</v>
      </c>
      <c r="C1478" s="1" t="n">
        <v>46001</v>
      </c>
      <c r="D1478" t="inlineStr">
        <is>
          <t>VÄSTERNORRLANDS LÄN</t>
        </is>
      </c>
      <c r="E1478" t="inlineStr">
        <is>
          <t>ÅNGE</t>
        </is>
      </c>
      <c r="G1478" t="n">
        <v>9.9</v>
      </c>
      <c r="H1478" t="n">
        <v>0</v>
      </c>
      <c r="I1478" t="n">
        <v>0</v>
      </c>
      <c r="J1478" t="n">
        <v>0</v>
      </c>
      <c r="K1478" t="n">
        <v>0</v>
      </c>
      <c r="L1478" t="n">
        <v>0</v>
      </c>
      <c r="M1478" t="n">
        <v>0</v>
      </c>
      <c r="N1478" t="n">
        <v>0</v>
      </c>
      <c r="O1478" t="n">
        <v>0</v>
      </c>
      <c r="P1478" t="n">
        <v>0</v>
      </c>
      <c r="Q1478" t="n">
        <v>0</v>
      </c>
      <c r="R1478" s="2" t="inlineStr"/>
    </row>
    <row r="1479">
      <c r="A1479" t="inlineStr">
        <is>
          <t>A 22489-2025</t>
        </is>
      </c>
      <c r="B1479" s="1" t="n">
        <v>45786.64946759259</v>
      </c>
      <c r="C1479" s="1" t="n">
        <v>46001</v>
      </c>
      <c r="D1479" t="inlineStr">
        <is>
          <t>VÄSTERNORRLANDS LÄN</t>
        </is>
      </c>
      <c r="E1479" t="inlineStr">
        <is>
          <t>ÅNGE</t>
        </is>
      </c>
      <c r="F1479" t="inlineStr">
        <is>
          <t>Sveaskog</t>
        </is>
      </c>
      <c r="G1479" t="n">
        <v>1.3</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2025-12-10T10:28:52Z</dcterms:created>
  <dcterms:modified xmlns:dcterms="http://purl.org/dc/terms/" xmlns:xsi="http://www.w3.org/2001/XMLSchema-instance" xsi:type="dcterms:W3CDTF">2025-12-10T10:28:53Z</dcterms:modified>
</cp:coreProperties>
</file>