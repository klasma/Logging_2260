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46079</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46079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46079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46079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46079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46079</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46079</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45833-2025</t>
        </is>
      </c>
      <c r="B22" s="1" t="n">
        <v>45923</v>
      </c>
      <c r="C22" s="1" t="n">
        <v>46079</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46079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38605-2024</t>
        </is>
      </c>
      <c r="B24" s="1" t="n">
        <v>45546.67789351852</v>
      </c>
      <c r="C24" s="1" t="n">
        <v>46079</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46079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46079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46079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46079</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46079</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46079</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46079</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46079</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48738-2024</t>
        </is>
      </c>
      <c r="B33" s="1" t="n">
        <v>45593</v>
      </c>
      <c r="C33" s="1" t="n">
        <v>46079</v>
      </c>
      <c r="D33" t="inlineStr">
        <is>
          <t>VÄSTERNORRLANDS LÄN</t>
        </is>
      </c>
      <c r="E33" t="inlineStr">
        <is>
          <t>ÅNGE</t>
        </is>
      </c>
      <c r="F33" t="inlineStr">
        <is>
          <t>SCA</t>
        </is>
      </c>
      <c r="G33" t="n">
        <v>19.8</v>
      </c>
      <c r="H33" t="n">
        <v>5</v>
      </c>
      <c r="I33" t="n">
        <v>5</v>
      </c>
      <c r="J33" t="n">
        <v>4</v>
      </c>
      <c r="K33" t="n">
        <v>0</v>
      </c>
      <c r="L33" t="n">
        <v>0</v>
      </c>
      <c r="M33" t="n">
        <v>0</v>
      </c>
      <c r="N33" t="n">
        <v>0</v>
      </c>
      <c r="O33" t="n">
        <v>4</v>
      </c>
      <c r="P33" t="n">
        <v>0</v>
      </c>
      <c r="Q33" t="n">
        <v>11</v>
      </c>
      <c r="R33" s="2" t="inlineStr">
        <is>
          <t>Gammelgransskål
Garnlav
Lunglav
Spillkråka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14887-2022</t>
        </is>
      </c>
      <c r="B34" s="1" t="n">
        <v>44656</v>
      </c>
      <c r="C34" s="1" t="n">
        <v>46079</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46079</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41874-2025</t>
        </is>
      </c>
      <c r="B36" s="1" t="n">
        <v>45903.3452662037</v>
      </c>
      <c r="C36" s="1" t="n">
        <v>46079</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46079</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6429-2022</t>
        </is>
      </c>
      <c r="B38" s="1" t="n">
        <v>44600</v>
      </c>
      <c r="C38" s="1" t="n">
        <v>46079</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25323-2023</t>
        </is>
      </c>
      <c r="B39" s="1" t="n">
        <v>45086</v>
      </c>
      <c r="C39" s="1" t="n">
        <v>46079</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30474-2025</t>
        </is>
      </c>
      <c r="B40" s="1" t="n">
        <v>45828.34430555555</v>
      </c>
      <c r="C40" s="1" t="n">
        <v>46079</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39496-2024</t>
        </is>
      </c>
      <c r="B41" s="1" t="n">
        <v>45551</v>
      </c>
      <c r="C41" s="1" t="n">
        <v>46079</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46079</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46079</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46079</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46079</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46079</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26314-2024</t>
        </is>
      </c>
      <c r="B47" s="1" t="n">
        <v>45468</v>
      </c>
      <c r="C47" s="1" t="n">
        <v>46079</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46079</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44607-2021</t>
        </is>
      </c>
      <c r="B49" s="1" t="n">
        <v>44435</v>
      </c>
      <c r="C49" s="1" t="n">
        <v>46079</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46079</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34786-2021</t>
        </is>
      </c>
      <c r="B51" s="1" t="n">
        <v>44382</v>
      </c>
      <c r="C51" s="1" t="n">
        <v>46079</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46079</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46079</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46079</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39065-2023</t>
        </is>
      </c>
      <c r="B55" s="1" t="n">
        <v>45163</v>
      </c>
      <c r="C55" s="1" t="n">
        <v>46079</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10086-2023</t>
        </is>
      </c>
      <c r="B56" s="1" t="n">
        <v>44985</v>
      </c>
      <c r="C56" s="1" t="n">
        <v>46079</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46079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46079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46079</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46079</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46079</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21682-2023</t>
        </is>
      </c>
      <c r="B63" s="1" t="n">
        <v>45063.94219907407</v>
      </c>
      <c r="C63" s="1" t="n">
        <v>46079</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26313-2024</t>
        </is>
      </c>
      <c r="B64" s="1" t="n">
        <v>45468</v>
      </c>
      <c r="C64" s="1" t="n">
        <v>46079</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46079</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46079</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46079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46079</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27955-2021</t>
        </is>
      </c>
      <c r="B69" s="1" t="n">
        <v>44354</v>
      </c>
      <c r="C69" s="1" t="n">
        <v>46079</v>
      </c>
      <c r="D69" t="inlineStr">
        <is>
          <t>VÄSTERNORRLANDS LÄN</t>
        </is>
      </c>
      <c r="E69" t="inlineStr">
        <is>
          <t>ÅNGE</t>
        </is>
      </c>
      <c r="G69" t="n">
        <v>12.3</v>
      </c>
      <c r="H69" t="n">
        <v>0</v>
      </c>
      <c r="I69" t="n">
        <v>2</v>
      </c>
      <c r="J69" t="n">
        <v>4</v>
      </c>
      <c r="K69" t="n">
        <v>0</v>
      </c>
      <c r="L69" t="n">
        <v>0</v>
      </c>
      <c r="M69" t="n">
        <v>0</v>
      </c>
      <c r="N69" t="n">
        <v>0</v>
      </c>
      <c r="O69" t="n">
        <v>4</v>
      </c>
      <c r="P69" t="n">
        <v>0</v>
      </c>
      <c r="Q69" t="n">
        <v>6</v>
      </c>
      <c r="R69" s="2" t="inlineStr">
        <is>
          <t>Garnlav
Kolflarnlav
Mörk kolflarnlav
Skrovlig taggsvamp
Dropptaggsvamp
Skarp dropptaggsvamp</t>
        </is>
      </c>
      <c r="S69">
        <f>HYPERLINK("https://klasma.github.io/Logging_2260/artfynd/A 27955-2021 artfynd.xlsx", "A 27955-2021")</f>
        <v/>
      </c>
      <c r="T69">
        <f>HYPERLINK("https://klasma.github.io/Logging_2260/kartor/A 27955-2021 karta.png", "A 27955-2021")</f>
        <v/>
      </c>
      <c r="V69">
        <f>HYPERLINK("https://klasma.github.io/Logging_2260/klagomål/A 27955-2021 FSC-klagomål.docx", "A 27955-2021")</f>
        <v/>
      </c>
      <c r="W69">
        <f>HYPERLINK("https://klasma.github.io/Logging_2260/klagomålsmail/A 27955-2021 FSC-klagomål mail.docx", "A 27955-2021")</f>
        <v/>
      </c>
      <c r="X69">
        <f>HYPERLINK("https://klasma.github.io/Logging_2260/tillsyn/A 27955-2021 tillsynsbegäran.docx", "A 27955-2021")</f>
        <v/>
      </c>
      <c r="Y69">
        <f>HYPERLINK("https://klasma.github.io/Logging_2260/tillsynsmail/A 27955-2021 tillsynsbegäran mail.docx", "A 27955-2021")</f>
        <v/>
      </c>
    </row>
    <row r="70" ht="15" customHeight="1">
      <c r="A70" t="inlineStr">
        <is>
          <t>A 34694-2023</t>
        </is>
      </c>
      <c r="B70" s="1" t="n">
        <v>45140.96324074074</v>
      </c>
      <c r="C70" s="1" t="n">
        <v>46079</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46079</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46079</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39570-2025</t>
        </is>
      </c>
      <c r="B73" s="1" t="n">
        <v>45890.49009259259</v>
      </c>
      <c r="C73" s="1" t="n">
        <v>46079</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45402-2025</t>
        </is>
      </c>
      <c r="B74" s="1" t="n">
        <v>45922.4278587963</v>
      </c>
      <c r="C74" s="1" t="n">
        <v>46079</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46079</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46079</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52601-2025</t>
        </is>
      </c>
      <c r="B77" s="1" t="n">
        <v>45954</v>
      </c>
      <c r="C77" s="1" t="n">
        <v>46079</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46079</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55176-2024</t>
        </is>
      </c>
      <c r="B79" s="1" t="n">
        <v>45621</v>
      </c>
      <c r="C79" s="1" t="n">
        <v>46079</v>
      </c>
      <c r="D79" t="inlineStr">
        <is>
          <t>VÄSTERNORRLANDS LÄN</t>
        </is>
      </c>
      <c r="E79" t="inlineStr">
        <is>
          <t>ÅNGE</t>
        </is>
      </c>
      <c r="F79" t="inlineStr">
        <is>
          <t>SCA</t>
        </is>
      </c>
      <c r="G79" t="n">
        <v>7.3</v>
      </c>
      <c r="H79" t="n">
        <v>0</v>
      </c>
      <c r="I79" t="n">
        <v>2</v>
      </c>
      <c r="J79" t="n">
        <v>3</v>
      </c>
      <c r="K79" t="n">
        <v>1</v>
      </c>
      <c r="L79" t="n">
        <v>0</v>
      </c>
      <c r="M79" t="n">
        <v>0</v>
      </c>
      <c r="N79" t="n">
        <v>0</v>
      </c>
      <c r="O79" t="n">
        <v>4</v>
      </c>
      <c r="P79" t="n">
        <v>1</v>
      </c>
      <c r="Q79" t="n">
        <v>6</v>
      </c>
      <c r="R79" s="2" t="inlineStr">
        <is>
          <t>Läderlappslav
Lunglav
Mörk kolflarnlav
Stiftgelélav
Bårdlav
Skinnlav</t>
        </is>
      </c>
      <c r="S79">
        <f>HYPERLINK("https://klasma.github.io/Logging_2260/artfynd/A 55176-2024 artfynd.xlsx", "A 55176-2024")</f>
        <v/>
      </c>
      <c r="T79">
        <f>HYPERLINK("https://klasma.github.io/Logging_2260/kartor/A 55176-2024 karta.png", "A 55176-2024")</f>
        <v/>
      </c>
      <c r="V79">
        <f>HYPERLINK("https://klasma.github.io/Logging_2260/klagomål/A 55176-2024 FSC-klagomål.docx", "A 55176-2024")</f>
        <v/>
      </c>
      <c r="W79">
        <f>HYPERLINK("https://klasma.github.io/Logging_2260/klagomålsmail/A 55176-2024 FSC-klagomål mail.docx", "A 55176-2024")</f>
        <v/>
      </c>
      <c r="X79">
        <f>HYPERLINK("https://klasma.github.io/Logging_2260/tillsyn/A 55176-2024 tillsynsbegäran.docx", "A 55176-2024")</f>
        <v/>
      </c>
      <c r="Y79">
        <f>HYPERLINK("https://klasma.github.io/Logging_2260/tillsynsmail/A 55176-2024 tillsynsbegäran mail.docx", "A 55176-2024")</f>
        <v/>
      </c>
    </row>
    <row r="80" ht="15" customHeight="1">
      <c r="A80" t="inlineStr">
        <is>
          <t>A 19010-2025</t>
        </is>
      </c>
      <c r="B80" s="1" t="n">
        <v>45764</v>
      </c>
      <c r="C80" s="1" t="n">
        <v>46079</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46079</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46079</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32911-2024</t>
        </is>
      </c>
      <c r="B83" s="1" t="n">
        <v>45516</v>
      </c>
      <c r="C83" s="1" t="n">
        <v>46079</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27914-2024</t>
        </is>
      </c>
      <c r="B84" s="1" t="n">
        <v>45475</v>
      </c>
      <c r="C84" s="1" t="n">
        <v>46079</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46079</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13696-2023</t>
        </is>
      </c>
      <c r="B86" s="1" t="n">
        <v>45006</v>
      </c>
      <c r="C86" s="1" t="n">
        <v>46079</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38327-2025</t>
        </is>
      </c>
      <c r="B87" s="1" t="n">
        <v>45883.49084490741</v>
      </c>
      <c r="C87" s="1" t="n">
        <v>46079</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38322-2025</t>
        </is>
      </c>
      <c r="B88" s="1" t="n">
        <v>45883.49003472222</v>
      </c>
      <c r="C88" s="1" t="n">
        <v>46079</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2451-2024</t>
        </is>
      </c>
      <c r="B89" s="1" t="n">
        <v>45312.58627314815</v>
      </c>
      <c r="C89" s="1" t="n">
        <v>46079</v>
      </c>
      <c r="D89" t="inlineStr">
        <is>
          <t>VÄSTERNORRLANDS LÄN</t>
        </is>
      </c>
      <c r="E89" t="inlineStr">
        <is>
          <t>ÅNGE</t>
        </is>
      </c>
      <c r="G89" t="n">
        <v>3.5</v>
      </c>
      <c r="H89" t="n">
        <v>0</v>
      </c>
      <c r="I89" t="n">
        <v>1</v>
      </c>
      <c r="J89" t="n">
        <v>4</v>
      </c>
      <c r="K89" t="n">
        <v>0</v>
      </c>
      <c r="L89" t="n">
        <v>0</v>
      </c>
      <c r="M89" t="n">
        <v>0</v>
      </c>
      <c r="N89" t="n">
        <v>0</v>
      </c>
      <c r="O89" t="n">
        <v>4</v>
      </c>
      <c r="P89" t="n">
        <v>0</v>
      </c>
      <c r="Q89" t="n">
        <v>5</v>
      </c>
      <c r="R89" s="2" t="inlineStr">
        <is>
          <t>Garnlav
Mörk kolflarnlav
Rosenticka
Ullticka
Dropptaggsvamp</t>
        </is>
      </c>
      <c r="S89">
        <f>HYPERLINK("https://klasma.github.io/Logging_2260/artfynd/A 2451-2024 artfynd.xlsx", "A 2451-2024")</f>
        <v/>
      </c>
      <c r="T89">
        <f>HYPERLINK("https://klasma.github.io/Logging_2260/kartor/A 2451-2024 karta.png", "A 2451-2024")</f>
        <v/>
      </c>
      <c r="V89">
        <f>HYPERLINK("https://klasma.github.io/Logging_2260/klagomål/A 2451-2024 FSC-klagomål.docx", "A 2451-2024")</f>
        <v/>
      </c>
      <c r="W89">
        <f>HYPERLINK("https://klasma.github.io/Logging_2260/klagomålsmail/A 2451-2024 FSC-klagomål mail.docx", "A 2451-2024")</f>
        <v/>
      </c>
      <c r="X89">
        <f>HYPERLINK("https://klasma.github.io/Logging_2260/tillsyn/A 2451-2024 tillsynsbegäran.docx", "A 2451-2024")</f>
        <v/>
      </c>
      <c r="Y89">
        <f>HYPERLINK("https://klasma.github.io/Logging_2260/tillsynsmail/A 2451-2024 tillsynsbegäran mail.docx", "A 2451-2024")</f>
        <v/>
      </c>
    </row>
    <row r="90" ht="15" customHeight="1">
      <c r="A90" t="inlineStr">
        <is>
          <t>A 42090-2024</t>
        </is>
      </c>
      <c r="B90" s="1" t="n">
        <v>45562</v>
      </c>
      <c r="C90" s="1" t="n">
        <v>46079</v>
      </c>
      <c r="D90" t="inlineStr">
        <is>
          <t>VÄSTERNORRLANDS LÄN</t>
        </is>
      </c>
      <c r="E90" t="inlineStr">
        <is>
          <t>ÅNGE</t>
        </is>
      </c>
      <c r="F90" t="inlineStr">
        <is>
          <t>SCA</t>
        </is>
      </c>
      <c r="G90" t="n">
        <v>20.2</v>
      </c>
      <c r="H90" t="n">
        <v>0</v>
      </c>
      <c r="I90" t="n">
        <v>1</v>
      </c>
      <c r="J90" t="n">
        <v>4</v>
      </c>
      <c r="K90" t="n">
        <v>0</v>
      </c>
      <c r="L90" t="n">
        <v>0</v>
      </c>
      <c r="M90" t="n">
        <v>0</v>
      </c>
      <c r="N90" t="n">
        <v>0</v>
      </c>
      <c r="O90" t="n">
        <v>4</v>
      </c>
      <c r="P90" t="n">
        <v>0</v>
      </c>
      <c r="Q90" t="n">
        <v>5</v>
      </c>
      <c r="R90" s="2" t="inlineStr">
        <is>
          <t>Garnlav
Granticka
Rosenticka
Ullticka
Vedticka</t>
        </is>
      </c>
      <c r="S90">
        <f>HYPERLINK("https://klasma.github.io/Logging_2260/artfynd/A 42090-2024 artfynd.xlsx", "A 42090-2024")</f>
        <v/>
      </c>
      <c r="T90">
        <f>HYPERLINK("https://klasma.github.io/Logging_2260/kartor/A 42090-2024 karta.png", "A 42090-2024")</f>
        <v/>
      </c>
      <c r="V90">
        <f>HYPERLINK("https://klasma.github.io/Logging_2260/klagomål/A 42090-2024 FSC-klagomål.docx", "A 42090-2024")</f>
        <v/>
      </c>
      <c r="W90">
        <f>HYPERLINK("https://klasma.github.io/Logging_2260/klagomålsmail/A 42090-2024 FSC-klagomål mail.docx", "A 42090-2024")</f>
        <v/>
      </c>
      <c r="X90">
        <f>HYPERLINK("https://klasma.github.io/Logging_2260/tillsyn/A 42090-2024 tillsynsbegäran.docx", "A 42090-2024")</f>
        <v/>
      </c>
      <c r="Y90">
        <f>HYPERLINK("https://klasma.github.io/Logging_2260/tillsynsmail/A 42090-2024 tillsynsbegäran mail.docx", "A 42090-2024")</f>
        <v/>
      </c>
    </row>
    <row r="91" ht="15" customHeight="1">
      <c r="A91" t="inlineStr">
        <is>
          <t>A 23601-2025</t>
        </is>
      </c>
      <c r="B91" s="1" t="n">
        <v>45792</v>
      </c>
      <c r="C91" s="1" t="n">
        <v>46079</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46079</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46079</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46079</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46079</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55004-2023</t>
        </is>
      </c>
      <c r="B96" s="1" t="n">
        <v>45236</v>
      </c>
      <c r="C96" s="1" t="n">
        <v>46079</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52392-2025</t>
        </is>
      </c>
      <c r="B97" s="1" t="n">
        <v>45954.34424768519</v>
      </c>
      <c r="C97" s="1" t="n">
        <v>46079</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59971-2025</t>
        </is>
      </c>
      <c r="B98" s="1" t="n">
        <v>45993.49002314815</v>
      </c>
      <c r="C98" s="1" t="n">
        <v>46079</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59971-2025 artfynd.xlsx", "A 59971-2025")</f>
        <v/>
      </c>
      <c r="T98">
        <f>HYPERLINK("https://klasma.github.io/Logging_2260/kartor/A 59971-2025 karta.png", "A 59971-2025")</f>
        <v/>
      </c>
      <c r="V98">
        <f>HYPERLINK("https://klasma.github.io/Logging_2260/klagomål/A 59971-2025 FSC-klagomål.docx", "A 59971-2025")</f>
        <v/>
      </c>
      <c r="W98">
        <f>HYPERLINK("https://klasma.github.io/Logging_2260/klagomålsmail/A 59971-2025 FSC-klagomål mail.docx", "A 59971-2025")</f>
        <v/>
      </c>
      <c r="X98">
        <f>HYPERLINK("https://klasma.github.io/Logging_2260/tillsyn/A 59971-2025 tillsynsbegäran.docx", "A 59971-2025")</f>
        <v/>
      </c>
      <c r="Y98">
        <f>HYPERLINK("https://klasma.github.io/Logging_2260/tillsynsmail/A 59971-2025 tillsynsbegäran mail.docx", "A 59971-2025")</f>
        <v/>
      </c>
      <c r="Z98">
        <f>HYPERLINK("https://klasma.github.io/Logging_2260/fåglar/A 59971-2025 prioriterade fågelarter.docx", "A 59971-2025")</f>
        <v/>
      </c>
    </row>
    <row r="99" ht="15" customHeight="1">
      <c r="A99" t="inlineStr">
        <is>
          <t>A 46548-2023</t>
        </is>
      </c>
      <c r="B99" s="1" t="n">
        <v>45197</v>
      </c>
      <c r="C99" s="1" t="n">
        <v>46079</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44558-2024</t>
        </is>
      </c>
      <c r="B100" s="1" t="n">
        <v>45574.47001157407</v>
      </c>
      <c r="C100" s="1" t="n">
        <v>46079</v>
      </c>
      <c r="D100" t="inlineStr">
        <is>
          <t>VÄSTERNORRLANDS LÄN</t>
        </is>
      </c>
      <c r="E100" t="inlineStr">
        <is>
          <t>ÅNGE</t>
        </is>
      </c>
      <c r="F100" t="inlineStr">
        <is>
          <t>SCA</t>
        </is>
      </c>
      <c r="G100" t="n">
        <v>6.1</v>
      </c>
      <c r="H100" t="n">
        <v>0</v>
      </c>
      <c r="I100" t="n">
        <v>0</v>
      </c>
      <c r="J100" t="n">
        <v>3</v>
      </c>
      <c r="K100" t="n">
        <v>1</v>
      </c>
      <c r="L100" t="n">
        <v>0</v>
      </c>
      <c r="M100" t="n">
        <v>0</v>
      </c>
      <c r="N100" t="n">
        <v>0</v>
      </c>
      <c r="O100" t="n">
        <v>4</v>
      </c>
      <c r="P100" t="n">
        <v>1</v>
      </c>
      <c r="Q100" t="n">
        <v>4</v>
      </c>
      <c r="R100" s="2" t="inlineStr">
        <is>
          <t>Gräddporing
Kortskaftad ärgspik
Reliktbock
Ullticka</t>
        </is>
      </c>
      <c r="S100">
        <f>HYPERLINK("https://klasma.github.io/Logging_2260/artfynd/A 44558-2024 artfynd.xlsx", "A 44558-2024")</f>
        <v/>
      </c>
      <c r="T100">
        <f>HYPERLINK("https://klasma.github.io/Logging_2260/kartor/A 44558-2024 karta.png", "A 44558-2024")</f>
        <v/>
      </c>
      <c r="V100">
        <f>HYPERLINK("https://klasma.github.io/Logging_2260/klagomål/A 44558-2024 FSC-klagomål.docx", "A 44558-2024")</f>
        <v/>
      </c>
      <c r="W100">
        <f>HYPERLINK("https://klasma.github.io/Logging_2260/klagomålsmail/A 44558-2024 FSC-klagomål mail.docx", "A 44558-2024")</f>
        <v/>
      </c>
      <c r="X100">
        <f>HYPERLINK("https://klasma.github.io/Logging_2260/tillsyn/A 44558-2024 tillsynsbegäran.docx", "A 44558-2024")</f>
        <v/>
      </c>
      <c r="Y100">
        <f>HYPERLINK("https://klasma.github.io/Logging_2260/tillsynsmail/A 44558-2024 tillsynsbegäran mail.docx", "A 44558-2024")</f>
        <v/>
      </c>
    </row>
    <row r="101" ht="15" customHeight="1">
      <c r="A101" t="inlineStr">
        <is>
          <t>A 11029-2025</t>
        </is>
      </c>
      <c r="B101" s="1" t="n">
        <v>45723</v>
      </c>
      <c r="C101" s="1" t="n">
        <v>46079</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55179-2024</t>
        </is>
      </c>
      <c r="B102" s="1" t="n">
        <v>45621.53204861111</v>
      </c>
      <c r="C102" s="1" t="n">
        <v>46079</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38326-2024</t>
        </is>
      </c>
      <c r="B103" s="1" t="n">
        <v>45545.67741898148</v>
      </c>
      <c r="C103" s="1" t="n">
        <v>46079</v>
      </c>
      <c r="D103" t="inlineStr">
        <is>
          <t>VÄSTERNORRLANDS LÄN</t>
        </is>
      </c>
      <c r="E103" t="inlineStr">
        <is>
          <t>ÅNGE</t>
        </is>
      </c>
      <c r="F103" t="inlineStr">
        <is>
          <t>SCA</t>
        </is>
      </c>
      <c r="G103" t="n">
        <v>15</v>
      </c>
      <c r="H103" t="n">
        <v>0</v>
      </c>
      <c r="I103" t="n">
        <v>1</v>
      </c>
      <c r="J103" t="n">
        <v>3</v>
      </c>
      <c r="K103" t="n">
        <v>0</v>
      </c>
      <c r="L103" t="n">
        <v>0</v>
      </c>
      <c r="M103" t="n">
        <v>0</v>
      </c>
      <c r="N103" t="n">
        <v>0</v>
      </c>
      <c r="O103" t="n">
        <v>3</v>
      </c>
      <c r="P103" t="n">
        <v>0</v>
      </c>
      <c r="Q103" t="n">
        <v>4</v>
      </c>
      <c r="R103" s="2" t="inlineStr">
        <is>
          <t>Gammelgransskål
Garnlav
Lunglav
Stuplav</t>
        </is>
      </c>
      <c r="S103">
        <f>HYPERLINK("https://klasma.github.io/Logging_2260/artfynd/A 38326-2024 artfynd.xlsx", "A 38326-2024")</f>
        <v/>
      </c>
      <c r="T103">
        <f>HYPERLINK("https://klasma.github.io/Logging_2260/kartor/A 38326-2024 karta.png", "A 38326-2024")</f>
        <v/>
      </c>
      <c r="V103">
        <f>HYPERLINK("https://klasma.github.io/Logging_2260/klagomål/A 38326-2024 FSC-klagomål.docx", "A 38326-2024")</f>
        <v/>
      </c>
      <c r="W103">
        <f>HYPERLINK("https://klasma.github.io/Logging_2260/klagomålsmail/A 38326-2024 FSC-klagomål mail.docx", "A 38326-2024")</f>
        <v/>
      </c>
      <c r="X103">
        <f>HYPERLINK("https://klasma.github.io/Logging_2260/tillsyn/A 38326-2024 tillsynsbegäran.docx", "A 38326-2024")</f>
        <v/>
      </c>
      <c r="Y103">
        <f>HYPERLINK("https://klasma.github.io/Logging_2260/tillsynsmail/A 38326-2024 tillsynsbegäran mail.docx", "A 38326-2024")</f>
        <v/>
      </c>
    </row>
    <row r="104" ht="15" customHeight="1">
      <c r="A104" t="inlineStr">
        <is>
          <t>A 39176-2024</t>
        </is>
      </c>
      <c r="B104" s="1" t="n">
        <v>45548</v>
      </c>
      <c r="C104" s="1" t="n">
        <v>46079</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57299-2022</t>
        </is>
      </c>
      <c r="B105" s="1" t="n">
        <v>44895.95090277777</v>
      </c>
      <c r="C105" s="1" t="n">
        <v>46079</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723-2025</t>
        </is>
      </c>
      <c r="B106" s="1" t="n">
        <v>45665.38576388889</v>
      </c>
      <c r="C106" s="1" t="n">
        <v>46079</v>
      </c>
      <c r="D106" t="inlineStr">
        <is>
          <t>VÄSTERNORRLANDS LÄN</t>
        </is>
      </c>
      <c r="E106" t="inlineStr">
        <is>
          <t>ÅNGE</t>
        </is>
      </c>
      <c r="G106" t="n">
        <v>4.1</v>
      </c>
      <c r="H106" t="n">
        <v>2</v>
      </c>
      <c r="I106" t="n">
        <v>1</v>
      </c>
      <c r="J106" t="n">
        <v>1</v>
      </c>
      <c r="K106" t="n">
        <v>0</v>
      </c>
      <c r="L106" t="n">
        <v>0</v>
      </c>
      <c r="M106" t="n">
        <v>0</v>
      </c>
      <c r="N106" t="n">
        <v>0</v>
      </c>
      <c r="O106" t="n">
        <v>1</v>
      </c>
      <c r="P106" t="n">
        <v>0</v>
      </c>
      <c r="Q106" t="n">
        <v>4</v>
      </c>
      <c r="R106" s="2" t="inlineStr">
        <is>
          <t>Lunglav
Stuplav
Fläcknycklar
Revlummer</t>
        </is>
      </c>
      <c r="S106">
        <f>HYPERLINK("https://klasma.github.io/Logging_2260/artfynd/A 723-2025 artfynd.xlsx", "A 723-2025")</f>
        <v/>
      </c>
      <c r="T106">
        <f>HYPERLINK("https://klasma.github.io/Logging_2260/kartor/A 723-2025 karta.png", "A 723-2025")</f>
        <v/>
      </c>
      <c r="V106">
        <f>HYPERLINK("https://klasma.github.io/Logging_2260/klagomål/A 723-2025 FSC-klagomål.docx", "A 723-2025")</f>
        <v/>
      </c>
      <c r="W106">
        <f>HYPERLINK("https://klasma.github.io/Logging_2260/klagomålsmail/A 723-2025 FSC-klagomål mail.docx", "A 723-2025")</f>
        <v/>
      </c>
      <c r="X106">
        <f>HYPERLINK("https://klasma.github.io/Logging_2260/tillsyn/A 723-2025 tillsynsbegäran.docx", "A 723-2025")</f>
        <v/>
      </c>
      <c r="Y106">
        <f>HYPERLINK("https://klasma.github.io/Logging_2260/tillsynsmail/A 723-2025 tillsynsbegäran mail.docx", "A 723-2025")</f>
        <v/>
      </c>
    </row>
    <row r="107" ht="15" customHeight="1">
      <c r="A107" t="inlineStr">
        <is>
          <t>A 26953-2024</t>
        </is>
      </c>
      <c r="B107" s="1" t="n">
        <v>45470</v>
      </c>
      <c r="C107" s="1" t="n">
        <v>46079</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38713-2025</t>
        </is>
      </c>
      <c r="B108" s="1" t="n">
        <v>45886.34479166667</v>
      </c>
      <c r="C108" s="1" t="n">
        <v>46079</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24796-2024</t>
        </is>
      </c>
      <c r="B109" s="1" t="n">
        <v>45460</v>
      </c>
      <c r="C109" s="1" t="n">
        <v>46079</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46079</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61007-2025</t>
        </is>
      </c>
      <c r="B111" s="1" t="n">
        <v>45998</v>
      </c>
      <c r="C111" s="1" t="n">
        <v>46079</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61487-2025</t>
        </is>
      </c>
      <c r="B112" s="1" t="n">
        <v>46001.63628472222</v>
      </c>
      <c r="C112" s="1" t="n">
        <v>46079</v>
      </c>
      <c r="D112" t="inlineStr">
        <is>
          <t>VÄSTERNORRLANDS LÄN</t>
        </is>
      </c>
      <c r="E112" t="inlineStr">
        <is>
          <t>ÅNGE</t>
        </is>
      </c>
      <c r="F112" t="inlineStr">
        <is>
          <t>SCA</t>
        </is>
      </c>
      <c r="G112" t="n">
        <v>5.4</v>
      </c>
      <c r="H112" t="n">
        <v>1</v>
      </c>
      <c r="I112" t="n">
        <v>0</v>
      </c>
      <c r="J112" t="n">
        <v>3</v>
      </c>
      <c r="K112" t="n">
        <v>1</v>
      </c>
      <c r="L112" t="n">
        <v>0</v>
      </c>
      <c r="M112" t="n">
        <v>0</v>
      </c>
      <c r="N112" t="n">
        <v>0</v>
      </c>
      <c r="O112" t="n">
        <v>4</v>
      </c>
      <c r="P112" t="n">
        <v>1</v>
      </c>
      <c r="Q112" t="n">
        <v>4</v>
      </c>
      <c r="R112" s="2" t="inlineStr">
        <is>
          <t>Rynkskinn
Garnlav
Tretåig hackspett
Vedtrappmossa</t>
        </is>
      </c>
      <c r="S112">
        <f>HYPERLINK("https://klasma.github.io/Logging_2260/artfynd/A 61487-2025 artfynd.xlsx", "A 61487-2025")</f>
        <v/>
      </c>
      <c r="T112">
        <f>HYPERLINK("https://klasma.github.io/Logging_2260/kartor/A 61487-2025 karta.png", "A 61487-2025")</f>
        <v/>
      </c>
      <c r="V112">
        <f>HYPERLINK("https://klasma.github.io/Logging_2260/klagomål/A 61487-2025 FSC-klagomål.docx", "A 61487-2025")</f>
        <v/>
      </c>
      <c r="W112">
        <f>HYPERLINK("https://klasma.github.io/Logging_2260/klagomålsmail/A 61487-2025 FSC-klagomål mail.docx", "A 61487-2025")</f>
        <v/>
      </c>
      <c r="X112">
        <f>HYPERLINK("https://klasma.github.io/Logging_2260/tillsyn/A 61487-2025 tillsynsbegäran.docx", "A 61487-2025")</f>
        <v/>
      </c>
      <c r="Y112">
        <f>HYPERLINK("https://klasma.github.io/Logging_2260/tillsynsmail/A 61487-2025 tillsynsbegäran mail.docx", "A 61487-2025")</f>
        <v/>
      </c>
      <c r="Z112">
        <f>HYPERLINK("https://klasma.github.io/Logging_2260/fåglar/A 61487-2025 prioriterade fågelarter.docx", "A 61487-2025")</f>
        <v/>
      </c>
    </row>
    <row r="113" ht="15" customHeight="1">
      <c r="A113" t="inlineStr">
        <is>
          <t>A 27956-2021</t>
        </is>
      </c>
      <c r="B113" s="1" t="n">
        <v>44354</v>
      </c>
      <c r="C113" s="1" t="n">
        <v>46079</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46079</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47617-2024</t>
        </is>
      </c>
      <c r="B115" s="1" t="n">
        <v>45588.32125</v>
      </c>
      <c r="C115" s="1" t="n">
        <v>46079</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39181-2024</t>
        </is>
      </c>
      <c r="B116" s="1" t="n">
        <v>45548</v>
      </c>
      <c r="C116" s="1" t="n">
        <v>46079</v>
      </c>
      <c r="D116" t="inlineStr">
        <is>
          <t>VÄSTERNORRLANDS LÄN</t>
        </is>
      </c>
      <c r="E116" t="inlineStr">
        <is>
          <t>ÅNGE</t>
        </is>
      </c>
      <c r="F116" t="inlineStr">
        <is>
          <t>SCA</t>
        </is>
      </c>
      <c r="G116" t="n">
        <v>21.1</v>
      </c>
      <c r="H116" t="n">
        <v>1</v>
      </c>
      <c r="I116" t="n">
        <v>1</v>
      </c>
      <c r="J116" t="n">
        <v>1</v>
      </c>
      <c r="K116" t="n">
        <v>1</v>
      </c>
      <c r="L116" t="n">
        <v>0</v>
      </c>
      <c r="M116" t="n">
        <v>0</v>
      </c>
      <c r="N116" t="n">
        <v>0</v>
      </c>
      <c r="O116" t="n">
        <v>2</v>
      </c>
      <c r="P116" t="n">
        <v>1</v>
      </c>
      <c r="Q116" t="n">
        <v>3</v>
      </c>
      <c r="R116" s="2" t="inlineStr">
        <is>
          <t>Knärot
Granticka
Kransrams</t>
        </is>
      </c>
      <c r="S116">
        <f>HYPERLINK("https://klasma.github.io/Logging_2260/artfynd/A 39181-2024 artfynd.xlsx", "A 39181-2024")</f>
        <v/>
      </c>
      <c r="T116">
        <f>HYPERLINK("https://klasma.github.io/Logging_2260/kartor/A 39181-2024 karta.png", "A 39181-2024")</f>
        <v/>
      </c>
      <c r="U116">
        <f>HYPERLINK("https://klasma.github.io/Logging_2260/knärot/A 39181-2024 karta knärot.png", "A 39181-2024")</f>
        <v/>
      </c>
      <c r="V116">
        <f>HYPERLINK("https://klasma.github.io/Logging_2260/klagomål/A 39181-2024 FSC-klagomål.docx", "A 39181-2024")</f>
        <v/>
      </c>
      <c r="W116">
        <f>HYPERLINK("https://klasma.github.io/Logging_2260/klagomålsmail/A 39181-2024 FSC-klagomål mail.docx", "A 39181-2024")</f>
        <v/>
      </c>
      <c r="X116">
        <f>HYPERLINK("https://klasma.github.io/Logging_2260/tillsyn/A 39181-2024 tillsynsbegäran.docx", "A 39181-2024")</f>
        <v/>
      </c>
      <c r="Y116">
        <f>HYPERLINK("https://klasma.github.io/Logging_2260/tillsynsmail/A 39181-2024 tillsynsbegäran mail.docx", "A 39181-2024")</f>
        <v/>
      </c>
    </row>
    <row r="117" ht="15" customHeight="1">
      <c r="A117" t="inlineStr">
        <is>
          <t>A 29665-2024</t>
        </is>
      </c>
      <c r="B117" s="1" t="n">
        <v>45484</v>
      </c>
      <c r="C117" s="1" t="n">
        <v>46079</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29691-2024</t>
        </is>
      </c>
      <c r="B118" s="1" t="n">
        <v>45484.9446875</v>
      </c>
      <c r="C118" s="1" t="n">
        <v>46079</v>
      </c>
      <c r="D118" t="inlineStr">
        <is>
          <t>VÄSTERNORRLANDS LÄN</t>
        </is>
      </c>
      <c r="E118" t="inlineStr">
        <is>
          <t>ÅNGE</t>
        </is>
      </c>
      <c r="F118" t="inlineStr">
        <is>
          <t>SCA</t>
        </is>
      </c>
      <c r="G118" t="n">
        <v>6.8</v>
      </c>
      <c r="H118" t="n">
        <v>0</v>
      </c>
      <c r="I118" t="n">
        <v>1</v>
      </c>
      <c r="J118" t="n">
        <v>2</v>
      </c>
      <c r="K118" t="n">
        <v>0</v>
      </c>
      <c r="L118" t="n">
        <v>0</v>
      </c>
      <c r="M118" t="n">
        <v>0</v>
      </c>
      <c r="N118" t="n">
        <v>0</v>
      </c>
      <c r="O118" t="n">
        <v>2</v>
      </c>
      <c r="P118" t="n">
        <v>0</v>
      </c>
      <c r="Q118" t="n">
        <v>3</v>
      </c>
      <c r="R118" s="2" t="inlineStr">
        <is>
          <t>Lunglav
Rosenticka
Vedticka</t>
        </is>
      </c>
      <c r="S118">
        <f>HYPERLINK("https://klasma.github.io/Logging_2260/artfynd/A 29691-2024 artfynd.xlsx", "A 29691-2024")</f>
        <v/>
      </c>
      <c r="T118">
        <f>HYPERLINK("https://klasma.github.io/Logging_2260/kartor/A 29691-2024 karta.png", "A 29691-2024")</f>
        <v/>
      </c>
      <c r="V118">
        <f>HYPERLINK("https://klasma.github.io/Logging_2260/klagomål/A 29691-2024 FSC-klagomål.docx", "A 29691-2024")</f>
        <v/>
      </c>
      <c r="W118">
        <f>HYPERLINK("https://klasma.github.io/Logging_2260/klagomålsmail/A 29691-2024 FSC-klagomål mail.docx", "A 29691-2024")</f>
        <v/>
      </c>
      <c r="X118">
        <f>HYPERLINK("https://klasma.github.io/Logging_2260/tillsyn/A 29691-2024 tillsynsbegäran.docx", "A 29691-2024")</f>
        <v/>
      </c>
      <c r="Y118">
        <f>HYPERLINK("https://klasma.github.io/Logging_2260/tillsynsmail/A 29691-2024 tillsynsbegäran mail.docx", "A 29691-2024")</f>
        <v/>
      </c>
    </row>
    <row r="119" ht="15" customHeight="1">
      <c r="A119" t="inlineStr">
        <is>
          <t>A 28274-2023</t>
        </is>
      </c>
      <c r="B119" s="1" t="n">
        <v>45099</v>
      </c>
      <c r="C119" s="1" t="n">
        <v>46079</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39179-2024</t>
        </is>
      </c>
      <c r="B120" s="1" t="n">
        <v>45548.65703703704</v>
      </c>
      <c r="C120" s="1" t="n">
        <v>46079</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46079</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24795-2024</t>
        </is>
      </c>
      <c r="B122" s="1" t="n">
        <v>45460.95252314815</v>
      </c>
      <c r="C122" s="1" t="n">
        <v>46079</v>
      </c>
      <c r="D122" t="inlineStr">
        <is>
          <t>VÄSTERNORRLANDS LÄN</t>
        </is>
      </c>
      <c r="E122" t="inlineStr">
        <is>
          <t>ÅNGE</t>
        </is>
      </c>
      <c r="F122" t="inlineStr">
        <is>
          <t>SCA</t>
        </is>
      </c>
      <c r="G122" t="n">
        <v>2.2</v>
      </c>
      <c r="H122" t="n">
        <v>1</v>
      </c>
      <c r="I122" t="n">
        <v>2</v>
      </c>
      <c r="J122" t="n">
        <v>1</v>
      </c>
      <c r="K122" t="n">
        <v>0</v>
      </c>
      <c r="L122" t="n">
        <v>0</v>
      </c>
      <c r="M122" t="n">
        <v>0</v>
      </c>
      <c r="N122" t="n">
        <v>0</v>
      </c>
      <c r="O122" t="n">
        <v>1</v>
      </c>
      <c r="P122" t="n">
        <v>0</v>
      </c>
      <c r="Q122" t="n">
        <v>3</v>
      </c>
      <c r="R122" s="2" t="inlineStr">
        <is>
          <t>Lunglav
Plattlummer
Skinnlav</t>
        </is>
      </c>
      <c r="S122">
        <f>HYPERLINK("https://klasma.github.io/Logging_2260/artfynd/A 24795-2024 artfynd.xlsx", "A 24795-2024")</f>
        <v/>
      </c>
      <c r="T122">
        <f>HYPERLINK("https://klasma.github.io/Logging_2260/kartor/A 24795-2024 karta.png", "A 24795-2024")</f>
        <v/>
      </c>
      <c r="V122">
        <f>HYPERLINK("https://klasma.github.io/Logging_2260/klagomål/A 24795-2024 FSC-klagomål.docx", "A 24795-2024")</f>
        <v/>
      </c>
      <c r="W122">
        <f>HYPERLINK("https://klasma.github.io/Logging_2260/klagomålsmail/A 24795-2024 FSC-klagomål mail.docx", "A 24795-2024")</f>
        <v/>
      </c>
      <c r="X122">
        <f>HYPERLINK("https://klasma.github.io/Logging_2260/tillsyn/A 24795-2024 tillsynsbegäran.docx", "A 24795-2024")</f>
        <v/>
      </c>
      <c r="Y122">
        <f>HYPERLINK("https://klasma.github.io/Logging_2260/tillsynsmail/A 24795-2024 tillsynsbegäran mail.docx", "A 24795-2024")</f>
        <v/>
      </c>
    </row>
    <row r="123" ht="15" customHeight="1">
      <c r="A123" t="inlineStr">
        <is>
          <t>A 38238-2025</t>
        </is>
      </c>
      <c r="B123" s="1" t="n">
        <v>45883.36497685185</v>
      </c>
      <c r="C123" s="1" t="n">
        <v>46079</v>
      </c>
      <c r="D123" t="inlineStr">
        <is>
          <t>VÄSTERNORRLANDS LÄN</t>
        </is>
      </c>
      <c r="E123" t="inlineStr">
        <is>
          <t>ÅNGE</t>
        </is>
      </c>
      <c r="F123" t="inlineStr">
        <is>
          <t>SCA</t>
        </is>
      </c>
      <c r="G123" t="n">
        <v>5.6</v>
      </c>
      <c r="H123" t="n">
        <v>0</v>
      </c>
      <c r="I123" t="n">
        <v>1</v>
      </c>
      <c r="J123" t="n">
        <v>1</v>
      </c>
      <c r="K123" t="n">
        <v>1</v>
      </c>
      <c r="L123" t="n">
        <v>0</v>
      </c>
      <c r="M123" t="n">
        <v>0</v>
      </c>
      <c r="N123" t="n">
        <v>0</v>
      </c>
      <c r="O123" t="n">
        <v>2</v>
      </c>
      <c r="P123" t="n">
        <v>1</v>
      </c>
      <c r="Q123" t="n">
        <v>3</v>
      </c>
      <c r="R123" s="2" t="inlineStr">
        <is>
          <t>Tajgataggsvamp
Vitplätt
Grönpyrola</t>
        </is>
      </c>
      <c r="S123">
        <f>HYPERLINK("https://klasma.github.io/Logging_2260/artfynd/A 38238-2025 artfynd.xlsx", "A 38238-2025")</f>
        <v/>
      </c>
      <c r="T123">
        <f>HYPERLINK("https://klasma.github.io/Logging_2260/kartor/A 38238-2025 karta.png", "A 38238-2025")</f>
        <v/>
      </c>
      <c r="U123">
        <f>HYPERLINK("https://klasma.github.io/Logging_2260/knärot/A 38238-2025 karta knärot.png", "A 38238-2025")</f>
        <v/>
      </c>
      <c r="V123">
        <f>HYPERLINK("https://klasma.github.io/Logging_2260/klagomål/A 38238-2025 FSC-klagomål.docx", "A 38238-2025")</f>
        <v/>
      </c>
      <c r="W123">
        <f>HYPERLINK("https://klasma.github.io/Logging_2260/klagomålsmail/A 38238-2025 FSC-klagomål mail.docx", "A 38238-2025")</f>
        <v/>
      </c>
      <c r="X123">
        <f>HYPERLINK("https://klasma.github.io/Logging_2260/tillsyn/A 38238-2025 tillsynsbegäran.docx", "A 38238-2025")</f>
        <v/>
      </c>
      <c r="Y123">
        <f>HYPERLINK("https://klasma.github.io/Logging_2260/tillsynsmail/A 38238-2025 tillsynsbegäran mail.docx", "A 38238-2025")</f>
        <v/>
      </c>
    </row>
    <row r="124" ht="15" customHeight="1">
      <c r="A124" t="inlineStr">
        <is>
          <t>A 21267-2025</t>
        </is>
      </c>
      <c r="B124" s="1" t="n">
        <v>45779</v>
      </c>
      <c r="C124" s="1" t="n">
        <v>46079</v>
      </c>
      <c r="D124" t="inlineStr">
        <is>
          <t>VÄSTERNORRLANDS LÄN</t>
        </is>
      </c>
      <c r="E124" t="inlineStr">
        <is>
          <t>ÅNGE</t>
        </is>
      </c>
      <c r="F124" t="inlineStr">
        <is>
          <t>Sveaskog</t>
        </is>
      </c>
      <c r="G124" t="n">
        <v>3.7</v>
      </c>
      <c r="H124" t="n">
        <v>2</v>
      </c>
      <c r="I124" t="n">
        <v>2</v>
      </c>
      <c r="J124" t="n">
        <v>1</v>
      </c>
      <c r="K124" t="n">
        <v>0</v>
      </c>
      <c r="L124" t="n">
        <v>0</v>
      </c>
      <c r="M124" t="n">
        <v>0</v>
      </c>
      <c r="N124" t="n">
        <v>0</v>
      </c>
      <c r="O124" t="n">
        <v>1</v>
      </c>
      <c r="P124" t="n">
        <v>0</v>
      </c>
      <c r="Q124" t="n">
        <v>3</v>
      </c>
      <c r="R124" s="2" t="inlineStr">
        <is>
          <t>Lunglav
Korallrot
Spindelblomster</t>
        </is>
      </c>
      <c r="S124">
        <f>HYPERLINK("https://klasma.github.io/Logging_2260/artfynd/A 21267-2025 artfynd.xlsx", "A 21267-2025")</f>
        <v/>
      </c>
      <c r="T124">
        <f>HYPERLINK("https://klasma.github.io/Logging_2260/kartor/A 21267-2025 karta.png", "A 21267-2025")</f>
        <v/>
      </c>
      <c r="V124">
        <f>HYPERLINK("https://klasma.github.io/Logging_2260/klagomål/A 21267-2025 FSC-klagomål.docx", "A 21267-2025")</f>
        <v/>
      </c>
      <c r="W124">
        <f>HYPERLINK("https://klasma.github.io/Logging_2260/klagomålsmail/A 21267-2025 FSC-klagomål mail.docx", "A 21267-2025")</f>
        <v/>
      </c>
      <c r="X124">
        <f>HYPERLINK("https://klasma.github.io/Logging_2260/tillsyn/A 21267-2025 tillsynsbegäran.docx", "A 21267-2025")</f>
        <v/>
      </c>
      <c r="Y124">
        <f>HYPERLINK("https://klasma.github.io/Logging_2260/tillsynsmail/A 21267-2025 tillsynsbegäran mail.docx", "A 21267-2025")</f>
        <v/>
      </c>
    </row>
    <row r="125" ht="15" customHeight="1">
      <c r="A125" t="inlineStr">
        <is>
          <t>A 39029-2025</t>
        </is>
      </c>
      <c r="B125" s="1" t="n">
        <v>45888.40684027778</v>
      </c>
      <c r="C125" s="1" t="n">
        <v>46079</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41868-2025</t>
        </is>
      </c>
      <c r="B126" s="1" t="n">
        <v>45903.34429398148</v>
      </c>
      <c r="C126" s="1" t="n">
        <v>46079</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23754-2025</t>
        </is>
      </c>
      <c r="B127" s="1" t="n">
        <v>45793.45782407407</v>
      </c>
      <c r="C127" s="1" t="n">
        <v>46079</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46079</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43319-2025</t>
        </is>
      </c>
      <c r="B129" s="1" t="n">
        <v>45910.65681712963</v>
      </c>
      <c r="C129" s="1" t="n">
        <v>46079</v>
      </c>
      <c r="D129" t="inlineStr">
        <is>
          <t>VÄSTERNORRLANDS LÄN</t>
        </is>
      </c>
      <c r="E129" t="inlineStr">
        <is>
          <t>ÅNGE</t>
        </is>
      </c>
      <c r="F129" t="inlineStr">
        <is>
          <t>SCA</t>
        </is>
      </c>
      <c r="G129" t="n">
        <v>6.6</v>
      </c>
      <c r="H129" t="n">
        <v>0</v>
      </c>
      <c r="I129" t="n">
        <v>1</v>
      </c>
      <c r="J129" t="n">
        <v>2</v>
      </c>
      <c r="K129" t="n">
        <v>0</v>
      </c>
      <c r="L129" t="n">
        <v>0</v>
      </c>
      <c r="M129" t="n">
        <v>0</v>
      </c>
      <c r="N129" t="n">
        <v>0</v>
      </c>
      <c r="O129" t="n">
        <v>2</v>
      </c>
      <c r="P129" t="n">
        <v>0</v>
      </c>
      <c r="Q129" t="n">
        <v>3</v>
      </c>
      <c r="R129" s="2" t="inlineStr">
        <is>
          <t>Ullticka
Violettgrå tagellav
Korallblylav</t>
        </is>
      </c>
      <c r="S129">
        <f>HYPERLINK("https://klasma.github.io/Logging_2260/artfynd/A 43319-2025 artfynd.xlsx", "A 43319-2025")</f>
        <v/>
      </c>
      <c r="T129">
        <f>HYPERLINK("https://klasma.github.io/Logging_2260/kartor/A 43319-2025 karta.png", "A 43319-2025")</f>
        <v/>
      </c>
      <c r="V129">
        <f>HYPERLINK("https://klasma.github.io/Logging_2260/klagomål/A 43319-2025 FSC-klagomål.docx", "A 43319-2025")</f>
        <v/>
      </c>
      <c r="W129">
        <f>HYPERLINK("https://klasma.github.io/Logging_2260/klagomålsmail/A 43319-2025 FSC-klagomål mail.docx", "A 43319-2025")</f>
        <v/>
      </c>
      <c r="X129">
        <f>HYPERLINK("https://klasma.github.io/Logging_2260/tillsyn/A 43319-2025 tillsynsbegäran.docx", "A 43319-2025")</f>
        <v/>
      </c>
      <c r="Y129">
        <f>HYPERLINK("https://klasma.github.io/Logging_2260/tillsynsmail/A 43319-2025 tillsynsbegäran mail.docx", "A 43319-2025")</f>
        <v/>
      </c>
    </row>
    <row r="130" ht="15" customHeight="1">
      <c r="A130" t="inlineStr">
        <is>
          <t>A 22996-2023</t>
        </is>
      </c>
      <c r="B130" s="1" t="n">
        <v>45072</v>
      </c>
      <c r="C130" s="1" t="n">
        <v>46079</v>
      </c>
      <c r="D130" t="inlineStr">
        <is>
          <t>VÄSTERNORRLANDS LÄN</t>
        </is>
      </c>
      <c r="E130" t="inlineStr">
        <is>
          <t>ÅNGE</t>
        </is>
      </c>
      <c r="F130" t="inlineStr">
        <is>
          <t>SCA</t>
        </is>
      </c>
      <c r="G130" t="n">
        <v>2.2</v>
      </c>
      <c r="H130" t="n">
        <v>1</v>
      </c>
      <c r="I130" t="n">
        <v>0</v>
      </c>
      <c r="J130" t="n">
        <v>2</v>
      </c>
      <c r="K130" t="n">
        <v>1</v>
      </c>
      <c r="L130" t="n">
        <v>0</v>
      </c>
      <c r="M130" t="n">
        <v>0</v>
      </c>
      <c r="N130" t="n">
        <v>0</v>
      </c>
      <c r="O130" t="n">
        <v>3</v>
      </c>
      <c r="P130" t="n">
        <v>1</v>
      </c>
      <c r="Q130" t="n">
        <v>3</v>
      </c>
      <c r="R130" s="2" t="inlineStr">
        <is>
          <t>Knärot
Garnlav
Vedtrappmossa</t>
        </is>
      </c>
      <c r="S130">
        <f>HYPERLINK("https://klasma.github.io/Logging_2260/artfynd/A 22996-2023 artfynd.xlsx", "A 22996-2023")</f>
        <v/>
      </c>
      <c r="T130">
        <f>HYPERLINK("https://klasma.github.io/Logging_2260/kartor/A 22996-2023 karta.png", "A 22996-2023")</f>
        <v/>
      </c>
      <c r="U130">
        <f>HYPERLINK("https://klasma.github.io/Logging_2260/knärot/A 22996-2023 karta knärot.png", "A 22996-2023")</f>
        <v/>
      </c>
      <c r="V130">
        <f>HYPERLINK("https://klasma.github.io/Logging_2260/klagomål/A 22996-2023 FSC-klagomål.docx", "A 22996-2023")</f>
        <v/>
      </c>
      <c r="W130">
        <f>HYPERLINK("https://klasma.github.io/Logging_2260/klagomålsmail/A 22996-2023 FSC-klagomål mail.docx", "A 22996-2023")</f>
        <v/>
      </c>
      <c r="X130">
        <f>HYPERLINK("https://klasma.github.io/Logging_2260/tillsyn/A 22996-2023 tillsynsbegäran.docx", "A 22996-2023")</f>
        <v/>
      </c>
      <c r="Y130">
        <f>HYPERLINK("https://klasma.github.io/Logging_2260/tillsynsmail/A 22996-2023 tillsynsbegäran mail.docx", "A 22996-2023")</f>
        <v/>
      </c>
    </row>
    <row r="131" ht="15" customHeight="1">
      <c r="A131" t="inlineStr">
        <is>
          <t>A 43880-2025</t>
        </is>
      </c>
      <c r="B131" s="1" t="n">
        <v>45912</v>
      </c>
      <c r="C131" s="1" t="n">
        <v>46079</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46417-2025</t>
        </is>
      </c>
      <c r="B132" s="1" t="n">
        <v>45925.59454861111</v>
      </c>
      <c r="C132" s="1" t="n">
        <v>46079</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26679-2025</t>
        </is>
      </c>
      <c r="B133" s="1" t="n">
        <v>45810</v>
      </c>
      <c r="C133" s="1" t="n">
        <v>46079</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16307-2025</t>
        </is>
      </c>
      <c r="B134" s="1" t="n">
        <v>45751.34686342593</v>
      </c>
      <c r="C134" s="1" t="n">
        <v>46079</v>
      </c>
      <c r="D134" t="inlineStr">
        <is>
          <t>VÄSTERNORRLANDS LÄN</t>
        </is>
      </c>
      <c r="E134" t="inlineStr">
        <is>
          <t>ÅNGE</t>
        </is>
      </c>
      <c r="F134" t="inlineStr">
        <is>
          <t>SCA</t>
        </is>
      </c>
      <c r="G134" t="n">
        <v>12.3</v>
      </c>
      <c r="H134" t="n">
        <v>1</v>
      </c>
      <c r="I134" t="n">
        <v>2</v>
      </c>
      <c r="J134" t="n">
        <v>0</v>
      </c>
      <c r="K134" t="n">
        <v>0</v>
      </c>
      <c r="L134" t="n">
        <v>0</v>
      </c>
      <c r="M134" t="n">
        <v>0</v>
      </c>
      <c r="N134" t="n">
        <v>0</v>
      </c>
      <c r="O134" t="n">
        <v>0</v>
      </c>
      <c r="P134" t="n">
        <v>0</v>
      </c>
      <c r="Q134" t="n">
        <v>3</v>
      </c>
      <c r="R134" s="2" t="inlineStr">
        <is>
          <t>Stor aspticka
Vårärt
Blåsippa</t>
        </is>
      </c>
      <c r="S134">
        <f>HYPERLINK("https://klasma.github.io/Logging_2260/artfynd/A 16307-2025 artfynd.xlsx", "A 16307-2025")</f>
        <v/>
      </c>
      <c r="T134">
        <f>HYPERLINK("https://klasma.github.io/Logging_2260/kartor/A 16307-2025 karta.png", "A 16307-2025")</f>
        <v/>
      </c>
      <c r="V134">
        <f>HYPERLINK("https://klasma.github.io/Logging_2260/klagomål/A 16307-2025 FSC-klagomål.docx", "A 16307-2025")</f>
        <v/>
      </c>
      <c r="W134">
        <f>HYPERLINK("https://klasma.github.io/Logging_2260/klagomålsmail/A 16307-2025 FSC-klagomål mail.docx", "A 16307-2025")</f>
        <v/>
      </c>
      <c r="X134">
        <f>HYPERLINK("https://klasma.github.io/Logging_2260/tillsyn/A 16307-2025 tillsynsbegäran.docx", "A 16307-2025")</f>
        <v/>
      </c>
      <c r="Y134">
        <f>HYPERLINK("https://klasma.github.io/Logging_2260/tillsynsmail/A 16307-2025 tillsynsbegäran mail.docx", "A 16307-2025")</f>
        <v/>
      </c>
    </row>
    <row r="135" ht="15" customHeight="1">
      <c r="A135" t="inlineStr">
        <is>
          <t>A 49530-2025</t>
        </is>
      </c>
      <c r="B135" s="1" t="n">
        <v>45939.40700231482</v>
      </c>
      <c r="C135" s="1" t="n">
        <v>46079</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50259-2025</t>
        </is>
      </c>
      <c r="B136" s="1" t="n">
        <v>45944.34498842592</v>
      </c>
      <c r="C136" s="1" t="n">
        <v>46079</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31212-2025</t>
        </is>
      </c>
      <c r="B137" s="1" t="n">
        <v>45832.71978009259</v>
      </c>
      <c r="C137" s="1" t="n">
        <v>46079</v>
      </c>
      <c r="D137" t="inlineStr">
        <is>
          <t>VÄSTERNORRLANDS LÄN</t>
        </is>
      </c>
      <c r="E137" t="inlineStr">
        <is>
          <t>ÅNGE</t>
        </is>
      </c>
      <c r="F137" t="inlineStr">
        <is>
          <t>SCA</t>
        </is>
      </c>
      <c r="G137" t="n">
        <v>1.6</v>
      </c>
      <c r="H137" t="n">
        <v>0</v>
      </c>
      <c r="I137" t="n">
        <v>2</v>
      </c>
      <c r="J137" t="n">
        <v>1</v>
      </c>
      <c r="K137" t="n">
        <v>0</v>
      </c>
      <c r="L137" t="n">
        <v>0</v>
      </c>
      <c r="M137" t="n">
        <v>0</v>
      </c>
      <c r="N137" t="n">
        <v>0</v>
      </c>
      <c r="O137" t="n">
        <v>1</v>
      </c>
      <c r="P137" t="n">
        <v>0</v>
      </c>
      <c r="Q137" t="n">
        <v>3</v>
      </c>
      <c r="R137" s="2" t="inlineStr">
        <is>
          <t>Ullticka
Barkticka
Korallblylav</t>
        </is>
      </c>
      <c r="S137">
        <f>HYPERLINK("https://klasma.github.io/Logging_2260/artfynd/A 31212-2025 artfynd.xlsx", "A 31212-2025")</f>
        <v/>
      </c>
      <c r="T137">
        <f>HYPERLINK("https://klasma.github.io/Logging_2260/kartor/A 31212-2025 karta.png", "A 31212-2025")</f>
        <v/>
      </c>
      <c r="V137">
        <f>HYPERLINK("https://klasma.github.io/Logging_2260/klagomål/A 31212-2025 FSC-klagomål.docx", "A 31212-2025")</f>
        <v/>
      </c>
      <c r="W137">
        <f>HYPERLINK("https://klasma.github.io/Logging_2260/klagomålsmail/A 31212-2025 FSC-klagomål mail.docx", "A 31212-2025")</f>
        <v/>
      </c>
      <c r="X137">
        <f>HYPERLINK("https://klasma.github.io/Logging_2260/tillsyn/A 31212-2025 tillsynsbegäran.docx", "A 31212-2025")</f>
        <v/>
      </c>
      <c r="Y137">
        <f>HYPERLINK("https://klasma.github.io/Logging_2260/tillsynsmail/A 31212-2025 tillsynsbegäran mail.docx", "A 31212-2025")</f>
        <v/>
      </c>
    </row>
    <row r="138" ht="15" customHeight="1">
      <c r="A138" t="inlineStr">
        <is>
          <t>A 53710-2025</t>
        </is>
      </c>
      <c r="B138" s="1" t="n">
        <v>45960.6153125</v>
      </c>
      <c r="C138" s="1" t="n">
        <v>46079</v>
      </c>
      <c r="D138" t="inlineStr">
        <is>
          <t>VÄSTERNORRLANDS LÄN</t>
        </is>
      </c>
      <c r="E138" t="inlineStr">
        <is>
          <t>ÅNGE</t>
        </is>
      </c>
      <c r="F138" t="inlineStr">
        <is>
          <t>SCA</t>
        </is>
      </c>
      <c r="G138" t="n">
        <v>7.9</v>
      </c>
      <c r="H138" t="n">
        <v>1</v>
      </c>
      <c r="I138" t="n">
        <v>0</v>
      </c>
      <c r="J138" t="n">
        <v>3</v>
      </c>
      <c r="K138" t="n">
        <v>0</v>
      </c>
      <c r="L138" t="n">
        <v>0</v>
      </c>
      <c r="M138" t="n">
        <v>0</v>
      </c>
      <c r="N138" t="n">
        <v>0</v>
      </c>
      <c r="O138" t="n">
        <v>3</v>
      </c>
      <c r="P138" t="n">
        <v>0</v>
      </c>
      <c r="Q138" t="n">
        <v>3</v>
      </c>
      <c r="R138" s="2" t="inlineStr">
        <is>
          <t>Kolflarnlav
Spillkråka
Vedskivlav</t>
        </is>
      </c>
      <c r="S138">
        <f>HYPERLINK("https://klasma.github.io/Logging_2260/artfynd/A 53710-2025 artfynd.xlsx", "A 53710-2025")</f>
        <v/>
      </c>
      <c r="T138">
        <f>HYPERLINK("https://klasma.github.io/Logging_2260/kartor/A 53710-2025 karta.png", "A 53710-2025")</f>
        <v/>
      </c>
      <c r="V138">
        <f>HYPERLINK("https://klasma.github.io/Logging_2260/klagomål/A 53710-2025 FSC-klagomål.docx", "A 53710-2025")</f>
        <v/>
      </c>
      <c r="W138">
        <f>HYPERLINK("https://klasma.github.io/Logging_2260/klagomålsmail/A 53710-2025 FSC-klagomål mail.docx", "A 53710-2025")</f>
        <v/>
      </c>
      <c r="X138">
        <f>HYPERLINK("https://klasma.github.io/Logging_2260/tillsyn/A 53710-2025 tillsynsbegäran.docx", "A 53710-2025")</f>
        <v/>
      </c>
      <c r="Y138">
        <f>HYPERLINK("https://klasma.github.io/Logging_2260/tillsynsmail/A 53710-2025 tillsynsbegäran mail.docx", "A 53710-2025")</f>
        <v/>
      </c>
      <c r="Z138">
        <f>HYPERLINK("https://klasma.github.io/Logging_2260/fåglar/A 53710-2025 prioriterade fågelarter.docx", "A 53710-2025")</f>
        <v/>
      </c>
    </row>
    <row r="139" ht="15" customHeight="1">
      <c r="A139" t="inlineStr">
        <is>
          <t>A 33806-2025</t>
        </is>
      </c>
      <c r="B139" s="1" t="n">
        <v>45842.44865740741</v>
      </c>
      <c r="C139" s="1" t="n">
        <v>46079</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37184-2025</t>
        </is>
      </c>
      <c r="B140" s="1" t="n">
        <v>45875.63591435185</v>
      </c>
      <c r="C140" s="1" t="n">
        <v>46079</v>
      </c>
      <c r="D140" t="inlineStr">
        <is>
          <t>VÄSTERNORRLANDS LÄN</t>
        </is>
      </c>
      <c r="E140" t="inlineStr">
        <is>
          <t>ÅNGE</t>
        </is>
      </c>
      <c r="F140" t="inlineStr">
        <is>
          <t>SCA</t>
        </is>
      </c>
      <c r="G140" t="n">
        <v>2.5</v>
      </c>
      <c r="H140" t="n">
        <v>0</v>
      </c>
      <c r="I140" t="n">
        <v>0</v>
      </c>
      <c r="J140" t="n">
        <v>3</v>
      </c>
      <c r="K140" t="n">
        <v>0</v>
      </c>
      <c r="L140" t="n">
        <v>0</v>
      </c>
      <c r="M140" t="n">
        <v>0</v>
      </c>
      <c r="N140" t="n">
        <v>0</v>
      </c>
      <c r="O140" t="n">
        <v>3</v>
      </c>
      <c r="P140" t="n">
        <v>0</v>
      </c>
      <c r="Q140" t="n">
        <v>3</v>
      </c>
      <c r="R140" s="2" t="inlineStr">
        <is>
          <t>Granticka
Lunglav
Rosenticka</t>
        </is>
      </c>
      <c r="S140">
        <f>HYPERLINK("https://klasma.github.io/Logging_2260/artfynd/A 37184-2025 artfynd.xlsx", "A 37184-2025")</f>
        <v/>
      </c>
      <c r="T140">
        <f>HYPERLINK("https://klasma.github.io/Logging_2260/kartor/A 37184-2025 karta.png", "A 37184-2025")</f>
        <v/>
      </c>
      <c r="V140">
        <f>HYPERLINK("https://klasma.github.io/Logging_2260/klagomål/A 37184-2025 FSC-klagomål.docx", "A 37184-2025")</f>
        <v/>
      </c>
      <c r="W140">
        <f>HYPERLINK("https://klasma.github.io/Logging_2260/klagomålsmail/A 37184-2025 FSC-klagomål mail.docx", "A 37184-2025")</f>
        <v/>
      </c>
      <c r="X140">
        <f>HYPERLINK("https://klasma.github.io/Logging_2260/tillsyn/A 37184-2025 tillsynsbegäran.docx", "A 37184-2025")</f>
        <v/>
      </c>
      <c r="Y140">
        <f>HYPERLINK("https://klasma.github.io/Logging_2260/tillsynsmail/A 37184-2025 tillsynsbegäran mail.docx", "A 37184-2025")</f>
        <v/>
      </c>
    </row>
    <row r="141" ht="15" customHeight="1">
      <c r="A141" t="inlineStr">
        <is>
          <t>A 7533-2023</t>
        </is>
      </c>
      <c r="B141" s="1" t="n">
        <v>44971</v>
      </c>
      <c r="C141" s="1" t="n">
        <v>46079</v>
      </c>
      <c r="D141" t="inlineStr">
        <is>
          <t>VÄSTERNORRLANDS LÄN</t>
        </is>
      </c>
      <c r="E141" t="inlineStr">
        <is>
          <t>ÅNGE</t>
        </is>
      </c>
      <c r="F141" t="inlineStr">
        <is>
          <t>SCA</t>
        </is>
      </c>
      <c r="G141" t="n">
        <v>15.7</v>
      </c>
      <c r="H141" t="n">
        <v>2</v>
      </c>
      <c r="I141" t="n">
        <v>0</v>
      </c>
      <c r="J141" t="n">
        <v>1</v>
      </c>
      <c r="K141" t="n">
        <v>1</v>
      </c>
      <c r="L141" t="n">
        <v>0</v>
      </c>
      <c r="M141" t="n">
        <v>0</v>
      </c>
      <c r="N141" t="n">
        <v>0</v>
      </c>
      <c r="O141" t="n">
        <v>2</v>
      </c>
      <c r="P141" t="n">
        <v>1</v>
      </c>
      <c r="Q141" t="n">
        <v>3</v>
      </c>
      <c r="R141" s="2" t="inlineStr">
        <is>
          <t>Doftticka
Lunglav
Blåsippa</t>
        </is>
      </c>
      <c r="S141">
        <f>HYPERLINK("https://klasma.github.io/Logging_2260/artfynd/A 7533-2023 artfynd.xlsx", "A 7533-2023")</f>
        <v/>
      </c>
      <c r="T141">
        <f>HYPERLINK("https://klasma.github.io/Logging_2260/kartor/A 7533-2023 karta.png", "A 7533-2023")</f>
        <v/>
      </c>
      <c r="V141">
        <f>HYPERLINK("https://klasma.github.io/Logging_2260/klagomål/A 7533-2023 FSC-klagomål.docx", "A 7533-2023")</f>
        <v/>
      </c>
      <c r="W141">
        <f>HYPERLINK("https://klasma.github.io/Logging_2260/klagomålsmail/A 7533-2023 FSC-klagomål mail.docx", "A 7533-2023")</f>
        <v/>
      </c>
      <c r="X141">
        <f>HYPERLINK("https://klasma.github.io/Logging_2260/tillsyn/A 7533-2023 tillsynsbegäran.docx", "A 7533-2023")</f>
        <v/>
      </c>
      <c r="Y141">
        <f>HYPERLINK("https://klasma.github.io/Logging_2260/tillsynsmail/A 7533-2023 tillsynsbegäran mail.docx", "A 7533-2023")</f>
        <v/>
      </c>
    </row>
    <row r="142" ht="15" customHeight="1">
      <c r="A142" t="inlineStr">
        <is>
          <t>A 38664-2025</t>
        </is>
      </c>
      <c r="B142" s="1" t="n">
        <v>45884.61503472222</v>
      </c>
      <c r="C142" s="1" t="n">
        <v>46079</v>
      </c>
      <c r="D142" t="inlineStr">
        <is>
          <t>VÄSTERNORRLANDS LÄN</t>
        </is>
      </c>
      <c r="E142" t="inlineStr">
        <is>
          <t>ÅNGE</t>
        </is>
      </c>
      <c r="F142" t="inlineStr">
        <is>
          <t>SCA</t>
        </is>
      </c>
      <c r="G142" t="n">
        <v>6.4</v>
      </c>
      <c r="H142" t="n">
        <v>1</v>
      </c>
      <c r="I142" t="n">
        <v>0</v>
      </c>
      <c r="J142" t="n">
        <v>2</v>
      </c>
      <c r="K142" t="n">
        <v>1</v>
      </c>
      <c r="L142" t="n">
        <v>0</v>
      </c>
      <c r="M142" t="n">
        <v>0</v>
      </c>
      <c r="N142" t="n">
        <v>0</v>
      </c>
      <c r="O142" t="n">
        <v>3</v>
      </c>
      <c r="P142" t="n">
        <v>1</v>
      </c>
      <c r="Q142" t="n">
        <v>3</v>
      </c>
      <c r="R142" s="2" t="inlineStr">
        <is>
          <t>Knärot
Kolflarnlav
Mörk kolflarnlav</t>
        </is>
      </c>
      <c r="S142">
        <f>HYPERLINK("https://klasma.github.io/Logging_2260/artfynd/A 38664-2025 artfynd.xlsx", "A 38664-2025")</f>
        <v/>
      </c>
      <c r="T142">
        <f>HYPERLINK("https://klasma.github.io/Logging_2260/kartor/A 38664-2025 karta.png", "A 38664-2025")</f>
        <v/>
      </c>
      <c r="U142">
        <f>HYPERLINK("https://klasma.github.io/Logging_2260/knärot/A 38664-2025 karta knärot.png", "A 38664-2025")</f>
        <v/>
      </c>
      <c r="V142">
        <f>HYPERLINK("https://klasma.github.io/Logging_2260/klagomål/A 38664-2025 FSC-klagomål.docx", "A 38664-2025")</f>
        <v/>
      </c>
      <c r="W142">
        <f>HYPERLINK("https://klasma.github.io/Logging_2260/klagomålsmail/A 38664-2025 FSC-klagomål mail.docx", "A 38664-2025")</f>
        <v/>
      </c>
      <c r="X142">
        <f>HYPERLINK("https://klasma.github.io/Logging_2260/tillsyn/A 38664-2025 tillsynsbegäran.docx", "A 38664-2025")</f>
        <v/>
      </c>
      <c r="Y142">
        <f>HYPERLINK("https://klasma.github.io/Logging_2260/tillsynsmail/A 38664-2025 tillsynsbegäran mail.docx", "A 38664-2025")</f>
        <v/>
      </c>
    </row>
    <row r="143" ht="15" customHeight="1">
      <c r="A143" t="inlineStr">
        <is>
          <t>A 63330-2025</t>
        </is>
      </c>
      <c r="B143" s="1" t="n">
        <v>46010</v>
      </c>
      <c r="C143" s="1" t="n">
        <v>46079</v>
      </c>
      <c r="D143" t="inlineStr">
        <is>
          <t>VÄSTERNORRLANDS LÄN</t>
        </is>
      </c>
      <c r="E143" t="inlineStr">
        <is>
          <t>ÅNGE</t>
        </is>
      </c>
      <c r="G143" t="n">
        <v>2.1</v>
      </c>
      <c r="H143" t="n">
        <v>0</v>
      </c>
      <c r="I143" t="n">
        <v>0</v>
      </c>
      <c r="J143" t="n">
        <v>3</v>
      </c>
      <c r="K143" t="n">
        <v>0</v>
      </c>
      <c r="L143" t="n">
        <v>0</v>
      </c>
      <c r="M143" t="n">
        <v>0</v>
      </c>
      <c r="N143" t="n">
        <v>0</v>
      </c>
      <c r="O143" t="n">
        <v>3</v>
      </c>
      <c r="P143" t="n">
        <v>0</v>
      </c>
      <c r="Q143" t="n">
        <v>3</v>
      </c>
      <c r="R143" s="2" t="inlineStr">
        <is>
          <t>Garnlav
Granticka
Lunglav</t>
        </is>
      </c>
      <c r="S143">
        <f>HYPERLINK("https://klasma.github.io/Logging_2260/artfynd/A 63330-2025 artfynd.xlsx", "A 63330-2025")</f>
        <v/>
      </c>
      <c r="T143">
        <f>HYPERLINK("https://klasma.github.io/Logging_2260/kartor/A 63330-2025 karta.png", "A 63330-2025")</f>
        <v/>
      </c>
      <c r="V143">
        <f>HYPERLINK("https://klasma.github.io/Logging_2260/klagomål/A 63330-2025 FSC-klagomål.docx", "A 63330-2025")</f>
        <v/>
      </c>
      <c r="W143">
        <f>HYPERLINK("https://klasma.github.io/Logging_2260/klagomålsmail/A 63330-2025 FSC-klagomål mail.docx", "A 63330-2025")</f>
        <v/>
      </c>
      <c r="X143">
        <f>HYPERLINK("https://klasma.github.io/Logging_2260/tillsyn/A 63330-2025 tillsynsbegäran.docx", "A 63330-2025")</f>
        <v/>
      </c>
      <c r="Y143">
        <f>HYPERLINK("https://klasma.github.io/Logging_2260/tillsynsmail/A 63330-2025 tillsynsbegäran mail.docx", "A 63330-2025")</f>
        <v/>
      </c>
    </row>
    <row r="144" ht="15" customHeight="1">
      <c r="A144" t="inlineStr">
        <is>
          <t>A 45122-2021</t>
        </is>
      </c>
      <c r="B144" s="1" t="n">
        <v>44439</v>
      </c>
      <c r="C144" s="1" t="n">
        <v>46079</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36635-2021</t>
        </is>
      </c>
      <c r="B145" s="1" t="n">
        <v>44391</v>
      </c>
      <c r="C145" s="1" t="n">
        <v>46079</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47798-2022</t>
        </is>
      </c>
      <c r="B146" s="1" t="n">
        <v>44854.95365740741</v>
      </c>
      <c r="C146" s="1" t="n">
        <v>46079</v>
      </c>
      <c r="D146" t="inlineStr">
        <is>
          <t>VÄSTERNORRLANDS LÄN</t>
        </is>
      </c>
      <c r="E146" t="inlineStr">
        <is>
          <t>ÅNGE</t>
        </is>
      </c>
      <c r="F146" t="inlineStr">
        <is>
          <t>SCA</t>
        </is>
      </c>
      <c r="G146" t="n">
        <v>8.300000000000001</v>
      </c>
      <c r="H146" t="n">
        <v>0</v>
      </c>
      <c r="I146" t="n">
        <v>1</v>
      </c>
      <c r="J146" t="n">
        <v>1</v>
      </c>
      <c r="K146" t="n">
        <v>0</v>
      </c>
      <c r="L146" t="n">
        <v>0</v>
      </c>
      <c r="M146" t="n">
        <v>0</v>
      </c>
      <c r="N146" t="n">
        <v>0</v>
      </c>
      <c r="O146" t="n">
        <v>1</v>
      </c>
      <c r="P146" t="n">
        <v>0</v>
      </c>
      <c r="Q146" t="n">
        <v>2</v>
      </c>
      <c r="R146" s="2" t="inlineStr">
        <is>
          <t>Lunglav
Kransrams</t>
        </is>
      </c>
      <c r="S146">
        <f>HYPERLINK("https://klasma.github.io/Logging_2260/artfynd/A 47798-2022 artfynd.xlsx", "A 47798-2022")</f>
        <v/>
      </c>
      <c r="T146">
        <f>HYPERLINK("https://klasma.github.io/Logging_2260/kartor/A 47798-2022 karta.png", "A 47798-2022")</f>
        <v/>
      </c>
      <c r="V146">
        <f>HYPERLINK("https://klasma.github.io/Logging_2260/klagomål/A 47798-2022 FSC-klagomål.docx", "A 47798-2022")</f>
        <v/>
      </c>
      <c r="W146">
        <f>HYPERLINK("https://klasma.github.io/Logging_2260/klagomålsmail/A 47798-2022 FSC-klagomål mail.docx", "A 47798-2022")</f>
        <v/>
      </c>
      <c r="X146">
        <f>HYPERLINK("https://klasma.github.io/Logging_2260/tillsyn/A 47798-2022 tillsynsbegäran.docx", "A 47798-2022")</f>
        <v/>
      </c>
      <c r="Y146">
        <f>HYPERLINK("https://klasma.github.io/Logging_2260/tillsynsmail/A 47798-2022 tillsynsbegäran mail.docx", "A 47798-2022")</f>
        <v/>
      </c>
    </row>
    <row r="147" ht="15" customHeight="1">
      <c r="A147" t="inlineStr">
        <is>
          <t>A 1082-2022</t>
        </is>
      </c>
      <c r="B147" s="1" t="n">
        <v>44571</v>
      </c>
      <c r="C147" s="1" t="n">
        <v>46079</v>
      </c>
      <c r="D147" t="inlineStr">
        <is>
          <t>VÄSTERNORRLANDS LÄN</t>
        </is>
      </c>
      <c r="E147" t="inlineStr">
        <is>
          <t>ÅNGE</t>
        </is>
      </c>
      <c r="G147" t="n">
        <v>0.9</v>
      </c>
      <c r="H147" t="n">
        <v>1</v>
      </c>
      <c r="I147" t="n">
        <v>0</v>
      </c>
      <c r="J147" t="n">
        <v>2</v>
      </c>
      <c r="K147" t="n">
        <v>0</v>
      </c>
      <c r="L147" t="n">
        <v>0</v>
      </c>
      <c r="M147" t="n">
        <v>0</v>
      </c>
      <c r="N147" t="n">
        <v>0</v>
      </c>
      <c r="O147" t="n">
        <v>2</v>
      </c>
      <c r="P147" t="n">
        <v>0</v>
      </c>
      <c r="Q147" t="n">
        <v>2</v>
      </c>
      <c r="R147" s="2" t="inlineStr">
        <is>
          <t>Garnlav
Talltita</t>
        </is>
      </c>
      <c r="S147">
        <f>HYPERLINK("https://klasma.github.io/Logging_2260/artfynd/A 1082-2022 artfynd.xlsx", "A 1082-2022")</f>
        <v/>
      </c>
      <c r="T147">
        <f>HYPERLINK("https://klasma.github.io/Logging_2260/kartor/A 1082-2022 karta.png", "A 1082-2022")</f>
        <v/>
      </c>
      <c r="V147">
        <f>HYPERLINK("https://klasma.github.io/Logging_2260/klagomål/A 1082-2022 FSC-klagomål.docx", "A 1082-2022")</f>
        <v/>
      </c>
      <c r="W147">
        <f>HYPERLINK("https://klasma.github.io/Logging_2260/klagomålsmail/A 1082-2022 FSC-klagomål mail.docx", "A 1082-2022")</f>
        <v/>
      </c>
      <c r="X147">
        <f>HYPERLINK("https://klasma.github.io/Logging_2260/tillsyn/A 1082-2022 tillsynsbegäran.docx", "A 1082-2022")</f>
        <v/>
      </c>
      <c r="Y147">
        <f>HYPERLINK("https://klasma.github.io/Logging_2260/tillsynsmail/A 1082-2022 tillsynsbegäran mail.docx", "A 1082-2022")</f>
        <v/>
      </c>
      <c r="Z147">
        <f>HYPERLINK("https://klasma.github.io/Logging_2260/fåglar/A 1082-2022 prioriterade fågelarter.docx", "A 1082-2022")</f>
        <v/>
      </c>
    </row>
    <row r="148" ht="15" customHeight="1">
      <c r="A148" t="inlineStr">
        <is>
          <t>A 48152-2022</t>
        </is>
      </c>
      <c r="B148" s="1" t="n">
        <v>44853</v>
      </c>
      <c r="C148" s="1" t="n">
        <v>46079</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46079</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8234-2022</t>
        </is>
      </c>
      <c r="B150" s="1" t="n">
        <v>44609</v>
      </c>
      <c r="C150" s="1" t="n">
        <v>46079</v>
      </c>
      <c r="D150" t="inlineStr">
        <is>
          <t>VÄSTERNORRLANDS LÄN</t>
        </is>
      </c>
      <c r="E150" t="inlineStr">
        <is>
          <t>ÅNGE</t>
        </is>
      </c>
      <c r="F150" t="inlineStr">
        <is>
          <t>SCA</t>
        </is>
      </c>
      <c r="G150" t="n">
        <v>2.3</v>
      </c>
      <c r="H150" t="n">
        <v>1</v>
      </c>
      <c r="I150" t="n">
        <v>0</v>
      </c>
      <c r="J150" t="n">
        <v>1</v>
      </c>
      <c r="K150" t="n">
        <v>0</v>
      </c>
      <c r="L150" t="n">
        <v>0</v>
      </c>
      <c r="M150" t="n">
        <v>0</v>
      </c>
      <c r="N150" t="n">
        <v>0</v>
      </c>
      <c r="O150" t="n">
        <v>1</v>
      </c>
      <c r="P150" t="n">
        <v>0</v>
      </c>
      <c r="Q150" t="n">
        <v>2</v>
      </c>
      <c r="R150" s="2" t="inlineStr">
        <is>
          <t>Garnlav
Revlummer</t>
        </is>
      </c>
      <c r="S150">
        <f>HYPERLINK("https://klasma.github.io/Logging_2260/artfynd/A 8234-2022 artfynd.xlsx", "A 8234-2022")</f>
        <v/>
      </c>
      <c r="T150">
        <f>HYPERLINK("https://klasma.github.io/Logging_2260/kartor/A 8234-2022 karta.png", "A 8234-2022")</f>
        <v/>
      </c>
      <c r="V150">
        <f>HYPERLINK("https://klasma.github.io/Logging_2260/klagomål/A 8234-2022 FSC-klagomål.docx", "A 8234-2022")</f>
        <v/>
      </c>
      <c r="W150">
        <f>HYPERLINK("https://klasma.github.io/Logging_2260/klagomålsmail/A 8234-2022 FSC-klagomål mail.docx", "A 8234-2022")</f>
        <v/>
      </c>
      <c r="X150">
        <f>HYPERLINK("https://klasma.github.io/Logging_2260/tillsyn/A 8234-2022 tillsynsbegäran.docx", "A 8234-2022")</f>
        <v/>
      </c>
      <c r="Y150">
        <f>HYPERLINK("https://klasma.github.io/Logging_2260/tillsynsmail/A 8234-2022 tillsynsbegäran mail.docx", "A 8234-2022")</f>
        <v/>
      </c>
    </row>
    <row r="151" ht="15" customHeight="1">
      <c r="A151" t="inlineStr">
        <is>
          <t>A 40965-2021</t>
        </is>
      </c>
      <c r="B151" s="1" t="n">
        <v>44421.57918981482</v>
      </c>
      <c r="C151" s="1" t="n">
        <v>46079</v>
      </c>
      <c r="D151" t="inlineStr">
        <is>
          <t>VÄSTERNORRLANDS LÄN</t>
        </is>
      </c>
      <c r="E151" t="inlineStr">
        <is>
          <t>ÅNGE</t>
        </is>
      </c>
      <c r="F151" t="inlineStr">
        <is>
          <t>Sveaskog</t>
        </is>
      </c>
      <c r="G151" t="n">
        <v>5.4</v>
      </c>
      <c r="H151" t="n">
        <v>1</v>
      </c>
      <c r="I151" t="n">
        <v>1</v>
      </c>
      <c r="J151" t="n">
        <v>1</v>
      </c>
      <c r="K151" t="n">
        <v>0</v>
      </c>
      <c r="L151" t="n">
        <v>0</v>
      </c>
      <c r="M151" t="n">
        <v>0</v>
      </c>
      <c r="N151" t="n">
        <v>0</v>
      </c>
      <c r="O151" t="n">
        <v>1</v>
      </c>
      <c r="P151" t="n">
        <v>0</v>
      </c>
      <c r="Q151" t="n">
        <v>2</v>
      </c>
      <c r="R151" s="2" t="inlineStr">
        <is>
          <t>Skogsfru
Skogsbräsma</t>
        </is>
      </c>
      <c r="S151">
        <f>HYPERLINK("https://klasma.github.io/Logging_2260/artfynd/A 40965-2021 artfynd.xlsx", "A 40965-2021")</f>
        <v/>
      </c>
      <c r="T151">
        <f>HYPERLINK("https://klasma.github.io/Logging_2260/kartor/A 40965-2021 karta.png", "A 40965-2021")</f>
        <v/>
      </c>
      <c r="V151">
        <f>HYPERLINK("https://klasma.github.io/Logging_2260/klagomål/A 40965-2021 FSC-klagomål.docx", "A 40965-2021")</f>
        <v/>
      </c>
      <c r="W151">
        <f>HYPERLINK("https://klasma.github.io/Logging_2260/klagomålsmail/A 40965-2021 FSC-klagomål mail.docx", "A 40965-2021")</f>
        <v/>
      </c>
      <c r="X151">
        <f>HYPERLINK("https://klasma.github.io/Logging_2260/tillsyn/A 40965-2021 tillsynsbegäran.docx", "A 40965-2021")</f>
        <v/>
      </c>
      <c r="Y151">
        <f>HYPERLINK("https://klasma.github.io/Logging_2260/tillsynsmail/A 40965-2021 tillsynsbegäran mail.docx", "A 40965-2021")</f>
        <v/>
      </c>
    </row>
    <row r="152" ht="15" customHeight="1">
      <c r="A152" t="inlineStr">
        <is>
          <t>A 47719-2024</t>
        </is>
      </c>
      <c r="B152" s="1" t="n">
        <v>45588.48996527777</v>
      </c>
      <c r="C152" s="1" t="n">
        <v>46079</v>
      </c>
      <c r="D152" t="inlineStr">
        <is>
          <t>VÄSTERNORRLANDS LÄN</t>
        </is>
      </c>
      <c r="E152" t="inlineStr">
        <is>
          <t>ÅNGE</t>
        </is>
      </c>
      <c r="F152" t="inlineStr">
        <is>
          <t>SCA</t>
        </is>
      </c>
      <c r="G152" t="n">
        <v>1.4</v>
      </c>
      <c r="H152" t="n">
        <v>0</v>
      </c>
      <c r="I152" t="n">
        <v>0</v>
      </c>
      <c r="J152" t="n">
        <v>2</v>
      </c>
      <c r="K152" t="n">
        <v>0</v>
      </c>
      <c r="L152" t="n">
        <v>0</v>
      </c>
      <c r="M152" t="n">
        <v>0</v>
      </c>
      <c r="N152" t="n">
        <v>0</v>
      </c>
      <c r="O152" t="n">
        <v>2</v>
      </c>
      <c r="P152" t="n">
        <v>0</v>
      </c>
      <c r="Q152" t="n">
        <v>2</v>
      </c>
      <c r="R152" s="2" t="inlineStr">
        <is>
          <t>Dvärgbägarlav
Vedskivlav</t>
        </is>
      </c>
      <c r="S152">
        <f>HYPERLINK("https://klasma.github.io/Logging_2260/artfynd/A 47719-2024 artfynd.xlsx", "A 47719-2024")</f>
        <v/>
      </c>
      <c r="T152">
        <f>HYPERLINK("https://klasma.github.io/Logging_2260/kartor/A 47719-2024 karta.png", "A 47719-2024")</f>
        <v/>
      </c>
      <c r="V152">
        <f>HYPERLINK("https://klasma.github.io/Logging_2260/klagomål/A 47719-2024 FSC-klagomål.docx", "A 47719-2024")</f>
        <v/>
      </c>
      <c r="W152">
        <f>HYPERLINK("https://klasma.github.io/Logging_2260/klagomålsmail/A 47719-2024 FSC-klagomål mail.docx", "A 47719-2024")</f>
        <v/>
      </c>
      <c r="X152">
        <f>HYPERLINK("https://klasma.github.io/Logging_2260/tillsyn/A 47719-2024 tillsynsbegäran.docx", "A 47719-2024")</f>
        <v/>
      </c>
      <c r="Y152">
        <f>HYPERLINK("https://klasma.github.io/Logging_2260/tillsynsmail/A 47719-2024 tillsynsbegäran mail.docx", "A 47719-2024")</f>
        <v/>
      </c>
    </row>
    <row r="153" ht="15" customHeight="1">
      <c r="A153" t="inlineStr">
        <is>
          <t>A 57594-2022</t>
        </is>
      </c>
      <c r="B153" s="1" t="n">
        <v>44896.97854166666</v>
      </c>
      <c r="C153" s="1" t="n">
        <v>46079</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57597-2022</t>
        </is>
      </c>
      <c r="B154" s="1" t="n">
        <v>44896.97878472223</v>
      </c>
      <c r="C154" s="1" t="n">
        <v>46079</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32659-2024</t>
        </is>
      </c>
      <c r="B155" s="1" t="n">
        <v>45513</v>
      </c>
      <c r="C155" s="1" t="n">
        <v>46079</v>
      </c>
      <c r="D155" t="inlineStr">
        <is>
          <t>VÄSTERNORRLANDS LÄN</t>
        </is>
      </c>
      <c r="E155" t="inlineStr">
        <is>
          <t>ÅNGE</t>
        </is>
      </c>
      <c r="F155" t="inlineStr">
        <is>
          <t>SCA</t>
        </is>
      </c>
      <c r="G155" t="n">
        <v>6.9</v>
      </c>
      <c r="H155" t="n">
        <v>0</v>
      </c>
      <c r="I155" t="n">
        <v>0</v>
      </c>
      <c r="J155" t="n">
        <v>2</v>
      </c>
      <c r="K155" t="n">
        <v>0</v>
      </c>
      <c r="L155" t="n">
        <v>0</v>
      </c>
      <c r="M155" t="n">
        <v>0</v>
      </c>
      <c r="N155" t="n">
        <v>0</v>
      </c>
      <c r="O155" t="n">
        <v>2</v>
      </c>
      <c r="P155" t="n">
        <v>0</v>
      </c>
      <c r="Q155" t="n">
        <v>2</v>
      </c>
      <c r="R155" s="2" t="inlineStr">
        <is>
          <t>Lunglav
Stjärntagging</t>
        </is>
      </c>
      <c r="S155">
        <f>HYPERLINK("https://klasma.github.io/Logging_2260/artfynd/A 32659-2024 artfynd.xlsx", "A 32659-2024")</f>
        <v/>
      </c>
      <c r="T155">
        <f>HYPERLINK("https://klasma.github.io/Logging_2260/kartor/A 32659-2024 karta.png", "A 32659-2024")</f>
        <v/>
      </c>
      <c r="V155">
        <f>HYPERLINK("https://klasma.github.io/Logging_2260/klagomål/A 32659-2024 FSC-klagomål.docx", "A 32659-2024")</f>
        <v/>
      </c>
      <c r="W155">
        <f>HYPERLINK("https://klasma.github.io/Logging_2260/klagomålsmail/A 32659-2024 FSC-klagomål mail.docx", "A 32659-2024")</f>
        <v/>
      </c>
      <c r="X155">
        <f>HYPERLINK("https://klasma.github.io/Logging_2260/tillsyn/A 32659-2024 tillsynsbegäran.docx", "A 32659-2024")</f>
        <v/>
      </c>
      <c r="Y155">
        <f>HYPERLINK("https://klasma.github.io/Logging_2260/tillsynsmail/A 32659-2024 tillsynsbegäran mail.docx", "A 32659-2024")</f>
        <v/>
      </c>
    </row>
    <row r="156" ht="15" customHeight="1">
      <c r="A156" t="inlineStr">
        <is>
          <t>A 18081-2025</t>
        </is>
      </c>
      <c r="B156" s="1" t="n">
        <v>45761.51086805556</v>
      </c>
      <c r="C156" s="1" t="n">
        <v>46079</v>
      </c>
      <c r="D156" t="inlineStr">
        <is>
          <t>VÄSTERNORRLANDS LÄN</t>
        </is>
      </c>
      <c r="E156" t="inlineStr">
        <is>
          <t>ÅNGE</t>
        </is>
      </c>
      <c r="F156" t="inlineStr">
        <is>
          <t>SCA</t>
        </is>
      </c>
      <c r="G156" t="n">
        <v>2.6</v>
      </c>
      <c r="H156" t="n">
        <v>1</v>
      </c>
      <c r="I156" t="n">
        <v>1</v>
      </c>
      <c r="J156" t="n">
        <v>0</v>
      </c>
      <c r="K156" t="n">
        <v>1</v>
      </c>
      <c r="L156" t="n">
        <v>0</v>
      </c>
      <c r="M156" t="n">
        <v>0</v>
      </c>
      <c r="N156" t="n">
        <v>0</v>
      </c>
      <c r="O156" t="n">
        <v>1</v>
      </c>
      <c r="P156" t="n">
        <v>1</v>
      </c>
      <c r="Q156" t="n">
        <v>2</v>
      </c>
      <c r="R156" s="2" t="inlineStr">
        <is>
          <t>Knärot
Dropptaggsvamp</t>
        </is>
      </c>
      <c r="S156">
        <f>HYPERLINK("https://klasma.github.io/Logging_2260/artfynd/A 18081-2025 artfynd.xlsx", "A 18081-2025")</f>
        <v/>
      </c>
      <c r="T156">
        <f>HYPERLINK("https://klasma.github.io/Logging_2260/kartor/A 18081-2025 karta.png", "A 18081-2025")</f>
        <v/>
      </c>
      <c r="U156">
        <f>HYPERLINK("https://klasma.github.io/Logging_2260/knärot/A 18081-2025 karta knärot.png", "A 18081-2025")</f>
        <v/>
      </c>
      <c r="V156">
        <f>HYPERLINK("https://klasma.github.io/Logging_2260/klagomål/A 18081-2025 FSC-klagomål.docx", "A 18081-2025")</f>
        <v/>
      </c>
      <c r="W156">
        <f>HYPERLINK("https://klasma.github.io/Logging_2260/klagomålsmail/A 18081-2025 FSC-klagomål mail.docx", "A 18081-2025")</f>
        <v/>
      </c>
      <c r="X156">
        <f>HYPERLINK("https://klasma.github.io/Logging_2260/tillsyn/A 18081-2025 tillsynsbegäran.docx", "A 18081-2025")</f>
        <v/>
      </c>
      <c r="Y156">
        <f>HYPERLINK("https://klasma.github.io/Logging_2260/tillsynsmail/A 18081-2025 tillsynsbegäran mail.docx", "A 18081-2025")</f>
        <v/>
      </c>
    </row>
    <row r="157" ht="15" customHeight="1">
      <c r="A157" t="inlineStr">
        <is>
          <t>A 48374-2024</t>
        </is>
      </c>
      <c r="B157" s="1" t="n">
        <v>45590.58028935185</v>
      </c>
      <c r="C157" s="1" t="n">
        <v>46079</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25034-2024</t>
        </is>
      </c>
      <c r="B158" s="1" t="n">
        <v>45461.96458333333</v>
      </c>
      <c r="C158" s="1" t="n">
        <v>46079</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48695-2024</t>
        </is>
      </c>
      <c r="B159" s="1" t="n">
        <v>45593.5109837963</v>
      </c>
      <c r="C159" s="1" t="n">
        <v>46079</v>
      </c>
      <c r="D159" t="inlineStr">
        <is>
          <t>VÄSTERNORRLANDS LÄN</t>
        </is>
      </c>
      <c r="E159" t="inlineStr">
        <is>
          <t>ÅNGE</t>
        </is>
      </c>
      <c r="F159" t="inlineStr">
        <is>
          <t>SCA</t>
        </is>
      </c>
      <c r="G159" t="n">
        <v>1.2</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48695-2024 artfynd.xlsx", "A 48695-2024")</f>
        <v/>
      </c>
      <c r="T159">
        <f>HYPERLINK("https://klasma.github.io/Logging_2260/kartor/A 48695-2024 karta.png", "A 48695-2024")</f>
        <v/>
      </c>
      <c r="V159">
        <f>HYPERLINK("https://klasma.github.io/Logging_2260/klagomål/A 48695-2024 FSC-klagomål.docx", "A 48695-2024")</f>
        <v/>
      </c>
      <c r="W159">
        <f>HYPERLINK("https://klasma.github.io/Logging_2260/klagomålsmail/A 48695-2024 FSC-klagomål mail.docx", "A 48695-2024")</f>
        <v/>
      </c>
      <c r="X159">
        <f>HYPERLINK("https://klasma.github.io/Logging_2260/tillsyn/A 48695-2024 tillsynsbegäran.docx", "A 48695-2024")</f>
        <v/>
      </c>
      <c r="Y159">
        <f>HYPERLINK("https://klasma.github.io/Logging_2260/tillsynsmail/A 48695-2024 tillsynsbegäran mail.docx", "A 48695-2024")</f>
        <v/>
      </c>
    </row>
    <row r="160" ht="15" customHeight="1">
      <c r="A160" t="inlineStr">
        <is>
          <t>A 49871-2024</t>
        </is>
      </c>
      <c r="B160" s="1" t="n">
        <v>45597.4903125</v>
      </c>
      <c r="C160" s="1" t="n">
        <v>46079</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8324-2025</t>
        </is>
      </c>
      <c r="B161" s="1" t="n">
        <v>45708.63621527778</v>
      </c>
      <c r="C161" s="1" t="n">
        <v>46079</v>
      </c>
      <c r="D161" t="inlineStr">
        <is>
          <t>VÄSTERNORRLANDS LÄN</t>
        </is>
      </c>
      <c r="E161" t="inlineStr">
        <is>
          <t>ÅNGE</t>
        </is>
      </c>
      <c r="F161" t="inlineStr">
        <is>
          <t>SCA</t>
        </is>
      </c>
      <c r="G161" t="n">
        <v>7.8</v>
      </c>
      <c r="H161" t="n">
        <v>0</v>
      </c>
      <c r="I161" t="n">
        <v>1</v>
      </c>
      <c r="J161" t="n">
        <v>1</v>
      </c>
      <c r="K161" t="n">
        <v>0</v>
      </c>
      <c r="L161" t="n">
        <v>0</v>
      </c>
      <c r="M161" t="n">
        <v>0</v>
      </c>
      <c r="N161" t="n">
        <v>0</v>
      </c>
      <c r="O161" t="n">
        <v>1</v>
      </c>
      <c r="P161" t="n">
        <v>0</v>
      </c>
      <c r="Q161" t="n">
        <v>2</v>
      </c>
      <c r="R161" s="2" t="inlineStr">
        <is>
          <t>Vitgrynig nållav
Bollvitmossa</t>
        </is>
      </c>
      <c r="S161">
        <f>HYPERLINK("https://klasma.github.io/Logging_2260/artfynd/A 8324-2025 artfynd.xlsx", "A 8324-2025")</f>
        <v/>
      </c>
      <c r="T161">
        <f>HYPERLINK("https://klasma.github.io/Logging_2260/kartor/A 8324-2025 karta.png", "A 8324-2025")</f>
        <v/>
      </c>
      <c r="V161">
        <f>HYPERLINK("https://klasma.github.io/Logging_2260/klagomål/A 8324-2025 FSC-klagomål.docx", "A 8324-2025")</f>
        <v/>
      </c>
      <c r="W161">
        <f>HYPERLINK("https://klasma.github.io/Logging_2260/klagomålsmail/A 8324-2025 FSC-klagomål mail.docx", "A 8324-2025")</f>
        <v/>
      </c>
      <c r="X161">
        <f>HYPERLINK("https://klasma.github.io/Logging_2260/tillsyn/A 8324-2025 tillsynsbegäran.docx", "A 8324-2025")</f>
        <v/>
      </c>
      <c r="Y161">
        <f>HYPERLINK("https://klasma.github.io/Logging_2260/tillsynsmail/A 8324-2025 tillsynsbegäran mail.docx", "A 8324-2025")</f>
        <v/>
      </c>
    </row>
    <row r="162" ht="15" customHeight="1">
      <c r="A162" t="inlineStr">
        <is>
          <t>A 4873-2025</t>
        </is>
      </c>
      <c r="B162" s="1" t="n">
        <v>45688.67633101852</v>
      </c>
      <c r="C162" s="1" t="n">
        <v>46079</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4873-2025 artfynd.xlsx", "A 4873-2025")</f>
        <v/>
      </c>
      <c r="T162">
        <f>HYPERLINK("https://klasma.github.io/Logging_2260/kartor/A 4873-2025 karta.png", "A 4873-2025")</f>
        <v/>
      </c>
      <c r="V162">
        <f>HYPERLINK("https://klasma.github.io/Logging_2260/klagomål/A 4873-2025 FSC-klagomål.docx", "A 4873-2025")</f>
        <v/>
      </c>
      <c r="W162">
        <f>HYPERLINK("https://klasma.github.io/Logging_2260/klagomålsmail/A 4873-2025 FSC-klagomål mail.docx", "A 4873-2025")</f>
        <v/>
      </c>
      <c r="X162">
        <f>HYPERLINK("https://klasma.github.io/Logging_2260/tillsyn/A 4873-2025 tillsynsbegäran.docx", "A 4873-2025")</f>
        <v/>
      </c>
      <c r="Y162">
        <f>HYPERLINK("https://klasma.github.io/Logging_2260/tillsynsmail/A 4873-2025 tillsynsbegäran mail.docx", "A 4873-2025")</f>
        <v/>
      </c>
    </row>
    <row r="163" ht="15" customHeight="1">
      <c r="A163" t="inlineStr">
        <is>
          <t>A 57089-2024</t>
        </is>
      </c>
      <c r="B163" s="1" t="n">
        <v>45629.35665509259</v>
      </c>
      <c r="C163" s="1" t="n">
        <v>46079</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38298-2025</t>
        </is>
      </c>
      <c r="B164" s="1" t="n">
        <v>45883.4568287037</v>
      </c>
      <c r="C164" s="1" t="n">
        <v>46079</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165-2025</t>
        </is>
      </c>
      <c r="B165" s="1" t="n">
        <v>45659</v>
      </c>
      <c r="C165" s="1" t="n">
        <v>46079</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21453-2025</t>
        </is>
      </c>
      <c r="B166" s="1" t="n">
        <v>45782.55311342593</v>
      </c>
      <c r="C166" s="1" t="n">
        <v>46079</v>
      </c>
      <c r="D166" t="inlineStr">
        <is>
          <t>VÄSTERNORRLANDS LÄN</t>
        </is>
      </c>
      <c r="E166" t="inlineStr">
        <is>
          <t>ÅNGE</t>
        </is>
      </c>
      <c r="F166" t="inlineStr">
        <is>
          <t>SCA</t>
        </is>
      </c>
      <c r="G166" t="n">
        <v>1</v>
      </c>
      <c r="H166" t="n">
        <v>0</v>
      </c>
      <c r="I166" t="n">
        <v>2</v>
      </c>
      <c r="J166" t="n">
        <v>0</v>
      </c>
      <c r="K166" t="n">
        <v>0</v>
      </c>
      <c r="L166" t="n">
        <v>0</v>
      </c>
      <c r="M166" t="n">
        <v>0</v>
      </c>
      <c r="N166" t="n">
        <v>0</v>
      </c>
      <c r="O166" t="n">
        <v>0</v>
      </c>
      <c r="P166" t="n">
        <v>0</v>
      </c>
      <c r="Q166" t="n">
        <v>2</v>
      </c>
      <c r="R166" s="2" t="inlineStr">
        <is>
          <t>Svart trolldruva
Tibast</t>
        </is>
      </c>
      <c r="S166">
        <f>HYPERLINK("https://klasma.github.io/Logging_2260/artfynd/A 21453-2025 artfynd.xlsx", "A 21453-2025")</f>
        <v/>
      </c>
      <c r="T166">
        <f>HYPERLINK("https://klasma.github.io/Logging_2260/kartor/A 21453-2025 karta.png", "A 21453-2025")</f>
        <v/>
      </c>
      <c r="V166">
        <f>HYPERLINK("https://klasma.github.io/Logging_2260/klagomål/A 21453-2025 FSC-klagomål.docx", "A 21453-2025")</f>
        <v/>
      </c>
      <c r="W166">
        <f>HYPERLINK("https://klasma.github.io/Logging_2260/klagomålsmail/A 21453-2025 FSC-klagomål mail.docx", "A 21453-2025")</f>
        <v/>
      </c>
      <c r="X166">
        <f>HYPERLINK("https://klasma.github.io/Logging_2260/tillsyn/A 21453-2025 tillsynsbegäran.docx", "A 21453-2025")</f>
        <v/>
      </c>
      <c r="Y166">
        <f>HYPERLINK("https://klasma.github.io/Logging_2260/tillsynsmail/A 21453-2025 tillsynsbegäran mail.docx", "A 21453-2025")</f>
        <v/>
      </c>
    </row>
    <row r="167" ht="15" customHeight="1">
      <c r="A167" t="inlineStr">
        <is>
          <t>A 29325-2023</t>
        </is>
      </c>
      <c r="B167" s="1" t="n">
        <v>45105</v>
      </c>
      <c r="C167" s="1" t="n">
        <v>46079</v>
      </c>
      <c r="D167" t="inlineStr">
        <is>
          <t>VÄSTERNORRLANDS LÄN</t>
        </is>
      </c>
      <c r="E167" t="inlineStr">
        <is>
          <t>ÅNGE</t>
        </is>
      </c>
      <c r="G167" t="n">
        <v>12.4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HYPERLINK("https://klasma.github.io/Logging_2260/artfynd/A 29325-2023 artfynd.xlsx", "A 29325-2023")</f>
        <v/>
      </c>
      <c r="T167">
        <f>HYPERLINK("https://klasma.github.io/Logging_2260/kartor/A 29325-2023 karta.png", "A 29325-2023")</f>
        <v/>
      </c>
      <c r="V167">
        <f>HYPERLINK("https://klasma.github.io/Logging_2260/klagomål/A 29325-2023 FSC-klagomål.docx", "A 29325-2023")</f>
        <v/>
      </c>
      <c r="W167">
        <f>HYPERLINK("https://klasma.github.io/Logging_2260/klagomålsmail/A 29325-2023 FSC-klagomål mail.docx", "A 29325-2023")</f>
        <v/>
      </c>
      <c r="X167">
        <f>HYPERLINK("https://klasma.github.io/Logging_2260/tillsyn/A 29325-2023 tillsynsbegäran.docx", "A 29325-2023")</f>
        <v/>
      </c>
      <c r="Y167">
        <f>HYPERLINK("https://klasma.github.io/Logging_2260/tillsynsmail/A 29325-2023 tillsynsbegäran mail.docx", "A 29325-2023")</f>
        <v/>
      </c>
    </row>
    <row r="168" ht="15" customHeight="1">
      <c r="A168" t="inlineStr">
        <is>
          <t>A 4093-2025</t>
        </is>
      </c>
      <c r="B168" s="1" t="n">
        <v>45684.67762731481</v>
      </c>
      <c r="C168" s="1" t="n">
        <v>46079</v>
      </c>
      <c r="D168" t="inlineStr">
        <is>
          <t>VÄSTERNORRLANDS LÄN</t>
        </is>
      </c>
      <c r="E168" t="inlineStr">
        <is>
          <t>ÅNGE</t>
        </is>
      </c>
      <c r="F168" t="inlineStr">
        <is>
          <t>SCA</t>
        </is>
      </c>
      <c r="G168" t="n">
        <v>2.6</v>
      </c>
      <c r="H168" t="n">
        <v>1</v>
      </c>
      <c r="I168" t="n">
        <v>2</v>
      </c>
      <c r="J168" t="n">
        <v>0</v>
      </c>
      <c r="K168" t="n">
        <v>0</v>
      </c>
      <c r="L168" t="n">
        <v>0</v>
      </c>
      <c r="M168" t="n">
        <v>0</v>
      </c>
      <c r="N168" t="n">
        <v>0</v>
      </c>
      <c r="O168" t="n">
        <v>0</v>
      </c>
      <c r="P168" t="n">
        <v>0</v>
      </c>
      <c r="Q168" t="n">
        <v>2</v>
      </c>
      <c r="R168" s="2" t="inlineStr">
        <is>
          <t>Kransrams
Spindelblomster</t>
        </is>
      </c>
      <c r="S168">
        <f>HYPERLINK("https://klasma.github.io/Logging_2260/artfynd/A 4093-2025 artfynd.xlsx", "A 4093-2025")</f>
        <v/>
      </c>
      <c r="T168">
        <f>HYPERLINK("https://klasma.github.io/Logging_2260/kartor/A 4093-2025 karta.png", "A 4093-2025")</f>
        <v/>
      </c>
      <c r="V168">
        <f>HYPERLINK("https://klasma.github.io/Logging_2260/klagomål/A 4093-2025 FSC-klagomål.docx", "A 4093-2025")</f>
        <v/>
      </c>
      <c r="W168">
        <f>HYPERLINK("https://klasma.github.io/Logging_2260/klagomålsmail/A 4093-2025 FSC-klagomål mail.docx", "A 4093-2025")</f>
        <v/>
      </c>
      <c r="X168">
        <f>HYPERLINK("https://klasma.github.io/Logging_2260/tillsyn/A 4093-2025 tillsynsbegäran.docx", "A 4093-2025")</f>
        <v/>
      </c>
      <c r="Y168">
        <f>HYPERLINK("https://klasma.github.io/Logging_2260/tillsynsmail/A 4093-2025 tillsynsbegäran mail.docx", "A 4093-2025")</f>
        <v/>
      </c>
    </row>
    <row r="169" ht="15" customHeight="1">
      <c r="A169" t="inlineStr">
        <is>
          <t>A 42864-2025</t>
        </is>
      </c>
      <c r="B169" s="1" t="n">
        <v>45908</v>
      </c>
      <c r="C169" s="1" t="n">
        <v>46079</v>
      </c>
      <c r="D169" t="inlineStr">
        <is>
          <t>VÄSTERNORRLANDS LÄN</t>
        </is>
      </c>
      <c r="E169" t="inlineStr">
        <is>
          <t>ÅNGE</t>
        </is>
      </c>
      <c r="G169" t="n">
        <v>2.9</v>
      </c>
      <c r="H169" t="n">
        <v>0</v>
      </c>
      <c r="I169" t="n">
        <v>0</v>
      </c>
      <c r="J169" t="n">
        <v>2</v>
      </c>
      <c r="K169" t="n">
        <v>0</v>
      </c>
      <c r="L169" t="n">
        <v>0</v>
      </c>
      <c r="M169" t="n">
        <v>0</v>
      </c>
      <c r="N169" t="n">
        <v>0</v>
      </c>
      <c r="O169" t="n">
        <v>2</v>
      </c>
      <c r="P169" t="n">
        <v>0</v>
      </c>
      <c r="Q169" t="n">
        <v>2</v>
      </c>
      <c r="R169" s="2" t="inlineStr">
        <is>
          <t>Mörk kolflarnlav
Vedflamlav</t>
        </is>
      </c>
      <c r="S169">
        <f>HYPERLINK("https://klasma.github.io/Logging_2260/artfynd/A 42864-2025 artfynd.xlsx", "A 42864-2025")</f>
        <v/>
      </c>
      <c r="T169">
        <f>HYPERLINK("https://klasma.github.io/Logging_2260/kartor/A 42864-2025 karta.png", "A 42864-2025")</f>
        <v/>
      </c>
      <c r="V169">
        <f>HYPERLINK("https://klasma.github.io/Logging_2260/klagomål/A 42864-2025 FSC-klagomål.docx", "A 42864-2025")</f>
        <v/>
      </c>
      <c r="W169">
        <f>HYPERLINK("https://klasma.github.io/Logging_2260/klagomålsmail/A 42864-2025 FSC-klagomål mail.docx", "A 42864-2025")</f>
        <v/>
      </c>
      <c r="X169">
        <f>HYPERLINK("https://klasma.github.io/Logging_2260/tillsyn/A 42864-2025 tillsynsbegäran.docx", "A 42864-2025")</f>
        <v/>
      </c>
      <c r="Y169">
        <f>HYPERLINK("https://klasma.github.io/Logging_2260/tillsynsmail/A 42864-2025 tillsynsbegäran mail.docx", "A 42864-2025")</f>
        <v/>
      </c>
    </row>
    <row r="170" ht="15" customHeight="1">
      <c r="A170" t="inlineStr">
        <is>
          <t>A 24176-2025</t>
        </is>
      </c>
      <c r="B170" s="1" t="n">
        <v>45796.69832175926</v>
      </c>
      <c r="C170" s="1" t="n">
        <v>46079</v>
      </c>
      <c r="D170" t="inlineStr">
        <is>
          <t>VÄSTERNORRLANDS LÄN</t>
        </is>
      </c>
      <c r="E170" t="inlineStr">
        <is>
          <t>ÅNGE</t>
        </is>
      </c>
      <c r="F170" t="inlineStr">
        <is>
          <t>SCA</t>
        </is>
      </c>
      <c r="G170" t="n">
        <v>3.9</v>
      </c>
      <c r="H170" t="n">
        <v>0</v>
      </c>
      <c r="I170" t="n">
        <v>1</v>
      </c>
      <c r="J170" t="n">
        <v>1</v>
      </c>
      <c r="K170" t="n">
        <v>0</v>
      </c>
      <c r="L170" t="n">
        <v>0</v>
      </c>
      <c r="M170" t="n">
        <v>0</v>
      </c>
      <c r="N170" t="n">
        <v>0</v>
      </c>
      <c r="O170" t="n">
        <v>1</v>
      </c>
      <c r="P170" t="n">
        <v>0</v>
      </c>
      <c r="Q170" t="n">
        <v>2</v>
      </c>
      <c r="R170" s="2" t="inlineStr">
        <is>
          <t>Vitgrynig nållav
Vedticka</t>
        </is>
      </c>
      <c r="S170">
        <f>HYPERLINK("https://klasma.github.io/Logging_2260/artfynd/A 24176-2025 artfynd.xlsx", "A 24176-2025")</f>
        <v/>
      </c>
      <c r="T170">
        <f>HYPERLINK("https://klasma.github.io/Logging_2260/kartor/A 24176-2025 karta.png", "A 24176-2025")</f>
        <v/>
      </c>
      <c r="V170">
        <f>HYPERLINK("https://klasma.github.io/Logging_2260/klagomål/A 24176-2025 FSC-klagomål.docx", "A 24176-2025")</f>
        <v/>
      </c>
      <c r="W170">
        <f>HYPERLINK("https://klasma.github.io/Logging_2260/klagomålsmail/A 24176-2025 FSC-klagomål mail.docx", "A 24176-2025")</f>
        <v/>
      </c>
      <c r="X170">
        <f>HYPERLINK("https://klasma.github.io/Logging_2260/tillsyn/A 24176-2025 tillsynsbegäran.docx", "A 24176-2025")</f>
        <v/>
      </c>
      <c r="Y170">
        <f>HYPERLINK("https://klasma.github.io/Logging_2260/tillsynsmail/A 24176-2025 tillsynsbegäran mail.docx", "A 24176-2025")</f>
        <v/>
      </c>
    </row>
    <row r="171" ht="15" customHeight="1">
      <c r="A171" t="inlineStr">
        <is>
          <t>A 43721-2025</t>
        </is>
      </c>
      <c r="B171" s="1" t="n">
        <v>45912.42800925926</v>
      </c>
      <c r="C171" s="1" t="n">
        <v>46079</v>
      </c>
      <c r="D171" t="inlineStr">
        <is>
          <t>VÄSTERNORRLANDS LÄN</t>
        </is>
      </c>
      <c r="E171" t="inlineStr">
        <is>
          <t>ÅNGE</t>
        </is>
      </c>
      <c r="F171" t="inlineStr">
        <is>
          <t>SCA</t>
        </is>
      </c>
      <c r="G171" t="n">
        <v>9.9</v>
      </c>
      <c r="H171" t="n">
        <v>1</v>
      </c>
      <c r="I171" t="n">
        <v>1</v>
      </c>
      <c r="J171" t="n">
        <v>0</v>
      </c>
      <c r="K171" t="n">
        <v>1</v>
      </c>
      <c r="L171" t="n">
        <v>0</v>
      </c>
      <c r="M171" t="n">
        <v>0</v>
      </c>
      <c r="N171" t="n">
        <v>0</v>
      </c>
      <c r="O171" t="n">
        <v>1</v>
      </c>
      <c r="P171" t="n">
        <v>1</v>
      </c>
      <c r="Q171" t="n">
        <v>2</v>
      </c>
      <c r="R171" s="2" t="inlineStr">
        <is>
          <t>Knärot
Svavelriska</t>
        </is>
      </c>
      <c r="S171">
        <f>HYPERLINK("https://klasma.github.io/Logging_2260/artfynd/A 43721-2025 artfynd.xlsx", "A 43721-2025")</f>
        <v/>
      </c>
      <c r="T171">
        <f>HYPERLINK("https://klasma.github.io/Logging_2260/kartor/A 43721-2025 karta.png", "A 43721-2025")</f>
        <v/>
      </c>
      <c r="U171">
        <f>HYPERLINK("https://klasma.github.io/Logging_2260/knärot/A 43721-2025 karta knärot.png", "A 43721-2025")</f>
        <v/>
      </c>
      <c r="V171">
        <f>HYPERLINK("https://klasma.github.io/Logging_2260/klagomål/A 43721-2025 FSC-klagomål.docx", "A 43721-2025")</f>
        <v/>
      </c>
      <c r="W171">
        <f>HYPERLINK("https://klasma.github.io/Logging_2260/klagomålsmail/A 43721-2025 FSC-klagomål mail.docx", "A 43721-2025")</f>
        <v/>
      </c>
      <c r="X171">
        <f>HYPERLINK("https://klasma.github.io/Logging_2260/tillsyn/A 43721-2025 tillsynsbegäran.docx", "A 43721-2025")</f>
        <v/>
      </c>
      <c r="Y171">
        <f>HYPERLINK("https://klasma.github.io/Logging_2260/tillsynsmail/A 43721-2025 tillsynsbegäran mail.docx", "A 43721-2025")</f>
        <v/>
      </c>
    </row>
    <row r="172" ht="15" customHeight="1">
      <c r="A172" t="inlineStr">
        <is>
          <t>A 31493-2024</t>
        </is>
      </c>
      <c r="B172" s="1" t="n">
        <v>45505</v>
      </c>
      <c r="C172" s="1" t="n">
        <v>46079</v>
      </c>
      <c r="D172" t="inlineStr">
        <is>
          <t>VÄSTERNORRLANDS LÄN</t>
        </is>
      </c>
      <c r="E172" t="inlineStr">
        <is>
          <t>ÅNGE</t>
        </is>
      </c>
      <c r="F172" t="inlineStr">
        <is>
          <t>SCA</t>
        </is>
      </c>
      <c r="G172" t="n">
        <v>4.4</v>
      </c>
      <c r="H172" t="n">
        <v>1</v>
      </c>
      <c r="I172" t="n">
        <v>1</v>
      </c>
      <c r="J172" t="n">
        <v>0</v>
      </c>
      <c r="K172" t="n">
        <v>1</v>
      </c>
      <c r="L172" t="n">
        <v>0</v>
      </c>
      <c r="M172" t="n">
        <v>0</v>
      </c>
      <c r="N172" t="n">
        <v>0</v>
      </c>
      <c r="O172" t="n">
        <v>1</v>
      </c>
      <c r="P172" t="n">
        <v>1</v>
      </c>
      <c r="Q172" t="n">
        <v>2</v>
      </c>
      <c r="R172" s="2" t="inlineStr">
        <is>
          <t>Knärot
Korallblylav</t>
        </is>
      </c>
      <c r="S172">
        <f>HYPERLINK("https://klasma.github.io/Logging_2260/artfynd/A 31493-2024 artfynd.xlsx", "A 31493-2024")</f>
        <v/>
      </c>
      <c r="T172">
        <f>HYPERLINK("https://klasma.github.io/Logging_2260/kartor/A 31493-2024 karta.png", "A 31493-2024")</f>
        <v/>
      </c>
      <c r="U172">
        <f>HYPERLINK("https://klasma.github.io/Logging_2260/knärot/A 31493-2024 karta knärot.png", "A 31493-2024")</f>
        <v/>
      </c>
      <c r="V172">
        <f>HYPERLINK("https://klasma.github.io/Logging_2260/klagomål/A 31493-2024 FSC-klagomål.docx", "A 31493-2024")</f>
        <v/>
      </c>
      <c r="W172">
        <f>HYPERLINK("https://klasma.github.io/Logging_2260/klagomålsmail/A 31493-2024 FSC-klagomål mail.docx", "A 31493-2024")</f>
        <v/>
      </c>
      <c r="X172">
        <f>HYPERLINK("https://klasma.github.io/Logging_2260/tillsyn/A 31493-2024 tillsynsbegäran.docx", "A 31493-2024")</f>
        <v/>
      </c>
      <c r="Y172">
        <f>HYPERLINK("https://klasma.github.io/Logging_2260/tillsynsmail/A 31493-2024 tillsynsbegäran mail.docx", "A 31493-2024")</f>
        <v/>
      </c>
    </row>
    <row r="173" ht="15" customHeight="1">
      <c r="A173" t="inlineStr">
        <is>
          <t>A 26906-2025</t>
        </is>
      </c>
      <c r="B173" s="1" t="n">
        <v>45811.34552083333</v>
      </c>
      <c r="C173" s="1" t="n">
        <v>46079</v>
      </c>
      <c r="D173" t="inlineStr">
        <is>
          <t>VÄSTERNORRLANDS LÄN</t>
        </is>
      </c>
      <c r="E173" t="inlineStr">
        <is>
          <t>ÅNGE</t>
        </is>
      </c>
      <c r="F173" t="inlineStr">
        <is>
          <t>SCA</t>
        </is>
      </c>
      <c r="G173" t="n">
        <v>7</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26906-2025 artfynd.xlsx", "A 26906-2025")</f>
        <v/>
      </c>
      <c r="T173">
        <f>HYPERLINK("https://klasma.github.io/Logging_2260/kartor/A 26906-2025 karta.png", "A 26906-2025")</f>
        <v/>
      </c>
      <c r="V173">
        <f>HYPERLINK("https://klasma.github.io/Logging_2260/klagomål/A 26906-2025 FSC-klagomål.docx", "A 26906-2025")</f>
        <v/>
      </c>
      <c r="W173">
        <f>HYPERLINK("https://klasma.github.io/Logging_2260/klagomålsmail/A 26906-2025 FSC-klagomål mail.docx", "A 26906-2025")</f>
        <v/>
      </c>
      <c r="X173">
        <f>HYPERLINK("https://klasma.github.io/Logging_2260/tillsyn/A 26906-2025 tillsynsbegäran.docx", "A 26906-2025")</f>
        <v/>
      </c>
      <c r="Y173">
        <f>HYPERLINK("https://klasma.github.io/Logging_2260/tillsynsmail/A 26906-2025 tillsynsbegäran mail.docx", "A 26906-2025")</f>
        <v/>
      </c>
    </row>
    <row r="174" ht="15" customHeight="1">
      <c r="A174" t="inlineStr">
        <is>
          <t>A 53683-2025</t>
        </is>
      </c>
      <c r="B174" s="1" t="n">
        <v>45960</v>
      </c>
      <c r="C174" s="1" t="n">
        <v>46079</v>
      </c>
      <c r="D174" t="inlineStr">
        <is>
          <t>VÄSTERNORRLANDS LÄN</t>
        </is>
      </c>
      <c r="E174" t="inlineStr">
        <is>
          <t>ÅNGE</t>
        </is>
      </c>
      <c r="F174" t="inlineStr">
        <is>
          <t>SCA</t>
        </is>
      </c>
      <c r="G174" t="n">
        <v>3.6</v>
      </c>
      <c r="H174" t="n">
        <v>1</v>
      </c>
      <c r="I174" t="n">
        <v>1</v>
      </c>
      <c r="J174" t="n">
        <v>1</v>
      </c>
      <c r="K174" t="n">
        <v>0</v>
      </c>
      <c r="L174" t="n">
        <v>0</v>
      </c>
      <c r="M174" t="n">
        <v>0</v>
      </c>
      <c r="N174" t="n">
        <v>0</v>
      </c>
      <c r="O174" t="n">
        <v>1</v>
      </c>
      <c r="P174" t="n">
        <v>0</v>
      </c>
      <c r="Q174" t="n">
        <v>2</v>
      </c>
      <c r="R174" s="2" t="inlineStr">
        <is>
          <t>Talltita
Ögonpyrola</t>
        </is>
      </c>
      <c r="S174">
        <f>HYPERLINK("https://klasma.github.io/Logging_2260/artfynd/A 53683-2025 artfynd.xlsx", "A 53683-2025")</f>
        <v/>
      </c>
      <c r="T174">
        <f>HYPERLINK("https://klasma.github.io/Logging_2260/kartor/A 53683-2025 karta.png", "A 53683-2025")</f>
        <v/>
      </c>
      <c r="U174">
        <f>HYPERLINK("https://klasma.github.io/Logging_2260/knärot/A 53683-2025 karta knärot.png", "A 53683-2025")</f>
        <v/>
      </c>
      <c r="V174">
        <f>HYPERLINK("https://klasma.github.io/Logging_2260/klagomål/A 53683-2025 FSC-klagomål.docx", "A 53683-2025")</f>
        <v/>
      </c>
      <c r="W174">
        <f>HYPERLINK("https://klasma.github.io/Logging_2260/klagomålsmail/A 53683-2025 FSC-klagomål mail.docx", "A 53683-2025")</f>
        <v/>
      </c>
      <c r="X174">
        <f>HYPERLINK("https://klasma.github.io/Logging_2260/tillsyn/A 53683-2025 tillsynsbegäran.docx", "A 53683-2025")</f>
        <v/>
      </c>
      <c r="Y174">
        <f>HYPERLINK("https://klasma.github.io/Logging_2260/tillsynsmail/A 53683-2025 tillsynsbegäran mail.docx", "A 53683-2025")</f>
        <v/>
      </c>
      <c r="Z174">
        <f>HYPERLINK("https://klasma.github.io/Logging_2260/fåglar/A 53683-2025 prioriterade fågelarter.docx", "A 53683-2025")</f>
        <v/>
      </c>
    </row>
    <row r="175" ht="15" customHeight="1">
      <c r="A175" t="inlineStr">
        <is>
          <t>A 17861-2023</t>
        </is>
      </c>
      <c r="B175" s="1" t="n">
        <v>45037.94171296297</v>
      </c>
      <c r="C175" s="1" t="n">
        <v>46079</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54625-2025</t>
        </is>
      </c>
      <c r="B176" s="1" t="n">
        <v>45966.34552083333</v>
      </c>
      <c r="C176" s="1" t="n">
        <v>46079</v>
      </c>
      <c r="D176" t="inlineStr">
        <is>
          <t>VÄSTERNORRLANDS LÄN</t>
        </is>
      </c>
      <c r="E176" t="inlineStr">
        <is>
          <t>ÅNGE</t>
        </is>
      </c>
      <c r="F176" t="inlineStr">
        <is>
          <t>SCA</t>
        </is>
      </c>
      <c r="G176" t="n">
        <v>2.5</v>
      </c>
      <c r="H176" t="n">
        <v>1</v>
      </c>
      <c r="I176" t="n">
        <v>1</v>
      </c>
      <c r="J176" t="n">
        <v>1</v>
      </c>
      <c r="K176" t="n">
        <v>0</v>
      </c>
      <c r="L176" t="n">
        <v>0</v>
      </c>
      <c r="M176" t="n">
        <v>0</v>
      </c>
      <c r="N176" t="n">
        <v>0</v>
      </c>
      <c r="O176" t="n">
        <v>1</v>
      </c>
      <c r="P176" t="n">
        <v>0</v>
      </c>
      <c r="Q176" t="n">
        <v>2</v>
      </c>
      <c r="R176" s="2" t="inlineStr">
        <is>
          <t>Talltita
Dropptaggsvamp</t>
        </is>
      </c>
      <c r="S176">
        <f>HYPERLINK("https://klasma.github.io/Logging_2260/artfynd/A 54625-2025 artfynd.xlsx", "A 54625-2025")</f>
        <v/>
      </c>
      <c r="T176">
        <f>HYPERLINK("https://klasma.github.io/Logging_2260/kartor/A 54625-2025 karta.png", "A 54625-2025")</f>
        <v/>
      </c>
      <c r="V176">
        <f>HYPERLINK("https://klasma.github.io/Logging_2260/klagomål/A 54625-2025 FSC-klagomål.docx", "A 54625-2025")</f>
        <v/>
      </c>
      <c r="W176">
        <f>HYPERLINK("https://klasma.github.io/Logging_2260/klagomålsmail/A 54625-2025 FSC-klagomål mail.docx", "A 54625-2025")</f>
        <v/>
      </c>
      <c r="X176">
        <f>HYPERLINK("https://klasma.github.io/Logging_2260/tillsyn/A 54625-2025 tillsynsbegäran.docx", "A 54625-2025")</f>
        <v/>
      </c>
      <c r="Y176">
        <f>HYPERLINK("https://klasma.github.io/Logging_2260/tillsynsmail/A 54625-2025 tillsynsbegäran mail.docx", "A 54625-2025")</f>
        <v/>
      </c>
      <c r="Z176">
        <f>HYPERLINK("https://klasma.github.io/Logging_2260/fåglar/A 54625-2025 prioriterade fågelarter.docx", "A 54625-2025")</f>
        <v/>
      </c>
    </row>
    <row r="177" ht="15" customHeight="1">
      <c r="A177" t="inlineStr">
        <is>
          <t>A 62861-2021</t>
        </is>
      </c>
      <c r="B177" s="1" t="n">
        <v>44503</v>
      </c>
      <c r="C177" s="1" t="n">
        <v>46079</v>
      </c>
      <c r="D177" t="inlineStr">
        <is>
          <t>VÄSTERNORRLANDS LÄN</t>
        </is>
      </c>
      <c r="E177" t="inlineStr">
        <is>
          <t>ÅNGE</t>
        </is>
      </c>
      <c r="F177" t="inlineStr">
        <is>
          <t>Övriga statliga verk och myndigheter</t>
        </is>
      </c>
      <c r="G177" t="n">
        <v>12.1</v>
      </c>
      <c r="H177" t="n">
        <v>1</v>
      </c>
      <c r="I177" t="n">
        <v>0</v>
      </c>
      <c r="J177" t="n">
        <v>1</v>
      </c>
      <c r="K177" t="n">
        <v>1</v>
      </c>
      <c r="L177" t="n">
        <v>0</v>
      </c>
      <c r="M177" t="n">
        <v>0</v>
      </c>
      <c r="N177" t="n">
        <v>0</v>
      </c>
      <c r="O177" t="n">
        <v>2</v>
      </c>
      <c r="P177" t="n">
        <v>1</v>
      </c>
      <c r="Q177" t="n">
        <v>2</v>
      </c>
      <c r="R177" s="2" t="inlineStr">
        <is>
          <t>Knärot
Rosenticka</t>
        </is>
      </c>
      <c r="S177">
        <f>HYPERLINK("https://klasma.github.io/Logging_2260/artfynd/A 62861-2021 artfynd.xlsx", "A 62861-2021")</f>
        <v/>
      </c>
      <c r="T177">
        <f>HYPERLINK("https://klasma.github.io/Logging_2260/kartor/A 62861-2021 karta.png", "A 62861-2021")</f>
        <v/>
      </c>
      <c r="U177">
        <f>HYPERLINK("https://klasma.github.io/Logging_2260/knärot/A 62861-2021 karta knärot.png", "A 62861-2021")</f>
        <v/>
      </c>
      <c r="V177">
        <f>HYPERLINK("https://klasma.github.io/Logging_2260/klagomål/A 62861-2021 FSC-klagomål.docx", "A 62861-2021")</f>
        <v/>
      </c>
      <c r="W177">
        <f>HYPERLINK("https://klasma.github.io/Logging_2260/klagomålsmail/A 62861-2021 FSC-klagomål mail.docx", "A 62861-2021")</f>
        <v/>
      </c>
      <c r="X177">
        <f>HYPERLINK("https://klasma.github.io/Logging_2260/tillsyn/A 62861-2021 tillsynsbegäran.docx", "A 62861-2021")</f>
        <v/>
      </c>
      <c r="Y177">
        <f>HYPERLINK("https://klasma.github.io/Logging_2260/tillsynsmail/A 62861-2021 tillsynsbegäran mail.docx", "A 62861-2021")</f>
        <v/>
      </c>
    </row>
    <row r="178" ht="15" customHeight="1">
      <c r="A178" t="inlineStr">
        <is>
          <t>A 55178-2024</t>
        </is>
      </c>
      <c r="B178" s="1" t="n">
        <v>45621</v>
      </c>
      <c r="C178" s="1" t="n">
        <v>46079</v>
      </c>
      <c r="D178" t="inlineStr">
        <is>
          <t>VÄSTERNORRLANDS LÄN</t>
        </is>
      </c>
      <c r="E178" t="inlineStr">
        <is>
          <t>ÅNGE</t>
        </is>
      </c>
      <c r="F178" t="inlineStr">
        <is>
          <t>SCA</t>
        </is>
      </c>
      <c r="G178" t="n">
        <v>4.8</v>
      </c>
      <c r="H178" t="n">
        <v>1</v>
      </c>
      <c r="I178" t="n">
        <v>0</v>
      </c>
      <c r="J178" t="n">
        <v>1</v>
      </c>
      <c r="K178" t="n">
        <v>1</v>
      </c>
      <c r="L178" t="n">
        <v>0</v>
      </c>
      <c r="M178" t="n">
        <v>0</v>
      </c>
      <c r="N178" t="n">
        <v>0</v>
      </c>
      <c r="O178" t="n">
        <v>2</v>
      </c>
      <c r="P178" t="n">
        <v>1</v>
      </c>
      <c r="Q178" t="n">
        <v>2</v>
      </c>
      <c r="R178" s="2" t="inlineStr">
        <is>
          <t>Knärot
Stiftgelélav</t>
        </is>
      </c>
      <c r="S178">
        <f>HYPERLINK("https://klasma.github.io/Logging_2260/artfynd/A 55178-2024 artfynd.xlsx", "A 55178-2024")</f>
        <v/>
      </c>
      <c r="T178">
        <f>HYPERLINK("https://klasma.github.io/Logging_2260/kartor/A 55178-2024 karta.png", "A 55178-2024")</f>
        <v/>
      </c>
      <c r="U178">
        <f>HYPERLINK("https://klasma.github.io/Logging_2260/knärot/A 55178-2024 karta knärot.png", "A 55178-2024")</f>
        <v/>
      </c>
      <c r="V178">
        <f>HYPERLINK("https://klasma.github.io/Logging_2260/klagomål/A 55178-2024 FSC-klagomål.docx", "A 55178-2024")</f>
        <v/>
      </c>
      <c r="W178">
        <f>HYPERLINK("https://klasma.github.io/Logging_2260/klagomålsmail/A 55178-2024 FSC-klagomål mail.docx", "A 55178-2024")</f>
        <v/>
      </c>
      <c r="X178">
        <f>HYPERLINK("https://klasma.github.io/Logging_2260/tillsyn/A 55178-2024 tillsynsbegäran.docx", "A 55178-2024")</f>
        <v/>
      </c>
      <c r="Y178">
        <f>HYPERLINK("https://klasma.github.io/Logging_2260/tillsynsmail/A 55178-2024 tillsynsbegäran mail.docx", "A 55178-2024")</f>
        <v/>
      </c>
    </row>
    <row r="179" ht="15" customHeight="1">
      <c r="A179" t="inlineStr">
        <is>
          <t>A 55591-2021</t>
        </is>
      </c>
      <c r="B179" s="1" t="n">
        <v>44475</v>
      </c>
      <c r="C179" s="1" t="n">
        <v>46079</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36414-2025</t>
        </is>
      </c>
      <c r="B180" s="1" t="n">
        <v>45868.69246527777</v>
      </c>
      <c r="C180" s="1" t="n">
        <v>46079</v>
      </c>
      <c r="D180" t="inlineStr">
        <is>
          <t>VÄSTERNORRLANDS LÄN</t>
        </is>
      </c>
      <c r="E180" t="inlineStr">
        <is>
          <t>ÅNGE</t>
        </is>
      </c>
      <c r="G180" t="n">
        <v>5.4</v>
      </c>
      <c r="H180" t="n">
        <v>0</v>
      </c>
      <c r="I180" t="n">
        <v>0</v>
      </c>
      <c r="J180" t="n">
        <v>2</v>
      </c>
      <c r="K180" t="n">
        <v>0</v>
      </c>
      <c r="L180" t="n">
        <v>0</v>
      </c>
      <c r="M180" t="n">
        <v>0</v>
      </c>
      <c r="N180" t="n">
        <v>0</v>
      </c>
      <c r="O180" t="n">
        <v>2</v>
      </c>
      <c r="P180" t="n">
        <v>0</v>
      </c>
      <c r="Q180" t="n">
        <v>2</v>
      </c>
      <c r="R180" s="2" t="inlineStr">
        <is>
          <t>Kolflarnlav
Lunglav</t>
        </is>
      </c>
      <c r="S180">
        <f>HYPERLINK("https://klasma.github.io/Logging_2260/artfynd/A 36414-2025 artfynd.xlsx", "A 36414-2025")</f>
        <v/>
      </c>
      <c r="T180">
        <f>HYPERLINK("https://klasma.github.io/Logging_2260/kartor/A 36414-2025 karta.png", "A 36414-2025")</f>
        <v/>
      </c>
      <c r="V180">
        <f>HYPERLINK("https://klasma.github.io/Logging_2260/klagomål/A 36414-2025 FSC-klagomål.docx", "A 36414-2025")</f>
        <v/>
      </c>
      <c r="W180">
        <f>HYPERLINK("https://klasma.github.io/Logging_2260/klagomålsmail/A 36414-2025 FSC-klagomål mail.docx", "A 36414-2025")</f>
        <v/>
      </c>
      <c r="X180">
        <f>HYPERLINK("https://klasma.github.io/Logging_2260/tillsyn/A 36414-2025 tillsynsbegäran.docx", "A 36414-2025")</f>
        <v/>
      </c>
      <c r="Y180">
        <f>HYPERLINK("https://klasma.github.io/Logging_2260/tillsynsmail/A 36414-2025 tillsynsbegäran mail.docx", "A 36414-2025")</f>
        <v/>
      </c>
    </row>
    <row r="181" ht="15" customHeight="1">
      <c r="A181" t="inlineStr">
        <is>
          <t>A 37800-2025</t>
        </is>
      </c>
      <c r="B181" s="1" t="n">
        <v>45881.34420138889</v>
      </c>
      <c r="C181" s="1" t="n">
        <v>46079</v>
      </c>
      <c r="D181" t="inlineStr">
        <is>
          <t>VÄSTERNORRLANDS LÄN</t>
        </is>
      </c>
      <c r="E181" t="inlineStr">
        <is>
          <t>ÅNGE</t>
        </is>
      </c>
      <c r="F181" t="inlineStr">
        <is>
          <t>SCA</t>
        </is>
      </c>
      <c r="G181" t="n">
        <v>4</v>
      </c>
      <c r="H181" t="n">
        <v>1</v>
      </c>
      <c r="I181" t="n">
        <v>0</v>
      </c>
      <c r="J181" t="n">
        <v>1</v>
      </c>
      <c r="K181" t="n">
        <v>0</v>
      </c>
      <c r="L181" t="n">
        <v>0</v>
      </c>
      <c r="M181" t="n">
        <v>0</v>
      </c>
      <c r="N181" t="n">
        <v>0</v>
      </c>
      <c r="O181" t="n">
        <v>1</v>
      </c>
      <c r="P181" t="n">
        <v>0</v>
      </c>
      <c r="Q181" t="n">
        <v>2</v>
      </c>
      <c r="R181" s="2" t="inlineStr">
        <is>
          <t>Garnlav
Revlummer</t>
        </is>
      </c>
      <c r="S181">
        <f>HYPERLINK("https://klasma.github.io/Logging_2260/artfynd/A 37800-2025 artfynd.xlsx", "A 37800-2025")</f>
        <v/>
      </c>
      <c r="T181">
        <f>HYPERLINK("https://klasma.github.io/Logging_2260/kartor/A 37800-2025 karta.png", "A 37800-2025")</f>
        <v/>
      </c>
      <c r="V181">
        <f>HYPERLINK("https://klasma.github.io/Logging_2260/klagomål/A 37800-2025 FSC-klagomål.docx", "A 37800-2025")</f>
        <v/>
      </c>
      <c r="W181">
        <f>HYPERLINK("https://klasma.github.io/Logging_2260/klagomålsmail/A 37800-2025 FSC-klagomål mail.docx", "A 37800-2025")</f>
        <v/>
      </c>
      <c r="X181">
        <f>HYPERLINK("https://klasma.github.io/Logging_2260/tillsyn/A 37800-2025 tillsynsbegäran.docx", "A 37800-2025")</f>
        <v/>
      </c>
      <c r="Y181">
        <f>HYPERLINK("https://klasma.github.io/Logging_2260/tillsynsmail/A 37800-2025 tillsynsbegäran mail.docx", "A 37800-2025")</f>
        <v/>
      </c>
    </row>
    <row r="182" ht="15" customHeight="1">
      <c r="A182" t="inlineStr">
        <is>
          <t>A 26020-2024</t>
        </is>
      </c>
      <c r="B182" s="1" t="n">
        <v>45467.9603125</v>
      </c>
      <c r="C182" s="1" t="n">
        <v>46079</v>
      </c>
      <c r="D182" t="inlineStr">
        <is>
          <t>VÄSTERNORRLANDS LÄN</t>
        </is>
      </c>
      <c r="E182" t="inlineStr">
        <is>
          <t>ÅNGE</t>
        </is>
      </c>
      <c r="F182" t="inlineStr">
        <is>
          <t>SCA</t>
        </is>
      </c>
      <c r="G182" t="n">
        <v>4.8</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26020-2024 artfynd.xlsx", "A 26020-2024")</f>
        <v/>
      </c>
      <c r="T182">
        <f>HYPERLINK("https://klasma.github.io/Logging_2260/kartor/A 26020-2024 karta.png", "A 26020-2024")</f>
        <v/>
      </c>
      <c r="V182">
        <f>HYPERLINK("https://klasma.github.io/Logging_2260/klagomål/A 26020-2024 FSC-klagomål.docx", "A 26020-2024")</f>
        <v/>
      </c>
      <c r="W182">
        <f>HYPERLINK("https://klasma.github.io/Logging_2260/klagomålsmail/A 26020-2024 FSC-klagomål mail.docx", "A 26020-2024")</f>
        <v/>
      </c>
      <c r="X182">
        <f>HYPERLINK("https://klasma.github.io/Logging_2260/tillsyn/A 26020-2024 tillsynsbegäran.docx", "A 26020-2024")</f>
        <v/>
      </c>
      <c r="Y182">
        <f>HYPERLINK("https://klasma.github.io/Logging_2260/tillsynsmail/A 26020-2024 tillsynsbegäran mail.docx", "A 26020-2024")</f>
        <v/>
      </c>
    </row>
    <row r="183" ht="15" customHeight="1">
      <c r="A183" t="inlineStr">
        <is>
          <t>A 20367-2022</t>
        </is>
      </c>
      <c r="B183" s="1" t="n">
        <v>44699</v>
      </c>
      <c r="C183" s="1" t="n">
        <v>46079</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46079</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35018-2021</t>
        </is>
      </c>
      <c r="B185" s="1" t="n">
        <v>44383.69549768518</v>
      </c>
      <c r="C185" s="1" t="n">
        <v>46079</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61479-2021</t>
        </is>
      </c>
      <c r="B186" s="1" t="n">
        <v>44500</v>
      </c>
      <c r="C186" s="1" t="n">
        <v>46079</v>
      </c>
      <c r="D186" t="inlineStr">
        <is>
          <t>VÄSTERNORRLANDS LÄN</t>
        </is>
      </c>
      <c r="E186" t="inlineStr">
        <is>
          <t>ÅNGE</t>
        </is>
      </c>
      <c r="F186" t="inlineStr">
        <is>
          <t>SCA</t>
        </is>
      </c>
      <c r="G186" t="n">
        <v>7.2</v>
      </c>
      <c r="H186" t="n">
        <v>1</v>
      </c>
      <c r="I186" t="n">
        <v>0</v>
      </c>
      <c r="J186" t="n">
        <v>0</v>
      </c>
      <c r="K186" t="n">
        <v>1</v>
      </c>
      <c r="L186" t="n">
        <v>0</v>
      </c>
      <c r="M186" t="n">
        <v>0</v>
      </c>
      <c r="N186" t="n">
        <v>0</v>
      </c>
      <c r="O186" t="n">
        <v>1</v>
      </c>
      <c r="P186" t="n">
        <v>1</v>
      </c>
      <c r="Q186" t="n">
        <v>1</v>
      </c>
      <c r="R186" s="2" t="inlineStr">
        <is>
          <t>Knärot</t>
        </is>
      </c>
      <c r="S186">
        <f>HYPERLINK("https://klasma.github.io/Logging_2260/artfynd/A 61479-2021 artfynd.xlsx", "A 61479-2021")</f>
        <v/>
      </c>
      <c r="T186">
        <f>HYPERLINK("https://klasma.github.io/Logging_2260/kartor/A 61479-2021 karta.png", "A 61479-2021")</f>
        <v/>
      </c>
      <c r="U186">
        <f>HYPERLINK("https://klasma.github.io/Logging_2260/knärot/A 61479-2021 karta knärot.png", "A 61479-2021")</f>
        <v/>
      </c>
      <c r="V186">
        <f>HYPERLINK("https://klasma.github.io/Logging_2260/klagomål/A 61479-2021 FSC-klagomål.docx", "A 61479-2021")</f>
        <v/>
      </c>
      <c r="W186">
        <f>HYPERLINK("https://klasma.github.io/Logging_2260/klagomålsmail/A 61479-2021 FSC-klagomål mail.docx", "A 61479-2021")</f>
        <v/>
      </c>
      <c r="X186">
        <f>HYPERLINK("https://klasma.github.io/Logging_2260/tillsyn/A 61479-2021 tillsynsbegäran.docx", "A 61479-2021")</f>
        <v/>
      </c>
      <c r="Y186">
        <f>HYPERLINK("https://klasma.github.io/Logging_2260/tillsynsmail/A 61479-2021 tillsynsbegäran mail.docx", "A 61479-2021")</f>
        <v/>
      </c>
    </row>
    <row r="187" ht="15" customHeight="1">
      <c r="A187" t="inlineStr">
        <is>
          <t>A 31578-2021</t>
        </is>
      </c>
      <c r="B187" s="1" t="n">
        <v>44369</v>
      </c>
      <c r="C187" s="1" t="n">
        <v>46079</v>
      </c>
      <c r="D187" t="inlineStr">
        <is>
          <t>VÄSTERNORRLANDS LÄN</t>
        </is>
      </c>
      <c r="E187" t="inlineStr">
        <is>
          <t>ÅNGE</t>
        </is>
      </c>
      <c r="G187" t="n">
        <v>25.8</v>
      </c>
      <c r="H187" t="n">
        <v>1</v>
      </c>
      <c r="I187" t="n">
        <v>0</v>
      </c>
      <c r="J187" t="n">
        <v>0</v>
      </c>
      <c r="K187" t="n">
        <v>1</v>
      </c>
      <c r="L187" t="n">
        <v>0</v>
      </c>
      <c r="M187" t="n">
        <v>0</v>
      </c>
      <c r="N187" t="n">
        <v>0</v>
      </c>
      <c r="O187" t="n">
        <v>1</v>
      </c>
      <c r="P187" t="n">
        <v>1</v>
      </c>
      <c r="Q187" t="n">
        <v>1</v>
      </c>
      <c r="R187" s="2" t="inlineStr">
        <is>
          <t>Knärot</t>
        </is>
      </c>
      <c r="S187">
        <f>HYPERLINK("https://klasma.github.io/Logging_2260/artfynd/A 31578-2021 artfynd.xlsx", "A 31578-2021")</f>
        <v/>
      </c>
      <c r="T187">
        <f>HYPERLINK("https://klasma.github.io/Logging_2260/kartor/A 31578-2021 karta.png", "A 31578-2021")</f>
        <v/>
      </c>
      <c r="U187">
        <f>HYPERLINK("https://klasma.github.io/Logging_2260/knärot/A 31578-2021 karta knärot.png", "A 31578-2021")</f>
        <v/>
      </c>
      <c r="V187">
        <f>HYPERLINK("https://klasma.github.io/Logging_2260/klagomål/A 31578-2021 FSC-klagomål.docx", "A 31578-2021")</f>
        <v/>
      </c>
      <c r="W187">
        <f>HYPERLINK("https://klasma.github.io/Logging_2260/klagomålsmail/A 31578-2021 FSC-klagomål mail.docx", "A 31578-2021")</f>
        <v/>
      </c>
      <c r="X187">
        <f>HYPERLINK("https://klasma.github.io/Logging_2260/tillsyn/A 31578-2021 tillsynsbegäran.docx", "A 31578-2021")</f>
        <v/>
      </c>
      <c r="Y187">
        <f>HYPERLINK("https://klasma.github.io/Logging_2260/tillsynsmail/A 31578-2021 tillsynsbegäran mail.docx", "A 31578-2021")</f>
        <v/>
      </c>
    </row>
    <row r="188" ht="15" customHeight="1">
      <c r="A188" t="inlineStr">
        <is>
          <t>A 38606-2024</t>
        </is>
      </c>
      <c r="B188" s="1" t="n">
        <v>45546.67804398148</v>
      </c>
      <c r="C188" s="1" t="n">
        <v>46079</v>
      </c>
      <c r="D188" t="inlineStr">
        <is>
          <t>VÄSTERNORRLANDS LÄN</t>
        </is>
      </c>
      <c r="E188" t="inlineStr">
        <is>
          <t>ÅNGE</t>
        </is>
      </c>
      <c r="F188" t="inlineStr">
        <is>
          <t>SCA</t>
        </is>
      </c>
      <c r="G188" t="n">
        <v>2.4</v>
      </c>
      <c r="H188" t="n">
        <v>0</v>
      </c>
      <c r="I188" t="n">
        <v>0</v>
      </c>
      <c r="J188" t="n">
        <v>1</v>
      </c>
      <c r="K188" t="n">
        <v>0</v>
      </c>
      <c r="L188" t="n">
        <v>0</v>
      </c>
      <c r="M188" t="n">
        <v>0</v>
      </c>
      <c r="N188" t="n">
        <v>0</v>
      </c>
      <c r="O188" t="n">
        <v>1</v>
      </c>
      <c r="P188" t="n">
        <v>0</v>
      </c>
      <c r="Q188" t="n">
        <v>1</v>
      </c>
      <c r="R188" s="2" t="inlineStr">
        <is>
          <t>Ullticka</t>
        </is>
      </c>
      <c r="S188">
        <f>HYPERLINK("https://klasma.github.io/Logging_2260/artfynd/A 38606-2024 artfynd.xlsx", "A 38606-2024")</f>
        <v/>
      </c>
      <c r="T188">
        <f>HYPERLINK("https://klasma.github.io/Logging_2260/kartor/A 38606-2024 karta.png", "A 38606-2024")</f>
        <v/>
      </c>
      <c r="V188">
        <f>HYPERLINK("https://klasma.github.io/Logging_2260/klagomål/A 38606-2024 FSC-klagomål.docx", "A 38606-2024")</f>
        <v/>
      </c>
      <c r="W188">
        <f>HYPERLINK("https://klasma.github.io/Logging_2260/klagomålsmail/A 38606-2024 FSC-klagomål mail.docx", "A 38606-2024")</f>
        <v/>
      </c>
      <c r="X188">
        <f>HYPERLINK("https://klasma.github.io/Logging_2260/tillsyn/A 38606-2024 tillsynsbegäran.docx", "A 38606-2024")</f>
        <v/>
      </c>
      <c r="Y188">
        <f>HYPERLINK("https://klasma.github.io/Logging_2260/tillsynsmail/A 38606-2024 tillsynsbegäran mail.docx", "A 38606-2024")</f>
        <v/>
      </c>
    </row>
    <row r="189" ht="15" customHeight="1">
      <c r="A189" t="inlineStr">
        <is>
          <t>A 52424-2023</t>
        </is>
      </c>
      <c r="B189" s="1" t="n">
        <v>45217</v>
      </c>
      <c r="C189" s="1" t="n">
        <v>46079</v>
      </c>
      <c r="D189" t="inlineStr">
        <is>
          <t>VÄSTERNORRLANDS LÄN</t>
        </is>
      </c>
      <c r="E189" t="inlineStr">
        <is>
          <t>ÅNGE</t>
        </is>
      </c>
      <c r="F189" t="inlineStr">
        <is>
          <t>SCA</t>
        </is>
      </c>
      <c r="G189" t="n">
        <v>3.8</v>
      </c>
      <c r="H189" t="n">
        <v>1</v>
      </c>
      <c r="I189" t="n">
        <v>0</v>
      </c>
      <c r="J189" t="n">
        <v>0</v>
      </c>
      <c r="K189" t="n">
        <v>0</v>
      </c>
      <c r="L189" t="n">
        <v>0</v>
      </c>
      <c r="M189" t="n">
        <v>0</v>
      </c>
      <c r="N189" t="n">
        <v>0</v>
      </c>
      <c r="O189" t="n">
        <v>0</v>
      </c>
      <c r="P189" t="n">
        <v>0</v>
      </c>
      <c r="Q189" t="n">
        <v>1</v>
      </c>
      <c r="R189" s="2" t="inlineStr">
        <is>
          <t>Revlummer</t>
        </is>
      </c>
      <c r="S189">
        <f>HYPERLINK("https://klasma.github.io/Logging_2260/artfynd/A 52424-2023 artfynd.xlsx", "A 52424-2023")</f>
        <v/>
      </c>
      <c r="T189">
        <f>HYPERLINK("https://klasma.github.io/Logging_2260/kartor/A 52424-2023 karta.png", "A 52424-2023")</f>
        <v/>
      </c>
      <c r="V189">
        <f>HYPERLINK("https://klasma.github.io/Logging_2260/klagomål/A 52424-2023 FSC-klagomål.docx", "A 52424-2023")</f>
        <v/>
      </c>
      <c r="W189">
        <f>HYPERLINK("https://klasma.github.io/Logging_2260/klagomålsmail/A 52424-2023 FSC-klagomål mail.docx", "A 52424-2023")</f>
        <v/>
      </c>
      <c r="X189">
        <f>HYPERLINK("https://klasma.github.io/Logging_2260/tillsyn/A 52424-2023 tillsynsbegäran.docx", "A 52424-2023")</f>
        <v/>
      </c>
      <c r="Y189">
        <f>HYPERLINK("https://klasma.github.io/Logging_2260/tillsynsmail/A 52424-2023 tillsynsbegäran mail.docx", "A 52424-2023")</f>
        <v/>
      </c>
    </row>
    <row r="190" ht="15" customHeight="1">
      <c r="A190" t="inlineStr">
        <is>
          <t>A 43171-2024</t>
        </is>
      </c>
      <c r="B190" s="1" t="n">
        <v>45567</v>
      </c>
      <c r="C190" s="1" t="n">
        <v>46079</v>
      </c>
      <c r="D190" t="inlineStr">
        <is>
          <t>VÄSTERNORRLANDS LÄN</t>
        </is>
      </c>
      <c r="E190" t="inlineStr">
        <is>
          <t>ÅNGE</t>
        </is>
      </c>
      <c r="F190" t="inlineStr">
        <is>
          <t>SCA</t>
        </is>
      </c>
      <c r="G190" t="n">
        <v>3.4</v>
      </c>
      <c r="H190" t="n">
        <v>0</v>
      </c>
      <c r="I190" t="n">
        <v>0</v>
      </c>
      <c r="J190" t="n">
        <v>1</v>
      </c>
      <c r="K190" t="n">
        <v>0</v>
      </c>
      <c r="L190" t="n">
        <v>0</v>
      </c>
      <c r="M190" t="n">
        <v>0</v>
      </c>
      <c r="N190" t="n">
        <v>0</v>
      </c>
      <c r="O190" t="n">
        <v>1</v>
      </c>
      <c r="P190" t="n">
        <v>0</v>
      </c>
      <c r="Q190" t="n">
        <v>1</v>
      </c>
      <c r="R190" s="2" t="inlineStr">
        <is>
          <t>Rosenticka</t>
        </is>
      </c>
      <c r="S190">
        <f>HYPERLINK("https://klasma.github.io/Logging_2260/artfynd/A 43171-2024 artfynd.xlsx", "A 43171-2024")</f>
        <v/>
      </c>
      <c r="T190">
        <f>HYPERLINK("https://klasma.github.io/Logging_2260/kartor/A 43171-2024 karta.png", "A 43171-2024")</f>
        <v/>
      </c>
      <c r="V190">
        <f>HYPERLINK("https://klasma.github.io/Logging_2260/klagomål/A 43171-2024 FSC-klagomål.docx", "A 43171-2024")</f>
        <v/>
      </c>
      <c r="W190">
        <f>HYPERLINK("https://klasma.github.io/Logging_2260/klagomålsmail/A 43171-2024 FSC-klagomål mail.docx", "A 43171-2024")</f>
        <v/>
      </c>
      <c r="X190">
        <f>HYPERLINK("https://klasma.github.io/Logging_2260/tillsyn/A 43171-2024 tillsynsbegäran.docx", "A 43171-2024")</f>
        <v/>
      </c>
      <c r="Y190">
        <f>HYPERLINK("https://klasma.github.io/Logging_2260/tillsynsmail/A 43171-2024 tillsynsbegäran mail.docx", "A 43171-2024")</f>
        <v/>
      </c>
    </row>
    <row r="191" ht="15" customHeight="1">
      <c r="A191" t="inlineStr">
        <is>
          <t>A 39638-2024</t>
        </is>
      </c>
      <c r="B191" s="1" t="n">
        <v>45552</v>
      </c>
      <c r="C191" s="1" t="n">
        <v>46079</v>
      </c>
      <c r="D191" t="inlineStr">
        <is>
          <t>VÄSTERNORRLANDS LÄN</t>
        </is>
      </c>
      <c r="E191" t="inlineStr">
        <is>
          <t>ÅNGE</t>
        </is>
      </c>
      <c r="G191" t="n">
        <v>3</v>
      </c>
      <c r="H191" t="n">
        <v>1</v>
      </c>
      <c r="I191" t="n">
        <v>0</v>
      </c>
      <c r="J191" t="n">
        <v>0</v>
      </c>
      <c r="K191" t="n">
        <v>0</v>
      </c>
      <c r="L191" t="n">
        <v>0</v>
      </c>
      <c r="M191" t="n">
        <v>0</v>
      </c>
      <c r="N191" t="n">
        <v>0</v>
      </c>
      <c r="O191" t="n">
        <v>0</v>
      </c>
      <c r="P191" t="n">
        <v>0</v>
      </c>
      <c r="Q191" t="n">
        <v>1</v>
      </c>
      <c r="R191" s="2" t="inlineStr">
        <is>
          <t>Tjäder</t>
        </is>
      </c>
      <c r="S191">
        <f>HYPERLINK("https://klasma.github.io/Logging_2260/artfynd/A 39638-2024 artfynd.xlsx", "A 39638-2024")</f>
        <v/>
      </c>
      <c r="T191">
        <f>HYPERLINK("https://klasma.github.io/Logging_2260/kartor/A 39638-2024 karta.png", "A 39638-2024")</f>
        <v/>
      </c>
      <c r="V191">
        <f>HYPERLINK("https://klasma.github.io/Logging_2260/klagomål/A 39638-2024 FSC-klagomål.docx", "A 39638-2024")</f>
        <v/>
      </c>
      <c r="W191">
        <f>HYPERLINK("https://klasma.github.io/Logging_2260/klagomålsmail/A 39638-2024 FSC-klagomål mail.docx", "A 39638-2024")</f>
        <v/>
      </c>
      <c r="X191">
        <f>HYPERLINK("https://klasma.github.io/Logging_2260/tillsyn/A 39638-2024 tillsynsbegäran.docx", "A 39638-2024")</f>
        <v/>
      </c>
      <c r="Y191">
        <f>HYPERLINK("https://klasma.github.io/Logging_2260/tillsynsmail/A 39638-2024 tillsynsbegäran mail.docx", "A 39638-2024")</f>
        <v/>
      </c>
      <c r="Z191">
        <f>HYPERLINK("https://klasma.github.io/Logging_2260/fåglar/A 39638-2024 prioriterade fågelarter.docx", "A 39638-2024")</f>
        <v/>
      </c>
    </row>
    <row r="192" ht="15" customHeight="1">
      <c r="A192" t="inlineStr">
        <is>
          <t>A 54751-2021</t>
        </is>
      </c>
      <c r="B192" s="1" t="n">
        <v>44473</v>
      </c>
      <c r="C192" s="1" t="n">
        <v>46079</v>
      </c>
      <c r="D192" t="inlineStr">
        <is>
          <t>VÄSTERNORRLANDS LÄN</t>
        </is>
      </c>
      <c r="E192" t="inlineStr">
        <is>
          <t>ÅNGE</t>
        </is>
      </c>
      <c r="G192" t="n">
        <v>6.5</v>
      </c>
      <c r="H192" t="n">
        <v>0</v>
      </c>
      <c r="I192" t="n">
        <v>0</v>
      </c>
      <c r="J192" t="n">
        <v>0</v>
      </c>
      <c r="K192" t="n">
        <v>1</v>
      </c>
      <c r="L192" t="n">
        <v>0</v>
      </c>
      <c r="M192" t="n">
        <v>0</v>
      </c>
      <c r="N192" t="n">
        <v>0</v>
      </c>
      <c r="O192" t="n">
        <v>1</v>
      </c>
      <c r="P192" t="n">
        <v>1</v>
      </c>
      <c r="Q192" t="n">
        <v>1</v>
      </c>
      <c r="R192" s="2" t="inlineStr">
        <is>
          <t>Gräddporing</t>
        </is>
      </c>
      <c r="S192">
        <f>HYPERLINK("https://klasma.github.io/Logging_2260/artfynd/A 54751-2021 artfynd.xlsx", "A 54751-2021")</f>
        <v/>
      </c>
      <c r="T192">
        <f>HYPERLINK("https://klasma.github.io/Logging_2260/kartor/A 54751-2021 karta.png", "A 54751-2021")</f>
        <v/>
      </c>
      <c r="V192">
        <f>HYPERLINK("https://klasma.github.io/Logging_2260/klagomål/A 54751-2021 FSC-klagomål.docx", "A 54751-2021")</f>
        <v/>
      </c>
      <c r="W192">
        <f>HYPERLINK("https://klasma.github.io/Logging_2260/klagomålsmail/A 54751-2021 FSC-klagomål mail.docx", "A 54751-2021")</f>
        <v/>
      </c>
      <c r="X192">
        <f>HYPERLINK("https://klasma.github.io/Logging_2260/tillsyn/A 54751-2021 tillsynsbegäran.docx", "A 54751-2021")</f>
        <v/>
      </c>
      <c r="Y192">
        <f>HYPERLINK("https://klasma.github.io/Logging_2260/tillsynsmail/A 54751-2021 tillsynsbegäran mail.docx", "A 54751-2021")</f>
        <v/>
      </c>
    </row>
    <row r="193" ht="15" customHeight="1">
      <c r="A193" t="inlineStr">
        <is>
          <t>A 40214-2024</t>
        </is>
      </c>
      <c r="B193" s="1" t="n">
        <v>45554.59460648148</v>
      </c>
      <c r="C193" s="1" t="n">
        <v>46079</v>
      </c>
      <c r="D193" t="inlineStr">
        <is>
          <t>VÄSTERNORRLANDS LÄN</t>
        </is>
      </c>
      <c r="E193" t="inlineStr">
        <is>
          <t>ÅNGE</t>
        </is>
      </c>
      <c r="F193" t="inlineStr">
        <is>
          <t>SCA</t>
        </is>
      </c>
      <c r="G193" t="n">
        <v>7.7</v>
      </c>
      <c r="H193" t="n">
        <v>0</v>
      </c>
      <c r="I193" t="n">
        <v>0</v>
      </c>
      <c r="J193" t="n">
        <v>1</v>
      </c>
      <c r="K193" t="n">
        <v>0</v>
      </c>
      <c r="L193" t="n">
        <v>0</v>
      </c>
      <c r="M193" t="n">
        <v>0</v>
      </c>
      <c r="N193" t="n">
        <v>0</v>
      </c>
      <c r="O193" t="n">
        <v>1</v>
      </c>
      <c r="P193" t="n">
        <v>0</v>
      </c>
      <c r="Q193" t="n">
        <v>1</v>
      </c>
      <c r="R193" s="2" t="inlineStr">
        <is>
          <t>Lunglav</t>
        </is>
      </c>
      <c r="S193">
        <f>HYPERLINK("https://klasma.github.io/Logging_2260/artfynd/A 40214-2024 artfynd.xlsx", "A 40214-2024")</f>
        <v/>
      </c>
      <c r="T193">
        <f>HYPERLINK("https://klasma.github.io/Logging_2260/kartor/A 40214-2024 karta.png", "A 40214-2024")</f>
        <v/>
      </c>
      <c r="V193">
        <f>HYPERLINK("https://klasma.github.io/Logging_2260/klagomål/A 40214-2024 FSC-klagomål.docx", "A 40214-2024")</f>
        <v/>
      </c>
      <c r="W193">
        <f>HYPERLINK("https://klasma.github.io/Logging_2260/klagomålsmail/A 40214-2024 FSC-klagomål mail.docx", "A 40214-2024")</f>
        <v/>
      </c>
      <c r="X193">
        <f>HYPERLINK("https://klasma.github.io/Logging_2260/tillsyn/A 40214-2024 tillsynsbegäran.docx", "A 40214-2024")</f>
        <v/>
      </c>
      <c r="Y193">
        <f>HYPERLINK("https://klasma.github.io/Logging_2260/tillsynsmail/A 40214-2024 tillsynsbegäran mail.docx", "A 40214-2024")</f>
        <v/>
      </c>
    </row>
    <row r="194" ht="15" customHeight="1">
      <c r="A194" t="inlineStr">
        <is>
          <t>A 24798-2024</t>
        </is>
      </c>
      <c r="B194" s="1" t="n">
        <v>45460.95277777778</v>
      </c>
      <c r="C194" s="1" t="n">
        <v>46079</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46079</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13934-2024</t>
        </is>
      </c>
      <c r="B196" s="1" t="n">
        <v>45391</v>
      </c>
      <c r="C196" s="1" t="n">
        <v>46079</v>
      </c>
      <c r="D196" t="inlineStr">
        <is>
          <t>VÄSTERNORRLANDS LÄN</t>
        </is>
      </c>
      <c r="E196" t="inlineStr">
        <is>
          <t>ÅNGE</t>
        </is>
      </c>
      <c r="F196" t="inlineStr">
        <is>
          <t>SCA</t>
        </is>
      </c>
      <c r="G196" t="n">
        <v>5.8</v>
      </c>
      <c r="H196" t="n">
        <v>0</v>
      </c>
      <c r="I196" t="n">
        <v>0</v>
      </c>
      <c r="J196" t="n">
        <v>1</v>
      </c>
      <c r="K196" t="n">
        <v>0</v>
      </c>
      <c r="L196" t="n">
        <v>0</v>
      </c>
      <c r="M196" t="n">
        <v>0</v>
      </c>
      <c r="N196" t="n">
        <v>0</v>
      </c>
      <c r="O196" t="n">
        <v>1</v>
      </c>
      <c r="P196" t="n">
        <v>0</v>
      </c>
      <c r="Q196" t="n">
        <v>1</v>
      </c>
      <c r="R196" s="2" t="inlineStr">
        <is>
          <t>Ullticka</t>
        </is>
      </c>
      <c r="S196">
        <f>HYPERLINK("https://klasma.github.io/Logging_2260/artfynd/A 13934-2024 artfynd.xlsx", "A 13934-2024")</f>
        <v/>
      </c>
      <c r="T196">
        <f>HYPERLINK("https://klasma.github.io/Logging_2260/kartor/A 13934-2024 karta.png", "A 13934-2024")</f>
        <v/>
      </c>
      <c r="V196">
        <f>HYPERLINK("https://klasma.github.io/Logging_2260/klagomål/A 13934-2024 FSC-klagomål.docx", "A 13934-2024")</f>
        <v/>
      </c>
      <c r="W196">
        <f>HYPERLINK("https://klasma.github.io/Logging_2260/klagomålsmail/A 13934-2024 FSC-klagomål mail.docx", "A 13934-2024")</f>
        <v/>
      </c>
      <c r="X196">
        <f>HYPERLINK("https://klasma.github.io/Logging_2260/tillsyn/A 13934-2024 tillsynsbegäran.docx", "A 13934-2024")</f>
        <v/>
      </c>
      <c r="Y196">
        <f>HYPERLINK("https://klasma.github.io/Logging_2260/tillsynsmail/A 13934-2024 tillsynsbegäran mail.docx", "A 13934-2024")</f>
        <v/>
      </c>
    </row>
    <row r="197" ht="15" customHeight="1">
      <c r="A197" t="inlineStr">
        <is>
          <t>A 39180-2024</t>
        </is>
      </c>
      <c r="B197" s="1" t="n">
        <v>45548.6571412037</v>
      </c>
      <c r="C197" s="1" t="n">
        <v>46079</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57272-2024</t>
        </is>
      </c>
      <c r="B198" s="1" t="n">
        <v>45629.57380787037</v>
      </c>
      <c r="C198" s="1" t="n">
        <v>46079</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39933-2022</t>
        </is>
      </c>
      <c r="B199" s="1" t="n">
        <v>44819</v>
      </c>
      <c r="C199" s="1" t="n">
        <v>46079</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31544-2024</t>
        </is>
      </c>
      <c r="B200" s="1" t="n">
        <v>45505</v>
      </c>
      <c r="C200" s="1" t="n">
        <v>46079</v>
      </c>
      <c r="D200" t="inlineStr">
        <is>
          <t>VÄSTERNORRLANDS LÄN</t>
        </is>
      </c>
      <c r="E200" t="inlineStr">
        <is>
          <t>ÅNGE</t>
        </is>
      </c>
      <c r="F200" t="inlineStr">
        <is>
          <t>SCA</t>
        </is>
      </c>
      <c r="G200" t="n">
        <v>3.5</v>
      </c>
      <c r="H200" t="n">
        <v>0</v>
      </c>
      <c r="I200" t="n">
        <v>0</v>
      </c>
      <c r="J200" t="n">
        <v>1</v>
      </c>
      <c r="K200" t="n">
        <v>0</v>
      </c>
      <c r="L200" t="n">
        <v>0</v>
      </c>
      <c r="M200" t="n">
        <v>0</v>
      </c>
      <c r="N200" t="n">
        <v>0</v>
      </c>
      <c r="O200" t="n">
        <v>1</v>
      </c>
      <c r="P200" t="n">
        <v>0</v>
      </c>
      <c r="Q200" t="n">
        <v>1</v>
      </c>
      <c r="R200" s="2" t="inlineStr">
        <is>
          <t>Granticka</t>
        </is>
      </c>
      <c r="S200">
        <f>HYPERLINK("https://klasma.github.io/Logging_2260/artfynd/A 31544-2024 artfynd.xlsx", "A 31544-2024")</f>
        <v/>
      </c>
      <c r="T200">
        <f>HYPERLINK("https://klasma.github.io/Logging_2260/kartor/A 31544-2024 karta.png", "A 31544-2024")</f>
        <v/>
      </c>
      <c r="V200">
        <f>HYPERLINK("https://klasma.github.io/Logging_2260/klagomål/A 31544-2024 FSC-klagomål.docx", "A 31544-2024")</f>
        <v/>
      </c>
      <c r="W200">
        <f>HYPERLINK("https://klasma.github.io/Logging_2260/klagomålsmail/A 31544-2024 FSC-klagomål mail.docx", "A 31544-2024")</f>
        <v/>
      </c>
      <c r="X200">
        <f>HYPERLINK("https://klasma.github.io/Logging_2260/tillsyn/A 31544-2024 tillsynsbegäran.docx", "A 31544-2024")</f>
        <v/>
      </c>
      <c r="Y200">
        <f>HYPERLINK("https://klasma.github.io/Logging_2260/tillsynsmail/A 31544-2024 tillsynsbegäran mail.docx", "A 31544-2024")</f>
        <v/>
      </c>
    </row>
    <row r="201" ht="15" customHeight="1">
      <c r="A201" t="inlineStr">
        <is>
          <t>A 1449-2025</t>
        </is>
      </c>
      <c r="B201" s="1" t="n">
        <v>45670.27537037037</v>
      </c>
      <c r="C201" s="1" t="n">
        <v>46079</v>
      </c>
      <c r="D201" t="inlineStr">
        <is>
          <t>VÄSTERNORRLANDS LÄN</t>
        </is>
      </c>
      <c r="E201" t="inlineStr">
        <is>
          <t>ÅNGE</t>
        </is>
      </c>
      <c r="G201" t="n">
        <v>6.3</v>
      </c>
      <c r="H201" t="n">
        <v>0</v>
      </c>
      <c r="I201" t="n">
        <v>1</v>
      </c>
      <c r="J201" t="n">
        <v>0</v>
      </c>
      <c r="K201" t="n">
        <v>0</v>
      </c>
      <c r="L201" t="n">
        <v>0</v>
      </c>
      <c r="M201" t="n">
        <v>0</v>
      </c>
      <c r="N201" t="n">
        <v>0</v>
      </c>
      <c r="O201" t="n">
        <v>0</v>
      </c>
      <c r="P201" t="n">
        <v>0</v>
      </c>
      <c r="Q201" t="n">
        <v>1</v>
      </c>
      <c r="R201" s="2" t="inlineStr">
        <is>
          <t>Korallblylav</t>
        </is>
      </c>
      <c r="S201">
        <f>HYPERLINK("https://klasma.github.io/Logging_2260/artfynd/A 1449-2025 artfynd.xlsx", "A 1449-2025")</f>
        <v/>
      </c>
      <c r="T201">
        <f>HYPERLINK("https://klasma.github.io/Logging_2260/kartor/A 1449-2025 karta.png", "A 1449-2025")</f>
        <v/>
      </c>
      <c r="V201">
        <f>HYPERLINK("https://klasma.github.io/Logging_2260/klagomål/A 1449-2025 FSC-klagomål.docx", "A 1449-2025")</f>
        <v/>
      </c>
      <c r="W201">
        <f>HYPERLINK("https://klasma.github.io/Logging_2260/klagomålsmail/A 1449-2025 FSC-klagomål mail.docx", "A 1449-2025")</f>
        <v/>
      </c>
      <c r="X201">
        <f>HYPERLINK("https://klasma.github.io/Logging_2260/tillsyn/A 1449-2025 tillsynsbegäran.docx", "A 1449-2025")</f>
        <v/>
      </c>
      <c r="Y201">
        <f>HYPERLINK("https://klasma.github.io/Logging_2260/tillsynsmail/A 1449-2025 tillsynsbegäran mail.docx", "A 1449-2025")</f>
        <v/>
      </c>
    </row>
    <row r="202" ht="15" customHeight="1">
      <c r="A202" t="inlineStr">
        <is>
          <t>A 32457-2024</t>
        </is>
      </c>
      <c r="B202" s="1" t="n">
        <v>45512</v>
      </c>
      <c r="C202" s="1" t="n">
        <v>46079</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56091-2024</t>
        </is>
      </c>
      <c r="B203" s="1" t="n">
        <v>45624.40678240741</v>
      </c>
      <c r="C203" s="1" t="n">
        <v>46079</v>
      </c>
      <c r="D203" t="inlineStr">
        <is>
          <t>VÄSTERNORRLANDS LÄN</t>
        </is>
      </c>
      <c r="E203" t="inlineStr">
        <is>
          <t>ÅNGE</t>
        </is>
      </c>
      <c r="F203" t="inlineStr">
        <is>
          <t>SCA</t>
        </is>
      </c>
      <c r="G203" t="n">
        <v>2.5</v>
      </c>
      <c r="H203" t="n">
        <v>0</v>
      </c>
      <c r="I203" t="n">
        <v>0</v>
      </c>
      <c r="J203" t="n">
        <v>1</v>
      </c>
      <c r="K203" t="n">
        <v>0</v>
      </c>
      <c r="L203" t="n">
        <v>0</v>
      </c>
      <c r="M203" t="n">
        <v>0</v>
      </c>
      <c r="N203" t="n">
        <v>0</v>
      </c>
      <c r="O203" t="n">
        <v>1</v>
      </c>
      <c r="P203" t="n">
        <v>0</v>
      </c>
      <c r="Q203" t="n">
        <v>1</v>
      </c>
      <c r="R203" s="2" t="inlineStr">
        <is>
          <t>Mörk kolflarnlav</t>
        </is>
      </c>
      <c r="S203">
        <f>HYPERLINK("https://klasma.github.io/Logging_2260/artfynd/A 56091-2024 artfynd.xlsx", "A 56091-2024")</f>
        <v/>
      </c>
      <c r="T203">
        <f>HYPERLINK("https://klasma.github.io/Logging_2260/kartor/A 56091-2024 karta.png", "A 56091-2024")</f>
        <v/>
      </c>
      <c r="V203">
        <f>HYPERLINK("https://klasma.github.io/Logging_2260/klagomål/A 56091-2024 FSC-klagomål.docx", "A 56091-2024")</f>
        <v/>
      </c>
      <c r="W203">
        <f>HYPERLINK("https://klasma.github.io/Logging_2260/klagomålsmail/A 56091-2024 FSC-klagomål mail.docx", "A 56091-2024")</f>
        <v/>
      </c>
      <c r="X203">
        <f>HYPERLINK("https://klasma.github.io/Logging_2260/tillsyn/A 56091-2024 tillsynsbegäran.docx", "A 56091-2024")</f>
        <v/>
      </c>
      <c r="Y203">
        <f>HYPERLINK("https://klasma.github.io/Logging_2260/tillsynsmail/A 56091-2024 tillsynsbegäran mail.docx", "A 56091-2024")</f>
        <v/>
      </c>
    </row>
    <row r="204" ht="15" customHeight="1">
      <c r="A204" t="inlineStr">
        <is>
          <t>A 37914-2024</t>
        </is>
      </c>
      <c r="B204" s="1" t="n">
        <v>45544</v>
      </c>
      <c r="C204" s="1" t="n">
        <v>46079</v>
      </c>
      <c r="D204" t="inlineStr">
        <is>
          <t>VÄSTERNORRLANDS LÄN</t>
        </is>
      </c>
      <c r="E204" t="inlineStr">
        <is>
          <t>ÅNGE</t>
        </is>
      </c>
      <c r="F204" t="inlineStr">
        <is>
          <t>SCA</t>
        </is>
      </c>
      <c r="G204" t="n">
        <v>9</v>
      </c>
      <c r="H204" t="n">
        <v>0</v>
      </c>
      <c r="I204" t="n">
        <v>0</v>
      </c>
      <c r="J204" t="n">
        <v>1</v>
      </c>
      <c r="K204" t="n">
        <v>0</v>
      </c>
      <c r="L204" t="n">
        <v>0</v>
      </c>
      <c r="M204" t="n">
        <v>0</v>
      </c>
      <c r="N204" t="n">
        <v>0</v>
      </c>
      <c r="O204" t="n">
        <v>1</v>
      </c>
      <c r="P204" t="n">
        <v>0</v>
      </c>
      <c r="Q204" t="n">
        <v>1</v>
      </c>
      <c r="R204" s="2" t="inlineStr">
        <is>
          <t>Granticka</t>
        </is>
      </c>
      <c r="S204">
        <f>HYPERLINK("https://klasma.github.io/Logging_2260/artfynd/A 37914-2024 artfynd.xlsx", "A 37914-2024")</f>
        <v/>
      </c>
      <c r="T204">
        <f>HYPERLINK("https://klasma.github.io/Logging_2260/kartor/A 37914-2024 karta.png", "A 37914-2024")</f>
        <v/>
      </c>
      <c r="V204">
        <f>HYPERLINK("https://klasma.github.io/Logging_2260/klagomål/A 37914-2024 FSC-klagomål.docx", "A 37914-2024")</f>
        <v/>
      </c>
      <c r="W204">
        <f>HYPERLINK("https://klasma.github.io/Logging_2260/klagomålsmail/A 37914-2024 FSC-klagomål mail.docx", "A 37914-2024")</f>
        <v/>
      </c>
      <c r="X204">
        <f>HYPERLINK("https://klasma.github.io/Logging_2260/tillsyn/A 37914-2024 tillsynsbegäran.docx", "A 37914-2024")</f>
        <v/>
      </c>
      <c r="Y204">
        <f>HYPERLINK("https://klasma.github.io/Logging_2260/tillsynsmail/A 37914-2024 tillsynsbegäran mail.docx", "A 37914-2024")</f>
        <v/>
      </c>
    </row>
    <row r="205" ht="15" customHeight="1">
      <c r="A205" t="inlineStr">
        <is>
          <t>A 29327-2023</t>
        </is>
      </c>
      <c r="B205" s="1" t="n">
        <v>45105.94349537037</v>
      </c>
      <c r="C205" s="1" t="n">
        <v>46079</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4351-2024</t>
        </is>
      </c>
      <c r="B206" s="1" t="n">
        <v>45324</v>
      </c>
      <c r="C206" s="1" t="n">
        <v>46079</v>
      </c>
      <c r="D206" t="inlineStr">
        <is>
          <t>VÄSTERNORRLANDS LÄN</t>
        </is>
      </c>
      <c r="E206" t="inlineStr">
        <is>
          <t>ÅNGE</t>
        </is>
      </c>
      <c r="F206" t="inlineStr">
        <is>
          <t>SCA</t>
        </is>
      </c>
      <c r="G206" t="n">
        <v>0.5</v>
      </c>
      <c r="H206" t="n">
        <v>0</v>
      </c>
      <c r="I206" t="n">
        <v>0</v>
      </c>
      <c r="J206" t="n">
        <v>1</v>
      </c>
      <c r="K206" t="n">
        <v>0</v>
      </c>
      <c r="L206" t="n">
        <v>0</v>
      </c>
      <c r="M206" t="n">
        <v>0</v>
      </c>
      <c r="N206" t="n">
        <v>0</v>
      </c>
      <c r="O206" t="n">
        <v>1</v>
      </c>
      <c r="P206" t="n">
        <v>0</v>
      </c>
      <c r="Q206" t="n">
        <v>1</v>
      </c>
      <c r="R206" s="2" t="inlineStr">
        <is>
          <t>Garnlav</t>
        </is>
      </c>
      <c r="S206">
        <f>HYPERLINK("https://klasma.github.io/Logging_2260/artfynd/A 4351-2024 artfynd.xlsx", "A 4351-2024")</f>
        <v/>
      </c>
      <c r="T206">
        <f>HYPERLINK("https://klasma.github.io/Logging_2260/kartor/A 4351-2024 karta.png", "A 4351-2024")</f>
        <v/>
      </c>
      <c r="V206">
        <f>HYPERLINK("https://klasma.github.io/Logging_2260/klagomål/A 4351-2024 FSC-klagomål.docx", "A 4351-2024")</f>
        <v/>
      </c>
      <c r="W206">
        <f>HYPERLINK("https://klasma.github.io/Logging_2260/klagomålsmail/A 4351-2024 FSC-klagomål mail.docx", "A 4351-2024")</f>
        <v/>
      </c>
      <c r="X206">
        <f>HYPERLINK("https://klasma.github.io/Logging_2260/tillsyn/A 4351-2024 tillsynsbegäran.docx", "A 4351-2024")</f>
        <v/>
      </c>
      <c r="Y206">
        <f>HYPERLINK("https://klasma.github.io/Logging_2260/tillsynsmail/A 4351-2024 tillsynsbegäran mail.docx", "A 4351-2024")</f>
        <v/>
      </c>
    </row>
    <row r="207" ht="15" customHeight="1">
      <c r="A207" t="inlineStr">
        <is>
          <t>A 27308-2024</t>
        </is>
      </c>
      <c r="B207" s="1" t="n">
        <v>45471</v>
      </c>
      <c r="C207" s="1" t="n">
        <v>46079</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31878-2024</t>
        </is>
      </c>
      <c r="B208" s="1" t="n">
        <v>45509</v>
      </c>
      <c r="C208" s="1" t="n">
        <v>46079</v>
      </c>
      <c r="D208" t="inlineStr">
        <is>
          <t>VÄSTERNORRLANDS LÄN</t>
        </is>
      </c>
      <c r="E208" t="inlineStr">
        <is>
          <t>ÅNGE</t>
        </is>
      </c>
      <c r="F208" t="inlineStr">
        <is>
          <t>SCA</t>
        </is>
      </c>
      <c r="G208" t="n">
        <v>5.1</v>
      </c>
      <c r="H208" t="n">
        <v>0</v>
      </c>
      <c r="I208" t="n">
        <v>1</v>
      </c>
      <c r="J208" t="n">
        <v>0</v>
      </c>
      <c r="K208" t="n">
        <v>0</v>
      </c>
      <c r="L208" t="n">
        <v>0</v>
      </c>
      <c r="M208" t="n">
        <v>0</v>
      </c>
      <c r="N208" t="n">
        <v>0</v>
      </c>
      <c r="O208" t="n">
        <v>0</v>
      </c>
      <c r="P208" t="n">
        <v>0</v>
      </c>
      <c r="Q208" t="n">
        <v>1</v>
      </c>
      <c r="R208" s="2" t="inlineStr">
        <is>
          <t>Grönpyrola</t>
        </is>
      </c>
      <c r="S208">
        <f>HYPERLINK("https://klasma.github.io/Logging_2260/artfynd/A 31878-2024 artfynd.xlsx", "A 31878-2024")</f>
        <v/>
      </c>
      <c r="T208">
        <f>HYPERLINK("https://klasma.github.io/Logging_2260/kartor/A 31878-2024 karta.png", "A 31878-2024")</f>
        <v/>
      </c>
      <c r="V208">
        <f>HYPERLINK("https://klasma.github.io/Logging_2260/klagomål/A 31878-2024 FSC-klagomål.docx", "A 31878-2024")</f>
        <v/>
      </c>
      <c r="W208">
        <f>HYPERLINK("https://klasma.github.io/Logging_2260/klagomålsmail/A 31878-2024 FSC-klagomål mail.docx", "A 31878-2024")</f>
        <v/>
      </c>
      <c r="X208">
        <f>HYPERLINK("https://klasma.github.io/Logging_2260/tillsyn/A 31878-2024 tillsynsbegäran.docx", "A 31878-2024")</f>
        <v/>
      </c>
      <c r="Y208">
        <f>HYPERLINK("https://klasma.github.io/Logging_2260/tillsynsmail/A 31878-2024 tillsynsbegäran mail.docx", "A 31878-2024")</f>
        <v/>
      </c>
    </row>
    <row r="209" ht="15" customHeight="1">
      <c r="A209" t="inlineStr">
        <is>
          <t>A 30774-2024</t>
        </is>
      </c>
      <c r="B209" s="1" t="n">
        <v>45496.949375</v>
      </c>
      <c r="C209" s="1" t="n">
        <v>46079</v>
      </c>
      <c r="D209" t="inlineStr">
        <is>
          <t>VÄSTERNORRLANDS LÄN</t>
        </is>
      </c>
      <c r="E209" t="inlineStr">
        <is>
          <t>ÅNGE</t>
        </is>
      </c>
      <c r="F209" t="inlineStr">
        <is>
          <t>SCA</t>
        </is>
      </c>
      <c r="G209" t="n">
        <v>2.2</v>
      </c>
      <c r="H209" t="n">
        <v>1</v>
      </c>
      <c r="I209" t="n">
        <v>0</v>
      </c>
      <c r="J209" t="n">
        <v>0</v>
      </c>
      <c r="K209" t="n">
        <v>0</v>
      </c>
      <c r="L209" t="n">
        <v>0</v>
      </c>
      <c r="M209" t="n">
        <v>0</v>
      </c>
      <c r="N209" t="n">
        <v>0</v>
      </c>
      <c r="O209" t="n">
        <v>0</v>
      </c>
      <c r="P209" t="n">
        <v>0</v>
      </c>
      <c r="Q209" t="n">
        <v>1</v>
      </c>
      <c r="R209" s="2" t="inlineStr">
        <is>
          <t>Tjäder</t>
        </is>
      </c>
      <c r="S209">
        <f>HYPERLINK("https://klasma.github.io/Logging_2260/artfynd/A 30774-2024 artfynd.xlsx", "A 30774-2024")</f>
        <v/>
      </c>
      <c r="T209">
        <f>HYPERLINK("https://klasma.github.io/Logging_2260/kartor/A 30774-2024 karta.png", "A 30774-2024")</f>
        <v/>
      </c>
      <c r="V209">
        <f>HYPERLINK("https://klasma.github.io/Logging_2260/klagomål/A 30774-2024 FSC-klagomål.docx", "A 30774-2024")</f>
        <v/>
      </c>
      <c r="W209">
        <f>HYPERLINK("https://klasma.github.io/Logging_2260/klagomålsmail/A 30774-2024 FSC-klagomål mail.docx", "A 30774-2024")</f>
        <v/>
      </c>
      <c r="X209">
        <f>HYPERLINK("https://klasma.github.io/Logging_2260/tillsyn/A 30774-2024 tillsynsbegäran.docx", "A 30774-2024")</f>
        <v/>
      </c>
      <c r="Y209">
        <f>HYPERLINK("https://klasma.github.io/Logging_2260/tillsynsmail/A 30774-2024 tillsynsbegäran mail.docx", "A 30774-2024")</f>
        <v/>
      </c>
      <c r="Z209">
        <f>HYPERLINK("https://klasma.github.io/Logging_2260/fåglar/A 30774-2024 prioriterade fågelarter.docx", "A 30774-2024")</f>
        <v/>
      </c>
    </row>
    <row r="210" ht="15" customHeight="1">
      <c r="A210" t="inlineStr">
        <is>
          <t>A 50651-2021</t>
        </is>
      </c>
      <c r="B210" s="1" t="n">
        <v>44459</v>
      </c>
      <c r="C210" s="1" t="n">
        <v>46079</v>
      </c>
      <c r="D210" t="inlineStr">
        <is>
          <t>VÄSTERNORRLANDS LÄN</t>
        </is>
      </c>
      <c r="E210" t="inlineStr">
        <is>
          <t>ÅNGE</t>
        </is>
      </c>
      <c r="G210" t="n">
        <v>20.6</v>
      </c>
      <c r="H210" t="n">
        <v>0</v>
      </c>
      <c r="I210" t="n">
        <v>0</v>
      </c>
      <c r="J210" t="n">
        <v>1</v>
      </c>
      <c r="K210" t="n">
        <v>0</v>
      </c>
      <c r="L210" t="n">
        <v>0</v>
      </c>
      <c r="M210" t="n">
        <v>0</v>
      </c>
      <c r="N210" t="n">
        <v>0</v>
      </c>
      <c r="O210" t="n">
        <v>1</v>
      </c>
      <c r="P210" t="n">
        <v>0</v>
      </c>
      <c r="Q210" t="n">
        <v>1</v>
      </c>
      <c r="R210" s="2" t="inlineStr">
        <is>
          <t>Garnlav</t>
        </is>
      </c>
      <c r="S210">
        <f>HYPERLINK("https://klasma.github.io/Logging_2260/artfynd/A 50651-2021 artfynd.xlsx", "A 50651-2021")</f>
        <v/>
      </c>
      <c r="T210">
        <f>HYPERLINK("https://klasma.github.io/Logging_2260/kartor/A 50651-2021 karta.png", "A 50651-2021")</f>
        <v/>
      </c>
      <c r="V210">
        <f>HYPERLINK("https://klasma.github.io/Logging_2260/klagomål/A 50651-2021 FSC-klagomål.docx", "A 50651-2021")</f>
        <v/>
      </c>
      <c r="W210">
        <f>HYPERLINK("https://klasma.github.io/Logging_2260/klagomålsmail/A 50651-2021 FSC-klagomål mail.docx", "A 50651-2021")</f>
        <v/>
      </c>
      <c r="X210">
        <f>HYPERLINK("https://klasma.github.io/Logging_2260/tillsyn/A 50651-2021 tillsynsbegäran.docx", "A 50651-2021")</f>
        <v/>
      </c>
      <c r="Y210">
        <f>HYPERLINK("https://klasma.github.io/Logging_2260/tillsynsmail/A 50651-2021 tillsynsbegäran mail.docx", "A 50651-2021")</f>
        <v/>
      </c>
    </row>
    <row r="211" ht="15" customHeight="1">
      <c r="A211" t="inlineStr">
        <is>
          <t>A 64510-2023</t>
        </is>
      </c>
      <c r="B211" s="1" t="n">
        <v>45281</v>
      </c>
      <c r="C211" s="1" t="n">
        <v>46079</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38603-2024</t>
        </is>
      </c>
      <c r="B212" s="1" t="n">
        <v>45546</v>
      </c>
      <c r="C212" s="1" t="n">
        <v>46079</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23490-2025</t>
        </is>
      </c>
      <c r="B213" s="1" t="n">
        <v>45792.46907407408</v>
      </c>
      <c r="C213" s="1" t="n">
        <v>46079</v>
      </c>
      <c r="D213" t="inlineStr">
        <is>
          <t>VÄSTERNORRLANDS LÄN</t>
        </is>
      </c>
      <c r="E213" t="inlineStr">
        <is>
          <t>ÅNGE</t>
        </is>
      </c>
      <c r="F213" t="inlineStr">
        <is>
          <t>SCA</t>
        </is>
      </c>
      <c r="G213" t="n">
        <v>3.3</v>
      </c>
      <c r="H213" t="n">
        <v>0</v>
      </c>
      <c r="I213" t="n">
        <v>0</v>
      </c>
      <c r="J213" t="n">
        <v>1</v>
      </c>
      <c r="K213" t="n">
        <v>0</v>
      </c>
      <c r="L213" t="n">
        <v>0</v>
      </c>
      <c r="M213" t="n">
        <v>0</v>
      </c>
      <c r="N213" t="n">
        <v>0</v>
      </c>
      <c r="O213" t="n">
        <v>1</v>
      </c>
      <c r="P213" t="n">
        <v>0</v>
      </c>
      <c r="Q213" t="n">
        <v>1</v>
      </c>
      <c r="R213" s="2" t="inlineStr">
        <is>
          <t>Garnlav</t>
        </is>
      </c>
      <c r="S213">
        <f>HYPERLINK("https://klasma.github.io/Logging_2260/artfynd/A 23490-2025 artfynd.xlsx", "A 23490-2025")</f>
        <v/>
      </c>
      <c r="T213">
        <f>HYPERLINK("https://klasma.github.io/Logging_2260/kartor/A 23490-2025 karta.png", "A 23490-2025")</f>
        <v/>
      </c>
      <c r="V213">
        <f>HYPERLINK("https://klasma.github.io/Logging_2260/klagomål/A 23490-2025 FSC-klagomål.docx", "A 23490-2025")</f>
        <v/>
      </c>
      <c r="W213">
        <f>HYPERLINK("https://klasma.github.io/Logging_2260/klagomålsmail/A 23490-2025 FSC-klagomål mail.docx", "A 23490-2025")</f>
        <v/>
      </c>
      <c r="X213">
        <f>HYPERLINK("https://klasma.github.io/Logging_2260/tillsyn/A 23490-2025 tillsynsbegäran.docx", "A 23490-2025")</f>
        <v/>
      </c>
      <c r="Y213">
        <f>HYPERLINK("https://klasma.github.io/Logging_2260/tillsynsmail/A 23490-2025 tillsynsbegäran mail.docx", "A 23490-2025")</f>
        <v/>
      </c>
    </row>
    <row r="214" ht="15" customHeight="1">
      <c r="A214" t="inlineStr">
        <is>
          <t>A 20192-2025</t>
        </is>
      </c>
      <c r="B214" s="1" t="n">
        <v>45772.60177083333</v>
      </c>
      <c r="C214" s="1" t="n">
        <v>46079</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42524-2025</t>
        </is>
      </c>
      <c r="B215" s="1" t="n">
        <v>45905.55262731481</v>
      </c>
      <c r="C215" s="1" t="n">
        <v>46079</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HYPERLINK("https://klasma.github.io/Logging_2260/artfynd/A 42524-2025 artfynd.xlsx", "A 42524-2025")</f>
        <v/>
      </c>
      <c r="T215">
        <f>HYPERLINK("https://klasma.github.io/Logging_2260/kartor/A 42524-2025 karta.png", "A 42524-2025")</f>
        <v/>
      </c>
      <c r="V215">
        <f>HYPERLINK("https://klasma.github.io/Logging_2260/klagomål/A 42524-2025 FSC-klagomål.docx", "A 42524-2025")</f>
        <v/>
      </c>
      <c r="W215">
        <f>HYPERLINK("https://klasma.github.io/Logging_2260/klagomålsmail/A 42524-2025 FSC-klagomål mail.docx", "A 42524-2025")</f>
        <v/>
      </c>
      <c r="X215">
        <f>HYPERLINK("https://klasma.github.io/Logging_2260/tillsyn/A 42524-2025 tillsynsbegäran.docx", "A 42524-2025")</f>
        <v/>
      </c>
      <c r="Y215">
        <f>HYPERLINK("https://klasma.github.io/Logging_2260/tillsynsmail/A 42524-2025 tillsynsbegäran mail.docx", "A 42524-2025")</f>
        <v/>
      </c>
    </row>
    <row r="216" ht="15" customHeight="1">
      <c r="A216" t="inlineStr">
        <is>
          <t>A 71366-2021</t>
        </is>
      </c>
      <c r="B216" s="1" t="n">
        <v>44539</v>
      </c>
      <c r="C216" s="1" t="n">
        <v>46079</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43590-2025</t>
        </is>
      </c>
      <c r="B217" s="1" t="n">
        <v>45911.65665509259</v>
      </c>
      <c r="C217" s="1" t="n">
        <v>46079</v>
      </c>
      <c r="D217" t="inlineStr">
        <is>
          <t>VÄSTERNORRLANDS LÄN</t>
        </is>
      </c>
      <c r="E217" t="inlineStr">
        <is>
          <t>ÅNGE</t>
        </is>
      </c>
      <c r="F217" t="inlineStr">
        <is>
          <t>SCA</t>
        </is>
      </c>
      <c r="G217" t="n">
        <v>2.9</v>
      </c>
      <c r="H217" t="n">
        <v>0</v>
      </c>
      <c r="I217" t="n">
        <v>0</v>
      </c>
      <c r="J217" t="n">
        <v>1</v>
      </c>
      <c r="K217" t="n">
        <v>0</v>
      </c>
      <c r="L217" t="n">
        <v>0</v>
      </c>
      <c r="M217" t="n">
        <v>0</v>
      </c>
      <c r="N217" t="n">
        <v>0</v>
      </c>
      <c r="O217" t="n">
        <v>1</v>
      </c>
      <c r="P217" t="n">
        <v>0</v>
      </c>
      <c r="Q217" t="n">
        <v>1</v>
      </c>
      <c r="R217" s="2" t="inlineStr">
        <is>
          <t>Granticka</t>
        </is>
      </c>
      <c r="S217">
        <f>HYPERLINK("https://klasma.github.io/Logging_2260/artfynd/A 43590-2025 artfynd.xlsx", "A 43590-2025")</f>
        <v/>
      </c>
      <c r="T217">
        <f>HYPERLINK("https://klasma.github.io/Logging_2260/kartor/A 43590-2025 karta.png", "A 43590-2025")</f>
        <v/>
      </c>
      <c r="V217">
        <f>HYPERLINK("https://klasma.github.io/Logging_2260/klagomål/A 43590-2025 FSC-klagomål.docx", "A 43590-2025")</f>
        <v/>
      </c>
      <c r="W217">
        <f>HYPERLINK("https://klasma.github.io/Logging_2260/klagomålsmail/A 43590-2025 FSC-klagomål mail.docx", "A 43590-2025")</f>
        <v/>
      </c>
      <c r="X217">
        <f>HYPERLINK("https://klasma.github.io/Logging_2260/tillsyn/A 43590-2025 tillsynsbegäran.docx", "A 43590-2025")</f>
        <v/>
      </c>
      <c r="Y217">
        <f>HYPERLINK("https://klasma.github.io/Logging_2260/tillsynsmail/A 43590-2025 tillsynsbegäran mail.docx", "A 43590-2025")</f>
        <v/>
      </c>
    </row>
    <row r="218" ht="15" customHeight="1">
      <c r="A218" t="inlineStr">
        <is>
          <t>A 25332-2025</t>
        </is>
      </c>
      <c r="B218" s="1" t="n">
        <v>45800.59418981482</v>
      </c>
      <c r="C218" s="1" t="n">
        <v>46079</v>
      </c>
      <c r="D218" t="inlineStr">
        <is>
          <t>VÄSTERNORRLANDS LÄN</t>
        </is>
      </c>
      <c r="E218" t="inlineStr">
        <is>
          <t>ÅNGE</t>
        </is>
      </c>
      <c r="F218" t="inlineStr">
        <is>
          <t>SCA</t>
        </is>
      </c>
      <c r="G218" t="n">
        <v>1.6</v>
      </c>
      <c r="H218" t="n">
        <v>0</v>
      </c>
      <c r="I218" t="n">
        <v>0</v>
      </c>
      <c r="J218" t="n">
        <v>1</v>
      </c>
      <c r="K218" t="n">
        <v>0</v>
      </c>
      <c r="L218" t="n">
        <v>0</v>
      </c>
      <c r="M218" t="n">
        <v>0</v>
      </c>
      <c r="N218" t="n">
        <v>0</v>
      </c>
      <c r="O218" t="n">
        <v>1</v>
      </c>
      <c r="P218" t="n">
        <v>0</v>
      </c>
      <c r="Q218" t="n">
        <v>1</v>
      </c>
      <c r="R218" s="2" t="inlineStr">
        <is>
          <t>Lunglav</t>
        </is>
      </c>
      <c r="S218">
        <f>HYPERLINK("https://klasma.github.io/Logging_2260/artfynd/A 25332-2025 artfynd.xlsx", "A 25332-2025")</f>
        <v/>
      </c>
      <c r="T218">
        <f>HYPERLINK("https://klasma.github.io/Logging_2260/kartor/A 25332-2025 karta.png", "A 25332-2025")</f>
        <v/>
      </c>
      <c r="V218">
        <f>HYPERLINK("https://klasma.github.io/Logging_2260/klagomål/A 25332-2025 FSC-klagomål.docx", "A 25332-2025")</f>
        <v/>
      </c>
      <c r="W218">
        <f>HYPERLINK("https://klasma.github.io/Logging_2260/klagomålsmail/A 25332-2025 FSC-klagomål mail.docx", "A 25332-2025")</f>
        <v/>
      </c>
      <c r="X218">
        <f>HYPERLINK("https://klasma.github.io/Logging_2260/tillsyn/A 25332-2025 tillsynsbegäran.docx", "A 25332-2025")</f>
        <v/>
      </c>
      <c r="Y218">
        <f>HYPERLINK("https://klasma.github.io/Logging_2260/tillsynsmail/A 25332-2025 tillsynsbegäran mail.docx", "A 25332-2025")</f>
        <v/>
      </c>
    </row>
    <row r="219" ht="15" customHeight="1">
      <c r="A219" t="inlineStr">
        <is>
          <t>A 46094-2025</t>
        </is>
      </c>
      <c r="B219" s="1" t="n">
        <v>45924</v>
      </c>
      <c r="C219" s="1" t="n">
        <v>46079</v>
      </c>
      <c r="D219" t="inlineStr">
        <is>
          <t>VÄSTERNORRLANDS LÄN</t>
        </is>
      </c>
      <c r="E219" t="inlineStr">
        <is>
          <t>ÅNGE</t>
        </is>
      </c>
      <c r="F219" t="inlineStr">
        <is>
          <t>SCA</t>
        </is>
      </c>
      <c r="G219" t="n">
        <v>1.1</v>
      </c>
      <c r="H219" t="n">
        <v>1</v>
      </c>
      <c r="I219" t="n">
        <v>0</v>
      </c>
      <c r="J219" t="n">
        <v>1</v>
      </c>
      <c r="K219" t="n">
        <v>0</v>
      </c>
      <c r="L219" t="n">
        <v>0</v>
      </c>
      <c r="M219" t="n">
        <v>0</v>
      </c>
      <c r="N219" t="n">
        <v>0</v>
      </c>
      <c r="O219" t="n">
        <v>1</v>
      </c>
      <c r="P219" t="n">
        <v>0</v>
      </c>
      <c r="Q219" t="n">
        <v>1</v>
      </c>
      <c r="R219" s="2" t="inlineStr">
        <is>
          <t>Utter</t>
        </is>
      </c>
      <c r="S219">
        <f>HYPERLINK("https://klasma.github.io/Logging_2260/artfynd/A 46094-2025 artfynd.xlsx", "A 46094-2025")</f>
        <v/>
      </c>
      <c r="T219">
        <f>HYPERLINK("https://klasma.github.io/Logging_2260/kartor/A 46094-2025 karta.png", "A 46094-2025")</f>
        <v/>
      </c>
      <c r="V219">
        <f>HYPERLINK("https://klasma.github.io/Logging_2260/klagomål/A 46094-2025 FSC-klagomål.docx", "A 46094-2025")</f>
        <v/>
      </c>
      <c r="W219">
        <f>HYPERLINK("https://klasma.github.io/Logging_2260/klagomålsmail/A 46094-2025 FSC-klagomål mail.docx", "A 46094-2025")</f>
        <v/>
      </c>
      <c r="X219">
        <f>HYPERLINK("https://klasma.github.io/Logging_2260/tillsyn/A 46094-2025 tillsynsbegäran.docx", "A 46094-2025")</f>
        <v/>
      </c>
      <c r="Y219">
        <f>HYPERLINK("https://klasma.github.io/Logging_2260/tillsynsmail/A 46094-2025 tillsynsbegäran mail.docx", "A 46094-2025")</f>
        <v/>
      </c>
    </row>
    <row r="220" ht="15" customHeight="1">
      <c r="A220" t="inlineStr">
        <is>
          <t>A 54386-2024</t>
        </is>
      </c>
      <c r="B220" s="1" t="n">
        <v>45617.44822916666</v>
      </c>
      <c r="C220" s="1" t="n">
        <v>46079</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Reliktbock</t>
        </is>
      </c>
      <c r="S220">
        <f>HYPERLINK("https://klasma.github.io/Logging_2260/artfynd/A 54386-2024 artfynd.xlsx", "A 54386-2024")</f>
        <v/>
      </c>
      <c r="T220">
        <f>HYPERLINK("https://klasma.github.io/Logging_2260/kartor/A 54386-2024 karta.png", "A 54386-2024")</f>
        <v/>
      </c>
      <c r="V220">
        <f>HYPERLINK("https://klasma.github.io/Logging_2260/klagomål/A 54386-2024 FSC-klagomål.docx", "A 54386-2024")</f>
        <v/>
      </c>
      <c r="W220">
        <f>HYPERLINK("https://klasma.github.io/Logging_2260/klagomålsmail/A 54386-2024 FSC-klagomål mail.docx", "A 54386-2024")</f>
        <v/>
      </c>
      <c r="X220">
        <f>HYPERLINK("https://klasma.github.io/Logging_2260/tillsyn/A 54386-2024 tillsynsbegäran.docx", "A 54386-2024")</f>
        <v/>
      </c>
      <c r="Y220">
        <f>HYPERLINK("https://klasma.github.io/Logging_2260/tillsynsmail/A 54386-2024 tillsynsbegäran mail.docx", "A 54386-2024")</f>
        <v/>
      </c>
    </row>
    <row r="221" ht="15" customHeight="1">
      <c r="A221" t="inlineStr">
        <is>
          <t>A 31510-2024</t>
        </is>
      </c>
      <c r="B221" s="1" t="n">
        <v>45505</v>
      </c>
      <c r="C221" s="1" t="n">
        <v>46079</v>
      </c>
      <c r="D221" t="inlineStr">
        <is>
          <t>VÄSTERNORRLANDS LÄN</t>
        </is>
      </c>
      <c r="E221" t="inlineStr">
        <is>
          <t>ÅNGE</t>
        </is>
      </c>
      <c r="F221" t="inlineStr">
        <is>
          <t>SCA</t>
        </is>
      </c>
      <c r="G221" t="n">
        <v>6</v>
      </c>
      <c r="H221" t="n">
        <v>1</v>
      </c>
      <c r="I221" t="n">
        <v>0</v>
      </c>
      <c r="J221" t="n">
        <v>0</v>
      </c>
      <c r="K221" t="n">
        <v>1</v>
      </c>
      <c r="L221" t="n">
        <v>0</v>
      </c>
      <c r="M221" t="n">
        <v>0</v>
      </c>
      <c r="N221" t="n">
        <v>0</v>
      </c>
      <c r="O221" t="n">
        <v>1</v>
      </c>
      <c r="P221" t="n">
        <v>1</v>
      </c>
      <c r="Q221" t="n">
        <v>1</v>
      </c>
      <c r="R221" s="2" t="inlineStr">
        <is>
          <t>Doftticka</t>
        </is>
      </c>
      <c r="S221">
        <f>HYPERLINK("https://klasma.github.io/Logging_2260/artfynd/A 31510-2024 artfynd.xlsx", "A 31510-2024")</f>
        <v/>
      </c>
      <c r="T221">
        <f>HYPERLINK("https://klasma.github.io/Logging_2260/kartor/A 31510-2024 karta.png", "A 31510-2024")</f>
        <v/>
      </c>
      <c r="V221">
        <f>HYPERLINK("https://klasma.github.io/Logging_2260/klagomål/A 31510-2024 FSC-klagomål.docx", "A 31510-2024")</f>
        <v/>
      </c>
      <c r="W221">
        <f>HYPERLINK("https://klasma.github.io/Logging_2260/klagomålsmail/A 31510-2024 FSC-klagomål mail.docx", "A 31510-2024")</f>
        <v/>
      </c>
      <c r="X221">
        <f>HYPERLINK("https://klasma.github.io/Logging_2260/tillsyn/A 31510-2024 tillsynsbegäran.docx", "A 31510-2024")</f>
        <v/>
      </c>
      <c r="Y221">
        <f>HYPERLINK("https://klasma.github.io/Logging_2260/tillsynsmail/A 31510-2024 tillsynsbegäran mail.docx", "A 31510-2024")</f>
        <v/>
      </c>
    </row>
    <row r="222" ht="15" customHeight="1">
      <c r="A222" t="inlineStr">
        <is>
          <t>A 47857-2025</t>
        </is>
      </c>
      <c r="B222" s="1" t="n">
        <v>45932.4068287037</v>
      </c>
      <c r="C222" s="1" t="n">
        <v>46079</v>
      </c>
      <c r="D222" t="inlineStr">
        <is>
          <t>VÄSTERNORRLANDS LÄN</t>
        </is>
      </c>
      <c r="E222" t="inlineStr">
        <is>
          <t>ÅNGE</t>
        </is>
      </c>
      <c r="G222" t="n">
        <v>2.5</v>
      </c>
      <c r="H222" t="n">
        <v>1</v>
      </c>
      <c r="I222" t="n">
        <v>0</v>
      </c>
      <c r="J222" t="n">
        <v>1</v>
      </c>
      <c r="K222" t="n">
        <v>0</v>
      </c>
      <c r="L222" t="n">
        <v>0</v>
      </c>
      <c r="M222" t="n">
        <v>0</v>
      </c>
      <c r="N222" t="n">
        <v>0</v>
      </c>
      <c r="O222" t="n">
        <v>1</v>
      </c>
      <c r="P222" t="n">
        <v>0</v>
      </c>
      <c r="Q222" t="n">
        <v>1</v>
      </c>
      <c r="R222" s="2" t="inlineStr">
        <is>
          <t>Kungsörn</t>
        </is>
      </c>
      <c r="S222">
        <f>HYPERLINK("https://klasma.github.io/Logging_2260/artfynd/A 47857-2025 artfynd.xlsx", "A 47857-2025")</f>
        <v/>
      </c>
      <c r="T222">
        <f>HYPERLINK("https://klasma.github.io/Logging_2260/kartor/A 47857-2025 karta.png", "A 47857-2025")</f>
        <v/>
      </c>
      <c r="V222">
        <f>HYPERLINK("https://klasma.github.io/Logging_2260/klagomål/A 47857-2025 FSC-klagomål.docx", "A 47857-2025")</f>
        <v/>
      </c>
      <c r="W222">
        <f>HYPERLINK("https://klasma.github.io/Logging_2260/klagomålsmail/A 47857-2025 FSC-klagomål mail.docx", "A 47857-2025")</f>
        <v/>
      </c>
      <c r="X222">
        <f>HYPERLINK("https://klasma.github.io/Logging_2260/tillsyn/A 47857-2025 tillsynsbegäran.docx", "A 47857-2025")</f>
        <v/>
      </c>
      <c r="Y222">
        <f>HYPERLINK("https://klasma.github.io/Logging_2260/tillsynsmail/A 47857-2025 tillsynsbegäran mail.docx", "A 47857-2025")</f>
        <v/>
      </c>
      <c r="Z222">
        <f>HYPERLINK("https://klasma.github.io/Logging_2260/fåglar/A 47857-2025 prioriterade fågelarter.docx", "A 47857-2025")</f>
        <v/>
      </c>
    </row>
    <row r="223" ht="15" customHeight="1">
      <c r="A223" t="inlineStr">
        <is>
          <t>A 48237-2025</t>
        </is>
      </c>
      <c r="B223" s="1" t="n">
        <v>45933</v>
      </c>
      <c r="C223" s="1" t="n">
        <v>46079</v>
      </c>
      <c r="D223" t="inlineStr">
        <is>
          <t>VÄSTERNORRLANDS LÄN</t>
        </is>
      </c>
      <c r="E223" t="inlineStr">
        <is>
          <t>ÅNGE</t>
        </is>
      </c>
      <c r="F223" t="inlineStr">
        <is>
          <t>SCA</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HYPERLINK("https://klasma.github.io/Logging_2260/artfynd/A 48237-2025 artfynd.xlsx", "A 48237-2025")</f>
        <v/>
      </c>
      <c r="T223">
        <f>HYPERLINK("https://klasma.github.io/Logging_2260/kartor/A 48237-2025 karta.png", "A 48237-2025")</f>
        <v/>
      </c>
      <c r="U223">
        <f>HYPERLINK("https://klasma.github.io/Logging_2260/knärot/A 48237-2025 karta knärot.png", "A 48237-2025")</f>
        <v/>
      </c>
      <c r="V223">
        <f>HYPERLINK("https://klasma.github.io/Logging_2260/klagomål/A 48237-2025 FSC-klagomål.docx", "A 48237-2025")</f>
        <v/>
      </c>
      <c r="W223">
        <f>HYPERLINK("https://klasma.github.io/Logging_2260/klagomålsmail/A 48237-2025 FSC-klagomål mail.docx", "A 48237-2025")</f>
        <v/>
      </c>
      <c r="X223">
        <f>HYPERLINK("https://klasma.github.io/Logging_2260/tillsyn/A 48237-2025 tillsynsbegäran.docx", "A 48237-2025")</f>
        <v/>
      </c>
      <c r="Y223">
        <f>HYPERLINK("https://klasma.github.io/Logging_2260/tillsynsmail/A 48237-2025 tillsynsbegäran mail.docx", "A 48237-2025")</f>
        <v/>
      </c>
    </row>
    <row r="224" ht="15" customHeight="1">
      <c r="A224" t="inlineStr">
        <is>
          <t>A 55015-2023</t>
        </is>
      </c>
      <c r="B224" s="1" t="n">
        <v>45237.32185185186</v>
      </c>
      <c r="C224" s="1" t="n">
        <v>46079</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27025-2025</t>
        </is>
      </c>
      <c r="B225" s="1" t="n">
        <v>45811</v>
      </c>
      <c r="C225" s="1" t="n">
        <v>46079</v>
      </c>
      <c r="D225" t="inlineStr">
        <is>
          <t>VÄSTERNORRLANDS LÄN</t>
        </is>
      </c>
      <c r="E225" t="inlineStr">
        <is>
          <t>ÅNGE</t>
        </is>
      </c>
      <c r="G225" t="n">
        <v>25.5</v>
      </c>
      <c r="H225" t="n">
        <v>0</v>
      </c>
      <c r="I225" t="n">
        <v>0</v>
      </c>
      <c r="J225" t="n">
        <v>1</v>
      </c>
      <c r="K225" t="n">
        <v>0</v>
      </c>
      <c r="L225" t="n">
        <v>0</v>
      </c>
      <c r="M225" t="n">
        <v>0</v>
      </c>
      <c r="N225" t="n">
        <v>0</v>
      </c>
      <c r="O225" t="n">
        <v>1</v>
      </c>
      <c r="P225" t="n">
        <v>0</v>
      </c>
      <c r="Q225" t="n">
        <v>1</v>
      </c>
      <c r="R225" s="2" t="inlineStr">
        <is>
          <t>Garnlav</t>
        </is>
      </c>
      <c r="S225">
        <f>HYPERLINK("https://klasma.github.io/Logging_2260/artfynd/A 27025-2025 artfynd.xlsx", "A 27025-2025")</f>
        <v/>
      </c>
      <c r="T225">
        <f>HYPERLINK("https://klasma.github.io/Logging_2260/kartor/A 27025-2025 karta.png", "A 27025-2025")</f>
        <v/>
      </c>
      <c r="U225">
        <f>HYPERLINK("https://klasma.github.io/Logging_2260/knärot/A 27025-2025 karta knärot.png", "A 27025-2025")</f>
        <v/>
      </c>
      <c r="V225">
        <f>HYPERLINK("https://klasma.github.io/Logging_2260/klagomål/A 27025-2025 FSC-klagomål.docx", "A 27025-2025")</f>
        <v/>
      </c>
      <c r="W225">
        <f>HYPERLINK("https://klasma.github.io/Logging_2260/klagomålsmail/A 27025-2025 FSC-klagomål mail.docx", "A 27025-2025")</f>
        <v/>
      </c>
      <c r="X225">
        <f>HYPERLINK("https://klasma.github.io/Logging_2260/tillsyn/A 27025-2025 tillsynsbegäran.docx", "A 27025-2025")</f>
        <v/>
      </c>
      <c r="Y225">
        <f>HYPERLINK("https://klasma.github.io/Logging_2260/tillsynsmail/A 27025-2025 tillsynsbegäran mail.docx", "A 27025-2025")</f>
        <v/>
      </c>
    </row>
    <row r="226" ht="15" customHeight="1">
      <c r="A226" t="inlineStr">
        <is>
          <t>A 35648-2025</t>
        </is>
      </c>
      <c r="B226" s="1" t="n">
        <v>45859.51670138889</v>
      </c>
      <c r="C226" s="1" t="n">
        <v>46079</v>
      </c>
      <c r="D226" t="inlineStr">
        <is>
          <t>VÄSTERNORRLANDS LÄN</t>
        </is>
      </c>
      <c r="E226" t="inlineStr">
        <is>
          <t>ÅNGE</t>
        </is>
      </c>
      <c r="F226" t="inlineStr">
        <is>
          <t>Sveaskog</t>
        </is>
      </c>
      <c r="G226" t="n">
        <v>9.1</v>
      </c>
      <c r="H226" t="n">
        <v>0</v>
      </c>
      <c r="I226" t="n">
        <v>0</v>
      </c>
      <c r="J226" t="n">
        <v>1</v>
      </c>
      <c r="K226" t="n">
        <v>0</v>
      </c>
      <c r="L226" t="n">
        <v>0</v>
      </c>
      <c r="M226" t="n">
        <v>0</v>
      </c>
      <c r="N226" t="n">
        <v>0</v>
      </c>
      <c r="O226" t="n">
        <v>1</v>
      </c>
      <c r="P226" t="n">
        <v>0</v>
      </c>
      <c r="Q226" t="n">
        <v>1</v>
      </c>
      <c r="R226" s="2" t="inlineStr">
        <is>
          <t>Lunglav</t>
        </is>
      </c>
      <c r="S226">
        <f>HYPERLINK("https://klasma.github.io/Logging_2260/artfynd/A 35648-2025 artfynd.xlsx", "A 35648-2025")</f>
        <v/>
      </c>
      <c r="T226">
        <f>HYPERLINK("https://klasma.github.io/Logging_2260/kartor/A 35648-2025 karta.png", "A 35648-2025")</f>
        <v/>
      </c>
      <c r="V226">
        <f>HYPERLINK("https://klasma.github.io/Logging_2260/klagomål/A 35648-2025 FSC-klagomål.docx", "A 35648-2025")</f>
        <v/>
      </c>
      <c r="W226">
        <f>HYPERLINK("https://klasma.github.io/Logging_2260/klagomålsmail/A 35648-2025 FSC-klagomål mail.docx", "A 35648-2025")</f>
        <v/>
      </c>
      <c r="X226">
        <f>HYPERLINK("https://klasma.github.io/Logging_2260/tillsyn/A 35648-2025 tillsynsbegäran.docx", "A 35648-2025")</f>
        <v/>
      </c>
      <c r="Y226">
        <f>HYPERLINK("https://klasma.github.io/Logging_2260/tillsynsmail/A 35648-2025 tillsynsbegäran mail.docx", "A 35648-2025")</f>
        <v/>
      </c>
    </row>
    <row r="227" ht="15" customHeight="1">
      <c r="A227" t="inlineStr">
        <is>
          <t>A 35839-2025</t>
        </is>
      </c>
      <c r="B227" s="1" t="n">
        <v>45861.53943287037</v>
      </c>
      <c r="C227" s="1" t="n">
        <v>46079</v>
      </c>
      <c r="D227" t="inlineStr">
        <is>
          <t>VÄSTERNORRLANDS LÄN</t>
        </is>
      </c>
      <c r="E227" t="inlineStr">
        <is>
          <t>ÅNGE</t>
        </is>
      </c>
      <c r="F227" t="inlineStr">
        <is>
          <t>Sveaskog</t>
        </is>
      </c>
      <c r="G227" t="n">
        <v>7.9</v>
      </c>
      <c r="H227" t="n">
        <v>0</v>
      </c>
      <c r="I227" t="n">
        <v>0</v>
      </c>
      <c r="J227" t="n">
        <v>1</v>
      </c>
      <c r="K227" t="n">
        <v>0</v>
      </c>
      <c r="L227" t="n">
        <v>0</v>
      </c>
      <c r="M227" t="n">
        <v>0</v>
      </c>
      <c r="N227" t="n">
        <v>0</v>
      </c>
      <c r="O227" t="n">
        <v>1</v>
      </c>
      <c r="P227" t="n">
        <v>0</v>
      </c>
      <c r="Q227" t="n">
        <v>1</v>
      </c>
      <c r="R227" s="2" t="inlineStr">
        <is>
          <t>Lunglav</t>
        </is>
      </c>
      <c r="S227">
        <f>HYPERLINK("https://klasma.github.io/Logging_2260/artfynd/A 35839-2025 artfynd.xlsx", "A 35839-2025")</f>
        <v/>
      </c>
      <c r="T227">
        <f>HYPERLINK("https://klasma.github.io/Logging_2260/kartor/A 35839-2025 karta.png", "A 35839-2025")</f>
        <v/>
      </c>
      <c r="V227">
        <f>HYPERLINK("https://klasma.github.io/Logging_2260/klagomål/A 35839-2025 FSC-klagomål.docx", "A 35839-2025")</f>
        <v/>
      </c>
      <c r="W227">
        <f>HYPERLINK("https://klasma.github.io/Logging_2260/klagomålsmail/A 35839-2025 FSC-klagomål mail.docx", "A 35839-2025")</f>
        <v/>
      </c>
      <c r="X227">
        <f>HYPERLINK("https://klasma.github.io/Logging_2260/tillsyn/A 35839-2025 tillsynsbegäran.docx", "A 35839-2025")</f>
        <v/>
      </c>
      <c r="Y227">
        <f>HYPERLINK("https://klasma.github.io/Logging_2260/tillsynsmail/A 35839-2025 tillsynsbegäran mail.docx", "A 35839-2025")</f>
        <v/>
      </c>
    </row>
    <row r="228" ht="15" customHeight="1">
      <c r="A228" t="inlineStr">
        <is>
          <t>A 34696-2024</t>
        </is>
      </c>
      <c r="B228" s="1" t="n">
        <v>45526</v>
      </c>
      <c r="C228" s="1" t="n">
        <v>46079</v>
      </c>
      <c r="D228" t="inlineStr">
        <is>
          <t>VÄSTERNORRLANDS LÄN</t>
        </is>
      </c>
      <c r="E228" t="inlineStr">
        <is>
          <t>ÅNGE</t>
        </is>
      </c>
      <c r="G228" t="n">
        <v>3.6</v>
      </c>
      <c r="H228" t="n">
        <v>1</v>
      </c>
      <c r="I228" t="n">
        <v>0</v>
      </c>
      <c r="J228" t="n">
        <v>0</v>
      </c>
      <c r="K228" t="n">
        <v>0</v>
      </c>
      <c r="L228" t="n">
        <v>0</v>
      </c>
      <c r="M228" t="n">
        <v>0</v>
      </c>
      <c r="N228" t="n">
        <v>0</v>
      </c>
      <c r="O228" t="n">
        <v>0</v>
      </c>
      <c r="P228" t="n">
        <v>0</v>
      </c>
      <c r="Q228" t="n">
        <v>1</v>
      </c>
      <c r="R228" s="2" t="inlineStr">
        <is>
          <t>Revlummer</t>
        </is>
      </c>
      <c r="S228">
        <f>HYPERLINK("https://klasma.github.io/Logging_2260/artfynd/A 34696-2024 artfynd.xlsx", "A 34696-2024")</f>
        <v/>
      </c>
      <c r="T228">
        <f>HYPERLINK("https://klasma.github.io/Logging_2260/kartor/A 34696-2024 karta.png", "A 34696-2024")</f>
        <v/>
      </c>
      <c r="V228">
        <f>HYPERLINK("https://klasma.github.io/Logging_2260/klagomål/A 34696-2024 FSC-klagomål.docx", "A 34696-2024")</f>
        <v/>
      </c>
      <c r="W228">
        <f>HYPERLINK("https://klasma.github.io/Logging_2260/klagomålsmail/A 34696-2024 FSC-klagomål mail.docx", "A 34696-2024")</f>
        <v/>
      </c>
      <c r="X228">
        <f>HYPERLINK("https://klasma.github.io/Logging_2260/tillsyn/A 34696-2024 tillsynsbegäran.docx", "A 34696-2024")</f>
        <v/>
      </c>
      <c r="Y228">
        <f>HYPERLINK("https://klasma.github.io/Logging_2260/tillsynsmail/A 34696-2024 tillsynsbegäran mail.docx", "A 34696-2024")</f>
        <v/>
      </c>
    </row>
    <row r="229" ht="15" customHeight="1">
      <c r="A229" t="inlineStr">
        <is>
          <t>A 41493-2021</t>
        </is>
      </c>
      <c r="B229" s="1" t="n">
        <v>44424</v>
      </c>
      <c r="C229" s="1" t="n">
        <v>46079</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58534-2025</t>
        </is>
      </c>
      <c r="B230" s="1" t="n">
        <v>45985.80396990741</v>
      </c>
      <c r="C230" s="1" t="n">
        <v>46079</v>
      </c>
      <c r="D230" t="inlineStr">
        <is>
          <t>VÄSTERNORRLANDS LÄN</t>
        </is>
      </c>
      <c r="E230" t="inlineStr">
        <is>
          <t>ÅNGE</t>
        </is>
      </c>
      <c r="F230" t="inlineStr">
        <is>
          <t>Holmen skog AB</t>
        </is>
      </c>
      <c r="G230" t="n">
        <v>2.2</v>
      </c>
      <c r="H230" t="n">
        <v>0</v>
      </c>
      <c r="I230" t="n">
        <v>0</v>
      </c>
      <c r="J230" t="n">
        <v>1</v>
      </c>
      <c r="K230" t="n">
        <v>0</v>
      </c>
      <c r="L230" t="n">
        <v>0</v>
      </c>
      <c r="M230" t="n">
        <v>0</v>
      </c>
      <c r="N230" t="n">
        <v>0</v>
      </c>
      <c r="O230" t="n">
        <v>1</v>
      </c>
      <c r="P230" t="n">
        <v>0</v>
      </c>
      <c r="Q230" t="n">
        <v>1</v>
      </c>
      <c r="R230" s="2" t="inlineStr">
        <is>
          <t>Ullticka</t>
        </is>
      </c>
      <c r="S230">
        <f>HYPERLINK("https://klasma.github.io/Logging_2260/artfynd/A 58534-2025 artfynd.xlsx", "A 58534-2025")</f>
        <v/>
      </c>
      <c r="T230">
        <f>HYPERLINK("https://klasma.github.io/Logging_2260/kartor/A 58534-2025 karta.png", "A 58534-2025")</f>
        <v/>
      </c>
      <c r="V230">
        <f>HYPERLINK("https://klasma.github.io/Logging_2260/klagomål/A 58534-2025 FSC-klagomål.docx", "A 58534-2025")</f>
        <v/>
      </c>
      <c r="W230">
        <f>HYPERLINK("https://klasma.github.io/Logging_2260/klagomålsmail/A 58534-2025 FSC-klagomål mail.docx", "A 58534-2025")</f>
        <v/>
      </c>
      <c r="X230">
        <f>HYPERLINK("https://klasma.github.io/Logging_2260/tillsyn/A 58534-2025 tillsynsbegäran.docx", "A 58534-2025")</f>
        <v/>
      </c>
      <c r="Y230">
        <f>HYPERLINK("https://klasma.github.io/Logging_2260/tillsynsmail/A 58534-2025 tillsynsbegäran mail.docx", "A 58534-2025")</f>
        <v/>
      </c>
    </row>
    <row r="231" ht="15" customHeight="1">
      <c r="A231" t="inlineStr">
        <is>
          <t>A 37432-2025</t>
        </is>
      </c>
      <c r="B231" s="1" t="n">
        <v>45877.51106481482</v>
      </c>
      <c r="C231" s="1" t="n">
        <v>46079</v>
      </c>
      <c r="D231" t="inlineStr">
        <is>
          <t>VÄSTERNORRLANDS LÄN</t>
        </is>
      </c>
      <c r="E231" t="inlineStr">
        <is>
          <t>ÅNGE</t>
        </is>
      </c>
      <c r="F231" t="inlineStr">
        <is>
          <t>SCA</t>
        </is>
      </c>
      <c r="G231" t="n">
        <v>1.2</v>
      </c>
      <c r="H231" t="n">
        <v>1</v>
      </c>
      <c r="I231" t="n">
        <v>1</v>
      </c>
      <c r="J231" t="n">
        <v>0</v>
      </c>
      <c r="K231" t="n">
        <v>0</v>
      </c>
      <c r="L231" t="n">
        <v>0</v>
      </c>
      <c r="M231" t="n">
        <v>0</v>
      </c>
      <c r="N231" t="n">
        <v>0</v>
      </c>
      <c r="O231" t="n">
        <v>0</v>
      </c>
      <c r="P231" t="n">
        <v>0</v>
      </c>
      <c r="Q231" t="n">
        <v>1</v>
      </c>
      <c r="R231" s="2" t="inlineStr">
        <is>
          <t>Spindelblomster</t>
        </is>
      </c>
      <c r="S231">
        <f>HYPERLINK("https://klasma.github.io/Logging_2260/artfynd/A 37432-2025 artfynd.xlsx", "A 37432-2025")</f>
        <v/>
      </c>
      <c r="T231">
        <f>HYPERLINK("https://klasma.github.io/Logging_2260/kartor/A 37432-2025 karta.png", "A 37432-2025")</f>
        <v/>
      </c>
      <c r="V231">
        <f>HYPERLINK("https://klasma.github.io/Logging_2260/klagomål/A 37432-2025 FSC-klagomål.docx", "A 37432-2025")</f>
        <v/>
      </c>
      <c r="W231">
        <f>HYPERLINK("https://klasma.github.io/Logging_2260/klagomålsmail/A 37432-2025 FSC-klagomål mail.docx", "A 37432-2025")</f>
        <v/>
      </c>
      <c r="X231">
        <f>HYPERLINK("https://klasma.github.io/Logging_2260/tillsyn/A 37432-2025 tillsynsbegäran.docx", "A 37432-2025")</f>
        <v/>
      </c>
      <c r="Y231">
        <f>HYPERLINK("https://klasma.github.io/Logging_2260/tillsynsmail/A 37432-2025 tillsynsbegäran mail.docx", "A 37432-2025")</f>
        <v/>
      </c>
    </row>
    <row r="232" ht="15" customHeight="1">
      <c r="A232" t="inlineStr">
        <is>
          <t>A 25705-2024</t>
        </is>
      </c>
      <c r="B232" s="1" t="n">
        <v>45463.9428587963</v>
      </c>
      <c r="C232" s="1" t="n">
        <v>46079</v>
      </c>
      <c r="D232" t="inlineStr">
        <is>
          <t>VÄSTERNORRLANDS LÄN</t>
        </is>
      </c>
      <c r="E232" t="inlineStr">
        <is>
          <t>ÅNGE</t>
        </is>
      </c>
      <c r="F232" t="inlineStr">
        <is>
          <t>SCA</t>
        </is>
      </c>
      <c r="G232" t="n">
        <v>10.6</v>
      </c>
      <c r="H232" t="n">
        <v>1</v>
      </c>
      <c r="I232" t="n">
        <v>1</v>
      </c>
      <c r="J232" t="n">
        <v>0</v>
      </c>
      <c r="K232" t="n">
        <v>0</v>
      </c>
      <c r="L232" t="n">
        <v>0</v>
      </c>
      <c r="M232" t="n">
        <v>0</v>
      </c>
      <c r="N232" t="n">
        <v>0</v>
      </c>
      <c r="O232" t="n">
        <v>0</v>
      </c>
      <c r="P232" t="n">
        <v>0</v>
      </c>
      <c r="Q232" t="n">
        <v>1</v>
      </c>
      <c r="R232" s="2" t="inlineStr">
        <is>
          <t>Korallrot</t>
        </is>
      </c>
      <c r="S232">
        <f>HYPERLINK("https://klasma.github.io/Logging_2260/artfynd/A 25705-2024 artfynd.xlsx", "A 25705-2024")</f>
        <v/>
      </c>
      <c r="T232">
        <f>HYPERLINK("https://klasma.github.io/Logging_2260/kartor/A 25705-2024 karta.png", "A 25705-2024")</f>
        <v/>
      </c>
      <c r="V232">
        <f>HYPERLINK("https://klasma.github.io/Logging_2260/klagomål/A 25705-2024 FSC-klagomål.docx", "A 25705-2024")</f>
        <v/>
      </c>
      <c r="W232">
        <f>HYPERLINK("https://klasma.github.io/Logging_2260/klagomålsmail/A 25705-2024 FSC-klagomål mail.docx", "A 25705-2024")</f>
        <v/>
      </c>
      <c r="X232">
        <f>HYPERLINK("https://klasma.github.io/Logging_2260/tillsyn/A 25705-2024 tillsynsbegäran.docx", "A 25705-2024")</f>
        <v/>
      </c>
      <c r="Y232">
        <f>HYPERLINK("https://klasma.github.io/Logging_2260/tillsynsmail/A 25705-2024 tillsynsbegäran mail.docx", "A 25705-2024")</f>
        <v/>
      </c>
    </row>
    <row r="233" ht="15" customHeight="1">
      <c r="A233" t="inlineStr">
        <is>
          <t>A 61076-2025</t>
        </is>
      </c>
      <c r="B233" s="1" t="n">
        <v>46000.39689814814</v>
      </c>
      <c r="C233" s="1" t="n">
        <v>46079</v>
      </c>
      <c r="D233" t="inlineStr">
        <is>
          <t>VÄSTERNORRLANDS LÄN</t>
        </is>
      </c>
      <c r="E233" t="inlineStr">
        <is>
          <t>ÅNGE</t>
        </is>
      </c>
      <c r="F233" t="inlineStr">
        <is>
          <t>Holmen skog AB</t>
        </is>
      </c>
      <c r="G233" t="n">
        <v>2.7</v>
      </c>
      <c r="H233" t="n">
        <v>0</v>
      </c>
      <c r="I233" t="n">
        <v>1</v>
      </c>
      <c r="J233" t="n">
        <v>0</v>
      </c>
      <c r="K233" t="n">
        <v>0</v>
      </c>
      <c r="L233" t="n">
        <v>0</v>
      </c>
      <c r="M233" t="n">
        <v>0</v>
      </c>
      <c r="N233" t="n">
        <v>0</v>
      </c>
      <c r="O233" t="n">
        <v>0</v>
      </c>
      <c r="P233" t="n">
        <v>0</v>
      </c>
      <c r="Q233" t="n">
        <v>1</v>
      </c>
      <c r="R233" s="2" t="inlineStr">
        <is>
          <t>Stor aspticka</t>
        </is>
      </c>
      <c r="S233">
        <f>HYPERLINK("https://klasma.github.io/Logging_2260/artfynd/A 61076-2025 artfynd.xlsx", "A 61076-2025")</f>
        <v/>
      </c>
      <c r="T233">
        <f>HYPERLINK("https://klasma.github.io/Logging_2260/kartor/A 61076-2025 karta.png", "A 61076-2025")</f>
        <v/>
      </c>
      <c r="V233">
        <f>HYPERLINK("https://klasma.github.io/Logging_2260/klagomål/A 61076-2025 FSC-klagomål.docx", "A 61076-2025")</f>
        <v/>
      </c>
      <c r="W233">
        <f>HYPERLINK("https://klasma.github.io/Logging_2260/klagomålsmail/A 61076-2025 FSC-klagomål mail.docx", "A 61076-2025")</f>
        <v/>
      </c>
      <c r="X233">
        <f>HYPERLINK("https://klasma.github.io/Logging_2260/tillsyn/A 61076-2025 tillsynsbegäran.docx", "A 61076-2025")</f>
        <v/>
      </c>
      <c r="Y233">
        <f>HYPERLINK("https://klasma.github.io/Logging_2260/tillsynsmail/A 61076-2025 tillsynsbegäran mail.docx", "A 61076-2025")</f>
        <v/>
      </c>
    </row>
    <row r="234" ht="15" customHeight="1">
      <c r="A234" t="inlineStr">
        <is>
          <t>A 329-2026</t>
        </is>
      </c>
      <c r="B234" s="1" t="n">
        <v>46027.59431712963</v>
      </c>
      <c r="C234" s="1" t="n">
        <v>46079</v>
      </c>
      <c r="D234" t="inlineStr">
        <is>
          <t>VÄSTERNORRLANDS LÄN</t>
        </is>
      </c>
      <c r="E234" t="inlineStr">
        <is>
          <t>ÅNGE</t>
        </is>
      </c>
      <c r="F234" t="inlineStr">
        <is>
          <t>SCA</t>
        </is>
      </c>
      <c r="G234" t="n">
        <v>3.3</v>
      </c>
      <c r="H234" t="n">
        <v>1</v>
      </c>
      <c r="I234" t="n">
        <v>0</v>
      </c>
      <c r="J234" t="n">
        <v>0</v>
      </c>
      <c r="K234" t="n">
        <v>0</v>
      </c>
      <c r="L234" t="n">
        <v>0</v>
      </c>
      <c r="M234" t="n">
        <v>0</v>
      </c>
      <c r="N234" t="n">
        <v>0</v>
      </c>
      <c r="O234" t="n">
        <v>0</v>
      </c>
      <c r="P234" t="n">
        <v>0</v>
      </c>
      <c r="Q234" t="n">
        <v>1</v>
      </c>
      <c r="R234" s="2" t="inlineStr">
        <is>
          <t>Revlummer</t>
        </is>
      </c>
      <c r="S234">
        <f>HYPERLINK("https://klasma.github.io/Logging_2260/artfynd/A 329-2026 artfynd.xlsx", "A 329-2026")</f>
        <v/>
      </c>
      <c r="T234">
        <f>HYPERLINK("https://klasma.github.io/Logging_2260/kartor/A 329-2026 karta.png", "A 329-2026")</f>
        <v/>
      </c>
      <c r="V234">
        <f>HYPERLINK("https://klasma.github.io/Logging_2260/klagomål/A 329-2026 FSC-klagomål.docx", "A 329-2026")</f>
        <v/>
      </c>
      <c r="W234">
        <f>HYPERLINK("https://klasma.github.io/Logging_2260/klagomålsmail/A 329-2026 FSC-klagomål mail.docx", "A 329-2026")</f>
        <v/>
      </c>
      <c r="X234">
        <f>HYPERLINK("https://klasma.github.io/Logging_2260/tillsyn/A 329-2026 tillsynsbegäran.docx", "A 329-2026")</f>
        <v/>
      </c>
      <c r="Y234">
        <f>HYPERLINK("https://klasma.github.io/Logging_2260/tillsynsmail/A 329-2026 tillsynsbegäran mail.docx", "A 329-2026")</f>
        <v/>
      </c>
    </row>
    <row r="235" ht="15" customHeight="1">
      <c r="A235" t="inlineStr">
        <is>
          <t>A 20354-2021</t>
        </is>
      </c>
      <c r="B235" s="1" t="n">
        <v>44312</v>
      </c>
      <c r="C235" s="1" t="n">
        <v>46079</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46079</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24353-2022</t>
        </is>
      </c>
      <c r="B237" s="1" t="n">
        <v>44726.37769675926</v>
      </c>
      <c r="C237" s="1" t="n">
        <v>46079</v>
      </c>
      <c r="D237" t="inlineStr">
        <is>
          <t>VÄSTERNORRLANDS LÄN</t>
        </is>
      </c>
      <c r="E237" t="inlineStr">
        <is>
          <t>ÅNGE</t>
        </is>
      </c>
      <c r="G237" t="n">
        <v>1</v>
      </c>
      <c r="H237" t="n">
        <v>0</v>
      </c>
      <c r="I237" t="n">
        <v>0</v>
      </c>
      <c r="J237" t="n">
        <v>0</v>
      </c>
      <c r="K237" t="n">
        <v>0</v>
      </c>
      <c r="L237" t="n">
        <v>0</v>
      </c>
      <c r="M237" t="n">
        <v>0</v>
      </c>
      <c r="N237" t="n">
        <v>0</v>
      </c>
      <c r="O237" t="n">
        <v>0</v>
      </c>
      <c r="P237" t="n">
        <v>0</v>
      </c>
      <c r="Q237" t="n">
        <v>0</v>
      </c>
      <c r="R237" s="2" t="inlineStr"/>
    </row>
    <row r="238" ht="15" customHeight="1">
      <c r="A238" t="inlineStr">
        <is>
          <t>A 5381-2022</t>
        </is>
      </c>
      <c r="B238" s="1" t="n">
        <v>44594.9337037037</v>
      </c>
      <c r="C238" s="1" t="n">
        <v>46079</v>
      </c>
      <c r="D238" t="inlineStr">
        <is>
          <t>VÄSTERNORRLANDS LÄN</t>
        </is>
      </c>
      <c r="E238" t="inlineStr">
        <is>
          <t>ÅNGE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46079</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37624-2021</t>
        </is>
      </c>
      <c r="B240" s="1" t="n">
        <v>44399</v>
      </c>
      <c r="C240" s="1" t="n">
        <v>46079</v>
      </c>
      <c r="D240" t="inlineStr">
        <is>
          <t>VÄSTERNORRLANDS LÄN</t>
        </is>
      </c>
      <c r="E240" t="inlineStr">
        <is>
          <t>ÅNGE</t>
        </is>
      </c>
      <c r="G240" t="n">
        <v>4.1</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46079</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46079</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46079</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46079</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46079</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46079</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46079</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46079</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46079</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46079</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46079</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46079</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46079</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46079</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53969-2021</t>
        </is>
      </c>
      <c r="B255" s="1" t="n">
        <v>44469</v>
      </c>
      <c r="C255" s="1" t="n">
        <v>46079</v>
      </c>
      <c r="D255" t="inlineStr">
        <is>
          <t>VÄSTERNORRLANDS LÄN</t>
        </is>
      </c>
      <c r="E255" t="inlineStr">
        <is>
          <t>ÅNGE</t>
        </is>
      </c>
      <c r="G255" t="n">
        <v>0.7</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46079</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46079</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46079</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46079</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46079</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46079</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46079</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46079</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46079</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46079</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46079</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46079</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46079</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46079</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46079</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46079</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51427-2021</t>
        </is>
      </c>
      <c r="B272" s="1" t="n">
        <v>44461</v>
      </c>
      <c r="C272" s="1" t="n">
        <v>46079</v>
      </c>
      <c r="D272" t="inlineStr">
        <is>
          <t>VÄSTERNORRLANDS LÄN</t>
        </is>
      </c>
      <c r="E272" t="inlineStr">
        <is>
          <t>ÅNGE</t>
        </is>
      </c>
      <c r="G272" t="n">
        <v>3.2</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46079</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46079</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46079</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46079</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46079</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46079</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46079</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46079</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46079</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46079</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50125-2021</t>
        </is>
      </c>
      <c r="B283" s="1" t="n">
        <v>44456</v>
      </c>
      <c r="C283" s="1" t="n">
        <v>46079</v>
      </c>
      <c r="D283" t="inlineStr">
        <is>
          <t>VÄSTERNORRLANDS LÄN</t>
        </is>
      </c>
      <c r="E283" t="inlineStr">
        <is>
          <t>ÅNGE</t>
        </is>
      </c>
      <c r="G283" t="n">
        <v>1.2</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46079</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6898-2022</t>
        </is>
      </c>
      <c r="B285" s="1" t="n">
        <v>44602.92141203704</v>
      </c>
      <c r="C285" s="1" t="n">
        <v>46079</v>
      </c>
      <c r="D285" t="inlineStr">
        <is>
          <t>VÄSTERNORRLANDS LÄN</t>
        </is>
      </c>
      <c r="E285" t="inlineStr">
        <is>
          <t>ÅNGE</t>
        </is>
      </c>
      <c r="G285" t="n">
        <v>0.6</v>
      </c>
      <c r="H285" t="n">
        <v>0</v>
      </c>
      <c r="I285" t="n">
        <v>0</v>
      </c>
      <c r="J285" t="n">
        <v>0</v>
      </c>
      <c r="K285" t="n">
        <v>0</v>
      </c>
      <c r="L285" t="n">
        <v>0</v>
      </c>
      <c r="M285" t="n">
        <v>0</v>
      </c>
      <c r="N285" t="n">
        <v>0</v>
      </c>
      <c r="O285" t="n">
        <v>0</v>
      </c>
      <c r="P285" t="n">
        <v>0</v>
      </c>
      <c r="Q285" t="n">
        <v>0</v>
      </c>
      <c r="R285" s="2" t="inlineStr"/>
    </row>
    <row r="286" ht="15" customHeight="1">
      <c r="A286" t="inlineStr">
        <is>
          <t>A 13479-2021</t>
        </is>
      </c>
      <c r="B286" s="1" t="n">
        <v>44273</v>
      </c>
      <c r="C286" s="1" t="n">
        <v>46079</v>
      </c>
      <c r="D286" t="inlineStr">
        <is>
          <t>VÄSTERNORRLANDS LÄN</t>
        </is>
      </c>
      <c r="E286" t="inlineStr">
        <is>
          <t>ÅNGE</t>
        </is>
      </c>
      <c r="G286" t="n">
        <v>0.1</v>
      </c>
      <c r="H286" t="n">
        <v>0</v>
      </c>
      <c r="I286" t="n">
        <v>0</v>
      </c>
      <c r="J286" t="n">
        <v>0</v>
      </c>
      <c r="K286" t="n">
        <v>0</v>
      </c>
      <c r="L286" t="n">
        <v>0</v>
      </c>
      <c r="M286" t="n">
        <v>0</v>
      </c>
      <c r="N286" t="n">
        <v>0</v>
      </c>
      <c r="O286" t="n">
        <v>0</v>
      </c>
      <c r="P286" t="n">
        <v>0</v>
      </c>
      <c r="Q286" t="n">
        <v>0</v>
      </c>
      <c r="R286" s="2" t="inlineStr"/>
    </row>
    <row r="287" ht="15" customHeight="1">
      <c r="A287" t="inlineStr">
        <is>
          <t>A 13510-2021</t>
        </is>
      </c>
      <c r="B287" s="1" t="n">
        <v>44273</v>
      </c>
      <c r="C287" s="1" t="n">
        <v>46079</v>
      </c>
      <c r="D287" t="inlineStr">
        <is>
          <t>VÄSTERNORRLANDS LÄN</t>
        </is>
      </c>
      <c r="E287" t="inlineStr">
        <is>
          <t>ÅNGE</t>
        </is>
      </c>
      <c r="G287" t="n">
        <v>0.4</v>
      </c>
      <c r="H287" t="n">
        <v>0</v>
      </c>
      <c r="I287" t="n">
        <v>0</v>
      </c>
      <c r="J287" t="n">
        <v>0</v>
      </c>
      <c r="K287" t="n">
        <v>0</v>
      </c>
      <c r="L287" t="n">
        <v>0</v>
      </c>
      <c r="M287" t="n">
        <v>0</v>
      </c>
      <c r="N287" t="n">
        <v>0</v>
      </c>
      <c r="O287" t="n">
        <v>0</v>
      </c>
      <c r="P287" t="n">
        <v>0</v>
      </c>
      <c r="Q287" t="n">
        <v>0</v>
      </c>
      <c r="R287" s="2" t="inlineStr"/>
    </row>
    <row r="288" ht="15" customHeight="1">
      <c r="A288" t="inlineStr">
        <is>
          <t>A 69736-2021</t>
        </is>
      </c>
      <c r="B288" s="1" t="n">
        <v>44532</v>
      </c>
      <c r="C288" s="1" t="n">
        <v>46079</v>
      </c>
      <c r="D288" t="inlineStr">
        <is>
          <t>VÄSTERNORRLANDS LÄN</t>
        </is>
      </c>
      <c r="E288" t="inlineStr">
        <is>
          <t>ÅNGE</t>
        </is>
      </c>
      <c r="G288" t="n">
        <v>5</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46079</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46079</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46079</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5279-2022</t>
        </is>
      </c>
      <c r="B292" s="1" t="n">
        <v>44594</v>
      </c>
      <c r="C292" s="1" t="n">
        <v>46079</v>
      </c>
      <c r="D292" t="inlineStr">
        <is>
          <t>VÄSTERNORRLANDS LÄN</t>
        </is>
      </c>
      <c r="E292" t="inlineStr">
        <is>
          <t>ÅNGE</t>
        </is>
      </c>
      <c r="G292" t="n">
        <v>0.9</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46079</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53010-2022</t>
        </is>
      </c>
      <c r="B294" s="1" t="n">
        <v>44875</v>
      </c>
      <c r="C294" s="1" t="n">
        <v>46079</v>
      </c>
      <c r="D294" t="inlineStr">
        <is>
          <t>VÄSTERNORRLANDS LÄN</t>
        </is>
      </c>
      <c r="E294" t="inlineStr">
        <is>
          <t>ÅNGE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57162-2021</t>
        </is>
      </c>
      <c r="B295" s="1" t="n">
        <v>44482</v>
      </c>
      <c r="C295" s="1" t="n">
        <v>46079</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55907-2022</t>
        </is>
      </c>
      <c r="B296" s="1" t="n">
        <v>44888.95457175926</v>
      </c>
      <c r="C296" s="1" t="n">
        <v>46079</v>
      </c>
      <c r="D296" t="inlineStr">
        <is>
          <t>VÄSTERNORRLANDS LÄN</t>
        </is>
      </c>
      <c r="E296" t="inlineStr">
        <is>
          <t>ÅNGE</t>
        </is>
      </c>
      <c r="F296" t="inlineStr">
        <is>
          <t>SCA</t>
        </is>
      </c>
      <c r="G296" t="n">
        <v>8.4</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46079</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31647-2022</t>
        </is>
      </c>
      <c r="B298" s="1" t="n">
        <v>44775.94328703704</v>
      </c>
      <c r="C298" s="1" t="n">
        <v>46079</v>
      </c>
      <c r="D298" t="inlineStr">
        <is>
          <t>VÄSTERNORRLANDS LÄN</t>
        </is>
      </c>
      <c r="E298" t="inlineStr">
        <is>
          <t>ÅNGE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66560-2021</t>
        </is>
      </c>
      <c r="B299" s="1" t="n">
        <v>44519</v>
      </c>
      <c r="C299" s="1" t="n">
        <v>46079</v>
      </c>
      <c r="D299" t="inlineStr">
        <is>
          <t>VÄSTERNORRLANDS LÄN</t>
        </is>
      </c>
      <c r="E299" t="inlineStr">
        <is>
          <t>ÅNGE</t>
        </is>
      </c>
      <c r="G299" t="n">
        <v>2.6</v>
      </c>
      <c r="H299" t="n">
        <v>0</v>
      </c>
      <c r="I299" t="n">
        <v>0</v>
      </c>
      <c r="J299" t="n">
        <v>0</v>
      </c>
      <c r="K299" t="n">
        <v>0</v>
      </c>
      <c r="L299" t="n">
        <v>0</v>
      </c>
      <c r="M299" t="n">
        <v>0</v>
      </c>
      <c r="N299" t="n">
        <v>0</v>
      </c>
      <c r="O299" t="n">
        <v>0</v>
      </c>
      <c r="P299" t="n">
        <v>0</v>
      </c>
      <c r="Q299" t="n">
        <v>0</v>
      </c>
      <c r="R299" s="2" t="inlineStr"/>
    </row>
    <row r="300" ht="15" customHeight="1">
      <c r="A300" t="inlineStr">
        <is>
          <t>A 24355-2022</t>
        </is>
      </c>
      <c r="B300" s="1" t="n">
        <v>44726.3816087963</v>
      </c>
      <c r="C300" s="1" t="n">
        <v>46079</v>
      </c>
      <c r="D300" t="inlineStr">
        <is>
          <t>VÄSTERNORRLANDS LÄN</t>
        </is>
      </c>
      <c r="E300" t="inlineStr">
        <is>
          <t>ÅNGE</t>
        </is>
      </c>
      <c r="G300" t="n">
        <v>0.7</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46079</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35507-2022</t>
        </is>
      </c>
      <c r="B302" s="1" t="n">
        <v>44798</v>
      </c>
      <c r="C302" s="1" t="n">
        <v>46079</v>
      </c>
      <c r="D302" t="inlineStr">
        <is>
          <t>VÄSTERNORRLANDS LÄN</t>
        </is>
      </c>
      <c r="E302" t="inlineStr">
        <is>
          <t>ÅNGE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10680-2022</t>
        </is>
      </c>
      <c r="B303" s="1" t="n">
        <v>44624</v>
      </c>
      <c r="C303" s="1" t="n">
        <v>46079</v>
      </c>
      <c r="D303" t="inlineStr">
        <is>
          <t>VÄSTERNORRLANDS LÄN</t>
        </is>
      </c>
      <c r="E303" t="inlineStr">
        <is>
          <t>ÅNGE</t>
        </is>
      </c>
      <c r="G303" t="n">
        <v>1</v>
      </c>
      <c r="H303" t="n">
        <v>0</v>
      </c>
      <c r="I303" t="n">
        <v>0</v>
      </c>
      <c r="J303" t="n">
        <v>0</v>
      </c>
      <c r="K303" t="n">
        <v>0</v>
      </c>
      <c r="L303" t="n">
        <v>0</v>
      </c>
      <c r="M303" t="n">
        <v>0</v>
      </c>
      <c r="N303" t="n">
        <v>0</v>
      </c>
      <c r="O303" t="n">
        <v>0</v>
      </c>
      <c r="P303" t="n">
        <v>0</v>
      </c>
      <c r="Q303" t="n">
        <v>0</v>
      </c>
      <c r="R303" s="2" t="inlineStr"/>
    </row>
    <row r="304" ht="15" customHeight="1">
      <c r="A304" t="inlineStr">
        <is>
          <t>A 10686-2022</t>
        </is>
      </c>
      <c r="B304" s="1" t="n">
        <v>44624.92680555556</v>
      </c>
      <c r="C304" s="1" t="n">
        <v>46079</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62870-2021</t>
        </is>
      </c>
      <c r="B305" s="1" t="n">
        <v>44503</v>
      </c>
      <c r="C305" s="1" t="n">
        <v>46079</v>
      </c>
      <c r="D305" t="inlineStr">
        <is>
          <t>VÄSTERNORRLANDS LÄN</t>
        </is>
      </c>
      <c r="E305" t="inlineStr">
        <is>
          <t>ÅNGE</t>
        </is>
      </c>
      <c r="F305" t="inlineStr">
        <is>
          <t>Övriga statliga verk och myndigheter</t>
        </is>
      </c>
      <c r="G305" t="n">
        <v>3</v>
      </c>
      <c r="H305" t="n">
        <v>0</v>
      </c>
      <c r="I305" t="n">
        <v>0</v>
      </c>
      <c r="J305" t="n">
        <v>0</v>
      </c>
      <c r="K305" t="n">
        <v>0</v>
      </c>
      <c r="L305" t="n">
        <v>0</v>
      </c>
      <c r="M305" t="n">
        <v>0</v>
      </c>
      <c r="N305" t="n">
        <v>0</v>
      </c>
      <c r="O305" t="n">
        <v>0</v>
      </c>
      <c r="P305" t="n">
        <v>0</v>
      </c>
      <c r="Q305" t="n">
        <v>0</v>
      </c>
      <c r="R305" s="2" t="inlineStr"/>
    </row>
    <row r="306" ht="15" customHeight="1">
      <c r="A306" t="inlineStr">
        <is>
          <t>A 39723-2021</t>
        </is>
      </c>
      <c r="B306" s="1" t="n">
        <v>44417.47886574074</v>
      </c>
      <c r="C306" s="1" t="n">
        <v>46079</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14084-2022</t>
        </is>
      </c>
      <c r="B307" s="1" t="n">
        <v>44651</v>
      </c>
      <c r="C307" s="1" t="n">
        <v>46079</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14091-2022</t>
        </is>
      </c>
      <c r="B308" s="1" t="n">
        <v>44651</v>
      </c>
      <c r="C308" s="1" t="n">
        <v>46079</v>
      </c>
      <c r="D308" t="inlineStr">
        <is>
          <t>VÄSTERNORRLANDS LÄN</t>
        </is>
      </c>
      <c r="E308" t="inlineStr">
        <is>
          <t>ÅNGE</t>
        </is>
      </c>
      <c r="G308" t="n">
        <v>2.4</v>
      </c>
      <c r="H308" t="n">
        <v>0</v>
      </c>
      <c r="I308" t="n">
        <v>0</v>
      </c>
      <c r="J308" t="n">
        <v>0</v>
      </c>
      <c r="K308" t="n">
        <v>0</v>
      </c>
      <c r="L308" t="n">
        <v>0</v>
      </c>
      <c r="M308" t="n">
        <v>0</v>
      </c>
      <c r="N308" t="n">
        <v>0</v>
      </c>
      <c r="O308" t="n">
        <v>0</v>
      </c>
      <c r="P308" t="n">
        <v>0</v>
      </c>
      <c r="Q308" t="n">
        <v>0</v>
      </c>
      <c r="R308" s="2" t="inlineStr"/>
    </row>
    <row r="309" ht="15" customHeight="1">
      <c r="A309" t="inlineStr">
        <is>
          <t>A 21189-2021</t>
        </is>
      </c>
      <c r="B309" s="1" t="n">
        <v>44320</v>
      </c>
      <c r="C309" s="1" t="n">
        <v>46079</v>
      </c>
      <c r="D309" t="inlineStr">
        <is>
          <t>VÄSTERNORRLANDS LÄN</t>
        </is>
      </c>
      <c r="E309" t="inlineStr">
        <is>
          <t>ÅNGE</t>
        </is>
      </c>
      <c r="G309" t="n">
        <v>2.4</v>
      </c>
      <c r="H309" t="n">
        <v>0</v>
      </c>
      <c r="I309" t="n">
        <v>0</v>
      </c>
      <c r="J309" t="n">
        <v>0</v>
      </c>
      <c r="K309" t="n">
        <v>0</v>
      </c>
      <c r="L309" t="n">
        <v>0</v>
      </c>
      <c r="M309" t="n">
        <v>0</v>
      </c>
      <c r="N309" t="n">
        <v>0</v>
      </c>
      <c r="O309" t="n">
        <v>0</v>
      </c>
      <c r="P309" t="n">
        <v>0</v>
      </c>
      <c r="Q309" t="n">
        <v>0</v>
      </c>
      <c r="R309" s="2" t="inlineStr"/>
    </row>
    <row r="310" ht="15" customHeight="1">
      <c r="A310" t="inlineStr">
        <is>
          <t>A 21642-2021</t>
        </is>
      </c>
      <c r="B310" s="1" t="n">
        <v>44321.94239583334</v>
      </c>
      <c r="C310" s="1" t="n">
        <v>46079</v>
      </c>
      <c r="D310" t="inlineStr">
        <is>
          <t>VÄSTERNORRLANDS LÄN</t>
        </is>
      </c>
      <c r="E310" t="inlineStr">
        <is>
          <t>ÅNGE</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55912-2021</t>
        </is>
      </c>
      <c r="B311" s="1" t="n">
        <v>44476.91979166667</v>
      </c>
      <c r="C311" s="1" t="n">
        <v>46079</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51163-2021</t>
        </is>
      </c>
      <c r="B312" s="1" t="n">
        <v>44461.4665625</v>
      </c>
      <c r="C312" s="1" t="n">
        <v>46079</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71651-2021</t>
        </is>
      </c>
      <c r="B313" s="1" t="n">
        <v>44538</v>
      </c>
      <c r="C313" s="1" t="n">
        <v>46079</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58942-2021</t>
        </is>
      </c>
      <c r="B314" s="1" t="n">
        <v>44489.9221875</v>
      </c>
      <c r="C314" s="1" t="n">
        <v>46079</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5366-2022</t>
        </is>
      </c>
      <c r="B315" s="1" t="n">
        <v>44594.92107638889</v>
      </c>
      <c r="C315" s="1" t="n">
        <v>46079</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5565-2022</t>
        </is>
      </c>
      <c r="B316" s="1" t="n">
        <v>44595</v>
      </c>
      <c r="C316" s="1" t="n">
        <v>46079</v>
      </c>
      <c r="D316" t="inlineStr">
        <is>
          <t>VÄSTERNORRLANDS LÄN</t>
        </is>
      </c>
      <c r="E316" t="inlineStr">
        <is>
          <t>ÅNGE</t>
        </is>
      </c>
      <c r="G316" t="n">
        <v>0.3</v>
      </c>
      <c r="H316" t="n">
        <v>0</v>
      </c>
      <c r="I316" t="n">
        <v>0</v>
      </c>
      <c r="J316" t="n">
        <v>0</v>
      </c>
      <c r="K316" t="n">
        <v>0</v>
      </c>
      <c r="L316" t="n">
        <v>0</v>
      </c>
      <c r="M316" t="n">
        <v>0</v>
      </c>
      <c r="N316" t="n">
        <v>0</v>
      </c>
      <c r="O316" t="n">
        <v>0</v>
      </c>
      <c r="P316" t="n">
        <v>0</v>
      </c>
      <c r="Q316" t="n">
        <v>0</v>
      </c>
      <c r="R316" s="2" t="inlineStr"/>
    </row>
    <row r="317" ht="15" customHeight="1">
      <c r="A317" t="inlineStr">
        <is>
          <t>A 23016-2021</t>
        </is>
      </c>
      <c r="B317" s="1" t="n">
        <v>44328.92197916667</v>
      </c>
      <c r="C317" s="1" t="n">
        <v>46079</v>
      </c>
      <c r="D317" t="inlineStr">
        <is>
          <t>VÄSTERNORRLANDS LÄN</t>
        </is>
      </c>
      <c r="E317" t="inlineStr">
        <is>
          <t>ÅNGE</t>
        </is>
      </c>
      <c r="G317" t="n">
        <v>1.5</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46079</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30768-2022</t>
        </is>
      </c>
      <c r="B319" s="1" t="n">
        <v>44764.53608796297</v>
      </c>
      <c r="C319" s="1" t="n">
        <v>46079</v>
      </c>
      <c r="D319" t="inlineStr">
        <is>
          <t>VÄSTERNORRLANDS LÄN</t>
        </is>
      </c>
      <c r="E319" t="inlineStr">
        <is>
          <t>ÅNGE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66233-2021</t>
        </is>
      </c>
      <c r="B320" s="1" t="n">
        <v>44518.39234953704</v>
      </c>
      <c r="C320" s="1" t="n">
        <v>46079</v>
      </c>
      <c r="D320" t="inlineStr">
        <is>
          <t>VÄSTERNORRLANDS LÄN</t>
        </is>
      </c>
      <c r="E320" t="inlineStr">
        <is>
          <t>ÅNGE</t>
        </is>
      </c>
      <c r="G320" t="n">
        <v>3.1</v>
      </c>
      <c r="H320" t="n">
        <v>0</v>
      </c>
      <c r="I320" t="n">
        <v>0</v>
      </c>
      <c r="J320" t="n">
        <v>0</v>
      </c>
      <c r="K320" t="n">
        <v>0</v>
      </c>
      <c r="L320" t="n">
        <v>0</v>
      </c>
      <c r="M320" t="n">
        <v>0</v>
      </c>
      <c r="N320" t="n">
        <v>0</v>
      </c>
      <c r="O320" t="n">
        <v>0</v>
      </c>
      <c r="P320" t="n">
        <v>0</v>
      </c>
      <c r="Q320" t="n">
        <v>0</v>
      </c>
      <c r="R320" s="2" t="inlineStr"/>
    </row>
    <row r="321" ht="15" customHeight="1">
      <c r="A321" t="inlineStr">
        <is>
          <t>A 51555-2022</t>
        </is>
      </c>
      <c r="B321" s="1" t="n">
        <v>44869.9495949074</v>
      </c>
      <c r="C321" s="1" t="n">
        <v>46079</v>
      </c>
      <c r="D321" t="inlineStr">
        <is>
          <t>VÄSTERNORRLANDS LÄN</t>
        </is>
      </c>
      <c r="E321" t="inlineStr">
        <is>
          <t>ÅNGE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46079</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46079</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51494-2022</t>
        </is>
      </c>
      <c r="B324" s="1" t="n">
        <v>44869</v>
      </c>
      <c r="C324" s="1" t="n">
        <v>46079</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66229-2021</t>
        </is>
      </c>
      <c r="B325" s="1" t="n">
        <v>44518.3875</v>
      </c>
      <c r="C325" s="1" t="n">
        <v>46079</v>
      </c>
      <c r="D325" t="inlineStr">
        <is>
          <t>VÄSTERNORRLANDS LÄN</t>
        </is>
      </c>
      <c r="E325" t="inlineStr">
        <is>
          <t>ÅNGE</t>
        </is>
      </c>
      <c r="G325" t="n">
        <v>3.5</v>
      </c>
      <c r="H325" t="n">
        <v>0</v>
      </c>
      <c r="I325" t="n">
        <v>0</v>
      </c>
      <c r="J325" t="n">
        <v>0</v>
      </c>
      <c r="K325" t="n">
        <v>0</v>
      </c>
      <c r="L325" t="n">
        <v>0</v>
      </c>
      <c r="M325" t="n">
        <v>0</v>
      </c>
      <c r="N325" t="n">
        <v>0</v>
      </c>
      <c r="O325" t="n">
        <v>0</v>
      </c>
      <c r="P325" t="n">
        <v>0</v>
      </c>
      <c r="Q325" t="n">
        <v>0</v>
      </c>
      <c r="R325" s="2" t="inlineStr"/>
    </row>
    <row r="326" ht="15" customHeight="1">
      <c r="A326" t="inlineStr">
        <is>
          <t>A 30286-2021</t>
        </is>
      </c>
      <c r="B326" s="1" t="n">
        <v>44363</v>
      </c>
      <c r="C326" s="1" t="n">
        <v>46079</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55905-2021</t>
        </is>
      </c>
      <c r="B327" s="1" t="n">
        <v>44476.91895833334</v>
      </c>
      <c r="C327" s="1" t="n">
        <v>46079</v>
      </c>
      <c r="D327" t="inlineStr">
        <is>
          <t>VÄSTERNORRLANDS LÄN</t>
        </is>
      </c>
      <c r="E327" t="inlineStr">
        <is>
          <t>ÅNGE</t>
        </is>
      </c>
      <c r="G327" t="n">
        <v>0.9</v>
      </c>
      <c r="H327" t="n">
        <v>0</v>
      </c>
      <c r="I327" t="n">
        <v>0</v>
      </c>
      <c r="J327" t="n">
        <v>0</v>
      </c>
      <c r="K327" t="n">
        <v>0</v>
      </c>
      <c r="L327" t="n">
        <v>0</v>
      </c>
      <c r="M327" t="n">
        <v>0</v>
      </c>
      <c r="N327" t="n">
        <v>0</v>
      </c>
      <c r="O327" t="n">
        <v>0</v>
      </c>
      <c r="P327" t="n">
        <v>0</v>
      </c>
      <c r="Q327" t="n">
        <v>0</v>
      </c>
      <c r="R327" s="2" t="inlineStr"/>
    </row>
    <row r="328" ht="15" customHeight="1">
      <c r="A328" t="inlineStr">
        <is>
          <t>A 17580-2022</t>
        </is>
      </c>
      <c r="B328" s="1" t="n">
        <v>44679</v>
      </c>
      <c r="C328" s="1" t="n">
        <v>46079</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35058-2021</t>
        </is>
      </c>
      <c r="B329" s="1" t="n">
        <v>44383</v>
      </c>
      <c r="C329" s="1" t="n">
        <v>46079</v>
      </c>
      <c r="D329" t="inlineStr">
        <is>
          <t>VÄSTERNORRLANDS LÄN</t>
        </is>
      </c>
      <c r="E329" t="inlineStr">
        <is>
          <t>ÅNGE</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35079-2021</t>
        </is>
      </c>
      <c r="B330" s="1" t="n">
        <v>44383</v>
      </c>
      <c r="C330" s="1" t="n">
        <v>46079</v>
      </c>
      <c r="D330" t="inlineStr">
        <is>
          <t>VÄSTERNORRLANDS LÄN</t>
        </is>
      </c>
      <c r="E330" t="inlineStr">
        <is>
          <t>ÅNGE</t>
        </is>
      </c>
      <c r="G330" t="n">
        <v>2.8</v>
      </c>
      <c r="H330" t="n">
        <v>0</v>
      </c>
      <c r="I330" t="n">
        <v>0</v>
      </c>
      <c r="J330" t="n">
        <v>0</v>
      </c>
      <c r="K330" t="n">
        <v>0</v>
      </c>
      <c r="L330" t="n">
        <v>0</v>
      </c>
      <c r="M330" t="n">
        <v>0</v>
      </c>
      <c r="N330" t="n">
        <v>0</v>
      </c>
      <c r="O330" t="n">
        <v>0</v>
      </c>
      <c r="P330" t="n">
        <v>0</v>
      </c>
      <c r="Q330" t="n">
        <v>0</v>
      </c>
      <c r="R330" s="2" t="inlineStr"/>
    </row>
    <row r="331" ht="15" customHeight="1">
      <c r="A331" t="inlineStr">
        <is>
          <t>A 56907-2021</t>
        </is>
      </c>
      <c r="B331" s="1" t="n">
        <v>44481.93837962963</v>
      </c>
      <c r="C331" s="1" t="n">
        <v>46079</v>
      </c>
      <c r="D331" t="inlineStr">
        <is>
          <t>VÄSTERNORRLANDS LÄN</t>
        </is>
      </c>
      <c r="E331" t="inlineStr">
        <is>
          <t>ÅNGE</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12800-2021</t>
        </is>
      </c>
      <c r="B332" s="1" t="n">
        <v>44270.92056712963</v>
      </c>
      <c r="C332" s="1" t="n">
        <v>46079</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4939-2022</t>
        </is>
      </c>
      <c r="B333" s="1" t="n">
        <v>44593.50019675926</v>
      </c>
      <c r="C333" s="1" t="n">
        <v>46079</v>
      </c>
      <c r="D333" t="inlineStr">
        <is>
          <t>VÄSTERNORRLANDS LÄN</t>
        </is>
      </c>
      <c r="E333" t="inlineStr">
        <is>
          <t>ÅNGE</t>
        </is>
      </c>
      <c r="G333" t="n">
        <v>1.7</v>
      </c>
      <c r="H333" t="n">
        <v>0</v>
      </c>
      <c r="I333" t="n">
        <v>0</v>
      </c>
      <c r="J333" t="n">
        <v>0</v>
      </c>
      <c r="K333" t="n">
        <v>0</v>
      </c>
      <c r="L333" t="n">
        <v>0</v>
      </c>
      <c r="M333" t="n">
        <v>0</v>
      </c>
      <c r="N333" t="n">
        <v>0</v>
      </c>
      <c r="O333" t="n">
        <v>0</v>
      </c>
      <c r="P333" t="n">
        <v>0</v>
      </c>
      <c r="Q333" t="n">
        <v>0</v>
      </c>
      <c r="R333" s="2" t="inlineStr"/>
    </row>
    <row r="334" ht="15" customHeight="1">
      <c r="A334" t="inlineStr">
        <is>
          <t>A 35276-2022</t>
        </is>
      </c>
      <c r="B334" s="1" t="n">
        <v>44798</v>
      </c>
      <c r="C334" s="1" t="n">
        <v>46079</v>
      </c>
      <c r="D334" t="inlineStr">
        <is>
          <t>VÄSTERNORRLANDS LÄN</t>
        </is>
      </c>
      <c r="E334" t="inlineStr">
        <is>
          <t>ÅNGE</t>
        </is>
      </c>
      <c r="G334" t="n">
        <v>15.2</v>
      </c>
      <c r="H334" t="n">
        <v>0</v>
      </c>
      <c r="I334" t="n">
        <v>0</v>
      </c>
      <c r="J334" t="n">
        <v>0</v>
      </c>
      <c r="K334" t="n">
        <v>0</v>
      </c>
      <c r="L334" t="n">
        <v>0</v>
      </c>
      <c r="M334" t="n">
        <v>0</v>
      </c>
      <c r="N334" t="n">
        <v>0</v>
      </c>
      <c r="O334" t="n">
        <v>0</v>
      </c>
      <c r="P334" t="n">
        <v>0</v>
      </c>
      <c r="Q334" t="n">
        <v>0</v>
      </c>
      <c r="R334" s="2" t="inlineStr"/>
    </row>
    <row r="335" ht="15" customHeight="1">
      <c r="A335" t="inlineStr">
        <is>
          <t>A 20807-2021</t>
        </is>
      </c>
      <c r="B335" s="1" t="n">
        <v>44316.93965277778</v>
      </c>
      <c r="C335" s="1" t="n">
        <v>46079</v>
      </c>
      <c r="D335" t="inlineStr">
        <is>
          <t>VÄSTERNORRLANDS LÄN</t>
        </is>
      </c>
      <c r="E335" t="inlineStr">
        <is>
          <t>ÅNGE</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13149-2021</t>
        </is>
      </c>
      <c r="B336" s="1" t="n">
        <v>44272</v>
      </c>
      <c r="C336" s="1" t="n">
        <v>46079</v>
      </c>
      <c r="D336" t="inlineStr">
        <is>
          <t>VÄSTERNORRLANDS LÄN</t>
        </is>
      </c>
      <c r="E336" t="inlineStr">
        <is>
          <t>ÅNGE</t>
        </is>
      </c>
      <c r="G336" t="n">
        <v>3.4</v>
      </c>
      <c r="H336" t="n">
        <v>0</v>
      </c>
      <c r="I336" t="n">
        <v>0</v>
      </c>
      <c r="J336" t="n">
        <v>0</v>
      </c>
      <c r="K336" t="n">
        <v>0</v>
      </c>
      <c r="L336" t="n">
        <v>0</v>
      </c>
      <c r="M336" t="n">
        <v>0</v>
      </c>
      <c r="N336" t="n">
        <v>0</v>
      </c>
      <c r="O336" t="n">
        <v>0</v>
      </c>
      <c r="P336" t="n">
        <v>0</v>
      </c>
      <c r="Q336" t="n">
        <v>0</v>
      </c>
      <c r="R336" s="2" t="inlineStr"/>
    </row>
    <row r="337" ht="15" customHeight="1">
      <c r="A337" t="inlineStr">
        <is>
          <t>A 17594-2021</t>
        </is>
      </c>
      <c r="B337" s="1" t="n">
        <v>44299</v>
      </c>
      <c r="C337" s="1" t="n">
        <v>46079</v>
      </c>
      <c r="D337" t="inlineStr">
        <is>
          <t>VÄSTERNORRLANDS LÄN</t>
        </is>
      </c>
      <c r="E337" t="inlineStr">
        <is>
          <t>ÅNGE</t>
        </is>
      </c>
      <c r="G337" t="n">
        <v>0.8</v>
      </c>
      <c r="H337" t="n">
        <v>0</v>
      </c>
      <c r="I337" t="n">
        <v>0</v>
      </c>
      <c r="J337" t="n">
        <v>0</v>
      </c>
      <c r="K337" t="n">
        <v>0</v>
      </c>
      <c r="L337" t="n">
        <v>0</v>
      </c>
      <c r="M337" t="n">
        <v>0</v>
      </c>
      <c r="N337" t="n">
        <v>0</v>
      </c>
      <c r="O337" t="n">
        <v>0</v>
      </c>
      <c r="P337" t="n">
        <v>0</v>
      </c>
      <c r="Q337" t="n">
        <v>0</v>
      </c>
      <c r="R337" s="2" t="inlineStr"/>
    </row>
    <row r="338" ht="15" customHeight="1">
      <c r="A338" t="inlineStr">
        <is>
          <t>A 11098-2022</t>
        </is>
      </c>
      <c r="B338" s="1" t="n">
        <v>44628</v>
      </c>
      <c r="C338" s="1" t="n">
        <v>46079</v>
      </c>
      <c r="D338" t="inlineStr">
        <is>
          <t>VÄSTERNORRLANDS LÄN</t>
        </is>
      </c>
      <c r="E338" t="inlineStr">
        <is>
          <t>ÅNGE</t>
        </is>
      </c>
      <c r="G338" t="n">
        <v>8.9</v>
      </c>
      <c r="H338" t="n">
        <v>0</v>
      </c>
      <c r="I338" t="n">
        <v>0</v>
      </c>
      <c r="J338" t="n">
        <v>0</v>
      </c>
      <c r="K338" t="n">
        <v>0</v>
      </c>
      <c r="L338" t="n">
        <v>0</v>
      </c>
      <c r="M338" t="n">
        <v>0</v>
      </c>
      <c r="N338" t="n">
        <v>0</v>
      </c>
      <c r="O338" t="n">
        <v>0</v>
      </c>
      <c r="P338" t="n">
        <v>0</v>
      </c>
      <c r="Q338" t="n">
        <v>0</v>
      </c>
      <c r="R338" s="2" t="inlineStr"/>
    </row>
    <row r="339" ht="15" customHeight="1">
      <c r="A339" t="inlineStr">
        <is>
          <t>A 35283-2022</t>
        </is>
      </c>
      <c r="B339" s="1" t="n">
        <v>44798.39916666667</v>
      </c>
      <c r="C339" s="1" t="n">
        <v>46079</v>
      </c>
      <c r="D339" t="inlineStr">
        <is>
          <t>VÄSTERNORRLANDS LÄN</t>
        </is>
      </c>
      <c r="E339" t="inlineStr">
        <is>
          <t>ÅNGE</t>
        </is>
      </c>
      <c r="G339" t="n">
        <v>4.5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46079</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46079</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7633-2022</t>
        </is>
      </c>
      <c r="B342" s="1" t="n">
        <v>44607.71378472223</v>
      </c>
      <c r="C342" s="1" t="n">
        <v>46079</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61909-2021</t>
        </is>
      </c>
      <c r="B343" s="1" t="n">
        <v>44502.35310185186</v>
      </c>
      <c r="C343" s="1" t="n">
        <v>46079</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25020-2021</t>
        </is>
      </c>
      <c r="B344" s="1" t="n">
        <v>44341</v>
      </c>
      <c r="C344" s="1" t="n">
        <v>46079</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46079</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46079</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33408-2021</t>
        </is>
      </c>
      <c r="B347" s="1" t="n">
        <v>44377</v>
      </c>
      <c r="C347" s="1" t="n">
        <v>46079</v>
      </c>
      <c r="D347" t="inlineStr">
        <is>
          <t>VÄSTERNORRLANDS LÄN</t>
        </is>
      </c>
      <c r="E347" t="inlineStr">
        <is>
          <t>ÅNGE</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40476-2022</t>
        </is>
      </c>
      <c r="B348" s="1" t="n">
        <v>44823.54685185185</v>
      </c>
      <c r="C348" s="1" t="n">
        <v>46079</v>
      </c>
      <c r="D348" t="inlineStr">
        <is>
          <t>VÄSTERNORRLANDS LÄN</t>
        </is>
      </c>
      <c r="E348" t="inlineStr">
        <is>
          <t>ÅNGE</t>
        </is>
      </c>
      <c r="G348" t="n">
        <v>0.5</v>
      </c>
      <c r="H348" t="n">
        <v>0</v>
      </c>
      <c r="I348" t="n">
        <v>0</v>
      </c>
      <c r="J348" t="n">
        <v>0</v>
      </c>
      <c r="K348" t="n">
        <v>0</v>
      </c>
      <c r="L348" t="n">
        <v>0</v>
      </c>
      <c r="M348" t="n">
        <v>0</v>
      </c>
      <c r="N348" t="n">
        <v>0</v>
      </c>
      <c r="O348" t="n">
        <v>0</v>
      </c>
      <c r="P348" t="n">
        <v>0</v>
      </c>
      <c r="Q348" t="n">
        <v>0</v>
      </c>
      <c r="R348" s="2" t="inlineStr"/>
    </row>
    <row r="349" ht="15" customHeight="1">
      <c r="A349" t="inlineStr">
        <is>
          <t>A 14813-2022</t>
        </is>
      </c>
      <c r="B349" s="1" t="n">
        <v>44656</v>
      </c>
      <c r="C349" s="1" t="n">
        <v>46079</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14587-2021</t>
        </is>
      </c>
      <c r="B350" s="1" t="n">
        <v>44279.91825231481</v>
      </c>
      <c r="C350" s="1" t="n">
        <v>46079</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37605-2021</t>
        </is>
      </c>
      <c r="B351" s="1" t="n">
        <v>44399</v>
      </c>
      <c r="C351" s="1" t="n">
        <v>46079</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37620-2021</t>
        </is>
      </c>
      <c r="B352" s="1" t="n">
        <v>44399</v>
      </c>
      <c r="C352" s="1" t="n">
        <v>46079</v>
      </c>
      <c r="D352" t="inlineStr">
        <is>
          <t>VÄSTERNORRLANDS LÄN</t>
        </is>
      </c>
      <c r="E352" t="inlineStr">
        <is>
          <t>ÅNGE</t>
        </is>
      </c>
      <c r="G352" t="n">
        <v>4.3</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46079</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46079</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74194-2021</t>
        </is>
      </c>
      <c r="B355" s="1" t="n">
        <v>44558.47333333334</v>
      </c>
      <c r="C355" s="1" t="n">
        <v>46079</v>
      </c>
      <c r="D355" t="inlineStr">
        <is>
          <t>VÄSTERNORRLANDS LÄN</t>
        </is>
      </c>
      <c r="E355" t="inlineStr">
        <is>
          <t>ÅNGE</t>
        </is>
      </c>
      <c r="G355" t="n">
        <v>1.9</v>
      </c>
      <c r="H355" t="n">
        <v>0</v>
      </c>
      <c r="I355" t="n">
        <v>0</v>
      </c>
      <c r="J355" t="n">
        <v>0</v>
      </c>
      <c r="K355" t="n">
        <v>0</v>
      </c>
      <c r="L355" t="n">
        <v>0</v>
      </c>
      <c r="M355" t="n">
        <v>0</v>
      </c>
      <c r="N355" t="n">
        <v>0</v>
      </c>
      <c r="O355" t="n">
        <v>0</v>
      </c>
      <c r="P355" t="n">
        <v>0</v>
      </c>
      <c r="Q355" t="n">
        <v>0</v>
      </c>
      <c r="R355" s="2" t="inlineStr"/>
    </row>
    <row r="356" ht="15" customHeight="1">
      <c r="A356" t="inlineStr">
        <is>
          <t>A 13641-2022</t>
        </is>
      </c>
      <c r="B356" s="1" t="n">
        <v>44648</v>
      </c>
      <c r="C356" s="1" t="n">
        <v>46079</v>
      </c>
      <c r="D356" t="inlineStr">
        <is>
          <t>VÄSTERNORRLANDS LÄN</t>
        </is>
      </c>
      <c r="E356" t="inlineStr">
        <is>
          <t>ÅNGE</t>
        </is>
      </c>
      <c r="G356" t="n">
        <v>4.9</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46079</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46079</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46079</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45145-2021</t>
        </is>
      </c>
      <c r="B360" s="1" t="n">
        <v>44439</v>
      </c>
      <c r="C360" s="1" t="n">
        <v>46079</v>
      </c>
      <c r="D360" t="inlineStr">
        <is>
          <t>VÄSTERNORRLANDS LÄN</t>
        </is>
      </c>
      <c r="E360" t="inlineStr">
        <is>
          <t>ÅNGE</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71302-2021</t>
        </is>
      </c>
      <c r="B361" s="1" t="n">
        <v>44539.63871527778</v>
      </c>
      <c r="C361" s="1" t="n">
        <v>46079</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70893-2021</t>
        </is>
      </c>
      <c r="B362" s="1" t="n">
        <v>44538</v>
      </c>
      <c r="C362" s="1" t="n">
        <v>46079</v>
      </c>
      <c r="D362" t="inlineStr">
        <is>
          <t>VÄSTERNORRLANDS LÄN</t>
        </is>
      </c>
      <c r="E362" t="inlineStr">
        <is>
          <t>ÅNGE</t>
        </is>
      </c>
      <c r="G362" t="n">
        <v>6.2</v>
      </c>
      <c r="H362" t="n">
        <v>0</v>
      </c>
      <c r="I362" t="n">
        <v>0</v>
      </c>
      <c r="J362" t="n">
        <v>0</v>
      </c>
      <c r="K362" t="n">
        <v>0</v>
      </c>
      <c r="L362" t="n">
        <v>0</v>
      </c>
      <c r="M362" t="n">
        <v>0</v>
      </c>
      <c r="N362" t="n">
        <v>0</v>
      </c>
      <c r="O362" t="n">
        <v>0</v>
      </c>
      <c r="P362" t="n">
        <v>0</v>
      </c>
      <c r="Q362" t="n">
        <v>0</v>
      </c>
      <c r="R362" s="2" t="inlineStr"/>
    </row>
    <row r="363" ht="15" customHeight="1">
      <c r="A363" t="inlineStr">
        <is>
          <t>A 10342-2021</t>
        </is>
      </c>
      <c r="B363" s="1" t="n">
        <v>44257</v>
      </c>
      <c r="C363" s="1" t="n">
        <v>46079</v>
      </c>
      <c r="D363" t="inlineStr">
        <is>
          <t>VÄSTERNORRLANDS LÄN</t>
        </is>
      </c>
      <c r="E363" t="inlineStr">
        <is>
          <t>ÅNGE</t>
        </is>
      </c>
      <c r="G363" t="n">
        <v>1.8</v>
      </c>
      <c r="H363" t="n">
        <v>0</v>
      </c>
      <c r="I363" t="n">
        <v>0</v>
      </c>
      <c r="J363" t="n">
        <v>0</v>
      </c>
      <c r="K363" t="n">
        <v>0</v>
      </c>
      <c r="L363" t="n">
        <v>0</v>
      </c>
      <c r="M363" t="n">
        <v>0</v>
      </c>
      <c r="N363" t="n">
        <v>0</v>
      </c>
      <c r="O363" t="n">
        <v>0</v>
      </c>
      <c r="P363" t="n">
        <v>0</v>
      </c>
      <c r="Q363" t="n">
        <v>0</v>
      </c>
      <c r="R363" s="2" t="inlineStr"/>
    </row>
    <row r="364" ht="15" customHeight="1">
      <c r="A364" t="inlineStr">
        <is>
          <t>A 6732-2022</t>
        </is>
      </c>
      <c r="B364" s="1" t="n">
        <v>44602.46072916667</v>
      </c>
      <c r="C364" s="1" t="n">
        <v>46079</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51542-2022</t>
        </is>
      </c>
      <c r="B365" s="1" t="n">
        <v>44869.94850694444</v>
      </c>
      <c r="C365" s="1" t="n">
        <v>46079</v>
      </c>
      <c r="D365" t="inlineStr">
        <is>
          <t>VÄSTERNORRLANDS LÄN</t>
        </is>
      </c>
      <c r="E365" t="inlineStr">
        <is>
          <t>ÅNGE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44412-2022</t>
        </is>
      </c>
      <c r="B366" s="1" t="n">
        <v>44839.92626157407</v>
      </c>
      <c r="C366" s="1" t="n">
        <v>46079</v>
      </c>
      <c r="D366" t="inlineStr">
        <is>
          <t>VÄSTERNORRLANDS LÄN</t>
        </is>
      </c>
      <c r="E366" t="inlineStr">
        <is>
          <t>ÅNGE</t>
        </is>
      </c>
      <c r="G366" t="n">
        <v>1.6</v>
      </c>
      <c r="H366" t="n">
        <v>0</v>
      </c>
      <c r="I366" t="n">
        <v>0</v>
      </c>
      <c r="J366" t="n">
        <v>0</v>
      </c>
      <c r="K366" t="n">
        <v>0</v>
      </c>
      <c r="L366" t="n">
        <v>0</v>
      </c>
      <c r="M366" t="n">
        <v>0</v>
      </c>
      <c r="N366" t="n">
        <v>0</v>
      </c>
      <c r="O366" t="n">
        <v>0</v>
      </c>
      <c r="P366" t="n">
        <v>0</v>
      </c>
      <c r="Q366" t="n">
        <v>0</v>
      </c>
      <c r="R366" s="2" t="inlineStr"/>
    </row>
    <row r="367" ht="15" customHeight="1">
      <c r="A367" t="inlineStr">
        <is>
          <t>A 5552-2022</t>
        </is>
      </c>
      <c r="B367" s="1" t="n">
        <v>44595.62966435185</v>
      </c>
      <c r="C367" s="1" t="n">
        <v>46079</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50640-2022</t>
        </is>
      </c>
      <c r="B368" s="1" t="n">
        <v>44866.94734953704</v>
      </c>
      <c r="C368" s="1" t="n">
        <v>46079</v>
      </c>
      <c r="D368" t="inlineStr">
        <is>
          <t>VÄSTERNORRLANDS LÄN</t>
        </is>
      </c>
      <c r="E368" t="inlineStr">
        <is>
          <t>ÅNGE</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46079</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6263-2022</t>
        </is>
      </c>
      <c r="B370" s="1" t="n">
        <v>44600</v>
      </c>
      <c r="C370" s="1" t="n">
        <v>46079</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20369-2022</t>
        </is>
      </c>
      <c r="B371" s="1" t="n">
        <v>44699.41140046297</v>
      </c>
      <c r="C371" s="1" t="n">
        <v>46079</v>
      </c>
      <c r="D371" t="inlineStr">
        <is>
          <t>VÄSTERNORRLANDS LÄN</t>
        </is>
      </c>
      <c r="E371" t="inlineStr">
        <is>
          <t>ÅNGE</t>
        </is>
      </c>
      <c r="G371" t="n">
        <v>5.5</v>
      </c>
      <c r="H371" t="n">
        <v>0</v>
      </c>
      <c r="I371" t="n">
        <v>0</v>
      </c>
      <c r="J371" t="n">
        <v>0</v>
      </c>
      <c r="K371" t="n">
        <v>0</v>
      </c>
      <c r="L371" t="n">
        <v>0</v>
      </c>
      <c r="M371" t="n">
        <v>0</v>
      </c>
      <c r="N371" t="n">
        <v>0</v>
      </c>
      <c r="O371" t="n">
        <v>0</v>
      </c>
      <c r="P371" t="n">
        <v>0</v>
      </c>
      <c r="Q371" t="n">
        <v>0</v>
      </c>
      <c r="R371" s="2" t="inlineStr"/>
    </row>
    <row r="372" ht="15" customHeight="1">
      <c r="A372" t="inlineStr">
        <is>
          <t>A 32535-2022</t>
        </is>
      </c>
      <c r="B372" s="1" t="n">
        <v>44783.29856481482</v>
      </c>
      <c r="C372" s="1" t="n">
        <v>46079</v>
      </c>
      <c r="D372" t="inlineStr">
        <is>
          <t>VÄSTERNORRLANDS LÄN</t>
        </is>
      </c>
      <c r="E372" t="inlineStr">
        <is>
          <t>ÅNGE</t>
        </is>
      </c>
      <c r="G372" t="n">
        <v>10.3</v>
      </c>
      <c r="H372" t="n">
        <v>0</v>
      </c>
      <c r="I372" t="n">
        <v>0</v>
      </c>
      <c r="J372" t="n">
        <v>0</v>
      </c>
      <c r="K372" t="n">
        <v>0</v>
      </c>
      <c r="L372" t="n">
        <v>0</v>
      </c>
      <c r="M372" t="n">
        <v>0</v>
      </c>
      <c r="N372" t="n">
        <v>0</v>
      </c>
      <c r="O372" t="n">
        <v>0</v>
      </c>
      <c r="P372" t="n">
        <v>0</v>
      </c>
      <c r="Q372" t="n">
        <v>0</v>
      </c>
      <c r="R372" s="2" t="inlineStr"/>
    </row>
    <row r="373" ht="15" customHeight="1">
      <c r="A373" t="inlineStr">
        <is>
          <t>A 39594-2022</t>
        </is>
      </c>
      <c r="B373" s="1" t="n">
        <v>44818</v>
      </c>
      <c r="C373" s="1" t="n">
        <v>46079</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46079</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10313-2022</t>
        </is>
      </c>
      <c r="B375" s="1" t="n">
        <v>44622</v>
      </c>
      <c r="C375" s="1" t="n">
        <v>46079</v>
      </c>
      <c r="D375" t="inlineStr">
        <is>
          <t>VÄSTERNORRLANDS LÄN</t>
        </is>
      </c>
      <c r="E375" t="inlineStr">
        <is>
          <t>ÅNGE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5113-2022</t>
        </is>
      </c>
      <c r="B376" s="1" t="n">
        <v>44593.93362268519</v>
      </c>
      <c r="C376" s="1" t="n">
        <v>46079</v>
      </c>
      <c r="D376" t="inlineStr">
        <is>
          <t>VÄSTERNORRLANDS LÄN</t>
        </is>
      </c>
      <c r="E376" t="inlineStr">
        <is>
          <t>ÅNGE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31668-2021</t>
        </is>
      </c>
      <c r="B377" s="1" t="n">
        <v>44369</v>
      </c>
      <c r="C377" s="1" t="n">
        <v>46079</v>
      </c>
      <c r="D377" t="inlineStr">
        <is>
          <t>VÄSTERNORRLANDS LÄN</t>
        </is>
      </c>
      <c r="E377" t="inlineStr">
        <is>
          <t>ÅNGE</t>
        </is>
      </c>
      <c r="F377" t="inlineStr">
        <is>
          <t>Kyrkan</t>
        </is>
      </c>
      <c r="G377" t="n">
        <v>3.6</v>
      </c>
      <c r="H377" t="n">
        <v>0</v>
      </c>
      <c r="I377" t="n">
        <v>0</v>
      </c>
      <c r="J377" t="n">
        <v>0</v>
      </c>
      <c r="K377" t="n">
        <v>0</v>
      </c>
      <c r="L377" t="n">
        <v>0</v>
      </c>
      <c r="M377" t="n">
        <v>0</v>
      </c>
      <c r="N377" t="n">
        <v>0</v>
      </c>
      <c r="O377" t="n">
        <v>0</v>
      </c>
      <c r="P377" t="n">
        <v>0</v>
      </c>
      <c r="Q377" t="n">
        <v>0</v>
      </c>
      <c r="R377" s="2" t="inlineStr"/>
    </row>
    <row r="378" ht="15" customHeight="1">
      <c r="A378" t="inlineStr">
        <is>
          <t>A 32328-2021</t>
        </is>
      </c>
      <c r="B378" s="1" t="n">
        <v>44371.55924768518</v>
      </c>
      <c r="C378" s="1" t="n">
        <v>46079</v>
      </c>
      <c r="D378" t="inlineStr">
        <is>
          <t>VÄSTERNORRLANDS LÄN</t>
        </is>
      </c>
      <c r="E378" t="inlineStr">
        <is>
          <t>ÅNGE</t>
        </is>
      </c>
      <c r="G378" t="n">
        <v>0.9</v>
      </c>
      <c r="H378" t="n">
        <v>0</v>
      </c>
      <c r="I378" t="n">
        <v>0</v>
      </c>
      <c r="J378" t="n">
        <v>0</v>
      </c>
      <c r="K378" t="n">
        <v>0</v>
      </c>
      <c r="L378" t="n">
        <v>0</v>
      </c>
      <c r="M378" t="n">
        <v>0</v>
      </c>
      <c r="N378" t="n">
        <v>0</v>
      </c>
      <c r="O378" t="n">
        <v>0</v>
      </c>
      <c r="P378" t="n">
        <v>0</v>
      </c>
      <c r="Q378" t="n">
        <v>0</v>
      </c>
      <c r="R378" s="2" t="inlineStr"/>
    </row>
    <row r="379" ht="15" customHeight="1">
      <c r="A379" t="inlineStr">
        <is>
          <t>A 30365-2021</t>
        </is>
      </c>
      <c r="B379" s="1" t="n">
        <v>44364.45164351852</v>
      </c>
      <c r="C379" s="1" t="n">
        <v>46079</v>
      </c>
      <c r="D379" t="inlineStr">
        <is>
          <t>VÄSTERNORRLANDS LÄN</t>
        </is>
      </c>
      <c r="E379" t="inlineStr">
        <is>
          <t>ÅNGE</t>
        </is>
      </c>
      <c r="G379" t="n">
        <v>3.9</v>
      </c>
      <c r="H379" t="n">
        <v>0</v>
      </c>
      <c r="I379" t="n">
        <v>0</v>
      </c>
      <c r="J379" t="n">
        <v>0</v>
      </c>
      <c r="K379" t="n">
        <v>0</v>
      </c>
      <c r="L379" t="n">
        <v>0</v>
      </c>
      <c r="M379" t="n">
        <v>0</v>
      </c>
      <c r="N379" t="n">
        <v>0</v>
      </c>
      <c r="O379" t="n">
        <v>0</v>
      </c>
      <c r="P379" t="n">
        <v>0</v>
      </c>
      <c r="Q379" t="n">
        <v>0</v>
      </c>
      <c r="R379" s="2" t="inlineStr"/>
    </row>
    <row r="380" ht="15" customHeight="1">
      <c r="A380" t="inlineStr">
        <is>
          <t>A 61761-2021</t>
        </is>
      </c>
      <c r="B380" s="1" t="n">
        <v>44501</v>
      </c>
      <c r="C380" s="1" t="n">
        <v>46079</v>
      </c>
      <c r="D380" t="inlineStr">
        <is>
          <t>VÄSTERNORRLANDS LÄN</t>
        </is>
      </c>
      <c r="E380" t="inlineStr">
        <is>
          <t>ÅNGE</t>
        </is>
      </c>
      <c r="G380" t="n">
        <v>0.3</v>
      </c>
      <c r="H380" t="n">
        <v>0</v>
      </c>
      <c r="I380" t="n">
        <v>0</v>
      </c>
      <c r="J380" t="n">
        <v>0</v>
      </c>
      <c r="K380" t="n">
        <v>0</v>
      </c>
      <c r="L380" t="n">
        <v>0</v>
      </c>
      <c r="M380" t="n">
        <v>0</v>
      </c>
      <c r="N380" t="n">
        <v>0</v>
      </c>
      <c r="O380" t="n">
        <v>0</v>
      </c>
      <c r="P380" t="n">
        <v>0</v>
      </c>
      <c r="Q380" t="n">
        <v>0</v>
      </c>
      <c r="R380" s="2" t="inlineStr"/>
    </row>
    <row r="381" ht="15" customHeight="1">
      <c r="A381" t="inlineStr">
        <is>
          <t>A 17044-2022</t>
        </is>
      </c>
      <c r="B381" s="1" t="n">
        <v>44676</v>
      </c>
      <c r="C381" s="1" t="n">
        <v>46079</v>
      </c>
      <c r="D381" t="inlineStr">
        <is>
          <t>VÄSTERNORRLANDS LÄN</t>
        </is>
      </c>
      <c r="E381" t="inlineStr">
        <is>
          <t>ÅNGE</t>
        </is>
      </c>
      <c r="F381" t="inlineStr">
        <is>
          <t>Övriga Aktiebolag</t>
        </is>
      </c>
      <c r="G381" t="n">
        <v>0.8</v>
      </c>
      <c r="H381" t="n">
        <v>0</v>
      </c>
      <c r="I381" t="n">
        <v>0</v>
      </c>
      <c r="J381" t="n">
        <v>0</v>
      </c>
      <c r="K381" t="n">
        <v>0</v>
      </c>
      <c r="L381" t="n">
        <v>0</v>
      </c>
      <c r="M381" t="n">
        <v>0</v>
      </c>
      <c r="N381" t="n">
        <v>0</v>
      </c>
      <c r="O381" t="n">
        <v>0</v>
      </c>
      <c r="P381" t="n">
        <v>0</v>
      </c>
      <c r="Q381" t="n">
        <v>0</v>
      </c>
      <c r="R381" s="2" t="inlineStr"/>
    </row>
    <row r="382" ht="15" customHeight="1">
      <c r="A382" t="inlineStr">
        <is>
          <t>A 38369-2021</t>
        </is>
      </c>
      <c r="B382" s="1" t="n">
        <v>44406</v>
      </c>
      <c r="C382" s="1" t="n">
        <v>46079</v>
      </c>
      <c r="D382" t="inlineStr">
        <is>
          <t>VÄSTERNORRLANDS LÄN</t>
        </is>
      </c>
      <c r="E382" t="inlineStr">
        <is>
          <t>ÅNGE</t>
        </is>
      </c>
      <c r="G382" t="n">
        <v>5.6</v>
      </c>
      <c r="H382" t="n">
        <v>0</v>
      </c>
      <c r="I382" t="n">
        <v>0</v>
      </c>
      <c r="J382" t="n">
        <v>0</v>
      </c>
      <c r="K382" t="n">
        <v>0</v>
      </c>
      <c r="L382" t="n">
        <v>0</v>
      </c>
      <c r="M382" t="n">
        <v>0</v>
      </c>
      <c r="N382" t="n">
        <v>0</v>
      </c>
      <c r="O382" t="n">
        <v>0</v>
      </c>
      <c r="P382" t="n">
        <v>0</v>
      </c>
      <c r="Q382" t="n">
        <v>0</v>
      </c>
      <c r="R382" s="2" t="inlineStr"/>
    </row>
    <row r="383" ht="15" customHeight="1">
      <c r="A383" t="inlineStr">
        <is>
          <t>A 18024-2022</t>
        </is>
      </c>
      <c r="B383" s="1" t="n">
        <v>44683.94383101852</v>
      </c>
      <c r="C383" s="1" t="n">
        <v>46079</v>
      </c>
      <c r="D383" t="inlineStr">
        <is>
          <t>VÄSTERNORRLANDS LÄN</t>
        </is>
      </c>
      <c r="E383" t="inlineStr">
        <is>
          <t>ÅNGE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17963-2022</t>
        </is>
      </c>
      <c r="B384" s="1" t="n">
        <v>44683</v>
      </c>
      <c r="C384" s="1" t="n">
        <v>46079</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16978-2024</t>
        </is>
      </c>
      <c r="B385" s="1" t="n">
        <v>45412.02416666667</v>
      </c>
      <c r="C385" s="1" t="n">
        <v>46079</v>
      </c>
      <c r="D385" t="inlineStr">
        <is>
          <t>VÄSTERNORRLANDS LÄN</t>
        </is>
      </c>
      <c r="E385" t="inlineStr">
        <is>
          <t>ÅNGE</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35496-2022</t>
        </is>
      </c>
      <c r="B386" s="1" t="n">
        <v>44798</v>
      </c>
      <c r="C386" s="1" t="n">
        <v>46079</v>
      </c>
      <c r="D386" t="inlineStr">
        <is>
          <t>VÄSTERNORRLANDS LÄN</t>
        </is>
      </c>
      <c r="E386" t="inlineStr">
        <is>
          <t>ÅNGE</t>
        </is>
      </c>
      <c r="F386" t="inlineStr">
        <is>
          <t>SCA</t>
        </is>
      </c>
      <c r="G386" t="n">
        <v>15.6</v>
      </c>
      <c r="H386" t="n">
        <v>0</v>
      </c>
      <c r="I386" t="n">
        <v>0</v>
      </c>
      <c r="J386" t="n">
        <v>0</v>
      </c>
      <c r="K386" t="n">
        <v>0</v>
      </c>
      <c r="L386" t="n">
        <v>0</v>
      </c>
      <c r="M386" t="n">
        <v>0</v>
      </c>
      <c r="N386" t="n">
        <v>0</v>
      </c>
      <c r="O386" t="n">
        <v>0</v>
      </c>
      <c r="P386" t="n">
        <v>0</v>
      </c>
      <c r="Q386" t="n">
        <v>0</v>
      </c>
      <c r="R386" s="2" t="inlineStr"/>
    </row>
    <row r="387" ht="15" customHeight="1">
      <c r="A387" t="inlineStr">
        <is>
          <t>A 53549-2023</t>
        </is>
      </c>
      <c r="B387" s="1" t="n">
        <v>45230</v>
      </c>
      <c r="C387" s="1" t="n">
        <v>46079</v>
      </c>
      <c r="D387" t="inlineStr">
        <is>
          <t>VÄSTERNORRLANDS LÄN</t>
        </is>
      </c>
      <c r="E387" t="inlineStr">
        <is>
          <t>ÅNGE</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18422-2021</t>
        </is>
      </c>
      <c r="B388" s="1" t="n">
        <v>44305</v>
      </c>
      <c r="C388" s="1" t="n">
        <v>46079</v>
      </c>
      <c r="D388" t="inlineStr">
        <is>
          <t>VÄSTERNORRLANDS LÄN</t>
        </is>
      </c>
      <c r="E388" t="inlineStr">
        <is>
          <t>ÅNGE</t>
        </is>
      </c>
      <c r="G388" t="n">
        <v>1.5</v>
      </c>
      <c r="H388" t="n">
        <v>0</v>
      </c>
      <c r="I388" t="n">
        <v>0</v>
      </c>
      <c r="J388" t="n">
        <v>0</v>
      </c>
      <c r="K388" t="n">
        <v>0</v>
      </c>
      <c r="L388" t="n">
        <v>0</v>
      </c>
      <c r="M388" t="n">
        <v>0</v>
      </c>
      <c r="N388" t="n">
        <v>0</v>
      </c>
      <c r="O388" t="n">
        <v>0</v>
      </c>
      <c r="P388" t="n">
        <v>0</v>
      </c>
      <c r="Q388" t="n">
        <v>0</v>
      </c>
      <c r="R388" s="2" t="inlineStr"/>
    </row>
    <row r="389" ht="15" customHeight="1">
      <c r="A389" t="inlineStr">
        <is>
          <t>A 10087-2023</t>
        </is>
      </c>
      <c r="B389" s="1" t="n">
        <v>44985</v>
      </c>
      <c r="C389" s="1" t="n">
        <v>46079</v>
      </c>
      <c r="D389" t="inlineStr">
        <is>
          <t>VÄSTERNORRLANDS LÄN</t>
        </is>
      </c>
      <c r="E389" t="inlineStr">
        <is>
          <t>ÅNGE</t>
        </is>
      </c>
      <c r="F389" t="inlineStr">
        <is>
          <t>SCA</t>
        </is>
      </c>
      <c r="G389" t="n">
        <v>7.9</v>
      </c>
      <c r="H389" t="n">
        <v>0</v>
      </c>
      <c r="I389" t="n">
        <v>0</v>
      </c>
      <c r="J389" t="n">
        <v>0</v>
      </c>
      <c r="K389" t="n">
        <v>0</v>
      </c>
      <c r="L389" t="n">
        <v>0</v>
      </c>
      <c r="M389" t="n">
        <v>0</v>
      </c>
      <c r="N389" t="n">
        <v>0</v>
      </c>
      <c r="O389" t="n">
        <v>0</v>
      </c>
      <c r="P389" t="n">
        <v>0</v>
      </c>
      <c r="Q389" t="n">
        <v>0</v>
      </c>
      <c r="R389" s="2" t="inlineStr"/>
    </row>
    <row r="390" ht="15" customHeight="1">
      <c r="A390" t="inlineStr">
        <is>
          <t>A 27682-2023</t>
        </is>
      </c>
      <c r="B390" s="1" t="n">
        <v>45097.93758101852</v>
      </c>
      <c r="C390" s="1" t="n">
        <v>46079</v>
      </c>
      <c r="D390" t="inlineStr">
        <is>
          <t>VÄSTERNORRLANDS LÄN</t>
        </is>
      </c>
      <c r="E390" t="inlineStr">
        <is>
          <t>ÅNGE</t>
        </is>
      </c>
      <c r="F390" t="inlineStr">
        <is>
          <t>SCA</t>
        </is>
      </c>
      <c r="G390" t="n">
        <v>3.9</v>
      </c>
      <c r="H390" t="n">
        <v>0</v>
      </c>
      <c r="I390" t="n">
        <v>0</v>
      </c>
      <c r="J390" t="n">
        <v>0</v>
      </c>
      <c r="K390" t="n">
        <v>0</v>
      </c>
      <c r="L390" t="n">
        <v>0</v>
      </c>
      <c r="M390" t="n">
        <v>0</v>
      </c>
      <c r="N390" t="n">
        <v>0</v>
      </c>
      <c r="O390" t="n">
        <v>0</v>
      </c>
      <c r="P390" t="n">
        <v>0</v>
      </c>
      <c r="Q390" t="n">
        <v>0</v>
      </c>
      <c r="R390" s="2" t="inlineStr"/>
    </row>
    <row r="391" ht="15" customHeight="1">
      <c r="A391" t="inlineStr">
        <is>
          <t>A 34679-2024</t>
        </is>
      </c>
      <c r="B391" s="1" t="n">
        <v>45526</v>
      </c>
      <c r="C391" s="1" t="n">
        <v>46079</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46824-2021</t>
        </is>
      </c>
      <c r="B392" s="1" t="n">
        <v>44446.34271990741</v>
      </c>
      <c r="C392" s="1" t="n">
        <v>46079</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58445-2022</t>
        </is>
      </c>
      <c r="B393" s="1" t="n">
        <v>44901.95453703704</v>
      </c>
      <c r="C393" s="1" t="n">
        <v>46079</v>
      </c>
      <c r="D393" t="inlineStr">
        <is>
          <t>VÄSTERNORRLANDS LÄN</t>
        </is>
      </c>
      <c r="E393" t="inlineStr">
        <is>
          <t>ÅNGE</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31325-2022</t>
        </is>
      </c>
      <c r="B394" s="1" t="n">
        <v>44774.41421296296</v>
      </c>
      <c r="C394" s="1" t="n">
        <v>46079</v>
      </c>
      <c r="D394" t="inlineStr">
        <is>
          <t>VÄSTERNORRLANDS LÄN</t>
        </is>
      </c>
      <c r="E394" t="inlineStr">
        <is>
          <t>ÅNGE</t>
        </is>
      </c>
      <c r="G394" t="n">
        <v>6.3</v>
      </c>
      <c r="H394" t="n">
        <v>0</v>
      </c>
      <c r="I394" t="n">
        <v>0</v>
      </c>
      <c r="J394" t="n">
        <v>0</v>
      </c>
      <c r="K394" t="n">
        <v>0</v>
      </c>
      <c r="L394" t="n">
        <v>0</v>
      </c>
      <c r="M394" t="n">
        <v>0</v>
      </c>
      <c r="N394" t="n">
        <v>0</v>
      </c>
      <c r="O394" t="n">
        <v>0</v>
      </c>
      <c r="P394" t="n">
        <v>0</v>
      </c>
      <c r="Q394" t="n">
        <v>0</v>
      </c>
      <c r="R394" s="2" t="inlineStr"/>
    </row>
    <row r="395" ht="15" customHeight="1">
      <c r="A395" t="inlineStr">
        <is>
          <t>A 23058-2024</t>
        </is>
      </c>
      <c r="B395" s="1" t="n">
        <v>45450.44020833333</v>
      </c>
      <c r="C395" s="1" t="n">
        <v>46079</v>
      </c>
      <c r="D395" t="inlineStr">
        <is>
          <t>VÄSTERNORRLANDS LÄN</t>
        </is>
      </c>
      <c r="E395" t="inlineStr">
        <is>
          <t>ÅNGE</t>
        </is>
      </c>
      <c r="G395" t="n">
        <v>3.9</v>
      </c>
      <c r="H395" t="n">
        <v>0</v>
      </c>
      <c r="I395" t="n">
        <v>0</v>
      </c>
      <c r="J395" t="n">
        <v>0</v>
      </c>
      <c r="K395" t="n">
        <v>0</v>
      </c>
      <c r="L395" t="n">
        <v>0</v>
      </c>
      <c r="M395" t="n">
        <v>0</v>
      </c>
      <c r="N395" t="n">
        <v>0</v>
      </c>
      <c r="O395" t="n">
        <v>0</v>
      </c>
      <c r="P395" t="n">
        <v>0</v>
      </c>
      <c r="Q395" t="n">
        <v>0</v>
      </c>
      <c r="R395" s="2" t="inlineStr"/>
    </row>
    <row r="396" ht="15" customHeight="1">
      <c r="A396" t="inlineStr">
        <is>
          <t>A 51810-2023</t>
        </is>
      </c>
      <c r="B396" s="1" t="n">
        <v>45222.96583333334</v>
      </c>
      <c r="C396" s="1" t="n">
        <v>46079</v>
      </c>
      <c r="D396" t="inlineStr">
        <is>
          <t>VÄSTERNORRLANDS LÄN</t>
        </is>
      </c>
      <c r="E396" t="inlineStr">
        <is>
          <t>ÅNGE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56956-2022</t>
        </is>
      </c>
      <c r="B397" s="1" t="n">
        <v>44894</v>
      </c>
      <c r="C397" s="1" t="n">
        <v>46079</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64946-2023</t>
        </is>
      </c>
      <c r="B398" s="1" t="n">
        <v>45282.94678240741</v>
      </c>
      <c r="C398" s="1" t="n">
        <v>46079</v>
      </c>
      <c r="D398" t="inlineStr">
        <is>
          <t>VÄSTERNORRLANDS LÄN</t>
        </is>
      </c>
      <c r="E398" t="inlineStr">
        <is>
          <t>ÅNGE</t>
        </is>
      </c>
      <c r="F398" t="inlineStr">
        <is>
          <t>SCA</t>
        </is>
      </c>
      <c r="G398" t="n">
        <v>6.4</v>
      </c>
      <c r="H398" t="n">
        <v>0</v>
      </c>
      <c r="I398" t="n">
        <v>0</v>
      </c>
      <c r="J398" t="n">
        <v>0</v>
      </c>
      <c r="K398" t="n">
        <v>0</v>
      </c>
      <c r="L398" t="n">
        <v>0</v>
      </c>
      <c r="M398" t="n">
        <v>0</v>
      </c>
      <c r="N398" t="n">
        <v>0</v>
      </c>
      <c r="O398" t="n">
        <v>0</v>
      </c>
      <c r="P398" t="n">
        <v>0</v>
      </c>
      <c r="Q398" t="n">
        <v>0</v>
      </c>
      <c r="R398" s="2" t="inlineStr"/>
    </row>
    <row r="399" ht="15" customHeight="1">
      <c r="A399" t="inlineStr">
        <is>
          <t>A 25023-2022</t>
        </is>
      </c>
      <c r="B399" s="1" t="n">
        <v>44728</v>
      </c>
      <c r="C399" s="1" t="n">
        <v>46079</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31696-2022</t>
        </is>
      </c>
      <c r="B400" s="1" t="n">
        <v>44776</v>
      </c>
      <c r="C400" s="1" t="n">
        <v>46079</v>
      </c>
      <c r="D400" t="inlineStr">
        <is>
          <t>VÄSTERNORRLANDS LÄN</t>
        </is>
      </c>
      <c r="E400" t="inlineStr">
        <is>
          <t>ÅNGE</t>
        </is>
      </c>
      <c r="G400" t="n">
        <v>1.8</v>
      </c>
      <c r="H400" t="n">
        <v>0</v>
      </c>
      <c r="I400" t="n">
        <v>0</v>
      </c>
      <c r="J400" t="n">
        <v>0</v>
      </c>
      <c r="K400" t="n">
        <v>0</v>
      </c>
      <c r="L400" t="n">
        <v>0</v>
      </c>
      <c r="M400" t="n">
        <v>0</v>
      </c>
      <c r="N400" t="n">
        <v>0</v>
      </c>
      <c r="O400" t="n">
        <v>0</v>
      </c>
      <c r="P400" t="n">
        <v>0</v>
      </c>
      <c r="Q400" t="n">
        <v>0</v>
      </c>
      <c r="R400" s="2" t="inlineStr"/>
    </row>
    <row r="401" ht="15" customHeight="1">
      <c r="A401" t="inlineStr">
        <is>
          <t>A 58634-2023</t>
        </is>
      </c>
      <c r="B401" s="1" t="n">
        <v>45251</v>
      </c>
      <c r="C401" s="1" t="n">
        <v>46079</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4883-2023</t>
        </is>
      </c>
      <c r="B402" s="1" t="n">
        <v>44957</v>
      </c>
      <c r="C402" s="1" t="n">
        <v>46079</v>
      </c>
      <c r="D402" t="inlineStr">
        <is>
          <t>VÄSTERNORRLANDS LÄN</t>
        </is>
      </c>
      <c r="E402" t="inlineStr">
        <is>
          <t>ÅNGE</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15369-2024</t>
        </is>
      </c>
      <c r="B403" s="1" t="n">
        <v>45400.92290509259</v>
      </c>
      <c r="C403" s="1" t="n">
        <v>46079</v>
      </c>
      <c r="D403" t="inlineStr">
        <is>
          <t>VÄSTERNORRLANDS LÄN</t>
        </is>
      </c>
      <c r="E403" t="inlineStr">
        <is>
          <t>ÅNGE</t>
        </is>
      </c>
      <c r="G403" t="n">
        <v>0.4</v>
      </c>
      <c r="H403" t="n">
        <v>0</v>
      </c>
      <c r="I403" t="n">
        <v>0</v>
      </c>
      <c r="J403" t="n">
        <v>0</v>
      </c>
      <c r="K403" t="n">
        <v>0</v>
      </c>
      <c r="L403" t="n">
        <v>0</v>
      </c>
      <c r="M403" t="n">
        <v>0</v>
      </c>
      <c r="N403" t="n">
        <v>0</v>
      </c>
      <c r="O403" t="n">
        <v>0</v>
      </c>
      <c r="P403" t="n">
        <v>0</v>
      </c>
      <c r="Q403" t="n">
        <v>0</v>
      </c>
      <c r="R403" s="2" t="inlineStr"/>
    </row>
    <row r="404" ht="15" customHeight="1">
      <c r="A404" t="inlineStr">
        <is>
          <t>A 46681-2023</t>
        </is>
      </c>
      <c r="B404" s="1" t="n">
        <v>45198</v>
      </c>
      <c r="C404" s="1" t="n">
        <v>46079</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8755-2022</t>
        </is>
      </c>
      <c r="B405" s="1" t="n">
        <v>44614</v>
      </c>
      <c r="C405" s="1" t="n">
        <v>46079</v>
      </c>
      <c r="D405" t="inlineStr">
        <is>
          <t>VÄSTERNORRLANDS LÄN</t>
        </is>
      </c>
      <c r="E405" t="inlineStr">
        <is>
          <t>ÅNGE</t>
        </is>
      </c>
      <c r="G405" t="n">
        <v>2</v>
      </c>
      <c r="H405" t="n">
        <v>0</v>
      </c>
      <c r="I405" t="n">
        <v>0</v>
      </c>
      <c r="J405" t="n">
        <v>0</v>
      </c>
      <c r="K405" t="n">
        <v>0</v>
      </c>
      <c r="L405" t="n">
        <v>0</v>
      </c>
      <c r="M405" t="n">
        <v>0</v>
      </c>
      <c r="N405" t="n">
        <v>0</v>
      </c>
      <c r="O405" t="n">
        <v>0</v>
      </c>
      <c r="P405" t="n">
        <v>0</v>
      </c>
      <c r="Q405" t="n">
        <v>0</v>
      </c>
      <c r="R405" s="2" t="inlineStr"/>
    </row>
    <row r="406" ht="15" customHeight="1">
      <c r="A406" t="inlineStr">
        <is>
          <t>A 41586-2024</t>
        </is>
      </c>
      <c r="B406" s="1" t="n">
        <v>45560.56089120371</v>
      </c>
      <c r="C406" s="1" t="n">
        <v>46079</v>
      </c>
      <c r="D406" t="inlineStr">
        <is>
          <t>VÄSTERNORRLANDS LÄN</t>
        </is>
      </c>
      <c r="E406" t="inlineStr">
        <is>
          <t>ÅNGE</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9605-2025</t>
        </is>
      </c>
      <c r="B407" s="1" t="n">
        <v>45715.65657407408</v>
      </c>
      <c r="C407" s="1" t="n">
        <v>46079</v>
      </c>
      <c r="D407" t="inlineStr">
        <is>
          <t>VÄSTERNORRLANDS LÄN</t>
        </is>
      </c>
      <c r="E407" t="inlineStr">
        <is>
          <t>ÅNGE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30747-2024</t>
        </is>
      </c>
      <c r="B408" s="1" t="n">
        <v>45496</v>
      </c>
      <c r="C408" s="1" t="n">
        <v>46079</v>
      </c>
      <c r="D408" t="inlineStr">
        <is>
          <t>VÄSTERNORRLANDS LÄN</t>
        </is>
      </c>
      <c r="E408" t="inlineStr">
        <is>
          <t>ÅNGE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48946-2024</t>
        </is>
      </c>
      <c r="B409" s="1" t="n">
        <v>45594.42736111111</v>
      </c>
      <c r="C409" s="1" t="n">
        <v>46079</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46079</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58929-2024</t>
        </is>
      </c>
      <c r="B411" s="1" t="n">
        <v>45636.51090277778</v>
      </c>
      <c r="C411" s="1" t="n">
        <v>46079</v>
      </c>
      <c r="D411" t="inlineStr">
        <is>
          <t>VÄSTERNORRLANDS LÄN</t>
        </is>
      </c>
      <c r="E411" t="inlineStr">
        <is>
          <t>ÅNGE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22988-2024</t>
        </is>
      </c>
      <c r="B412" s="1" t="n">
        <v>45449.94530092592</v>
      </c>
      <c r="C412" s="1" t="n">
        <v>46079</v>
      </c>
      <c r="D412" t="inlineStr">
        <is>
          <t>VÄSTERNORRLANDS LÄN</t>
        </is>
      </c>
      <c r="E412" t="inlineStr">
        <is>
          <t>ÅNGE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3023-2023</t>
        </is>
      </c>
      <c r="B413" s="1" t="n">
        <v>44945</v>
      </c>
      <c r="C413" s="1" t="n">
        <v>46079</v>
      </c>
      <c r="D413" t="inlineStr">
        <is>
          <t>VÄSTERNORRLANDS LÄN</t>
        </is>
      </c>
      <c r="E413" t="inlineStr">
        <is>
          <t>ÅNGE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3025-2023</t>
        </is>
      </c>
      <c r="B414" s="1" t="n">
        <v>44945</v>
      </c>
      <c r="C414" s="1" t="n">
        <v>46079</v>
      </c>
      <c r="D414" t="inlineStr">
        <is>
          <t>VÄSTERNORRLANDS LÄN</t>
        </is>
      </c>
      <c r="E414" t="inlineStr">
        <is>
          <t>ÅNGE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6610-2025</t>
        </is>
      </c>
      <c r="B415" s="1" t="n">
        <v>45700</v>
      </c>
      <c r="C415" s="1" t="n">
        <v>46079</v>
      </c>
      <c r="D415" t="inlineStr">
        <is>
          <t>VÄSTERNORRLANDS LÄN</t>
        </is>
      </c>
      <c r="E415" t="inlineStr">
        <is>
          <t>ÅNGE</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16853-2023</t>
        </is>
      </c>
      <c r="B416" s="1" t="n">
        <v>45033</v>
      </c>
      <c r="C416" s="1" t="n">
        <v>46079</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46254-2023</t>
        </is>
      </c>
      <c r="B417" s="1" t="n">
        <v>45196</v>
      </c>
      <c r="C417" s="1" t="n">
        <v>46079</v>
      </c>
      <c r="D417" t="inlineStr">
        <is>
          <t>VÄSTERNORRLANDS LÄN</t>
        </is>
      </c>
      <c r="E417" t="inlineStr">
        <is>
          <t>ÅNGE</t>
        </is>
      </c>
      <c r="F417" t="inlineStr">
        <is>
          <t>SCA</t>
        </is>
      </c>
      <c r="G417" t="n">
        <v>0.1</v>
      </c>
      <c r="H417" t="n">
        <v>0</v>
      </c>
      <c r="I417" t="n">
        <v>0</v>
      </c>
      <c r="J417" t="n">
        <v>0</v>
      </c>
      <c r="K417" t="n">
        <v>0</v>
      </c>
      <c r="L417" t="n">
        <v>0</v>
      </c>
      <c r="M417" t="n">
        <v>0</v>
      </c>
      <c r="N417" t="n">
        <v>0</v>
      </c>
      <c r="O417" t="n">
        <v>0</v>
      </c>
      <c r="P417" t="n">
        <v>0</v>
      </c>
      <c r="Q417" t="n">
        <v>0</v>
      </c>
      <c r="R417" s="2" t="inlineStr"/>
    </row>
    <row r="418" ht="15" customHeight="1">
      <c r="A418" t="inlineStr">
        <is>
          <t>A 46262-2023</t>
        </is>
      </c>
      <c r="B418" s="1" t="n">
        <v>45196.93855324074</v>
      </c>
      <c r="C418" s="1" t="n">
        <v>46079</v>
      </c>
      <c r="D418" t="inlineStr">
        <is>
          <t>VÄSTERNORRLANDS LÄN</t>
        </is>
      </c>
      <c r="E418" t="inlineStr">
        <is>
          <t>ÅNGE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45027-2023</t>
        </is>
      </c>
      <c r="B419" s="1" t="n">
        <v>45190.96303240741</v>
      </c>
      <c r="C419" s="1" t="n">
        <v>46079</v>
      </c>
      <c r="D419" t="inlineStr">
        <is>
          <t>VÄSTERNORRLANDS LÄN</t>
        </is>
      </c>
      <c r="E419" t="inlineStr">
        <is>
          <t>ÅNGE</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21409-2022</t>
        </is>
      </c>
      <c r="B420" s="1" t="n">
        <v>44705.9406712963</v>
      </c>
      <c r="C420" s="1" t="n">
        <v>46079</v>
      </c>
      <c r="D420" t="inlineStr">
        <is>
          <t>VÄSTERNORRLANDS LÄN</t>
        </is>
      </c>
      <c r="E420" t="inlineStr">
        <is>
          <t>ÅNGE</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38002-2024</t>
        </is>
      </c>
      <c r="B421" s="1" t="n">
        <v>45544.61484953704</v>
      </c>
      <c r="C421" s="1" t="n">
        <v>46079</v>
      </c>
      <c r="D421" t="inlineStr">
        <is>
          <t>VÄSTERNORRLANDS LÄN</t>
        </is>
      </c>
      <c r="E421" t="inlineStr">
        <is>
          <t>ÅNGE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55380-2024</t>
        </is>
      </c>
      <c r="B422" s="1" t="n">
        <v>45622.28810185185</v>
      </c>
      <c r="C422" s="1" t="n">
        <v>46079</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31568-2024</t>
        </is>
      </c>
      <c r="B423" s="1" t="n">
        <v>45505.96721064814</v>
      </c>
      <c r="C423" s="1" t="n">
        <v>46079</v>
      </c>
      <c r="D423" t="inlineStr">
        <is>
          <t>VÄSTERNORRLANDS LÄN</t>
        </is>
      </c>
      <c r="E423" t="inlineStr">
        <is>
          <t>ÅNGE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63709-2023</t>
        </is>
      </c>
      <c r="B424" s="1" t="n">
        <v>45275.95069444444</v>
      </c>
      <c r="C424" s="1" t="n">
        <v>46079</v>
      </c>
      <c r="D424" t="inlineStr">
        <is>
          <t>VÄSTERNORRLANDS LÄN</t>
        </is>
      </c>
      <c r="E424" t="inlineStr">
        <is>
          <t>ÅNGE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44565-2024</t>
        </is>
      </c>
      <c r="B425" s="1" t="n">
        <v>45574.47518518518</v>
      </c>
      <c r="C425" s="1" t="n">
        <v>46079</v>
      </c>
      <c r="D425" t="inlineStr">
        <is>
          <t>VÄSTERNORRLANDS LÄN</t>
        </is>
      </c>
      <c r="E425" t="inlineStr">
        <is>
          <t>ÅNGE</t>
        </is>
      </c>
      <c r="G425" t="n">
        <v>1.8</v>
      </c>
      <c r="H425" t="n">
        <v>0</v>
      </c>
      <c r="I425" t="n">
        <v>0</v>
      </c>
      <c r="J425" t="n">
        <v>0</v>
      </c>
      <c r="K425" t="n">
        <v>0</v>
      </c>
      <c r="L425" t="n">
        <v>0</v>
      </c>
      <c r="M425" t="n">
        <v>0</v>
      </c>
      <c r="N425" t="n">
        <v>0</v>
      </c>
      <c r="O425" t="n">
        <v>0</v>
      </c>
      <c r="P425" t="n">
        <v>0</v>
      </c>
      <c r="Q425" t="n">
        <v>0</v>
      </c>
      <c r="R425" s="2" t="inlineStr"/>
    </row>
    <row r="426" ht="15" customHeight="1">
      <c r="A426" t="inlineStr">
        <is>
          <t>A 34091-2022</t>
        </is>
      </c>
      <c r="B426" s="1" t="n">
        <v>44791</v>
      </c>
      <c r="C426" s="1" t="n">
        <v>46079</v>
      </c>
      <c r="D426" t="inlineStr">
        <is>
          <t>VÄSTERNORRLANDS LÄN</t>
        </is>
      </c>
      <c r="E426" t="inlineStr">
        <is>
          <t>ÅNGE</t>
        </is>
      </c>
      <c r="G426" t="n">
        <v>10.1</v>
      </c>
      <c r="H426" t="n">
        <v>0</v>
      </c>
      <c r="I426" t="n">
        <v>0</v>
      </c>
      <c r="J426" t="n">
        <v>0</v>
      </c>
      <c r="K426" t="n">
        <v>0</v>
      </c>
      <c r="L426" t="n">
        <v>0</v>
      </c>
      <c r="M426" t="n">
        <v>0</v>
      </c>
      <c r="N426" t="n">
        <v>0</v>
      </c>
      <c r="O426" t="n">
        <v>0</v>
      </c>
      <c r="P426" t="n">
        <v>0</v>
      </c>
      <c r="Q426" t="n">
        <v>0</v>
      </c>
      <c r="R426" s="2" t="inlineStr"/>
    </row>
    <row r="427" ht="15" customHeight="1">
      <c r="A427" t="inlineStr">
        <is>
          <t>A 19997-2023</t>
        </is>
      </c>
      <c r="B427" s="1" t="n">
        <v>45054</v>
      </c>
      <c r="C427" s="1" t="n">
        <v>46079</v>
      </c>
      <c r="D427" t="inlineStr">
        <is>
          <t>VÄSTERNORRLANDS LÄN</t>
        </is>
      </c>
      <c r="E427" t="inlineStr">
        <is>
          <t>ÅNGE</t>
        </is>
      </c>
      <c r="G427" t="n">
        <v>0.3</v>
      </c>
      <c r="H427" t="n">
        <v>0</v>
      </c>
      <c r="I427" t="n">
        <v>0</v>
      </c>
      <c r="J427" t="n">
        <v>0</v>
      </c>
      <c r="K427" t="n">
        <v>0</v>
      </c>
      <c r="L427" t="n">
        <v>0</v>
      </c>
      <c r="M427" t="n">
        <v>0</v>
      </c>
      <c r="N427" t="n">
        <v>0</v>
      </c>
      <c r="O427" t="n">
        <v>0</v>
      </c>
      <c r="P427" t="n">
        <v>0</v>
      </c>
      <c r="Q427" t="n">
        <v>0</v>
      </c>
      <c r="R427" s="2" t="inlineStr"/>
    </row>
    <row r="428" ht="15" customHeight="1">
      <c r="A428" t="inlineStr">
        <is>
          <t>A 22678-2024</t>
        </is>
      </c>
      <c r="B428" s="1" t="n">
        <v>45447.94533564815</v>
      </c>
      <c r="C428" s="1" t="n">
        <v>46079</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10084-2023</t>
        </is>
      </c>
      <c r="B429" s="1" t="n">
        <v>44985.94465277778</v>
      </c>
      <c r="C429" s="1" t="n">
        <v>46079</v>
      </c>
      <c r="D429" t="inlineStr">
        <is>
          <t>VÄSTERNORRLANDS LÄN</t>
        </is>
      </c>
      <c r="E429" t="inlineStr">
        <is>
          <t>ÅNGE</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34959-2023</t>
        </is>
      </c>
      <c r="B430" s="1" t="n">
        <v>45142</v>
      </c>
      <c r="C430" s="1" t="n">
        <v>46079</v>
      </c>
      <c r="D430" t="inlineStr">
        <is>
          <t>VÄSTERNORRLANDS LÄN</t>
        </is>
      </c>
      <c r="E430" t="inlineStr">
        <is>
          <t>ÅNGE</t>
        </is>
      </c>
      <c r="F430" t="inlineStr">
        <is>
          <t>Sveaskog</t>
        </is>
      </c>
      <c r="G430" t="n">
        <v>6.6</v>
      </c>
      <c r="H430" t="n">
        <v>0</v>
      </c>
      <c r="I430" t="n">
        <v>0</v>
      </c>
      <c r="J430" t="n">
        <v>0</v>
      </c>
      <c r="K430" t="n">
        <v>0</v>
      </c>
      <c r="L430" t="n">
        <v>0</v>
      </c>
      <c r="M430" t="n">
        <v>0</v>
      </c>
      <c r="N430" t="n">
        <v>0</v>
      </c>
      <c r="O430" t="n">
        <v>0</v>
      </c>
      <c r="P430" t="n">
        <v>0</v>
      </c>
      <c r="Q430" t="n">
        <v>0</v>
      </c>
      <c r="R430" s="2" t="inlineStr"/>
    </row>
    <row r="431" ht="15" customHeight="1">
      <c r="A431" t="inlineStr">
        <is>
          <t>A 54346-2023</t>
        </is>
      </c>
      <c r="B431" s="1" t="n">
        <v>45232.96087962963</v>
      </c>
      <c r="C431" s="1" t="n">
        <v>46079</v>
      </c>
      <c r="D431" t="inlineStr">
        <is>
          <t>VÄSTERNORRLANDS LÄN</t>
        </is>
      </c>
      <c r="E431" t="inlineStr">
        <is>
          <t>ÅNGE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39991-2023</t>
        </is>
      </c>
      <c r="B432" s="1" t="n">
        <v>45168.6043287037</v>
      </c>
      <c r="C432" s="1" t="n">
        <v>46079</v>
      </c>
      <c r="D432" t="inlineStr">
        <is>
          <t>VÄSTERNORRLANDS LÄN</t>
        </is>
      </c>
      <c r="E432" t="inlineStr">
        <is>
          <t>ÅNGE</t>
        </is>
      </c>
      <c r="G432" t="n">
        <v>10.2</v>
      </c>
      <c r="H432" t="n">
        <v>0</v>
      </c>
      <c r="I432" t="n">
        <v>0</v>
      </c>
      <c r="J432" t="n">
        <v>0</v>
      </c>
      <c r="K432" t="n">
        <v>0</v>
      </c>
      <c r="L432" t="n">
        <v>0</v>
      </c>
      <c r="M432" t="n">
        <v>0</v>
      </c>
      <c r="N432" t="n">
        <v>0</v>
      </c>
      <c r="O432" t="n">
        <v>0</v>
      </c>
      <c r="P432" t="n">
        <v>0</v>
      </c>
      <c r="Q432" t="n">
        <v>0</v>
      </c>
      <c r="R432" s="2" t="inlineStr"/>
    </row>
    <row r="433" ht="15" customHeight="1">
      <c r="A433" t="inlineStr">
        <is>
          <t>A 35577-2024</t>
        </is>
      </c>
      <c r="B433" s="1" t="n">
        <v>45531</v>
      </c>
      <c r="C433" s="1" t="n">
        <v>46079</v>
      </c>
      <c r="D433" t="inlineStr">
        <is>
          <t>VÄSTERNORRLANDS LÄN</t>
        </is>
      </c>
      <c r="E433" t="inlineStr">
        <is>
          <t>ÅNGE</t>
        </is>
      </c>
      <c r="F433" t="inlineStr">
        <is>
          <t>SCA</t>
        </is>
      </c>
      <c r="G433" t="n">
        <v>0.1</v>
      </c>
      <c r="H433" t="n">
        <v>0</v>
      </c>
      <c r="I433" t="n">
        <v>0</v>
      </c>
      <c r="J433" t="n">
        <v>0</v>
      </c>
      <c r="K433" t="n">
        <v>0</v>
      </c>
      <c r="L433" t="n">
        <v>0</v>
      </c>
      <c r="M433" t="n">
        <v>0</v>
      </c>
      <c r="N433" t="n">
        <v>0</v>
      </c>
      <c r="O433" t="n">
        <v>0</v>
      </c>
      <c r="P433" t="n">
        <v>0</v>
      </c>
      <c r="Q433" t="n">
        <v>0</v>
      </c>
      <c r="R433" s="2" t="inlineStr"/>
    </row>
    <row r="434" ht="15" customHeight="1">
      <c r="A434" t="inlineStr">
        <is>
          <t>A 35580-2024</t>
        </is>
      </c>
      <c r="B434" s="1" t="n">
        <v>45531</v>
      </c>
      <c r="C434" s="1" t="n">
        <v>46079</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54342-2023</t>
        </is>
      </c>
      <c r="B435" s="1" t="n">
        <v>45232</v>
      </c>
      <c r="C435" s="1" t="n">
        <v>46079</v>
      </c>
      <c r="D435" t="inlineStr">
        <is>
          <t>VÄSTERNORRLANDS LÄN</t>
        </is>
      </c>
      <c r="E435" t="inlineStr">
        <is>
          <t>ÅNGE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15167-2025</t>
        </is>
      </c>
      <c r="B436" s="1" t="n">
        <v>45744.49009259259</v>
      </c>
      <c r="C436" s="1" t="n">
        <v>46079</v>
      </c>
      <c r="D436" t="inlineStr">
        <is>
          <t>VÄSTERNORRLANDS LÄN</t>
        </is>
      </c>
      <c r="E436" t="inlineStr">
        <is>
          <t>ÅNGE</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30556-2023</t>
        </is>
      </c>
      <c r="B437" s="1" t="n">
        <v>45111.87935185185</v>
      </c>
      <c r="C437" s="1" t="n">
        <v>46079</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55328-2023</t>
        </is>
      </c>
      <c r="B438" s="1" t="n">
        <v>45237</v>
      </c>
      <c r="C438" s="1" t="n">
        <v>46079</v>
      </c>
      <c r="D438" t="inlineStr">
        <is>
          <t>VÄSTERNORRLANDS LÄN</t>
        </is>
      </c>
      <c r="E438" t="inlineStr">
        <is>
          <t>ÅNGE</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46255-2023</t>
        </is>
      </c>
      <c r="B439" s="1" t="n">
        <v>45196</v>
      </c>
      <c r="C439" s="1" t="n">
        <v>46079</v>
      </c>
      <c r="D439" t="inlineStr">
        <is>
          <t>VÄSTERNORRLANDS LÄN</t>
        </is>
      </c>
      <c r="E439" t="inlineStr">
        <is>
          <t>ÅNGE</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2365-2024</t>
        </is>
      </c>
      <c r="B440" s="1" t="n">
        <v>45310.59778935185</v>
      </c>
      <c r="C440" s="1" t="n">
        <v>46079</v>
      </c>
      <c r="D440" t="inlineStr">
        <is>
          <t>VÄSTERNORRLANDS LÄN</t>
        </is>
      </c>
      <c r="E440" t="inlineStr">
        <is>
          <t>ÅNGE</t>
        </is>
      </c>
      <c r="G440" t="n">
        <v>0.5</v>
      </c>
      <c r="H440" t="n">
        <v>0</v>
      </c>
      <c r="I440" t="n">
        <v>0</v>
      </c>
      <c r="J440" t="n">
        <v>0</v>
      </c>
      <c r="K440" t="n">
        <v>0</v>
      </c>
      <c r="L440" t="n">
        <v>0</v>
      </c>
      <c r="M440" t="n">
        <v>0</v>
      </c>
      <c r="N440" t="n">
        <v>0</v>
      </c>
      <c r="O440" t="n">
        <v>0</v>
      </c>
      <c r="P440" t="n">
        <v>0</v>
      </c>
      <c r="Q440" t="n">
        <v>0</v>
      </c>
      <c r="R440" s="2" t="inlineStr"/>
    </row>
    <row r="441" ht="15" customHeight="1">
      <c r="A441" t="inlineStr">
        <is>
          <t>A 2372-2024</t>
        </is>
      </c>
      <c r="B441" s="1" t="n">
        <v>45310.6115625</v>
      </c>
      <c r="C441" s="1" t="n">
        <v>46079</v>
      </c>
      <c r="D441" t="inlineStr">
        <is>
          <t>VÄSTERNORRLANDS LÄN</t>
        </is>
      </c>
      <c r="E441" t="inlineStr">
        <is>
          <t>ÅNGE</t>
        </is>
      </c>
      <c r="G441" t="n">
        <v>5.6</v>
      </c>
      <c r="H441" t="n">
        <v>0</v>
      </c>
      <c r="I441" t="n">
        <v>0</v>
      </c>
      <c r="J441" t="n">
        <v>0</v>
      </c>
      <c r="K441" t="n">
        <v>0</v>
      </c>
      <c r="L441" t="n">
        <v>0</v>
      </c>
      <c r="M441" t="n">
        <v>0</v>
      </c>
      <c r="N441" t="n">
        <v>0</v>
      </c>
      <c r="O441" t="n">
        <v>0</v>
      </c>
      <c r="P441" t="n">
        <v>0</v>
      </c>
      <c r="Q441" t="n">
        <v>0</v>
      </c>
      <c r="R441" s="2" t="inlineStr"/>
    </row>
    <row r="442" ht="15" customHeight="1">
      <c r="A442" t="inlineStr">
        <is>
          <t>A 17452-2025</t>
        </is>
      </c>
      <c r="B442" s="1" t="n">
        <v>45757.44842592593</v>
      </c>
      <c r="C442" s="1" t="n">
        <v>46079</v>
      </c>
      <c r="D442" t="inlineStr">
        <is>
          <t>VÄSTERNORRLANDS LÄN</t>
        </is>
      </c>
      <c r="E442" t="inlineStr">
        <is>
          <t>ÅNGE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11531-2023</t>
        </is>
      </c>
      <c r="B443" s="1" t="n">
        <v>44993.77038194444</v>
      </c>
      <c r="C443" s="1" t="n">
        <v>46079</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11532-2023</t>
        </is>
      </c>
      <c r="B444" s="1" t="n">
        <v>44993.77212962963</v>
      </c>
      <c r="C444" s="1" t="n">
        <v>46079</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41355-2024</t>
        </is>
      </c>
      <c r="B445" s="1" t="n">
        <v>45559.69833333333</v>
      </c>
      <c r="C445" s="1" t="n">
        <v>46079</v>
      </c>
      <c r="D445" t="inlineStr">
        <is>
          <t>VÄSTERNORRLANDS LÄN</t>
        </is>
      </c>
      <c r="E445" t="inlineStr">
        <is>
          <t>ÅNGE</t>
        </is>
      </c>
      <c r="F445" t="inlineStr">
        <is>
          <t>SCA</t>
        </is>
      </c>
      <c r="G445" t="n">
        <v>6.1</v>
      </c>
      <c r="H445" t="n">
        <v>0</v>
      </c>
      <c r="I445" t="n">
        <v>0</v>
      </c>
      <c r="J445" t="n">
        <v>0</v>
      </c>
      <c r="K445" t="n">
        <v>0</v>
      </c>
      <c r="L445" t="n">
        <v>0</v>
      </c>
      <c r="M445" t="n">
        <v>0</v>
      </c>
      <c r="N445" t="n">
        <v>0</v>
      </c>
      <c r="O445" t="n">
        <v>0</v>
      </c>
      <c r="P445" t="n">
        <v>0</v>
      </c>
      <c r="Q445" t="n">
        <v>0</v>
      </c>
      <c r="R445" s="2" t="inlineStr"/>
    </row>
    <row r="446" ht="15" customHeight="1">
      <c r="A446" t="inlineStr">
        <is>
          <t>A 5393-2025</t>
        </is>
      </c>
      <c r="B446" s="1" t="n">
        <v>45692.63574074074</v>
      </c>
      <c r="C446" s="1" t="n">
        <v>46079</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34971-2023</t>
        </is>
      </c>
      <c r="B447" s="1" t="n">
        <v>45142.61635416667</v>
      </c>
      <c r="C447" s="1" t="n">
        <v>46079</v>
      </c>
      <c r="D447" t="inlineStr">
        <is>
          <t>VÄSTERNORRLANDS LÄN</t>
        </is>
      </c>
      <c r="E447" t="inlineStr">
        <is>
          <t>ÅNGE</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38795-2023</t>
        </is>
      </c>
      <c r="B448" s="1" t="n">
        <v>45162</v>
      </c>
      <c r="C448" s="1" t="n">
        <v>46079</v>
      </c>
      <c r="D448" t="inlineStr">
        <is>
          <t>VÄSTERNORRLANDS LÄN</t>
        </is>
      </c>
      <c r="E448" t="inlineStr">
        <is>
          <t>ÅNGE</t>
        </is>
      </c>
      <c r="G448" t="n">
        <v>0.7</v>
      </c>
      <c r="H448" t="n">
        <v>0</v>
      </c>
      <c r="I448" t="n">
        <v>0</v>
      </c>
      <c r="J448" t="n">
        <v>0</v>
      </c>
      <c r="K448" t="n">
        <v>0</v>
      </c>
      <c r="L448" t="n">
        <v>0</v>
      </c>
      <c r="M448" t="n">
        <v>0</v>
      </c>
      <c r="N448" t="n">
        <v>0</v>
      </c>
      <c r="O448" t="n">
        <v>0</v>
      </c>
      <c r="P448" t="n">
        <v>0</v>
      </c>
      <c r="Q448" t="n">
        <v>0</v>
      </c>
      <c r="R448" s="2" t="inlineStr"/>
    </row>
    <row r="449" ht="15" customHeight="1">
      <c r="A449" t="inlineStr">
        <is>
          <t>A 9480-2022</t>
        </is>
      </c>
      <c r="B449" s="1" t="n">
        <v>44616</v>
      </c>
      <c r="C449" s="1" t="n">
        <v>46079</v>
      </c>
      <c r="D449" t="inlineStr">
        <is>
          <t>VÄSTERNORRLANDS LÄN</t>
        </is>
      </c>
      <c r="E449" t="inlineStr">
        <is>
          <t>ÅNGE</t>
        </is>
      </c>
      <c r="G449" t="n">
        <v>0.3</v>
      </c>
      <c r="H449" t="n">
        <v>0</v>
      </c>
      <c r="I449" t="n">
        <v>0</v>
      </c>
      <c r="J449" t="n">
        <v>0</v>
      </c>
      <c r="K449" t="n">
        <v>0</v>
      </c>
      <c r="L449" t="n">
        <v>0</v>
      </c>
      <c r="M449" t="n">
        <v>0</v>
      </c>
      <c r="N449" t="n">
        <v>0</v>
      </c>
      <c r="O449" t="n">
        <v>0</v>
      </c>
      <c r="P449" t="n">
        <v>0</v>
      </c>
      <c r="Q449" t="n">
        <v>0</v>
      </c>
      <c r="R449" s="2" t="inlineStr"/>
    </row>
    <row r="450" ht="15" customHeight="1">
      <c r="A450" t="inlineStr">
        <is>
          <t>A 18617-2024</t>
        </is>
      </c>
      <c r="B450" s="1" t="n">
        <v>45425</v>
      </c>
      <c r="C450" s="1" t="n">
        <v>46079</v>
      </c>
      <c r="D450" t="inlineStr">
        <is>
          <t>VÄSTERNORRLANDS LÄN</t>
        </is>
      </c>
      <c r="E450" t="inlineStr">
        <is>
          <t>ÅNGE</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21200-2024</t>
        </is>
      </c>
      <c r="B451" s="1" t="n">
        <v>45440</v>
      </c>
      <c r="C451" s="1" t="n">
        <v>46079</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51383-2022</t>
        </is>
      </c>
      <c r="B452" s="1" t="n">
        <v>44866</v>
      </c>
      <c r="C452" s="1" t="n">
        <v>46079</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51393-2022</t>
        </is>
      </c>
      <c r="B453" s="1" t="n">
        <v>44869.43277777778</v>
      </c>
      <c r="C453" s="1" t="n">
        <v>46079</v>
      </c>
      <c r="D453" t="inlineStr">
        <is>
          <t>VÄSTERNORRLANDS LÄN</t>
        </is>
      </c>
      <c r="E453" t="inlineStr">
        <is>
          <t>ÅNGE</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45631-2021</t>
        </is>
      </c>
      <c r="B454" s="1" t="n">
        <v>44440.98045138889</v>
      </c>
      <c r="C454" s="1" t="n">
        <v>46079</v>
      </c>
      <c r="D454" t="inlineStr">
        <is>
          <t>VÄSTERNORRLANDS LÄN</t>
        </is>
      </c>
      <c r="E454" t="inlineStr">
        <is>
          <t>ÅNGE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57592-2022</t>
        </is>
      </c>
      <c r="B455" s="1" t="n">
        <v>44896.97841435186</v>
      </c>
      <c r="C455" s="1" t="n">
        <v>46079</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57602-2022</t>
        </is>
      </c>
      <c r="B456" s="1" t="n">
        <v>44896</v>
      </c>
      <c r="C456" s="1" t="n">
        <v>46079</v>
      </c>
      <c r="D456" t="inlineStr">
        <is>
          <t>VÄSTERNORRLANDS LÄN</t>
        </is>
      </c>
      <c r="E456" t="inlineStr">
        <is>
          <t>ÅNGE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20231-2022</t>
        </is>
      </c>
      <c r="B457" s="1" t="n">
        <v>44698</v>
      </c>
      <c r="C457" s="1" t="n">
        <v>46079</v>
      </c>
      <c r="D457" t="inlineStr">
        <is>
          <t>VÄSTERNORRLANDS LÄN</t>
        </is>
      </c>
      <c r="E457" t="inlineStr">
        <is>
          <t>ÅNGE</t>
        </is>
      </c>
      <c r="G457" t="n">
        <v>4.2</v>
      </c>
      <c r="H457" t="n">
        <v>0</v>
      </c>
      <c r="I457" t="n">
        <v>0</v>
      </c>
      <c r="J457" t="n">
        <v>0</v>
      </c>
      <c r="K457" t="n">
        <v>0</v>
      </c>
      <c r="L457" t="n">
        <v>0</v>
      </c>
      <c r="M457" t="n">
        <v>0</v>
      </c>
      <c r="N457" t="n">
        <v>0</v>
      </c>
      <c r="O457" t="n">
        <v>0</v>
      </c>
      <c r="P457" t="n">
        <v>0</v>
      </c>
      <c r="Q457" t="n">
        <v>0</v>
      </c>
      <c r="R457" s="2" t="inlineStr"/>
    </row>
    <row r="458" ht="15" customHeight="1">
      <c r="A458" t="inlineStr">
        <is>
          <t>A 39985-2023</t>
        </is>
      </c>
      <c r="B458" s="1" t="n">
        <v>45168</v>
      </c>
      <c r="C458" s="1" t="n">
        <v>46079</v>
      </c>
      <c r="D458" t="inlineStr">
        <is>
          <t>VÄSTERNORRLANDS LÄN</t>
        </is>
      </c>
      <c r="E458" t="inlineStr">
        <is>
          <t>ÅNGE</t>
        </is>
      </c>
      <c r="G458" t="n">
        <v>0.1</v>
      </c>
      <c r="H458" t="n">
        <v>0</v>
      </c>
      <c r="I458" t="n">
        <v>0</v>
      </c>
      <c r="J458" t="n">
        <v>0</v>
      </c>
      <c r="K458" t="n">
        <v>0</v>
      </c>
      <c r="L458" t="n">
        <v>0</v>
      </c>
      <c r="M458" t="n">
        <v>0</v>
      </c>
      <c r="N458" t="n">
        <v>0</v>
      </c>
      <c r="O458" t="n">
        <v>0</v>
      </c>
      <c r="P458" t="n">
        <v>0</v>
      </c>
      <c r="Q458" t="n">
        <v>0</v>
      </c>
      <c r="R458" s="2" t="inlineStr"/>
    </row>
    <row r="459" ht="15" customHeight="1">
      <c r="A459" t="inlineStr">
        <is>
          <t>A 20761-2024</t>
        </is>
      </c>
      <c r="B459" s="1" t="n">
        <v>45436</v>
      </c>
      <c r="C459" s="1" t="n">
        <v>46079</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58748-2023</t>
        </is>
      </c>
      <c r="B460" s="1" t="n">
        <v>45251.92936342592</v>
      </c>
      <c r="C460" s="1" t="n">
        <v>46079</v>
      </c>
      <c r="D460" t="inlineStr">
        <is>
          <t>VÄSTERNORRLANDS LÄN</t>
        </is>
      </c>
      <c r="E460" t="inlineStr">
        <is>
          <t>ÅNGE</t>
        </is>
      </c>
      <c r="G460" t="n">
        <v>2.7</v>
      </c>
      <c r="H460" t="n">
        <v>0</v>
      </c>
      <c r="I460" t="n">
        <v>0</v>
      </c>
      <c r="J460" t="n">
        <v>0</v>
      </c>
      <c r="K460" t="n">
        <v>0</v>
      </c>
      <c r="L460" t="n">
        <v>0</v>
      </c>
      <c r="M460" t="n">
        <v>0</v>
      </c>
      <c r="N460" t="n">
        <v>0</v>
      </c>
      <c r="O460" t="n">
        <v>0</v>
      </c>
      <c r="P460" t="n">
        <v>0</v>
      </c>
      <c r="Q460" t="n">
        <v>0</v>
      </c>
      <c r="R460" s="2" t="inlineStr"/>
    </row>
    <row r="461" ht="15" customHeight="1">
      <c r="A461" t="inlineStr">
        <is>
          <t>A 42857-2022</t>
        </is>
      </c>
      <c r="B461" s="1" t="n">
        <v>44832</v>
      </c>
      <c r="C461" s="1" t="n">
        <v>46079</v>
      </c>
      <c r="D461" t="inlineStr">
        <is>
          <t>VÄSTERNORRLANDS LÄN</t>
        </is>
      </c>
      <c r="E461" t="inlineStr">
        <is>
          <t>ÅNGE</t>
        </is>
      </c>
      <c r="G461" t="n">
        <v>3.4</v>
      </c>
      <c r="H461" t="n">
        <v>0</v>
      </c>
      <c r="I461" t="n">
        <v>0</v>
      </c>
      <c r="J461" t="n">
        <v>0</v>
      </c>
      <c r="K461" t="n">
        <v>0</v>
      </c>
      <c r="L461" t="n">
        <v>0</v>
      </c>
      <c r="M461" t="n">
        <v>0</v>
      </c>
      <c r="N461" t="n">
        <v>0</v>
      </c>
      <c r="O461" t="n">
        <v>0</v>
      </c>
      <c r="P461" t="n">
        <v>0</v>
      </c>
      <c r="Q461" t="n">
        <v>0</v>
      </c>
      <c r="R461" s="2" t="inlineStr"/>
    </row>
    <row r="462" ht="15" customHeight="1">
      <c r="A462" t="inlineStr">
        <is>
          <t>A 43552-2023</t>
        </is>
      </c>
      <c r="B462" s="1" t="n">
        <v>45181</v>
      </c>
      <c r="C462" s="1" t="n">
        <v>46079</v>
      </c>
      <c r="D462" t="inlineStr">
        <is>
          <t>VÄSTERNORRLANDS LÄN</t>
        </is>
      </c>
      <c r="E462" t="inlineStr">
        <is>
          <t>ÅNGE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8868-2023</t>
        </is>
      </c>
      <c r="B463" s="1" t="n">
        <v>44978</v>
      </c>
      <c r="C463" s="1" t="n">
        <v>46079</v>
      </c>
      <c r="D463" t="inlineStr">
        <is>
          <t>VÄSTERNORRLANDS LÄN</t>
        </is>
      </c>
      <c r="E463" t="inlineStr">
        <is>
          <t>ÅNGE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35979-2023</t>
        </is>
      </c>
      <c r="B464" s="1" t="n">
        <v>45148</v>
      </c>
      <c r="C464" s="1" t="n">
        <v>46079</v>
      </c>
      <c r="D464" t="inlineStr">
        <is>
          <t>VÄSTERNORRLANDS LÄN</t>
        </is>
      </c>
      <c r="E464" t="inlineStr">
        <is>
          <t>ÅNGE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10917-2024</t>
        </is>
      </c>
      <c r="B465" s="1" t="n">
        <v>45370</v>
      </c>
      <c r="C465" s="1" t="n">
        <v>46079</v>
      </c>
      <c r="D465" t="inlineStr">
        <is>
          <t>VÄSTERNORRLANDS LÄN</t>
        </is>
      </c>
      <c r="E465" t="inlineStr">
        <is>
          <t>ÅNGE</t>
        </is>
      </c>
      <c r="G465" t="n">
        <v>2.2</v>
      </c>
      <c r="H465" t="n">
        <v>0</v>
      </c>
      <c r="I465" t="n">
        <v>0</v>
      </c>
      <c r="J465" t="n">
        <v>0</v>
      </c>
      <c r="K465" t="n">
        <v>0</v>
      </c>
      <c r="L465" t="n">
        <v>0</v>
      </c>
      <c r="M465" t="n">
        <v>0</v>
      </c>
      <c r="N465" t="n">
        <v>0</v>
      </c>
      <c r="O465" t="n">
        <v>0</v>
      </c>
      <c r="P465" t="n">
        <v>0</v>
      </c>
      <c r="Q465" t="n">
        <v>0</v>
      </c>
      <c r="R465" s="2" t="inlineStr"/>
    </row>
    <row r="466" ht="15" customHeight="1">
      <c r="A466" t="inlineStr">
        <is>
          <t>A 15287-2025</t>
        </is>
      </c>
      <c r="B466" s="1" t="n">
        <v>45745</v>
      </c>
      <c r="C466" s="1" t="n">
        <v>46079</v>
      </c>
      <c r="D466" t="inlineStr">
        <is>
          <t>VÄSTERNORRLANDS LÄN</t>
        </is>
      </c>
      <c r="E466" t="inlineStr">
        <is>
          <t>ÅNGE</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15288-2025</t>
        </is>
      </c>
      <c r="B467" s="1" t="n">
        <v>45745.34423611111</v>
      </c>
      <c r="C467" s="1" t="n">
        <v>46079</v>
      </c>
      <c r="D467" t="inlineStr">
        <is>
          <t>VÄSTERNORRLANDS LÄN</t>
        </is>
      </c>
      <c r="E467" t="inlineStr">
        <is>
          <t>ÅNGE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46775-2024</t>
        </is>
      </c>
      <c r="B468" s="1" t="n">
        <v>45583.49711805556</v>
      </c>
      <c r="C468" s="1" t="n">
        <v>46079</v>
      </c>
      <c r="D468" t="inlineStr">
        <is>
          <t>VÄSTERNORRLANDS LÄN</t>
        </is>
      </c>
      <c r="E468" t="inlineStr">
        <is>
          <t>ÅNGE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46780-2024</t>
        </is>
      </c>
      <c r="B469" s="1" t="n">
        <v>45583.51076388889</v>
      </c>
      <c r="C469" s="1" t="n">
        <v>46079</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18880-2024</t>
        </is>
      </c>
      <c r="B470" s="1" t="n">
        <v>45426</v>
      </c>
      <c r="C470" s="1" t="n">
        <v>46079</v>
      </c>
      <c r="D470" t="inlineStr">
        <is>
          <t>VÄSTERNORRLANDS LÄN</t>
        </is>
      </c>
      <c r="E470" t="inlineStr">
        <is>
          <t>ÅNGE</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55558-2024</t>
        </is>
      </c>
      <c r="B471" s="1" t="n">
        <v>45622.52586805556</v>
      </c>
      <c r="C471" s="1" t="n">
        <v>46079</v>
      </c>
      <c r="D471" t="inlineStr">
        <is>
          <t>VÄSTERNORRLANDS LÄN</t>
        </is>
      </c>
      <c r="E471" t="inlineStr">
        <is>
          <t>ÅNGE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43775-2022</t>
        </is>
      </c>
      <c r="B472" s="1" t="n">
        <v>44837.95053240741</v>
      </c>
      <c r="C472" s="1" t="n">
        <v>46079</v>
      </c>
      <c r="D472" t="inlineStr">
        <is>
          <t>VÄSTERNORRLANDS LÄN</t>
        </is>
      </c>
      <c r="E472" t="inlineStr">
        <is>
          <t>ÅNGE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20229-2022</t>
        </is>
      </c>
      <c r="B473" s="1" t="n">
        <v>44698.61150462963</v>
      </c>
      <c r="C473" s="1" t="n">
        <v>46079</v>
      </c>
      <c r="D473" t="inlineStr">
        <is>
          <t>VÄSTERNORRLANDS LÄN</t>
        </is>
      </c>
      <c r="E473" t="inlineStr">
        <is>
          <t>ÅNGE</t>
        </is>
      </c>
      <c r="G473" t="n">
        <v>1.1</v>
      </c>
      <c r="H473" t="n">
        <v>0</v>
      </c>
      <c r="I473" t="n">
        <v>0</v>
      </c>
      <c r="J473" t="n">
        <v>0</v>
      </c>
      <c r="K473" t="n">
        <v>0</v>
      </c>
      <c r="L473" t="n">
        <v>0</v>
      </c>
      <c r="M473" t="n">
        <v>0</v>
      </c>
      <c r="N473" t="n">
        <v>0</v>
      </c>
      <c r="O473" t="n">
        <v>0</v>
      </c>
      <c r="P473" t="n">
        <v>0</v>
      </c>
      <c r="Q473" t="n">
        <v>0</v>
      </c>
      <c r="R473" s="2" t="inlineStr"/>
    </row>
    <row r="474" ht="15" customHeight="1">
      <c r="A474" t="inlineStr">
        <is>
          <t>A 58997-2023</t>
        </is>
      </c>
      <c r="B474" s="1" t="n">
        <v>45252.6352662037</v>
      </c>
      <c r="C474" s="1" t="n">
        <v>46079</v>
      </c>
      <c r="D474" t="inlineStr">
        <is>
          <t>VÄSTERNORRLANDS LÄN</t>
        </is>
      </c>
      <c r="E474" t="inlineStr">
        <is>
          <t>ÅNGE</t>
        </is>
      </c>
      <c r="F474" t="inlineStr">
        <is>
          <t>Övriga Aktiebolag</t>
        </is>
      </c>
      <c r="G474" t="n">
        <v>2.1</v>
      </c>
      <c r="H474" t="n">
        <v>0</v>
      </c>
      <c r="I474" t="n">
        <v>0</v>
      </c>
      <c r="J474" t="n">
        <v>0</v>
      </c>
      <c r="K474" t="n">
        <v>0</v>
      </c>
      <c r="L474" t="n">
        <v>0</v>
      </c>
      <c r="M474" t="n">
        <v>0</v>
      </c>
      <c r="N474" t="n">
        <v>0</v>
      </c>
      <c r="O474" t="n">
        <v>0</v>
      </c>
      <c r="P474" t="n">
        <v>0</v>
      </c>
      <c r="Q474" t="n">
        <v>0</v>
      </c>
      <c r="R474" s="2" t="inlineStr"/>
    </row>
    <row r="475" ht="15" customHeight="1">
      <c r="A475" t="inlineStr">
        <is>
          <t>A 27306-2024</t>
        </is>
      </c>
      <c r="B475" s="1" t="n">
        <v>45471.94454861111</v>
      </c>
      <c r="C475" s="1" t="n">
        <v>46079</v>
      </c>
      <c r="D475" t="inlineStr">
        <is>
          <t>VÄSTERNORRLANDS LÄN</t>
        </is>
      </c>
      <c r="E475" t="inlineStr">
        <is>
          <t>ÅNGE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11396-2024</t>
        </is>
      </c>
      <c r="B476" s="1" t="n">
        <v>45372</v>
      </c>
      <c r="C476" s="1" t="n">
        <v>46079</v>
      </c>
      <c r="D476" t="inlineStr">
        <is>
          <t>VÄSTERNORRLANDS LÄN</t>
        </is>
      </c>
      <c r="E476" t="inlineStr">
        <is>
          <t>ÅNGE</t>
        </is>
      </c>
      <c r="G476" t="n">
        <v>2.2</v>
      </c>
      <c r="H476" t="n">
        <v>0</v>
      </c>
      <c r="I476" t="n">
        <v>0</v>
      </c>
      <c r="J476" t="n">
        <v>0</v>
      </c>
      <c r="K476" t="n">
        <v>0</v>
      </c>
      <c r="L476" t="n">
        <v>0</v>
      </c>
      <c r="M476" t="n">
        <v>0</v>
      </c>
      <c r="N476" t="n">
        <v>0</v>
      </c>
      <c r="O476" t="n">
        <v>0</v>
      </c>
      <c r="P476" t="n">
        <v>0</v>
      </c>
      <c r="Q476" t="n">
        <v>0</v>
      </c>
      <c r="R476" s="2" t="inlineStr"/>
    </row>
    <row r="477" ht="15" customHeight="1">
      <c r="A477" t="inlineStr">
        <is>
          <t>A 25680-2023</t>
        </is>
      </c>
      <c r="B477" s="1" t="n">
        <v>45089</v>
      </c>
      <c r="C477" s="1" t="n">
        <v>46079</v>
      </c>
      <c r="D477" t="inlineStr">
        <is>
          <t>VÄSTERNORRLANDS LÄN</t>
        </is>
      </c>
      <c r="E477" t="inlineStr">
        <is>
          <t>ÅNGE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47792-2022</t>
        </is>
      </c>
      <c r="B478" s="1" t="n">
        <v>44854.95238425926</v>
      </c>
      <c r="C478" s="1" t="n">
        <v>46079</v>
      </c>
      <c r="D478" t="inlineStr">
        <is>
          <t>VÄSTERNORRLANDS LÄN</t>
        </is>
      </c>
      <c r="E478" t="inlineStr">
        <is>
          <t>ÅNGE</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18869-2024</t>
        </is>
      </c>
      <c r="B479" s="1" t="n">
        <v>45426</v>
      </c>
      <c r="C479" s="1" t="n">
        <v>46079</v>
      </c>
      <c r="D479" t="inlineStr">
        <is>
          <t>VÄSTERNORRLANDS LÄN</t>
        </is>
      </c>
      <c r="E479" t="inlineStr">
        <is>
          <t>ÅNGE</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58639-2023</t>
        </is>
      </c>
      <c r="B480" s="1" t="n">
        <v>45251</v>
      </c>
      <c r="C480" s="1" t="n">
        <v>46079</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24797-2024</t>
        </is>
      </c>
      <c r="B481" s="1" t="n">
        <v>45460.95269675926</v>
      </c>
      <c r="C481" s="1" t="n">
        <v>46079</v>
      </c>
      <c r="D481" t="inlineStr">
        <is>
          <t>VÄSTERNORRLANDS LÄN</t>
        </is>
      </c>
      <c r="E481" t="inlineStr">
        <is>
          <t>ÅNGE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59818-2024</t>
        </is>
      </c>
      <c r="B482" s="1" t="n">
        <v>45639.63572916666</v>
      </c>
      <c r="C482" s="1" t="n">
        <v>46079</v>
      </c>
      <c r="D482" t="inlineStr">
        <is>
          <t>VÄSTERNORRLANDS LÄN</t>
        </is>
      </c>
      <c r="E482" t="inlineStr">
        <is>
          <t>ÅNGE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35498-2022</t>
        </is>
      </c>
      <c r="B483" s="1" t="n">
        <v>44798.94810185185</v>
      </c>
      <c r="C483" s="1" t="n">
        <v>46079</v>
      </c>
      <c r="D483" t="inlineStr">
        <is>
          <t>VÄSTERNORRLANDS LÄN</t>
        </is>
      </c>
      <c r="E483" t="inlineStr">
        <is>
          <t>ÅNGE</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22680-2024</t>
        </is>
      </c>
      <c r="B484" s="1" t="n">
        <v>45447.94548611111</v>
      </c>
      <c r="C484" s="1" t="n">
        <v>46079</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23035-2024</t>
        </is>
      </c>
      <c r="B485" s="1" t="n">
        <v>45450.39016203704</v>
      </c>
      <c r="C485" s="1" t="n">
        <v>46079</v>
      </c>
      <c r="D485" t="inlineStr">
        <is>
          <t>VÄSTERNORRLANDS LÄN</t>
        </is>
      </c>
      <c r="E485" t="inlineStr">
        <is>
          <t>ÅNGE</t>
        </is>
      </c>
      <c r="G485" t="n">
        <v>12.1</v>
      </c>
      <c r="H485" t="n">
        <v>0</v>
      </c>
      <c r="I485" t="n">
        <v>0</v>
      </c>
      <c r="J485" t="n">
        <v>0</v>
      </c>
      <c r="K485" t="n">
        <v>0</v>
      </c>
      <c r="L485" t="n">
        <v>0</v>
      </c>
      <c r="M485" t="n">
        <v>0</v>
      </c>
      <c r="N485" t="n">
        <v>0</v>
      </c>
      <c r="O485" t="n">
        <v>0</v>
      </c>
      <c r="P485" t="n">
        <v>0</v>
      </c>
      <c r="Q485" t="n">
        <v>0</v>
      </c>
      <c r="R485" s="2" t="inlineStr"/>
    </row>
    <row r="486" ht="15" customHeight="1">
      <c r="A486" t="inlineStr">
        <is>
          <t>A 23063-2024</t>
        </is>
      </c>
      <c r="B486" s="1" t="n">
        <v>45450.44278935185</v>
      </c>
      <c r="C486" s="1" t="n">
        <v>46079</v>
      </c>
      <c r="D486" t="inlineStr">
        <is>
          <t>VÄSTERNORRLANDS LÄN</t>
        </is>
      </c>
      <c r="E486" t="inlineStr">
        <is>
          <t>ÅNGE</t>
        </is>
      </c>
      <c r="G486" t="n">
        <v>0.8</v>
      </c>
      <c r="H486" t="n">
        <v>0</v>
      </c>
      <c r="I486" t="n">
        <v>0</v>
      </c>
      <c r="J486" t="n">
        <v>0</v>
      </c>
      <c r="K486" t="n">
        <v>0</v>
      </c>
      <c r="L486" t="n">
        <v>0</v>
      </c>
      <c r="M486" t="n">
        <v>0</v>
      </c>
      <c r="N486" t="n">
        <v>0</v>
      </c>
      <c r="O486" t="n">
        <v>0</v>
      </c>
      <c r="P486" t="n">
        <v>0</v>
      </c>
      <c r="Q486" t="n">
        <v>0</v>
      </c>
      <c r="R486" s="2" t="inlineStr"/>
    </row>
    <row r="487" ht="15" customHeight="1">
      <c r="A487" t="inlineStr">
        <is>
          <t>A 1769-2023</t>
        </is>
      </c>
      <c r="B487" s="1" t="n">
        <v>44938.58025462963</v>
      </c>
      <c r="C487" s="1" t="n">
        <v>46079</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1775-2023</t>
        </is>
      </c>
      <c r="B488" s="1" t="n">
        <v>44938</v>
      </c>
      <c r="C488" s="1" t="n">
        <v>46079</v>
      </c>
      <c r="D488" t="inlineStr">
        <is>
          <t>VÄSTERNORRLANDS LÄN</t>
        </is>
      </c>
      <c r="E488" t="inlineStr">
        <is>
          <t>ÅNGE</t>
        </is>
      </c>
      <c r="G488" t="n">
        <v>1.4</v>
      </c>
      <c r="H488" t="n">
        <v>0</v>
      </c>
      <c r="I488" t="n">
        <v>0</v>
      </c>
      <c r="J488" t="n">
        <v>0</v>
      </c>
      <c r="K488" t="n">
        <v>0</v>
      </c>
      <c r="L488" t="n">
        <v>0</v>
      </c>
      <c r="M488" t="n">
        <v>0</v>
      </c>
      <c r="N488" t="n">
        <v>0</v>
      </c>
      <c r="O488" t="n">
        <v>0</v>
      </c>
      <c r="P488" t="n">
        <v>0</v>
      </c>
      <c r="Q488" t="n">
        <v>0</v>
      </c>
      <c r="R488" s="2" t="inlineStr"/>
    </row>
    <row r="489" ht="15" customHeight="1">
      <c r="A489" t="inlineStr">
        <is>
          <t>A 35582-2024</t>
        </is>
      </c>
      <c r="B489" s="1" t="n">
        <v>45531.64800925926</v>
      </c>
      <c r="C489" s="1" t="n">
        <v>46079</v>
      </c>
      <c r="D489" t="inlineStr">
        <is>
          <t>VÄSTERNORRLANDS LÄN</t>
        </is>
      </c>
      <c r="E489" t="inlineStr">
        <is>
          <t>ÅNGE</t>
        </is>
      </c>
      <c r="G489" t="n">
        <v>4.1</v>
      </c>
      <c r="H489" t="n">
        <v>0</v>
      </c>
      <c r="I489" t="n">
        <v>0</v>
      </c>
      <c r="J489" t="n">
        <v>0</v>
      </c>
      <c r="K489" t="n">
        <v>0</v>
      </c>
      <c r="L489" t="n">
        <v>0</v>
      </c>
      <c r="M489" t="n">
        <v>0</v>
      </c>
      <c r="N489" t="n">
        <v>0</v>
      </c>
      <c r="O489" t="n">
        <v>0</v>
      </c>
      <c r="P489" t="n">
        <v>0</v>
      </c>
      <c r="Q489" t="n">
        <v>0</v>
      </c>
      <c r="R489" s="2" t="inlineStr"/>
    </row>
    <row r="490" ht="15" customHeight="1">
      <c r="A490" t="inlineStr">
        <is>
          <t>A 10878-2024</t>
        </is>
      </c>
      <c r="B490" s="1" t="n">
        <v>45370</v>
      </c>
      <c r="C490" s="1" t="n">
        <v>46079</v>
      </c>
      <c r="D490" t="inlineStr">
        <is>
          <t>VÄSTERNORRLANDS LÄN</t>
        </is>
      </c>
      <c r="E490" t="inlineStr">
        <is>
          <t>ÅNGE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36466-2024</t>
        </is>
      </c>
      <c r="B491" s="1" t="n">
        <v>45537.35872685185</v>
      </c>
      <c r="C491" s="1" t="n">
        <v>46079</v>
      </c>
      <c r="D491" t="inlineStr">
        <is>
          <t>VÄSTERNORRLANDS LÄN</t>
        </is>
      </c>
      <c r="E491" t="inlineStr">
        <is>
          <t>ÅNGE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3347-2024</t>
        </is>
      </c>
      <c r="B492" s="1" t="n">
        <v>45317</v>
      </c>
      <c r="C492" s="1" t="n">
        <v>46079</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19066-2024</t>
        </is>
      </c>
      <c r="B493" s="1" t="n">
        <v>45427</v>
      </c>
      <c r="C493" s="1" t="n">
        <v>46079</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52785-2024</t>
        </is>
      </c>
      <c r="B494" s="1" t="n">
        <v>45610.55273148148</v>
      </c>
      <c r="C494" s="1" t="n">
        <v>46079</v>
      </c>
      <c r="D494" t="inlineStr">
        <is>
          <t>VÄSTERNORRLANDS LÄN</t>
        </is>
      </c>
      <c r="E494" t="inlineStr">
        <is>
          <t>ÅNGE</t>
        </is>
      </c>
      <c r="F494" t="inlineStr">
        <is>
          <t>SCA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52786-2024</t>
        </is>
      </c>
      <c r="B495" s="1" t="n">
        <v>45610.55283564814</v>
      </c>
      <c r="C495" s="1" t="n">
        <v>46079</v>
      </c>
      <c r="D495" t="inlineStr">
        <is>
          <t>VÄSTERNORRLANDS LÄN</t>
        </is>
      </c>
      <c r="E495" t="inlineStr">
        <is>
          <t>ÅNGE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3629-2023</t>
        </is>
      </c>
      <c r="B496" s="1" t="n">
        <v>44950</v>
      </c>
      <c r="C496" s="1" t="n">
        <v>46079</v>
      </c>
      <c r="D496" t="inlineStr">
        <is>
          <t>VÄSTERNORRLANDS LÄN</t>
        </is>
      </c>
      <c r="E496" t="inlineStr">
        <is>
          <t>ÅNGE</t>
        </is>
      </c>
      <c r="G496" t="n">
        <v>2.5</v>
      </c>
      <c r="H496" t="n">
        <v>0</v>
      </c>
      <c r="I496" t="n">
        <v>0</v>
      </c>
      <c r="J496" t="n">
        <v>0</v>
      </c>
      <c r="K496" t="n">
        <v>0</v>
      </c>
      <c r="L496" t="n">
        <v>0</v>
      </c>
      <c r="M496" t="n">
        <v>0</v>
      </c>
      <c r="N496" t="n">
        <v>0</v>
      </c>
      <c r="O496" t="n">
        <v>0</v>
      </c>
      <c r="P496" t="n">
        <v>0</v>
      </c>
      <c r="Q496" t="n">
        <v>0</v>
      </c>
      <c r="R496" s="2" t="inlineStr"/>
    </row>
    <row r="497" ht="15" customHeight="1">
      <c r="A497" t="inlineStr">
        <is>
          <t>A 3631-2023</t>
        </is>
      </c>
      <c r="B497" s="1" t="n">
        <v>44950</v>
      </c>
      <c r="C497" s="1" t="n">
        <v>46079</v>
      </c>
      <c r="D497" t="inlineStr">
        <is>
          <t>VÄSTERNORRLANDS LÄN</t>
        </is>
      </c>
      <c r="E497" t="inlineStr">
        <is>
          <t>ÅNGE</t>
        </is>
      </c>
      <c r="G497" t="n">
        <v>0.8</v>
      </c>
      <c r="H497" t="n">
        <v>0</v>
      </c>
      <c r="I497" t="n">
        <v>0</v>
      </c>
      <c r="J497" t="n">
        <v>0</v>
      </c>
      <c r="K497" t="n">
        <v>0</v>
      </c>
      <c r="L497" t="n">
        <v>0</v>
      </c>
      <c r="M497" t="n">
        <v>0</v>
      </c>
      <c r="N497" t="n">
        <v>0</v>
      </c>
      <c r="O497" t="n">
        <v>0</v>
      </c>
      <c r="P497" t="n">
        <v>0</v>
      </c>
      <c r="Q497" t="n">
        <v>0</v>
      </c>
      <c r="R497" s="2" t="inlineStr"/>
    </row>
    <row r="498" ht="15" customHeight="1">
      <c r="A498" t="inlineStr">
        <is>
          <t>A 31177-2024</t>
        </is>
      </c>
      <c r="B498" s="1" t="n">
        <v>45503</v>
      </c>
      <c r="C498" s="1" t="n">
        <v>46079</v>
      </c>
      <c r="D498" t="inlineStr">
        <is>
          <t>VÄSTERNORRLANDS LÄN</t>
        </is>
      </c>
      <c r="E498" t="inlineStr">
        <is>
          <t>ÅNGE</t>
        </is>
      </c>
      <c r="G498" t="n">
        <v>10.2</v>
      </c>
      <c r="H498" t="n">
        <v>0</v>
      </c>
      <c r="I498" t="n">
        <v>0</v>
      </c>
      <c r="J498" t="n">
        <v>0</v>
      </c>
      <c r="K498" t="n">
        <v>0</v>
      </c>
      <c r="L498" t="n">
        <v>0</v>
      </c>
      <c r="M498" t="n">
        <v>0</v>
      </c>
      <c r="N498" t="n">
        <v>0</v>
      </c>
      <c r="O498" t="n">
        <v>0</v>
      </c>
      <c r="P498" t="n">
        <v>0</v>
      </c>
      <c r="Q498" t="n">
        <v>0</v>
      </c>
      <c r="R498" s="2" t="inlineStr"/>
    </row>
    <row r="499" ht="15" customHeight="1">
      <c r="A499" t="inlineStr">
        <is>
          <t>A 50179-2024</t>
        </is>
      </c>
      <c r="B499" s="1" t="n">
        <v>45600</v>
      </c>
      <c r="C499" s="1" t="n">
        <v>46079</v>
      </c>
      <c r="D499" t="inlineStr">
        <is>
          <t>VÄSTERNORRLANDS LÄN</t>
        </is>
      </c>
      <c r="E499" t="inlineStr">
        <is>
          <t>ÅNGE</t>
        </is>
      </c>
      <c r="G499" t="n">
        <v>3.6</v>
      </c>
      <c r="H499" t="n">
        <v>0</v>
      </c>
      <c r="I499" t="n">
        <v>0</v>
      </c>
      <c r="J499" t="n">
        <v>0</v>
      </c>
      <c r="K499" t="n">
        <v>0</v>
      </c>
      <c r="L499" t="n">
        <v>0</v>
      </c>
      <c r="M499" t="n">
        <v>0</v>
      </c>
      <c r="N499" t="n">
        <v>0</v>
      </c>
      <c r="O499" t="n">
        <v>0</v>
      </c>
      <c r="P499" t="n">
        <v>0</v>
      </c>
      <c r="Q499" t="n">
        <v>0</v>
      </c>
      <c r="R499" s="2" t="inlineStr"/>
    </row>
    <row r="500" ht="15" customHeight="1">
      <c r="A500" t="inlineStr">
        <is>
          <t>A 2140-2023</t>
        </is>
      </c>
      <c r="B500" s="1" t="n">
        <v>44940</v>
      </c>
      <c r="C500" s="1" t="n">
        <v>46079</v>
      </c>
      <c r="D500" t="inlineStr">
        <is>
          <t>VÄSTERNORRLANDS LÄN</t>
        </is>
      </c>
      <c r="E500" t="inlineStr">
        <is>
          <t>ÅNGE</t>
        </is>
      </c>
      <c r="G500" t="n">
        <v>2.9</v>
      </c>
      <c r="H500" t="n">
        <v>0</v>
      </c>
      <c r="I500" t="n">
        <v>0</v>
      </c>
      <c r="J500" t="n">
        <v>0</v>
      </c>
      <c r="K500" t="n">
        <v>0</v>
      </c>
      <c r="L500" t="n">
        <v>0</v>
      </c>
      <c r="M500" t="n">
        <v>0</v>
      </c>
      <c r="N500" t="n">
        <v>0</v>
      </c>
      <c r="O500" t="n">
        <v>0</v>
      </c>
      <c r="P500" t="n">
        <v>0</v>
      </c>
      <c r="Q500" t="n">
        <v>0</v>
      </c>
      <c r="R500" s="2" t="inlineStr"/>
    </row>
    <row r="501" ht="15" customHeight="1">
      <c r="A501" t="inlineStr">
        <is>
          <t>A 30347-2024</t>
        </is>
      </c>
      <c r="B501" s="1" t="n">
        <v>45490.95515046296</v>
      </c>
      <c r="C501" s="1" t="n">
        <v>46079</v>
      </c>
      <c r="D501" t="inlineStr">
        <is>
          <t>VÄSTERNORRLANDS LÄN</t>
        </is>
      </c>
      <c r="E501" t="inlineStr">
        <is>
          <t>ÅNGE</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9382-2025</t>
        </is>
      </c>
      <c r="B502" s="1" t="n">
        <v>45715.34425925926</v>
      </c>
      <c r="C502" s="1" t="n">
        <v>46079</v>
      </c>
      <c r="D502" t="inlineStr">
        <is>
          <t>VÄSTERNORRLANDS LÄN</t>
        </is>
      </c>
      <c r="E502" t="inlineStr">
        <is>
          <t>ÅNGE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12581-2024</t>
        </is>
      </c>
      <c r="B503" s="1" t="n">
        <v>45379</v>
      </c>
      <c r="C503" s="1" t="n">
        <v>46079</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1711-2025</t>
        </is>
      </c>
      <c r="B504" s="1" t="n">
        <v>45671.31184027778</v>
      </c>
      <c r="C504" s="1" t="n">
        <v>46079</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42043-2024</t>
        </is>
      </c>
      <c r="B505" s="1" t="n">
        <v>45561</v>
      </c>
      <c r="C505" s="1" t="n">
        <v>46079</v>
      </c>
      <c r="D505" t="inlineStr">
        <is>
          <t>VÄSTERNORRLANDS LÄN</t>
        </is>
      </c>
      <c r="E505" t="inlineStr">
        <is>
          <t>ÅNGE</t>
        </is>
      </c>
      <c r="G505" t="n">
        <v>3.1</v>
      </c>
      <c r="H505" t="n">
        <v>0</v>
      </c>
      <c r="I505" t="n">
        <v>0</v>
      </c>
      <c r="J505" t="n">
        <v>0</v>
      </c>
      <c r="K505" t="n">
        <v>0</v>
      </c>
      <c r="L505" t="n">
        <v>0</v>
      </c>
      <c r="M505" t="n">
        <v>0</v>
      </c>
      <c r="N505" t="n">
        <v>0</v>
      </c>
      <c r="O505" t="n">
        <v>0</v>
      </c>
      <c r="P505" t="n">
        <v>0</v>
      </c>
      <c r="Q505" t="n">
        <v>0</v>
      </c>
      <c r="R505" s="2" t="inlineStr"/>
    </row>
    <row r="506" ht="15" customHeight="1">
      <c r="A506" t="inlineStr">
        <is>
          <t>A 42046-2024</t>
        </is>
      </c>
      <c r="B506" s="1" t="n">
        <v>45561.83422453704</v>
      </c>
      <c r="C506" s="1" t="n">
        <v>46079</v>
      </c>
      <c r="D506" t="inlineStr">
        <is>
          <t>VÄSTERNORRLANDS LÄN</t>
        </is>
      </c>
      <c r="E506" t="inlineStr">
        <is>
          <t>ÅNGE</t>
        </is>
      </c>
      <c r="G506" t="n">
        <v>0.6</v>
      </c>
      <c r="H506" t="n">
        <v>0</v>
      </c>
      <c r="I506" t="n">
        <v>0</v>
      </c>
      <c r="J506" t="n">
        <v>0</v>
      </c>
      <c r="K506" t="n">
        <v>0</v>
      </c>
      <c r="L506" t="n">
        <v>0</v>
      </c>
      <c r="M506" t="n">
        <v>0</v>
      </c>
      <c r="N506" t="n">
        <v>0</v>
      </c>
      <c r="O506" t="n">
        <v>0</v>
      </c>
      <c r="P506" t="n">
        <v>0</v>
      </c>
      <c r="Q506" t="n">
        <v>0</v>
      </c>
      <c r="R506" s="2" t="inlineStr"/>
    </row>
    <row r="507" ht="15" customHeight="1">
      <c r="A507" t="inlineStr">
        <is>
          <t>A 55177-2024</t>
        </is>
      </c>
      <c r="B507" s="1" t="n">
        <v>45621.53179398148</v>
      </c>
      <c r="C507" s="1" t="n">
        <v>46079</v>
      </c>
      <c r="D507" t="inlineStr">
        <is>
          <t>VÄSTERNORRLANDS LÄN</t>
        </is>
      </c>
      <c r="E507" t="inlineStr">
        <is>
          <t>ÅNGE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55751-2024</t>
        </is>
      </c>
      <c r="B508" s="1" t="n">
        <v>45623.34409722222</v>
      </c>
      <c r="C508" s="1" t="n">
        <v>46079</v>
      </c>
      <c r="D508" t="inlineStr">
        <is>
          <t>VÄSTERNORRLANDS LÄN</t>
        </is>
      </c>
      <c r="E508" t="inlineStr">
        <is>
          <t>ÅNGE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24231-2024</t>
        </is>
      </c>
      <c r="B509" s="1" t="n">
        <v>45457.34393518518</v>
      </c>
      <c r="C509" s="1" t="n">
        <v>46079</v>
      </c>
      <c r="D509" t="inlineStr">
        <is>
          <t>VÄSTERNORRLANDS LÄN</t>
        </is>
      </c>
      <c r="E509" t="inlineStr">
        <is>
          <t>ÅNGE</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43096-2023</t>
        </is>
      </c>
      <c r="B510" s="1" t="n">
        <v>45182</v>
      </c>
      <c r="C510" s="1" t="n">
        <v>46079</v>
      </c>
      <c r="D510" t="inlineStr">
        <is>
          <t>VÄSTERNORRLANDS LÄN</t>
        </is>
      </c>
      <c r="E510" t="inlineStr">
        <is>
          <t>ÅNGE</t>
        </is>
      </c>
      <c r="G510" t="n">
        <v>0.4</v>
      </c>
      <c r="H510" t="n">
        <v>0</v>
      </c>
      <c r="I510" t="n">
        <v>0</v>
      </c>
      <c r="J510" t="n">
        <v>0</v>
      </c>
      <c r="K510" t="n">
        <v>0</v>
      </c>
      <c r="L510" t="n">
        <v>0</v>
      </c>
      <c r="M510" t="n">
        <v>0</v>
      </c>
      <c r="N510" t="n">
        <v>0</v>
      </c>
      <c r="O510" t="n">
        <v>0</v>
      </c>
      <c r="P510" t="n">
        <v>0</v>
      </c>
      <c r="Q510" t="n">
        <v>0</v>
      </c>
      <c r="R510" s="2" t="inlineStr"/>
    </row>
    <row r="511" ht="15" customHeight="1">
      <c r="A511" t="inlineStr">
        <is>
          <t>A 56232-2024</t>
        </is>
      </c>
      <c r="B511" s="1" t="n">
        <v>45624</v>
      </c>
      <c r="C511" s="1" t="n">
        <v>46079</v>
      </c>
      <c r="D511" t="inlineStr">
        <is>
          <t>VÄSTERNORRLANDS LÄN</t>
        </is>
      </c>
      <c r="E511" t="inlineStr">
        <is>
          <t>ÅNGE</t>
        </is>
      </c>
      <c r="G511" t="n">
        <v>1.1</v>
      </c>
      <c r="H511" t="n">
        <v>0</v>
      </c>
      <c r="I511" t="n">
        <v>0</v>
      </c>
      <c r="J511" t="n">
        <v>0</v>
      </c>
      <c r="K511" t="n">
        <v>0</v>
      </c>
      <c r="L511" t="n">
        <v>0</v>
      </c>
      <c r="M511" t="n">
        <v>0</v>
      </c>
      <c r="N511" t="n">
        <v>0</v>
      </c>
      <c r="O511" t="n">
        <v>0</v>
      </c>
      <c r="P511" t="n">
        <v>0</v>
      </c>
      <c r="Q511" t="n">
        <v>0</v>
      </c>
      <c r="R511" s="2" t="inlineStr"/>
    </row>
    <row r="512" ht="15" customHeight="1">
      <c r="A512" t="inlineStr">
        <is>
          <t>A 44635-2024</t>
        </is>
      </c>
      <c r="B512" s="1" t="n">
        <v>45574.51488425926</v>
      </c>
      <c r="C512" s="1" t="n">
        <v>46079</v>
      </c>
      <c r="D512" t="inlineStr">
        <is>
          <t>VÄSTERNORRLANDS LÄN</t>
        </is>
      </c>
      <c r="E512" t="inlineStr">
        <is>
          <t>ÅNGE</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3322-2025</t>
        </is>
      </c>
      <c r="B513" s="1" t="n">
        <v>45679.6989699074</v>
      </c>
      <c r="C513" s="1" t="n">
        <v>46079</v>
      </c>
      <c r="D513" t="inlineStr">
        <is>
          <t>VÄSTERNORRLANDS LÄN</t>
        </is>
      </c>
      <c r="E513" t="inlineStr">
        <is>
          <t>ÅNGE</t>
        </is>
      </c>
      <c r="F513" t="inlineStr">
        <is>
          <t>SCA</t>
        </is>
      </c>
      <c r="G513" t="n">
        <v>11.1</v>
      </c>
      <c r="H513" t="n">
        <v>0</v>
      </c>
      <c r="I513" t="n">
        <v>0</v>
      </c>
      <c r="J513" t="n">
        <v>0</v>
      </c>
      <c r="K513" t="n">
        <v>0</v>
      </c>
      <c r="L513" t="n">
        <v>0</v>
      </c>
      <c r="M513" t="n">
        <v>0</v>
      </c>
      <c r="N513" t="n">
        <v>0</v>
      </c>
      <c r="O513" t="n">
        <v>0</v>
      </c>
      <c r="P513" t="n">
        <v>0</v>
      </c>
      <c r="Q513" t="n">
        <v>0</v>
      </c>
      <c r="R513" s="2" t="inlineStr"/>
    </row>
    <row r="514" ht="15" customHeight="1">
      <c r="A514" t="inlineStr">
        <is>
          <t>A 3327-2025</t>
        </is>
      </c>
      <c r="B514" s="1" t="n">
        <v>45679.69967592593</v>
      </c>
      <c r="C514" s="1" t="n">
        <v>46079</v>
      </c>
      <c r="D514" t="inlineStr">
        <is>
          <t>VÄSTERNORRLANDS LÄN</t>
        </is>
      </c>
      <c r="E514" t="inlineStr">
        <is>
          <t>ÅNGE</t>
        </is>
      </c>
      <c r="F514" t="inlineStr">
        <is>
          <t>SCA</t>
        </is>
      </c>
      <c r="G514" t="n">
        <v>12.9</v>
      </c>
      <c r="H514" t="n">
        <v>0</v>
      </c>
      <c r="I514" t="n">
        <v>0</v>
      </c>
      <c r="J514" t="n">
        <v>0</v>
      </c>
      <c r="K514" t="n">
        <v>0</v>
      </c>
      <c r="L514" t="n">
        <v>0</v>
      </c>
      <c r="M514" t="n">
        <v>0</v>
      </c>
      <c r="N514" t="n">
        <v>0</v>
      </c>
      <c r="O514" t="n">
        <v>0</v>
      </c>
      <c r="P514" t="n">
        <v>0</v>
      </c>
      <c r="Q514" t="n">
        <v>0</v>
      </c>
      <c r="R514" s="2" t="inlineStr"/>
    </row>
    <row r="515" ht="15" customHeight="1">
      <c r="A515" t="inlineStr">
        <is>
          <t>A 13773-2024</t>
        </is>
      </c>
      <c r="B515" s="1" t="n">
        <v>45390.95297453704</v>
      </c>
      <c r="C515" s="1" t="n">
        <v>46079</v>
      </c>
      <c r="D515" t="inlineStr">
        <is>
          <t>VÄSTERNORRLANDS LÄN</t>
        </is>
      </c>
      <c r="E515" t="inlineStr">
        <is>
          <t>ÅNGE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16191-2023</t>
        </is>
      </c>
      <c r="B516" s="1" t="n">
        <v>45027.94111111111</v>
      </c>
      <c r="C516" s="1" t="n">
        <v>46079</v>
      </c>
      <c r="D516" t="inlineStr">
        <is>
          <t>VÄSTERNORRLANDS LÄN</t>
        </is>
      </c>
      <c r="E516" t="inlineStr">
        <is>
          <t>ÅNGE</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3947-2025</t>
        </is>
      </c>
      <c r="B517" s="1" t="n">
        <v>45684.49001157407</v>
      </c>
      <c r="C517" s="1" t="n">
        <v>46079</v>
      </c>
      <c r="D517" t="inlineStr">
        <is>
          <t>VÄSTERNORRLANDS LÄN</t>
        </is>
      </c>
      <c r="E517" t="inlineStr">
        <is>
          <t>ÅNGE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9567-2024</t>
        </is>
      </c>
      <c r="B518" s="1" t="n">
        <v>45360.03635416667</v>
      </c>
      <c r="C518" s="1" t="n">
        <v>46079</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17670-2023</t>
        </is>
      </c>
      <c r="B519" s="1" t="n">
        <v>45036</v>
      </c>
      <c r="C519" s="1" t="n">
        <v>46079</v>
      </c>
      <c r="D519" t="inlineStr">
        <is>
          <t>VÄSTERNORRLANDS LÄN</t>
        </is>
      </c>
      <c r="E519" t="inlineStr">
        <is>
          <t>ÅNGE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15603-2024</t>
        </is>
      </c>
      <c r="B520" s="1" t="n">
        <v>45401.92501157407</v>
      </c>
      <c r="C520" s="1" t="n">
        <v>46079</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59412-2024</t>
        </is>
      </c>
      <c r="B521" s="1" t="n">
        <v>45638</v>
      </c>
      <c r="C521" s="1" t="n">
        <v>46079</v>
      </c>
      <c r="D521" t="inlineStr">
        <is>
          <t>VÄSTERNORRLANDS LÄN</t>
        </is>
      </c>
      <c r="E521" t="inlineStr">
        <is>
          <t>ÅNGE</t>
        </is>
      </c>
      <c r="G521" t="n">
        <v>0.6</v>
      </c>
      <c r="H521" t="n">
        <v>0</v>
      </c>
      <c r="I521" t="n">
        <v>0</v>
      </c>
      <c r="J521" t="n">
        <v>0</v>
      </c>
      <c r="K521" t="n">
        <v>0</v>
      </c>
      <c r="L521" t="n">
        <v>0</v>
      </c>
      <c r="M521" t="n">
        <v>0</v>
      </c>
      <c r="N521" t="n">
        <v>0</v>
      </c>
      <c r="O521" t="n">
        <v>0</v>
      </c>
      <c r="P521" t="n">
        <v>0</v>
      </c>
      <c r="Q521" t="n">
        <v>0</v>
      </c>
      <c r="R521" s="2" t="inlineStr"/>
    </row>
    <row r="522" ht="15" customHeight="1">
      <c r="A522" t="inlineStr">
        <is>
          <t>A 51311-2022</t>
        </is>
      </c>
      <c r="B522" s="1" t="n">
        <v>44868</v>
      </c>
      <c r="C522" s="1" t="n">
        <v>46079</v>
      </c>
      <c r="D522" t="inlineStr">
        <is>
          <t>VÄSTERNORRLANDS LÄN</t>
        </is>
      </c>
      <c r="E522" t="inlineStr">
        <is>
          <t>ÅNGE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44518-2024</t>
        </is>
      </c>
      <c r="B523" s="1" t="n">
        <v>45574.43376157407</v>
      </c>
      <c r="C523" s="1" t="n">
        <v>46079</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33428-2023</t>
        </is>
      </c>
      <c r="B524" s="1" t="n">
        <v>45128.94976851852</v>
      </c>
      <c r="C524" s="1" t="n">
        <v>46079</v>
      </c>
      <c r="D524" t="inlineStr">
        <is>
          <t>VÄSTERNORRLANDS LÄN</t>
        </is>
      </c>
      <c r="E524" t="inlineStr">
        <is>
          <t>ÅNGE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51124-2024</t>
        </is>
      </c>
      <c r="B525" s="1" t="n">
        <v>45603.50716435185</v>
      </c>
      <c r="C525" s="1" t="n">
        <v>46079</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34815-2024</t>
        </is>
      </c>
      <c r="B526" s="1" t="n">
        <v>45526.70732638889</v>
      </c>
      <c r="C526" s="1" t="n">
        <v>46079</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52804-2024</t>
        </is>
      </c>
      <c r="B527" s="1" t="n">
        <v>45610.57322916666</v>
      </c>
      <c r="C527" s="1" t="n">
        <v>46079</v>
      </c>
      <c r="D527" t="inlineStr">
        <is>
          <t>VÄSTERNORRLANDS LÄN</t>
        </is>
      </c>
      <c r="E527" t="inlineStr">
        <is>
          <t>ÅNGE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56399-2022</t>
        </is>
      </c>
      <c r="B528" s="1" t="n">
        <v>44890</v>
      </c>
      <c r="C528" s="1" t="n">
        <v>46079</v>
      </c>
      <c r="D528" t="inlineStr">
        <is>
          <t>VÄSTERNORRLANDS LÄN</t>
        </is>
      </c>
      <c r="E528" t="inlineStr">
        <is>
          <t>ÅNGE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21151-2024</t>
        </is>
      </c>
      <c r="B529" s="1" t="n">
        <v>45440</v>
      </c>
      <c r="C529" s="1" t="n">
        <v>46079</v>
      </c>
      <c r="D529" t="inlineStr">
        <is>
          <t>VÄSTERNORRLANDS LÄN</t>
        </is>
      </c>
      <c r="E529" t="inlineStr">
        <is>
          <t>ÅNGE</t>
        </is>
      </c>
      <c r="G529" t="n">
        <v>3.7</v>
      </c>
      <c r="H529" t="n">
        <v>0</v>
      </c>
      <c r="I529" t="n">
        <v>0</v>
      </c>
      <c r="J529" t="n">
        <v>0</v>
      </c>
      <c r="K529" t="n">
        <v>0</v>
      </c>
      <c r="L529" t="n">
        <v>0</v>
      </c>
      <c r="M529" t="n">
        <v>0</v>
      </c>
      <c r="N529" t="n">
        <v>0</v>
      </c>
      <c r="O529" t="n">
        <v>0</v>
      </c>
      <c r="P529" t="n">
        <v>0</v>
      </c>
      <c r="Q529" t="n">
        <v>0</v>
      </c>
      <c r="R529" s="2" t="inlineStr"/>
    </row>
    <row r="530" ht="15" customHeight="1">
      <c r="A530" t="inlineStr">
        <is>
          <t>A 50674-2024</t>
        </is>
      </c>
      <c r="B530" s="1" t="n">
        <v>45601.85402777778</v>
      </c>
      <c r="C530" s="1" t="n">
        <v>46079</v>
      </c>
      <c r="D530" t="inlineStr">
        <is>
          <t>VÄSTERNORRLANDS LÄN</t>
        </is>
      </c>
      <c r="E530" t="inlineStr">
        <is>
          <t>ÅNGE</t>
        </is>
      </c>
      <c r="G530" t="n">
        <v>1.2</v>
      </c>
      <c r="H530" t="n">
        <v>0</v>
      </c>
      <c r="I530" t="n">
        <v>0</v>
      </c>
      <c r="J530" t="n">
        <v>0</v>
      </c>
      <c r="K530" t="n">
        <v>0</v>
      </c>
      <c r="L530" t="n">
        <v>0</v>
      </c>
      <c r="M530" t="n">
        <v>0</v>
      </c>
      <c r="N530" t="n">
        <v>0</v>
      </c>
      <c r="O530" t="n">
        <v>0</v>
      </c>
      <c r="P530" t="n">
        <v>0</v>
      </c>
      <c r="Q530" t="n">
        <v>0</v>
      </c>
      <c r="R530" s="2" t="inlineStr"/>
    </row>
    <row r="531" ht="15" customHeight="1">
      <c r="A531" t="inlineStr">
        <is>
          <t>A 54720-2024</t>
        </is>
      </c>
      <c r="B531" s="1" t="n">
        <v>45618.43715277778</v>
      </c>
      <c r="C531" s="1" t="n">
        <v>46079</v>
      </c>
      <c r="D531" t="inlineStr">
        <is>
          <t>VÄSTERNORRLANDS LÄN</t>
        </is>
      </c>
      <c r="E531" t="inlineStr">
        <is>
          <t>ÅNGE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53336-2024</t>
        </is>
      </c>
      <c r="B532" s="1" t="n">
        <v>45614.42753472222</v>
      </c>
      <c r="C532" s="1" t="n">
        <v>46079</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28506-2024</t>
        </is>
      </c>
      <c r="B533" s="1" t="n">
        <v>45477.9475</v>
      </c>
      <c r="C533" s="1" t="n">
        <v>46079</v>
      </c>
      <c r="D533" t="inlineStr">
        <is>
          <t>VÄSTERNORRLANDS LÄN</t>
        </is>
      </c>
      <c r="E533" t="inlineStr">
        <is>
          <t>ÅNGE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57598-2022</t>
        </is>
      </c>
      <c r="B534" s="1" t="n">
        <v>44896</v>
      </c>
      <c r="C534" s="1" t="n">
        <v>46079</v>
      </c>
      <c r="D534" t="inlineStr">
        <is>
          <t>VÄSTERNORRLANDS LÄN</t>
        </is>
      </c>
      <c r="E534" t="inlineStr">
        <is>
          <t>ÅNGE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1420-2023</t>
        </is>
      </c>
      <c r="B535" s="1" t="n">
        <v>44936.92762731481</v>
      </c>
      <c r="C535" s="1" t="n">
        <v>46079</v>
      </c>
      <c r="D535" t="inlineStr">
        <is>
          <t>VÄSTERNORRLANDS LÄN</t>
        </is>
      </c>
      <c r="E535" t="inlineStr">
        <is>
          <t>ÅNGE</t>
        </is>
      </c>
      <c r="G535" t="n">
        <v>3.7</v>
      </c>
      <c r="H535" t="n">
        <v>0</v>
      </c>
      <c r="I535" t="n">
        <v>0</v>
      </c>
      <c r="J535" t="n">
        <v>0</v>
      </c>
      <c r="K535" t="n">
        <v>0</v>
      </c>
      <c r="L535" t="n">
        <v>0</v>
      </c>
      <c r="M535" t="n">
        <v>0</v>
      </c>
      <c r="N535" t="n">
        <v>0</v>
      </c>
      <c r="O535" t="n">
        <v>0</v>
      </c>
      <c r="P535" t="n">
        <v>0</v>
      </c>
      <c r="Q535" t="n">
        <v>0</v>
      </c>
      <c r="R535" s="2" t="inlineStr"/>
    </row>
    <row r="536" ht="15" customHeight="1">
      <c r="A536" t="inlineStr">
        <is>
          <t>A 13706-2023</t>
        </is>
      </c>
      <c r="B536" s="1" t="n">
        <v>45006</v>
      </c>
      <c r="C536" s="1" t="n">
        <v>46079</v>
      </c>
      <c r="D536" t="inlineStr">
        <is>
          <t>VÄSTERNORRLANDS LÄN</t>
        </is>
      </c>
      <c r="E536" t="inlineStr">
        <is>
          <t>ÅNGE</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60205-2023</t>
        </is>
      </c>
      <c r="B537" s="1" t="n">
        <v>45257</v>
      </c>
      <c r="C537" s="1" t="n">
        <v>46079</v>
      </c>
      <c r="D537" t="inlineStr">
        <is>
          <t>VÄSTERNORRLANDS LÄN</t>
        </is>
      </c>
      <c r="E537" t="inlineStr">
        <is>
          <t>ÅNGE</t>
        </is>
      </c>
      <c r="G537" t="n">
        <v>2.1</v>
      </c>
      <c r="H537" t="n">
        <v>0</v>
      </c>
      <c r="I537" t="n">
        <v>0</v>
      </c>
      <c r="J537" t="n">
        <v>0</v>
      </c>
      <c r="K537" t="n">
        <v>0</v>
      </c>
      <c r="L537" t="n">
        <v>0</v>
      </c>
      <c r="M537" t="n">
        <v>0</v>
      </c>
      <c r="N537" t="n">
        <v>0</v>
      </c>
      <c r="O537" t="n">
        <v>0</v>
      </c>
      <c r="P537" t="n">
        <v>0</v>
      </c>
      <c r="Q537" t="n">
        <v>0</v>
      </c>
      <c r="R537" s="2" t="inlineStr"/>
    </row>
    <row r="538" ht="15" customHeight="1">
      <c r="A538" t="inlineStr">
        <is>
          <t>A 33631-2024</t>
        </is>
      </c>
      <c r="B538" s="1" t="n">
        <v>45520</v>
      </c>
      <c r="C538" s="1" t="n">
        <v>46079</v>
      </c>
      <c r="D538" t="inlineStr">
        <is>
          <t>VÄSTERNORRLANDS LÄN</t>
        </is>
      </c>
      <c r="E538" t="inlineStr">
        <is>
          <t>ÅNGE</t>
        </is>
      </c>
      <c r="G538" t="n">
        <v>1.7</v>
      </c>
      <c r="H538" t="n">
        <v>0</v>
      </c>
      <c r="I538" t="n">
        <v>0</v>
      </c>
      <c r="J538" t="n">
        <v>0</v>
      </c>
      <c r="K538" t="n">
        <v>0</v>
      </c>
      <c r="L538" t="n">
        <v>0</v>
      </c>
      <c r="M538" t="n">
        <v>0</v>
      </c>
      <c r="N538" t="n">
        <v>0</v>
      </c>
      <c r="O538" t="n">
        <v>0</v>
      </c>
      <c r="P538" t="n">
        <v>0</v>
      </c>
      <c r="Q538" t="n">
        <v>0</v>
      </c>
      <c r="R538" s="2" t="inlineStr"/>
    </row>
    <row r="539" ht="15" customHeight="1">
      <c r="A539" t="inlineStr">
        <is>
          <t>A 6462-2024</t>
        </is>
      </c>
      <c r="B539" s="1" t="n">
        <v>45338</v>
      </c>
      <c r="C539" s="1" t="n">
        <v>46079</v>
      </c>
      <c r="D539" t="inlineStr">
        <is>
          <t>VÄSTERNORRLANDS LÄN</t>
        </is>
      </c>
      <c r="E539" t="inlineStr">
        <is>
          <t>ÅNGE</t>
        </is>
      </c>
      <c r="F539" t="inlineStr">
        <is>
          <t>Kyrkan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44876-2024</t>
        </is>
      </c>
      <c r="B540" s="1" t="n">
        <v>45575.34474537037</v>
      </c>
      <c r="C540" s="1" t="n">
        <v>46079</v>
      </c>
      <c r="D540" t="inlineStr">
        <is>
          <t>VÄSTERNORRLANDS LÄN</t>
        </is>
      </c>
      <c r="E540" t="inlineStr">
        <is>
          <t>ÅNGE</t>
        </is>
      </c>
      <c r="F540" t="inlineStr">
        <is>
          <t>SCA</t>
        </is>
      </c>
      <c r="G540" t="n">
        <v>12.4</v>
      </c>
      <c r="H540" t="n">
        <v>0</v>
      </c>
      <c r="I540" t="n">
        <v>0</v>
      </c>
      <c r="J540" t="n">
        <v>0</v>
      </c>
      <c r="K540" t="n">
        <v>0</v>
      </c>
      <c r="L540" t="n">
        <v>0</v>
      </c>
      <c r="M540" t="n">
        <v>0</v>
      </c>
      <c r="N540" t="n">
        <v>0</v>
      </c>
      <c r="O540" t="n">
        <v>0</v>
      </c>
      <c r="P540" t="n">
        <v>0</v>
      </c>
      <c r="Q540" t="n">
        <v>0</v>
      </c>
      <c r="R540" s="2" t="inlineStr"/>
    </row>
    <row r="541" ht="15" customHeight="1">
      <c r="A541" t="inlineStr">
        <is>
          <t>A 11088-2024</t>
        </is>
      </c>
      <c r="B541" s="1" t="n">
        <v>45370</v>
      </c>
      <c r="C541" s="1" t="n">
        <v>46079</v>
      </c>
      <c r="D541" t="inlineStr">
        <is>
          <t>VÄSTERNORRLANDS LÄN</t>
        </is>
      </c>
      <c r="E541" t="inlineStr">
        <is>
          <t>ÅNGE</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26490-2024</t>
        </is>
      </c>
      <c r="B542" s="1" t="n">
        <v>45469</v>
      </c>
      <c r="C542" s="1" t="n">
        <v>46079</v>
      </c>
      <c r="D542" t="inlineStr">
        <is>
          <t>VÄSTERNORRLANDS LÄN</t>
        </is>
      </c>
      <c r="E542" t="inlineStr">
        <is>
          <t>ÅNGE</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26012-2024</t>
        </is>
      </c>
      <c r="B543" s="1" t="n">
        <v>45467</v>
      </c>
      <c r="C543" s="1" t="n">
        <v>46079</v>
      </c>
      <c r="D543" t="inlineStr">
        <is>
          <t>VÄSTERNORRLANDS LÄN</t>
        </is>
      </c>
      <c r="E543" t="inlineStr">
        <is>
          <t>ÅNGE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1975-2025</t>
        </is>
      </c>
      <c r="B544" s="1" t="n">
        <v>45672.39332175926</v>
      </c>
      <c r="C544" s="1" t="n">
        <v>46079</v>
      </c>
      <c r="D544" t="inlineStr">
        <is>
          <t>VÄSTERNORRLANDS LÄN</t>
        </is>
      </c>
      <c r="E544" t="inlineStr">
        <is>
          <t>ÅNGE</t>
        </is>
      </c>
      <c r="G544" t="n">
        <v>6.2</v>
      </c>
      <c r="H544" t="n">
        <v>0</v>
      </c>
      <c r="I544" t="n">
        <v>0</v>
      </c>
      <c r="J544" t="n">
        <v>0</v>
      </c>
      <c r="K544" t="n">
        <v>0</v>
      </c>
      <c r="L544" t="n">
        <v>0</v>
      </c>
      <c r="M544" t="n">
        <v>0</v>
      </c>
      <c r="N544" t="n">
        <v>0</v>
      </c>
      <c r="O544" t="n">
        <v>0</v>
      </c>
      <c r="P544" t="n">
        <v>0</v>
      </c>
      <c r="Q544" t="n">
        <v>0</v>
      </c>
      <c r="R544" s="2" t="inlineStr"/>
    </row>
    <row r="545" ht="15" customHeight="1">
      <c r="A545" t="inlineStr">
        <is>
          <t>A 30348-2024</t>
        </is>
      </c>
      <c r="B545" s="1" t="n">
        <v>45490.95524305556</v>
      </c>
      <c r="C545" s="1" t="n">
        <v>46079</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31457-2024</t>
        </is>
      </c>
      <c r="B546" s="1" t="n">
        <v>45505</v>
      </c>
      <c r="C546" s="1" t="n">
        <v>46079</v>
      </c>
      <c r="D546" t="inlineStr">
        <is>
          <t>VÄSTERNORRLANDS LÄN</t>
        </is>
      </c>
      <c r="E546" t="inlineStr">
        <is>
          <t>ÅNGE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33429-2023</t>
        </is>
      </c>
      <c r="B547" s="1" t="n">
        <v>45128.94983796297</v>
      </c>
      <c r="C547" s="1" t="n">
        <v>46079</v>
      </c>
      <c r="D547" t="inlineStr">
        <is>
          <t>VÄSTERNORRLANDS LÄN</t>
        </is>
      </c>
      <c r="E547" t="inlineStr">
        <is>
          <t>ÅNGE</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48787-2024</t>
        </is>
      </c>
      <c r="B548" s="1" t="n">
        <v>45593.63888888889</v>
      </c>
      <c r="C548" s="1" t="n">
        <v>46079</v>
      </c>
      <c r="D548" t="inlineStr">
        <is>
          <t>VÄSTERNORRLANDS LÄN</t>
        </is>
      </c>
      <c r="E548" t="inlineStr">
        <is>
          <t>ÅNGE</t>
        </is>
      </c>
      <c r="G548" t="n">
        <v>1.7</v>
      </c>
      <c r="H548" t="n">
        <v>0</v>
      </c>
      <c r="I548" t="n">
        <v>0</v>
      </c>
      <c r="J548" t="n">
        <v>0</v>
      </c>
      <c r="K548" t="n">
        <v>0</v>
      </c>
      <c r="L548" t="n">
        <v>0</v>
      </c>
      <c r="M548" t="n">
        <v>0</v>
      </c>
      <c r="N548" t="n">
        <v>0</v>
      </c>
      <c r="O548" t="n">
        <v>0</v>
      </c>
      <c r="P548" t="n">
        <v>0</v>
      </c>
      <c r="Q548" t="n">
        <v>0</v>
      </c>
      <c r="R548" s="2" t="inlineStr"/>
    </row>
    <row r="549" ht="15" customHeight="1">
      <c r="A549" t="inlineStr">
        <is>
          <t>A 58939-2021</t>
        </is>
      </c>
      <c r="B549" s="1" t="n">
        <v>44489</v>
      </c>
      <c r="C549" s="1" t="n">
        <v>46079</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35392-2024</t>
        </is>
      </c>
      <c r="B550" s="1" t="n">
        <v>45531.4025462963</v>
      </c>
      <c r="C550" s="1" t="n">
        <v>46079</v>
      </c>
      <c r="D550" t="inlineStr">
        <is>
          <t>VÄSTERNORRLANDS LÄN</t>
        </is>
      </c>
      <c r="E550" t="inlineStr">
        <is>
          <t>ÅNGE</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20576-2021</t>
        </is>
      </c>
      <c r="B551" s="1" t="n">
        <v>44316.3290162037</v>
      </c>
      <c r="C551" s="1" t="n">
        <v>46079</v>
      </c>
      <c r="D551" t="inlineStr">
        <is>
          <t>VÄSTERNORRLANDS LÄN</t>
        </is>
      </c>
      <c r="E551" t="inlineStr">
        <is>
          <t>ÅNGE</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43066-2022</t>
        </is>
      </c>
      <c r="B552" s="1" t="n">
        <v>44833</v>
      </c>
      <c r="C552" s="1" t="n">
        <v>46079</v>
      </c>
      <c r="D552" t="inlineStr">
        <is>
          <t>VÄSTERNORRLANDS LÄN</t>
        </is>
      </c>
      <c r="E552" t="inlineStr">
        <is>
          <t>ÅNGE</t>
        </is>
      </c>
      <c r="G552" t="n">
        <v>1.2</v>
      </c>
      <c r="H552" t="n">
        <v>0</v>
      </c>
      <c r="I552" t="n">
        <v>0</v>
      </c>
      <c r="J552" t="n">
        <v>0</v>
      </c>
      <c r="K552" t="n">
        <v>0</v>
      </c>
      <c r="L552" t="n">
        <v>0</v>
      </c>
      <c r="M552" t="n">
        <v>0</v>
      </c>
      <c r="N552" t="n">
        <v>0</v>
      </c>
      <c r="O552" t="n">
        <v>0</v>
      </c>
      <c r="P552" t="n">
        <v>0</v>
      </c>
      <c r="Q552" t="n">
        <v>0</v>
      </c>
      <c r="R552" s="2" t="inlineStr"/>
    </row>
    <row r="553" ht="15" customHeight="1">
      <c r="A553" t="inlineStr">
        <is>
          <t>A 33747-2024</t>
        </is>
      </c>
      <c r="B553" s="1" t="n">
        <v>45520</v>
      </c>
      <c r="C553" s="1" t="n">
        <v>46079</v>
      </c>
      <c r="D553" t="inlineStr">
        <is>
          <t>VÄSTERNORRLANDS LÄN</t>
        </is>
      </c>
      <c r="E553" t="inlineStr">
        <is>
          <t>ÅNGE</t>
        </is>
      </c>
      <c r="G553" t="n">
        <v>0.7</v>
      </c>
      <c r="H553" t="n">
        <v>0</v>
      </c>
      <c r="I553" t="n">
        <v>0</v>
      </c>
      <c r="J553" t="n">
        <v>0</v>
      </c>
      <c r="K553" t="n">
        <v>0</v>
      </c>
      <c r="L553" t="n">
        <v>0</v>
      </c>
      <c r="M553" t="n">
        <v>0</v>
      </c>
      <c r="N553" t="n">
        <v>0</v>
      </c>
      <c r="O553" t="n">
        <v>0</v>
      </c>
      <c r="P553" t="n">
        <v>0</v>
      </c>
      <c r="Q553" t="n">
        <v>0</v>
      </c>
      <c r="R553" s="2" t="inlineStr"/>
    </row>
    <row r="554" ht="15" customHeight="1">
      <c r="A554" t="inlineStr">
        <is>
          <t>A 34754-2024</t>
        </is>
      </c>
      <c r="B554" s="1" t="n">
        <v>45526</v>
      </c>
      <c r="C554" s="1" t="n">
        <v>46079</v>
      </c>
      <c r="D554" t="inlineStr">
        <is>
          <t>VÄSTERNORRLANDS LÄN</t>
        </is>
      </c>
      <c r="E554" t="inlineStr">
        <is>
          <t>ÅNGE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57595-2022</t>
        </is>
      </c>
      <c r="B555" s="1" t="n">
        <v>44896.97862268519</v>
      </c>
      <c r="C555" s="1" t="n">
        <v>46079</v>
      </c>
      <c r="D555" t="inlineStr">
        <is>
          <t>VÄSTERNORRLANDS LÄN</t>
        </is>
      </c>
      <c r="E555" t="inlineStr">
        <is>
          <t>ÅNGE</t>
        </is>
      </c>
      <c r="F555" t="inlineStr">
        <is>
          <t>SCA</t>
        </is>
      </c>
      <c r="G555" t="n">
        <v>4.7</v>
      </c>
      <c r="H555" t="n">
        <v>0</v>
      </c>
      <c r="I555" t="n">
        <v>0</v>
      </c>
      <c r="J555" t="n">
        <v>0</v>
      </c>
      <c r="K555" t="n">
        <v>0</v>
      </c>
      <c r="L555" t="n">
        <v>0</v>
      </c>
      <c r="M555" t="n">
        <v>0</v>
      </c>
      <c r="N555" t="n">
        <v>0</v>
      </c>
      <c r="O555" t="n">
        <v>0</v>
      </c>
      <c r="P555" t="n">
        <v>0</v>
      </c>
      <c r="Q555" t="n">
        <v>0</v>
      </c>
      <c r="R555" s="2" t="inlineStr"/>
    </row>
    <row r="556" ht="15" customHeight="1">
      <c r="A556" t="inlineStr">
        <is>
          <t>A 22411-2023</t>
        </is>
      </c>
      <c r="B556" s="1" t="n">
        <v>45070</v>
      </c>
      <c r="C556" s="1" t="n">
        <v>46079</v>
      </c>
      <c r="D556" t="inlineStr">
        <is>
          <t>VÄSTERNORRLANDS LÄN</t>
        </is>
      </c>
      <c r="E556" t="inlineStr">
        <is>
          <t>ÅNGE</t>
        </is>
      </c>
      <c r="G556" t="n">
        <v>2.8</v>
      </c>
      <c r="H556" t="n">
        <v>0</v>
      </c>
      <c r="I556" t="n">
        <v>0</v>
      </c>
      <c r="J556" t="n">
        <v>0</v>
      </c>
      <c r="K556" t="n">
        <v>0</v>
      </c>
      <c r="L556" t="n">
        <v>0</v>
      </c>
      <c r="M556" t="n">
        <v>0</v>
      </c>
      <c r="N556" t="n">
        <v>0</v>
      </c>
      <c r="O556" t="n">
        <v>0</v>
      </c>
      <c r="P556" t="n">
        <v>0</v>
      </c>
      <c r="Q556" t="n">
        <v>0</v>
      </c>
      <c r="R556" s="2" t="inlineStr"/>
    </row>
    <row r="557" ht="15" customHeight="1">
      <c r="A557" t="inlineStr">
        <is>
          <t>A 1235-2023</t>
        </is>
      </c>
      <c r="B557" s="1" t="n">
        <v>44935</v>
      </c>
      <c r="C557" s="1" t="n">
        <v>46079</v>
      </c>
      <c r="D557" t="inlineStr">
        <is>
          <t>VÄSTERNORRLANDS LÄN</t>
        </is>
      </c>
      <c r="E557" t="inlineStr">
        <is>
          <t>ÅNGE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13501-2021</t>
        </is>
      </c>
      <c r="B558" s="1" t="n">
        <v>44273</v>
      </c>
      <c r="C558" s="1" t="n">
        <v>46079</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33302-2024</t>
        </is>
      </c>
      <c r="B559" s="1" t="n">
        <v>45518.96967592592</v>
      </c>
      <c r="C559" s="1" t="n">
        <v>46079</v>
      </c>
      <c r="D559" t="inlineStr">
        <is>
          <t>VÄSTERNORRLANDS LÄN</t>
        </is>
      </c>
      <c r="E559" t="inlineStr">
        <is>
          <t>ÅNGE</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7528-2023</t>
        </is>
      </c>
      <c r="B560" s="1" t="n">
        <v>44971.97662037037</v>
      </c>
      <c r="C560" s="1" t="n">
        <v>46079</v>
      </c>
      <c r="D560" t="inlineStr">
        <is>
          <t>VÄSTERNORRLANDS LÄN</t>
        </is>
      </c>
      <c r="E560" t="inlineStr">
        <is>
          <t>ÅNGE</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4071-2025</t>
        </is>
      </c>
      <c r="B561" s="1" t="n">
        <v>45684.63579861111</v>
      </c>
      <c r="C561" s="1" t="n">
        <v>46079</v>
      </c>
      <c r="D561" t="inlineStr">
        <is>
          <t>VÄSTERNORRLANDS LÄN</t>
        </is>
      </c>
      <c r="E561" t="inlineStr">
        <is>
          <t>ÅNGE</t>
        </is>
      </c>
      <c r="F561" t="inlineStr">
        <is>
          <t>SCA</t>
        </is>
      </c>
      <c r="G561" t="n">
        <v>13.7</v>
      </c>
      <c r="H561" t="n">
        <v>0</v>
      </c>
      <c r="I561" t="n">
        <v>0</v>
      </c>
      <c r="J561" t="n">
        <v>0</v>
      </c>
      <c r="K561" t="n">
        <v>0</v>
      </c>
      <c r="L561" t="n">
        <v>0</v>
      </c>
      <c r="M561" t="n">
        <v>0</v>
      </c>
      <c r="N561" t="n">
        <v>0</v>
      </c>
      <c r="O561" t="n">
        <v>0</v>
      </c>
      <c r="P561" t="n">
        <v>0</v>
      </c>
      <c r="Q561" t="n">
        <v>0</v>
      </c>
      <c r="R561" s="2" t="inlineStr"/>
    </row>
    <row r="562" ht="15" customHeight="1">
      <c r="A562" t="inlineStr">
        <is>
          <t>A 6619-2025</t>
        </is>
      </c>
      <c r="B562" s="1" t="n">
        <v>45700.36541666667</v>
      </c>
      <c r="C562" s="1" t="n">
        <v>46079</v>
      </c>
      <c r="D562" t="inlineStr">
        <is>
          <t>VÄSTERNORRLANDS LÄN</t>
        </is>
      </c>
      <c r="E562" t="inlineStr">
        <is>
          <t>ÅNGE</t>
        </is>
      </c>
      <c r="F562" t="inlineStr">
        <is>
          <t>SCA</t>
        </is>
      </c>
      <c r="G562" t="n">
        <v>10.3</v>
      </c>
      <c r="H562" t="n">
        <v>0</v>
      </c>
      <c r="I562" t="n">
        <v>0</v>
      </c>
      <c r="J562" t="n">
        <v>0</v>
      </c>
      <c r="K562" t="n">
        <v>0</v>
      </c>
      <c r="L562" t="n">
        <v>0</v>
      </c>
      <c r="M562" t="n">
        <v>0</v>
      </c>
      <c r="N562" t="n">
        <v>0</v>
      </c>
      <c r="O562" t="n">
        <v>0</v>
      </c>
      <c r="P562" t="n">
        <v>0</v>
      </c>
      <c r="Q562" t="n">
        <v>0</v>
      </c>
      <c r="R562" s="2" t="inlineStr"/>
    </row>
    <row r="563" ht="15" customHeight="1">
      <c r="A563" t="inlineStr">
        <is>
          <t>A 34851-2023</t>
        </is>
      </c>
      <c r="B563" s="1" t="n">
        <v>45141</v>
      </c>
      <c r="C563" s="1" t="n">
        <v>46079</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24232-2024</t>
        </is>
      </c>
      <c r="B564" s="1" t="n">
        <v>45457.34686342593</v>
      </c>
      <c r="C564" s="1" t="n">
        <v>46079</v>
      </c>
      <c r="D564" t="inlineStr">
        <is>
          <t>VÄSTERNORRLANDS LÄN</t>
        </is>
      </c>
      <c r="E564" t="inlineStr">
        <is>
          <t>ÅNGE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8070-2022</t>
        </is>
      </c>
      <c r="B565" s="1" t="n">
        <v>44609.48665509259</v>
      </c>
      <c r="C565" s="1" t="n">
        <v>46079</v>
      </c>
      <c r="D565" t="inlineStr">
        <is>
          <t>VÄSTERNORRLANDS LÄN</t>
        </is>
      </c>
      <c r="E565" t="inlineStr">
        <is>
          <t>ÅNGE</t>
        </is>
      </c>
      <c r="G565" t="n">
        <v>3.5</v>
      </c>
      <c r="H565" t="n">
        <v>0</v>
      </c>
      <c r="I565" t="n">
        <v>0</v>
      </c>
      <c r="J565" t="n">
        <v>0</v>
      </c>
      <c r="K565" t="n">
        <v>0</v>
      </c>
      <c r="L565" t="n">
        <v>0</v>
      </c>
      <c r="M565" t="n">
        <v>0</v>
      </c>
      <c r="N565" t="n">
        <v>0</v>
      </c>
      <c r="O565" t="n">
        <v>0</v>
      </c>
      <c r="P565" t="n">
        <v>0</v>
      </c>
      <c r="Q565" t="n">
        <v>0</v>
      </c>
      <c r="R565" s="2" t="inlineStr"/>
    </row>
    <row r="566" ht="15" customHeight="1">
      <c r="A566" t="inlineStr">
        <is>
          <t>A 33783-2024</t>
        </is>
      </c>
      <c r="B566" s="1" t="n">
        <v>45520</v>
      </c>
      <c r="C566" s="1" t="n">
        <v>46079</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45128-2022</t>
        </is>
      </c>
      <c r="B567" s="1" t="n">
        <v>44844.3146412037</v>
      </c>
      <c r="C567" s="1" t="n">
        <v>46079</v>
      </c>
      <c r="D567" t="inlineStr">
        <is>
          <t>VÄSTERNORRLANDS LÄN</t>
        </is>
      </c>
      <c r="E567" t="inlineStr">
        <is>
          <t>ÅNGE</t>
        </is>
      </c>
      <c r="G567" t="n">
        <v>4.1</v>
      </c>
      <c r="H567" t="n">
        <v>0</v>
      </c>
      <c r="I567" t="n">
        <v>0</v>
      </c>
      <c r="J567" t="n">
        <v>0</v>
      </c>
      <c r="K567" t="n">
        <v>0</v>
      </c>
      <c r="L567" t="n">
        <v>0</v>
      </c>
      <c r="M567" t="n">
        <v>0</v>
      </c>
      <c r="N567" t="n">
        <v>0</v>
      </c>
      <c r="O567" t="n">
        <v>0</v>
      </c>
      <c r="P567" t="n">
        <v>0</v>
      </c>
      <c r="Q567" t="n">
        <v>0</v>
      </c>
      <c r="R567" s="2" t="inlineStr"/>
    </row>
    <row r="568" ht="15" customHeight="1">
      <c r="A568" t="inlineStr">
        <is>
          <t>A 26951-2024</t>
        </is>
      </c>
      <c r="B568" s="1" t="n">
        <v>45470.96991898148</v>
      </c>
      <c r="C568" s="1" t="n">
        <v>46079</v>
      </c>
      <c r="D568" t="inlineStr">
        <is>
          <t>VÄSTERNORRLANDS LÄN</t>
        </is>
      </c>
      <c r="E568" t="inlineStr">
        <is>
          <t>ÅNGE</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26952-2024</t>
        </is>
      </c>
      <c r="B569" s="1" t="n">
        <v>45470</v>
      </c>
      <c r="C569" s="1" t="n">
        <v>46079</v>
      </c>
      <c r="D569" t="inlineStr">
        <is>
          <t>VÄSTERNORRLANDS LÄN</t>
        </is>
      </c>
      <c r="E569" t="inlineStr">
        <is>
          <t>ÅNGE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27321-2024</t>
        </is>
      </c>
      <c r="B570" s="1" t="n">
        <v>45471</v>
      </c>
      <c r="C570" s="1" t="n">
        <v>46079</v>
      </c>
      <c r="D570" t="inlineStr">
        <is>
          <t>VÄSTERNORRLANDS LÄN</t>
        </is>
      </c>
      <c r="E570" t="inlineStr">
        <is>
          <t>ÅNGE</t>
        </is>
      </c>
      <c r="F570" t="inlineStr">
        <is>
          <t>SCA</t>
        </is>
      </c>
      <c r="G570" t="n">
        <v>14.1</v>
      </c>
      <c r="H570" t="n">
        <v>0</v>
      </c>
      <c r="I570" t="n">
        <v>0</v>
      </c>
      <c r="J570" t="n">
        <v>0</v>
      </c>
      <c r="K570" t="n">
        <v>0</v>
      </c>
      <c r="L570" t="n">
        <v>0</v>
      </c>
      <c r="M570" t="n">
        <v>0</v>
      </c>
      <c r="N570" t="n">
        <v>0</v>
      </c>
      <c r="O570" t="n">
        <v>0</v>
      </c>
      <c r="P570" t="n">
        <v>0</v>
      </c>
      <c r="Q570" t="n">
        <v>0</v>
      </c>
      <c r="R570" s="2" t="inlineStr"/>
    </row>
    <row r="571" ht="15" customHeight="1">
      <c r="A571" t="inlineStr">
        <is>
          <t>A 37382-2021</t>
        </is>
      </c>
      <c r="B571" s="1" t="n">
        <v>44397</v>
      </c>
      <c r="C571" s="1" t="n">
        <v>46079</v>
      </c>
      <c r="D571" t="inlineStr">
        <is>
          <t>VÄSTERNORRLANDS LÄN</t>
        </is>
      </c>
      <c r="E571" t="inlineStr">
        <is>
          <t>ÅNGE</t>
        </is>
      </c>
      <c r="G571" t="n">
        <v>2.4</v>
      </c>
      <c r="H571" t="n">
        <v>0</v>
      </c>
      <c r="I571" t="n">
        <v>0</v>
      </c>
      <c r="J571" t="n">
        <v>0</v>
      </c>
      <c r="K571" t="n">
        <v>0</v>
      </c>
      <c r="L571" t="n">
        <v>0</v>
      </c>
      <c r="M571" t="n">
        <v>0</v>
      </c>
      <c r="N571" t="n">
        <v>0</v>
      </c>
      <c r="O571" t="n">
        <v>0</v>
      </c>
      <c r="P571" t="n">
        <v>0</v>
      </c>
      <c r="Q571" t="n">
        <v>0</v>
      </c>
      <c r="R571" s="2" t="inlineStr"/>
    </row>
    <row r="572" ht="15" customHeight="1">
      <c r="A572" t="inlineStr">
        <is>
          <t>A 27668-2024</t>
        </is>
      </c>
      <c r="B572" s="1" t="n">
        <v>45474.95435185185</v>
      </c>
      <c r="C572" s="1" t="n">
        <v>46079</v>
      </c>
      <c r="D572" t="inlineStr">
        <is>
          <t>VÄSTERNORRLANDS LÄN</t>
        </is>
      </c>
      <c r="E572" t="inlineStr">
        <is>
          <t>ÅNGE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42969-2024</t>
        </is>
      </c>
      <c r="B573" s="1" t="n">
        <v>45567.37300925926</v>
      </c>
      <c r="C573" s="1" t="n">
        <v>46079</v>
      </c>
      <c r="D573" t="inlineStr">
        <is>
          <t>VÄSTERNORRLANDS LÄN</t>
        </is>
      </c>
      <c r="E573" t="inlineStr">
        <is>
          <t>ÅNGE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1116-2023</t>
        </is>
      </c>
      <c r="B574" s="1" t="n">
        <v>44929</v>
      </c>
      <c r="C574" s="1" t="n">
        <v>46079</v>
      </c>
      <c r="D574" t="inlineStr">
        <is>
          <t>VÄSTERNORRLANDS LÄN</t>
        </is>
      </c>
      <c r="E574" t="inlineStr">
        <is>
          <t>ÅNGE</t>
        </is>
      </c>
      <c r="G574" t="n">
        <v>17.2</v>
      </c>
      <c r="H574" t="n">
        <v>0</v>
      </c>
      <c r="I574" t="n">
        <v>0</v>
      </c>
      <c r="J574" t="n">
        <v>0</v>
      </c>
      <c r="K574" t="n">
        <v>0</v>
      </c>
      <c r="L574" t="n">
        <v>0</v>
      </c>
      <c r="M574" t="n">
        <v>0</v>
      </c>
      <c r="N574" t="n">
        <v>0</v>
      </c>
      <c r="O574" t="n">
        <v>0</v>
      </c>
      <c r="P574" t="n">
        <v>0</v>
      </c>
      <c r="Q574" t="n">
        <v>0</v>
      </c>
      <c r="R574" s="2" t="inlineStr"/>
    </row>
    <row r="575" ht="15" customHeight="1">
      <c r="A575" t="inlineStr">
        <is>
          <t>A 26018-2024</t>
        </is>
      </c>
      <c r="B575" s="1" t="n">
        <v>45467.95998842592</v>
      </c>
      <c r="C575" s="1" t="n">
        <v>46079</v>
      </c>
      <c r="D575" t="inlineStr">
        <is>
          <t>VÄSTERNORRLANDS LÄN</t>
        </is>
      </c>
      <c r="E575" t="inlineStr">
        <is>
          <t>ÅNGE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26021-2024</t>
        </is>
      </c>
      <c r="B576" s="1" t="n">
        <v>45467</v>
      </c>
      <c r="C576" s="1" t="n">
        <v>46079</v>
      </c>
      <c r="D576" t="inlineStr">
        <is>
          <t>VÄSTERNORRLANDS LÄN</t>
        </is>
      </c>
      <c r="E576" t="inlineStr">
        <is>
          <t>ÅNGE</t>
        </is>
      </c>
      <c r="F576" t="inlineStr">
        <is>
          <t>SCA</t>
        </is>
      </c>
      <c r="G576" t="n">
        <v>7.7</v>
      </c>
      <c r="H576" t="n">
        <v>0</v>
      </c>
      <c r="I576" t="n">
        <v>0</v>
      </c>
      <c r="J576" t="n">
        <v>0</v>
      </c>
      <c r="K576" t="n">
        <v>0</v>
      </c>
      <c r="L576" t="n">
        <v>0</v>
      </c>
      <c r="M576" t="n">
        <v>0</v>
      </c>
      <c r="N576" t="n">
        <v>0</v>
      </c>
      <c r="O576" t="n">
        <v>0</v>
      </c>
      <c r="P576" t="n">
        <v>0</v>
      </c>
      <c r="Q576" t="n">
        <v>0</v>
      </c>
      <c r="R576" s="2" t="inlineStr"/>
    </row>
    <row r="577" ht="15" customHeight="1">
      <c r="A577" t="inlineStr">
        <is>
          <t>A 14097-2022</t>
        </is>
      </c>
      <c r="B577" s="1" t="n">
        <v>44651</v>
      </c>
      <c r="C577" s="1" t="n">
        <v>46079</v>
      </c>
      <c r="D577" t="inlineStr">
        <is>
          <t>VÄSTERNORRLANDS LÄN</t>
        </is>
      </c>
      <c r="E577" t="inlineStr">
        <is>
          <t>ÅNGE</t>
        </is>
      </c>
      <c r="G577" t="n">
        <v>1.4</v>
      </c>
      <c r="H577" t="n">
        <v>0</v>
      </c>
      <c r="I577" t="n">
        <v>0</v>
      </c>
      <c r="J577" t="n">
        <v>0</v>
      </c>
      <c r="K577" t="n">
        <v>0</v>
      </c>
      <c r="L577" t="n">
        <v>0</v>
      </c>
      <c r="M577" t="n">
        <v>0</v>
      </c>
      <c r="N577" t="n">
        <v>0</v>
      </c>
      <c r="O577" t="n">
        <v>0</v>
      </c>
      <c r="P577" t="n">
        <v>0</v>
      </c>
      <c r="Q577" t="n">
        <v>0</v>
      </c>
      <c r="R577" s="2" t="inlineStr"/>
    </row>
    <row r="578" ht="15" customHeight="1">
      <c r="A578" t="inlineStr">
        <is>
          <t>A 29667-2024</t>
        </is>
      </c>
      <c r="B578" s="1" t="n">
        <v>45484.94041666666</v>
      </c>
      <c r="C578" s="1" t="n">
        <v>46079</v>
      </c>
      <c r="D578" t="inlineStr">
        <is>
          <t>VÄSTERNORRLANDS LÄN</t>
        </is>
      </c>
      <c r="E578" t="inlineStr">
        <is>
          <t>ÅNGE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39975-2023</t>
        </is>
      </c>
      <c r="B579" s="1" t="n">
        <v>45168.58844907407</v>
      </c>
      <c r="C579" s="1" t="n">
        <v>46079</v>
      </c>
      <c r="D579" t="inlineStr">
        <is>
          <t>VÄSTERNORRLANDS LÄN</t>
        </is>
      </c>
      <c r="E579" t="inlineStr">
        <is>
          <t>ÅNGE</t>
        </is>
      </c>
      <c r="G579" t="n">
        <v>2.2</v>
      </c>
      <c r="H579" t="n">
        <v>0</v>
      </c>
      <c r="I579" t="n">
        <v>0</v>
      </c>
      <c r="J579" t="n">
        <v>0</v>
      </c>
      <c r="K579" t="n">
        <v>0</v>
      </c>
      <c r="L579" t="n">
        <v>0</v>
      </c>
      <c r="M579" t="n">
        <v>0</v>
      </c>
      <c r="N579" t="n">
        <v>0</v>
      </c>
      <c r="O579" t="n">
        <v>0</v>
      </c>
      <c r="P579" t="n">
        <v>0</v>
      </c>
      <c r="Q579" t="n">
        <v>0</v>
      </c>
      <c r="R579" s="2" t="inlineStr"/>
    </row>
    <row r="580" ht="15" customHeight="1">
      <c r="A580" t="inlineStr">
        <is>
          <t>A 45932-2023</t>
        </is>
      </c>
      <c r="B580" s="1" t="n">
        <v>45195</v>
      </c>
      <c r="C580" s="1" t="n">
        <v>46079</v>
      </c>
      <c r="D580" t="inlineStr">
        <is>
          <t>VÄSTERNORRLANDS LÄN</t>
        </is>
      </c>
      <c r="E580" t="inlineStr">
        <is>
          <t>ÅNGE</t>
        </is>
      </c>
      <c r="F580" t="inlineStr">
        <is>
          <t>SCA</t>
        </is>
      </c>
      <c r="G580" t="n">
        <v>0.1</v>
      </c>
      <c r="H580" t="n">
        <v>0</v>
      </c>
      <c r="I580" t="n">
        <v>0</v>
      </c>
      <c r="J580" t="n">
        <v>0</v>
      </c>
      <c r="K580" t="n">
        <v>0</v>
      </c>
      <c r="L580" t="n">
        <v>0</v>
      </c>
      <c r="M580" t="n">
        <v>0</v>
      </c>
      <c r="N580" t="n">
        <v>0</v>
      </c>
      <c r="O580" t="n">
        <v>0</v>
      </c>
      <c r="P580" t="n">
        <v>0</v>
      </c>
      <c r="Q580" t="n">
        <v>0</v>
      </c>
      <c r="R580" s="2" t="inlineStr"/>
    </row>
    <row r="581" ht="15" customHeight="1">
      <c r="A581" t="inlineStr">
        <is>
          <t>A 32776-2022</t>
        </is>
      </c>
      <c r="B581" s="1" t="n">
        <v>44783.94607638889</v>
      </c>
      <c r="C581" s="1" t="n">
        <v>46079</v>
      </c>
      <c r="D581" t="inlineStr">
        <is>
          <t>VÄSTERNORRLANDS LÄN</t>
        </is>
      </c>
      <c r="E581" t="inlineStr">
        <is>
          <t>ÅNGE</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6-2025</t>
        </is>
      </c>
      <c r="B582" s="1" t="n">
        <v>45658.50759259259</v>
      </c>
      <c r="C582" s="1" t="n">
        <v>46079</v>
      </c>
      <c r="D582" t="inlineStr">
        <is>
          <t>VÄSTERNORRLANDS LÄN</t>
        </is>
      </c>
      <c r="E582" t="inlineStr">
        <is>
          <t>ÅNGE</t>
        </is>
      </c>
      <c r="G582" t="n">
        <v>4.3</v>
      </c>
      <c r="H582" t="n">
        <v>0</v>
      </c>
      <c r="I582" t="n">
        <v>0</v>
      </c>
      <c r="J582" t="n">
        <v>0</v>
      </c>
      <c r="K582" t="n">
        <v>0</v>
      </c>
      <c r="L582" t="n">
        <v>0</v>
      </c>
      <c r="M582" t="n">
        <v>0</v>
      </c>
      <c r="N582" t="n">
        <v>0</v>
      </c>
      <c r="O582" t="n">
        <v>0</v>
      </c>
      <c r="P582" t="n">
        <v>0</v>
      </c>
      <c r="Q582" t="n">
        <v>0</v>
      </c>
      <c r="R582" s="2" t="inlineStr"/>
    </row>
    <row r="583" ht="15" customHeight="1">
      <c r="A583" t="inlineStr">
        <is>
          <t>A 39764-2024</t>
        </is>
      </c>
      <c r="B583" s="1" t="n">
        <v>45552.7190162037</v>
      </c>
      <c r="C583" s="1" t="n">
        <v>46079</v>
      </c>
      <c r="D583" t="inlineStr">
        <is>
          <t>VÄSTERNORRLANDS LÄN</t>
        </is>
      </c>
      <c r="E583" t="inlineStr">
        <is>
          <t>ÅNGE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11032-2025</t>
        </is>
      </c>
      <c r="B584" s="1" t="n">
        <v>45723.47601851852</v>
      </c>
      <c r="C584" s="1" t="n">
        <v>46079</v>
      </c>
      <c r="D584" t="inlineStr">
        <is>
          <t>VÄSTERNORRLANDS LÄN</t>
        </is>
      </c>
      <c r="E584" t="inlineStr">
        <is>
          <t>ÅNGE</t>
        </is>
      </c>
      <c r="G584" t="n">
        <v>4.4</v>
      </c>
      <c r="H584" t="n">
        <v>0</v>
      </c>
      <c r="I584" t="n">
        <v>0</v>
      </c>
      <c r="J584" t="n">
        <v>0</v>
      </c>
      <c r="K584" t="n">
        <v>0</v>
      </c>
      <c r="L584" t="n">
        <v>0</v>
      </c>
      <c r="M584" t="n">
        <v>0</v>
      </c>
      <c r="N584" t="n">
        <v>0</v>
      </c>
      <c r="O584" t="n">
        <v>0</v>
      </c>
      <c r="P584" t="n">
        <v>0</v>
      </c>
      <c r="Q584" t="n">
        <v>0</v>
      </c>
      <c r="R584" s="2" t="inlineStr"/>
    </row>
    <row r="585" ht="15" customHeight="1">
      <c r="A585" t="inlineStr">
        <is>
          <t>A 52683-2024</t>
        </is>
      </c>
      <c r="B585" s="1" t="n">
        <v>45610</v>
      </c>
      <c r="C585" s="1" t="n">
        <v>46079</v>
      </c>
      <c r="D585" t="inlineStr">
        <is>
          <t>VÄSTERNORRLANDS LÄN</t>
        </is>
      </c>
      <c r="E585" t="inlineStr">
        <is>
          <t>ÅNGE</t>
        </is>
      </c>
      <c r="G585" t="n">
        <v>1.8</v>
      </c>
      <c r="H585" t="n">
        <v>0</v>
      </c>
      <c r="I585" t="n">
        <v>0</v>
      </c>
      <c r="J585" t="n">
        <v>0</v>
      </c>
      <c r="K585" t="n">
        <v>0</v>
      </c>
      <c r="L585" t="n">
        <v>0</v>
      </c>
      <c r="M585" t="n">
        <v>0</v>
      </c>
      <c r="N585" t="n">
        <v>0</v>
      </c>
      <c r="O585" t="n">
        <v>0</v>
      </c>
      <c r="P585" t="n">
        <v>0</v>
      </c>
      <c r="Q585" t="n">
        <v>0</v>
      </c>
      <c r="R585" s="2" t="inlineStr"/>
    </row>
    <row r="586" ht="15" customHeight="1">
      <c r="A586" t="inlineStr">
        <is>
          <t>A 37558-2023</t>
        </is>
      </c>
      <c r="B586" s="1" t="n">
        <v>45159.34511574074</v>
      </c>
      <c r="C586" s="1" t="n">
        <v>46079</v>
      </c>
      <c r="D586" t="inlineStr">
        <is>
          <t>VÄSTERNORRLANDS LÄN</t>
        </is>
      </c>
      <c r="E586" t="inlineStr">
        <is>
          <t>ÅNGE</t>
        </is>
      </c>
      <c r="F586" t="inlineStr">
        <is>
          <t>Kyrkan</t>
        </is>
      </c>
      <c r="G586" t="n">
        <v>5.6</v>
      </c>
      <c r="H586" t="n">
        <v>0</v>
      </c>
      <c r="I586" t="n">
        <v>0</v>
      </c>
      <c r="J586" t="n">
        <v>0</v>
      </c>
      <c r="K586" t="n">
        <v>0</v>
      </c>
      <c r="L586" t="n">
        <v>0</v>
      </c>
      <c r="M586" t="n">
        <v>0</v>
      </c>
      <c r="N586" t="n">
        <v>0</v>
      </c>
      <c r="O586" t="n">
        <v>0</v>
      </c>
      <c r="P586" t="n">
        <v>0</v>
      </c>
      <c r="Q586" t="n">
        <v>0</v>
      </c>
      <c r="R586" s="2" t="inlineStr"/>
    </row>
    <row r="587" ht="15" customHeight="1">
      <c r="A587" t="inlineStr">
        <is>
          <t>A 56874-2024</t>
        </is>
      </c>
      <c r="B587" s="1" t="n">
        <v>45628</v>
      </c>
      <c r="C587" s="1" t="n">
        <v>46079</v>
      </c>
      <c r="D587" t="inlineStr">
        <is>
          <t>VÄSTERNORRLANDS LÄN</t>
        </is>
      </c>
      <c r="E587" t="inlineStr">
        <is>
          <t>ÅNGE</t>
        </is>
      </c>
      <c r="G587" t="n">
        <v>1.1</v>
      </c>
      <c r="H587" t="n">
        <v>0</v>
      </c>
      <c r="I587" t="n">
        <v>0</v>
      </c>
      <c r="J587" t="n">
        <v>0</v>
      </c>
      <c r="K587" t="n">
        <v>0</v>
      </c>
      <c r="L587" t="n">
        <v>0</v>
      </c>
      <c r="M587" t="n">
        <v>0</v>
      </c>
      <c r="N587" t="n">
        <v>0</v>
      </c>
      <c r="O587" t="n">
        <v>0</v>
      </c>
      <c r="P587" t="n">
        <v>0</v>
      </c>
      <c r="Q587" t="n">
        <v>0</v>
      </c>
      <c r="R587" s="2" t="inlineStr"/>
    </row>
    <row r="588" ht="15" customHeight="1">
      <c r="A588" t="inlineStr">
        <is>
          <t>A 53988-2024</t>
        </is>
      </c>
      <c r="B588" s="1" t="n">
        <v>45616.34408564815</v>
      </c>
      <c r="C588" s="1" t="n">
        <v>46079</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54002-2024</t>
        </is>
      </c>
      <c r="B589" s="1" t="n">
        <v>45616.36491898148</v>
      </c>
      <c r="C589" s="1" t="n">
        <v>46079</v>
      </c>
      <c r="D589" t="inlineStr">
        <is>
          <t>VÄSTERNORRLANDS LÄN</t>
        </is>
      </c>
      <c r="E589" t="inlineStr">
        <is>
          <t>ÅNGE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63216-2023</t>
        </is>
      </c>
      <c r="B590" s="1" t="n">
        <v>45273.62721064815</v>
      </c>
      <c r="C590" s="1" t="n">
        <v>46079</v>
      </c>
      <c r="D590" t="inlineStr">
        <is>
          <t>VÄSTERNORRLANDS LÄN</t>
        </is>
      </c>
      <c r="E590" t="inlineStr">
        <is>
          <t>ÅNGE</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34852-2023</t>
        </is>
      </c>
      <c r="B591" s="1" t="n">
        <v>45141</v>
      </c>
      <c r="C591" s="1" t="n">
        <v>46079</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55197-2022</t>
        </is>
      </c>
      <c r="B592" s="1" t="n">
        <v>44886.93714120371</v>
      </c>
      <c r="C592" s="1" t="n">
        <v>46079</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50186-2021</t>
        </is>
      </c>
      <c r="B593" s="1" t="n">
        <v>44456</v>
      </c>
      <c r="C593" s="1" t="n">
        <v>46079</v>
      </c>
      <c r="D593" t="inlineStr">
        <is>
          <t>VÄSTERNORRLANDS LÄN</t>
        </is>
      </c>
      <c r="E593" t="inlineStr">
        <is>
          <t>ÅNGE</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48697-2024</t>
        </is>
      </c>
      <c r="B594" s="1" t="n">
        <v>45593.51136574074</v>
      </c>
      <c r="C594" s="1" t="n">
        <v>46079</v>
      </c>
      <c r="D594" t="inlineStr">
        <is>
          <t>VÄSTERNORRLANDS LÄN</t>
        </is>
      </c>
      <c r="E594" t="inlineStr">
        <is>
          <t>ÅNGE</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16657-2025</t>
        </is>
      </c>
      <c r="B595" s="1" t="n">
        <v>45754.40700231482</v>
      </c>
      <c r="C595" s="1" t="n">
        <v>46079</v>
      </c>
      <c r="D595" t="inlineStr">
        <is>
          <t>VÄSTERNORRLANDS LÄN</t>
        </is>
      </c>
      <c r="E595" t="inlineStr">
        <is>
          <t>ÅNGE</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6608-2025</t>
        </is>
      </c>
      <c r="B596" s="1" t="n">
        <v>45700.34415509259</v>
      </c>
      <c r="C596" s="1" t="n">
        <v>46079</v>
      </c>
      <c r="D596" t="inlineStr">
        <is>
          <t>VÄSTERNORRLANDS LÄN</t>
        </is>
      </c>
      <c r="E596" t="inlineStr">
        <is>
          <t>ÅNGE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51871-2024</t>
        </is>
      </c>
      <c r="B597" s="1" t="n">
        <v>45607</v>
      </c>
      <c r="C597" s="1" t="n">
        <v>46079</v>
      </c>
      <c r="D597" t="inlineStr">
        <is>
          <t>VÄSTERNORRLANDS LÄN</t>
        </is>
      </c>
      <c r="E597" t="inlineStr">
        <is>
          <t>ÅNGE</t>
        </is>
      </c>
      <c r="F597" t="inlineStr">
        <is>
          <t>SCA</t>
        </is>
      </c>
      <c r="G597" t="n">
        <v>10.1</v>
      </c>
      <c r="H597" t="n">
        <v>0</v>
      </c>
      <c r="I597" t="n">
        <v>0</v>
      </c>
      <c r="J597" t="n">
        <v>0</v>
      </c>
      <c r="K597" t="n">
        <v>0</v>
      </c>
      <c r="L597" t="n">
        <v>0</v>
      </c>
      <c r="M597" t="n">
        <v>0</v>
      </c>
      <c r="N597" t="n">
        <v>0</v>
      </c>
      <c r="O597" t="n">
        <v>0</v>
      </c>
      <c r="P597" t="n">
        <v>0</v>
      </c>
      <c r="Q597" t="n">
        <v>0</v>
      </c>
      <c r="R597" s="2" t="inlineStr"/>
    </row>
    <row r="598" ht="15" customHeight="1">
      <c r="A598" t="inlineStr">
        <is>
          <t>A 11764-2024</t>
        </is>
      </c>
      <c r="B598" s="1" t="n">
        <v>45373.94837962963</v>
      </c>
      <c r="C598" s="1" t="n">
        <v>46079</v>
      </c>
      <c r="D598" t="inlineStr">
        <is>
          <t>VÄSTERNORRLANDS LÄN</t>
        </is>
      </c>
      <c r="E598" t="inlineStr">
        <is>
          <t>ÅNGE</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31864-2024</t>
        </is>
      </c>
      <c r="B599" s="1" t="n">
        <v>45509.74791666667</v>
      </c>
      <c r="C599" s="1" t="n">
        <v>46079</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49532-2024</t>
        </is>
      </c>
      <c r="B600" s="1" t="n">
        <v>45596.41797453703</v>
      </c>
      <c r="C600" s="1" t="n">
        <v>46079</v>
      </c>
      <c r="D600" t="inlineStr">
        <is>
          <t>VÄSTERNORRLANDS LÄN</t>
        </is>
      </c>
      <c r="E600" t="inlineStr">
        <is>
          <t>ÅNGE</t>
        </is>
      </c>
      <c r="G600" t="n">
        <v>3.3</v>
      </c>
      <c r="H600" t="n">
        <v>0</v>
      </c>
      <c r="I600" t="n">
        <v>0</v>
      </c>
      <c r="J600" t="n">
        <v>0</v>
      </c>
      <c r="K600" t="n">
        <v>0</v>
      </c>
      <c r="L600" t="n">
        <v>0</v>
      </c>
      <c r="M600" t="n">
        <v>0</v>
      </c>
      <c r="N600" t="n">
        <v>0</v>
      </c>
      <c r="O600" t="n">
        <v>0</v>
      </c>
      <c r="P600" t="n">
        <v>0</v>
      </c>
      <c r="Q600" t="n">
        <v>0</v>
      </c>
      <c r="R600" s="2" t="inlineStr"/>
    </row>
    <row r="601" ht="15" customHeight="1">
      <c r="A601" t="inlineStr">
        <is>
          <t>A 19065-2025</t>
        </is>
      </c>
      <c r="B601" s="1" t="n">
        <v>45765</v>
      </c>
      <c r="C601" s="1" t="n">
        <v>46079</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40790-2023</t>
        </is>
      </c>
      <c r="B602" s="1" t="n">
        <v>45170.95814814815</v>
      </c>
      <c r="C602" s="1" t="n">
        <v>46079</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11310-2023</t>
        </is>
      </c>
      <c r="B603" s="1" t="n">
        <v>44993.01190972222</v>
      </c>
      <c r="C603" s="1" t="n">
        <v>46079</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1090-2023</t>
        </is>
      </c>
      <c r="B604" s="1" t="n">
        <v>44929</v>
      </c>
      <c r="C604" s="1" t="n">
        <v>46079</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36290-2023</t>
        </is>
      </c>
      <c r="B605" s="1" t="n">
        <v>45152.35467592593</v>
      </c>
      <c r="C605" s="1" t="n">
        <v>46079</v>
      </c>
      <c r="D605" t="inlineStr">
        <is>
          <t>VÄSTERNORRLANDS LÄN</t>
        </is>
      </c>
      <c r="E605" t="inlineStr">
        <is>
          <t>ÅNGE</t>
        </is>
      </c>
      <c r="F605" t="inlineStr">
        <is>
          <t>Övriga Aktiebolag</t>
        </is>
      </c>
      <c r="G605" t="n">
        <v>3.4</v>
      </c>
      <c r="H605" t="n">
        <v>0</v>
      </c>
      <c r="I605" t="n">
        <v>0</v>
      </c>
      <c r="J605" t="n">
        <v>0</v>
      </c>
      <c r="K605" t="n">
        <v>0</v>
      </c>
      <c r="L605" t="n">
        <v>0</v>
      </c>
      <c r="M605" t="n">
        <v>0</v>
      </c>
      <c r="N605" t="n">
        <v>0</v>
      </c>
      <c r="O605" t="n">
        <v>0</v>
      </c>
      <c r="P605" t="n">
        <v>0</v>
      </c>
      <c r="Q605" t="n">
        <v>0</v>
      </c>
      <c r="R605" s="2" t="inlineStr"/>
    </row>
    <row r="606" ht="15" customHeight="1">
      <c r="A606" t="inlineStr">
        <is>
          <t>A 54059-2024</t>
        </is>
      </c>
      <c r="B606" s="1" t="n">
        <v>45616.46943287037</v>
      </c>
      <c r="C606" s="1" t="n">
        <v>46079</v>
      </c>
      <c r="D606" t="inlineStr">
        <is>
          <t>VÄSTERNORRLANDS LÄN</t>
        </is>
      </c>
      <c r="E606" t="inlineStr">
        <is>
          <t>ÅNGE</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48369-2024</t>
        </is>
      </c>
      <c r="B607" s="1" t="n">
        <v>45590.57960648148</v>
      </c>
      <c r="C607" s="1" t="n">
        <v>46079</v>
      </c>
      <c r="D607" t="inlineStr">
        <is>
          <t>VÄSTERNORRLANDS LÄN</t>
        </is>
      </c>
      <c r="E607" t="inlineStr">
        <is>
          <t>ÅNGE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1714-2025</t>
        </is>
      </c>
      <c r="B608" s="1" t="n">
        <v>45671.32474537037</v>
      </c>
      <c r="C608" s="1" t="n">
        <v>46079</v>
      </c>
      <c r="D608" t="inlineStr">
        <is>
          <t>VÄSTERNORRLANDS LÄN</t>
        </is>
      </c>
      <c r="E608" t="inlineStr">
        <is>
          <t>ÅNGE</t>
        </is>
      </c>
      <c r="G608" t="n">
        <v>2</v>
      </c>
      <c r="H608" t="n">
        <v>0</v>
      </c>
      <c r="I608" t="n">
        <v>0</v>
      </c>
      <c r="J608" t="n">
        <v>0</v>
      </c>
      <c r="K608" t="n">
        <v>0</v>
      </c>
      <c r="L608" t="n">
        <v>0</v>
      </c>
      <c r="M608" t="n">
        <v>0</v>
      </c>
      <c r="N608" t="n">
        <v>0</v>
      </c>
      <c r="O608" t="n">
        <v>0</v>
      </c>
      <c r="P608" t="n">
        <v>0</v>
      </c>
      <c r="Q608" t="n">
        <v>0</v>
      </c>
      <c r="R608" s="2" t="inlineStr"/>
    </row>
    <row r="609" ht="15" customHeight="1">
      <c r="A609" t="inlineStr">
        <is>
          <t>A 19798-2025</t>
        </is>
      </c>
      <c r="B609" s="1" t="n">
        <v>45771.44824074074</v>
      </c>
      <c r="C609" s="1" t="n">
        <v>46079</v>
      </c>
      <c r="D609" t="inlineStr">
        <is>
          <t>VÄSTERNORRLANDS LÄN</t>
        </is>
      </c>
      <c r="E609" t="inlineStr">
        <is>
          <t>ÅNGE</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44158-2024</t>
        </is>
      </c>
      <c r="B610" s="1" t="n">
        <v>45572</v>
      </c>
      <c r="C610" s="1" t="n">
        <v>46079</v>
      </c>
      <c r="D610" t="inlineStr">
        <is>
          <t>VÄSTERNORRLANDS LÄN</t>
        </is>
      </c>
      <c r="E610" t="inlineStr">
        <is>
          <t>ÅNGE</t>
        </is>
      </c>
      <c r="G610" t="n">
        <v>2.6</v>
      </c>
      <c r="H610" t="n">
        <v>0</v>
      </c>
      <c r="I610" t="n">
        <v>0</v>
      </c>
      <c r="J610" t="n">
        <v>0</v>
      </c>
      <c r="K610" t="n">
        <v>0</v>
      </c>
      <c r="L610" t="n">
        <v>0</v>
      </c>
      <c r="M610" t="n">
        <v>0</v>
      </c>
      <c r="N610" t="n">
        <v>0</v>
      </c>
      <c r="O610" t="n">
        <v>0</v>
      </c>
      <c r="P610" t="n">
        <v>0</v>
      </c>
      <c r="Q610" t="n">
        <v>0</v>
      </c>
      <c r="R610" s="2" t="inlineStr"/>
    </row>
    <row r="611" ht="15" customHeight="1">
      <c r="A611" t="inlineStr">
        <is>
          <t>A 2299-2025</t>
        </is>
      </c>
      <c r="B611" s="1" t="n">
        <v>45673.59516203704</v>
      </c>
      <c r="C611" s="1" t="n">
        <v>46079</v>
      </c>
      <c r="D611" t="inlineStr">
        <is>
          <t>VÄSTERNORRLANDS LÄN</t>
        </is>
      </c>
      <c r="E611" t="inlineStr">
        <is>
          <t>ÅNGE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11529-2023</t>
        </is>
      </c>
      <c r="B612" s="1" t="n">
        <v>44993</v>
      </c>
      <c r="C612" s="1" t="n">
        <v>46079</v>
      </c>
      <c r="D612" t="inlineStr">
        <is>
          <t>VÄSTERNORRLANDS LÄN</t>
        </is>
      </c>
      <c r="E612" t="inlineStr">
        <is>
          <t>ÅNGE</t>
        </is>
      </c>
      <c r="G612" t="n">
        <v>8.9</v>
      </c>
      <c r="H612" t="n">
        <v>0</v>
      </c>
      <c r="I612" t="n">
        <v>0</v>
      </c>
      <c r="J612" t="n">
        <v>0</v>
      </c>
      <c r="K612" t="n">
        <v>0</v>
      </c>
      <c r="L612" t="n">
        <v>0</v>
      </c>
      <c r="M612" t="n">
        <v>0</v>
      </c>
      <c r="N612" t="n">
        <v>0</v>
      </c>
      <c r="O612" t="n">
        <v>0</v>
      </c>
      <c r="P612" t="n">
        <v>0</v>
      </c>
      <c r="Q612" t="n">
        <v>0</v>
      </c>
      <c r="R612" s="2" t="inlineStr"/>
    </row>
    <row r="613" ht="15" customHeight="1">
      <c r="A613" t="inlineStr">
        <is>
          <t>A 35426-2024</t>
        </is>
      </c>
      <c r="B613" s="1" t="n">
        <v>45531</v>
      </c>
      <c r="C613" s="1" t="n">
        <v>46079</v>
      </c>
      <c r="D613" t="inlineStr">
        <is>
          <t>VÄSTERNORRLANDS LÄN</t>
        </is>
      </c>
      <c r="E613" t="inlineStr">
        <is>
          <t>ÅNGE</t>
        </is>
      </c>
      <c r="F613" t="inlineStr">
        <is>
          <t>SCA</t>
        </is>
      </c>
      <c r="G613" t="n">
        <v>10.9</v>
      </c>
      <c r="H613" t="n">
        <v>0</v>
      </c>
      <c r="I613" t="n">
        <v>0</v>
      </c>
      <c r="J613" t="n">
        <v>0</v>
      </c>
      <c r="K613" t="n">
        <v>0</v>
      </c>
      <c r="L613" t="n">
        <v>0</v>
      </c>
      <c r="M613" t="n">
        <v>0</v>
      </c>
      <c r="N613" t="n">
        <v>0</v>
      </c>
      <c r="O613" t="n">
        <v>0</v>
      </c>
      <c r="P613" t="n">
        <v>0</v>
      </c>
      <c r="Q613" t="n">
        <v>0</v>
      </c>
      <c r="R613" s="2" t="inlineStr"/>
    </row>
    <row r="614" ht="15" customHeight="1">
      <c r="A614" t="inlineStr">
        <is>
          <t>A 44639-2023</t>
        </is>
      </c>
      <c r="B614" s="1" t="n">
        <v>45184</v>
      </c>
      <c r="C614" s="1" t="n">
        <v>46079</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31545-2024</t>
        </is>
      </c>
      <c r="B615" s="1" t="n">
        <v>45505</v>
      </c>
      <c r="C615" s="1" t="n">
        <v>46079</v>
      </c>
      <c r="D615" t="inlineStr">
        <is>
          <t>VÄSTERNORRLANDS LÄN</t>
        </is>
      </c>
      <c r="E615" t="inlineStr">
        <is>
          <t>ÅNGE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31182-2024</t>
        </is>
      </c>
      <c r="B616" s="1" t="n">
        <v>45503</v>
      </c>
      <c r="C616" s="1" t="n">
        <v>46079</v>
      </c>
      <c r="D616" t="inlineStr">
        <is>
          <t>VÄSTERNORRLANDS LÄN</t>
        </is>
      </c>
      <c r="E616" t="inlineStr">
        <is>
          <t>ÅNGE</t>
        </is>
      </c>
      <c r="G616" t="n">
        <v>8.6</v>
      </c>
      <c r="H616" t="n">
        <v>0</v>
      </c>
      <c r="I616" t="n">
        <v>0</v>
      </c>
      <c r="J616" t="n">
        <v>0</v>
      </c>
      <c r="K616" t="n">
        <v>0</v>
      </c>
      <c r="L616" t="n">
        <v>0</v>
      </c>
      <c r="M616" t="n">
        <v>0</v>
      </c>
      <c r="N616" t="n">
        <v>0</v>
      </c>
      <c r="O616" t="n">
        <v>0</v>
      </c>
      <c r="P616" t="n">
        <v>0</v>
      </c>
      <c r="Q616" t="n">
        <v>0</v>
      </c>
      <c r="R616" s="2" t="inlineStr"/>
    </row>
    <row r="617" ht="15" customHeight="1">
      <c r="A617" t="inlineStr">
        <is>
          <t>A 17009-2023</t>
        </is>
      </c>
      <c r="B617" s="1" t="n">
        <v>45033.9455787037</v>
      </c>
      <c r="C617" s="1" t="n">
        <v>46079</v>
      </c>
      <c r="D617" t="inlineStr">
        <is>
          <t>VÄSTERNORRLANDS LÄN</t>
        </is>
      </c>
      <c r="E617" t="inlineStr">
        <is>
          <t>ÅNGE</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27915-2024</t>
        </is>
      </c>
      <c r="B618" s="1" t="n">
        <v>45475</v>
      </c>
      <c r="C618" s="1" t="n">
        <v>46079</v>
      </c>
      <c r="D618" t="inlineStr">
        <is>
          <t>VÄSTERNORRLANDS LÄN</t>
        </is>
      </c>
      <c r="E618" t="inlineStr">
        <is>
          <t>ÅNGE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60578-2024</t>
        </is>
      </c>
      <c r="B619" s="1" t="n">
        <v>45644.34434027778</v>
      </c>
      <c r="C619" s="1" t="n">
        <v>46079</v>
      </c>
      <c r="D619" t="inlineStr">
        <is>
          <t>VÄSTERNORRLANDS LÄN</t>
        </is>
      </c>
      <c r="E619" t="inlineStr">
        <is>
          <t>ÅNGE</t>
        </is>
      </c>
      <c r="F619" t="inlineStr">
        <is>
          <t>SCA</t>
        </is>
      </c>
      <c r="G619" t="n">
        <v>5.8</v>
      </c>
      <c r="H619" t="n">
        <v>0</v>
      </c>
      <c r="I619" t="n">
        <v>0</v>
      </c>
      <c r="J619" t="n">
        <v>0</v>
      </c>
      <c r="K619" t="n">
        <v>0</v>
      </c>
      <c r="L619" t="n">
        <v>0</v>
      </c>
      <c r="M619" t="n">
        <v>0</v>
      </c>
      <c r="N619" t="n">
        <v>0</v>
      </c>
      <c r="O619" t="n">
        <v>0</v>
      </c>
      <c r="P619" t="n">
        <v>0</v>
      </c>
      <c r="Q619" t="n">
        <v>0</v>
      </c>
      <c r="R619" s="2" t="inlineStr"/>
    </row>
    <row r="620" ht="15" customHeight="1">
      <c r="A620" t="inlineStr">
        <is>
          <t>A 1964-2022</t>
        </is>
      </c>
      <c r="B620" s="1" t="n">
        <v>44575.5050462963</v>
      </c>
      <c r="C620" s="1" t="n">
        <v>46079</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24977-2021</t>
        </is>
      </c>
      <c r="B621" s="1" t="n">
        <v>44341.51386574074</v>
      </c>
      <c r="C621" s="1" t="n">
        <v>46079</v>
      </c>
      <c r="D621" t="inlineStr">
        <is>
          <t>VÄSTERNORRLANDS LÄN</t>
        </is>
      </c>
      <c r="E621" t="inlineStr">
        <is>
          <t>ÅNGE</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25034-2023</t>
        </is>
      </c>
      <c r="B622" s="1" t="n">
        <v>45085</v>
      </c>
      <c r="C622" s="1" t="n">
        <v>46079</v>
      </c>
      <c r="D622" t="inlineStr">
        <is>
          <t>VÄSTERNORRLANDS LÄN</t>
        </is>
      </c>
      <c r="E622" t="inlineStr">
        <is>
          <t>ÅNGE</t>
        </is>
      </c>
      <c r="G622" t="n">
        <v>0.6</v>
      </c>
      <c r="H622" t="n">
        <v>0</v>
      </c>
      <c r="I622" t="n">
        <v>0</v>
      </c>
      <c r="J622" t="n">
        <v>0</v>
      </c>
      <c r="K622" t="n">
        <v>0</v>
      </c>
      <c r="L622" t="n">
        <v>0</v>
      </c>
      <c r="M622" t="n">
        <v>0</v>
      </c>
      <c r="N622" t="n">
        <v>0</v>
      </c>
      <c r="O622" t="n">
        <v>0</v>
      </c>
      <c r="P622" t="n">
        <v>0</v>
      </c>
      <c r="Q622" t="n">
        <v>0</v>
      </c>
      <c r="R622" s="2" t="inlineStr"/>
    </row>
    <row r="623" ht="15" customHeight="1">
      <c r="A623" t="inlineStr">
        <is>
          <t>A 10558-2023</t>
        </is>
      </c>
      <c r="B623" s="1" t="n">
        <v>44987.94438657408</v>
      </c>
      <c r="C623" s="1" t="n">
        <v>46079</v>
      </c>
      <c r="D623" t="inlineStr">
        <is>
          <t>VÄSTERNORRLANDS LÄN</t>
        </is>
      </c>
      <c r="E623" t="inlineStr">
        <is>
          <t>ÅNGE</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63522-2021</t>
        </is>
      </c>
      <c r="B624" s="1" t="n">
        <v>44508</v>
      </c>
      <c r="C624" s="1" t="n">
        <v>46079</v>
      </c>
      <c r="D624" t="inlineStr">
        <is>
          <t>VÄSTERNORRLANDS LÄN</t>
        </is>
      </c>
      <c r="E624" t="inlineStr">
        <is>
          <t>ÅNGE</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57287-2022</t>
        </is>
      </c>
      <c r="B625" s="1" t="n">
        <v>44895.95</v>
      </c>
      <c r="C625" s="1" t="n">
        <v>46079</v>
      </c>
      <c r="D625" t="inlineStr">
        <is>
          <t>VÄSTERNORRLANDS LÄN</t>
        </is>
      </c>
      <c r="E625" t="inlineStr">
        <is>
          <t>ÅNGE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57291-2022</t>
        </is>
      </c>
      <c r="B626" s="1" t="n">
        <v>44895</v>
      </c>
      <c r="C626" s="1" t="n">
        <v>46079</v>
      </c>
      <c r="D626" t="inlineStr">
        <is>
          <t>VÄSTERNORRLANDS LÄN</t>
        </is>
      </c>
      <c r="E626" t="inlineStr">
        <is>
          <t>ÅNGE</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6680-2024</t>
        </is>
      </c>
      <c r="B627" s="1" t="n">
        <v>45341</v>
      </c>
      <c r="C627" s="1" t="n">
        <v>46079</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6685-2024</t>
        </is>
      </c>
      <c r="B628" s="1" t="n">
        <v>45341</v>
      </c>
      <c r="C628" s="1" t="n">
        <v>46079</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6689-2024</t>
        </is>
      </c>
      <c r="B629" s="1" t="n">
        <v>45341.9259375</v>
      </c>
      <c r="C629" s="1" t="n">
        <v>46079</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35488-2024</t>
        </is>
      </c>
      <c r="B630" s="1" t="n">
        <v>45531</v>
      </c>
      <c r="C630" s="1" t="n">
        <v>46079</v>
      </c>
      <c r="D630" t="inlineStr">
        <is>
          <t>VÄSTERNORRLANDS LÄN</t>
        </is>
      </c>
      <c r="E630" t="inlineStr">
        <is>
          <t>ÅNGE</t>
        </is>
      </c>
      <c r="G630" t="n">
        <v>2.4</v>
      </c>
      <c r="H630" t="n">
        <v>0</v>
      </c>
      <c r="I630" t="n">
        <v>0</v>
      </c>
      <c r="J630" t="n">
        <v>0</v>
      </c>
      <c r="K630" t="n">
        <v>0</v>
      </c>
      <c r="L630" t="n">
        <v>0</v>
      </c>
      <c r="M630" t="n">
        <v>0</v>
      </c>
      <c r="N630" t="n">
        <v>0</v>
      </c>
      <c r="O630" t="n">
        <v>0</v>
      </c>
      <c r="P630" t="n">
        <v>0</v>
      </c>
      <c r="Q630" t="n">
        <v>0</v>
      </c>
      <c r="R630" s="2" t="inlineStr"/>
    </row>
    <row r="631" ht="15" customHeight="1">
      <c r="A631" t="inlineStr">
        <is>
          <t>A 35593-2024</t>
        </is>
      </c>
      <c r="B631" s="1" t="n">
        <v>45531</v>
      </c>
      <c r="C631" s="1" t="n">
        <v>46079</v>
      </c>
      <c r="D631" t="inlineStr">
        <is>
          <t>VÄSTERNORRLANDS LÄN</t>
        </is>
      </c>
      <c r="E631" t="inlineStr">
        <is>
          <t>ÅNGE</t>
        </is>
      </c>
      <c r="G631" t="n">
        <v>17.6</v>
      </c>
      <c r="H631" t="n">
        <v>0</v>
      </c>
      <c r="I631" t="n">
        <v>0</v>
      </c>
      <c r="J631" t="n">
        <v>0</v>
      </c>
      <c r="K631" t="n">
        <v>0</v>
      </c>
      <c r="L631" t="n">
        <v>0</v>
      </c>
      <c r="M631" t="n">
        <v>0</v>
      </c>
      <c r="N631" t="n">
        <v>0</v>
      </c>
      <c r="O631" t="n">
        <v>0</v>
      </c>
      <c r="P631" t="n">
        <v>0</v>
      </c>
      <c r="Q631" t="n">
        <v>0</v>
      </c>
      <c r="R631" s="2" t="inlineStr"/>
    </row>
    <row r="632" ht="15" customHeight="1">
      <c r="A632" t="inlineStr">
        <is>
          <t>A 22597-2021</t>
        </is>
      </c>
      <c r="B632" s="1" t="n">
        <v>44326</v>
      </c>
      <c r="C632" s="1" t="n">
        <v>46079</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41758-2024</t>
        </is>
      </c>
      <c r="B633" s="1" t="n">
        <v>45561.34478009259</v>
      </c>
      <c r="C633" s="1" t="n">
        <v>46079</v>
      </c>
      <c r="D633" t="inlineStr">
        <is>
          <t>VÄSTERNORRLANDS LÄN</t>
        </is>
      </c>
      <c r="E633" t="inlineStr">
        <is>
          <t>ÅNGE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5433-2024</t>
        </is>
      </c>
      <c r="B634" s="1" t="n">
        <v>45331</v>
      </c>
      <c r="C634" s="1" t="n">
        <v>46079</v>
      </c>
      <c r="D634" t="inlineStr">
        <is>
          <t>VÄSTERNORRLANDS LÄN</t>
        </is>
      </c>
      <c r="E634" t="inlineStr">
        <is>
          <t>ÅNGE</t>
        </is>
      </c>
      <c r="G634" t="n">
        <v>2.1</v>
      </c>
      <c r="H634" t="n">
        <v>0</v>
      </c>
      <c r="I634" t="n">
        <v>0</v>
      </c>
      <c r="J634" t="n">
        <v>0</v>
      </c>
      <c r="K634" t="n">
        <v>0</v>
      </c>
      <c r="L634" t="n">
        <v>0</v>
      </c>
      <c r="M634" t="n">
        <v>0</v>
      </c>
      <c r="N634" t="n">
        <v>0</v>
      </c>
      <c r="O634" t="n">
        <v>0</v>
      </c>
      <c r="P634" t="n">
        <v>0</v>
      </c>
      <c r="Q634" t="n">
        <v>0</v>
      </c>
      <c r="R634" s="2" t="inlineStr"/>
    </row>
    <row r="635" ht="15" customHeight="1">
      <c r="A635" t="inlineStr">
        <is>
          <t>A 27468-2024</t>
        </is>
      </c>
      <c r="B635" s="1" t="n">
        <v>45474</v>
      </c>
      <c r="C635" s="1" t="n">
        <v>46079</v>
      </c>
      <c r="D635" t="inlineStr">
        <is>
          <t>VÄSTERNORRLANDS LÄN</t>
        </is>
      </c>
      <c r="E635" t="inlineStr">
        <is>
          <t>ÅNGE</t>
        </is>
      </c>
      <c r="G635" t="n">
        <v>1.3</v>
      </c>
      <c r="H635" t="n">
        <v>0</v>
      </c>
      <c r="I635" t="n">
        <v>0</v>
      </c>
      <c r="J635" t="n">
        <v>0</v>
      </c>
      <c r="K635" t="n">
        <v>0</v>
      </c>
      <c r="L635" t="n">
        <v>0</v>
      </c>
      <c r="M635" t="n">
        <v>0</v>
      </c>
      <c r="N635" t="n">
        <v>0</v>
      </c>
      <c r="O635" t="n">
        <v>0</v>
      </c>
      <c r="P635" t="n">
        <v>0</v>
      </c>
      <c r="Q635" t="n">
        <v>0</v>
      </c>
      <c r="R635" s="2" t="inlineStr"/>
    </row>
    <row r="636" ht="15" customHeight="1">
      <c r="A636" t="inlineStr">
        <is>
          <t>A 19926-2025</t>
        </is>
      </c>
      <c r="B636" s="1" t="n">
        <v>45771.6357175926</v>
      </c>
      <c r="C636" s="1" t="n">
        <v>46079</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51055-2023</t>
        </is>
      </c>
      <c r="B637" s="1" t="n">
        <v>45218</v>
      </c>
      <c r="C637" s="1" t="n">
        <v>46079</v>
      </c>
      <c r="D637" t="inlineStr">
        <is>
          <t>VÄSTERNORRLANDS LÄN</t>
        </is>
      </c>
      <c r="E637" t="inlineStr">
        <is>
          <t>ÅNGE</t>
        </is>
      </c>
      <c r="G637" t="n">
        <v>1.3</v>
      </c>
      <c r="H637" t="n">
        <v>0</v>
      </c>
      <c r="I637" t="n">
        <v>0</v>
      </c>
      <c r="J637" t="n">
        <v>0</v>
      </c>
      <c r="K637" t="n">
        <v>0</v>
      </c>
      <c r="L637" t="n">
        <v>0</v>
      </c>
      <c r="M637" t="n">
        <v>0</v>
      </c>
      <c r="N637" t="n">
        <v>0</v>
      </c>
      <c r="O637" t="n">
        <v>0</v>
      </c>
      <c r="P637" t="n">
        <v>0</v>
      </c>
      <c r="Q637" t="n">
        <v>0</v>
      </c>
      <c r="R637" s="2" t="inlineStr"/>
    </row>
    <row r="638" ht="15" customHeight="1">
      <c r="A638" t="inlineStr">
        <is>
          <t>A 30055-2024</t>
        </is>
      </c>
      <c r="B638" s="1" t="n">
        <v>45488.94767361111</v>
      </c>
      <c r="C638" s="1" t="n">
        <v>46079</v>
      </c>
      <c r="D638" t="inlineStr">
        <is>
          <t>VÄSTERNORRLANDS LÄN</t>
        </is>
      </c>
      <c r="E638" t="inlineStr">
        <is>
          <t>ÅNGE</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6684-2024</t>
        </is>
      </c>
      <c r="B639" s="1" t="n">
        <v>45341.92555555556</v>
      </c>
      <c r="C639" s="1" t="n">
        <v>46079</v>
      </c>
      <c r="D639" t="inlineStr">
        <is>
          <t>VÄSTERNORRLANDS LÄN</t>
        </is>
      </c>
      <c r="E639" t="inlineStr">
        <is>
          <t>ÅNGE</t>
        </is>
      </c>
      <c r="G639" t="n">
        <v>1</v>
      </c>
      <c r="H639" t="n">
        <v>0</v>
      </c>
      <c r="I639" t="n">
        <v>0</v>
      </c>
      <c r="J639" t="n">
        <v>0</v>
      </c>
      <c r="K639" t="n">
        <v>0</v>
      </c>
      <c r="L639" t="n">
        <v>0</v>
      </c>
      <c r="M639" t="n">
        <v>0</v>
      </c>
      <c r="N639" t="n">
        <v>0</v>
      </c>
      <c r="O639" t="n">
        <v>0</v>
      </c>
      <c r="P639" t="n">
        <v>0</v>
      </c>
      <c r="Q639" t="n">
        <v>0</v>
      </c>
      <c r="R639" s="2" t="inlineStr"/>
    </row>
    <row r="640" ht="15" customHeight="1">
      <c r="A640" t="inlineStr">
        <is>
          <t>A 10282-2025</t>
        </is>
      </c>
      <c r="B640" s="1" t="n">
        <v>45720.40659722222</v>
      </c>
      <c r="C640" s="1" t="n">
        <v>46079</v>
      </c>
      <c r="D640" t="inlineStr">
        <is>
          <t>VÄSTERNORRLANDS LÄN</t>
        </is>
      </c>
      <c r="E640" t="inlineStr">
        <is>
          <t>ÅNGE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137-2025</t>
        </is>
      </c>
      <c r="B641" s="1" t="n">
        <v>45659.57684027778</v>
      </c>
      <c r="C641" s="1" t="n">
        <v>46079</v>
      </c>
      <c r="D641" t="inlineStr">
        <is>
          <t>VÄSTERNORRLANDS LÄN</t>
        </is>
      </c>
      <c r="E641" t="inlineStr">
        <is>
          <t>ÅNGE</t>
        </is>
      </c>
      <c r="G641" t="n">
        <v>0.2</v>
      </c>
      <c r="H641" t="n">
        <v>0</v>
      </c>
      <c r="I641" t="n">
        <v>0</v>
      </c>
      <c r="J641" t="n">
        <v>0</v>
      </c>
      <c r="K641" t="n">
        <v>0</v>
      </c>
      <c r="L641" t="n">
        <v>0</v>
      </c>
      <c r="M641" t="n">
        <v>0</v>
      </c>
      <c r="N641" t="n">
        <v>0</v>
      </c>
      <c r="O641" t="n">
        <v>0</v>
      </c>
      <c r="P641" t="n">
        <v>0</v>
      </c>
      <c r="Q641" t="n">
        <v>0</v>
      </c>
      <c r="R641" s="2" t="inlineStr"/>
    </row>
    <row r="642" ht="15" customHeight="1">
      <c r="A642" t="inlineStr">
        <is>
          <t>A 49487-2024</t>
        </is>
      </c>
      <c r="B642" s="1" t="n">
        <v>45596.35813657408</v>
      </c>
      <c r="C642" s="1" t="n">
        <v>46079</v>
      </c>
      <c r="D642" t="inlineStr">
        <is>
          <t>VÄSTERNORRLANDS LÄN</t>
        </is>
      </c>
      <c r="E642" t="inlineStr">
        <is>
          <t>ÅNGE</t>
        </is>
      </c>
      <c r="G642" t="n">
        <v>4.3</v>
      </c>
      <c r="H642" t="n">
        <v>0</v>
      </c>
      <c r="I642" t="n">
        <v>0</v>
      </c>
      <c r="J642" t="n">
        <v>0</v>
      </c>
      <c r="K642" t="n">
        <v>0</v>
      </c>
      <c r="L642" t="n">
        <v>0</v>
      </c>
      <c r="M642" t="n">
        <v>0</v>
      </c>
      <c r="N642" t="n">
        <v>0</v>
      </c>
      <c r="O642" t="n">
        <v>0</v>
      </c>
      <c r="P642" t="n">
        <v>0</v>
      </c>
      <c r="Q642" t="n">
        <v>0</v>
      </c>
      <c r="R642" s="2" t="inlineStr"/>
    </row>
    <row r="643" ht="15" customHeight="1">
      <c r="A643" t="inlineStr">
        <is>
          <t>A 10071-2023</t>
        </is>
      </c>
      <c r="B643" s="1" t="n">
        <v>44985.92418981482</v>
      </c>
      <c r="C643" s="1" t="n">
        <v>46079</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26011-2024</t>
        </is>
      </c>
      <c r="B644" s="1" t="n">
        <v>45467.95828703704</v>
      </c>
      <c r="C644" s="1" t="n">
        <v>46079</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26014-2024</t>
        </is>
      </c>
      <c r="B645" s="1" t="n">
        <v>45467.95862268518</v>
      </c>
      <c r="C645" s="1" t="n">
        <v>46079</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26019-2024</t>
        </is>
      </c>
      <c r="B646" s="1" t="n">
        <v>45467.96015046296</v>
      </c>
      <c r="C646" s="1" t="n">
        <v>46079</v>
      </c>
      <c r="D646" t="inlineStr">
        <is>
          <t>VÄSTERNORRLANDS LÄN</t>
        </is>
      </c>
      <c r="E646" t="inlineStr">
        <is>
          <t>ÅNGE</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113-2025</t>
        </is>
      </c>
      <c r="B647" s="1" t="n">
        <v>45659.5106712963</v>
      </c>
      <c r="C647" s="1" t="n">
        <v>46079</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44606-2024</t>
        </is>
      </c>
      <c r="B648" s="1" t="n">
        <v>45574.51195601852</v>
      </c>
      <c r="C648" s="1" t="n">
        <v>46079</v>
      </c>
      <c r="D648" t="inlineStr">
        <is>
          <t>VÄSTERNORRLANDS LÄN</t>
        </is>
      </c>
      <c r="E648" t="inlineStr">
        <is>
          <t>ÅNGE</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44626-2024</t>
        </is>
      </c>
      <c r="B649" s="1" t="n">
        <v>45574.51378472222</v>
      </c>
      <c r="C649" s="1" t="n">
        <v>46079</v>
      </c>
      <c r="D649" t="inlineStr">
        <is>
          <t>VÄSTERNORRLANDS LÄN</t>
        </is>
      </c>
      <c r="E649" t="inlineStr">
        <is>
          <t>ÅNGE</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1403-2025</t>
        </is>
      </c>
      <c r="B650" s="1" t="n">
        <v>45667.70548611111</v>
      </c>
      <c r="C650" s="1" t="n">
        <v>46079</v>
      </c>
      <c r="D650" t="inlineStr">
        <is>
          <t>VÄSTERNORRLANDS LÄN</t>
        </is>
      </c>
      <c r="E650" t="inlineStr">
        <is>
          <t>ÅNGE</t>
        </is>
      </c>
      <c r="G650" t="n">
        <v>1.3</v>
      </c>
      <c r="H650" t="n">
        <v>0</v>
      </c>
      <c r="I650" t="n">
        <v>0</v>
      </c>
      <c r="J650" t="n">
        <v>0</v>
      </c>
      <c r="K650" t="n">
        <v>0</v>
      </c>
      <c r="L650" t="n">
        <v>0</v>
      </c>
      <c r="M650" t="n">
        <v>0</v>
      </c>
      <c r="N650" t="n">
        <v>0</v>
      </c>
      <c r="O650" t="n">
        <v>0</v>
      </c>
      <c r="P650" t="n">
        <v>0</v>
      </c>
      <c r="Q650" t="n">
        <v>0</v>
      </c>
      <c r="R650" s="2" t="inlineStr"/>
    </row>
    <row r="651" ht="15" customHeight="1">
      <c r="A651" t="inlineStr">
        <is>
          <t>A 39619-2024</t>
        </is>
      </c>
      <c r="B651" s="1" t="n">
        <v>45552</v>
      </c>
      <c r="C651" s="1" t="n">
        <v>46079</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14889-2022</t>
        </is>
      </c>
      <c r="B652" s="1" t="n">
        <v>44656</v>
      </c>
      <c r="C652" s="1" t="n">
        <v>46079</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60817-2024</t>
        </is>
      </c>
      <c r="B653" s="1" t="n">
        <v>45644</v>
      </c>
      <c r="C653" s="1" t="n">
        <v>46079</v>
      </c>
      <c r="D653" t="inlineStr">
        <is>
          <t>VÄSTERNORRLANDS LÄN</t>
        </is>
      </c>
      <c r="E653" t="inlineStr">
        <is>
          <t>ÅNGE</t>
        </is>
      </c>
      <c r="G653" t="n">
        <v>3.2</v>
      </c>
      <c r="H653" t="n">
        <v>0</v>
      </c>
      <c r="I653" t="n">
        <v>0</v>
      </c>
      <c r="J653" t="n">
        <v>0</v>
      </c>
      <c r="K653" t="n">
        <v>0</v>
      </c>
      <c r="L653" t="n">
        <v>0</v>
      </c>
      <c r="M653" t="n">
        <v>0</v>
      </c>
      <c r="N653" t="n">
        <v>0</v>
      </c>
      <c r="O653" t="n">
        <v>0</v>
      </c>
      <c r="P653" t="n">
        <v>0</v>
      </c>
      <c r="Q653" t="n">
        <v>0</v>
      </c>
      <c r="R653" s="2" t="inlineStr"/>
    </row>
    <row r="654" ht="15" customHeight="1">
      <c r="A654" t="inlineStr">
        <is>
          <t>A 23225-2024</t>
        </is>
      </c>
      <c r="B654" s="1" t="n">
        <v>45452.9490162037</v>
      </c>
      <c r="C654" s="1" t="n">
        <v>46079</v>
      </c>
      <c r="D654" t="inlineStr">
        <is>
          <t>VÄSTERNORRLANDS LÄN</t>
        </is>
      </c>
      <c r="E654" t="inlineStr">
        <is>
          <t>ÅNGE</t>
        </is>
      </c>
      <c r="G654" t="n">
        <v>1</v>
      </c>
      <c r="H654" t="n">
        <v>0</v>
      </c>
      <c r="I654" t="n">
        <v>0</v>
      </c>
      <c r="J654" t="n">
        <v>0</v>
      </c>
      <c r="K654" t="n">
        <v>0</v>
      </c>
      <c r="L654" t="n">
        <v>0</v>
      </c>
      <c r="M654" t="n">
        <v>0</v>
      </c>
      <c r="N654" t="n">
        <v>0</v>
      </c>
      <c r="O654" t="n">
        <v>0</v>
      </c>
      <c r="P654" t="n">
        <v>0</v>
      </c>
      <c r="Q654" t="n">
        <v>0</v>
      </c>
      <c r="R654" s="2" t="inlineStr"/>
    </row>
    <row r="655" ht="15" customHeight="1">
      <c r="A655" t="inlineStr">
        <is>
          <t>A 58774-2023</t>
        </is>
      </c>
      <c r="B655" s="1" t="n">
        <v>45251</v>
      </c>
      <c r="C655" s="1" t="n">
        <v>46079</v>
      </c>
      <c r="D655" t="inlineStr">
        <is>
          <t>VÄSTERNORRLANDS LÄN</t>
        </is>
      </c>
      <c r="E655" t="inlineStr">
        <is>
          <t>ÅNGE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4359-2025</t>
        </is>
      </c>
      <c r="B656" s="1" t="n">
        <v>45686.33072916666</v>
      </c>
      <c r="C656" s="1" t="n">
        <v>46079</v>
      </c>
      <c r="D656" t="inlineStr">
        <is>
          <t>VÄSTERNORRLANDS LÄN</t>
        </is>
      </c>
      <c r="E656" t="inlineStr">
        <is>
          <t>ÅNGE</t>
        </is>
      </c>
      <c r="F656" t="inlineStr">
        <is>
          <t>Holmen skog AB</t>
        </is>
      </c>
      <c r="G656" t="n">
        <v>22</v>
      </c>
      <c r="H656" t="n">
        <v>0</v>
      </c>
      <c r="I656" t="n">
        <v>0</v>
      </c>
      <c r="J656" t="n">
        <v>0</v>
      </c>
      <c r="K656" t="n">
        <v>0</v>
      </c>
      <c r="L656" t="n">
        <v>0</v>
      </c>
      <c r="M656" t="n">
        <v>0</v>
      </c>
      <c r="N656" t="n">
        <v>0</v>
      </c>
      <c r="O656" t="n">
        <v>0</v>
      </c>
      <c r="P656" t="n">
        <v>0</v>
      </c>
      <c r="Q656" t="n">
        <v>0</v>
      </c>
      <c r="R656" s="2" t="inlineStr"/>
    </row>
    <row r="657" ht="15" customHeight="1">
      <c r="A657" t="inlineStr">
        <is>
          <t>A 16362-2023</t>
        </is>
      </c>
      <c r="B657" s="1" t="n">
        <v>45028.9250462963</v>
      </c>
      <c r="C657" s="1" t="n">
        <v>46079</v>
      </c>
      <c r="D657" t="inlineStr">
        <is>
          <t>VÄSTERNORRLANDS LÄN</t>
        </is>
      </c>
      <c r="E657" t="inlineStr">
        <is>
          <t>ÅNGE</t>
        </is>
      </c>
      <c r="G657" t="n">
        <v>4.8</v>
      </c>
      <c r="H657" t="n">
        <v>0</v>
      </c>
      <c r="I657" t="n">
        <v>0</v>
      </c>
      <c r="J657" t="n">
        <v>0</v>
      </c>
      <c r="K657" t="n">
        <v>0</v>
      </c>
      <c r="L657" t="n">
        <v>0</v>
      </c>
      <c r="M657" t="n">
        <v>0</v>
      </c>
      <c r="N657" t="n">
        <v>0</v>
      </c>
      <c r="O657" t="n">
        <v>0</v>
      </c>
      <c r="P657" t="n">
        <v>0</v>
      </c>
      <c r="Q657" t="n">
        <v>0</v>
      </c>
      <c r="R657" s="2" t="inlineStr"/>
    </row>
    <row r="658" ht="15" customHeight="1">
      <c r="A658" t="inlineStr">
        <is>
          <t>A 33305-2024</t>
        </is>
      </c>
      <c r="B658" s="1" t="n">
        <v>45518</v>
      </c>
      <c r="C658" s="1" t="n">
        <v>46079</v>
      </c>
      <c r="D658" t="inlineStr">
        <is>
          <t>VÄSTERNORRLANDS LÄN</t>
        </is>
      </c>
      <c r="E658" t="inlineStr">
        <is>
          <t>ÅNGE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33306-2024</t>
        </is>
      </c>
      <c r="B659" s="1" t="n">
        <v>45518</v>
      </c>
      <c r="C659" s="1" t="n">
        <v>46079</v>
      </c>
      <c r="D659" t="inlineStr">
        <is>
          <t>VÄSTERNORRLANDS LÄN</t>
        </is>
      </c>
      <c r="E659" t="inlineStr">
        <is>
          <t>ÅNGE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11399-2025</t>
        </is>
      </c>
      <c r="B660" s="1" t="n">
        <v>45726.57364583333</v>
      </c>
      <c r="C660" s="1" t="n">
        <v>46079</v>
      </c>
      <c r="D660" t="inlineStr">
        <is>
          <t>VÄSTERNORRLANDS LÄN</t>
        </is>
      </c>
      <c r="E660" t="inlineStr">
        <is>
          <t>ÅNGE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7535-2023</t>
        </is>
      </c>
      <c r="B661" s="1" t="n">
        <v>44971</v>
      </c>
      <c r="C661" s="1" t="n">
        <v>46079</v>
      </c>
      <c r="D661" t="inlineStr">
        <is>
          <t>VÄSTERNORRLANDS LÄN</t>
        </is>
      </c>
      <c r="E661" t="inlineStr">
        <is>
          <t>ÅNGE</t>
        </is>
      </c>
      <c r="F661" t="inlineStr">
        <is>
          <t>SCA</t>
        </is>
      </c>
      <c r="G661" t="n">
        <v>14.6</v>
      </c>
      <c r="H661" t="n">
        <v>0</v>
      </c>
      <c r="I661" t="n">
        <v>0</v>
      </c>
      <c r="J661" t="n">
        <v>0</v>
      </c>
      <c r="K661" t="n">
        <v>0</v>
      </c>
      <c r="L661" t="n">
        <v>0</v>
      </c>
      <c r="M661" t="n">
        <v>0</v>
      </c>
      <c r="N661" t="n">
        <v>0</v>
      </c>
      <c r="O661" t="n">
        <v>0</v>
      </c>
      <c r="P661" t="n">
        <v>0</v>
      </c>
      <c r="Q661" t="n">
        <v>0</v>
      </c>
      <c r="R661" s="2" t="inlineStr"/>
    </row>
    <row r="662" ht="15" customHeight="1">
      <c r="A662" t="inlineStr">
        <is>
          <t>A 28779-2023</t>
        </is>
      </c>
      <c r="B662" s="1" t="n">
        <v>45104.34314814815</v>
      </c>
      <c r="C662" s="1" t="n">
        <v>46079</v>
      </c>
      <c r="D662" t="inlineStr">
        <is>
          <t>VÄSTERNORRLANDS LÄN</t>
        </is>
      </c>
      <c r="E662" t="inlineStr">
        <is>
          <t>ÅNGE</t>
        </is>
      </c>
      <c r="G662" t="n">
        <v>1.3</v>
      </c>
      <c r="H662" t="n">
        <v>0</v>
      </c>
      <c r="I662" t="n">
        <v>0</v>
      </c>
      <c r="J662" t="n">
        <v>0</v>
      </c>
      <c r="K662" t="n">
        <v>0</v>
      </c>
      <c r="L662" t="n">
        <v>0</v>
      </c>
      <c r="M662" t="n">
        <v>0</v>
      </c>
      <c r="N662" t="n">
        <v>0</v>
      </c>
      <c r="O662" t="n">
        <v>0</v>
      </c>
      <c r="P662" t="n">
        <v>0</v>
      </c>
      <c r="Q662" t="n">
        <v>0</v>
      </c>
      <c r="R662" s="2" t="inlineStr"/>
    </row>
    <row r="663" ht="15" customHeight="1">
      <c r="A663" t="inlineStr">
        <is>
          <t>A 63607-2021</t>
        </is>
      </c>
      <c r="B663" s="1" t="n">
        <v>44508.94650462963</v>
      </c>
      <c r="C663" s="1" t="n">
        <v>46079</v>
      </c>
      <c r="D663" t="inlineStr">
        <is>
          <t>VÄSTERNORRLANDS LÄN</t>
        </is>
      </c>
      <c r="E663" t="inlineStr">
        <is>
          <t>ÅNGE</t>
        </is>
      </c>
      <c r="F663" t="inlineStr">
        <is>
          <t>SCA</t>
        </is>
      </c>
      <c r="G663" t="n">
        <v>6.7</v>
      </c>
      <c r="H663" t="n">
        <v>0</v>
      </c>
      <c r="I663" t="n">
        <v>0</v>
      </c>
      <c r="J663" t="n">
        <v>0</v>
      </c>
      <c r="K663" t="n">
        <v>0</v>
      </c>
      <c r="L663" t="n">
        <v>0</v>
      </c>
      <c r="M663" t="n">
        <v>0</v>
      </c>
      <c r="N663" t="n">
        <v>0</v>
      </c>
      <c r="O663" t="n">
        <v>0</v>
      </c>
      <c r="P663" t="n">
        <v>0</v>
      </c>
      <c r="Q663" t="n">
        <v>0</v>
      </c>
      <c r="R663" s="2" t="inlineStr"/>
    </row>
    <row r="664" ht="15" customHeight="1">
      <c r="A664" t="inlineStr">
        <is>
          <t>A 30235-2024</t>
        </is>
      </c>
      <c r="B664" s="1" t="n">
        <v>45490.49040509259</v>
      </c>
      <c r="C664" s="1" t="n">
        <v>46079</v>
      </c>
      <c r="D664" t="inlineStr">
        <is>
          <t>VÄSTERNORRLANDS LÄN</t>
        </is>
      </c>
      <c r="E664" t="inlineStr">
        <is>
          <t>ÅNGE</t>
        </is>
      </c>
      <c r="G664" t="n">
        <v>3.7</v>
      </c>
      <c r="H664" t="n">
        <v>0</v>
      </c>
      <c r="I664" t="n">
        <v>0</v>
      </c>
      <c r="J664" t="n">
        <v>0</v>
      </c>
      <c r="K664" t="n">
        <v>0</v>
      </c>
      <c r="L664" t="n">
        <v>0</v>
      </c>
      <c r="M664" t="n">
        <v>0</v>
      </c>
      <c r="N664" t="n">
        <v>0</v>
      </c>
      <c r="O664" t="n">
        <v>0</v>
      </c>
      <c r="P664" t="n">
        <v>0</v>
      </c>
      <c r="Q664" t="n">
        <v>0</v>
      </c>
      <c r="R664" s="2" t="inlineStr"/>
    </row>
    <row r="665" ht="15" customHeight="1">
      <c r="A665" t="inlineStr">
        <is>
          <t>A 37038-2024</t>
        </is>
      </c>
      <c r="B665" s="1" t="n">
        <v>45539.40881944444</v>
      </c>
      <c r="C665" s="1" t="n">
        <v>46079</v>
      </c>
      <c r="D665" t="inlineStr">
        <is>
          <t>VÄSTERNORRLANDS LÄN</t>
        </is>
      </c>
      <c r="E665" t="inlineStr">
        <is>
          <t>ÅNGE</t>
        </is>
      </c>
      <c r="G665" t="n">
        <v>1.4</v>
      </c>
      <c r="H665" t="n">
        <v>0</v>
      </c>
      <c r="I665" t="n">
        <v>0</v>
      </c>
      <c r="J665" t="n">
        <v>0</v>
      </c>
      <c r="K665" t="n">
        <v>0</v>
      </c>
      <c r="L665" t="n">
        <v>0</v>
      </c>
      <c r="M665" t="n">
        <v>0</v>
      </c>
      <c r="N665" t="n">
        <v>0</v>
      </c>
      <c r="O665" t="n">
        <v>0</v>
      </c>
      <c r="P665" t="n">
        <v>0</v>
      </c>
      <c r="Q665" t="n">
        <v>0</v>
      </c>
      <c r="R665" s="2" t="inlineStr"/>
    </row>
    <row r="666" ht="15" customHeight="1">
      <c r="A666" t="inlineStr">
        <is>
          <t>A 15822-2025</t>
        </is>
      </c>
      <c r="B666" s="1" t="n">
        <v>45748.70172453704</v>
      </c>
      <c r="C666" s="1" t="n">
        <v>46079</v>
      </c>
      <c r="D666" t="inlineStr">
        <is>
          <t>VÄSTERNORRLANDS LÄN</t>
        </is>
      </c>
      <c r="E666" t="inlineStr">
        <is>
          <t>ÅNGE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41370-2023</t>
        </is>
      </c>
      <c r="B667" s="1" t="n">
        <v>45174.85951388889</v>
      </c>
      <c r="C667" s="1" t="n">
        <v>46079</v>
      </c>
      <c r="D667" t="inlineStr">
        <is>
          <t>VÄSTERNORRLANDS LÄN</t>
        </is>
      </c>
      <c r="E667" t="inlineStr">
        <is>
          <t>ÅNGE</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61781-2023</t>
        </is>
      </c>
      <c r="B668" s="1" t="n">
        <v>45265.95708333333</v>
      </c>
      <c r="C668" s="1" t="n">
        <v>46079</v>
      </c>
      <c r="D668" t="inlineStr">
        <is>
          <t>VÄSTERNORRLANDS LÄN</t>
        </is>
      </c>
      <c r="E668" t="inlineStr">
        <is>
          <t>ÅNGE</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57591-2022</t>
        </is>
      </c>
      <c r="B669" s="1" t="n">
        <v>44896.97834490741</v>
      </c>
      <c r="C669" s="1" t="n">
        <v>46079</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14927-2025</t>
        </is>
      </c>
      <c r="B670" s="1" t="n">
        <v>45743</v>
      </c>
      <c r="C670" s="1" t="n">
        <v>46079</v>
      </c>
      <c r="D670" t="inlineStr">
        <is>
          <t>VÄSTERNORRLANDS LÄN</t>
        </is>
      </c>
      <c r="E670" t="inlineStr">
        <is>
          <t>ÅNGE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38284-2022</t>
        </is>
      </c>
      <c r="B671" s="1" t="n">
        <v>44812.55149305556</v>
      </c>
      <c r="C671" s="1" t="n">
        <v>46079</v>
      </c>
      <c r="D671" t="inlineStr">
        <is>
          <t>VÄSTERNORRLANDS LÄN</t>
        </is>
      </c>
      <c r="E671" t="inlineStr">
        <is>
          <t>ÅNGE</t>
        </is>
      </c>
      <c r="G671" t="n">
        <v>2.4</v>
      </c>
      <c r="H671" t="n">
        <v>0</v>
      </c>
      <c r="I671" t="n">
        <v>0</v>
      </c>
      <c r="J671" t="n">
        <v>0</v>
      </c>
      <c r="K671" t="n">
        <v>0</v>
      </c>
      <c r="L671" t="n">
        <v>0</v>
      </c>
      <c r="M671" t="n">
        <v>0</v>
      </c>
      <c r="N671" t="n">
        <v>0</v>
      </c>
      <c r="O671" t="n">
        <v>0</v>
      </c>
      <c r="P671" t="n">
        <v>0</v>
      </c>
      <c r="Q671" t="n">
        <v>0</v>
      </c>
      <c r="R671" s="2" t="inlineStr"/>
    </row>
    <row r="672" ht="15" customHeight="1">
      <c r="A672" t="inlineStr">
        <is>
          <t>A 17044-2023</t>
        </is>
      </c>
      <c r="B672" s="1" t="n">
        <v>45034</v>
      </c>
      <c r="C672" s="1" t="n">
        <v>46079</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30353-2024</t>
        </is>
      </c>
      <c r="B673" s="1" t="n">
        <v>45490.95567129629</v>
      </c>
      <c r="C673" s="1" t="n">
        <v>46079</v>
      </c>
      <c r="D673" t="inlineStr">
        <is>
          <t>VÄSTERNORRLANDS LÄN</t>
        </is>
      </c>
      <c r="E673" t="inlineStr">
        <is>
          <t>ÅNGE</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60812-2024</t>
        </is>
      </c>
      <c r="B674" s="1" t="n">
        <v>45644</v>
      </c>
      <c r="C674" s="1" t="n">
        <v>46079</v>
      </c>
      <c r="D674" t="inlineStr">
        <is>
          <t>VÄSTERNORRLANDS LÄN</t>
        </is>
      </c>
      <c r="E674" t="inlineStr">
        <is>
          <t>ÅNGE</t>
        </is>
      </c>
      <c r="G674" t="n">
        <v>3.6</v>
      </c>
      <c r="H674" t="n">
        <v>0</v>
      </c>
      <c r="I674" t="n">
        <v>0</v>
      </c>
      <c r="J674" t="n">
        <v>0</v>
      </c>
      <c r="K674" t="n">
        <v>0</v>
      </c>
      <c r="L674" t="n">
        <v>0</v>
      </c>
      <c r="M674" t="n">
        <v>0</v>
      </c>
      <c r="N674" t="n">
        <v>0</v>
      </c>
      <c r="O674" t="n">
        <v>0</v>
      </c>
      <c r="P674" t="n">
        <v>0</v>
      </c>
      <c r="Q674" t="n">
        <v>0</v>
      </c>
      <c r="R674" s="2" t="inlineStr"/>
    </row>
    <row r="675" ht="15" customHeight="1">
      <c r="A675" t="inlineStr">
        <is>
          <t>A 16606-2023</t>
        </is>
      </c>
      <c r="B675" s="1" t="n">
        <v>45030.3990625</v>
      </c>
      <c r="C675" s="1" t="n">
        <v>46079</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58943-2022</t>
        </is>
      </c>
      <c r="B676" s="1" t="n">
        <v>44903.64400462963</v>
      </c>
      <c r="C676" s="1" t="n">
        <v>46079</v>
      </c>
      <c r="D676" t="inlineStr">
        <is>
          <t>VÄSTERNORRLANDS LÄN</t>
        </is>
      </c>
      <c r="E676" t="inlineStr">
        <is>
          <t>ÅNGE</t>
        </is>
      </c>
      <c r="G676" t="n">
        <v>5.6</v>
      </c>
      <c r="H676" t="n">
        <v>0</v>
      </c>
      <c r="I676" t="n">
        <v>0</v>
      </c>
      <c r="J676" t="n">
        <v>0</v>
      </c>
      <c r="K676" t="n">
        <v>0</v>
      </c>
      <c r="L676" t="n">
        <v>0</v>
      </c>
      <c r="M676" t="n">
        <v>0</v>
      </c>
      <c r="N676" t="n">
        <v>0</v>
      </c>
      <c r="O676" t="n">
        <v>0</v>
      </c>
      <c r="P676" t="n">
        <v>0</v>
      </c>
      <c r="Q676" t="n">
        <v>0</v>
      </c>
      <c r="R676" s="2" t="inlineStr"/>
    </row>
    <row r="677" ht="15" customHeight="1">
      <c r="A677" t="inlineStr">
        <is>
          <t>A 59626-2022</t>
        </is>
      </c>
      <c r="B677" s="1" t="n">
        <v>44907.92354166666</v>
      </c>
      <c r="C677" s="1" t="n">
        <v>46079</v>
      </c>
      <c r="D677" t="inlineStr">
        <is>
          <t>VÄSTERNORRLANDS LÄN</t>
        </is>
      </c>
      <c r="E677" t="inlineStr">
        <is>
          <t>ÅNGE</t>
        </is>
      </c>
      <c r="G677" t="n">
        <v>1.4</v>
      </c>
      <c r="H677" t="n">
        <v>0</v>
      </c>
      <c r="I677" t="n">
        <v>0</v>
      </c>
      <c r="J677" t="n">
        <v>0</v>
      </c>
      <c r="K677" t="n">
        <v>0</v>
      </c>
      <c r="L677" t="n">
        <v>0</v>
      </c>
      <c r="M677" t="n">
        <v>0</v>
      </c>
      <c r="N677" t="n">
        <v>0</v>
      </c>
      <c r="O677" t="n">
        <v>0</v>
      </c>
      <c r="P677" t="n">
        <v>0</v>
      </c>
      <c r="Q677" t="n">
        <v>0</v>
      </c>
      <c r="R677" s="2" t="inlineStr"/>
    </row>
    <row r="678" ht="15" customHeight="1">
      <c r="A678" t="inlineStr">
        <is>
          <t>A 3249-2024</t>
        </is>
      </c>
      <c r="B678" s="1" t="n">
        <v>45316</v>
      </c>
      <c r="C678" s="1" t="n">
        <v>46079</v>
      </c>
      <c r="D678" t="inlineStr">
        <is>
          <t>VÄSTERNORRLANDS LÄN</t>
        </is>
      </c>
      <c r="E678" t="inlineStr">
        <is>
          <t>ÅNGE</t>
        </is>
      </c>
      <c r="G678" t="n">
        <v>0.3</v>
      </c>
      <c r="H678" t="n">
        <v>0</v>
      </c>
      <c r="I678" t="n">
        <v>0</v>
      </c>
      <c r="J678" t="n">
        <v>0</v>
      </c>
      <c r="K678" t="n">
        <v>0</v>
      </c>
      <c r="L678" t="n">
        <v>0</v>
      </c>
      <c r="M678" t="n">
        <v>0</v>
      </c>
      <c r="N678" t="n">
        <v>0</v>
      </c>
      <c r="O678" t="n">
        <v>0</v>
      </c>
      <c r="P678" t="n">
        <v>0</v>
      </c>
      <c r="Q678" t="n">
        <v>0</v>
      </c>
      <c r="R678" s="2" t="inlineStr"/>
    </row>
    <row r="679" ht="15" customHeight="1">
      <c r="A679" t="inlineStr">
        <is>
          <t>A 1103-2023</t>
        </is>
      </c>
      <c r="B679" s="1" t="n">
        <v>44929</v>
      </c>
      <c r="C679" s="1" t="n">
        <v>46079</v>
      </c>
      <c r="D679" t="inlineStr">
        <is>
          <t>VÄSTERNORRLANDS LÄN</t>
        </is>
      </c>
      <c r="E679" t="inlineStr">
        <is>
          <t>ÅNGE</t>
        </is>
      </c>
      <c r="G679" t="n">
        <v>7.3</v>
      </c>
      <c r="H679" t="n">
        <v>0</v>
      </c>
      <c r="I679" t="n">
        <v>0</v>
      </c>
      <c r="J679" t="n">
        <v>0</v>
      </c>
      <c r="K679" t="n">
        <v>0</v>
      </c>
      <c r="L679" t="n">
        <v>0</v>
      </c>
      <c r="M679" t="n">
        <v>0</v>
      </c>
      <c r="N679" t="n">
        <v>0</v>
      </c>
      <c r="O679" t="n">
        <v>0</v>
      </c>
      <c r="P679" t="n">
        <v>0</v>
      </c>
      <c r="Q679" t="n">
        <v>0</v>
      </c>
      <c r="R679" s="2" t="inlineStr"/>
    </row>
    <row r="680" ht="15" customHeight="1">
      <c r="A680" t="inlineStr">
        <is>
          <t>A 25047-2023</t>
        </is>
      </c>
      <c r="B680" s="1" t="n">
        <v>45085.94569444445</v>
      </c>
      <c r="C680" s="1" t="n">
        <v>46079</v>
      </c>
      <c r="D680" t="inlineStr">
        <is>
          <t>VÄSTERNORRLANDS LÄN</t>
        </is>
      </c>
      <c r="E680" t="inlineStr">
        <is>
          <t>ÅNGE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9759-2024</t>
        </is>
      </c>
      <c r="B681" s="1" t="n">
        <v>45362</v>
      </c>
      <c r="C681" s="1" t="n">
        <v>46079</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15791-2025</t>
        </is>
      </c>
      <c r="B682" s="1" t="n">
        <v>45748.631875</v>
      </c>
      <c r="C682" s="1" t="n">
        <v>46079</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57526-2024</t>
        </is>
      </c>
      <c r="B683" s="1" t="n">
        <v>45630</v>
      </c>
      <c r="C683" s="1" t="n">
        <v>46079</v>
      </c>
      <c r="D683" t="inlineStr">
        <is>
          <t>VÄSTERNORRLANDS LÄN</t>
        </is>
      </c>
      <c r="E683" t="inlineStr">
        <is>
          <t>ÅNGE</t>
        </is>
      </c>
      <c r="G683" t="n">
        <v>3.2</v>
      </c>
      <c r="H683" t="n">
        <v>0</v>
      </c>
      <c r="I683" t="n">
        <v>0</v>
      </c>
      <c r="J683" t="n">
        <v>0</v>
      </c>
      <c r="K683" t="n">
        <v>0</v>
      </c>
      <c r="L683" t="n">
        <v>0</v>
      </c>
      <c r="M683" t="n">
        <v>0</v>
      </c>
      <c r="N683" t="n">
        <v>0</v>
      </c>
      <c r="O683" t="n">
        <v>0</v>
      </c>
      <c r="P683" t="n">
        <v>0</v>
      </c>
      <c r="Q683" t="n">
        <v>0</v>
      </c>
      <c r="R683" s="2" t="inlineStr"/>
    </row>
    <row r="684" ht="15" customHeight="1">
      <c r="A684" t="inlineStr">
        <is>
          <t>A 55007-2022</t>
        </is>
      </c>
      <c r="B684" s="1" t="n">
        <v>44881</v>
      </c>
      <c r="C684" s="1" t="n">
        <v>46079</v>
      </c>
      <c r="D684" t="inlineStr">
        <is>
          <t>VÄSTERNORRLANDS LÄN</t>
        </is>
      </c>
      <c r="E684" t="inlineStr">
        <is>
          <t>ÅNGE</t>
        </is>
      </c>
      <c r="G684" t="n">
        <v>2</v>
      </c>
      <c r="H684" t="n">
        <v>0</v>
      </c>
      <c r="I684" t="n">
        <v>0</v>
      </c>
      <c r="J684" t="n">
        <v>0</v>
      </c>
      <c r="K684" t="n">
        <v>0</v>
      </c>
      <c r="L684" t="n">
        <v>0</v>
      </c>
      <c r="M684" t="n">
        <v>0</v>
      </c>
      <c r="N684" t="n">
        <v>0</v>
      </c>
      <c r="O684" t="n">
        <v>0</v>
      </c>
      <c r="P684" t="n">
        <v>0</v>
      </c>
      <c r="Q684" t="n">
        <v>0</v>
      </c>
      <c r="R684" s="2" t="inlineStr"/>
    </row>
    <row r="685" ht="15" customHeight="1">
      <c r="A685" t="inlineStr">
        <is>
          <t>A 16281-2023</t>
        </is>
      </c>
      <c r="B685" s="1" t="n">
        <v>45028</v>
      </c>
      <c r="C685" s="1" t="n">
        <v>46079</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49187-2024</t>
        </is>
      </c>
      <c r="B686" s="1" t="n">
        <v>45595.34490740741</v>
      </c>
      <c r="C686" s="1" t="n">
        <v>46079</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45459-2022</t>
        </is>
      </c>
      <c r="B687" s="1" t="n">
        <v>44845</v>
      </c>
      <c r="C687" s="1" t="n">
        <v>46079</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18456-2024</t>
        </is>
      </c>
      <c r="B688" s="1" t="n">
        <v>45425.46831018518</v>
      </c>
      <c r="C688" s="1" t="n">
        <v>46079</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2984-2025</t>
        </is>
      </c>
      <c r="B689" s="1" t="n">
        <v>45678.51094907407</v>
      </c>
      <c r="C689" s="1" t="n">
        <v>46079</v>
      </c>
      <c r="D689" t="inlineStr">
        <is>
          <t>VÄSTERNORRLANDS LÄN</t>
        </is>
      </c>
      <c r="E689" t="inlineStr">
        <is>
          <t>ÅNGE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42953-2024</t>
        </is>
      </c>
      <c r="B690" s="1" t="n">
        <v>45567</v>
      </c>
      <c r="C690" s="1" t="n">
        <v>46079</v>
      </c>
      <c r="D690" t="inlineStr">
        <is>
          <t>VÄSTERNORRLANDS LÄN</t>
        </is>
      </c>
      <c r="E690" t="inlineStr">
        <is>
          <t>ÅNGE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42968-2024</t>
        </is>
      </c>
      <c r="B691" s="1" t="n">
        <v>45567</v>
      </c>
      <c r="C691" s="1" t="n">
        <v>46079</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10017-2025</t>
        </is>
      </c>
      <c r="B692" s="1" t="n">
        <v>45719.46957175926</v>
      </c>
      <c r="C692" s="1" t="n">
        <v>46079</v>
      </c>
      <c r="D692" t="inlineStr">
        <is>
          <t>VÄSTERNORRLANDS LÄN</t>
        </is>
      </c>
      <c r="E692" t="inlineStr">
        <is>
          <t>ÅNGE</t>
        </is>
      </c>
      <c r="F692" t="inlineStr">
        <is>
          <t>SCA</t>
        </is>
      </c>
      <c r="G692" t="n">
        <v>9.9</v>
      </c>
      <c r="H692" t="n">
        <v>0</v>
      </c>
      <c r="I692" t="n">
        <v>0</v>
      </c>
      <c r="J692" t="n">
        <v>0</v>
      </c>
      <c r="K692" t="n">
        <v>0</v>
      </c>
      <c r="L692" t="n">
        <v>0</v>
      </c>
      <c r="M692" t="n">
        <v>0</v>
      </c>
      <c r="N692" t="n">
        <v>0</v>
      </c>
      <c r="O692" t="n">
        <v>0</v>
      </c>
      <c r="P692" t="n">
        <v>0</v>
      </c>
      <c r="Q692" t="n">
        <v>0</v>
      </c>
      <c r="R692" s="2" t="inlineStr"/>
    </row>
    <row r="693" ht="15" customHeight="1">
      <c r="A693" t="inlineStr">
        <is>
          <t>A 29270-2024</t>
        </is>
      </c>
      <c r="B693" s="1" t="n">
        <v>45482.94979166667</v>
      </c>
      <c r="C693" s="1" t="n">
        <v>46079</v>
      </c>
      <c r="D693" t="inlineStr">
        <is>
          <t>VÄSTERNORRLANDS LÄN</t>
        </is>
      </c>
      <c r="E693" t="inlineStr">
        <is>
          <t>ÅNGE</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29696-2024</t>
        </is>
      </c>
      <c r="B694" s="1" t="n">
        <v>45484.94524305555</v>
      </c>
      <c r="C694" s="1" t="n">
        <v>46079</v>
      </c>
      <c r="D694" t="inlineStr">
        <is>
          <t>VÄSTERNORRLANDS LÄN</t>
        </is>
      </c>
      <c r="E694" t="inlineStr">
        <is>
          <t>ÅNGE</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44180-2023</t>
        </is>
      </c>
      <c r="B695" s="1" t="n">
        <v>45183</v>
      </c>
      <c r="C695" s="1" t="n">
        <v>46079</v>
      </c>
      <c r="D695" t="inlineStr">
        <is>
          <t>VÄSTERNORRLANDS LÄN</t>
        </is>
      </c>
      <c r="E695" t="inlineStr">
        <is>
          <t>ÅNGE</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33062-2022</t>
        </is>
      </c>
      <c r="B696" s="1" t="n">
        <v>44785</v>
      </c>
      <c r="C696" s="1" t="n">
        <v>46079</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28873-2024</t>
        </is>
      </c>
      <c r="B697" s="1" t="n">
        <v>45478.94766203704</v>
      </c>
      <c r="C697" s="1" t="n">
        <v>46079</v>
      </c>
      <c r="D697" t="inlineStr">
        <is>
          <t>VÄSTERNORRLANDS LÄN</t>
        </is>
      </c>
      <c r="E697" t="inlineStr">
        <is>
          <t>ÅNGE</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42100-2023</t>
        </is>
      </c>
      <c r="B698" s="1" t="n">
        <v>45174</v>
      </c>
      <c r="C698" s="1" t="n">
        <v>46079</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5197-2025</t>
        </is>
      </c>
      <c r="B699" s="1" t="n">
        <v>45691.65701388889</v>
      </c>
      <c r="C699" s="1" t="n">
        <v>46079</v>
      </c>
      <c r="D699" t="inlineStr">
        <is>
          <t>VÄSTERNORRLANDS LÄN</t>
        </is>
      </c>
      <c r="E699" t="inlineStr">
        <is>
          <t>ÅNGE</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5246-2025</t>
        </is>
      </c>
      <c r="B700" s="1" t="n">
        <v>45692.34427083333</v>
      </c>
      <c r="C700" s="1" t="n">
        <v>46079</v>
      </c>
      <c r="D700" t="inlineStr">
        <is>
          <t>VÄSTERNORRLANDS LÄN</t>
        </is>
      </c>
      <c r="E700" t="inlineStr">
        <is>
          <t>ÅNGE</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31563-2024</t>
        </is>
      </c>
      <c r="B701" s="1" t="n">
        <v>45505</v>
      </c>
      <c r="C701" s="1" t="n">
        <v>46079</v>
      </c>
      <c r="D701" t="inlineStr">
        <is>
          <t>VÄSTERNORRLANDS LÄN</t>
        </is>
      </c>
      <c r="E701" t="inlineStr">
        <is>
          <t>ÅNGE</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51411-2023</t>
        </is>
      </c>
      <c r="B702" s="1" t="n">
        <v>45219</v>
      </c>
      <c r="C702" s="1" t="n">
        <v>46079</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41829-2021</t>
        </is>
      </c>
      <c r="B703" s="1" t="n">
        <v>44425.92202546296</v>
      </c>
      <c r="C703" s="1" t="n">
        <v>46079</v>
      </c>
      <c r="D703" t="inlineStr">
        <is>
          <t>VÄSTERNORRLANDS LÄN</t>
        </is>
      </c>
      <c r="E703" t="inlineStr">
        <is>
          <t>ÅNGE</t>
        </is>
      </c>
      <c r="G703" t="n">
        <v>1.6</v>
      </c>
      <c r="H703" t="n">
        <v>0</v>
      </c>
      <c r="I703" t="n">
        <v>0</v>
      </c>
      <c r="J703" t="n">
        <v>0</v>
      </c>
      <c r="K703" t="n">
        <v>0</v>
      </c>
      <c r="L703" t="n">
        <v>0</v>
      </c>
      <c r="M703" t="n">
        <v>0</v>
      </c>
      <c r="N703" t="n">
        <v>0</v>
      </c>
      <c r="O703" t="n">
        <v>0</v>
      </c>
      <c r="P703" t="n">
        <v>0</v>
      </c>
      <c r="Q703" t="n">
        <v>0</v>
      </c>
      <c r="R703" s="2" t="inlineStr"/>
    </row>
    <row r="704" ht="15" customHeight="1">
      <c r="A704" t="inlineStr">
        <is>
          <t>A 1869-2022</t>
        </is>
      </c>
      <c r="B704" s="1" t="n">
        <v>44574</v>
      </c>
      <c r="C704" s="1" t="n">
        <v>46079</v>
      </c>
      <c r="D704" t="inlineStr">
        <is>
          <t>VÄSTERNORRLANDS LÄN</t>
        </is>
      </c>
      <c r="E704" t="inlineStr">
        <is>
          <t>ÅNGE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27002-2023</t>
        </is>
      </c>
      <c r="B705" s="1" t="n">
        <v>45093</v>
      </c>
      <c r="C705" s="1" t="n">
        <v>46079</v>
      </c>
      <c r="D705" t="inlineStr">
        <is>
          <t>VÄSTERNORRLANDS LÄN</t>
        </is>
      </c>
      <c r="E705" t="inlineStr">
        <is>
          <t>ÅNGE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63170-2023</t>
        </is>
      </c>
      <c r="B706" s="1" t="n">
        <v>45273.57087962963</v>
      </c>
      <c r="C706" s="1" t="n">
        <v>46079</v>
      </c>
      <c r="D706" t="inlineStr">
        <is>
          <t>VÄSTERNORRLANDS LÄN</t>
        </is>
      </c>
      <c r="E706" t="inlineStr">
        <is>
          <t>ÅNGE</t>
        </is>
      </c>
      <c r="F706" t="inlineStr">
        <is>
          <t>Holmen skog AB</t>
        </is>
      </c>
      <c r="G706" t="n">
        <v>4.1</v>
      </c>
      <c r="H706" t="n">
        <v>0</v>
      </c>
      <c r="I706" t="n">
        <v>0</v>
      </c>
      <c r="J706" t="n">
        <v>0</v>
      </c>
      <c r="K706" t="n">
        <v>0</v>
      </c>
      <c r="L706" t="n">
        <v>0</v>
      </c>
      <c r="M706" t="n">
        <v>0</v>
      </c>
      <c r="N706" t="n">
        <v>0</v>
      </c>
      <c r="O706" t="n">
        <v>0</v>
      </c>
      <c r="P706" t="n">
        <v>0</v>
      </c>
      <c r="Q706" t="n">
        <v>0</v>
      </c>
      <c r="R706" s="2" t="inlineStr"/>
    </row>
    <row r="707" ht="15" customHeight="1">
      <c r="A707" t="inlineStr">
        <is>
          <t>A 30273-2023</t>
        </is>
      </c>
      <c r="B707" s="1" t="n">
        <v>45099</v>
      </c>
      <c r="C707" s="1" t="n">
        <v>46079</v>
      </c>
      <c r="D707" t="inlineStr">
        <is>
          <t>VÄSTERNORRLANDS LÄN</t>
        </is>
      </c>
      <c r="E707" t="inlineStr">
        <is>
          <t>ÅNGE</t>
        </is>
      </c>
      <c r="G707" t="n">
        <v>3.9</v>
      </c>
      <c r="H707" t="n">
        <v>0</v>
      </c>
      <c r="I707" t="n">
        <v>0</v>
      </c>
      <c r="J707" t="n">
        <v>0</v>
      </c>
      <c r="K707" t="n">
        <v>0</v>
      </c>
      <c r="L707" t="n">
        <v>0</v>
      </c>
      <c r="M707" t="n">
        <v>0</v>
      </c>
      <c r="N707" t="n">
        <v>0</v>
      </c>
      <c r="O707" t="n">
        <v>0</v>
      </c>
      <c r="P707" t="n">
        <v>0</v>
      </c>
      <c r="Q707" t="n">
        <v>0</v>
      </c>
      <c r="R707" s="2" t="inlineStr"/>
    </row>
    <row r="708" ht="15" customHeight="1">
      <c r="A708" t="inlineStr">
        <is>
          <t>A 50612-2024</t>
        </is>
      </c>
      <c r="B708" s="1" t="n">
        <v>45601</v>
      </c>
      <c r="C708" s="1" t="n">
        <v>46079</v>
      </c>
      <c r="D708" t="inlineStr">
        <is>
          <t>VÄSTERNORRLANDS LÄN</t>
        </is>
      </c>
      <c r="E708" t="inlineStr">
        <is>
          <t>ÅNGE</t>
        </is>
      </c>
      <c r="G708" t="n">
        <v>1.9</v>
      </c>
      <c r="H708" t="n">
        <v>0</v>
      </c>
      <c r="I708" t="n">
        <v>0</v>
      </c>
      <c r="J708" t="n">
        <v>0</v>
      </c>
      <c r="K708" t="n">
        <v>0</v>
      </c>
      <c r="L708" t="n">
        <v>0</v>
      </c>
      <c r="M708" t="n">
        <v>0</v>
      </c>
      <c r="N708" t="n">
        <v>0</v>
      </c>
      <c r="O708" t="n">
        <v>0</v>
      </c>
      <c r="P708" t="n">
        <v>0</v>
      </c>
      <c r="Q708" t="n">
        <v>0</v>
      </c>
      <c r="R708" s="2" t="inlineStr"/>
    </row>
    <row r="709" ht="15" customHeight="1">
      <c r="A709" t="inlineStr">
        <is>
          <t>A 13491-2023</t>
        </is>
      </c>
      <c r="B709" s="1" t="n">
        <v>45005.93929398148</v>
      </c>
      <c r="C709" s="1" t="n">
        <v>46079</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60368-2024</t>
        </is>
      </c>
      <c r="B710" s="1" t="n">
        <v>45643</v>
      </c>
      <c r="C710" s="1" t="n">
        <v>46079</v>
      </c>
      <c r="D710" t="inlineStr">
        <is>
          <t>VÄSTERNORRLANDS LÄN</t>
        </is>
      </c>
      <c r="E710" t="inlineStr">
        <is>
          <t>ÅNGE</t>
        </is>
      </c>
      <c r="G710" t="n">
        <v>1.8</v>
      </c>
      <c r="H710" t="n">
        <v>0</v>
      </c>
      <c r="I710" t="n">
        <v>0</v>
      </c>
      <c r="J710" t="n">
        <v>0</v>
      </c>
      <c r="K710" t="n">
        <v>0</v>
      </c>
      <c r="L710" t="n">
        <v>0</v>
      </c>
      <c r="M710" t="n">
        <v>0</v>
      </c>
      <c r="N710" t="n">
        <v>0</v>
      </c>
      <c r="O710" t="n">
        <v>0</v>
      </c>
      <c r="P710" t="n">
        <v>0</v>
      </c>
      <c r="Q710" t="n">
        <v>0</v>
      </c>
      <c r="R710" s="2" t="inlineStr"/>
    </row>
    <row r="711" ht="15" customHeight="1">
      <c r="A711" t="inlineStr">
        <is>
          <t>A 5367-2022</t>
        </is>
      </c>
      <c r="B711" s="1" t="n">
        <v>44594.92111111111</v>
      </c>
      <c r="C711" s="1" t="n">
        <v>46079</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31729-2024</t>
        </is>
      </c>
      <c r="B712" s="1" t="n">
        <v>45509.35844907408</v>
      </c>
      <c r="C712" s="1" t="n">
        <v>46079</v>
      </c>
      <c r="D712" t="inlineStr">
        <is>
          <t>VÄSTERNORRLANDS LÄN</t>
        </is>
      </c>
      <c r="E712" t="inlineStr">
        <is>
          <t>ÅNGE</t>
        </is>
      </c>
      <c r="G712" t="n">
        <v>1.9</v>
      </c>
      <c r="H712" t="n">
        <v>0</v>
      </c>
      <c r="I712" t="n">
        <v>0</v>
      </c>
      <c r="J712" t="n">
        <v>0</v>
      </c>
      <c r="K712" t="n">
        <v>0</v>
      </c>
      <c r="L712" t="n">
        <v>0</v>
      </c>
      <c r="M712" t="n">
        <v>0</v>
      </c>
      <c r="N712" t="n">
        <v>0</v>
      </c>
      <c r="O712" t="n">
        <v>0</v>
      </c>
      <c r="P712" t="n">
        <v>0</v>
      </c>
      <c r="Q712" t="n">
        <v>0</v>
      </c>
      <c r="R712" s="2" t="inlineStr"/>
    </row>
    <row r="713" ht="15" customHeight="1">
      <c r="A713" t="inlineStr">
        <is>
          <t>A 47243-2024</t>
        </is>
      </c>
      <c r="B713" s="1" t="n">
        <v>45586.6987962963</v>
      </c>
      <c r="C713" s="1" t="n">
        <v>46079</v>
      </c>
      <c r="D713" t="inlineStr">
        <is>
          <t>VÄSTERNORRLANDS LÄN</t>
        </is>
      </c>
      <c r="E713" t="inlineStr">
        <is>
          <t>ÅNGE</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72239-2021</t>
        </is>
      </c>
      <c r="B714" s="1" t="n">
        <v>44544.9203587963</v>
      </c>
      <c r="C714" s="1" t="n">
        <v>46079</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34783-2021</t>
        </is>
      </c>
      <c r="B715" s="1" t="n">
        <v>44382</v>
      </c>
      <c r="C715" s="1" t="n">
        <v>46079</v>
      </c>
      <c r="D715" t="inlineStr">
        <is>
          <t>VÄSTERNORRLANDS LÄN</t>
        </is>
      </c>
      <c r="E715" t="inlineStr">
        <is>
          <t>ÅNGE</t>
        </is>
      </c>
      <c r="F715" t="inlineStr">
        <is>
          <t>SCA</t>
        </is>
      </c>
      <c r="G715" t="n">
        <v>8.5</v>
      </c>
      <c r="H715" t="n">
        <v>0</v>
      </c>
      <c r="I715" t="n">
        <v>0</v>
      </c>
      <c r="J715" t="n">
        <v>0</v>
      </c>
      <c r="K715" t="n">
        <v>0</v>
      </c>
      <c r="L715" t="n">
        <v>0</v>
      </c>
      <c r="M715" t="n">
        <v>0</v>
      </c>
      <c r="N715" t="n">
        <v>0</v>
      </c>
      <c r="O715" t="n">
        <v>0</v>
      </c>
      <c r="P715" t="n">
        <v>0</v>
      </c>
      <c r="Q715" t="n">
        <v>0</v>
      </c>
      <c r="R715" s="2" t="inlineStr"/>
    </row>
    <row r="716" ht="15" customHeight="1">
      <c r="A716" t="inlineStr">
        <is>
          <t>A 37540-2024</t>
        </is>
      </c>
      <c r="B716" s="1" t="n">
        <v>45541.42111111111</v>
      </c>
      <c r="C716" s="1" t="n">
        <v>46079</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34705-2023</t>
        </is>
      </c>
      <c r="B717" s="1" t="n">
        <v>45140.96452546296</v>
      </c>
      <c r="C717" s="1" t="n">
        <v>46079</v>
      </c>
      <c r="D717" t="inlineStr">
        <is>
          <t>VÄSTERNORRLANDS LÄN</t>
        </is>
      </c>
      <c r="E717" t="inlineStr">
        <is>
          <t>ÅNGE</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42948-2024</t>
        </is>
      </c>
      <c r="B718" s="1" t="n">
        <v>45567.36628472222</v>
      </c>
      <c r="C718" s="1" t="n">
        <v>46079</v>
      </c>
      <c r="D718" t="inlineStr">
        <is>
          <t>VÄSTERNORRLANDS LÄN</t>
        </is>
      </c>
      <c r="E718" t="inlineStr">
        <is>
          <t>ÅNGE</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34750-2023</t>
        </is>
      </c>
      <c r="B719" s="1" t="n">
        <v>45139</v>
      </c>
      <c r="C719" s="1" t="n">
        <v>46079</v>
      </c>
      <c r="D719" t="inlineStr">
        <is>
          <t>VÄSTERNORRLANDS LÄN</t>
        </is>
      </c>
      <c r="E719" t="inlineStr">
        <is>
          <t>ÅNGE</t>
        </is>
      </c>
      <c r="G719" t="n">
        <v>2.9</v>
      </c>
      <c r="H719" t="n">
        <v>0</v>
      </c>
      <c r="I719" t="n">
        <v>0</v>
      </c>
      <c r="J719" t="n">
        <v>0</v>
      </c>
      <c r="K719" t="n">
        <v>0</v>
      </c>
      <c r="L719" t="n">
        <v>0</v>
      </c>
      <c r="M719" t="n">
        <v>0</v>
      </c>
      <c r="N719" t="n">
        <v>0</v>
      </c>
      <c r="O719" t="n">
        <v>0</v>
      </c>
      <c r="P719" t="n">
        <v>0</v>
      </c>
      <c r="Q719" t="n">
        <v>0</v>
      </c>
      <c r="R719" s="2" t="inlineStr"/>
    </row>
    <row r="720" ht="15" customHeight="1">
      <c r="A720" t="inlineStr">
        <is>
          <t>A 55882-2022</t>
        </is>
      </c>
      <c r="B720" s="1" t="n">
        <v>44888</v>
      </c>
      <c r="C720" s="1" t="n">
        <v>46079</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4187-2025</t>
        </is>
      </c>
      <c r="B721" s="1" t="n">
        <v>45685.44842592593</v>
      </c>
      <c r="C721" s="1" t="n">
        <v>46079</v>
      </c>
      <c r="D721" t="inlineStr">
        <is>
          <t>VÄSTERNORRLANDS LÄN</t>
        </is>
      </c>
      <c r="E721" t="inlineStr">
        <is>
          <t>ÅNGE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69790-2021</t>
        </is>
      </c>
      <c r="B722" s="1" t="n">
        <v>44532.605625</v>
      </c>
      <c r="C722" s="1" t="n">
        <v>46079</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3330-2025</t>
        </is>
      </c>
      <c r="B723" s="1" t="n">
        <v>45679.70041666667</v>
      </c>
      <c r="C723" s="1" t="n">
        <v>46079</v>
      </c>
      <c r="D723" t="inlineStr">
        <is>
          <t>VÄSTERNORRLANDS LÄN</t>
        </is>
      </c>
      <c r="E723" t="inlineStr">
        <is>
          <t>ÅNGE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46249-2024</t>
        </is>
      </c>
      <c r="B724" s="1" t="n">
        <v>45581.59409722222</v>
      </c>
      <c r="C724" s="1" t="n">
        <v>46079</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54585-2024</t>
        </is>
      </c>
      <c r="B725" s="1" t="n">
        <v>45617.65762731482</v>
      </c>
      <c r="C725" s="1" t="n">
        <v>46079</v>
      </c>
      <c r="D725" t="inlineStr">
        <is>
          <t>VÄSTERNORRLANDS LÄN</t>
        </is>
      </c>
      <c r="E725" t="inlineStr">
        <is>
          <t>ÅNGE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15404-2025</t>
        </is>
      </c>
      <c r="B726" s="1" t="n">
        <v>45747.44665509259</v>
      </c>
      <c r="C726" s="1" t="n">
        <v>46079</v>
      </c>
      <c r="D726" t="inlineStr">
        <is>
          <t>VÄSTERNORRLANDS LÄN</t>
        </is>
      </c>
      <c r="E726" t="inlineStr">
        <is>
          <t>ÅNGE</t>
        </is>
      </c>
      <c r="G726" t="n">
        <v>11.8</v>
      </c>
      <c r="H726" t="n">
        <v>0</v>
      </c>
      <c r="I726" t="n">
        <v>0</v>
      </c>
      <c r="J726" t="n">
        <v>0</v>
      </c>
      <c r="K726" t="n">
        <v>0</v>
      </c>
      <c r="L726" t="n">
        <v>0</v>
      </c>
      <c r="M726" t="n">
        <v>0</v>
      </c>
      <c r="N726" t="n">
        <v>0</v>
      </c>
      <c r="O726" t="n">
        <v>0</v>
      </c>
      <c r="P726" t="n">
        <v>0</v>
      </c>
      <c r="Q726" t="n">
        <v>0</v>
      </c>
      <c r="R726" s="2" t="inlineStr"/>
    </row>
    <row r="727" ht="15" customHeight="1">
      <c r="A727" t="inlineStr">
        <is>
          <t>A 17703-2025</t>
        </is>
      </c>
      <c r="B727" s="1" t="n">
        <v>45758.4275462963</v>
      </c>
      <c r="C727" s="1" t="n">
        <v>46079</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12807-2025</t>
        </is>
      </c>
      <c r="B728" s="1" t="n">
        <v>45733.61537037037</v>
      </c>
      <c r="C728" s="1" t="n">
        <v>46079</v>
      </c>
      <c r="D728" t="inlineStr">
        <is>
          <t>VÄSTERNORRLANDS LÄN</t>
        </is>
      </c>
      <c r="E728" t="inlineStr">
        <is>
          <t>ÅNGE</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42529-2024</t>
        </is>
      </c>
      <c r="B729" s="1" t="n">
        <v>45565.57324074074</v>
      </c>
      <c r="C729" s="1" t="n">
        <v>46079</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18668-2023</t>
        </is>
      </c>
      <c r="B730" s="1" t="n">
        <v>45043.57108796296</v>
      </c>
      <c r="C730" s="1" t="n">
        <v>46079</v>
      </c>
      <c r="D730" t="inlineStr">
        <is>
          <t>VÄSTERNORRLANDS LÄN</t>
        </is>
      </c>
      <c r="E730" t="inlineStr">
        <is>
          <t>ÅNGE</t>
        </is>
      </c>
      <c r="G730" t="n">
        <v>3.4</v>
      </c>
      <c r="H730" t="n">
        <v>0</v>
      </c>
      <c r="I730" t="n">
        <v>0</v>
      </c>
      <c r="J730" t="n">
        <v>0</v>
      </c>
      <c r="K730" t="n">
        <v>0</v>
      </c>
      <c r="L730" t="n">
        <v>0</v>
      </c>
      <c r="M730" t="n">
        <v>0</v>
      </c>
      <c r="N730" t="n">
        <v>0</v>
      </c>
      <c r="O730" t="n">
        <v>0</v>
      </c>
      <c r="P730" t="n">
        <v>0</v>
      </c>
      <c r="Q730" t="n">
        <v>0</v>
      </c>
      <c r="R730" s="2" t="inlineStr"/>
    </row>
    <row r="731" ht="15" customHeight="1">
      <c r="A731" t="inlineStr">
        <is>
          <t>A 62261-2022</t>
        </is>
      </c>
      <c r="B731" s="1" t="n">
        <v>44922.94378472222</v>
      </c>
      <c r="C731" s="1" t="n">
        <v>46079</v>
      </c>
      <c r="D731" t="inlineStr">
        <is>
          <t>VÄSTERNORRLANDS LÄN</t>
        </is>
      </c>
      <c r="E731" t="inlineStr">
        <is>
          <t>ÅNGE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38272-2024</t>
        </is>
      </c>
      <c r="B732" s="1" t="n">
        <v>45545.60392361111</v>
      </c>
      <c r="C732" s="1" t="n">
        <v>46079</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3966-2025</t>
        </is>
      </c>
      <c r="B733" s="1" t="n">
        <v>45684.51072916666</v>
      </c>
      <c r="C733" s="1" t="n">
        <v>46079</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16524-2025</t>
        </is>
      </c>
      <c r="B734" s="1" t="n">
        <v>45751.64310185185</v>
      </c>
      <c r="C734" s="1" t="n">
        <v>46079</v>
      </c>
      <c r="D734" t="inlineStr">
        <is>
          <t>VÄSTERNORRLANDS LÄN</t>
        </is>
      </c>
      <c r="E734" t="inlineStr">
        <is>
          <t>ÅNGE</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47779-2023</t>
        </is>
      </c>
      <c r="B735" s="1" t="n">
        <v>45203.92232638889</v>
      </c>
      <c r="C735" s="1" t="n">
        <v>46079</v>
      </c>
      <c r="D735" t="inlineStr">
        <is>
          <t>VÄSTERNORRLANDS LÄN</t>
        </is>
      </c>
      <c r="E735" t="inlineStr">
        <is>
          <t>ÅNGE</t>
        </is>
      </c>
      <c r="G735" t="n">
        <v>9.6</v>
      </c>
      <c r="H735" t="n">
        <v>0</v>
      </c>
      <c r="I735" t="n">
        <v>0</v>
      </c>
      <c r="J735" t="n">
        <v>0</v>
      </c>
      <c r="K735" t="n">
        <v>0</v>
      </c>
      <c r="L735" t="n">
        <v>0</v>
      </c>
      <c r="M735" t="n">
        <v>0</v>
      </c>
      <c r="N735" t="n">
        <v>0</v>
      </c>
      <c r="O735" t="n">
        <v>0</v>
      </c>
      <c r="P735" t="n">
        <v>0</v>
      </c>
      <c r="Q735" t="n">
        <v>0</v>
      </c>
      <c r="R735" s="2" t="inlineStr"/>
    </row>
    <row r="736" ht="15" customHeight="1">
      <c r="A736" t="inlineStr">
        <is>
          <t>A 54316-2024</t>
        </is>
      </c>
      <c r="B736" s="1" t="n">
        <v>45617.34443287037</v>
      </c>
      <c r="C736" s="1" t="n">
        <v>46079</v>
      </c>
      <c r="D736" t="inlineStr">
        <is>
          <t>VÄSTERNORRLANDS LÄN</t>
        </is>
      </c>
      <c r="E736" t="inlineStr">
        <is>
          <t>ÅNGE</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16593-2023</t>
        </is>
      </c>
      <c r="B737" s="1" t="n">
        <v>45030</v>
      </c>
      <c r="C737" s="1" t="n">
        <v>46079</v>
      </c>
      <c r="D737" t="inlineStr">
        <is>
          <t>VÄSTERNORRLANDS LÄN</t>
        </is>
      </c>
      <c r="E737" t="inlineStr">
        <is>
          <t>ÅNGE</t>
        </is>
      </c>
      <c r="G737" t="n">
        <v>0.7</v>
      </c>
      <c r="H737" t="n">
        <v>0</v>
      </c>
      <c r="I737" t="n">
        <v>0</v>
      </c>
      <c r="J737" t="n">
        <v>0</v>
      </c>
      <c r="K737" t="n">
        <v>0</v>
      </c>
      <c r="L737" t="n">
        <v>0</v>
      </c>
      <c r="M737" t="n">
        <v>0</v>
      </c>
      <c r="N737" t="n">
        <v>0</v>
      </c>
      <c r="O737" t="n">
        <v>0</v>
      </c>
      <c r="P737" t="n">
        <v>0</v>
      </c>
      <c r="Q737" t="n">
        <v>0</v>
      </c>
      <c r="R737" s="2" t="inlineStr"/>
    </row>
    <row r="738" ht="15" customHeight="1">
      <c r="A738" t="inlineStr">
        <is>
          <t>A 16600-2023</t>
        </is>
      </c>
      <c r="B738" s="1" t="n">
        <v>45030</v>
      </c>
      <c r="C738" s="1" t="n">
        <v>46079</v>
      </c>
      <c r="D738" t="inlineStr">
        <is>
          <t>VÄSTERNORRLANDS LÄN</t>
        </is>
      </c>
      <c r="E738" t="inlineStr">
        <is>
          <t>ÅNGE</t>
        </is>
      </c>
      <c r="G738" t="n">
        <v>0.1</v>
      </c>
      <c r="H738" t="n">
        <v>0</v>
      </c>
      <c r="I738" t="n">
        <v>0</v>
      </c>
      <c r="J738" t="n">
        <v>0</v>
      </c>
      <c r="K738" t="n">
        <v>0</v>
      </c>
      <c r="L738" t="n">
        <v>0</v>
      </c>
      <c r="M738" t="n">
        <v>0</v>
      </c>
      <c r="N738" t="n">
        <v>0</v>
      </c>
      <c r="O738" t="n">
        <v>0</v>
      </c>
      <c r="P738" t="n">
        <v>0</v>
      </c>
      <c r="Q738" t="n">
        <v>0</v>
      </c>
      <c r="R738" s="2" t="inlineStr"/>
    </row>
    <row r="739" ht="15" customHeight="1">
      <c r="A739" t="inlineStr">
        <is>
          <t>A 49502-2022</t>
        </is>
      </c>
      <c r="B739" s="1" t="n">
        <v>44861.92613425926</v>
      </c>
      <c r="C739" s="1" t="n">
        <v>46079</v>
      </c>
      <c r="D739" t="inlineStr">
        <is>
          <t>VÄSTERNORRLANDS LÄN</t>
        </is>
      </c>
      <c r="E739" t="inlineStr">
        <is>
          <t>ÅNGE</t>
        </is>
      </c>
      <c r="G739" t="n">
        <v>0.8</v>
      </c>
      <c r="H739" t="n">
        <v>0</v>
      </c>
      <c r="I739" t="n">
        <v>0</v>
      </c>
      <c r="J739" t="n">
        <v>0</v>
      </c>
      <c r="K739" t="n">
        <v>0</v>
      </c>
      <c r="L739" t="n">
        <v>0</v>
      </c>
      <c r="M739" t="n">
        <v>0</v>
      </c>
      <c r="N739" t="n">
        <v>0</v>
      </c>
      <c r="O739" t="n">
        <v>0</v>
      </c>
      <c r="P739" t="n">
        <v>0</v>
      </c>
      <c r="Q739" t="n">
        <v>0</v>
      </c>
      <c r="R739" s="2" t="inlineStr"/>
    </row>
    <row r="740" ht="15" customHeight="1">
      <c r="A740" t="inlineStr">
        <is>
          <t>A 42488-2024</t>
        </is>
      </c>
      <c r="B740" s="1" t="n">
        <v>45565.49420138889</v>
      </c>
      <c r="C740" s="1" t="n">
        <v>46079</v>
      </c>
      <c r="D740" t="inlineStr">
        <is>
          <t>VÄSTERNORRLANDS LÄN</t>
        </is>
      </c>
      <c r="E740" t="inlineStr">
        <is>
          <t>ÅNGE</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4186-2025</t>
        </is>
      </c>
      <c r="B741" s="1" t="n">
        <v>45685.44827546296</v>
      </c>
      <c r="C741" s="1" t="n">
        <v>46079</v>
      </c>
      <c r="D741" t="inlineStr">
        <is>
          <t>VÄSTERNORRLANDS LÄN</t>
        </is>
      </c>
      <c r="E741" t="inlineStr">
        <is>
          <t>ÅNGE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35399-2024</t>
        </is>
      </c>
      <c r="B742" s="1" t="n">
        <v>45531.40438657408</v>
      </c>
      <c r="C742" s="1" t="n">
        <v>46079</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53209-2024</t>
        </is>
      </c>
      <c r="B743" s="1" t="n">
        <v>45612.51079861111</v>
      </c>
      <c r="C743" s="1" t="n">
        <v>46079</v>
      </c>
      <c r="D743" t="inlineStr">
        <is>
          <t>VÄSTERNORRLANDS LÄN</t>
        </is>
      </c>
      <c r="E743" t="inlineStr">
        <is>
          <t>ÅNGE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41825-2022</t>
        </is>
      </c>
      <c r="B744" s="1" t="n">
        <v>44827</v>
      </c>
      <c r="C744" s="1" t="n">
        <v>46079</v>
      </c>
      <c r="D744" t="inlineStr">
        <is>
          <t>VÄSTERNORRLANDS LÄN</t>
        </is>
      </c>
      <c r="E744" t="inlineStr">
        <is>
          <t>ÅNGE</t>
        </is>
      </c>
      <c r="F744" t="inlineStr">
        <is>
          <t>SCA</t>
        </is>
      </c>
      <c r="G744" t="n">
        <v>3.3</v>
      </c>
      <c r="H744" t="n">
        <v>0</v>
      </c>
      <c r="I744" t="n">
        <v>0</v>
      </c>
      <c r="J744" t="n">
        <v>0</v>
      </c>
      <c r="K744" t="n">
        <v>0</v>
      </c>
      <c r="L744" t="n">
        <v>0</v>
      </c>
      <c r="M744" t="n">
        <v>0</v>
      </c>
      <c r="N744" t="n">
        <v>0</v>
      </c>
      <c r="O744" t="n">
        <v>0</v>
      </c>
      <c r="P744" t="n">
        <v>0</v>
      </c>
      <c r="Q744" t="n">
        <v>0</v>
      </c>
      <c r="R744" s="2" t="inlineStr"/>
      <c r="U744">
        <f>HYPERLINK("https://klasma.github.io/Logging_2260/knärot/A 41825-2022 karta knärot.png", "A 41825-2022")</f>
        <v/>
      </c>
      <c r="V744">
        <f>HYPERLINK("https://klasma.github.io/Logging_2260/klagomål/A 41825-2022 FSC-klagomål.docx", "A 41825-2022")</f>
        <v/>
      </c>
      <c r="W744">
        <f>HYPERLINK("https://klasma.github.io/Logging_2260/klagomålsmail/A 41825-2022 FSC-klagomål mail.docx", "A 41825-2022")</f>
        <v/>
      </c>
      <c r="X744">
        <f>HYPERLINK("https://klasma.github.io/Logging_2260/tillsyn/A 41825-2022 tillsynsbegäran.docx", "A 41825-2022")</f>
        <v/>
      </c>
      <c r="Y744">
        <f>HYPERLINK("https://klasma.github.io/Logging_2260/tillsynsmail/A 41825-2022 tillsynsbegäran mail.docx", "A 41825-2022")</f>
        <v/>
      </c>
    </row>
    <row r="745" ht="15" customHeight="1">
      <c r="A745" t="inlineStr">
        <is>
          <t>A 31229-2023</t>
        </is>
      </c>
      <c r="B745" s="1" t="n">
        <v>45114</v>
      </c>
      <c r="C745" s="1" t="n">
        <v>46079</v>
      </c>
      <c r="D745" t="inlineStr">
        <is>
          <t>VÄSTERNORRLANDS LÄN</t>
        </is>
      </c>
      <c r="E745" t="inlineStr">
        <is>
          <t>ÅNGE</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15778-2025</t>
        </is>
      </c>
      <c r="B746" s="1" t="n">
        <v>45748.60030092593</v>
      </c>
      <c r="C746" s="1" t="n">
        <v>46079</v>
      </c>
      <c r="D746" t="inlineStr">
        <is>
          <t>VÄSTERNORRLANDS LÄN</t>
        </is>
      </c>
      <c r="E746" t="inlineStr">
        <is>
          <t>ÅNGE</t>
        </is>
      </c>
      <c r="F746" t="inlineStr">
        <is>
          <t>SCA</t>
        </is>
      </c>
      <c r="G746" t="n">
        <v>13.6</v>
      </c>
      <c r="H746" t="n">
        <v>0</v>
      </c>
      <c r="I746" t="n">
        <v>0</v>
      </c>
      <c r="J746" t="n">
        <v>0</v>
      </c>
      <c r="K746" t="n">
        <v>0</v>
      </c>
      <c r="L746" t="n">
        <v>0</v>
      </c>
      <c r="M746" t="n">
        <v>0</v>
      </c>
      <c r="N746" t="n">
        <v>0</v>
      </c>
      <c r="O746" t="n">
        <v>0</v>
      </c>
      <c r="P746" t="n">
        <v>0</v>
      </c>
      <c r="Q746" t="n">
        <v>0</v>
      </c>
      <c r="R746" s="2" t="inlineStr"/>
    </row>
    <row r="747" ht="15" customHeight="1">
      <c r="A747" t="inlineStr">
        <is>
          <t>A 17718-2025</t>
        </is>
      </c>
      <c r="B747" s="1" t="n">
        <v>45758.44815972223</v>
      </c>
      <c r="C747" s="1" t="n">
        <v>46079</v>
      </c>
      <c r="D747" t="inlineStr">
        <is>
          <t>VÄSTERNORRLANDS LÄN</t>
        </is>
      </c>
      <c r="E747" t="inlineStr">
        <is>
          <t>ÅNGE</t>
        </is>
      </c>
      <c r="G747" t="n">
        <v>5.1</v>
      </c>
      <c r="H747" t="n">
        <v>0</v>
      </c>
      <c r="I747" t="n">
        <v>0</v>
      </c>
      <c r="J747" t="n">
        <v>0</v>
      </c>
      <c r="K747" t="n">
        <v>0</v>
      </c>
      <c r="L747" t="n">
        <v>0</v>
      </c>
      <c r="M747" t="n">
        <v>0</v>
      </c>
      <c r="N747" t="n">
        <v>0</v>
      </c>
      <c r="O747" t="n">
        <v>0</v>
      </c>
      <c r="P747" t="n">
        <v>0</v>
      </c>
      <c r="Q747" t="n">
        <v>0</v>
      </c>
      <c r="R747" s="2" t="inlineStr"/>
    </row>
    <row r="748" ht="15" customHeight="1">
      <c r="A748" t="inlineStr">
        <is>
          <t>A 39682-2024</t>
        </is>
      </c>
      <c r="B748" s="1" t="n">
        <v>45552</v>
      </c>
      <c r="C748" s="1" t="n">
        <v>46079</v>
      </c>
      <c r="D748" t="inlineStr">
        <is>
          <t>VÄSTERNORRLANDS LÄN</t>
        </is>
      </c>
      <c r="E748" t="inlineStr">
        <is>
          <t>ÅNGE</t>
        </is>
      </c>
      <c r="G748" t="n">
        <v>35.4</v>
      </c>
      <c r="H748" t="n">
        <v>0</v>
      </c>
      <c r="I748" t="n">
        <v>0</v>
      </c>
      <c r="J748" t="n">
        <v>0</v>
      </c>
      <c r="K748" t="n">
        <v>0</v>
      </c>
      <c r="L748" t="n">
        <v>0</v>
      </c>
      <c r="M748" t="n">
        <v>0</v>
      </c>
      <c r="N748" t="n">
        <v>0</v>
      </c>
      <c r="O748" t="n">
        <v>0</v>
      </c>
      <c r="P748" t="n">
        <v>0</v>
      </c>
      <c r="Q748" t="n">
        <v>0</v>
      </c>
      <c r="R748" s="2" t="inlineStr"/>
    </row>
    <row r="749" ht="15" customHeight="1">
      <c r="A749" t="inlineStr">
        <is>
          <t>A 17668-2023</t>
        </is>
      </c>
      <c r="B749" s="1" t="n">
        <v>45036</v>
      </c>
      <c r="C749" s="1" t="n">
        <v>46079</v>
      </c>
      <c r="D749" t="inlineStr">
        <is>
          <t>VÄSTERNORRLANDS LÄN</t>
        </is>
      </c>
      <c r="E749" t="inlineStr">
        <is>
          <t>ÅNGE</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42958-2024</t>
        </is>
      </c>
      <c r="B750" s="1" t="n">
        <v>45567.37131944444</v>
      </c>
      <c r="C750" s="1" t="n">
        <v>46079</v>
      </c>
      <c r="D750" t="inlineStr">
        <is>
          <t>VÄSTERNORRLANDS LÄN</t>
        </is>
      </c>
      <c r="E750" t="inlineStr">
        <is>
          <t>ÅNGE</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8406-2023</t>
        </is>
      </c>
      <c r="B751" s="1" t="n">
        <v>44971</v>
      </c>
      <c r="C751" s="1" t="n">
        <v>46079</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34861-2024</t>
        </is>
      </c>
      <c r="B752" s="1" t="n">
        <v>45527.339375</v>
      </c>
      <c r="C752" s="1" t="n">
        <v>46079</v>
      </c>
      <c r="D752" t="inlineStr">
        <is>
          <t>VÄSTERNORRLANDS LÄN</t>
        </is>
      </c>
      <c r="E752" t="inlineStr">
        <is>
          <t>ÅNGE</t>
        </is>
      </c>
      <c r="F752" t="inlineStr">
        <is>
          <t>SCA</t>
        </is>
      </c>
      <c r="G752" t="n">
        <v>9.1</v>
      </c>
      <c r="H752" t="n">
        <v>0</v>
      </c>
      <c r="I752" t="n">
        <v>0</v>
      </c>
      <c r="J752" t="n">
        <v>0</v>
      </c>
      <c r="K752" t="n">
        <v>0</v>
      </c>
      <c r="L752" t="n">
        <v>0</v>
      </c>
      <c r="M752" t="n">
        <v>0</v>
      </c>
      <c r="N752" t="n">
        <v>0</v>
      </c>
      <c r="O752" t="n">
        <v>0</v>
      </c>
      <c r="P752" t="n">
        <v>0</v>
      </c>
      <c r="Q752" t="n">
        <v>0</v>
      </c>
      <c r="R752" s="2" t="inlineStr"/>
    </row>
    <row r="753" ht="15" customHeight="1">
      <c r="A753" t="inlineStr">
        <is>
          <t>A 17601-2024</t>
        </is>
      </c>
      <c r="B753" s="1" t="n">
        <v>45415</v>
      </c>
      <c r="C753" s="1" t="n">
        <v>46079</v>
      </c>
      <c r="D753" t="inlineStr">
        <is>
          <t>VÄSTERNORRLANDS LÄN</t>
        </is>
      </c>
      <c r="E753" t="inlineStr">
        <is>
          <t>ÅNGE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46079</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45933-2023</t>
        </is>
      </c>
      <c r="B755" s="1" t="n">
        <v>45195</v>
      </c>
      <c r="C755" s="1" t="n">
        <v>46079</v>
      </c>
      <c r="D755" t="inlineStr">
        <is>
          <t>VÄSTERNORRLANDS LÄN</t>
        </is>
      </c>
      <c r="E755" t="inlineStr">
        <is>
          <t>ÅNGE</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57601-2022</t>
        </is>
      </c>
      <c r="B756" s="1" t="n">
        <v>44896</v>
      </c>
      <c r="C756" s="1" t="n">
        <v>46079</v>
      </c>
      <c r="D756" t="inlineStr">
        <is>
          <t>VÄSTERNORRLANDS LÄN</t>
        </is>
      </c>
      <c r="E756" t="inlineStr">
        <is>
          <t>ÅNGE</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48690-2024</t>
        </is>
      </c>
      <c r="B757" s="1" t="n">
        <v>45593.50704861111</v>
      </c>
      <c r="C757" s="1" t="n">
        <v>46079</v>
      </c>
      <c r="D757" t="inlineStr">
        <is>
          <t>VÄSTERNORRLANDS LÄN</t>
        </is>
      </c>
      <c r="E757" t="inlineStr">
        <is>
          <t>ÅNGE</t>
        </is>
      </c>
      <c r="G757" t="n">
        <v>5</v>
      </c>
      <c r="H757" t="n">
        <v>0</v>
      </c>
      <c r="I757" t="n">
        <v>0</v>
      </c>
      <c r="J757" t="n">
        <v>0</v>
      </c>
      <c r="K757" t="n">
        <v>0</v>
      </c>
      <c r="L757" t="n">
        <v>0</v>
      </c>
      <c r="M757" t="n">
        <v>0</v>
      </c>
      <c r="N757" t="n">
        <v>0</v>
      </c>
      <c r="O757" t="n">
        <v>0</v>
      </c>
      <c r="P757" t="n">
        <v>0</v>
      </c>
      <c r="Q757" t="n">
        <v>0</v>
      </c>
      <c r="R757" s="2" t="inlineStr"/>
    </row>
    <row r="758" ht="15" customHeight="1">
      <c r="A758" t="inlineStr">
        <is>
          <t>A 57846-2022</t>
        </is>
      </c>
      <c r="B758" s="1" t="n">
        <v>44897.95008101852</v>
      </c>
      <c r="C758" s="1" t="n">
        <v>46079</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34649-2024</t>
        </is>
      </c>
      <c r="B759" s="1" t="n">
        <v>45526.48325231481</v>
      </c>
      <c r="C759" s="1" t="n">
        <v>46079</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38246-2024</t>
        </is>
      </c>
      <c r="B760" s="1" t="n">
        <v>45545.57327546296</v>
      </c>
      <c r="C760" s="1" t="n">
        <v>46079</v>
      </c>
      <c r="D760" t="inlineStr">
        <is>
          <t>VÄSTERNORRLANDS LÄN</t>
        </is>
      </c>
      <c r="E760" t="inlineStr">
        <is>
          <t>ÅNGE</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26943-2024</t>
        </is>
      </c>
      <c r="B761" s="1" t="n">
        <v>45470</v>
      </c>
      <c r="C761" s="1" t="n">
        <v>46079</v>
      </c>
      <c r="D761" t="inlineStr">
        <is>
          <t>VÄSTERNORRLANDS LÄN</t>
        </is>
      </c>
      <c r="E761" t="inlineStr">
        <is>
          <t>ÅNGE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19342-2024</t>
        </is>
      </c>
      <c r="B762" s="1" t="n">
        <v>45428</v>
      </c>
      <c r="C762" s="1" t="n">
        <v>46079</v>
      </c>
      <c r="D762" t="inlineStr">
        <is>
          <t>VÄSTERNORRLANDS LÄN</t>
        </is>
      </c>
      <c r="E762" t="inlineStr">
        <is>
          <t>ÅNGE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36342-2024</t>
        </is>
      </c>
      <c r="B763" s="1" t="n">
        <v>45534.64315972223</v>
      </c>
      <c r="C763" s="1" t="n">
        <v>46079</v>
      </c>
      <c r="D763" t="inlineStr">
        <is>
          <t>VÄSTERNORRLANDS LÄN</t>
        </is>
      </c>
      <c r="E763" t="inlineStr">
        <is>
          <t>ÅNGE</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38386-2025</t>
        </is>
      </c>
      <c r="B764" s="1" t="n">
        <v>45883.57430555556</v>
      </c>
      <c r="C764" s="1" t="n">
        <v>46079</v>
      </c>
      <c r="D764" t="inlineStr">
        <is>
          <t>VÄSTERNORRLANDS LÄN</t>
        </is>
      </c>
      <c r="E764" t="inlineStr">
        <is>
          <t>ÅNGE</t>
        </is>
      </c>
      <c r="F764" t="inlineStr">
        <is>
          <t>SCA</t>
        </is>
      </c>
      <c r="G764" t="n">
        <v>3.8</v>
      </c>
      <c r="H764" t="n">
        <v>0</v>
      </c>
      <c r="I764" t="n">
        <v>0</v>
      </c>
      <c r="J764" t="n">
        <v>0</v>
      </c>
      <c r="K764" t="n">
        <v>0</v>
      </c>
      <c r="L764" t="n">
        <v>0</v>
      </c>
      <c r="M764" t="n">
        <v>0</v>
      </c>
      <c r="N764" t="n">
        <v>0</v>
      </c>
      <c r="O764" t="n">
        <v>0</v>
      </c>
      <c r="P764" t="n">
        <v>0</v>
      </c>
      <c r="Q764" t="n">
        <v>0</v>
      </c>
      <c r="R764" s="2" t="inlineStr"/>
    </row>
    <row r="765" ht="15" customHeight="1">
      <c r="A765" t="inlineStr">
        <is>
          <t>A 38273-2025</t>
        </is>
      </c>
      <c r="B765" s="1" t="n">
        <v>45883.40740740741</v>
      </c>
      <c r="C765" s="1" t="n">
        <v>46079</v>
      </c>
      <c r="D765" t="inlineStr">
        <is>
          <t>VÄSTERNORRLANDS LÄN</t>
        </is>
      </c>
      <c r="E765" t="inlineStr">
        <is>
          <t>ÅNGE</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53512-2023</t>
        </is>
      </c>
      <c r="B766" s="1" t="n">
        <v>45230</v>
      </c>
      <c r="C766" s="1" t="n">
        <v>46079</v>
      </c>
      <c r="D766" t="inlineStr">
        <is>
          <t>VÄSTERNORRLANDS LÄN</t>
        </is>
      </c>
      <c r="E766" t="inlineStr">
        <is>
          <t>ÅNGE</t>
        </is>
      </c>
      <c r="F766" t="inlineStr">
        <is>
          <t>Holmen skog AB</t>
        </is>
      </c>
      <c r="G766" t="n">
        <v>3</v>
      </c>
      <c r="H766" t="n">
        <v>0</v>
      </c>
      <c r="I766" t="n">
        <v>0</v>
      </c>
      <c r="J766" t="n">
        <v>0</v>
      </c>
      <c r="K766" t="n">
        <v>0</v>
      </c>
      <c r="L766" t="n">
        <v>0</v>
      </c>
      <c r="M766" t="n">
        <v>0</v>
      </c>
      <c r="N766" t="n">
        <v>0</v>
      </c>
      <c r="O766" t="n">
        <v>0</v>
      </c>
      <c r="P766" t="n">
        <v>0</v>
      </c>
      <c r="Q766" t="n">
        <v>0</v>
      </c>
      <c r="R766" s="2" t="inlineStr"/>
    </row>
    <row r="767" ht="15" customHeight="1">
      <c r="A767" t="inlineStr">
        <is>
          <t>A 54771-2023</t>
        </is>
      </c>
      <c r="B767" s="1" t="n">
        <v>45229</v>
      </c>
      <c r="C767" s="1" t="n">
        <v>46079</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32922-2024</t>
        </is>
      </c>
      <c r="B768" s="1" t="n">
        <v>45516.95263888889</v>
      </c>
      <c r="C768" s="1" t="n">
        <v>46079</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25035-2023</t>
        </is>
      </c>
      <c r="B769" s="1" t="n">
        <v>45085</v>
      </c>
      <c r="C769" s="1" t="n">
        <v>46079</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40755-2023</t>
        </is>
      </c>
      <c r="B770" s="1" t="n">
        <v>45170</v>
      </c>
      <c r="C770" s="1" t="n">
        <v>46079</v>
      </c>
      <c r="D770" t="inlineStr">
        <is>
          <t>VÄSTERNORRLANDS LÄN</t>
        </is>
      </c>
      <c r="E770" t="inlineStr">
        <is>
          <t>ÅNGE</t>
        </is>
      </c>
      <c r="G770" t="n">
        <v>3.6</v>
      </c>
      <c r="H770" t="n">
        <v>0</v>
      </c>
      <c r="I770" t="n">
        <v>0</v>
      </c>
      <c r="J770" t="n">
        <v>0</v>
      </c>
      <c r="K770" t="n">
        <v>0</v>
      </c>
      <c r="L770" t="n">
        <v>0</v>
      </c>
      <c r="M770" t="n">
        <v>0</v>
      </c>
      <c r="N770" t="n">
        <v>0</v>
      </c>
      <c r="O770" t="n">
        <v>0</v>
      </c>
      <c r="P770" t="n">
        <v>0</v>
      </c>
      <c r="Q770" t="n">
        <v>0</v>
      </c>
      <c r="R770" s="2" t="inlineStr"/>
    </row>
    <row r="771" ht="15" customHeight="1">
      <c r="A771" t="inlineStr">
        <is>
          <t>A 41284-2024</t>
        </is>
      </c>
      <c r="B771" s="1" t="n">
        <v>45559.59520833333</v>
      </c>
      <c r="C771" s="1" t="n">
        <v>46079</v>
      </c>
      <c r="D771" t="inlineStr">
        <is>
          <t>VÄSTERNORRLANDS LÄN</t>
        </is>
      </c>
      <c r="E771" t="inlineStr">
        <is>
          <t>ÅNGE</t>
        </is>
      </c>
      <c r="F771" t="inlineStr">
        <is>
          <t>SCA</t>
        </is>
      </c>
      <c r="G771" t="n">
        <v>5.5</v>
      </c>
      <c r="H771" t="n">
        <v>0</v>
      </c>
      <c r="I771" t="n">
        <v>0</v>
      </c>
      <c r="J771" t="n">
        <v>0</v>
      </c>
      <c r="K771" t="n">
        <v>0</v>
      </c>
      <c r="L771" t="n">
        <v>0</v>
      </c>
      <c r="M771" t="n">
        <v>0</v>
      </c>
      <c r="N771" t="n">
        <v>0</v>
      </c>
      <c r="O771" t="n">
        <v>0</v>
      </c>
      <c r="P771" t="n">
        <v>0</v>
      </c>
      <c r="Q771" t="n">
        <v>0</v>
      </c>
      <c r="R771" s="2" t="inlineStr"/>
    </row>
    <row r="772" ht="15" customHeight="1">
      <c r="A772" t="inlineStr">
        <is>
          <t>A 38283-2025</t>
        </is>
      </c>
      <c r="B772" s="1" t="n">
        <v>45883.42740740741</v>
      </c>
      <c r="C772" s="1" t="n">
        <v>46079</v>
      </c>
      <c r="D772" t="inlineStr">
        <is>
          <t>VÄSTERNORRLANDS LÄN</t>
        </is>
      </c>
      <c r="E772" t="inlineStr">
        <is>
          <t>ÅNGE</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32901-2023</t>
        </is>
      </c>
      <c r="B773" s="1" t="n">
        <v>45124.95063657407</v>
      </c>
      <c r="C773" s="1" t="n">
        <v>46079</v>
      </c>
      <c r="D773" t="inlineStr">
        <is>
          <t>VÄSTERNORRLANDS LÄN</t>
        </is>
      </c>
      <c r="E773" t="inlineStr">
        <is>
          <t>ÅNGE</t>
        </is>
      </c>
      <c r="F773" t="inlineStr">
        <is>
          <t>SCA</t>
        </is>
      </c>
      <c r="G773" t="n">
        <v>4.8</v>
      </c>
      <c r="H773" t="n">
        <v>0</v>
      </c>
      <c r="I773" t="n">
        <v>0</v>
      </c>
      <c r="J773" t="n">
        <v>0</v>
      </c>
      <c r="K773" t="n">
        <v>0</v>
      </c>
      <c r="L773" t="n">
        <v>0</v>
      </c>
      <c r="M773" t="n">
        <v>0</v>
      </c>
      <c r="N773" t="n">
        <v>0</v>
      </c>
      <c r="O773" t="n">
        <v>0</v>
      </c>
      <c r="P773" t="n">
        <v>0</v>
      </c>
      <c r="Q773" t="n">
        <v>0</v>
      </c>
      <c r="R773" s="2" t="inlineStr"/>
    </row>
    <row r="774" ht="15" customHeight="1">
      <c r="A774" t="inlineStr">
        <is>
          <t>A 16903-2024</t>
        </is>
      </c>
      <c r="B774" s="1" t="n">
        <v>45411.63106481481</v>
      </c>
      <c r="C774" s="1" t="n">
        <v>46079</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16915-2024</t>
        </is>
      </c>
      <c r="B775" s="1" t="n">
        <v>45411.65185185185</v>
      </c>
      <c r="C775" s="1" t="n">
        <v>46079</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5613-2024</t>
        </is>
      </c>
      <c r="B776" s="1" t="n">
        <v>45334</v>
      </c>
      <c r="C776" s="1" t="n">
        <v>46079</v>
      </c>
      <c r="D776" t="inlineStr">
        <is>
          <t>VÄSTERNORRLANDS LÄN</t>
        </is>
      </c>
      <c r="E776" t="inlineStr">
        <is>
          <t>ÅNGE</t>
        </is>
      </c>
      <c r="G776" t="n">
        <v>0.4</v>
      </c>
      <c r="H776" t="n">
        <v>0</v>
      </c>
      <c r="I776" t="n">
        <v>0</v>
      </c>
      <c r="J776" t="n">
        <v>0</v>
      </c>
      <c r="K776" t="n">
        <v>0</v>
      </c>
      <c r="L776" t="n">
        <v>0</v>
      </c>
      <c r="M776" t="n">
        <v>0</v>
      </c>
      <c r="N776" t="n">
        <v>0</v>
      </c>
      <c r="O776" t="n">
        <v>0</v>
      </c>
      <c r="P776" t="n">
        <v>0</v>
      </c>
      <c r="Q776" t="n">
        <v>0</v>
      </c>
      <c r="R776" s="2" t="inlineStr"/>
    </row>
    <row r="777" ht="15" customHeight="1">
      <c r="A777" t="inlineStr">
        <is>
          <t>A 54456-2024</t>
        </is>
      </c>
      <c r="B777" s="1" t="n">
        <v>45617.53160879629</v>
      </c>
      <c r="C777" s="1" t="n">
        <v>46079</v>
      </c>
      <c r="D777" t="inlineStr">
        <is>
          <t>VÄSTERNORRLANDS LÄN</t>
        </is>
      </c>
      <c r="E777" t="inlineStr">
        <is>
          <t>ÅNGE</t>
        </is>
      </c>
      <c r="F777" t="inlineStr">
        <is>
          <t>SCA</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20776-2025</t>
        </is>
      </c>
      <c r="B778" s="1" t="n">
        <v>45776.59410879629</v>
      </c>
      <c r="C778" s="1" t="n">
        <v>46079</v>
      </c>
      <c r="D778" t="inlineStr">
        <is>
          <t>VÄSTERNORRLANDS LÄN</t>
        </is>
      </c>
      <c r="E778" t="inlineStr">
        <is>
          <t>ÅNGE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25311-2023</t>
        </is>
      </c>
      <c r="B779" s="1" t="n">
        <v>45086.93869212963</v>
      </c>
      <c r="C779" s="1" t="n">
        <v>46079</v>
      </c>
      <c r="D779" t="inlineStr">
        <is>
          <t>VÄSTERNORRLANDS LÄN</t>
        </is>
      </c>
      <c r="E779" t="inlineStr">
        <is>
          <t>ÅNGE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20718-2025</t>
        </is>
      </c>
      <c r="B780" s="1" t="n">
        <v>45776.49047453704</v>
      </c>
      <c r="C780" s="1" t="n">
        <v>46079</v>
      </c>
      <c r="D780" t="inlineStr">
        <is>
          <t>VÄSTERNORRLANDS LÄN</t>
        </is>
      </c>
      <c r="E780" t="inlineStr">
        <is>
          <t>ÅNGE</t>
        </is>
      </c>
      <c r="G780" t="n">
        <v>4.7</v>
      </c>
      <c r="H780" t="n">
        <v>0</v>
      </c>
      <c r="I780" t="n">
        <v>0</v>
      </c>
      <c r="J780" t="n">
        <v>0</v>
      </c>
      <c r="K780" t="n">
        <v>0</v>
      </c>
      <c r="L780" t="n">
        <v>0</v>
      </c>
      <c r="M780" t="n">
        <v>0</v>
      </c>
      <c r="N780" t="n">
        <v>0</v>
      </c>
      <c r="O780" t="n">
        <v>0</v>
      </c>
      <c r="P780" t="n">
        <v>0</v>
      </c>
      <c r="Q780" t="n">
        <v>0</v>
      </c>
      <c r="R780" s="2" t="inlineStr"/>
    </row>
    <row r="781" ht="15" customHeight="1">
      <c r="A781" t="inlineStr">
        <is>
          <t>A 38332-2025</t>
        </is>
      </c>
      <c r="B781" s="1" t="n">
        <v>45883.49151620371</v>
      </c>
      <c r="C781" s="1" t="n">
        <v>46079</v>
      </c>
      <c r="D781" t="inlineStr">
        <is>
          <t>VÄSTERNORRLANDS LÄN</t>
        </is>
      </c>
      <c r="E781" t="inlineStr">
        <is>
          <t>ÅNGE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20338-2025</t>
        </is>
      </c>
      <c r="B782" s="1" t="n">
        <v>45775</v>
      </c>
      <c r="C782" s="1" t="n">
        <v>46079</v>
      </c>
      <c r="D782" t="inlineStr">
        <is>
          <t>VÄSTERNORRLANDS LÄN</t>
        </is>
      </c>
      <c r="E782" t="inlineStr">
        <is>
          <t>ÅNGE</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36457-2021</t>
        </is>
      </c>
      <c r="B783" s="1" t="n">
        <v>44390.93858796296</v>
      </c>
      <c r="C783" s="1" t="n">
        <v>46079</v>
      </c>
      <c r="D783" t="inlineStr">
        <is>
          <t>VÄSTERNORRLANDS LÄN</t>
        </is>
      </c>
      <c r="E783" t="inlineStr">
        <is>
          <t>ÅNGE</t>
        </is>
      </c>
      <c r="G783" t="n">
        <v>1.6</v>
      </c>
      <c r="H783" t="n">
        <v>0</v>
      </c>
      <c r="I783" t="n">
        <v>0</v>
      </c>
      <c r="J783" t="n">
        <v>0</v>
      </c>
      <c r="K783" t="n">
        <v>0</v>
      </c>
      <c r="L783" t="n">
        <v>0</v>
      </c>
      <c r="M783" t="n">
        <v>0</v>
      </c>
      <c r="N783" t="n">
        <v>0</v>
      </c>
      <c r="O783" t="n">
        <v>0</v>
      </c>
      <c r="P783" t="n">
        <v>0</v>
      </c>
      <c r="Q783" t="n">
        <v>0</v>
      </c>
      <c r="R783" s="2" t="inlineStr"/>
    </row>
    <row r="784" ht="15" customHeight="1">
      <c r="A784" t="inlineStr">
        <is>
          <t>A 20864-2025</t>
        </is>
      </c>
      <c r="B784" s="1" t="n">
        <v>45777.34417824074</v>
      </c>
      <c r="C784" s="1" t="n">
        <v>46079</v>
      </c>
      <c r="D784" t="inlineStr">
        <is>
          <t>VÄSTERNORRLANDS LÄN</t>
        </is>
      </c>
      <c r="E784" t="inlineStr">
        <is>
          <t>ÅNGE</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4904-2024</t>
        </is>
      </c>
      <c r="B785" s="1" t="n">
        <v>45329.47856481482</v>
      </c>
      <c r="C785" s="1" t="n">
        <v>46079</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29462-2024</t>
        </is>
      </c>
      <c r="B786" s="1" t="n">
        <v>45483.96979166667</v>
      </c>
      <c r="C786" s="1" t="n">
        <v>46079</v>
      </c>
      <c r="D786" t="inlineStr">
        <is>
          <t>VÄSTERNORRLANDS LÄN</t>
        </is>
      </c>
      <c r="E786" t="inlineStr">
        <is>
          <t>ÅNGE</t>
        </is>
      </c>
      <c r="F786" t="inlineStr">
        <is>
          <t>SCA</t>
        </is>
      </c>
      <c r="G786" t="n">
        <v>8.4</v>
      </c>
      <c r="H786" t="n">
        <v>0</v>
      </c>
      <c r="I786" t="n">
        <v>0</v>
      </c>
      <c r="J786" t="n">
        <v>0</v>
      </c>
      <c r="K786" t="n">
        <v>0</v>
      </c>
      <c r="L786" t="n">
        <v>0</v>
      </c>
      <c r="M786" t="n">
        <v>0</v>
      </c>
      <c r="N786" t="n">
        <v>0</v>
      </c>
      <c r="O786" t="n">
        <v>0</v>
      </c>
      <c r="P786" t="n">
        <v>0</v>
      </c>
      <c r="Q786" t="n">
        <v>0</v>
      </c>
      <c r="R786" s="2" t="inlineStr"/>
    </row>
    <row r="787" ht="15" customHeight="1">
      <c r="A787" t="inlineStr">
        <is>
          <t>A 44178-2023</t>
        </is>
      </c>
      <c r="B787" s="1" t="n">
        <v>45183</v>
      </c>
      <c r="C787" s="1" t="n">
        <v>46079</v>
      </c>
      <c r="D787" t="inlineStr">
        <is>
          <t>VÄSTERNORRLANDS LÄN</t>
        </is>
      </c>
      <c r="E787" t="inlineStr">
        <is>
          <t>ÅNGE</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56699-2023</t>
        </is>
      </c>
      <c r="B788" s="1" t="n">
        <v>45243</v>
      </c>
      <c r="C788" s="1" t="n">
        <v>46079</v>
      </c>
      <c r="D788" t="inlineStr">
        <is>
          <t>VÄSTERNORRLANDS LÄN</t>
        </is>
      </c>
      <c r="E788" t="inlineStr">
        <is>
          <t>ÅNGE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61928-2021</t>
        </is>
      </c>
      <c r="B789" s="1" t="n">
        <v>44502.38475694445</v>
      </c>
      <c r="C789" s="1" t="n">
        <v>46079</v>
      </c>
      <c r="D789" t="inlineStr">
        <is>
          <t>VÄSTERNORRLANDS LÄN</t>
        </is>
      </c>
      <c r="E789" t="inlineStr">
        <is>
          <t>ÅNGE</t>
        </is>
      </c>
      <c r="G789" t="n">
        <v>1</v>
      </c>
      <c r="H789" t="n">
        <v>0</v>
      </c>
      <c r="I789" t="n">
        <v>0</v>
      </c>
      <c r="J789" t="n">
        <v>0</v>
      </c>
      <c r="K789" t="n">
        <v>0</v>
      </c>
      <c r="L789" t="n">
        <v>0</v>
      </c>
      <c r="M789" t="n">
        <v>0</v>
      </c>
      <c r="N789" t="n">
        <v>0</v>
      </c>
      <c r="O789" t="n">
        <v>0</v>
      </c>
      <c r="P789" t="n">
        <v>0</v>
      </c>
      <c r="Q789" t="n">
        <v>0</v>
      </c>
      <c r="R789" s="2" t="inlineStr"/>
    </row>
    <row r="790" ht="15" customHeight="1">
      <c r="A790" t="inlineStr">
        <is>
          <t>A 21068-2025</t>
        </is>
      </c>
      <c r="B790" s="1" t="n">
        <v>45777.59413194445</v>
      </c>
      <c r="C790" s="1" t="n">
        <v>46079</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20868-2025</t>
        </is>
      </c>
      <c r="B791" s="1" t="n">
        <v>45777.34483796296</v>
      </c>
      <c r="C791" s="1" t="n">
        <v>46079</v>
      </c>
      <c r="D791" t="inlineStr">
        <is>
          <t>VÄSTERNORRLANDS LÄN</t>
        </is>
      </c>
      <c r="E791" t="inlineStr">
        <is>
          <t>ÅNGE</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16303-2025</t>
        </is>
      </c>
      <c r="B792" s="1" t="n">
        <v>45751.3462037037</v>
      </c>
      <c r="C792" s="1" t="n">
        <v>46079</v>
      </c>
      <c r="D792" t="inlineStr">
        <is>
          <t>VÄSTERNORRLANDS LÄN</t>
        </is>
      </c>
      <c r="E792" t="inlineStr">
        <is>
          <t>ÅNGE</t>
        </is>
      </c>
      <c r="F792" t="inlineStr">
        <is>
          <t>SCA</t>
        </is>
      </c>
      <c r="G792" t="n">
        <v>0.3</v>
      </c>
      <c r="H792" t="n">
        <v>0</v>
      </c>
      <c r="I792" t="n">
        <v>0</v>
      </c>
      <c r="J792" t="n">
        <v>0</v>
      </c>
      <c r="K792" t="n">
        <v>0</v>
      </c>
      <c r="L792" t="n">
        <v>0</v>
      </c>
      <c r="M792" t="n">
        <v>0</v>
      </c>
      <c r="N792" t="n">
        <v>0</v>
      </c>
      <c r="O792" t="n">
        <v>0</v>
      </c>
      <c r="P792" t="n">
        <v>0</v>
      </c>
      <c r="Q792" t="n">
        <v>0</v>
      </c>
      <c r="R792" s="2" t="inlineStr"/>
    </row>
    <row r="793" ht="15" customHeight="1">
      <c r="A793" t="inlineStr">
        <is>
          <t>A 37051-2021</t>
        </is>
      </c>
      <c r="B793" s="1" t="n">
        <v>44393</v>
      </c>
      <c r="C793" s="1" t="n">
        <v>46079</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21176-2025</t>
        </is>
      </c>
      <c r="B794" s="1" t="n">
        <v>45779.42798611111</v>
      </c>
      <c r="C794" s="1" t="n">
        <v>46079</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56908-2021</t>
        </is>
      </c>
      <c r="B795" s="1" t="n">
        <v>44481.93844907408</v>
      </c>
      <c r="C795" s="1" t="n">
        <v>46079</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732-2023</t>
        </is>
      </c>
      <c r="B796" s="1" t="n">
        <v>44931.29981481482</v>
      </c>
      <c r="C796" s="1" t="n">
        <v>46079</v>
      </c>
      <c r="D796" t="inlineStr">
        <is>
          <t>VÄSTERNORRLANDS LÄN</t>
        </is>
      </c>
      <c r="E796" t="inlineStr">
        <is>
          <t>ÅNGE</t>
        </is>
      </c>
      <c r="F796" t="inlineStr">
        <is>
          <t>Sveaskog</t>
        </is>
      </c>
      <c r="G796" t="n">
        <v>3.6</v>
      </c>
      <c r="H796" t="n">
        <v>0</v>
      </c>
      <c r="I796" t="n">
        <v>0</v>
      </c>
      <c r="J796" t="n">
        <v>0</v>
      </c>
      <c r="K796" t="n">
        <v>0</v>
      </c>
      <c r="L796" t="n">
        <v>0</v>
      </c>
      <c r="M796" t="n">
        <v>0</v>
      </c>
      <c r="N796" t="n">
        <v>0</v>
      </c>
      <c r="O796" t="n">
        <v>0</v>
      </c>
      <c r="P796" t="n">
        <v>0</v>
      </c>
      <c r="Q796" t="n">
        <v>0</v>
      </c>
      <c r="R796" s="2" t="inlineStr"/>
    </row>
    <row r="797" ht="15" customHeight="1">
      <c r="A797" t="inlineStr">
        <is>
          <t>A 5520-2022</t>
        </is>
      </c>
      <c r="B797" s="1" t="n">
        <v>44595</v>
      </c>
      <c r="C797" s="1" t="n">
        <v>46079</v>
      </c>
      <c r="D797" t="inlineStr">
        <is>
          <t>VÄSTERNORRLANDS LÄN</t>
        </is>
      </c>
      <c r="E797" t="inlineStr">
        <is>
          <t>ÅNGE</t>
        </is>
      </c>
      <c r="G797" t="n">
        <v>4.9</v>
      </c>
      <c r="H797" t="n">
        <v>0</v>
      </c>
      <c r="I797" t="n">
        <v>0</v>
      </c>
      <c r="J797" t="n">
        <v>0</v>
      </c>
      <c r="K797" t="n">
        <v>0</v>
      </c>
      <c r="L797" t="n">
        <v>0</v>
      </c>
      <c r="M797" t="n">
        <v>0</v>
      </c>
      <c r="N797" t="n">
        <v>0</v>
      </c>
      <c r="O797" t="n">
        <v>0</v>
      </c>
      <c r="P797" t="n">
        <v>0</v>
      </c>
      <c r="Q797" t="n">
        <v>0</v>
      </c>
      <c r="R797" s="2" t="inlineStr"/>
    </row>
    <row r="798" ht="15" customHeight="1">
      <c r="A798" t="inlineStr">
        <is>
          <t>A 21197-2025</t>
        </is>
      </c>
      <c r="B798" s="1" t="n">
        <v>45779.46949074074</v>
      </c>
      <c r="C798" s="1" t="n">
        <v>46079</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8648-2025</t>
        </is>
      </c>
      <c r="B799" s="1" t="n">
        <v>45712.34501157407</v>
      </c>
      <c r="C799" s="1" t="n">
        <v>46079</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21563-2025</t>
        </is>
      </c>
      <c r="B800" s="1" t="n">
        <v>45782.69822916666</v>
      </c>
      <c r="C800" s="1" t="n">
        <v>46079</v>
      </c>
      <c r="D800" t="inlineStr">
        <is>
          <t>VÄSTERNORRLANDS LÄN</t>
        </is>
      </c>
      <c r="E800" t="inlineStr">
        <is>
          <t>ÅNGE</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45030-2024</t>
        </is>
      </c>
      <c r="B801" s="1" t="n">
        <v>45575.52089120371</v>
      </c>
      <c r="C801" s="1" t="n">
        <v>46079</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36786-2024</t>
        </is>
      </c>
      <c r="B802" s="1" t="n">
        <v>45538</v>
      </c>
      <c r="C802" s="1" t="n">
        <v>46079</v>
      </c>
      <c r="D802" t="inlineStr">
        <is>
          <t>VÄSTERNORRLANDS LÄN</t>
        </is>
      </c>
      <c r="E802" t="inlineStr">
        <is>
          <t>ÅNGE</t>
        </is>
      </c>
      <c r="F802" t="inlineStr">
        <is>
          <t>SCA</t>
        </is>
      </c>
      <c r="G802" t="n">
        <v>5.2</v>
      </c>
      <c r="H802" t="n">
        <v>0</v>
      </c>
      <c r="I802" t="n">
        <v>0</v>
      </c>
      <c r="J802" t="n">
        <v>0</v>
      </c>
      <c r="K802" t="n">
        <v>0</v>
      </c>
      <c r="L802" t="n">
        <v>0</v>
      </c>
      <c r="M802" t="n">
        <v>0</v>
      </c>
      <c r="N802" t="n">
        <v>0</v>
      </c>
      <c r="O802" t="n">
        <v>0</v>
      </c>
      <c r="P802" t="n">
        <v>0</v>
      </c>
      <c r="Q802" t="n">
        <v>0</v>
      </c>
      <c r="R802" s="2" t="inlineStr"/>
    </row>
    <row r="803" ht="15" customHeight="1">
      <c r="A803" t="inlineStr">
        <is>
          <t>A 27952-2024</t>
        </is>
      </c>
      <c r="B803" s="1" t="n">
        <v>45476.33063657407</v>
      </c>
      <c r="C803" s="1" t="n">
        <v>46079</v>
      </c>
      <c r="D803" t="inlineStr">
        <is>
          <t>VÄSTERNORRLANDS LÄN</t>
        </is>
      </c>
      <c r="E803" t="inlineStr">
        <is>
          <t>ÅNGE</t>
        </is>
      </c>
      <c r="G803" t="n">
        <v>12.2</v>
      </c>
      <c r="H803" t="n">
        <v>0</v>
      </c>
      <c r="I803" t="n">
        <v>0</v>
      </c>
      <c r="J803" t="n">
        <v>0</v>
      </c>
      <c r="K803" t="n">
        <v>0</v>
      </c>
      <c r="L803" t="n">
        <v>0</v>
      </c>
      <c r="M803" t="n">
        <v>0</v>
      </c>
      <c r="N803" t="n">
        <v>0</v>
      </c>
      <c r="O803" t="n">
        <v>0</v>
      </c>
      <c r="P803" t="n">
        <v>0</v>
      </c>
      <c r="Q803" t="n">
        <v>0</v>
      </c>
      <c r="R803" s="2" t="inlineStr"/>
    </row>
    <row r="804" ht="15" customHeight="1">
      <c r="A804" t="inlineStr">
        <is>
          <t>A 32439-2024</t>
        </is>
      </c>
      <c r="B804" s="1" t="n">
        <v>45512</v>
      </c>
      <c r="C804" s="1" t="n">
        <v>46079</v>
      </c>
      <c r="D804" t="inlineStr">
        <is>
          <t>VÄSTERNORRLANDS LÄN</t>
        </is>
      </c>
      <c r="E804" t="inlineStr">
        <is>
          <t>ÅNGE</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21263-2025</t>
        </is>
      </c>
      <c r="B805" s="1" t="n">
        <v>45779.61233796296</v>
      </c>
      <c r="C805" s="1" t="n">
        <v>46079</v>
      </c>
      <c r="D805" t="inlineStr">
        <is>
          <t>VÄSTERNORRLANDS LÄN</t>
        </is>
      </c>
      <c r="E805" t="inlineStr">
        <is>
          <t>ÅNGE</t>
        </is>
      </c>
      <c r="F805" t="inlineStr">
        <is>
          <t>Sveaskog</t>
        </is>
      </c>
      <c r="G805" t="n">
        <v>14.9</v>
      </c>
      <c r="H805" t="n">
        <v>0</v>
      </c>
      <c r="I805" t="n">
        <v>0</v>
      </c>
      <c r="J805" t="n">
        <v>0</v>
      </c>
      <c r="K805" t="n">
        <v>0</v>
      </c>
      <c r="L805" t="n">
        <v>0</v>
      </c>
      <c r="M805" t="n">
        <v>0</v>
      </c>
      <c r="N805" t="n">
        <v>0</v>
      </c>
      <c r="O805" t="n">
        <v>0</v>
      </c>
      <c r="P805" t="n">
        <v>0</v>
      </c>
      <c r="Q805" t="n">
        <v>0</v>
      </c>
      <c r="R805" s="2" t="inlineStr"/>
    </row>
    <row r="806" ht="15" customHeight="1">
      <c r="A806" t="inlineStr">
        <is>
          <t>A 53663-2022</t>
        </is>
      </c>
      <c r="B806" s="1" t="n">
        <v>44879</v>
      </c>
      <c r="C806" s="1" t="n">
        <v>46079</v>
      </c>
      <c r="D806" t="inlineStr">
        <is>
          <t>VÄSTERNORRLANDS LÄN</t>
        </is>
      </c>
      <c r="E806" t="inlineStr">
        <is>
          <t>ÅNGE</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60363-2024</t>
        </is>
      </c>
      <c r="B807" s="1" t="n">
        <v>45643</v>
      </c>
      <c r="C807" s="1" t="n">
        <v>46079</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51070-2024</t>
        </is>
      </c>
      <c r="B808" s="1" t="n">
        <v>45603</v>
      </c>
      <c r="C808" s="1" t="n">
        <v>46079</v>
      </c>
      <c r="D808" t="inlineStr">
        <is>
          <t>VÄSTERNORRLANDS LÄN</t>
        </is>
      </c>
      <c r="E808" t="inlineStr">
        <is>
          <t>ÅNGE</t>
        </is>
      </c>
      <c r="G808" t="n">
        <v>11.1</v>
      </c>
      <c r="H808" t="n">
        <v>0</v>
      </c>
      <c r="I808" t="n">
        <v>0</v>
      </c>
      <c r="J808" t="n">
        <v>0</v>
      </c>
      <c r="K808" t="n">
        <v>0</v>
      </c>
      <c r="L808" t="n">
        <v>0</v>
      </c>
      <c r="M808" t="n">
        <v>0</v>
      </c>
      <c r="N808" t="n">
        <v>0</v>
      </c>
      <c r="O808" t="n">
        <v>0</v>
      </c>
      <c r="P808" t="n">
        <v>0</v>
      </c>
      <c r="Q808" t="n">
        <v>0</v>
      </c>
      <c r="R808" s="2" t="inlineStr"/>
    </row>
    <row r="809" ht="15" customHeight="1">
      <c r="A809" t="inlineStr">
        <is>
          <t>A 60514-2024</t>
        </is>
      </c>
      <c r="B809" s="1" t="n">
        <v>45643.67474537037</v>
      </c>
      <c r="C809" s="1" t="n">
        <v>46079</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21174-2025</t>
        </is>
      </c>
      <c r="B810" s="1" t="n">
        <v>45779.42746527777</v>
      </c>
      <c r="C810" s="1" t="n">
        <v>46079</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21251-2025</t>
        </is>
      </c>
      <c r="B811" s="1" t="n">
        <v>45779.57417824074</v>
      </c>
      <c r="C811" s="1" t="n">
        <v>46079</v>
      </c>
      <c r="D811" t="inlineStr">
        <is>
          <t>VÄSTERNORRLANDS LÄN</t>
        </is>
      </c>
      <c r="E811" t="inlineStr">
        <is>
          <t>ÅNGE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52665-2024</t>
        </is>
      </c>
      <c r="B812" s="1" t="n">
        <v>45610.36549768518</v>
      </c>
      <c r="C812" s="1" t="n">
        <v>46079</v>
      </c>
      <c r="D812" t="inlineStr">
        <is>
          <t>VÄSTERNORRLANDS LÄN</t>
        </is>
      </c>
      <c r="E812" t="inlineStr">
        <is>
          <t>ÅNGE</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21712-2025</t>
        </is>
      </c>
      <c r="B813" s="1" t="n">
        <v>45783.53210648148</v>
      </c>
      <c r="C813" s="1" t="n">
        <v>46079</v>
      </c>
      <c r="D813" t="inlineStr">
        <is>
          <t>VÄSTERNORRLANDS LÄN</t>
        </is>
      </c>
      <c r="E813" t="inlineStr">
        <is>
          <t>ÅNGE</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49711-2024</t>
        </is>
      </c>
      <c r="B814" s="1" t="n">
        <v>45596.69891203703</v>
      </c>
      <c r="C814" s="1" t="n">
        <v>46079</v>
      </c>
      <c r="D814" t="inlineStr">
        <is>
          <t>VÄSTERNORRLANDS LÄN</t>
        </is>
      </c>
      <c r="E814" t="inlineStr">
        <is>
          <t>ÅNGE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2539-2025</t>
        </is>
      </c>
      <c r="B815" s="1" t="n">
        <v>45674.61581018518</v>
      </c>
      <c r="C815" s="1" t="n">
        <v>46079</v>
      </c>
      <c r="D815" t="inlineStr">
        <is>
          <t>VÄSTERNORRLANDS LÄN</t>
        </is>
      </c>
      <c r="E815" t="inlineStr">
        <is>
          <t>ÅNGE</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22187-2024</t>
        </is>
      </c>
      <c r="B816" s="1" t="n">
        <v>45446.35222222222</v>
      </c>
      <c r="C816" s="1" t="n">
        <v>46079</v>
      </c>
      <c r="D816" t="inlineStr">
        <is>
          <t>VÄSTERNORRLANDS LÄN</t>
        </is>
      </c>
      <c r="E816" t="inlineStr">
        <is>
          <t>ÅNGE</t>
        </is>
      </c>
      <c r="G816" t="n">
        <v>2.3</v>
      </c>
      <c r="H816" t="n">
        <v>0</v>
      </c>
      <c r="I816" t="n">
        <v>0</v>
      </c>
      <c r="J816" t="n">
        <v>0</v>
      </c>
      <c r="K816" t="n">
        <v>0</v>
      </c>
      <c r="L816" t="n">
        <v>0</v>
      </c>
      <c r="M816" t="n">
        <v>0</v>
      </c>
      <c r="N816" t="n">
        <v>0</v>
      </c>
      <c r="O816" t="n">
        <v>0</v>
      </c>
      <c r="P816" t="n">
        <v>0</v>
      </c>
      <c r="Q816" t="n">
        <v>0</v>
      </c>
      <c r="R816" s="2" t="inlineStr"/>
    </row>
    <row r="817" ht="15" customHeight="1">
      <c r="A817" t="inlineStr">
        <is>
          <t>A 21883-2025</t>
        </is>
      </c>
      <c r="B817" s="1" t="n">
        <v>45784.41361111111</v>
      </c>
      <c r="C817" s="1" t="n">
        <v>46079</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21597-2025</t>
        </is>
      </c>
      <c r="B818" s="1" t="n">
        <v>45783.34493055556</v>
      </c>
      <c r="C818" s="1" t="n">
        <v>46079</v>
      </c>
      <c r="D818" t="inlineStr">
        <is>
          <t>VÄSTERNORRLANDS LÄN</t>
        </is>
      </c>
      <c r="E818" t="inlineStr">
        <is>
          <t>ÅNGE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24293-2023</t>
        </is>
      </c>
      <c r="B819" s="1" t="n">
        <v>45079.92756944444</v>
      </c>
      <c r="C819" s="1" t="n">
        <v>46079</v>
      </c>
      <c r="D819" t="inlineStr">
        <is>
          <t>VÄSTERNORRLANDS LÄN</t>
        </is>
      </c>
      <c r="E819" t="inlineStr">
        <is>
          <t>ÅNGE</t>
        </is>
      </c>
      <c r="G819" t="n">
        <v>0.8</v>
      </c>
      <c r="H819" t="n">
        <v>0</v>
      </c>
      <c r="I819" t="n">
        <v>0</v>
      </c>
      <c r="J819" t="n">
        <v>0</v>
      </c>
      <c r="K819" t="n">
        <v>0</v>
      </c>
      <c r="L819" t="n">
        <v>0</v>
      </c>
      <c r="M819" t="n">
        <v>0</v>
      </c>
      <c r="N819" t="n">
        <v>0</v>
      </c>
      <c r="O819" t="n">
        <v>0</v>
      </c>
      <c r="P819" t="n">
        <v>0</v>
      </c>
      <c r="Q819" t="n">
        <v>0</v>
      </c>
      <c r="R819" s="2" t="inlineStr"/>
    </row>
    <row r="820" ht="15" customHeight="1">
      <c r="A820" t="inlineStr">
        <is>
          <t>A 25867-2024</t>
        </is>
      </c>
      <c r="B820" s="1" t="n">
        <v>45463</v>
      </c>
      <c r="C820" s="1" t="n">
        <v>46079</v>
      </c>
      <c r="D820" t="inlineStr">
        <is>
          <t>VÄSTERNORRLANDS LÄN</t>
        </is>
      </c>
      <c r="E820" t="inlineStr">
        <is>
          <t>ÅNGE</t>
        </is>
      </c>
      <c r="G820" t="n">
        <v>2.7</v>
      </c>
      <c r="H820" t="n">
        <v>0</v>
      </c>
      <c r="I820" t="n">
        <v>0</v>
      </c>
      <c r="J820" t="n">
        <v>0</v>
      </c>
      <c r="K820" t="n">
        <v>0</v>
      </c>
      <c r="L820" t="n">
        <v>0</v>
      </c>
      <c r="M820" t="n">
        <v>0</v>
      </c>
      <c r="N820" t="n">
        <v>0</v>
      </c>
      <c r="O820" t="n">
        <v>0</v>
      </c>
      <c r="P820" t="n">
        <v>0</v>
      </c>
      <c r="Q820" t="n">
        <v>0</v>
      </c>
      <c r="R820" s="2" t="inlineStr"/>
    </row>
    <row r="821" ht="15" customHeight="1">
      <c r="A821" t="inlineStr">
        <is>
          <t>A 17669-2023</t>
        </is>
      </c>
      <c r="B821" s="1" t="n">
        <v>45036.94457175926</v>
      </c>
      <c r="C821" s="1" t="n">
        <v>46079</v>
      </c>
      <c r="D821" t="inlineStr">
        <is>
          <t>VÄSTERNORRLANDS LÄN</t>
        </is>
      </c>
      <c r="E821" t="inlineStr">
        <is>
          <t>ÅNGE</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29395-2023</t>
        </is>
      </c>
      <c r="B822" s="1" t="n">
        <v>45106.4359837963</v>
      </c>
      <c r="C822" s="1" t="n">
        <v>46079</v>
      </c>
      <c r="D822" t="inlineStr">
        <is>
          <t>VÄSTERNORRLANDS LÄN</t>
        </is>
      </c>
      <c r="E822" t="inlineStr">
        <is>
          <t>ÅNGE</t>
        </is>
      </c>
      <c r="G822" t="n">
        <v>3.5</v>
      </c>
      <c r="H822" t="n">
        <v>0</v>
      </c>
      <c r="I822" t="n">
        <v>0</v>
      </c>
      <c r="J822" t="n">
        <v>0</v>
      </c>
      <c r="K822" t="n">
        <v>0</v>
      </c>
      <c r="L822" t="n">
        <v>0</v>
      </c>
      <c r="M822" t="n">
        <v>0</v>
      </c>
      <c r="N822" t="n">
        <v>0</v>
      </c>
      <c r="O822" t="n">
        <v>0</v>
      </c>
      <c r="P822" t="n">
        <v>0</v>
      </c>
      <c r="Q822" t="n">
        <v>0</v>
      </c>
      <c r="R822" s="2" t="inlineStr"/>
    </row>
    <row r="823" ht="15" customHeight="1">
      <c r="A823" t="inlineStr">
        <is>
          <t>A 21862-2025</t>
        </is>
      </c>
      <c r="B823" s="1" t="n">
        <v>45784.36519675926</v>
      </c>
      <c r="C823" s="1" t="n">
        <v>46079</v>
      </c>
      <c r="D823" t="inlineStr">
        <is>
          <t>VÄSTERNORRLANDS LÄN</t>
        </is>
      </c>
      <c r="E823" t="inlineStr">
        <is>
          <t>ÅNGE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25779-2023</t>
        </is>
      </c>
      <c r="B824" s="1" t="n">
        <v>45090.47439814815</v>
      </c>
      <c r="C824" s="1" t="n">
        <v>46079</v>
      </c>
      <c r="D824" t="inlineStr">
        <is>
          <t>VÄSTERNORRLANDS LÄN</t>
        </is>
      </c>
      <c r="E824" t="inlineStr">
        <is>
          <t>ÅNGE</t>
        </is>
      </c>
      <c r="G824" t="n">
        <v>2.4</v>
      </c>
      <c r="H824" t="n">
        <v>0</v>
      </c>
      <c r="I824" t="n">
        <v>0</v>
      </c>
      <c r="J824" t="n">
        <v>0</v>
      </c>
      <c r="K824" t="n">
        <v>0</v>
      </c>
      <c r="L824" t="n">
        <v>0</v>
      </c>
      <c r="M824" t="n">
        <v>0</v>
      </c>
      <c r="N824" t="n">
        <v>0</v>
      </c>
      <c r="O824" t="n">
        <v>0</v>
      </c>
      <c r="P824" t="n">
        <v>0</v>
      </c>
      <c r="Q824" t="n">
        <v>0</v>
      </c>
      <c r="R824" s="2" t="inlineStr"/>
    </row>
    <row r="825" ht="15" customHeight="1">
      <c r="A825" t="inlineStr">
        <is>
          <t>A 9211-2023</t>
        </is>
      </c>
      <c r="B825" s="1" t="n">
        <v>44980</v>
      </c>
      <c r="C825" s="1" t="n">
        <v>46079</v>
      </c>
      <c r="D825" t="inlineStr">
        <is>
          <t>VÄSTERNORRLANDS LÄN</t>
        </is>
      </c>
      <c r="E825" t="inlineStr">
        <is>
          <t>ÅNGE</t>
        </is>
      </c>
      <c r="G825" t="n">
        <v>2.3</v>
      </c>
      <c r="H825" t="n">
        <v>0</v>
      </c>
      <c r="I825" t="n">
        <v>0</v>
      </c>
      <c r="J825" t="n">
        <v>0</v>
      </c>
      <c r="K825" t="n">
        <v>0</v>
      </c>
      <c r="L825" t="n">
        <v>0</v>
      </c>
      <c r="M825" t="n">
        <v>0</v>
      </c>
      <c r="N825" t="n">
        <v>0</v>
      </c>
      <c r="O825" t="n">
        <v>0</v>
      </c>
      <c r="P825" t="n">
        <v>0</v>
      </c>
      <c r="Q825" t="n">
        <v>0</v>
      </c>
      <c r="R825" s="2" t="inlineStr"/>
    </row>
    <row r="826" ht="15" customHeight="1">
      <c r="A826" t="inlineStr">
        <is>
          <t>A 8627-2023</t>
        </is>
      </c>
      <c r="B826" s="1" t="n">
        <v>44977</v>
      </c>
      <c r="C826" s="1" t="n">
        <v>46079</v>
      </c>
      <c r="D826" t="inlineStr">
        <is>
          <t>VÄSTERNORRLANDS LÄN</t>
        </is>
      </c>
      <c r="E826" t="inlineStr">
        <is>
          <t>ÅNGE</t>
        </is>
      </c>
      <c r="G826" t="n">
        <v>3</v>
      </c>
      <c r="H826" t="n">
        <v>0</v>
      </c>
      <c r="I826" t="n">
        <v>0</v>
      </c>
      <c r="J826" t="n">
        <v>0</v>
      </c>
      <c r="K826" t="n">
        <v>0</v>
      </c>
      <c r="L826" t="n">
        <v>0</v>
      </c>
      <c r="M826" t="n">
        <v>0</v>
      </c>
      <c r="N826" t="n">
        <v>0</v>
      </c>
      <c r="O826" t="n">
        <v>0</v>
      </c>
      <c r="P826" t="n">
        <v>0</v>
      </c>
      <c r="Q826" t="n">
        <v>0</v>
      </c>
      <c r="R826" s="2" t="inlineStr"/>
    </row>
    <row r="827" ht="15" customHeight="1">
      <c r="A827" t="inlineStr">
        <is>
          <t>A 21982-2025</t>
        </is>
      </c>
      <c r="B827" s="1" t="n">
        <v>45784.65660879629</v>
      </c>
      <c r="C827" s="1" t="n">
        <v>46079</v>
      </c>
      <c r="D827" t="inlineStr">
        <is>
          <t>VÄSTERNORRLANDS LÄN</t>
        </is>
      </c>
      <c r="E827" t="inlineStr">
        <is>
          <t>ÅNGE</t>
        </is>
      </c>
      <c r="F827" t="inlineStr">
        <is>
          <t>SCA</t>
        </is>
      </c>
      <c r="G827" t="n">
        <v>7.6</v>
      </c>
      <c r="H827" t="n">
        <v>0</v>
      </c>
      <c r="I827" t="n">
        <v>0</v>
      </c>
      <c r="J827" t="n">
        <v>0</v>
      </c>
      <c r="K827" t="n">
        <v>0</v>
      </c>
      <c r="L827" t="n">
        <v>0</v>
      </c>
      <c r="M827" t="n">
        <v>0</v>
      </c>
      <c r="N827" t="n">
        <v>0</v>
      </c>
      <c r="O827" t="n">
        <v>0</v>
      </c>
      <c r="P827" t="n">
        <v>0</v>
      </c>
      <c r="Q827" t="n">
        <v>0</v>
      </c>
      <c r="R827" s="2" t="inlineStr"/>
    </row>
    <row r="828" ht="15" customHeight="1">
      <c r="A828" t="inlineStr">
        <is>
          <t>A 27260-2023</t>
        </is>
      </c>
      <c r="B828" s="1" t="n">
        <v>45092</v>
      </c>
      <c r="C828" s="1" t="n">
        <v>46079</v>
      </c>
      <c r="D828" t="inlineStr">
        <is>
          <t>VÄSTERNORRLANDS LÄN</t>
        </is>
      </c>
      <c r="E828" t="inlineStr">
        <is>
          <t>ÅNGE</t>
        </is>
      </c>
      <c r="G828" t="n">
        <v>2.7</v>
      </c>
      <c r="H828" t="n">
        <v>0</v>
      </c>
      <c r="I828" t="n">
        <v>0</v>
      </c>
      <c r="J828" t="n">
        <v>0</v>
      </c>
      <c r="K828" t="n">
        <v>0</v>
      </c>
      <c r="L828" t="n">
        <v>0</v>
      </c>
      <c r="M828" t="n">
        <v>0</v>
      </c>
      <c r="N828" t="n">
        <v>0</v>
      </c>
      <c r="O828" t="n">
        <v>0</v>
      </c>
      <c r="P828" t="n">
        <v>0</v>
      </c>
      <c r="Q828" t="n">
        <v>0</v>
      </c>
      <c r="R828" s="2" t="inlineStr"/>
    </row>
    <row r="829" ht="15" customHeight="1">
      <c r="A829" t="inlineStr">
        <is>
          <t>A 41831-2021</t>
        </is>
      </c>
      <c r="B829" s="1" t="n">
        <v>44425.92212962963</v>
      </c>
      <c r="C829" s="1" t="n">
        <v>46079</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54295-2024</t>
        </is>
      </c>
      <c r="B830" s="1" t="n">
        <v>45617</v>
      </c>
      <c r="C830" s="1" t="n">
        <v>46079</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21686-2025</t>
        </is>
      </c>
      <c r="B831" s="1" t="n">
        <v>45783.490625</v>
      </c>
      <c r="C831" s="1" t="n">
        <v>46079</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16934-2025</t>
        </is>
      </c>
      <c r="B832" s="1" t="n">
        <v>45755.40671296296</v>
      </c>
      <c r="C832" s="1" t="n">
        <v>46079</v>
      </c>
      <c r="D832" t="inlineStr">
        <is>
          <t>VÄSTERNORRLANDS LÄN</t>
        </is>
      </c>
      <c r="E832" t="inlineStr">
        <is>
          <t>ÅNGE</t>
        </is>
      </c>
      <c r="G832" t="n">
        <v>3.9</v>
      </c>
      <c r="H832" t="n">
        <v>0</v>
      </c>
      <c r="I832" t="n">
        <v>0</v>
      </c>
      <c r="J832" t="n">
        <v>0</v>
      </c>
      <c r="K832" t="n">
        <v>0</v>
      </c>
      <c r="L832" t="n">
        <v>0</v>
      </c>
      <c r="M832" t="n">
        <v>0</v>
      </c>
      <c r="N832" t="n">
        <v>0</v>
      </c>
      <c r="O832" t="n">
        <v>0</v>
      </c>
      <c r="P832" t="n">
        <v>0</v>
      </c>
      <c r="Q832" t="n">
        <v>0</v>
      </c>
      <c r="R832" s="2" t="inlineStr"/>
    </row>
    <row r="833" ht="15" customHeight="1">
      <c r="A833" t="inlineStr">
        <is>
          <t>A 57815-2024</t>
        </is>
      </c>
      <c r="B833" s="1" t="n">
        <v>45631.37068287037</v>
      </c>
      <c r="C833" s="1" t="n">
        <v>46079</v>
      </c>
      <c r="D833" t="inlineStr">
        <is>
          <t>VÄSTERNORRLANDS LÄN</t>
        </is>
      </c>
      <c r="E833" t="inlineStr">
        <is>
          <t>ÅNGE</t>
        </is>
      </c>
      <c r="G833" t="n">
        <v>2.6</v>
      </c>
      <c r="H833" t="n">
        <v>0</v>
      </c>
      <c r="I833" t="n">
        <v>0</v>
      </c>
      <c r="J833" t="n">
        <v>0</v>
      </c>
      <c r="K833" t="n">
        <v>0</v>
      </c>
      <c r="L833" t="n">
        <v>0</v>
      </c>
      <c r="M833" t="n">
        <v>0</v>
      </c>
      <c r="N833" t="n">
        <v>0</v>
      </c>
      <c r="O833" t="n">
        <v>0</v>
      </c>
      <c r="P833" t="n">
        <v>0</v>
      </c>
      <c r="Q833" t="n">
        <v>0</v>
      </c>
      <c r="R833" s="2" t="inlineStr"/>
    </row>
    <row r="834" ht="15" customHeight="1">
      <c r="A834" t="inlineStr">
        <is>
          <t>A 21741-2025</t>
        </is>
      </c>
      <c r="B834" s="1" t="n">
        <v>45783.59415509259</v>
      </c>
      <c r="C834" s="1" t="n">
        <v>46079</v>
      </c>
      <c r="D834" t="inlineStr">
        <is>
          <t>VÄSTERNORRLANDS LÄN</t>
        </is>
      </c>
      <c r="E834" t="inlineStr">
        <is>
          <t>ÅNGE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6691-2024</t>
        </is>
      </c>
      <c r="B835" s="1" t="n">
        <v>45341</v>
      </c>
      <c r="C835" s="1" t="n">
        <v>46079</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56434-2021</t>
        </is>
      </c>
      <c r="B836" s="1" t="n">
        <v>44477</v>
      </c>
      <c r="C836" s="1" t="n">
        <v>46079</v>
      </c>
      <c r="D836" t="inlineStr">
        <is>
          <t>VÄSTERNORRLANDS LÄN</t>
        </is>
      </c>
      <c r="E836" t="inlineStr">
        <is>
          <t>ÅNGE</t>
        </is>
      </c>
      <c r="G836" t="n">
        <v>2.7</v>
      </c>
      <c r="H836" t="n">
        <v>0</v>
      </c>
      <c r="I836" t="n">
        <v>0</v>
      </c>
      <c r="J836" t="n">
        <v>0</v>
      </c>
      <c r="K836" t="n">
        <v>0</v>
      </c>
      <c r="L836" t="n">
        <v>0</v>
      </c>
      <c r="M836" t="n">
        <v>0</v>
      </c>
      <c r="N836" t="n">
        <v>0</v>
      </c>
      <c r="O836" t="n">
        <v>0</v>
      </c>
      <c r="P836" t="n">
        <v>0</v>
      </c>
      <c r="Q836" t="n">
        <v>0</v>
      </c>
      <c r="R836" s="2" t="inlineStr"/>
    </row>
    <row r="837" ht="15" customHeight="1">
      <c r="A837" t="inlineStr">
        <is>
          <t>A 12123-2024</t>
        </is>
      </c>
      <c r="B837" s="1" t="n">
        <v>45377</v>
      </c>
      <c r="C837" s="1" t="n">
        <v>46079</v>
      </c>
      <c r="D837" t="inlineStr">
        <is>
          <t>VÄSTERNORRLANDS LÄN</t>
        </is>
      </c>
      <c r="E837" t="inlineStr">
        <is>
          <t>ÅNGE</t>
        </is>
      </c>
      <c r="G837" t="n">
        <v>2.2</v>
      </c>
      <c r="H837" t="n">
        <v>0</v>
      </c>
      <c r="I837" t="n">
        <v>0</v>
      </c>
      <c r="J837" t="n">
        <v>0</v>
      </c>
      <c r="K837" t="n">
        <v>0</v>
      </c>
      <c r="L837" t="n">
        <v>0</v>
      </c>
      <c r="M837" t="n">
        <v>0</v>
      </c>
      <c r="N837" t="n">
        <v>0</v>
      </c>
      <c r="O837" t="n">
        <v>0</v>
      </c>
      <c r="P837" t="n">
        <v>0</v>
      </c>
      <c r="Q837" t="n">
        <v>0</v>
      </c>
      <c r="R837" s="2" t="inlineStr"/>
    </row>
    <row r="838" ht="15" customHeight="1">
      <c r="A838" t="inlineStr">
        <is>
          <t>A 39119-2024</t>
        </is>
      </c>
      <c r="B838" s="1" t="n">
        <v>45548.58939814815</v>
      </c>
      <c r="C838" s="1" t="n">
        <v>46079</v>
      </c>
      <c r="D838" t="inlineStr">
        <is>
          <t>VÄSTERNORRLANDS LÄN</t>
        </is>
      </c>
      <c r="E838" t="inlineStr">
        <is>
          <t>ÅNGE</t>
        </is>
      </c>
      <c r="G838" t="n">
        <v>8</v>
      </c>
      <c r="H838" t="n">
        <v>0</v>
      </c>
      <c r="I838" t="n">
        <v>0</v>
      </c>
      <c r="J838" t="n">
        <v>0</v>
      </c>
      <c r="K838" t="n">
        <v>0</v>
      </c>
      <c r="L838" t="n">
        <v>0</v>
      </c>
      <c r="M838" t="n">
        <v>0</v>
      </c>
      <c r="N838" t="n">
        <v>0</v>
      </c>
      <c r="O838" t="n">
        <v>0</v>
      </c>
      <c r="P838" t="n">
        <v>0</v>
      </c>
      <c r="Q838" t="n">
        <v>0</v>
      </c>
      <c r="R838" s="2" t="inlineStr"/>
    </row>
    <row r="839" ht="15" customHeight="1">
      <c r="A839" t="inlineStr">
        <is>
          <t>A 21685-2025</t>
        </is>
      </c>
      <c r="B839" s="1" t="n">
        <v>45783.49050925926</v>
      </c>
      <c r="C839" s="1" t="n">
        <v>46079</v>
      </c>
      <c r="D839" t="inlineStr">
        <is>
          <t>VÄSTERNORRLANDS LÄN</t>
        </is>
      </c>
      <c r="E839" t="inlineStr">
        <is>
          <t>ÅNGE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54946-2021</t>
        </is>
      </c>
      <c r="B840" s="1" t="n">
        <v>44474.46466435185</v>
      </c>
      <c r="C840" s="1" t="n">
        <v>46079</v>
      </c>
      <c r="D840" t="inlineStr">
        <is>
          <t>VÄSTERNORRLANDS LÄN</t>
        </is>
      </c>
      <c r="E840" t="inlineStr">
        <is>
          <t>ÅNGE</t>
        </is>
      </c>
      <c r="G840" t="n">
        <v>5.4</v>
      </c>
      <c r="H840" t="n">
        <v>0</v>
      </c>
      <c r="I840" t="n">
        <v>0</v>
      </c>
      <c r="J840" t="n">
        <v>0</v>
      </c>
      <c r="K840" t="n">
        <v>0</v>
      </c>
      <c r="L840" t="n">
        <v>0</v>
      </c>
      <c r="M840" t="n">
        <v>0</v>
      </c>
      <c r="N840" t="n">
        <v>0</v>
      </c>
      <c r="O840" t="n">
        <v>0</v>
      </c>
      <c r="P840" t="n">
        <v>0</v>
      </c>
      <c r="Q840" t="n">
        <v>0</v>
      </c>
      <c r="R840" s="2" t="inlineStr"/>
    </row>
    <row r="841" ht="15" customHeight="1">
      <c r="A841" t="inlineStr">
        <is>
          <t>A 57109-2023</t>
        </is>
      </c>
      <c r="B841" s="1" t="n">
        <v>45239</v>
      </c>
      <c r="C841" s="1" t="n">
        <v>46079</v>
      </c>
      <c r="D841" t="inlineStr">
        <is>
          <t>VÄSTERNORRLANDS LÄN</t>
        </is>
      </c>
      <c r="E841" t="inlineStr">
        <is>
          <t>ÅNGE</t>
        </is>
      </c>
      <c r="G841" t="n">
        <v>7</v>
      </c>
      <c r="H841" t="n">
        <v>0</v>
      </c>
      <c r="I841" t="n">
        <v>0</v>
      </c>
      <c r="J841" t="n">
        <v>0</v>
      </c>
      <c r="K841" t="n">
        <v>0</v>
      </c>
      <c r="L841" t="n">
        <v>0</v>
      </c>
      <c r="M841" t="n">
        <v>0</v>
      </c>
      <c r="N841" t="n">
        <v>0</v>
      </c>
      <c r="O841" t="n">
        <v>0</v>
      </c>
      <c r="P841" t="n">
        <v>0</v>
      </c>
      <c r="Q841" t="n">
        <v>0</v>
      </c>
      <c r="R841" s="2" t="inlineStr"/>
    </row>
    <row r="842" ht="15" customHeight="1">
      <c r="A842" t="inlineStr">
        <is>
          <t>A 12806-2025</t>
        </is>
      </c>
      <c r="B842" s="1" t="n">
        <v>45733.61518518518</v>
      </c>
      <c r="C842" s="1" t="n">
        <v>46079</v>
      </c>
      <c r="D842" t="inlineStr">
        <is>
          <t>VÄSTERNORRLANDS LÄN</t>
        </is>
      </c>
      <c r="E842" t="inlineStr">
        <is>
          <t>ÅNGE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20024-2023</t>
        </is>
      </c>
      <c r="B843" s="1" t="n">
        <v>45051</v>
      </c>
      <c r="C843" s="1" t="n">
        <v>46079</v>
      </c>
      <c r="D843" t="inlineStr">
        <is>
          <t>VÄSTERNORRLANDS LÄN</t>
        </is>
      </c>
      <c r="E843" t="inlineStr">
        <is>
          <t>ÅNGE</t>
        </is>
      </c>
      <c r="G843" t="n">
        <v>0.8</v>
      </c>
      <c r="H843" t="n">
        <v>0</v>
      </c>
      <c r="I843" t="n">
        <v>0</v>
      </c>
      <c r="J843" t="n">
        <v>0</v>
      </c>
      <c r="K843" t="n">
        <v>0</v>
      </c>
      <c r="L843" t="n">
        <v>0</v>
      </c>
      <c r="M843" t="n">
        <v>0</v>
      </c>
      <c r="N843" t="n">
        <v>0</v>
      </c>
      <c r="O843" t="n">
        <v>0</v>
      </c>
      <c r="P843" t="n">
        <v>0</v>
      </c>
      <c r="Q843" t="n">
        <v>0</v>
      </c>
      <c r="R843" s="2" t="inlineStr"/>
    </row>
    <row r="844" ht="15" customHeight="1">
      <c r="A844" t="inlineStr">
        <is>
          <t>A 42346-2023</t>
        </is>
      </c>
      <c r="B844" s="1" t="n">
        <v>45180</v>
      </c>
      <c r="C844" s="1" t="n">
        <v>46079</v>
      </c>
      <c r="D844" t="inlineStr">
        <is>
          <t>VÄSTERNORRLANDS LÄN</t>
        </is>
      </c>
      <c r="E844" t="inlineStr">
        <is>
          <t>ÅNGE</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16563-2025</t>
        </is>
      </c>
      <c r="B845" s="1" t="n">
        <v>45752.34430555555</v>
      </c>
      <c r="C845" s="1" t="n">
        <v>46079</v>
      </c>
      <c r="D845" t="inlineStr">
        <is>
          <t>VÄSTERNORRLANDS LÄN</t>
        </is>
      </c>
      <c r="E845" t="inlineStr">
        <is>
          <t>ÅNGE</t>
        </is>
      </c>
      <c r="F845" t="inlineStr">
        <is>
          <t>SCA</t>
        </is>
      </c>
      <c r="G845" t="n">
        <v>24.7</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46079</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5456-2024</t>
        </is>
      </c>
      <c r="B847" s="1" t="n">
        <v>45331</v>
      </c>
      <c r="C847" s="1" t="n">
        <v>46079</v>
      </c>
      <c r="D847" t="inlineStr">
        <is>
          <t>VÄSTERNORRLANDS LÄN</t>
        </is>
      </c>
      <c r="E847" t="inlineStr">
        <is>
          <t>ÅNGE</t>
        </is>
      </c>
      <c r="G847" t="n">
        <v>13</v>
      </c>
      <c r="H847" t="n">
        <v>0</v>
      </c>
      <c r="I847" t="n">
        <v>0</v>
      </c>
      <c r="J847" t="n">
        <v>0</v>
      </c>
      <c r="K847" t="n">
        <v>0</v>
      </c>
      <c r="L847" t="n">
        <v>0</v>
      </c>
      <c r="M847" t="n">
        <v>0</v>
      </c>
      <c r="N847" t="n">
        <v>0</v>
      </c>
      <c r="O847" t="n">
        <v>0</v>
      </c>
      <c r="P847" t="n">
        <v>0</v>
      </c>
      <c r="Q847" t="n">
        <v>0</v>
      </c>
      <c r="R847" s="2" t="inlineStr"/>
    </row>
    <row r="848" ht="15" customHeight="1">
      <c r="A848" t="inlineStr">
        <is>
          <t>A 30474-2024</t>
        </is>
      </c>
      <c r="B848" s="1" t="n">
        <v>45491</v>
      </c>
      <c r="C848" s="1" t="n">
        <v>46079</v>
      </c>
      <c r="D848" t="inlineStr">
        <is>
          <t>VÄSTERNORRLANDS LÄN</t>
        </is>
      </c>
      <c r="E848" t="inlineStr">
        <is>
          <t>ÅNGE</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30475-2024</t>
        </is>
      </c>
      <c r="B849" s="1" t="n">
        <v>45491</v>
      </c>
      <c r="C849" s="1" t="n">
        <v>46079</v>
      </c>
      <c r="D849" t="inlineStr">
        <is>
          <t>VÄSTERNORRLANDS LÄN</t>
        </is>
      </c>
      <c r="E849" t="inlineStr">
        <is>
          <t>ÅNGE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71965-2021</t>
        </is>
      </c>
      <c r="B850" s="1" t="n">
        <v>44544.32483796297</v>
      </c>
      <c r="C850" s="1" t="n">
        <v>46079</v>
      </c>
      <c r="D850" t="inlineStr">
        <is>
          <t>VÄSTERNORRLANDS LÄN</t>
        </is>
      </c>
      <c r="E850" t="inlineStr">
        <is>
          <t>ÅNGE</t>
        </is>
      </c>
      <c r="G850" t="n">
        <v>0.8</v>
      </c>
      <c r="H850" t="n">
        <v>0</v>
      </c>
      <c r="I850" t="n">
        <v>0</v>
      </c>
      <c r="J850" t="n">
        <v>0</v>
      </c>
      <c r="K850" t="n">
        <v>0</v>
      </c>
      <c r="L850" t="n">
        <v>0</v>
      </c>
      <c r="M850" t="n">
        <v>0</v>
      </c>
      <c r="N850" t="n">
        <v>0</v>
      </c>
      <c r="O850" t="n">
        <v>0</v>
      </c>
      <c r="P850" t="n">
        <v>0</v>
      </c>
      <c r="Q850" t="n">
        <v>0</v>
      </c>
      <c r="R850" s="2" t="inlineStr"/>
    </row>
    <row r="851" ht="15" customHeight="1">
      <c r="A851" t="inlineStr">
        <is>
          <t>A 56574-2024</t>
        </is>
      </c>
      <c r="B851" s="1" t="n">
        <v>45625.59616898148</v>
      </c>
      <c r="C851" s="1" t="n">
        <v>46079</v>
      </c>
      <c r="D851" t="inlineStr">
        <is>
          <t>VÄSTERNORRLANDS LÄN</t>
        </is>
      </c>
      <c r="E851" t="inlineStr">
        <is>
          <t>ÅNGE</t>
        </is>
      </c>
      <c r="G851" t="n">
        <v>0.9</v>
      </c>
      <c r="H851" t="n">
        <v>0</v>
      </c>
      <c r="I851" t="n">
        <v>0</v>
      </c>
      <c r="J851" t="n">
        <v>0</v>
      </c>
      <c r="K851" t="n">
        <v>0</v>
      </c>
      <c r="L851" t="n">
        <v>0</v>
      </c>
      <c r="M851" t="n">
        <v>0</v>
      </c>
      <c r="N851" t="n">
        <v>0</v>
      </c>
      <c r="O851" t="n">
        <v>0</v>
      </c>
      <c r="P851" t="n">
        <v>0</v>
      </c>
      <c r="Q851" t="n">
        <v>0</v>
      </c>
      <c r="R851" s="2" t="inlineStr"/>
    </row>
    <row r="852" ht="15" customHeight="1">
      <c r="A852" t="inlineStr">
        <is>
          <t>A 15368-2024</t>
        </is>
      </c>
      <c r="B852" s="1" t="n">
        <v>45400.92284722222</v>
      </c>
      <c r="C852" s="1" t="n">
        <v>46079</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58087-2024</t>
        </is>
      </c>
      <c r="B853" s="1" t="n">
        <v>45632.34502314815</v>
      </c>
      <c r="C853" s="1" t="n">
        <v>46079</v>
      </c>
      <c r="D853" t="inlineStr">
        <is>
          <t>VÄSTERNORRLANDS LÄN</t>
        </is>
      </c>
      <c r="E853" t="inlineStr">
        <is>
          <t>ÅNGE</t>
        </is>
      </c>
      <c r="G853" t="n">
        <v>2.6</v>
      </c>
      <c r="H853" t="n">
        <v>0</v>
      </c>
      <c r="I853" t="n">
        <v>0</v>
      </c>
      <c r="J853" t="n">
        <v>0</v>
      </c>
      <c r="K853" t="n">
        <v>0</v>
      </c>
      <c r="L853" t="n">
        <v>0</v>
      </c>
      <c r="M853" t="n">
        <v>0</v>
      </c>
      <c r="N853" t="n">
        <v>0</v>
      </c>
      <c r="O853" t="n">
        <v>0</v>
      </c>
      <c r="P853" t="n">
        <v>0</v>
      </c>
      <c r="Q853" t="n">
        <v>0</v>
      </c>
      <c r="R853" s="2" t="inlineStr"/>
    </row>
    <row r="854" ht="15" customHeight="1">
      <c r="A854" t="inlineStr">
        <is>
          <t>A 50231-2024</t>
        </is>
      </c>
      <c r="B854" s="1" t="n">
        <v>45600.55251157407</v>
      </c>
      <c r="C854" s="1" t="n">
        <v>46079</v>
      </c>
      <c r="D854" t="inlineStr">
        <is>
          <t>VÄSTERNORRLANDS LÄN</t>
        </is>
      </c>
      <c r="E854" t="inlineStr">
        <is>
          <t>ÅNGE</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57636-2022</t>
        </is>
      </c>
      <c r="B855" s="1" t="n">
        <v>44897</v>
      </c>
      <c r="C855" s="1" t="n">
        <v>46079</v>
      </c>
      <c r="D855" t="inlineStr">
        <is>
          <t>VÄSTERNORRLANDS LÄN</t>
        </is>
      </c>
      <c r="E855" t="inlineStr">
        <is>
          <t>ÅNGE</t>
        </is>
      </c>
      <c r="G855" t="n">
        <v>0.8</v>
      </c>
      <c r="H855" t="n">
        <v>0</v>
      </c>
      <c r="I855" t="n">
        <v>0</v>
      </c>
      <c r="J855" t="n">
        <v>0</v>
      </c>
      <c r="K855" t="n">
        <v>0</v>
      </c>
      <c r="L855" t="n">
        <v>0</v>
      </c>
      <c r="M855" t="n">
        <v>0</v>
      </c>
      <c r="N855" t="n">
        <v>0</v>
      </c>
      <c r="O855" t="n">
        <v>0</v>
      </c>
      <c r="P855" t="n">
        <v>0</v>
      </c>
      <c r="Q855" t="n">
        <v>0</v>
      </c>
      <c r="R855" s="2" t="inlineStr"/>
    </row>
    <row r="856" ht="15" customHeight="1">
      <c r="A856" t="inlineStr">
        <is>
          <t>A 38703-2025</t>
        </is>
      </c>
      <c r="B856" s="1" t="n">
        <v>45885.34440972222</v>
      </c>
      <c r="C856" s="1" t="n">
        <v>46079</v>
      </c>
      <c r="D856" t="inlineStr">
        <is>
          <t>VÄSTERNORRLANDS LÄN</t>
        </is>
      </c>
      <c r="E856" t="inlineStr">
        <is>
          <t>ÅNGE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32051-2025</t>
        </is>
      </c>
      <c r="B857" s="1" t="n">
        <v>45835.44185185185</v>
      </c>
      <c r="C857" s="1" t="n">
        <v>46079</v>
      </c>
      <c r="D857" t="inlineStr">
        <is>
          <t>VÄSTERNORRLANDS LÄN</t>
        </is>
      </c>
      <c r="E857" t="inlineStr">
        <is>
          <t>ÅNGE</t>
        </is>
      </c>
      <c r="G857" t="n">
        <v>4</v>
      </c>
      <c r="H857" t="n">
        <v>0</v>
      </c>
      <c r="I857" t="n">
        <v>0</v>
      </c>
      <c r="J857" t="n">
        <v>0</v>
      </c>
      <c r="K857" t="n">
        <v>0</v>
      </c>
      <c r="L857" t="n">
        <v>0</v>
      </c>
      <c r="M857" t="n">
        <v>0</v>
      </c>
      <c r="N857" t="n">
        <v>0</v>
      </c>
      <c r="O857" t="n">
        <v>0</v>
      </c>
      <c r="P857" t="n">
        <v>0</v>
      </c>
      <c r="Q857" t="n">
        <v>0</v>
      </c>
      <c r="R857" s="2" t="inlineStr"/>
    </row>
    <row r="858" ht="15" customHeight="1">
      <c r="A858" t="inlineStr">
        <is>
          <t>A 20716-2025</t>
        </is>
      </c>
      <c r="B858" s="1" t="n">
        <v>45776.49026620371</v>
      </c>
      <c r="C858" s="1" t="n">
        <v>46079</v>
      </c>
      <c r="D858" t="inlineStr">
        <is>
          <t>VÄSTERNORRLANDS LÄN</t>
        </is>
      </c>
      <c r="E858" t="inlineStr">
        <is>
          <t>ÅNGE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52685-2024</t>
        </is>
      </c>
      <c r="B859" s="1" t="n">
        <v>45610</v>
      </c>
      <c r="C859" s="1" t="n">
        <v>46079</v>
      </c>
      <c r="D859" t="inlineStr">
        <is>
          <t>VÄSTERNORRLANDS LÄN</t>
        </is>
      </c>
      <c r="E859" t="inlineStr">
        <is>
          <t>ÅNGE</t>
        </is>
      </c>
      <c r="G859" t="n">
        <v>2.3</v>
      </c>
      <c r="H859" t="n">
        <v>0</v>
      </c>
      <c r="I859" t="n">
        <v>0</v>
      </c>
      <c r="J859" t="n">
        <v>0</v>
      </c>
      <c r="K859" t="n">
        <v>0</v>
      </c>
      <c r="L859" t="n">
        <v>0</v>
      </c>
      <c r="M859" t="n">
        <v>0</v>
      </c>
      <c r="N859" t="n">
        <v>0</v>
      </c>
      <c r="O859" t="n">
        <v>0</v>
      </c>
      <c r="P859" t="n">
        <v>0</v>
      </c>
      <c r="Q859" t="n">
        <v>0</v>
      </c>
      <c r="R859" s="2" t="inlineStr"/>
    </row>
    <row r="860" ht="15" customHeight="1">
      <c r="A860" t="inlineStr">
        <is>
          <t>A 55664-2023</t>
        </is>
      </c>
      <c r="B860" s="1" t="n">
        <v>45238.96748842593</v>
      </c>
      <c r="C860" s="1" t="n">
        <v>46079</v>
      </c>
      <c r="D860" t="inlineStr">
        <is>
          <t>VÄSTERNORRLANDS LÄN</t>
        </is>
      </c>
      <c r="E860" t="inlineStr">
        <is>
          <t>ÅNGE</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38711-2025</t>
        </is>
      </c>
      <c r="B861" s="1" t="n">
        <v>45886.34450231482</v>
      </c>
      <c r="C861" s="1" t="n">
        <v>46079</v>
      </c>
      <c r="D861" t="inlineStr">
        <is>
          <t>VÄSTERNORRLANDS LÄN</t>
        </is>
      </c>
      <c r="E861" t="inlineStr">
        <is>
          <t>ÅNGE</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58275-2022</t>
        </is>
      </c>
      <c r="B862" s="1" t="n">
        <v>44901.47865740741</v>
      </c>
      <c r="C862" s="1" t="n">
        <v>46079</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38715-2025</t>
        </is>
      </c>
      <c r="B863" s="1" t="n">
        <v>45886.34501157407</v>
      </c>
      <c r="C863" s="1" t="n">
        <v>46079</v>
      </c>
      <c r="D863" t="inlineStr">
        <is>
          <t>VÄSTERNORRLANDS LÄN</t>
        </is>
      </c>
      <c r="E863" t="inlineStr">
        <is>
          <t>ÅNGE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59600-2024</t>
        </is>
      </c>
      <c r="B864" s="1" t="n">
        <v>45638.71763888889</v>
      </c>
      <c r="C864" s="1" t="n">
        <v>46079</v>
      </c>
      <c r="D864" t="inlineStr">
        <is>
          <t>VÄSTERNORRLANDS LÄN</t>
        </is>
      </c>
      <c r="E864" t="inlineStr">
        <is>
          <t>ÅNGE</t>
        </is>
      </c>
      <c r="G864" t="n">
        <v>1.3</v>
      </c>
      <c r="H864" t="n">
        <v>0</v>
      </c>
      <c r="I864" t="n">
        <v>0</v>
      </c>
      <c r="J864" t="n">
        <v>0</v>
      </c>
      <c r="K864" t="n">
        <v>0</v>
      </c>
      <c r="L864" t="n">
        <v>0</v>
      </c>
      <c r="M864" t="n">
        <v>0</v>
      </c>
      <c r="N864" t="n">
        <v>0</v>
      </c>
      <c r="O864" t="n">
        <v>0</v>
      </c>
      <c r="P864" t="n">
        <v>0</v>
      </c>
      <c r="Q864" t="n">
        <v>0</v>
      </c>
      <c r="R864" s="2" t="inlineStr"/>
    </row>
    <row r="865" ht="15" customHeight="1">
      <c r="A865" t="inlineStr">
        <is>
          <t>A 3133-2024</t>
        </is>
      </c>
      <c r="B865" s="1" t="n">
        <v>45316.55885416667</v>
      </c>
      <c r="C865" s="1" t="n">
        <v>46079</v>
      </c>
      <c r="D865" t="inlineStr">
        <is>
          <t>VÄSTERNORRLANDS LÄN</t>
        </is>
      </c>
      <c r="E865" t="inlineStr">
        <is>
          <t>ÅNGE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17210-2022</t>
        </is>
      </c>
      <c r="B866" s="1" t="n">
        <v>44677.92701388889</v>
      </c>
      <c r="C866" s="1" t="n">
        <v>46079</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10195-2024</t>
        </is>
      </c>
      <c r="B867" s="1" t="n">
        <v>45364</v>
      </c>
      <c r="C867" s="1" t="n">
        <v>46079</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39444-2025</t>
        </is>
      </c>
      <c r="B868" s="1" t="n">
        <v>45889.69826388889</v>
      </c>
      <c r="C868" s="1" t="n">
        <v>46079</v>
      </c>
      <c r="D868" t="inlineStr">
        <is>
          <t>VÄSTERNORRLANDS LÄN</t>
        </is>
      </c>
      <c r="E868" t="inlineStr">
        <is>
          <t>ÅNGE</t>
        </is>
      </c>
      <c r="F868" t="inlineStr">
        <is>
          <t>SCA</t>
        </is>
      </c>
      <c r="G868" t="n">
        <v>7.9</v>
      </c>
      <c r="H868" t="n">
        <v>0</v>
      </c>
      <c r="I868" t="n">
        <v>0</v>
      </c>
      <c r="J868" t="n">
        <v>0</v>
      </c>
      <c r="K868" t="n">
        <v>0</v>
      </c>
      <c r="L868" t="n">
        <v>0</v>
      </c>
      <c r="M868" t="n">
        <v>0</v>
      </c>
      <c r="N868" t="n">
        <v>0</v>
      </c>
      <c r="O868" t="n">
        <v>0</v>
      </c>
      <c r="P868" t="n">
        <v>0</v>
      </c>
      <c r="Q868" t="n">
        <v>0</v>
      </c>
      <c r="R868" s="2" t="inlineStr"/>
    </row>
    <row r="869" ht="15" customHeight="1">
      <c r="A869" t="inlineStr">
        <is>
          <t>A 361-2025</t>
        </is>
      </c>
      <c r="B869" s="1" t="n">
        <v>45660</v>
      </c>
      <c r="C869" s="1" t="n">
        <v>46079</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12021-2022</t>
        </is>
      </c>
      <c r="B870" s="1" t="n">
        <v>44635</v>
      </c>
      <c r="C870" s="1" t="n">
        <v>46079</v>
      </c>
      <c r="D870" t="inlineStr">
        <is>
          <t>VÄSTERNORRLANDS LÄN</t>
        </is>
      </c>
      <c r="E870" t="inlineStr">
        <is>
          <t>ÅNGE</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29063-2023</t>
        </is>
      </c>
      <c r="B871" s="1" t="n">
        <v>45104.94068287037</v>
      </c>
      <c r="C871" s="1" t="n">
        <v>46079</v>
      </c>
      <c r="D871" t="inlineStr">
        <is>
          <t>VÄSTERNORRLANDS LÄN</t>
        </is>
      </c>
      <c r="E871" t="inlineStr">
        <is>
          <t>ÅNGE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6690-2024</t>
        </is>
      </c>
      <c r="B872" s="1" t="n">
        <v>45341</v>
      </c>
      <c r="C872" s="1" t="n">
        <v>46079</v>
      </c>
      <c r="D872" t="inlineStr">
        <is>
          <t>VÄSTERNORRLANDS LÄN</t>
        </is>
      </c>
      <c r="E872" t="inlineStr">
        <is>
          <t>ÅNGE</t>
        </is>
      </c>
      <c r="G872" t="n">
        <v>0.5</v>
      </c>
      <c r="H872" t="n">
        <v>0</v>
      </c>
      <c r="I872" t="n">
        <v>0</v>
      </c>
      <c r="J872" t="n">
        <v>0</v>
      </c>
      <c r="K872" t="n">
        <v>0</v>
      </c>
      <c r="L872" t="n">
        <v>0</v>
      </c>
      <c r="M872" t="n">
        <v>0</v>
      </c>
      <c r="N872" t="n">
        <v>0</v>
      </c>
      <c r="O872" t="n">
        <v>0</v>
      </c>
      <c r="P872" t="n">
        <v>0</v>
      </c>
      <c r="Q872" t="n">
        <v>0</v>
      </c>
      <c r="R872" s="2" t="inlineStr"/>
    </row>
    <row r="873" ht="15" customHeight="1">
      <c r="A873" t="inlineStr">
        <is>
          <t>A 39434-2025</t>
        </is>
      </c>
      <c r="B873" s="1" t="n">
        <v>45889.67811342593</v>
      </c>
      <c r="C873" s="1" t="n">
        <v>46079</v>
      </c>
      <c r="D873" t="inlineStr">
        <is>
          <t>VÄSTERNORRLANDS LÄN</t>
        </is>
      </c>
      <c r="E873" t="inlineStr">
        <is>
          <t>ÅNGE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51609-2023</t>
        </is>
      </c>
      <c r="B874" s="1" t="n">
        <v>45215</v>
      </c>
      <c r="C874" s="1" t="n">
        <v>46079</v>
      </c>
      <c r="D874" t="inlineStr">
        <is>
          <t>VÄSTERNORRLANDS LÄN</t>
        </is>
      </c>
      <c r="E874" t="inlineStr">
        <is>
          <t>ÅNGE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53970-2021</t>
        </is>
      </c>
      <c r="B875" s="1" t="n">
        <v>44469</v>
      </c>
      <c r="C875" s="1" t="n">
        <v>46079</v>
      </c>
      <c r="D875" t="inlineStr">
        <is>
          <t>VÄSTERNORRLANDS LÄN</t>
        </is>
      </c>
      <c r="E875" t="inlineStr">
        <is>
          <t>ÅNGE</t>
        </is>
      </c>
      <c r="G875" t="n">
        <v>3.4</v>
      </c>
      <c r="H875" t="n">
        <v>0</v>
      </c>
      <c r="I875" t="n">
        <v>0</v>
      </c>
      <c r="J875" t="n">
        <v>0</v>
      </c>
      <c r="K875" t="n">
        <v>0</v>
      </c>
      <c r="L875" t="n">
        <v>0</v>
      </c>
      <c r="M875" t="n">
        <v>0</v>
      </c>
      <c r="N875" t="n">
        <v>0</v>
      </c>
      <c r="O875" t="n">
        <v>0</v>
      </c>
      <c r="P875" t="n">
        <v>0</v>
      </c>
      <c r="Q875" t="n">
        <v>0</v>
      </c>
      <c r="R875" s="2" t="inlineStr"/>
    </row>
    <row r="876" ht="15" customHeight="1">
      <c r="A876" t="inlineStr">
        <is>
          <t>A 2415-2024</t>
        </is>
      </c>
      <c r="B876" s="1" t="n">
        <v>45310</v>
      </c>
      <c r="C876" s="1" t="n">
        <v>46079</v>
      </c>
      <c r="D876" t="inlineStr">
        <is>
          <t>VÄSTERNORRLANDS LÄN</t>
        </is>
      </c>
      <c r="E876" t="inlineStr">
        <is>
          <t>ÅNGE</t>
        </is>
      </c>
      <c r="F876" t="inlineStr">
        <is>
          <t>Kyrkan</t>
        </is>
      </c>
      <c r="G876" t="n">
        <v>0.2</v>
      </c>
      <c r="H876" t="n">
        <v>0</v>
      </c>
      <c r="I876" t="n">
        <v>0</v>
      </c>
      <c r="J876" t="n">
        <v>0</v>
      </c>
      <c r="K876" t="n">
        <v>0</v>
      </c>
      <c r="L876" t="n">
        <v>0</v>
      </c>
      <c r="M876" t="n">
        <v>0</v>
      </c>
      <c r="N876" t="n">
        <v>0</v>
      </c>
      <c r="O876" t="n">
        <v>0</v>
      </c>
      <c r="P876" t="n">
        <v>0</v>
      </c>
      <c r="Q876" t="n">
        <v>0</v>
      </c>
      <c r="R876" s="2" t="inlineStr"/>
    </row>
    <row r="877" ht="15" customHeight="1">
      <c r="A877" t="inlineStr">
        <is>
          <t>A 32257-2024</t>
        </is>
      </c>
      <c r="B877" s="1" t="n">
        <v>45511</v>
      </c>
      <c r="C877" s="1" t="n">
        <v>46079</v>
      </c>
      <c r="D877" t="inlineStr">
        <is>
          <t>VÄSTERNORRLANDS LÄN</t>
        </is>
      </c>
      <c r="E877" t="inlineStr">
        <is>
          <t>ÅNGE</t>
        </is>
      </c>
      <c r="F877" t="inlineStr">
        <is>
          <t>SCA</t>
        </is>
      </c>
      <c r="G877" t="n">
        <v>4.7</v>
      </c>
      <c r="H877" t="n">
        <v>0</v>
      </c>
      <c r="I877" t="n">
        <v>0</v>
      </c>
      <c r="J877" t="n">
        <v>0</v>
      </c>
      <c r="K877" t="n">
        <v>0</v>
      </c>
      <c r="L877" t="n">
        <v>0</v>
      </c>
      <c r="M877" t="n">
        <v>0</v>
      </c>
      <c r="N877" t="n">
        <v>0</v>
      </c>
      <c r="O877" t="n">
        <v>0</v>
      </c>
      <c r="P877" t="n">
        <v>0</v>
      </c>
      <c r="Q877" t="n">
        <v>0</v>
      </c>
      <c r="R877" s="2" t="inlineStr"/>
    </row>
    <row r="878" ht="15" customHeight="1">
      <c r="A878" t="inlineStr">
        <is>
          <t>A 6686-2024</t>
        </is>
      </c>
      <c r="B878" s="1" t="n">
        <v>45341</v>
      </c>
      <c r="C878" s="1" t="n">
        <v>46079</v>
      </c>
      <c r="D878" t="inlineStr">
        <is>
          <t>VÄSTERNORRLANDS LÄN</t>
        </is>
      </c>
      <c r="E878" t="inlineStr">
        <is>
          <t>ÅNGE</t>
        </is>
      </c>
      <c r="G878" t="n">
        <v>0.9</v>
      </c>
      <c r="H878" t="n">
        <v>0</v>
      </c>
      <c r="I878" t="n">
        <v>0</v>
      </c>
      <c r="J878" t="n">
        <v>0</v>
      </c>
      <c r="K878" t="n">
        <v>0</v>
      </c>
      <c r="L878" t="n">
        <v>0</v>
      </c>
      <c r="M878" t="n">
        <v>0</v>
      </c>
      <c r="N878" t="n">
        <v>0</v>
      </c>
      <c r="O878" t="n">
        <v>0</v>
      </c>
      <c r="P878" t="n">
        <v>0</v>
      </c>
      <c r="Q878" t="n">
        <v>0</v>
      </c>
      <c r="R878" s="2" t="inlineStr"/>
    </row>
    <row r="879" ht="15" customHeight="1">
      <c r="A879" t="inlineStr">
        <is>
          <t>A 3977-2025</t>
        </is>
      </c>
      <c r="B879" s="1" t="n">
        <v>45684</v>
      </c>
      <c r="C879" s="1" t="n">
        <v>46079</v>
      </c>
      <c r="D879" t="inlineStr">
        <is>
          <t>VÄSTERNORRLANDS LÄN</t>
        </is>
      </c>
      <c r="E879" t="inlineStr">
        <is>
          <t>ÅNGE</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30682-2024</t>
        </is>
      </c>
      <c r="B880" s="1" t="n">
        <v>45495.95109953704</v>
      </c>
      <c r="C880" s="1" t="n">
        <v>46079</v>
      </c>
      <c r="D880" t="inlineStr">
        <is>
          <t>VÄSTERNORRLANDS LÄN</t>
        </is>
      </c>
      <c r="E880" t="inlineStr">
        <is>
          <t>ÅNGE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30753-2024</t>
        </is>
      </c>
      <c r="B881" s="1" t="n">
        <v>45496</v>
      </c>
      <c r="C881" s="1" t="n">
        <v>46079</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30754-2024</t>
        </is>
      </c>
      <c r="B882" s="1" t="n">
        <v>45496</v>
      </c>
      <c r="C882" s="1" t="n">
        <v>46079</v>
      </c>
      <c r="D882" t="inlineStr">
        <is>
          <t>VÄSTERNORRLANDS LÄN</t>
        </is>
      </c>
      <c r="E882" t="inlineStr">
        <is>
          <t>ÅNGE</t>
        </is>
      </c>
      <c r="G882" t="n">
        <v>3.8</v>
      </c>
      <c r="H882" t="n">
        <v>0</v>
      </c>
      <c r="I882" t="n">
        <v>0</v>
      </c>
      <c r="J882" t="n">
        <v>0</v>
      </c>
      <c r="K882" t="n">
        <v>0</v>
      </c>
      <c r="L882" t="n">
        <v>0</v>
      </c>
      <c r="M882" t="n">
        <v>0</v>
      </c>
      <c r="N882" t="n">
        <v>0</v>
      </c>
      <c r="O882" t="n">
        <v>0</v>
      </c>
      <c r="P882" t="n">
        <v>0</v>
      </c>
      <c r="Q882" t="n">
        <v>0</v>
      </c>
      <c r="R882" s="2" t="inlineStr"/>
    </row>
    <row r="883" ht="15" customHeight="1">
      <c r="A883" t="inlineStr">
        <is>
          <t>A 38960-2021</t>
        </is>
      </c>
      <c r="B883" s="1" t="n">
        <v>44411</v>
      </c>
      <c r="C883" s="1" t="n">
        <v>46079</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35578-2025</t>
        </is>
      </c>
      <c r="B884" s="1" t="n">
        <v>45856.67797453704</v>
      </c>
      <c r="C884" s="1" t="n">
        <v>46079</v>
      </c>
      <c r="D884" t="inlineStr">
        <is>
          <t>VÄSTERNORRLANDS LÄN</t>
        </is>
      </c>
      <c r="E884" t="inlineStr">
        <is>
          <t>ÅNGE</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39768-2025</t>
        </is>
      </c>
      <c r="B885" s="1" t="n">
        <v>45891.44842592593</v>
      </c>
      <c r="C885" s="1" t="n">
        <v>46079</v>
      </c>
      <c r="D885" t="inlineStr">
        <is>
          <t>VÄSTERNORRLANDS LÄN</t>
        </is>
      </c>
      <c r="E885" t="inlineStr">
        <is>
          <t>ÅNGE</t>
        </is>
      </c>
      <c r="G885" t="n">
        <v>10.4</v>
      </c>
      <c r="H885" t="n">
        <v>0</v>
      </c>
      <c r="I885" t="n">
        <v>0</v>
      </c>
      <c r="J885" t="n">
        <v>0</v>
      </c>
      <c r="K885" t="n">
        <v>0</v>
      </c>
      <c r="L885" t="n">
        <v>0</v>
      </c>
      <c r="M885" t="n">
        <v>0</v>
      </c>
      <c r="N885" t="n">
        <v>0</v>
      </c>
      <c r="O885" t="n">
        <v>0</v>
      </c>
      <c r="P885" t="n">
        <v>0</v>
      </c>
      <c r="Q885" t="n">
        <v>0</v>
      </c>
      <c r="R885" s="2" t="inlineStr"/>
    </row>
    <row r="886" ht="15" customHeight="1">
      <c r="A886" t="inlineStr">
        <is>
          <t>A 35581-2024</t>
        </is>
      </c>
      <c r="B886" s="1" t="n">
        <v>45531</v>
      </c>
      <c r="C886" s="1" t="n">
        <v>46079</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65633-2021</t>
        </is>
      </c>
      <c r="B887" s="1" t="n">
        <v>44516.56181712963</v>
      </c>
      <c r="C887" s="1" t="n">
        <v>46079</v>
      </c>
      <c r="D887" t="inlineStr">
        <is>
          <t>VÄSTERNORRLANDS LÄN</t>
        </is>
      </c>
      <c r="E887" t="inlineStr">
        <is>
          <t>ÅNGE</t>
        </is>
      </c>
      <c r="G887" t="n">
        <v>1.7</v>
      </c>
      <c r="H887" t="n">
        <v>0</v>
      </c>
      <c r="I887" t="n">
        <v>0</v>
      </c>
      <c r="J887" t="n">
        <v>0</v>
      </c>
      <c r="K887" t="n">
        <v>0</v>
      </c>
      <c r="L887" t="n">
        <v>0</v>
      </c>
      <c r="M887" t="n">
        <v>0</v>
      </c>
      <c r="N887" t="n">
        <v>0</v>
      </c>
      <c r="O887" t="n">
        <v>0</v>
      </c>
      <c r="P887" t="n">
        <v>0</v>
      </c>
      <c r="Q887" t="n">
        <v>0</v>
      </c>
      <c r="R887" s="2" t="inlineStr"/>
    </row>
    <row r="888" ht="15" customHeight="1">
      <c r="A888" t="inlineStr">
        <is>
          <t>A 33720-2025</t>
        </is>
      </c>
      <c r="B888" s="1" t="n">
        <v>45841.90605324074</v>
      </c>
      <c r="C888" s="1" t="n">
        <v>46079</v>
      </c>
      <c r="D888" t="inlineStr">
        <is>
          <t>VÄSTERNORRLANDS LÄN</t>
        </is>
      </c>
      <c r="E888" t="inlineStr">
        <is>
          <t>ÅNGE</t>
        </is>
      </c>
      <c r="G888" t="n">
        <v>6.4</v>
      </c>
      <c r="H888" t="n">
        <v>0</v>
      </c>
      <c r="I888" t="n">
        <v>0</v>
      </c>
      <c r="J888" t="n">
        <v>0</v>
      </c>
      <c r="K888" t="n">
        <v>0</v>
      </c>
      <c r="L888" t="n">
        <v>0</v>
      </c>
      <c r="M888" t="n">
        <v>0</v>
      </c>
      <c r="N888" t="n">
        <v>0</v>
      </c>
      <c r="O888" t="n">
        <v>0</v>
      </c>
      <c r="P888" t="n">
        <v>0</v>
      </c>
      <c r="Q888" t="n">
        <v>0</v>
      </c>
      <c r="R888" s="2" t="inlineStr"/>
    </row>
    <row r="889" ht="15" customHeight="1">
      <c r="A889" t="inlineStr">
        <is>
          <t>A 39729-2025</t>
        </is>
      </c>
      <c r="B889" s="1" t="n">
        <v>45891</v>
      </c>
      <c r="C889" s="1" t="n">
        <v>46079</v>
      </c>
      <c r="D889" t="inlineStr">
        <is>
          <t>VÄSTERNORRLANDS LÄN</t>
        </is>
      </c>
      <c r="E889" t="inlineStr">
        <is>
          <t>ÅNGE</t>
        </is>
      </c>
      <c r="G889" t="n">
        <v>2.3</v>
      </c>
      <c r="H889" t="n">
        <v>0</v>
      </c>
      <c r="I889" t="n">
        <v>0</v>
      </c>
      <c r="J889" t="n">
        <v>0</v>
      </c>
      <c r="K889" t="n">
        <v>0</v>
      </c>
      <c r="L889" t="n">
        <v>0</v>
      </c>
      <c r="M889" t="n">
        <v>0</v>
      </c>
      <c r="N889" t="n">
        <v>0</v>
      </c>
      <c r="O889" t="n">
        <v>0</v>
      </c>
      <c r="P889" t="n">
        <v>0</v>
      </c>
      <c r="Q889" t="n">
        <v>0</v>
      </c>
      <c r="R889" s="2" t="inlineStr"/>
    </row>
    <row r="890" ht="15" customHeight="1">
      <c r="A890" t="inlineStr">
        <is>
          <t>A 14976-2025</t>
        </is>
      </c>
      <c r="B890" s="1" t="n">
        <v>45743</v>
      </c>
      <c r="C890" s="1" t="n">
        <v>46079</v>
      </c>
      <c r="D890" t="inlineStr">
        <is>
          <t>VÄSTERNORRLANDS LÄN</t>
        </is>
      </c>
      <c r="E890" t="inlineStr">
        <is>
          <t>ÅNGE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31492-2024</t>
        </is>
      </c>
      <c r="B891" s="1" t="n">
        <v>45505</v>
      </c>
      <c r="C891" s="1" t="n">
        <v>46079</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38800-2024</t>
        </is>
      </c>
      <c r="B892" s="1" t="n">
        <v>45547</v>
      </c>
      <c r="C892" s="1" t="n">
        <v>46079</v>
      </c>
      <c r="D892" t="inlineStr">
        <is>
          <t>VÄSTERNORRLANDS LÄN</t>
        </is>
      </c>
      <c r="E892" t="inlineStr">
        <is>
          <t>ÅNGE</t>
        </is>
      </c>
      <c r="G892" t="n">
        <v>2.6</v>
      </c>
      <c r="H892" t="n">
        <v>0</v>
      </c>
      <c r="I892" t="n">
        <v>0</v>
      </c>
      <c r="J892" t="n">
        <v>0</v>
      </c>
      <c r="K892" t="n">
        <v>0</v>
      </c>
      <c r="L892" t="n">
        <v>0</v>
      </c>
      <c r="M892" t="n">
        <v>0</v>
      </c>
      <c r="N892" t="n">
        <v>0</v>
      </c>
      <c r="O892" t="n">
        <v>0</v>
      </c>
      <c r="P892" t="n">
        <v>0</v>
      </c>
      <c r="Q892" t="n">
        <v>0</v>
      </c>
      <c r="R892" s="2" t="inlineStr"/>
    </row>
    <row r="893" ht="15" customHeight="1">
      <c r="A893" t="inlineStr">
        <is>
          <t>A 41507-2024</t>
        </is>
      </c>
      <c r="B893" s="1" t="n">
        <v>45560</v>
      </c>
      <c r="C893" s="1" t="n">
        <v>46079</v>
      </c>
      <c r="D893" t="inlineStr">
        <is>
          <t>VÄSTERNORRLANDS LÄN</t>
        </is>
      </c>
      <c r="E893" t="inlineStr">
        <is>
          <t>ÅNGE</t>
        </is>
      </c>
      <c r="G893" t="n">
        <v>1.2</v>
      </c>
      <c r="H893" t="n">
        <v>0</v>
      </c>
      <c r="I893" t="n">
        <v>0</v>
      </c>
      <c r="J893" t="n">
        <v>0</v>
      </c>
      <c r="K893" t="n">
        <v>0</v>
      </c>
      <c r="L893" t="n">
        <v>0</v>
      </c>
      <c r="M893" t="n">
        <v>0</v>
      </c>
      <c r="N893" t="n">
        <v>0</v>
      </c>
      <c r="O893" t="n">
        <v>0</v>
      </c>
      <c r="P893" t="n">
        <v>0</v>
      </c>
      <c r="Q893" t="n">
        <v>0</v>
      </c>
      <c r="R893" s="2" t="inlineStr"/>
    </row>
    <row r="894" ht="15" customHeight="1">
      <c r="A894" t="inlineStr">
        <is>
          <t>A 16450-2025</t>
        </is>
      </c>
      <c r="B894" s="1" t="n">
        <v>45751.51081018519</v>
      </c>
      <c r="C894" s="1" t="n">
        <v>46079</v>
      </c>
      <c r="D894" t="inlineStr">
        <is>
          <t>VÄSTERNORRLANDS LÄN</t>
        </is>
      </c>
      <c r="E894" t="inlineStr">
        <is>
          <t>ÅNGE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5249-2025</t>
        </is>
      </c>
      <c r="B895" s="1" t="n">
        <v>45692.34465277778</v>
      </c>
      <c r="C895" s="1" t="n">
        <v>46079</v>
      </c>
      <c r="D895" t="inlineStr">
        <is>
          <t>VÄSTERNORRLANDS LÄN</t>
        </is>
      </c>
      <c r="E895" t="inlineStr">
        <is>
          <t>ÅNGE</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17749-2025</t>
        </is>
      </c>
      <c r="B896" s="1" t="n">
        <v>45758.48380787037</v>
      </c>
      <c r="C896" s="1" t="n">
        <v>46079</v>
      </c>
      <c r="D896" t="inlineStr">
        <is>
          <t>VÄSTERNORRLANDS LÄN</t>
        </is>
      </c>
      <c r="E896" t="inlineStr">
        <is>
          <t>ÅNGE</t>
        </is>
      </c>
      <c r="G896" t="n">
        <v>7.3</v>
      </c>
      <c r="H896" t="n">
        <v>0</v>
      </c>
      <c r="I896" t="n">
        <v>0</v>
      </c>
      <c r="J896" t="n">
        <v>0</v>
      </c>
      <c r="K896" t="n">
        <v>0</v>
      </c>
      <c r="L896" t="n">
        <v>0</v>
      </c>
      <c r="M896" t="n">
        <v>0</v>
      </c>
      <c r="N896" t="n">
        <v>0</v>
      </c>
      <c r="O896" t="n">
        <v>0</v>
      </c>
      <c r="P896" t="n">
        <v>0</v>
      </c>
      <c r="Q896" t="n">
        <v>0</v>
      </c>
      <c r="R896" s="2" t="inlineStr"/>
    </row>
    <row r="897" ht="15" customHeight="1">
      <c r="A897" t="inlineStr">
        <is>
          <t>A 42044-2024</t>
        </is>
      </c>
      <c r="B897" s="1" t="n">
        <v>45561</v>
      </c>
      <c r="C897" s="1" t="n">
        <v>46079</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57271-2024</t>
        </is>
      </c>
      <c r="B898" s="1" t="n">
        <v>45629.57364583333</v>
      </c>
      <c r="C898" s="1" t="n">
        <v>46079</v>
      </c>
      <c r="D898" t="inlineStr">
        <is>
          <t>VÄSTERNORRLANDS LÄN</t>
        </is>
      </c>
      <c r="E898" t="inlineStr">
        <is>
          <t>ÅNGE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20880-2025</t>
        </is>
      </c>
      <c r="B899" s="1" t="n">
        <v>45777</v>
      </c>
      <c r="C899" s="1" t="n">
        <v>46079</v>
      </c>
      <c r="D899" t="inlineStr">
        <is>
          <t>VÄSTERNORRLANDS LÄN</t>
        </is>
      </c>
      <c r="E899" t="inlineStr">
        <is>
          <t>ÅNGE</t>
        </is>
      </c>
      <c r="G899" t="n">
        <v>1.6</v>
      </c>
      <c r="H899" t="n">
        <v>0</v>
      </c>
      <c r="I899" t="n">
        <v>0</v>
      </c>
      <c r="J899" t="n">
        <v>0</v>
      </c>
      <c r="K899" t="n">
        <v>0</v>
      </c>
      <c r="L899" t="n">
        <v>0</v>
      </c>
      <c r="M899" t="n">
        <v>0</v>
      </c>
      <c r="N899" t="n">
        <v>0</v>
      </c>
      <c r="O899" t="n">
        <v>0</v>
      </c>
      <c r="P899" t="n">
        <v>0</v>
      </c>
      <c r="Q899" t="n">
        <v>0</v>
      </c>
      <c r="R899" s="2" t="inlineStr"/>
    </row>
    <row r="900" ht="15" customHeight="1">
      <c r="A900" t="inlineStr">
        <is>
          <t>A 3256-2024</t>
        </is>
      </c>
      <c r="B900" s="1" t="n">
        <v>45316</v>
      </c>
      <c r="C900" s="1" t="n">
        <v>46079</v>
      </c>
      <c r="D900" t="inlineStr">
        <is>
          <t>VÄSTERNORRLANDS LÄN</t>
        </is>
      </c>
      <c r="E900" t="inlineStr">
        <is>
          <t>ÅNGE</t>
        </is>
      </c>
      <c r="G900" t="n">
        <v>3.7</v>
      </c>
      <c r="H900" t="n">
        <v>0</v>
      </c>
      <c r="I900" t="n">
        <v>0</v>
      </c>
      <c r="J900" t="n">
        <v>0</v>
      </c>
      <c r="K900" t="n">
        <v>0</v>
      </c>
      <c r="L900" t="n">
        <v>0</v>
      </c>
      <c r="M900" t="n">
        <v>0</v>
      </c>
      <c r="N900" t="n">
        <v>0</v>
      </c>
      <c r="O900" t="n">
        <v>0</v>
      </c>
      <c r="P900" t="n">
        <v>0</v>
      </c>
      <c r="Q900" t="n">
        <v>0</v>
      </c>
      <c r="R900" s="2" t="inlineStr"/>
    </row>
    <row r="901" ht="15" customHeight="1">
      <c r="A901" t="inlineStr">
        <is>
          <t>A 5369-2022</t>
        </is>
      </c>
      <c r="B901" s="1" t="n">
        <v>44594.92113425926</v>
      </c>
      <c r="C901" s="1" t="n">
        <v>46079</v>
      </c>
      <c r="D901" t="inlineStr">
        <is>
          <t>VÄSTERNORRLANDS LÄN</t>
        </is>
      </c>
      <c r="E901" t="inlineStr">
        <is>
          <t>ÅNGE</t>
        </is>
      </c>
      <c r="G901" t="n">
        <v>1.3</v>
      </c>
      <c r="H901" t="n">
        <v>0</v>
      </c>
      <c r="I901" t="n">
        <v>0</v>
      </c>
      <c r="J901" t="n">
        <v>0</v>
      </c>
      <c r="K901" t="n">
        <v>0</v>
      </c>
      <c r="L901" t="n">
        <v>0</v>
      </c>
      <c r="M901" t="n">
        <v>0</v>
      </c>
      <c r="N901" t="n">
        <v>0</v>
      </c>
      <c r="O901" t="n">
        <v>0</v>
      </c>
      <c r="P901" t="n">
        <v>0</v>
      </c>
      <c r="Q901" t="n">
        <v>0</v>
      </c>
      <c r="R901" s="2" t="inlineStr"/>
    </row>
    <row r="902" ht="15" customHeight="1">
      <c r="A902" t="inlineStr">
        <is>
          <t>A 40665-2025</t>
        </is>
      </c>
      <c r="B902" s="1" t="n">
        <v>45896.65663194445</v>
      </c>
      <c r="C902" s="1" t="n">
        <v>46079</v>
      </c>
      <c r="D902" t="inlineStr">
        <is>
          <t>VÄSTERNORRLANDS LÄN</t>
        </is>
      </c>
      <c r="E902" t="inlineStr">
        <is>
          <t>ÅNGE</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22219-2025</t>
        </is>
      </c>
      <c r="B903" s="1" t="n">
        <v>45785.65849537037</v>
      </c>
      <c r="C903" s="1" t="n">
        <v>46079</v>
      </c>
      <c r="D903" t="inlineStr">
        <is>
          <t>VÄSTERNORRLANDS LÄN</t>
        </is>
      </c>
      <c r="E903" t="inlineStr">
        <is>
          <t>ÅNGE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22206-2025</t>
        </is>
      </c>
      <c r="B904" s="1" t="n">
        <v>45785.65699074074</v>
      </c>
      <c r="C904" s="1" t="n">
        <v>46079</v>
      </c>
      <c r="D904" t="inlineStr">
        <is>
          <t>VÄSTERNORRLANDS LÄN</t>
        </is>
      </c>
      <c r="E904" t="inlineStr">
        <is>
          <t>ÅNGE</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26640-2024</t>
        </is>
      </c>
      <c r="B905" s="1" t="n">
        <v>45469.92831018518</v>
      </c>
      <c r="C905" s="1" t="n">
        <v>46079</v>
      </c>
      <c r="D905" t="inlineStr">
        <is>
          <t>VÄSTERNORRLANDS LÄN</t>
        </is>
      </c>
      <c r="E905" t="inlineStr">
        <is>
          <t>ÅNGE</t>
        </is>
      </c>
      <c r="G905" t="n">
        <v>9.9</v>
      </c>
      <c r="H905" t="n">
        <v>0</v>
      </c>
      <c r="I905" t="n">
        <v>0</v>
      </c>
      <c r="J905" t="n">
        <v>0</v>
      </c>
      <c r="K905" t="n">
        <v>0</v>
      </c>
      <c r="L905" t="n">
        <v>0</v>
      </c>
      <c r="M905" t="n">
        <v>0</v>
      </c>
      <c r="N905" t="n">
        <v>0</v>
      </c>
      <c r="O905" t="n">
        <v>0</v>
      </c>
      <c r="P905" t="n">
        <v>0</v>
      </c>
      <c r="Q905" t="n">
        <v>0</v>
      </c>
      <c r="R905" s="2" t="inlineStr"/>
    </row>
    <row r="906" ht="15" customHeight="1">
      <c r="A906" t="inlineStr">
        <is>
          <t>A 14751-2025</t>
        </is>
      </c>
      <c r="B906" s="1" t="n">
        <v>45742.65863425926</v>
      </c>
      <c r="C906" s="1" t="n">
        <v>46079</v>
      </c>
      <c r="D906" t="inlineStr">
        <is>
          <t>VÄSTERNORRLANDS LÄN</t>
        </is>
      </c>
      <c r="E906" t="inlineStr">
        <is>
          <t>ÅNGE</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10339-2025</t>
        </is>
      </c>
      <c r="B907" s="1" t="n">
        <v>45720</v>
      </c>
      <c r="C907" s="1" t="n">
        <v>46079</v>
      </c>
      <c r="D907" t="inlineStr">
        <is>
          <t>VÄSTERNORRLANDS LÄN</t>
        </is>
      </c>
      <c r="E907" t="inlineStr">
        <is>
          <t>ÅNGE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41083-2024</t>
        </is>
      </c>
      <c r="B908" s="1" t="n">
        <v>45559.40684027778</v>
      </c>
      <c r="C908" s="1" t="n">
        <v>46079</v>
      </c>
      <c r="D908" t="inlineStr">
        <is>
          <t>VÄSTERNORRLANDS LÄN</t>
        </is>
      </c>
      <c r="E908" t="inlineStr">
        <is>
          <t>ÅNGE</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41766-2024</t>
        </is>
      </c>
      <c r="B909" s="1" t="n">
        <v>45561.34594907407</v>
      </c>
      <c r="C909" s="1" t="n">
        <v>46079</v>
      </c>
      <c r="D909" t="inlineStr">
        <is>
          <t>VÄSTERNORRLANDS LÄN</t>
        </is>
      </c>
      <c r="E909" t="inlineStr">
        <is>
          <t>ÅNGE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22755-2023</t>
        </is>
      </c>
      <c r="B910" s="1" t="n">
        <v>45071.94127314815</v>
      </c>
      <c r="C910" s="1" t="n">
        <v>46079</v>
      </c>
      <c r="D910" t="inlineStr">
        <is>
          <t>VÄSTERNORRLANDS LÄN</t>
        </is>
      </c>
      <c r="E910" t="inlineStr">
        <is>
          <t>ÅNGE</t>
        </is>
      </c>
      <c r="F910" t="inlineStr">
        <is>
          <t>SCA</t>
        </is>
      </c>
      <c r="G910" t="n">
        <v>12.6</v>
      </c>
      <c r="H910" t="n">
        <v>0</v>
      </c>
      <c r="I910" t="n">
        <v>0</v>
      </c>
      <c r="J910" t="n">
        <v>0</v>
      </c>
      <c r="K910" t="n">
        <v>0</v>
      </c>
      <c r="L910" t="n">
        <v>0</v>
      </c>
      <c r="M910" t="n">
        <v>0</v>
      </c>
      <c r="N910" t="n">
        <v>0</v>
      </c>
      <c r="O910" t="n">
        <v>0</v>
      </c>
      <c r="P910" t="n">
        <v>0</v>
      </c>
      <c r="Q910" t="n">
        <v>0</v>
      </c>
      <c r="R910" s="2" t="inlineStr"/>
    </row>
    <row r="911" ht="15" customHeight="1">
      <c r="A911" t="inlineStr">
        <is>
          <t>A 22489-2025</t>
        </is>
      </c>
      <c r="B911" s="1" t="n">
        <v>45786.64946759259</v>
      </c>
      <c r="C911" s="1" t="n">
        <v>46079</v>
      </c>
      <c r="D911" t="inlineStr">
        <is>
          <t>VÄSTERNORRLANDS LÄN</t>
        </is>
      </c>
      <c r="E911" t="inlineStr">
        <is>
          <t>ÅNGE</t>
        </is>
      </c>
      <c r="F911" t="inlineStr">
        <is>
          <t>Sveaskog</t>
        </is>
      </c>
      <c r="G911" t="n">
        <v>1.3</v>
      </c>
      <c r="H911" t="n">
        <v>0</v>
      </c>
      <c r="I911" t="n">
        <v>0</v>
      </c>
      <c r="J911" t="n">
        <v>0</v>
      </c>
      <c r="K911" t="n">
        <v>0</v>
      </c>
      <c r="L911" t="n">
        <v>0</v>
      </c>
      <c r="M911" t="n">
        <v>0</v>
      </c>
      <c r="N911" t="n">
        <v>0</v>
      </c>
      <c r="O911" t="n">
        <v>0</v>
      </c>
      <c r="P911" t="n">
        <v>0</v>
      </c>
      <c r="Q911" t="n">
        <v>0</v>
      </c>
      <c r="R911" s="2" t="inlineStr"/>
    </row>
    <row r="912" ht="15" customHeight="1">
      <c r="A912" t="inlineStr">
        <is>
          <t>A 18067-2025</t>
        </is>
      </c>
      <c r="B912" s="1" t="n">
        <v>45761.49016203704</v>
      </c>
      <c r="C912" s="1" t="n">
        <v>46079</v>
      </c>
      <c r="D912" t="inlineStr">
        <is>
          <t>VÄSTERNORRLANDS LÄN</t>
        </is>
      </c>
      <c r="E912" t="inlineStr">
        <is>
          <t>ÅNGE</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51024-2024</t>
        </is>
      </c>
      <c r="B913" s="1" t="n">
        <v>45603.4141087963</v>
      </c>
      <c r="C913" s="1" t="n">
        <v>46079</v>
      </c>
      <c r="D913" t="inlineStr">
        <is>
          <t>VÄSTERNORRLANDS LÄN</t>
        </is>
      </c>
      <c r="E913" t="inlineStr">
        <is>
          <t>ÅNGE</t>
        </is>
      </c>
      <c r="G913" t="n">
        <v>8.9</v>
      </c>
      <c r="H913" t="n">
        <v>0</v>
      </c>
      <c r="I913" t="n">
        <v>0</v>
      </c>
      <c r="J913" t="n">
        <v>0</v>
      </c>
      <c r="K913" t="n">
        <v>0</v>
      </c>
      <c r="L913" t="n">
        <v>0</v>
      </c>
      <c r="M913" t="n">
        <v>0</v>
      </c>
      <c r="N913" t="n">
        <v>0</v>
      </c>
      <c r="O913" t="n">
        <v>0</v>
      </c>
      <c r="P913" t="n">
        <v>0</v>
      </c>
      <c r="Q913" t="n">
        <v>0</v>
      </c>
      <c r="R913" s="2" t="inlineStr"/>
    </row>
    <row r="914" ht="15" customHeight="1">
      <c r="A914" t="inlineStr">
        <is>
          <t>A 41179-2025</t>
        </is>
      </c>
      <c r="B914" s="1" t="n">
        <v>45898.55277777778</v>
      </c>
      <c r="C914" s="1" t="n">
        <v>46079</v>
      </c>
      <c r="D914" t="inlineStr">
        <is>
          <t>VÄSTERNORRLANDS LÄN</t>
        </is>
      </c>
      <c r="E914" t="inlineStr">
        <is>
          <t>ÅNGE</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1095-2023</t>
        </is>
      </c>
      <c r="B915" s="1" t="n">
        <v>44929</v>
      </c>
      <c r="C915" s="1" t="n">
        <v>46079</v>
      </c>
      <c r="D915" t="inlineStr">
        <is>
          <t>VÄSTERNORRLANDS LÄN</t>
        </is>
      </c>
      <c r="E915" t="inlineStr">
        <is>
          <t>ÅNGE</t>
        </is>
      </c>
      <c r="G915" t="n">
        <v>3.2</v>
      </c>
      <c r="H915" t="n">
        <v>0</v>
      </c>
      <c r="I915" t="n">
        <v>0</v>
      </c>
      <c r="J915" t="n">
        <v>0</v>
      </c>
      <c r="K915" t="n">
        <v>0</v>
      </c>
      <c r="L915" t="n">
        <v>0</v>
      </c>
      <c r="M915" t="n">
        <v>0</v>
      </c>
      <c r="N915" t="n">
        <v>0</v>
      </c>
      <c r="O915" t="n">
        <v>0</v>
      </c>
      <c r="P915" t="n">
        <v>0</v>
      </c>
      <c r="Q915" t="n">
        <v>0</v>
      </c>
      <c r="R915" s="2" t="inlineStr"/>
    </row>
    <row r="916" ht="15" customHeight="1">
      <c r="A916" t="inlineStr">
        <is>
          <t>A 64121-2021</t>
        </is>
      </c>
      <c r="B916" s="1" t="n">
        <v>44510.4730787037</v>
      </c>
      <c r="C916" s="1" t="n">
        <v>46079</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22549-2025</t>
        </is>
      </c>
      <c r="B917" s="1" t="n">
        <v>45788.48113425926</v>
      </c>
      <c r="C917" s="1" t="n">
        <v>46079</v>
      </c>
      <c r="D917" t="inlineStr">
        <is>
          <t>VÄSTERNORRLANDS LÄN</t>
        </is>
      </c>
      <c r="E917" t="inlineStr">
        <is>
          <t>ÅNGE</t>
        </is>
      </c>
      <c r="G917" t="n">
        <v>2.6</v>
      </c>
      <c r="H917" t="n">
        <v>0</v>
      </c>
      <c r="I917" t="n">
        <v>0</v>
      </c>
      <c r="J917" t="n">
        <v>0</v>
      </c>
      <c r="K917" t="n">
        <v>0</v>
      </c>
      <c r="L917" t="n">
        <v>0</v>
      </c>
      <c r="M917" t="n">
        <v>0</v>
      </c>
      <c r="N917" t="n">
        <v>0</v>
      </c>
      <c r="O917" t="n">
        <v>0</v>
      </c>
      <c r="P917" t="n">
        <v>0</v>
      </c>
      <c r="Q917" t="n">
        <v>0</v>
      </c>
      <c r="R917" s="2" t="inlineStr"/>
    </row>
    <row r="918" ht="15" customHeight="1">
      <c r="A918" t="inlineStr">
        <is>
          <t>A 41173-2025</t>
        </is>
      </c>
      <c r="B918" s="1" t="n">
        <v>45898</v>
      </c>
      <c r="C918" s="1" t="n">
        <v>46079</v>
      </c>
      <c r="D918" t="inlineStr">
        <is>
          <t>VÄSTERNORRLANDS LÄN</t>
        </is>
      </c>
      <c r="E918" t="inlineStr">
        <is>
          <t>ÅNGE</t>
        </is>
      </c>
      <c r="G918" t="n">
        <v>3.6</v>
      </c>
      <c r="H918" t="n">
        <v>0</v>
      </c>
      <c r="I918" t="n">
        <v>0</v>
      </c>
      <c r="J918" t="n">
        <v>0</v>
      </c>
      <c r="K918" t="n">
        <v>0</v>
      </c>
      <c r="L918" t="n">
        <v>0</v>
      </c>
      <c r="M918" t="n">
        <v>0</v>
      </c>
      <c r="N918" t="n">
        <v>0</v>
      </c>
      <c r="O918" t="n">
        <v>0</v>
      </c>
      <c r="P918" t="n">
        <v>0</v>
      </c>
      <c r="Q918" t="n">
        <v>0</v>
      </c>
      <c r="R918" s="2" t="inlineStr"/>
    </row>
    <row r="919" ht="15" customHeight="1">
      <c r="A919" t="inlineStr">
        <is>
          <t>A 40898-2025</t>
        </is>
      </c>
      <c r="B919" s="1" t="n">
        <v>45897.61503472222</v>
      </c>
      <c r="C919" s="1" t="n">
        <v>46079</v>
      </c>
      <c r="D919" t="inlineStr">
        <is>
          <t>VÄSTERNORRLANDS LÄN</t>
        </is>
      </c>
      <c r="E919" t="inlineStr">
        <is>
          <t>ÅNGE</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40899-2025</t>
        </is>
      </c>
      <c r="B920" s="1" t="n">
        <v>45897.61528935185</v>
      </c>
      <c r="C920" s="1" t="n">
        <v>46079</v>
      </c>
      <c r="D920" t="inlineStr">
        <is>
          <t>VÄSTERNORRLANDS LÄN</t>
        </is>
      </c>
      <c r="E920" t="inlineStr">
        <is>
          <t>ÅNGE</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42881-2024</t>
        </is>
      </c>
      <c r="B921" s="1" t="n">
        <v>45566.70916666667</v>
      </c>
      <c r="C921" s="1" t="n">
        <v>46079</v>
      </c>
      <c r="D921" t="inlineStr">
        <is>
          <t>VÄSTERNORRLANDS LÄN</t>
        </is>
      </c>
      <c r="E921" t="inlineStr">
        <is>
          <t>ÅNGE</t>
        </is>
      </c>
      <c r="G921" t="n">
        <v>1.9</v>
      </c>
      <c r="H921" t="n">
        <v>0</v>
      </c>
      <c r="I921" t="n">
        <v>0</v>
      </c>
      <c r="J921" t="n">
        <v>0</v>
      </c>
      <c r="K921" t="n">
        <v>0</v>
      </c>
      <c r="L921" t="n">
        <v>0</v>
      </c>
      <c r="M921" t="n">
        <v>0</v>
      </c>
      <c r="N921" t="n">
        <v>0</v>
      </c>
      <c r="O921" t="n">
        <v>0</v>
      </c>
      <c r="P921" t="n">
        <v>0</v>
      </c>
      <c r="Q921" t="n">
        <v>0</v>
      </c>
      <c r="R921" s="2" t="inlineStr"/>
    </row>
    <row r="922" ht="15" customHeight="1">
      <c r="A922" t="inlineStr">
        <is>
          <t>A 40872-2025</t>
        </is>
      </c>
      <c r="B922" s="1" t="n">
        <v>45897.574375</v>
      </c>
      <c r="C922" s="1" t="n">
        <v>46079</v>
      </c>
      <c r="D922" t="inlineStr">
        <is>
          <t>VÄSTERNORRLANDS LÄN</t>
        </is>
      </c>
      <c r="E922" t="inlineStr">
        <is>
          <t>ÅNGE</t>
        </is>
      </c>
      <c r="F922" t="inlineStr">
        <is>
          <t>SCA</t>
        </is>
      </c>
      <c r="G922" t="n">
        <v>4.5</v>
      </c>
      <c r="H922" t="n">
        <v>0</v>
      </c>
      <c r="I922" t="n">
        <v>0</v>
      </c>
      <c r="J922" t="n">
        <v>0</v>
      </c>
      <c r="K922" t="n">
        <v>0</v>
      </c>
      <c r="L922" t="n">
        <v>0</v>
      </c>
      <c r="M922" t="n">
        <v>0</v>
      </c>
      <c r="N922" t="n">
        <v>0</v>
      </c>
      <c r="O922" t="n">
        <v>0</v>
      </c>
      <c r="P922" t="n">
        <v>0</v>
      </c>
      <c r="Q922" t="n">
        <v>0</v>
      </c>
      <c r="R922" s="2" t="inlineStr"/>
    </row>
    <row r="923" ht="15" customHeight="1">
      <c r="A923" t="inlineStr">
        <is>
          <t>A 22752-2023</t>
        </is>
      </c>
      <c r="B923" s="1" t="n">
        <v>45071.94104166667</v>
      </c>
      <c r="C923" s="1" t="n">
        <v>46079</v>
      </c>
      <c r="D923" t="inlineStr">
        <is>
          <t>VÄSTERNORRLANDS LÄN</t>
        </is>
      </c>
      <c r="E923" t="inlineStr">
        <is>
          <t>ÅNGE</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22926-2025</t>
        </is>
      </c>
      <c r="B924" s="1" t="n">
        <v>45790</v>
      </c>
      <c r="C924" s="1" t="n">
        <v>46079</v>
      </c>
      <c r="D924" t="inlineStr">
        <is>
          <t>VÄSTERNORRLANDS LÄN</t>
        </is>
      </c>
      <c r="E924" t="inlineStr">
        <is>
          <t>ÅNGE</t>
        </is>
      </c>
      <c r="G924" t="n">
        <v>1.3</v>
      </c>
      <c r="H924" t="n">
        <v>0</v>
      </c>
      <c r="I924" t="n">
        <v>0</v>
      </c>
      <c r="J924" t="n">
        <v>0</v>
      </c>
      <c r="K924" t="n">
        <v>0</v>
      </c>
      <c r="L924" t="n">
        <v>0</v>
      </c>
      <c r="M924" t="n">
        <v>0</v>
      </c>
      <c r="N924" t="n">
        <v>0</v>
      </c>
      <c r="O924" t="n">
        <v>0</v>
      </c>
      <c r="P924" t="n">
        <v>0</v>
      </c>
      <c r="Q924" t="n">
        <v>0</v>
      </c>
      <c r="R924" s="2" t="inlineStr"/>
    </row>
    <row r="925" ht="15" customHeight="1">
      <c r="A925" t="inlineStr">
        <is>
          <t>A 22928-2025</t>
        </is>
      </c>
      <c r="B925" s="1" t="n">
        <v>45790.44825231482</v>
      </c>
      <c r="C925" s="1" t="n">
        <v>46079</v>
      </c>
      <c r="D925" t="inlineStr">
        <is>
          <t>VÄSTERNORRLANDS LÄN</t>
        </is>
      </c>
      <c r="E925" t="inlineStr">
        <is>
          <t>ÅNGE</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40818-2025</t>
        </is>
      </c>
      <c r="B926" s="1" t="n">
        <v>45897.48881944444</v>
      </c>
      <c r="C926" s="1" t="n">
        <v>46079</v>
      </c>
      <c r="D926" t="inlineStr">
        <is>
          <t>VÄSTERNORRLANDS LÄN</t>
        </is>
      </c>
      <c r="E926" t="inlineStr">
        <is>
          <t>ÅNGE</t>
        </is>
      </c>
      <c r="G926" t="n">
        <v>2.9</v>
      </c>
      <c r="H926" t="n">
        <v>0</v>
      </c>
      <c r="I926" t="n">
        <v>0</v>
      </c>
      <c r="J926" t="n">
        <v>0</v>
      </c>
      <c r="K926" t="n">
        <v>0</v>
      </c>
      <c r="L926" t="n">
        <v>0</v>
      </c>
      <c r="M926" t="n">
        <v>0</v>
      </c>
      <c r="N926" t="n">
        <v>0</v>
      </c>
      <c r="O926" t="n">
        <v>0</v>
      </c>
      <c r="P926" t="n">
        <v>0</v>
      </c>
      <c r="Q926" t="n">
        <v>0</v>
      </c>
      <c r="R926" s="2" t="inlineStr"/>
    </row>
    <row r="927" ht="15" customHeight="1">
      <c r="A927" t="inlineStr">
        <is>
          <t>A 40830-2025</t>
        </is>
      </c>
      <c r="B927" s="1" t="n">
        <v>45897.51079861111</v>
      </c>
      <c r="C927" s="1" t="n">
        <v>46079</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60779-2024</t>
        </is>
      </c>
      <c r="B928" s="1" t="n">
        <v>45644</v>
      </c>
      <c r="C928" s="1" t="n">
        <v>46079</v>
      </c>
      <c r="D928" t="inlineStr">
        <is>
          <t>VÄSTERNORRLANDS LÄN</t>
        </is>
      </c>
      <c r="E928" t="inlineStr">
        <is>
          <t>ÅNGE</t>
        </is>
      </c>
      <c r="G928" t="n">
        <v>3.1</v>
      </c>
      <c r="H928" t="n">
        <v>0</v>
      </c>
      <c r="I928" t="n">
        <v>0</v>
      </c>
      <c r="J928" t="n">
        <v>0</v>
      </c>
      <c r="K928" t="n">
        <v>0</v>
      </c>
      <c r="L928" t="n">
        <v>0</v>
      </c>
      <c r="M928" t="n">
        <v>0</v>
      </c>
      <c r="N928" t="n">
        <v>0</v>
      </c>
      <c r="O928" t="n">
        <v>0</v>
      </c>
      <c r="P928" t="n">
        <v>0</v>
      </c>
      <c r="Q928" t="n">
        <v>0</v>
      </c>
      <c r="R928" s="2" t="inlineStr"/>
    </row>
    <row r="929" ht="15" customHeight="1">
      <c r="A929" t="inlineStr">
        <is>
          <t>A 28428-2023</t>
        </is>
      </c>
      <c r="B929" s="1" t="n">
        <v>45102</v>
      </c>
      <c r="C929" s="1" t="n">
        <v>46079</v>
      </c>
      <c r="D929" t="inlineStr">
        <is>
          <t>VÄSTERNORRLANDS LÄN</t>
        </is>
      </c>
      <c r="E929" t="inlineStr">
        <is>
          <t>ÅNGE</t>
        </is>
      </c>
      <c r="F929" t="inlineStr">
        <is>
          <t>Kyrkan</t>
        </is>
      </c>
      <c r="G929" t="n">
        <v>12</v>
      </c>
      <c r="H929" t="n">
        <v>0</v>
      </c>
      <c r="I929" t="n">
        <v>0</v>
      </c>
      <c r="J929" t="n">
        <v>0</v>
      </c>
      <c r="K929" t="n">
        <v>0</v>
      </c>
      <c r="L929" t="n">
        <v>0</v>
      </c>
      <c r="M929" t="n">
        <v>0</v>
      </c>
      <c r="N929" t="n">
        <v>0</v>
      </c>
      <c r="O929" t="n">
        <v>0</v>
      </c>
      <c r="P929" t="n">
        <v>0</v>
      </c>
      <c r="Q929" t="n">
        <v>0</v>
      </c>
      <c r="R929" s="2" t="inlineStr"/>
    </row>
    <row r="930" ht="15" customHeight="1">
      <c r="A930" t="inlineStr">
        <is>
          <t>A 43366-2024</t>
        </is>
      </c>
      <c r="B930" s="1" t="n">
        <v>45568</v>
      </c>
      <c r="C930" s="1" t="n">
        <v>46079</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22791-2025</t>
        </is>
      </c>
      <c r="B931" s="1" t="n">
        <v>45789.65663194445</v>
      </c>
      <c r="C931" s="1" t="n">
        <v>46079</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50419-2022</t>
        </is>
      </c>
      <c r="B932" s="1" t="n">
        <v>44861</v>
      </c>
      <c r="C932" s="1" t="n">
        <v>46079</v>
      </c>
      <c r="D932" t="inlineStr">
        <is>
          <t>VÄSTERNORRLANDS LÄN</t>
        </is>
      </c>
      <c r="E932" t="inlineStr">
        <is>
          <t>ÅNGE</t>
        </is>
      </c>
      <c r="G932" t="n">
        <v>1.3</v>
      </c>
      <c r="H932" t="n">
        <v>0</v>
      </c>
      <c r="I932" t="n">
        <v>0</v>
      </c>
      <c r="J932" t="n">
        <v>0</v>
      </c>
      <c r="K932" t="n">
        <v>0</v>
      </c>
      <c r="L932" t="n">
        <v>0</v>
      </c>
      <c r="M932" t="n">
        <v>0</v>
      </c>
      <c r="N932" t="n">
        <v>0</v>
      </c>
      <c r="O932" t="n">
        <v>0</v>
      </c>
      <c r="P932" t="n">
        <v>0</v>
      </c>
      <c r="Q932" t="n">
        <v>0</v>
      </c>
      <c r="R932" s="2" t="inlineStr"/>
    </row>
    <row r="933" ht="15" customHeight="1">
      <c r="A933" t="inlineStr">
        <is>
          <t>A 34491-2023</t>
        </is>
      </c>
      <c r="B933" s="1" t="n">
        <v>45139.94775462963</v>
      </c>
      <c r="C933" s="1" t="n">
        <v>46079</v>
      </c>
      <c r="D933" t="inlineStr">
        <is>
          <t>VÄSTERNORRLANDS LÄN</t>
        </is>
      </c>
      <c r="E933" t="inlineStr">
        <is>
          <t>ÅNGE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23091-2025</t>
        </is>
      </c>
      <c r="B934" s="1" t="n">
        <v>45791.34456018519</v>
      </c>
      <c r="C934" s="1" t="n">
        <v>46079</v>
      </c>
      <c r="D934" t="inlineStr">
        <is>
          <t>VÄSTERNORRLANDS LÄN</t>
        </is>
      </c>
      <c r="E934" t="inlineStr">
        <is>
          <t>ÅNGE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10089-2023</t>
        </is>
      </c>
      <c r="B935" s="1" t="n">
        <v>44985</v>
      </c>
      <c r="C935" s="1" t="n">
        <v>46079</v>
      </c>
      <c r="D935" t="inlineStr">
        <is>
          <t>VÄSTERNORRLANDS LÄN</t>
        </is>
      </c>
      <c r="E935" t="inlineStr">
        <is>
          <t>ÅNGE</t>
        </is>
      </c>
      <c r="F935" t="inlineStr">
        <is>
          <t>SCA</t>
        </is>
      </c>
      <c r="G935" t="n">
        <v>6.7</v>
      </c>
      <c r="H935" t="n">
        <v>0</v>
      </c>
      <c r="I935" t="n">
        <v>0</v>
      </c>
      <c r="J935" t="n">
        <v>0</v>
      </c>
      <c r="K935" t="n">
        <v>0</v>
      </c>
      <c r="L935" t="n">
        <v>0</v>
      </c>
      <c r="M935" t="n">
        <v>0</v>
      </c>
      <c r="N935" t="n">
        <v>0</v>
      </c>
      <c r="O935" t="n">
        <v>0</v>
      </c>
      <c r="P935" t="n">
        <v>0</v>
      </c>
      <c r="Q935" t="n">
        <v>0</v>
      </c>
      <c r="R935" s="2" t="inlineStr"/>
    </row>
    <row r="936" ht="15" customHeight="1">
      <c r="A936" t="inlineStr">
        <is>
          <t>A 10090-2023</t>
        </is>
      </c>
      <c r="B936" s="1" t="n">
        <v>44985.94511574074</v>
      </c>
      <c r="C936" s="1" t="n">
        <v>46079</v>
      </c>
      <c r="D936" t="inlineStr">
        <is>
          <t>VÄSTERNORRLANDS LÄN</t>
        </is>
      </c>
      <c r="E936" t="inlineStr">
        <is>
          <t>ÅNGE</t>
        </is>
      </c>
      <c r="F936" t="inlineStr">
        <is>
          <t>SCA</t>
        </is>
      </c>
      <c r="G936" t="n">
        <v>8.4</v>
      </c>
      <c r="H936" t="n">
        <v>0</v>
      </c>
      <c r="I936" t="n">
        <v>0</v>
      </c>
      <c r="J936" t="n">
        <v>0</v>
      </c>
      <c r="K936" t="n">
        <v>0</v>
      </c>
      <c r="L936" t="n">
        <v>0</v>
      </c>
      <c r="M936" t="n">
        <v>0</v>
      </c>
      <c r="N936" t="n">
        <v>0</v>
      </c>
      <c r="O936" t="n">
        <v>0</v>
      </c>
      <c r="P936" t="n">
        <v>0</v>
      </c>
      <c r="Q936" t="n">
        <v>0</v>
      </c>
      <c r="R936" s="2" t="inlineStr"/>
    </row>
    <row r="937" ht="15" customHeight="1">
      <c r="A937" t="inlineStr">
        <is>
          <t>A 39005-2024</t>
        </is>
      </c>
      <c r="B937" s="1" t="n">
        <v>45548.42743055556</v>
      </c>
      <c r="C937" s="1" t="n">
        <v>46079</v>
      </c>
      <c r="D937" t="inlineStr">
        <is>
          <t>VÄSTERNORRLANDS LÄN</t>
        </is>
      </c>
      <c r="E937" t="inlineStr">
        <is>
          <t>ÅNGE</t>
        </is>
      </c>
      <c r="F937" t="inlineStr">
        <is>
          <t>SCA</t>
        </is>
      </c>
      <c r="G937" t="n">
        <v>2.6</v>
      </c>
      <c r="H937" t="n">
        <v>0</v>
      </c>
      <c r="I937" t="n">
        <v>0</v>
      </c>
      <c r="J937" t="n">
        <v>0</v>
      </c>
      <c r="K937" t="n">
        <v>0</v>
      </c>
      <c r="L937" t="n">
        <v>0</v>
      </c>
      <c r="M937" t="n">
        <v>0</v>
      </c>
      <c r="N937" t="n">
        <v>0</v>
      </c>
      <c r="O937" t="n">
        <v>0</v>
      </c>
      <c r="P937" t="n">
        <v>0</v>
      </c>
      <c r="Q937" t="n">
        <v>0</v>
      </c>
      <c r="R937" s="2" t="inlineStr"/>
      <c r="U937">
        <f>HYPERLINK("https://klasma.github.io/Logging_2260/knärot/A 39005-2024 karta knärot.png", "A 39005-2024")</f>
        <v/>
      </c>
      <c r="V937">
        <f>HYPERLINK("https://klasma.github.io/Logging_2260/klagomål/A 39005-2024 FSC-klagomål.docx", "A 39005-2024")</f>
        <v/>
      </c>
      <c r="W937">
        <f>HYPERLINK("https://klasma.github.io/Logging_2260/klagomålsmail/A 39005-2024 FSC-klagomål mail.docx", "A 39005-2024")</f>
        <v/>
      </c>
      <c r="X937">
        <f>HYPERLINK("https://klasma.github.io/Logging_2260/tillsyn/A 39005-2024 tillsynsbegäran.docx", "A 39005-2024")</f>
        <v/>
      </c>
      <c r="Y937">
        <f>HYPERLINK("https://klasma.github.io/Logging_2260/tillsynsmail/A 39005-2024 tillsynsbegäran mail.docx", "A 39005-2024")</f>
        <v/>
      </c>
    </row>
    <row r="938" ht="15" customHeight="1">
      <c r="A938" t="inlineStr">
        <is>
          <t>A 23580-2025</t>
        </is>
      </c>
      <c r="B938" s="1" t="n">
        <v>45792.62555555555</v>
      </c>
      <c r="C938" s="1" t="n">
        <v>46079</v>
      </c>
      <c r="D938" t="inlineStr">
        <is>
          <t>VÄSTERNORRLANDS LÄN</t>
        </is>
      </c>
      <c r="E938" t="inlineStr">
        <is>
          <t>ÅNGE</t>
        </is>
      </c>
      <c r="F938" t="inlineStr">
        <is>
          <t>Kyrkan</t>
        </is>
      </c>
      <c r="G938" t="n">
        <v>2.6</v>
      </c>
      <c r="H938" t="n">
        <v>0</v>
      </c>
      <c r="I938" t="n">
        <v>0</v>
      </c>
      <c r="J938" t="n">
        <v>0</v>
      </c>
      <c r="K938" t="n">
        <v>0</v>
      </c>
      <c r="L938" t="n">
        <v>0</v>
      </c>
      <c r="M938" t="n">
        <v>0</v>
      </c>
      <c r="N938" t="n">
        <v>0</v>
      </c>
      <c r="O938" t="n">
        <v>0</v>
      </c>
      <c r="P938" t="n">
        <v>0</v>
      </c>
      <c r="Q938" t="n">
        <v>0</v>
      </c>
      <c r="R938" s="2" t="inlineStr"/>
    </row>
    <row r="939" ht="15" customHeight="1">
      <c r="A939" t="inlineStr">
        <is>
          <t>A 23343-2025</t>
        </is>
      </c>
      <c r="B939" s="1" t="n">
        <v>45791.65702546296</v>
      </c>
      <c r="C939" s="1" t="n">
        <v>46079</v>
      </c>
      <c r="D939" t="inlineStr">
        <is>
          <t>VÄSTERNORRLANDS LÄN</t>
        </is>
      </c>
      <c r="E939" t="inlineStr">
        <is>
          <t>ÅNGE</t>
        </is>
      </c>
      <c r="F939" t="inlineStr">
        <is>
          <t>SCA</t>
        </is>
      </c>
      <c r="G939" t="n">
        <v>12.6</v>
      </c>
      <c r="H939" t="n">
        <v>0</v>
      </c>
      <c r="I939" t="n">
        <v>0</v>
      </c>
      <c r="J939" t="n">
        <v>0</v>
      </c>
      <c r="K939" t="n">
        <v>0</v>
      </c>
      <c r="L939" t="n">
        <v>0</v>
      </c>
      <c r="M939" t="n">
        <v>0</v>
      </c>
      <c r="N939" t="n">
        <v>0</v>
      </c>
      <c r="O939" t="n">
        <v>0</v>
      </c>
      <c r="P939" t="n">
        <v>0</v>
      </c>
      <c r="Q939" t="n">
        <v>0</v>
      </c>
      <c r="R939" s="2" t="inlineStr"/>
    </row>
    <row r="940" ht="15" customHeight="1">
      <c r="A940" t="inlineStr">
        <is>
          <t>A 57593-2022</t>
        </is>
      </c>
      <c r="B940" s="1" t="n">
        <v>44896.97847222222</v>
      </c>
      <c r="C940" s="1" t="n">
        <v>46079</v>
      </c>
      <c r="D940" t="inlineStr">
        <is>
          <t>VÄSTERNORRLANDS LÄN</t>
        </is>
      </c>
      <c r="E940" t="inlineStr">
        <is>
          <t>ÅNGE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57596-2022</t>
        </is>
      </c>
      <c r="B941" s="1" t="n">
        <v>44896.97871527778</v>
      </c>
      <c r="C941" s="1" t="n">
        <v>46079</v>
      </c>
      <c r="D941" t="inlineStr">
        <is>
          <t>VÄSTERNORRLANDS LÄN</t>
        </is>
      </c>
      <c r="E941" t="inlineStr">
        <is>
          <t>ÅNGE</t>
        </is>
      </c>
      <c r="F941" t="inlineStr">
        <is>
          <t>SCA</t>
        </is>
      </c>
      <c r="G941" t="n">
        <v>4.3</v>
      </c>
      <c r="H941" t="n">
        <v>0</v>
      </c>
      <c r="I941" t="n">
        <v>0</v>
      </c>
      <c r="J941" t="n">
        <v>0</v>
      </c>
      <c r="K941" t="n">
        <v>0</v>
      </c>
      <c r="L941" t="n">
        <v>0</v>
      </c>
      <c r="M941" t="n">
        <v>0</v>
      </c>
      <c r="N941" t="n">
        <v>0</v>
      </c>
      <c r="O941" t="n">
        <v>0</v>
      </c>
      <c r="P941" t="n">
        <v>0</v>
      </c>
      <c r="Q941" t="n">
        <v>0</v>
      </c>
      <c r="R941" s="2" t="inlineStr"/>
    </row>
    <row r="942" ht="15" customHeight="1">
      <c r="A942" t="inlineStr">
        <is>
          <t>A 23573-2025</t>
        </is>
      </c>
      <c r="B942" s="1" t="n">
        <v>45792.61497685185</v>
      </c>
      <c r="C942" s="1" t="n">
        <v>46079</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41355-2025</t>
        </is>
      </c>
      <c r="B943" s="1" t="n">
        <v>45900.34425925926</v>
      </c>
      <c r="C943" s="1" t="n">
        <v>46079</v>
      </c>
      <c r="D943" t="inlineStr">
        <is>
          <t>VÄSTERNORRLANDS LÄN</t>
        </is>
      </c>
      <c r="E943" t="inlineStr">
        <is>
          <t>ÅNGE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23590-2025</t>
        </is>
      </c>
      <c r="B944" s="1" t="n">
        <v>45792.63627314815</v>
      </c>
      <c r="C944" s="1" t="n">
        <v>46079</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23495-2025</t>
        </is>
      </c>
      <c r="B945" s="1" t="n">
        <v>45792.46967592592</v>
      </c>
      <c r="C945" s="1" t="n">
        <v>46079</v>
      </c>
      <c r="D945" t="inlineStr">
        <is>
          <t>VÄSTERNORRLANDS LÄN</t>
        </is>
      </c>
      <c r="E945" t="inlineStr">
        <is>
          <t>ÅNGE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42881-2023</t>
        </is>
      </c>
      <c r="B946" s="1" t="n">
        <v>45182.45256944445</v>
      </c>
      <c r="C946" s="1" t="n">
        <v>46079</v>
      </c>
      <c r="D946" t="inlineStr">
        <is>
          <t>VÄSTERNORRLANDS LÄN</t>
        </is>
      </c>
      <c r="E946" t="inlineStr">
        <is>
          <t>ÅNGE</t>
        </is>
      </c>
      <c r="G946" t="n">
        <v>3.9</v>
      </c>
      <c r="H946" t="n">
        <v>0</v>
      </c>
      <c r="I946" t="n">
        <v>0</v>
      </c>
      <c r="J946" t="n">
        <v>0</v>
      </c>
      <c r="K946" t="n">
        <v>0</v>
      </c>
      <c r="L946" t="n">
        <v>0</v>
      </c>
      <c r="M946" t="n">
        <v>0</v>
      </c>
      <c r="N946" t="n">
        <v>0</v>
      </c>
      <c r="O946" t="n">
        <v>0</v>
      </c>
      <c r="P946" t="n">
        <v>0</v>
      </c>
      <c r="Q946" t="n">
        <v>0</v>
      </c>
      <c r="R946" s="2" t="inlineStr"/>
    </row>
    <row r="947" ht="15" customHeight="1">
      <c r="A947" t="inlineStr">
        <is>
          <t>A 23589-2025</t>
        </is>
      </c>
      <c r="B947" s="1" t="n">
        <v>45792.63618055556</v>
      </c>
      <c r="C947" s="1" t="n">
        <v>46079</v>
      </c>
      <c r="D947" t="inlineStr">
        <is>
          <t>VÄSTERNORRLANDS LÄN</t>
        </is>
      </c>
      <c r="E947" t="inlineStr">
        <is>
          <t>ÅNGE</t>
        </is>
      </c>
      <c r="F947" t="inlineStr">
        <is>
          <t>SCA</t>
        </is>
      </c>
      <c r="G947" t="n">
        <v>10.7</v>
      </c>
      <c r="H947" t="n">
        <v>0</v>
      </c>
      <c r="I947" t="n">
        <v>0</v>
      </c>
      <c r="J947" t="n">
        <v>0</v>
      </c>
      <c r="K947" t="n">
        <v>0</v>
      </c>
      <c r="L947" t="n">
        <v>0</v>
      </c>
      <c r="M947" t="n">
        <v>0</v>
      </c>
      <c r="N947" t="n">
        <v>0</v>
      </c>
      <c r="O947" t="n">
        <v>0</v>
      </c>
      <c r="P947" t="n">
        <v>0</v>
      </c>
      <c r="Q947" t="n">
        <v>0</v>
      </c>
      <c r="R947" s="2" t="inlineStr"/>
    </row>
    <row r="948" ht="15" customHeight="1">
      <c r="A948" t="inlineStr">
        <is>
          <t>A 41222-2024</t>
        </is>
      </c>
      <c r="B948" s="1" t="n">
        <v>45559.55306712963</v>
      </c>
      <c r="C948" s="1" t="n">
        <v>46079</v>
      </c>
      <c r="D948" t="inlineStr">
        <is>
          <t>VÄSTERNORRLANDS LÄN</t>
        </is>
      </c>
      <c r="E948" t="inlineStr">
        <is>
          <t>ÅNGE</t>
        </is>
      </c>
      <c r="G948" t="n">
        <v>0.4</v>
      </c>
      <c r="H948" t="n">
        <v>0</v>
      </c>
      <c r="I948" t="n">
        <v>0</v>
      </c>
      <c r="J948" t="n">
        <v>0</v>
      </c>
      <c r="K948" t="n">
        <v>0</v>
      </c>
      <c r="L948" t="n">
        <v>0</v>
      </c>
      <c r="M948" t="n">
        <v>0</v>
      </c>
      <c r="N948" t="n">
        <v>0</v>
      </c>
      <c r="O948" t="n">
        <v>0</v>
      </c>
      <c r="P948" t="n">
        <v>0</v>
      </c>
      <c r="Q948" t="n">
        <v>0</v>
      </c>
      <c r="R948" s="2" t="inlineStr"/>
    </row>
    <row r="949" ht="15" customHeight="1">
      <c r="A949" t="inlineStr">
        <is>
          <t>A 13091-2024</t>
        </is>
      </c>
      <c r="B949" s="1" t="n">
        <v>45385</v>
      </c>
      <c r="C949" s="1" t="n">
        <v>46079</v>
      </c>
      <c r="D949" t="inlineStr">
        <is>
          <t>VÄSTERNORRLANDS LÄN</t>
        </is>
      </c>
      <c r="E949" t="inlineStr">
        <is>
          <t>ÅNGE</t>
        </is>
      </c>
      <c r="G949" t="n">
        <v>1.1</v>
      </c>
      <c r="H949" t="n">
        <v>0</v>
      </c>
      <c r="I949" t="n">
        <v>0</v>
      </c>
      <c r="J949" t="n">
        <v>0</v>
      </c>
      <c r="K949" t="n">
        <v>0</v>
      </c>
      <c r="L949" t="n">
        <v>0</v>
      </c>
      <c r="M949" t="n">
        <v>0</v>
      </c>
      <c r="N949" t="n">
        <v>0</v>
      </c>
      <c r="O949" t="n">
        <v>0</v>
      </c>
      <c r="P949" t="n">
        <v>0</v>
      </c>
      <c r="Q949" t="n">
        <v>0</v>
      </c>
      <c r="R949" s="2" t="inlineStr"/>
    </row>
    <row r="950" ht="15" customHeight="1">
      <c r="A950" t="inlineStr">
        <is>
          <t>A 3624-2024</t>
        </is>
      </c>
      <c r="B950" s="1" t="n">
        <v>45320.95305555555</v>
      </c>
      <c r="C950" s="1" t="n">
        <v>46079</v>
      </c>
      <c r="D950" t="inlineStr">
        <is>
          <t>VÄSTERNORRLANDS LÄN</t>
        </is>
      </c>
      <c r="E950" t="inlineStr">
        <is>
          <t>ÅNGE</t>
        </is>
      </c>
      <c r="F950" t="inlineStr">
        <is>
          <t>SCA</t>
        </is>
      </c>
      <c r="G950" t="n">
        <v>5</v>
      </c>
      <c r="H950" t="n">
        <v>0</v>
      </c>
      <c r="I950" t="n">
        <v>0</v>
      </c>
      <c r="J950" t="n">
        <v>0</v>
      </c>
      <c r="K950" t="n">
        <v>0</v>
      </c>
      <c r="L950" t="n">
        <v>0</v>
      </c>
      <c r="M950" t="n">
        <v>0</v>
      </c>
      <c r="N950" t="n">
        <v>0</v>
      </c>
      <c r="O950" t="n">
        <v>0</v>
      </c>
      <c r="P950" t="n">
        <v>0</v>
      </c>
      <c r="Q950" t="n">
        <v>0</v>
      </c>
      <c r="R950" s="2" t="inlineStr"/>
    </row>
    <row r="951" ht="15" customHeight="1">
      <c r="A951" t="inlineStr">
        <is>
          <t>A 1127-2023</t>
        </is>
      </c>
      <c r="B951" s="1" t="n">
        <v>44929</v>
      </c>
      <c r="C951" s="1" t="n">
        <v>46079</v>
      </c>
      <c r="D951" t="inlineStr">
        <is>
          <t>VÄSTERNORRLANDS LÄN</t>
        </is>
      </c>
      <c r="E951" t="inlineStr">
        <is>
          <t>ÅNGE</t>
        </is>
      </c>
      <c r="G951" t="n">
        <v>10.5</v>
      </c>
      <c r="H951" t="n">
        <v>0</v>
      </c>
      <c r="I951" t="n">
        <v>0</v>
      </c>
      <c r="J951" t="n">
        <v>0</v>
      </c>
      <c r="K951" t="n">
        <v>0</v>
      </c>
      <c r="L951" t="n">
        <v>0</v>
      </c>
      <c r="M951" t="n">
        <v>0</v>
      </c>
      <c r="N951" t="n">
        <v>0</v>
      </c>
      <c r="O951" t="n">
        <v>0</v>
      </c>
      <c r="P951" t="n">
        <v>0</v>
      </c>
      <c r="Q951" t="n">
        <v>0</v>
      </c>
      <c r="R951" s="2" t="inlineStr"/>
    </row>
    <row r="952" ht="15" customHeight="1">
      <c r="A952" t="inlineStr">
        <is>
          <t>A 18430-2025</t>
        </is>
      </c>
      <c r="B952" s="1" t="n">
        <v>45762.63576388889</v>
      </c>
      <c r="C952" s="1" t="n">
        <v>46079</v>
      </c>
      <c r="D952" t="inlineStr">
        <is>
          <t>VÄSTERNORRLANDS LÄN</t>
        </is>
      </c>
      <c r="E952" t="inlineStr">
        <is>
          <t>ÅNGE</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41781-2024</t>
        </is>
      </c>
      <c r="B953" s="1" t="n">
        <v>45561.34938657407</v>
      </c>
      <c r="C953" s="1" t="n">
        <v>46079</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58469-2023</t>
        </is>
      </c>
      <c r="B954" s="1" t="n">
        <v>45250</v>
      </c>
      <c r="C954" s="1" t="n">
        <v>46079</v>
      </c>
      <c r="D954" t="inlineStr">
        <is>
          <t>VÄSTERNORRLANDS LÄN</t>
        </is>
      </c>
      <c r="E954" t="inlineStr">
        <is>
          <t>ÅNGE</t>
        </is>
      </c>
      <c r="F954" t="inlineStr">
        <is>
          <t>SCA</t>
        </is>
      </c>
      <c r="G954" t="n">
        <v>4.3</v>
      </c>
      <c r="H954" t="n">
        <v>0</v>
      </c>
      <c r="I954" t="n">
        <v>0</v>
      </c>
      <c r="J954" t="n">
        <v>0</v>
      </c>
      <c r="K954" t="n">
        <v>0</v>
      </c>
      <c r="L954" t="n">
        <v>0</v>
      </c>
      <c r="M954" t="n">
        <v>0</v>
      </c>
      <c r="N954" t="n">
        <v>0</v>
      </c>
      <c r="O954" t="n">
        <v>0</v>
      </c>
      <c r="P954" t="n">
        <v>0</v>
      </c>
      <c r="Q954" t="n">
        <v>0</v>
      </c>
      <c r="R954" s="2" t="inlineStr"/>
    </row>
    <row r="955" ht="15" customHeight="1">
      <c r="A955" t="inlineStr">
        <is>
          <t>A 42098-2024</t>
        </is>
      </c>
      <c r="B955" s="1" t="n">
        <v>45562.34532407407</v>
      </c>
      <c r="C955" s="1" t="n">
        <v>46079</v>
      </c>
      <c r="D955" t="inlineStr">
        <is>
          <t>VÄSTERNORRLANDS LÄN</t>
        </is>
      </c>
      <c r="E955" t="inlineStr">
        <is>
          <t>ÅNGE</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23252-2025</t>
        </is>
      </c>
      <c r="B956" s="1" t="n">
        <v>45791.53157407408</v>
      </c>
      <c r="C956" s="1" t="n">
        <v>46079</v>
      </c>
      <c r="D956" t="inlineStr">
        <is>
          <t>VÄSTERNORRLANDS LÄN</t>
        </is>
      </c>
      <c r="E956" t="inlineStr">
        <is>
          <t>ÅNGE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55324-2023</t>
        </is>
      </c>
      <c r="B957" s="1" t="n">
        <v>45237.9734837963</v>
      </c>
      <c r="C957" s="1" t="n">
        <v>46079</v>
      </c>
      <c r="D957" t="inlineStr">
        <is>
          <t>VÄSTERNORRLANDS LÄN</t>
        </is>
      </c>
      <c r="E957" t="inlineStr">
        <is>
          <t>ÅNGE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23529-2025</t>
        </is>
      </c>
      <c r="B958" s="1" t="n">
        <v>45792.53158564815</v>
      </c>
      <c r="C958" s="1" t="n">
        <v>46079</v>
      </c>
      <c r="D958" t="inlineStr">
        <is>
          <t>VÄSTERNORRLANDS LÄN</t>
        </is>
      </c>
      <c r="E958" t="inlineStr">
        <is>
          <t>ÅNGE</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23552-2025</t>
        </is>
      </c>
      <c r="B959" s="1" t="n">
        <v>45792.5738425926</v>
      </c>
      <c r="C959" s="1" t="n">
        <v>46079</v>
      </c>
      <c r="D959" t="inlineStr">
        <is>
          <t>VÄSTERNORRLANDS LÄN</t>
        </is>
      </c>
      <c r="E959" t="inlineStr">
        <is>
          <t>ÅNGE</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23748-2025</t>
        </is>
      </c>
      <c r="B960" s="1" t="n">
        <v>45793.44755787037</v>
      </c>
      <c r="C960" s="1" t="n">
        <v>46079</v>
      </c>
      <c r="D960" t="inlineStr">
        <is>
          <t>VÄSTERNORRLANDS LÄN</t>
        </is>
      </c>
      <c r="E960" t="inlineStr">
        <is>
          <t>ÅNGE</t>
        </is>
      </c>
      <c r="F960" t="inlineStr">
        <is>
          <t>Sveaskog</t>
        </is>
      </c>
      <c r="G960" t="n">
        <v>6.5</v>
      </c>
      <c r="H960" t="n">
        <v>0</v>
      </c>
      <c r="I960" t="n">
        <v>0</v>
      </c>
      <c r="J960" t="n">
        <v>0</v>
      </c>
      <c r="K960" t="n">
        <v>0</v>
      </c>
      <c r="L960" t="n">
        <v>0</v>
      </c>
      <c r="M960" t="n">
        <v>0</v>
      </c>
      <c r="N960" t="n">
        <v>0</v>
      </c>
      <c r="O960" t="n">
        <v>0</v>
      </c>
      <c r="P960" t="n">
        <v>0</v>
      </c>
      <c r="Q960" t="n">
        <v>0</v>
      </c>
      <c r="R960" s="2" t="inlineStr"/>
    </row>
    <row r="961" ht="15" customHeight="1">
      <c r="A961" t="inlineStr">
        <is>
          <t>A 43145-2024</t>
        </is>
      </c>
      <c r="B961" s="1" t="n">
        <v>45567.63030092593</v>
      </c>
      <c r="C961" s="1" t="n">
        <v>46079</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4361-2024</t>
        </is>
      </c>
      <c r="B962" s="1" t="n">
        <v>45325.65047453704</v>
      </c>
      <c r="C962" s="1" t="n">
        <v>46079</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23899-2025</t>
        </is>
      </c>
      <c r="B963" s="1" t="n">
        <v>45794.34414351852</v>
      </c>
      <c r="C963" s="1" t="n">
        <v>46079</v>
      </c>
      <c r="D963" t="inlineStr">
        <is>
          <t>VÄSTERNORRLANDS LÄN</t>
        </is>
      </c>
      <c r="E963" t="inlineStr">
        <is>
          <t>ÅNGE</t>
        </is>
      </c>
      <c r="F963" t="inlineStr">
        <is>
          <t>SCA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23917-2025</t>
        </is>
      </c>
      <c r="B964" s="1" t="n">
        <v>45795.34481481482</v>
      </c>
      <c r="C964" s="1" t="n">
        <v>46079</v>
      </c>
      <c r="D964" t="inlineStr">
        <is>
          <t>VÄSTERNORRLANDS LÄN</t>
        </is>
      </c>
      <c r="E964" t="inlineStr">
        <is>
          <t>ÅNGE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43916-2023</t>
        </is>
      </c>
      <c r="B965" s="1" t="n">
        <v>45187.72152777778</v>
      </c>
      <c r="C965" s="1" t="n">
        <v>46079</v>
      </c>
      <c r="D965" t="inlineStr">
        <is>
          <t>VÄSTERNORRLANDS LÄN</t>
        </is>
      </c>
      <c r="E965" t="inlineStr">
        <is>
          <t>ÅNGE</t>
        </is>
      </c>
      <c r="G965" t="n">
        <v>3.1</v>
      </c>
      <c r="H965" t="n">
        <v>0</v>
      </c>
      <c r="I965" t="n">
        <v>0</v>
      </c>
      <c r="J965" t="n">
        <v>0</v>
      </c>
      <c r="K965" t="n">
        <v>0</v>
      </c>
      <c r="L965" t="n">
        <v>0</v>
      </c>
      <c r="M965" t="n">
        <v>0</v>
      </c>
      <c r="N965" t="n">
        <v>0</v>
      </c>
      <c r="O965" t="n">
        <v>0</v>
      </c>
      <c r="P965" t="n">
        <v>0</v>
      </c>
      <c r="Q965" t="n">
        <v>0</v>
      </c>
      <c r="R965" s="2" t="inlineStr"/>
    </row>
    <row r="966" ht="15" customHeight="1">
      <c r="A966" t="inlineStr">
        <is>
          <t>A 65229-2021</t>
        </is>
      </c>
      <c r="B966" s="1" t="n">
        <v>44515</v>
      </c>
      <c r="C966" s="1" t="n">
        <v>46079</v>
      </c>
      <c r="D966" t="inlineStr">
        <is>
          <t>VÄSTERNORRLANDS LÄN</t>
        </is>
      </c>
      <c r="E966" t="inlineStr">
        <is>
          <t>ÅNGE</t>
        </is>
      </c>
      <c r="G966" t="n">
        <v>12.1</v>
      </c>
      <c r="H966" t="n">
        <v>0</v>
      </c>
      <c r="I966" t="n">
        <v>0</v>
      </c>
      <c r="J966" t="n">
        <v>0</v>
      </c>
      <c r="K966" t="n">
        <v>0</v>
      </c>
      <c r="L966" t="n">
        <v>0</v>
      </c>
      <c r="M966" t="n">
        <v>0</v>
      </c>
      <c r="N966" t="n">
        <v>0</v>
      </c>
      <c r="O966" t="n">
        <v>0</v>
      </c>
      <c r="P966" t="n">
        <v>0</v>
      </c>
      <c r="Q966" t="n">
        <v>0</v>
      </c>
      <c r="R966" s="2" t="inlineStr"/>
    </row>
    <row r="967" ht="15" customHeight="1">
      <c r="A967" t="inlineStr">
        <is>
          <t>A 32069-2023</t>
        </is>
      </c>
      <c r="B967" s="1" t="n">
        <v>45107</v>
      </c>
      <c r="C967" s="1" t="n">
        <v>46079</v>
      </c>
      <c r="D967" t="inlineStr">
        <is>
          <t>VÄSTERNORRLANDS LÄN</t>
        </is>
      </c>
      <c r="E967" t="inlineStr">
        <is>
          <t>ÅNGE</t>
        </is>
      </c>
      <c r="G967" t="n">
        <v>4.4</v>
      </c>
      <c r="H967" t="n">
        <v>0</v>
      </c>
      <c r="I967" t="n">
        <v>0</v>
      </c>
      <c r="J967" t="n">
        <v>0</v>
      </c>
      <c r="K967" t="n">
        <v>0</v>
      </c>
      <c r="L967" t="n">
        <v>0</v>
      </c>
      <c r="M967" t="n">
        <v>0</v>
      </c>
      <c r="N967" t="n">
        <v>0</v>
      </c>
      <c r="O967" t="n">
        <v>0</v>
      </c>
      <c r="P967" t="n">
        <v>0</v>
      </c>
      <c r="Q967" t="n">
        <v>0</v>
      </c>
      <c r="R967" s="2" t="inlineStr"/>
    </row>
    <row r="968" ht="15" customHeight="1">
      <c r="A968" t="inlineStr">
        <is>
          <t>A 41870-2025</t>
        </is>
      </c>
      <c r="B968" s="1" t="n">
        <v>45903.3446412037</v>
      </c>
      <c r="C968" s="1" t="n">
        <v>46079</v>
      </c>
      <c r="D968" t="inlineStr">
        <is>
          <t>VÄSTERNORRLANDS LÄN</t>
        </is>
      </c>
      <c r="E968" t="inlineStr">
        <is>
          <t>ÅNGE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56188-2024</t>
        </is>
      </c>
      <c r="B969" s="1" t="n">
        <v>45624.57800925926</v>
      </c>
      <c r="C969" s="1" t="n">
        <v>46079</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41872-2025</t>
        </is>
      </c>
      <c r="B970" s="1" t="n">
        <v>45903.34497685185</v>
      </c>
      <c r="C970" s="1" t="n">
        <v>46079</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19829-2025</t>
        </is>
      </c>
      <c r="B971" s="1" t="n">
        <v>45771.46944444445</v>
      </c>
      <c r="C971" s="1" t="n">
        <v>46079</v>
      </c>
      <c r="D971" t="inlineStr">
        <is>
          <t>VÄSTERNORRLANDS LÄN</t>
        </is>
      </c>
      <c r="E971" t="inlineStr">
        <is>
          <t>ÅNGE</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42889-2025</t>
        </is>
      </c>
      <c r="B972" s="1" t="n">
        <v>45908.65546296296</v>
      </c>
      <c r="C972" s="1" t="n">
        <v>46079</v>
      </c>
      <c r="D972" t="inlineStr">
        <is>
          <t>VÄSTERNORRLANDS LÄN</t>
        </is>
      </c>
      <c r="E972" t="inlineStr">
        <is>
          <t>ÅNGE</t>
        </is>
      </c>
      <c r="G972" t="n">
        <v>11.9</v>
      </c>
      <c r="H972" t="n">
        <v>0</v>
      </c>
      <c r="I972" t="n">
        <v>0</v>
      </c>
      <c r="J972" t="n">
        <v>0</v>
      </c>
      <c r="K972" t="n">
        <v>0</v>
      </c>
      <c r="L972" t="n">
        <v>0</v>
      </c>
      <c r="M972" t="n">
        <v>0</v>
      </c>
      <c r="N972" t="n">
        <v>0</v>
      </c>
      <c r="O972" t="n">
        <v>0</v>
      </c>
      <c r="P972" t="n">
        <v>0</v>
      </c>
      <c r="Q972" t="n">
        <v>0</v>
      </c>
      <c r="R972" s="2" t="inlineStr"/>
    </row>
    <row r="973" ht="15" customHeight="1">
      <c r="A973" t="inlineStr">
        <is>
          <t>A 39843-2023</t>
        </is>
      </c>
      <c r="B973" s="1" t="n">
        <v>45168</v>
      </c>
      <c r="C973" s="1" t="n">
        <v>46079</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46015-2024</t>
        </is>
      </c>
      <c r="B974" s="1" t="n">
        <v>45580.67760416667</v>
      </c>
      <c r="C974" s="1" t="n">
        <v>46079</v>
      </c>
      <c r="D974" t="inlineStr">
        <is>
          <t>VÄSTERNORRLANDS LÄN</t>
        </is>
      </c>
      <c r="E974" t="inlineStr">
        <is>
          <t>ÅNGE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41302-2024</t>
        </is>
      </c>
      <c r="B975" s="1" t="n">
        <v>45559.62077546296</v>
      </c>
      <c r="C975" s="1" t="n">
        <v>46079</v>
      </c>
      <c r="D975" t="inlineStr">
        <is>
          <t>VÄSTERNORRLANDS LÄN</t>
        </is>
      </c>
      <c r="E975" t="inlineStr">
        <is>
          <t>ÅNGE</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16576-2023</t>
        </is>
      </c>
      <c r="B976" s="1" t="n">
        <v>45029.94251157407</v>
      </c>
      <c r="C976" s="1" t="n">
        <v>46079</v>
      </c>
      <c r="D976" t="inlineStr">
        <is>
          <t>VÄSTERNORRLANDS LÄN</t>
        </is>
      </c>
      <c r="E976" t="inlineStr">
        <is>
          <t>ÅNGE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42786-2025</t>
        </is>
      </c>
      <c r="B977" s="1" t="n">
        <v>45908.51097222222</v>
      </c>
      <c r="C977" s="1" t="n">
        <v>46079</v>
      </c>
      <c r="D977" t="inlineStr">
        <is>
          <t>VÄSTERNORRLANDS LÄN</t>
        </is>
      </c>
      <c r="E977" t="inlineStr">
        <is>
          <t>ÅNGE</t>
        </is>
      </c>
      <c r="G977" t="n">
        <v>0.4</v>
      </c>
      <c r="H977" t="n">
        <v>0</v>
      </c>
      <c r="I977" t="n">
        <v>0</v>
      </c>
      <c r="J977" t="n">
        <v>0</v>
      </c>
      <c r="K977" t="n">
        <v>0</v>
      </c>
      <c r="L977" t="n">
        <v>0</v>
      </c>
      <c r="M977" t="n">
        <v>0</v>
      </c>
      <c r="N977" t="n">
        <v>0</v>
      </c>
      <c r="O977" t="n">
        <v>0</v>
      </c>
      <c r="P977" t="n">
        <v>0</v>
      </c>
      <c r="Q977" t="n">
        <v>0</v>
      </c>
      <c r="R977" s="2" t="inlineStr"/>
    </row>
    <row r="978" ht="15" customHeight="1">
      <c r="A978" t="inlineStr">
        <is>
          <t>A 23975-2025</t>
        </is>
      </c>
      <c r="B978" s="1" t="n">
        <v>45796.38614583333</v>
      </c>
      <c r="C978" s="1" t="n">
        <v>46079</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23976-2025</t>
        </is>
      </c>
      <c r="B979" s="1" t="n">
        <v>45796.38625</v>
      </c>
      <c r="C979" s="1" t="n">
        <v>46079</v>
      </c>
      <c r="D979" t="inlineStr">
        <is>
          <t>VÄSTERNORRLANDS LÄN</t>
        </is>
      </c>
      <c r="E979" t="inlineStr">
        <is>
          <t>ÅNGE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23921-2025</t>
        </is>
      </c>
      <c r="B980" s="1" t="n">
        <v>45795.34513888889</v>
      </c>
      <c r="C980" s="1" t="n">
        <v>46079</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5035-2025</t>
        </is>
      </c>
      <c r="B981" s="1" t="n">
        <v>45691</v>
      </c>
      <c r="C981" s="1" t="n">
        <v>46079</v>
      </c>
      <c r="D981" t="inlineStr">
        <is>
          <t>VÄSTERNORRLANDS LÄN</t>
        </is>
      </c>
      <c r="E981" t="inlineStr">
        <is>
          <t>ÅNGE</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54079-2023</t>
        </is>
      </c>
      <c r="B982" s="1" t="n">
        <v>45231</v>
      </c>
      <c r="C982" s="1" t="n">
        <v>46079</v>
      </c>
      <c r="D982" t="inlineStr">
        <is>
          <t>VÄSTERNORRLANDS LÄN</t>
        </is>
      </c>
      <c r="E982" t="inlineStr">
        <is>
          <t>ÅNGE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42863-2025</t>
        </is>
      </c>
      <c r="B983" s="1" t="n">
        <v>45908.61527777778</v>
      </c>
      <c r="C983" s="1" t="n">
        <v>46079</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29702-2024</t>
        </is>
      </c>
      <c r="B984" s="1" t="n">
        <v>45485.31525462963</v>
      </c>
      <c r="C984" s="1" t="n">
        <v>46079</v>
      </c>
      <c r="D984" t="inlineStr">
        <is>
          <t>VÄSTERNORRLANDS LÄN</t>
        </is>
      </c>
      <c r="E984" t="inlineStr">
        <is>
          <t>ÅNGE</t>
        </is>
      </c>
      <c r="G984" t="n">
        <v>2.6</v>
      </c>
      <c r="H984" t="n">
        <v>0</v>
      </c>
      <c r="I984" t="n">
        <v>0</v>
      </c>
      <c r="J984" t="n">
        <v>0</v>
      </c>
      <c r="K984" t="n">
        <v>0</v>
      </c>
      <c r="L984" t="n">
        <v>0</v>
      </c>
      <c r="M984" t="n">
        <v>0</v>
      </c>
      <c r="N984" t="n">
        <v>0</v>
      </c>
      <c r="O984" t="n">
        <v>0</v>
      </c>
      <c r="P984" t="n">
        <v>0</v>
      </c>
      <c r="Q984" t="n">
        <v>0</v>
      </c>
      <c r="R984" s="2" t="inlineStr"/>
    </row>
    <row r="985" ht="15" customHeight="1">
      <c r="A985" t="inlineStr">
        <is>
          <t>A 42731-2025</t>
        </is>
      </c>
      <c r="B985" s="1" t="n">
        <v>45908.40686342592</v>
      </c>
      <c r="C985" s="1" t="n">
        <v>46079</v>
      </c>
      <c r="D985" t="inlineStr">
        <is>
          <t>VÄSTERNORRLANDS LÄN</t>
        </is>
      </c>
      <c r="E985" t="inlineStr">
        <is>
          <t>ÅNGE</t>
        </is>
      </c>
      <c r="G985" t="n">
        <v>14.1</v>
      </c>
      <c r="H985" t="n">
        <v>0</v>
      </c>
      <c r="I985" t="n">
        <v>0</v>
      </c>
      <c r="J985" t="n">
        <v>0</v>
      </c>
      <c r="K985" t="n">
        <v>0</v>
      </c>
      <c r="L985" t="n">
        <v>0</v>
      </c>
      <c r="M985" t="n">
        <v>0</v>
      </c>
      <c r="N985" t="n">
        <v>0</v>
      </c>
      <c r="O985" t="n">
        <v>0</v>
      </c>
      <c r="P985" t="n">
        <v>0</v>
      </c>
      <c r="Q985" t="n">
        <v>0</v>
      </c>
      <c r="R985" s="2" t="inlineStr"/>
    </row>
    <row r="986" ht="15" customHeight="1">
      <c r="A986" t="inlineStr">
        <is>
          <t>A 42785-2025</t>
        </is>
      </c>
      <c r="B986" s="1" t="n">
        <v>45908.51083333333</v>
      </c>
      <c r="C986" s="1" t="n">
        <v>46079</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37503-2023</t>
        </is>
      </c>
      <c r="B987" s="1" t="n">
        <v>45157.5796875</v>
      </c>
      <c r="C987" s="1" t="n">
        <v>46079</v>
      </c>
      <c r="D987" t="inlineStr">
        <is>
          <t>VÄSTERNORRLANDS LÄN</t>
        </is>
      </c>
      <c r="E987" t="inlineStr">
        <is>
          <t>ÅNGE</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3323-2023</t>
        </is>
      </c>
      <c r="B988" s="1" t="n">
        <v>44945</v>
      </c>
      <c r="C988" s="1" t="n">
        <v>46079</v>
      </c>
      <c r="D988" t="inlineStr">
        <is>
          <t>VÄSTERNORRLANDS LÄN</t>
        </is>
      </c>
      <c r="E988" t="inlineStr">
        <is>
          <t>ÅNGE</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26641-2024</t>
        </is>
      </c>
      <c r="B989" s="1" t="n">
        <v>45469.92836805555</v>
      </c>
      <c r="C989" s="1" t="n">
        <v>46079</v>
      </c>
      <c r="D989" t="inlineStr">
        <is>
          <t>VÄSTERNORRLANDS LÄN</t>
        </is>
      </c>
      <c r="E989" t="inlineStr">
        <is>
          <t>ÅNGE</t>
        </is>
      </c>
      <c r="G989" t="n">
        <v>4.5</v>
      </c>
      <c r="H989" t="n">
        <v>0</v>
      </c>
      <c r="I989" t="n">
        <v>0</v>
      </c>
      <c r="J989" t="n">
        <v>0</v>
      </c>
      <c r="K989" t="n">
        <v>0</v>
      </c>
      <c r="L989" t="n">
        <v>0</v>
      </c>
      <c r="M989" t="n">
        <v>0</v>
      </c>
      <c r="N989" t="n">
        <v>0</v>
      </c>
      <c r="O989" t="n">
        <v>0</v>
      </c>
      <c r="P989" t="n">
        <v>0</v>
      </c>
      <c r="Q989" t="n">
        <v>0</v>
      </c>
      <c r="R989" s="2" t="inlineStr"/>
    </row>
    <row r="990" ht="15" customHeight="1">
      <c r="A990" t="inlineStr">
        <is>
          <t>A 41741-2023</t>
        </is>
      </c>
      <c r="B990" s="1" t="n">
        <v>45176.42164351852</v>
      </c>
      <c r="C990" s="1" t="n">
        <v>46079</v>
      </c>
      <c r="D990" t="inlineStr">
        <is>
          <t>VÄSTERNORRLANDS LÄN</t>
        </is>
      </c>
      <c r="E990" t="inlineStr">
        <is>
          <t>ÅNGE</t>
        </is>
      </c>
      <c r="G990" t="n">
        <v>7.8</v>
      </c>
      <c r="H990" t="n">
        <v>0</v>
      </c>
      <c r="I990" t="n">
        <v>0</v>
      </c>
      <c r="J990" t="n">
        <v>0</v>
      </c>
      <c r="K990" t="n">
        <v>0</v>
      </c>
      <c r="L990" t="n">
        <v>0</v>
      </c>
      <c r="M990" t="n">
        <v>0</v>
      </c>
      <c r="N990" t="n">
        <v>0</v>
      </c>
      <c r="O990" t="n">
        <v>0</v>
      </c>
      <c r="P990" t="n">
        <v>0</v>
      </c>
      <c r="Q990" t="n">
        <v>0</v>
      </c>
      <c r="R990" s="2" t="inlineStr"/>
    </row>
    <row r="991" ht="15" customHeight="1">
      <c r="A991" t="inlineStr">
        <is>
          <t>A 37992-2024</t>
        </is>
      </c>
      <c r="B991" s="1" t="n">
        <v>45544.59524305556</v>
      </c>
      <c r="C991" s="1" t="n">
        <v>46079</v>
      </c>
      <c r="D991" t="inlineStr">
        <is>
          <t>VÄSTERNORRLANDS LÄN</t>
        </is>
      </c>
      <c r="E991" t="inlineStr">
        <is>
          <t>ÅNGE</t>
        </is>
      </c>
      <c r="G991" t="n">
        <v>3.9</v>
      </c>
      <c r="H991" t="n">
        <v>0</v>
      </c>
      <c r="I991" t="n">
        <v>0</v>
      </c>
      <c r="J991" t="n">
        <v>0</v>
      </c>
      <c r="K991" t="n">
        <v>0</v>
      </c>
      <c r="L991" t="n">
        <v>0</v>
      </c>
      <c r="M991" t="n">
        <v>0</v>
      </c>
      <c r="N991" t="n">
        <v>0</v>
      </c>
      <c r="O991" t="n">
        <v>0</v>
      </c>
      <c r="P991" t="n">
        <v>0</v>
      </c>
      <c r="Q991" t="n">
        <v>0</v>
      </c>
      <c r="R991" s="2" t="inlineStr"/>
    </row>
    <row r="992" ht="15" customHeight="1">
      <c r="A992" t="inlineStr">
        <is>
          <t>A 3-2025</t>
        </is>
      </c>
      <c r="B992" s="1" t="n">
        <v>45658.49819444444</v>
      </c>
      <c r="C992" s="1" t="n">
        <v>46079</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57516-2023</t>
        </is>
      </c>
      <c r="B993" s="1" t="n">
        <v>45246.44665509259</v>
      </c>
      <c r="C993" s="1" t="n">
        <v>46079</v>
      </c>
      <c r="D993" t="inlineStr">
        <is>
          <t>VÄSTERNORRLANDS LÄN</t>
        </is>
      </c>
      <c r="E993" t="inlineStr">
        <is>
          <t>ÅNGE</t>
        </is>
      </c>
      <c r="G993" t="n">
        <v>2.2</v>
      </c>
      <c r="H993" t="n">
        <v>0</v>
      </c>
      <c r="I993" t="n">
        <v>0</v>
      </c>
      <c r="J993" t="n">
        <v>0</v>
      </c>
      <c r="K993" t="n">
        <v>0</v>
      </c>
      <c r="L993" t="n">
        <v>0</v>
      </c>
      <c r="M993" t="n">
        <v>0</v>
      </c>
      <c r="N993" t="n">
        <v>0</v>
      </c>
      <c r="O993" t="n">
        <v>0</v>
      </c>
      <c r="P993" t="n">
        <v>0</v>
      </c>
      <c r="Q993" t="n">
        <v>0</v>
      </c>
      <c r="R993" s="2" t="inlineStr"/>
    </row>
    <row r="994" ht="15" customHeight="1">
      <c r="A994" t="inlineStr">
        <is>
          <t>A 23069-2024</t>
        </is>
      </c>
      <c r="B994" s="1" t="n">
        <v>45450</v>
      </c>
      <c r="C994" s="1" t="n">
        <v>46079</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42730-2025</t>
        </is>
      </c>
      <c r="B995" s="1" t="n">
        <v>45908.40666666667</v>
      </c>
      <c r="C995" s="1" t="n">
        <v>46079</v>
      </c>
      <c r="D995" t="inlineStr">
        <is>
          <t>VÄSTERNORRLANDS LÄN</t>
        </is>
      </c>
      <c r="E995" t="inlineStr">
        <is>
          <t>ÅNGE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41575-2024</t>
        </is>
      </c>
      <c r="B996" s="1" t="n">
        <v>45560.55106481481</v>
      </c>
      <c r="C996" s="1" t="n">
        <v>46079</v>
      </c>
      <c r="D996" t="inlineStr">
        <is>
          <t>VÄSTERNORRLANDS LÄN</t>
        </is>
      </c>
      <c r="E996" t="inlineStr">
        <is>
          <t>ÅNGE</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24008-2025</t>
        </is>
      </c>
      <c r="B997" s="1" t="n">
        <v>45796.43841435185</v>
      </c>
      <c r="C997" s="1" t="n">
        <v>46079</v>
      </c>
      <c r="D997" t="inlineStr">
        <is>
          <t>VÄSTERNORRLANDS LÄN</t>
        </is>
      </c>
      <c r="E997" t="inlineStr">
        <is>
          <t>ÅNGE</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42589-2025</t>
        </is>
      </c>
      <c r="B998" s="1" t="n">
        <v>45905.63585648148</v>
      </c>
      <c r="C998" s="1" t="n">
        <v>46079</v>
      </c>
      <c r="D998" t="inlineStr">
        <is>
          <t>VÄSTERNORRLANDS LÄN</t>
        </is>
      </c>
      <c r="E998" t="inlineStr">
        <is>
          <t>ÅNGE</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42764-2025</t>
        </is>
      </c>
      <c r="B999" s="1" t="n">
        <v>45908.46943287037</v>
      </c>
      <c r="C999" s="1" t="n">
        <v>46079</v>
      </c>
      <c r="D999" t="inlineStr">
        <is>
          <t>VÄSTERNORRLANDS LÄN</t>
        </is>
      </c>
      <c r="E999" t="inlineStr">
        <is>
          <t>ÅNGE</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19007-2025</t>
        </is>
      </c>
      <c r="B1000" s="1" t="n">
        <v>45764.58515046296</v>
      </c>
      <c r="C1000" s="1" t="n">
        <v>46079</v>
      </c>
      <c r="D1000" t="inlineStr">
        <is>
          <t>VÄSTERNORRLANDS LÄN</t>
        </is>
      </c>
      <c r="E1000" t="inlineStr">
        <is>
          <t>ÅNGE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42880-2025</t>
        </is>
      </c>
      <c r="B1001" s="1" t="n">
        <v>45908.63599537037</v>
      </c>
      <c r="C1001" s="1" t="n">
        <v>46079</v>
      </c>
      <c r="D1001" t="inlineStr">
        <is>
          <t>VÄSTERNORRLANDS LÄN</t>
        </is>
      </c>
      <c r="E1001" t="inlineStr">
        <is>
          <t>ÅNGE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60004-2023</t>
        </is>
      </c>
      <c r="B1002" s="1" t="n">
        <v>45257</v>
      </c>
      <c r="C1002" s="1" t="n">
        <v>46079</v>
      </c>
      <c r="D1002" t="inlineStr">
        <is>
          <t>VÄSTERNORRLANDS LÄN</t>
        </is>
      </c>
      <c r="E1002" t="inlineStr">
        <is>
          <t>ÅNGE</t>
        </is>
      </c>
      <c r="F1002" t="inlineStr">
        <is>
          <t>SCA</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51377-2024</t>
        </is>
      </c>
      <c r="B1003" s="1" t="n">
        <v>45604.38142361111</v>
      </c>
      <c r="C1003" s="1" t="n">
        <v>46079</v>
      </c>
      <c r="D1003" t="inlineStr">
        <is>
          <t>VÄSTERNORRLANDS LÄN</t>
        </is>
      </c>
      <c r="E1003" t="inlineStr">
        <is>
          <t>ÅNGE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60860-2022</t>
        </is>
      </c>
      <c r="B1004" s="1" t="n">
        <v>44914</v>
      </c>
      <c r="C1004" s="1" t="n">
        <v>46079</v>
      </c>
      <c r="D1004" t="inlineStr">
        <is>
          <t>VÄSTERNORRLANDS LÄN</t>
        </is>
      </c>
      <c r="E1004" t="inlineStr">
        <is>
          <t>ÅNGE</t>
        </is>
      </c>
      <c r="F1004" t="inlineStr">
        <is>
          <t>Holmen skog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43237-2025</t>
        </is>
      </c>
      <c r="B1005" s="1" t="n">
        <v>45910.51670138889</v>
      </c>
      <c r="C1005" s="1" t="n">
        <v>46079</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43250-2025</t>
        </is>
      </c>
      <c r="B1006" s="1" t="n">
        <v>45910.5525462963</v>
      </c>
      <c r="C1006" s="1" t="n">
        <v>46079</v>
      </c>
      <c r="D1006" t="inlineStr">
        <is>
          <t>VÄSTERNORRLANDS LÄN</t>
        </is>
      </c>
      <c r="E1006" t="inlineStr">
        <is>
          <t>ÅNGE</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43622-2023</t>
        </is>
      </c>
      <c r="B1007" s="1" t="n">
        <v>45184.70777777778</v>
      </c>
      <c r="C1007" s="1" t="n">
        <v>46079</v>
      </c>
      <c r="D1007" t="inlineStr">
        <is>
          <t>VÄSTERNORRLANDS LÄN</t>
        </is>
      </c>
      <c r="E1007" t="inlineStr">
        <is>
          <t>ÅNGE</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43221-2025</t>
        </is>
      </c>
      <c r="B1008" s="1" t="n">
        <v>45910.47981481482</v>
      </c>
      <c r="C1008" s="1" t="n">
        <v>46079</v>
      </c>
      <c r="D1008" t="inlineStr">
        <is>
          <t>VÄSTERNORRLANDS LÄN</t>
        </is>
      </c>
      <c r="E1008" t="inlineStr">
        <is>
          <t>ÅNGE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43265-2025</t>
        </is>
      </c>
      <c r="B1009" s="1" t="n">
        <v>45910.57377314815</v>
      </c>
      <c r="C1009" s="1" t="n">
        <v>46079</v>
      </c>
      <c r="D1009" t="inlineStr">
        <is>
          <t>VÄSTERNORRLANDS LÄN</t>
        </is>
      </c>
      <c r="E1009" t="inlineStr">
        <is>
          <t>ÅNGE</t>
        </is>
      </c>
      <c r="F1009" t="inlineStr">
        <is>
          <t>SCA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43252-2025</t>
        </is>
      </c>
      <c r="B1010" s="1" t="n">
        <v>45910.55292824074</v>
      </c>
      <c r="C1010" s="1" t="n">
        <v>46079</v>
      </c>
      <c r="D1010" t="inlineStr">
        <is>
          <t>VÄSTERNORRLANDS LÄN</t>
        </is>
      </c>
      <c r="E1010" t="inlineStr">
        <is>
          <t>ÅNGE</t>
        </is>
      </c>
      <c r="F1010" t="inlineStr">
        <is>
          <t>SCA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43091-2025</t>
        </is>
      </c>
      <c r="B1011" s="1" t="n">
        <v>45909.62511574074</v>
      </c>
      <c r="C1011" s="1" t="n">
        <v>46079</v>
      </c>
      <c r="D1011" t="inlineStr">
        <is>
          <t>VÄSTERNORRLANDS LÄN</t>
        </is>
      </c>
      <c r="E1011" t="inlineStr">
        <is>
          <t>ÅNGE</t>
        </is>
      </c>
      <c r="F1011" t="inlineStr">
        <is>
          <t>Kyrkan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24458-2025</t>
        </is>
      </c>
      <c r="B1012" s="1" t="n">
        <v>45798.34476851852</v>
      </c>
      <c r="C1012" s="1" t="n">
        <v>46079</v>
      </c>
      <c r="D1012" t="inlineStr">
        <is>
          <t>VÄSTERNORRLANDS LÄN</t>
        </is>
      </c>
      <c r="E1012" t="inlineStr">
        <is>
          <t>ÅNGE</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57286-2022</t>
        </is>
      </c>
      <c r="B1013" s="1" t="n">
        <v>44895.94991898148</v>
      </c>
      <c r="C1013" s="1" t="n">
        <v>46079</v>
      </c>
      <c r="D1013" t="inlineStr">
        <is>
          <t>VÄSTERNORRLANDS LÄN</t>
        </is>
      </c>
      <c r="E1013" t="inlineStr">
        <is>
          <t>ÅNGE</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16572-2023</t>
        </is>
      </c>
      <c r="B1014" s="1" t="n">
        <v>45029.94224537037</v>
      </c>
      <c r="C1014" s="1" t="n">
        <v>46079</v>
      </c>
      <c r="D1014" t="inlineStr">
        <is>
          <t>VÄSTERNORRLANDS LÄN</t>
        </is>
      </c>
      <c r="E1014" t="inlineStr">
        <is>
          <t>ÅNGE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16365-2023</t>
        </is>
      </c>
      <c r="B1015" s="1" t="n">
        <v>45028</v>
      </c>
      <c r="C1015" s="1" t="n">
        <v>46079</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43077-2025</t>
        </is>
      </c>
      <c r="B1016" s="1" t="n">
        <v>45909.6046412037</v>
      </c>
      <c r="C1016" s="1" t="n">
        <v>46079</v>
      </c>
      <c r="D1016" t="inlineStr">
        <is>
          <t>VÄSTERNORRLANDS LÄN</t>
        </is>
      </c>
      <c r="E1016" t="inlineStr">
        <is>
          <t>ÅNGE</t>
        </is>
      </c>
      <c r="F1016" t="inlineStr">
        <is>
          <t>Kyrkan</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29390-2021</t>
        </is>
      </c>
      <c r="B1017" s="1" t="n">
        <v>44361</v>
      </c>
      <c r="C1017" s="1" t="n">
        <v>46079</v>
      </c>
      <c r="D1017" t="inlineStr">
        <is>
          <t>VÄSTERNORRLANDS LÄN</t>
        </is>
      </c>
      <c r="E1017" t="inlineStr">
        <is>
          <t>ÅNGE</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30054-2024</t>
        </is>
      </c>
      <c r="B1018" s="1" t="n">
        <v>45488.94758101852</v>
      </c>
      <c r="C1018" s="1" t="n">
        <v>46079</v>
      </c>
      <c r="D1018" t="inlineStr">
        <is>
          <t>VÄSTERNORRLANDS LÄN</t>
        </is>
      </c>
      <c r="E1018" t="inlineStr">
        <is>
          <t>ÅNGE</t>
        </is>
      </c>
      <c r="F1018" t="inlineStr">
        <is>
          <t>SCA</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24063-2023</t>
        </is>
      </c>
      <c r="B1019" s="1" t="n">
        <v>45078.94140046297</v>
      </c>
      <c r="C1019" s="1" t="n">
        <v>46079</v>
      </c>
      <c r="D1019" t="inlineStr">
        <is>
          <t>VÄSTERNORRLANDS LÄN</t>
        </is>
      </c>
      <c r="E1019" t="inlineStr">
        <is>
          <t>ÅNGE</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24357-2025</t>
        </is>
      </c>
      <c r="B1020" s="1" t="n">
        <v>45797.59467592592</v>
      </c>
      <c r="C1020" s="1" t="n">
        <v>46079</v>
      </c>
      <c r="D1020" t="inlineStr">
        <is>
          <t>VÄSTERNORRLANDS LÄN</t>
        </is>
      </c>
      <c r="E1020" t="inlineStr">
        <is>
          <t>ÅNGE</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43385-2025</t>
        </is>
      </c>
      <c r="B1021" s="1" t="n">
        <v>45911.36508101852</v>
      </c>
      <c r="C1021" s="1" t="n">
        <v>46079</v>
      </c>
      <c r="D1021" t="inlineStr">
        <is>
          <t>VÄSTERNORRLANDS LÄN</t>
        </is>
      </c>
      <c r="E1021" t="inlineStr">
        <is>
          <t>ÅNGE</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43707-2025</t>
        </is>
      </c>
      <c r="B1022" s="1" t="n">
        <v>45912.40668981482</v>
      </c>
      <c r="C1022" s="1" t="n">
        <v>46079</v>
      </c>
      <c r="D1022" t="inlineStr">
        <is>
          <t>VÄSTERNORRLANDS LÄN</t>
        </is>
      </c>
      <c r="E1022" t="inlineStr">
        <is>
          <t>ÅNGE</t>
        </is>
      </c>
      <c r="F1022" t="inlineStr">
        <is>
          <t>SCA</t>
        </is>
      </c>
      <c r="G1022" t="n">
        <v>12.5</v>
      </c>
      <c r="H1022" t="n">
        <v>0</v>
      </c>
      <c r="I1022" t="n">
        <v>0</v>
      </c>
      <c r="J1022" t="n">
        <v>0</v>
      </c>
      <c r="K1022" t="n">
        <v>0</v>
      </c>
      <c r="L1022" t="n">
        <v>0</v>
      </c>
      <c r="M1022" t="n">
        <v>0</v>
      </c>
      <c r="N1022" t="n">
        <v>0</v>
      </c>
      <c r="O1022" t="n">
        <v>0</v>
      </c>
      <c r="P1022" t="n">
        <v>0</v>
      </c>
      <c r="Q1022" t="n">
        <v>0</v>
      </c>
      <c r="R1022" s="2" t="inlineStr"/>
      <c r="U1022">
        <f>HYPERLINK("https://klasma.github.io/Logging_2260/knärot/A 43707-2025 karta knärot.png", "A 43707-2025")</f>
        <v/>
      </c>
      <c r="V1022">
        <f>HYPERLINK("https://klasma.github.io/Logging_2260/klagomål/A 43707-2025 FSC-klagomål.docx", "A 43707-2025")</f>
        <v/>
      </c>
      <c r="W1022">
        <f>HYPERLINK("https://klasma.github.io/Logging_2260/klagomålsmail/A 43707-2025 FSC-klagomål mail.docx", "A 43707-2025")</f>
        <v/>
      </c>
      <c r="X1022">
        <f>HYPERLINK("https://klasma.github.io/Logging_2260/tillsyn/A 43707-2025 tillsynsbegäran.docx", "A 43707-2025")</f>
        <v/>
      </c>
      <c r="Y1022">
        <f>HYPERLINK("https://klasma.github.io/Logging_2260/tillsynsmail/A 43707-2025 tillsynsbegäran mail.docx", "A 43707-2025")</f>
        <v/>
      </c>
    </row>
    <row r="1023" ht="15" customHeight="1">
      <c r="A1023" t="inlineStr">
        <is>
          <t>A 43415-2025</t>
        </is>
      </c>
      <c r="B1023" s="1" t="n">
        <v>45911.40662037037</v>
      </c>
      <c r="C1023" s="1" t="n">
        <v>46079</v>
      </c>
      <c r="D1023" t="inlineStr">
        <is>
          <t>VÄSTERNORRLANDS LÄN</t>
        </is>
      </c>
      <c r="E1023" t="inlineStr">
        <is>
          <t>ÅNGE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24207-2025</t>
        </is>
      </c>
      <c r="B1024" s="1" t="n">
        <v>45797.34439814815</v>
      </c>
      <c r="C1024" s="1" t="n">
        <v>46079</v>
      </c>
      <c r="D1024" t="inlineStr">
        <is>
          <t>VÄSTERNORRLANDS LÄN</t>
        </is>
      </c>
      <c r="E1024" t="inlineStr">
        <is>
          <t>ÅNGE</t>
        </is>
      </c>
      <c r="F1024" t="inlineStr">
        <is>
          <t>SCA</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24292-2025</t>
        </is>
      </c>
      <c r="B1025" s="1" t="n">
        <v>45797.46657407407</v>
      </c>
      <c r="C1025" s="1" t="n">
        <v>46079</v>
      </c>
      <c r="D1025" t="inlineStr">
        <is>
          <t>VÄSTERNORRLANDS LÄN</t>
        </is>
      </c>
      <c r="E1025" t="inlineStr">
        <is>
          <t>ÅNGE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4142-2024</t>
        </is>
      </c>
      <c r="B1026" s="1" t="n">
        <v>45323</v>
      </c>
      <c r="C1026" s="1" t="n">
        <v>46079</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27853-2024</t>
        </is>
      </c>
      <c r="B1027" s="1" t="n">
        <v>45475</v>
      </c>
      <c r="C1027" s="1" t="n">
        <v>46079</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43389-2025</t>
        </is>
      </c>
      <c r="B1028" s="1" t="n">
        <v>45911.36560185185</v>
      </c>
      <c r="C1028" s="1" t="n">
        <v>46079</v>
      </c>
      <c r="D1028" t="inlineStr">
        <is>
          <t>VÄSTERNORRLANDS LÄN</t>
        </is>
      </c>
      <c r="E1028" t="inlineStr">
        <is>
          <t>ÅNGE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10781-2024</t>
        </is>
      </c>
      <c r="B1029" s="1" t="n">
        <v>45369.59635416666</v>
      </c>
      <c r="C1029" s="1" t="n">
        <v>46079</v>
      </c>
      <c r="D1029" t="inlineStr">
        <is>
          <t>VÄSTERNORRLANDS LÄN</t>
        </is>
      </c>
      <c r="E1029" t="inlineStr">
        <is>
          <t>ÅNGE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43546-2025</t>
        </is>
      </c>
      <c r="B1030" s="1" t="n">
        <v>45911.6153125</v>
      </c>
      <c r="C1030" s="1" t="n">
        <v>46079</v>
      </c>
      <c r="D1030" t="inlineStr">
        <is>
          <t>VÄSTERNORRLANDS LÄN</t>
        </is>
      </c>
      <c r="E1030" t="inlineStr">
        <is>
          <t>ÅNGE</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20255-2023</t>
        </is>
      </c>
      <c r="B1031" s="1" t="n">
        <v>45055</v>
      </c>
      <c r="C1031" s="1" t="n">
        <v>46079</v>
      </c>
      <c r="D1031" t="inlineStr">
        <is>
          <t>VÄSTERNORRLANDS LÄN</t>
        </is>
      </c>
      <c r="E1031" t="inlineStr">
        <is>
          <t>ÅNGE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24627-2025</t>
        </is>
      </c>
      <c r="B1032" s="1" t="n">
        <v>45798.59471064815</v>
      </c>
      <c r="C1032" s="1" t="n">
        <v>46079</v>
      </c>
      <c r="D1032" t="inlineStr">
        <is>
          <t>VÄSTERNORRLANDS LÄN</t>
        </is>
      </c>
      <c r="E1032" t="inlineStr">
        <is>
          <t>ÅNGE</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24209-2025</t>
        </is>
      </c>
      <c r="B1033" s="1" t="n">
        <v>45797.3446875</v>
      </c>
      <c r="C1033" s="1" t="n">
        <v>46079</v>
      </c>
      <c r="D1033" t="inlineStr">
        <is>
          <t>VÄSTERNORRLANDS LÄN</t>
        </is>
      </c>
      <c r="E1033" t="inlineStr">
        <is>
          <t>ÅNGE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24232-2025</t>
        </is>
      </c>
      <c r="B1034" s="1" t="n">
        <v>45797.37846064815</v>
      </c>
      <c r="C1034" s="1" t="n">
        <v>46079</v>
      </c>
      <c r="D1034" t="inlineStr">
        <is>
          <t>VÄSTERNORRLANDS LÄN</t>
        </is>
      </c>
      <c r="E1034" t="inlineStr">
        <is>
          <t>ÅNGE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43386-2025</t>
        </is>
      </c>
      <c r="B1035" s="1" t="n">
        <v>45911.36520833334</v>
      </c>
      <c r="C1035" s="1" t="n">
        <v>46079</v>
      </c>
      <c r="D1035" t="inlineStr">
        <is>
          <t>VÄSTERNORRLANDS LÄN</t>
        </is>
      </c>
      <c r="E1035" t="inlineStr">
        <is>
          <t>ÅNGE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25340-2025</t>
        </is>
      </c>
      <c r="B1036" s="1" t="n">
        <v>45800.60074074074</v>
      </c>
      <c r="C1036" s="1" t="n">
        <v>46079</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25273-2025</t>
        </is>
      </c>
      <c r="B1037" s="1" t="n">
        <v>45800.55253472222</v>
      </c>
      <c r="C1037" s="1" t="n">
        <v>46079</v>
      </c>
      <c r="D1037" t="inlineStr">
        <is>
          <t>VÄSTERNORRLANDS LÄN</t>
        </is>
      </c>
      <c r="E1037" t="inlineStr">
        <is>
          <t>ÅNGE</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25352-2025</t>
        </is>
      </c>
      <c r="B1038" s="1" t="n">
        <v>45800.61552083334</v>
      </c>
      <c r="C1038" s="1" t="n">
        <v>46079</v>
      </c>
      <c r="D1038" t="inlineStr">
        <is>
          <t>VÄSTERNORRLANDS LÄN</t>
        </is>
      </c>
      <c r="E1038" t="inlineStr">
        <is>
          <t>ÅNGE</t>
        </is>
      </c>
      <c r="F1038" t="inlineStr">
        <is>
          <t>SCA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51054-2024</t>
        </is>
      </c>
      <c r="B1039" s="1" t="n">
        <v>45603</v>
      </c>
      <c r="C1039" s="1" t="n">
        <v>46079</v>
      </c>
      <c r="D1039" t="inlineStr">
        <is>
          <t>VÄSTERNORRLANDS LÄN</t>
        </is>
      </c>
      <c r="E1039" t="inlineStr">
        <is>
          <t>ÅNGE</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25017-2025</t>
        </is>
      </c>
      <c r="B1040" s="1" t="n">
        <v>45799.63791666667</v>
      </c>
      <c r="C1040" s="1" t="n">
        <v>46079</v>
      </c>
      <c r="D1040" t="inlineStr">
        <is>
          <t>VÄSTERNORRLANDS LÄN</t>
        </is>
      </c>
      <c r="E1040" t="inlineStr">
        <is>
          <t>ÅNGE</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54429-2024</t>
        </is>
      </c>
      <c r="B1041" s="1" t="n">
        <v>45617.49087962963</v>
      </c>
      <c r="C1041" s="1" t="n">
        <v>46079</v>
      </c>
      <c r="D1041" t="inlineStr">
        <is>
          <t>VÄSTERNORRLANDS LÄN</t>
        </is>
      </c>
      <c r="E1041" t="inlineStr">
        <is>
          <t>ÅNGE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25241-2025</t>
        </is>
      </c>
      <c r="B1042" s="1" t="n">
        <v>45800.49053240741</v>
      </c>
      <c r="C1042" s="1" t="n">
        <v>46079</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25274-2025</t>
        </is>
      </c>
      <c r="B1043" s="1" t="n">
        <v>45800.55276620371</v>
      </c>
      <c r="C1043" s="1" t="n">
        <v>46079</v>
      </c>
      <c r="D1043" t="inlineStr">
        <is>
          <t>VÄSTERNORRLANDS LÄN</t>
        </is>
      </c>
      <c r="E1043" t="inlineStr">
        <is>
          <t>ÅNGE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51059-2024</t>
        </is>
      </c>
      <c r="B1044" s="1" t="n">
        <v>45603</v>
      </c>
      <c r="C1044" s="1" t="n">
        <v>46079</v>
      </c>
      <c r="D1044" t="inlineStr">
        <is>
          <t>VÄSTERNORRLANDS LÄN</t>
        </is>
      </c>
      <c r="E1044" t="inlineStr">
        <is>
          <t>ÅNGE</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53856-2024</t>
        </is>
      </c>
      <c r="B1045" s="1" t="n">
        <v>45615</v>
      </c>
      <c r="C1045" s="1" t="n">
        <v>46079</v>
      </c>
      <c r="D1045" t="inlineStr">
        <is>
          <t>VÄSTERNORRLANDS LÄN</t>
        </is>
      </c>
      <c r="E1045" t="inlineStr">
        <is>
          <t>ÅNGE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44165-2025</t>
        </is>
      </c>
      <c r="B1046" s="1" t="n">
        <v>45915.59840277778</v>
      </c>
      <c r="C1046" s="1" t="n">
        <v>46079</v>
      </c>
      <c r="D1046" t="inlineStr">
        <is>
          <t>VÄSTERNORRLANDS LÄN</t>
        </is>
      </c>
      <c r="E1046" t="inlineStr">
        <is>
          <t>ÅNGE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24852-2025</t>
        </is>
      </c>
      <c r="B1047" s="1" t="n">
        <v>45799.46975694445</v>
      </c>
      <c r="C1047" s="1" t="n">
        <v>46079</v>
      </c>
      <c r="D1047" t="inlineStr">
        <is>
          <t>VÄSTERNORRLANDS LÄN</t>
        </is>
      </c>
      <c r="E1047" t="inlineStr">
        <is>
          <t>ÅNGE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24847-2025</t>
        </is>
      </c>
      <c r="B1048" s="1" t="n">
        <v>45799.46907407408</v>
      </c>
      <c r="C1048" s="1" t="n">
        <v>46079</v>
      </c>
      <c r="D1048" t="inlineStr">
        <is>
          <t>VÄSTERNORRLANDS LÄN</t>
        </is>
      </c>
      <c r="E1048" t="inlineStr">
        <is>
          <t>ÅNGE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25067-2025</t>
        </is>
      </c>
      <c r="B1049" s="1" t="n">
        <v>45799.71908564815</v>
      </c>
      <c r="C1049" s="1" t="n">
        <v>46079</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44919-2025</t>
        </is>
      </c>
      <c r="B1050" s="1" t="n">
        <v>45918.55246527777</v>
      </c>
      <c r="C1050" s="1" t="n">
        <v>46079</v>
      </c>
      <c r="D1050" t="inlineStr">
        <is>
          <t>VÄSTERNORRLANDS LÄN</t>
        </is>
      </c>
      <c r="E1050" t="inlineStr">
        <is>
          <t>ÅNGE</t>
        </is>
      </c>
      <c r="F1050" t="inlineStr">
        <is>
          <t>SCA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44935-2025</t>
        </is>
      </c>
      <c r="B1051" s="1" t="n">
        <v>45918.57392361111</v>
      </c>
      <c r="C1051" s="1" t="n">
        <v>46079</v>
      </c>
      <c r="D1051" t="inlineStr">
        <is>
          <t>VÄSTERNORRLANDS LÄN</t>
        </is>
      </c>
      <c r="E1051" t="inlineStr">
        <is>
          <t>ÅNGE</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25532-2025</t>
        </is>
      </c>
      <c r="B1052" s="1" t="n">
        <v>45803.4065162037</v>
      </c>
      <c r="C1052" s="1" t="n">
        <v>46079</v>
      </c>
      <c r="D1052" t="inlineStr">
        <is>
          <t>VÄSTERNORRLANDS LÄN</t>
        </is>
      </c>
      <c r="E1052" t="inlineStr">
        <is>
          <t>ÅNGE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25810-2025</t>
        </is>
      </c>
      <c r="B1053" s="1" t="n">
        <v>45804.42083333333</v>
      </c>
      <c r="C1053" s="1" t="n">
        <v>46079</v>
      </c>
      <c r="D1053" t="inlineStr">
        <is>
          <t>VÄSTERNORRLANDS LÄN</t>
        </is>
      </c>
      <c r="E1053" t="inlineStr">
        <is>
          <t>ÅNGE</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31863-2024</t>
        </is>
      </c>
      <c r="B1054" s="1" t="n">
        <v>45509.74121527778</v>
      </c>
      <c r="C1054" s="1" t="n">
        <v>46079</v>
      </c>
      <c r="D1054" t="inlineStr">
        <is>
          <t>VÄSTERNORRLANDS LÄN</t>
        </is>
      </c>
      <c r="E1054" t="inlineStr">
        <is>
          <t>ÅNGE</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53651-2023</t>
        </is>
      </c>
      <c r="B1055" s="1" t="n">
        <v>45230.60815972222</v>
      </c>
      <c r="C1055" s="1" t="n">
        <v>46079</v>
      </c>
      <c r="D1055" t="inlineStr">
        <is>
          <t>VÄSTERNORRLANDS LÄN</t>
        </is>
      </c>
      <c r="E1055" t="inlineStr">
        <is>
          <t>ÅNGE</t>
        </is>
      </c>
      <c r="F1055" t="inlineStr">
        <is>
          <t>Holmen skog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24552-2023</t>
        </is>
      </c>
      <c r="B1056" s="1" t="n">
        <v>45082.94226851852</v>
      </c>
      <c r="C1056" s="1" t="n">
        <v>46079</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36492-2023</t>
        </is>
      </c>
      <c r="B1057" s="1" t="n">
        <v>45152.92479166666</v>
      </c>
      <c r="C1057" s="1" t="n">
        <v>46079</v>
      </c>
      <c r="D1057" t="inlineStr">
        <is>
          <t>VÄSTERNORRLANDS LÄN</t>
        </is>
      </c>
      <c r="E1057" t="inlineStr">
        <is>
          <t>ÅNGE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45403-2025</t>
        </is>
      </c>
      <c r="B1058" s="1" t="n">
        <v>45922.42803240741</v>
      </c>
      <c r="C1058" s="1" t="n">
        <v>46079</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45404-2025</t>
        </is>
      </c>
      <c r="B1059" s="1" t="n">
        <v>45922.42820601852</v>
      </c>
      <c r="C1059" s="1" t="n">
        <v>46079</v>
      </c>
      <c r="D1059" t="inlineStr">
        <is>
          <t>VÄSTERNORRLANDS LÄN</t>
        </is>
      </c>
      <c r="E1059" t="inlineStr">
        <is>
          <t>ÅNGE</t>
        </is>
      </c>
      <c r="F1059" t="inlineStr">
        <is>
          <t>SCA</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36877-2024</t>
        </is>
      </c>
      <c r="B1060" s="1" t="n">
        <v>45538.59418981482</v>
      </c>
      <c r="C1060" s="1" t="n">
        <v>46079</v>
      </c>
      <c r="D1060" t="inlineStr">
        <is>
          <t>VÄSTERNORRLANDS LÄN</t>
        </is>
      </c>
      <c r="E1060" t="inlineStr">
        <is>
          <t>ÅNGE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25499-2025</t>
        </is>
      </c>
      <c r="B1061" s="1" t="n">
        <v>45803.344375</v>
      </c>
      <c r="C1061" s="1" t="n">
        <v>46079</v>
      </c>
      <c r="D1061" t="inlineStr">
        <is>
          <t>VÄSTERNORRLANDS LÄN</t>
        </is>
      </c>
      <c r="E1061" t="inlineStr">
        <is>
          <t>ÅNGE</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25772-2025</t>
        </is>
      </c>
      <c r="B1062" s="1" t="n">
        <v>45804.34520833333</v>
      </c>
      <c r="C1062" s="1" t="n">
        <v>46079</v>
      </c>
      <c r="D1062" t="inlineStr">
        <is>
          <t>VÄSTERNORRLANDS LÄN</t>
        </is>
      </c>
      <c r="E1062" t="inlineStr">
        <is>
          <t>ÅNGE</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8650-2024</t>
        </is>
      </c>
      <c r="B1063" s="1" t="n">
        <v>45356</v>
      </c>
      <c r="C1063" s="1" t="n">
        <v>46079</v>
      </c>
      <c r="D1063" t="inlineStr">
        <is>
          <t>VÄSTERNORRLANDS LÄN</t>
        </is>
      </c>
      <c r="E1063" t="inlineStr">
        <is>
          <t>ÅNGE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45401-2025</t>
        </is>
      </c>
      <c r="B1064" s="1" t="n">
        <v>45922.42767361111</v>
      </c>
      <c r="C1064" s="1" t="n">
        <v>46079</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15863-2022</t>
        </is>
      </c>
      <c r="B1065" s="1" t="n">
        <v>44664</v>
      </c>
      <c r="C1065" s="1" t="n">
        <v>46079</v>
      </c>
      <c r="D1065" t="inlineStr">
        <is>
          <t>VÄSTERNORRLANDS LÄN</t>
        </is>
      </c>
      <c r="E1065" t="inlineStr">
        <is>
          <t>ÅNGE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26193-2025</t>
        </is>
      </c>
      <c r="B1066" s="1" t="n">
        <v>45805.48922453704</v>
      </c>
      <c r="C1066" s="1" t="n">
        <v>46079</v>
      </c>
      <c r="D1066" t="inlineStr">
        <is>
          <t>VÄSTERNORRLANDS LÄN</t>
        </is>
      </c>
      <c r="E1066" t="inlineStr">
        <is>
          <t>ÅNGE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26388-2025</t>
        </is>
      </c>
      <c r="B1067" s="1" t="n">
        <v>45806.51069444444</v>
      </c>
      <c r="C1067" s="1" t="n">
        <v>46079</v>
      </c>
      <c r="D1067" t="inlineStr">
        <is>
          <t>VÄSTERNORRLANDS LÄN</t>
        </is>
      </c>
      <c r="E1067" t="inlineStr">
        <is>
          <t>ÅNGE</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26365-2025</t>
        </is>
      </c>
      <c r="B1068" s="1" t="n">
        <v>45806.34412037037</v>
      </c>
      <c r="C1068" s="1" t="n">
        <v>46079</v>
      </c>
      <c r="D1068" t="inlineStr">
        <is>
          <t>VÄSTERNORRLANDS LÄN</t>
        </is>
      </c>
      <c r="E1068" t="inlineStr">
        <is>
          <t>ÅNGE</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45875-2025</t>
        </is>
      </c>
      <c r="B1069" s="1" t="n">
        <v>45923.65690972222</v>
      </c>
      <c r="C1069" s="1" t="n">
        <v>46079</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26389-2025</t>
        </is>
      </c>
      <c r="B1070" s="1" t="n">
        <v>45806.51078703703</v>
      </c>
      <c r="C1070" s="1" t="n">
        <v>46079</v>
      </c>
      <c r="D1070" t="inlineStr">
        <is>
          <t>VÄSTERNORRLANDS LÄN</t>
        </is>
      </c>
      <c r="E1070" t="inlineStr">
        <is>
          <t>ÅNGE</t>
        </is>
      </c>
      <c r="F1070" t="inlineStr">
        <is>
          <t>SCA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21262-2025</t>
        </is>
      </c>
      <c r="B1071" s="1" t="n">
        <v>45779</v>
      </c>
      <c r="C1071" s="1" t="n">
        <v>46079</v>
      </c>
      <c r="D1071" t="inlineStr">
        <is>
          <t>VÄSTERNORRLANDS LÄN</t>
        </is>
      </c>
      <c r="E1071" t="inlineStr">
        <is>
          <t>ÅNGE</t>
        </is>
      </c>
      <c r="F1071" t="inlineStr">
        <is>
          <t>Sveaskog</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26366-2025</t>
        </is>
      </c>
      <c r="B1072" s="1" t="n">
        <v>45806.34424768519</v>
      </c>
      <c r="C1072" s="1" t="n">
        <v>46079</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45660-2025</t>
        </is>
      </c>
      <c r="B1073" s="1" t="n">
        <v>45923.34494212963</v>
      </c>
      <c r="C1073" s="1" t="n">
        <v>46079</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46111-2025</t>
        </is>
      </c>
      <c r="B1074" s="1" t="n">
        <v>45924.56684027778</v>
      </c>
      <c r="C1074" s="1" t="n">
        <v>46079</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46109-2025</t>
        </is>
      </c>
      <c r="B1075" s="1" t="n">
        <v>45924.5596412037</v>
      </c>
      <c r="C1075" s="1" t="n">
        <v>46079</v>
      </c>
      <c r="D1075" t="inlineStr">
        <is>
          <t>VÄSTERNORRLANDS LÄN</t>
        </is>
      </c>
      <c r="E1075" t="inlineStr">
        <is>
          <t>ÅNGE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26655-2025</t>
        </is>
      </c>
      <c r="B1076" s="1" t="n">
        <v>45810.39047453704</v>
      </c>
      <c r="C1076" s="1" t="n">
        <v>46079</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45659-2025</t>
        </is>
      </c>
      <c r="B1077" s="1" t="n">
        <v>45923.34471064815</v>
      </c>
      <c r="C1077" s="1" t="n">
        <v>46079</v>
      </c>
      <c r="D1077" t="inlineStr">
        <is>
          <t>VÄSTERNORRLANDS LÄN</t>
        </is>
      </c>
      <c r="E1077" t="inlineStr">
        <is>
          <t>ÅNGE</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45970-2025</t>
        </is>
      </c>
      <c r="B1078" s="1" t="n">
        <v>45924.36519675926</v>
      </c>
      <c r="C1078" s="1" t="n">
        <v>46079</v>
      </c>
      <c r="D1078" t="inlineStr">
        <is>
          <t>VÄSTERNORRLANDS LÄN</t>
        </is>
      </c>
      <c r="E1078" t="inlineStr">
        <is>
          <t>ÅNGE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25973-2022</t>
        </is>
      </c>
      <c r="B1079" s="1" t="n">
        <v>44734</v>
      </c>
      <c r="C1079" s="1" t="n">
        <v>46079</v>
      </c>
      <c r="D1079" t="inlineStr">
        <is>
          <t>VÄSTERNORRLANDS LÄN</t>
        </is>
      </c>
      <c r="E1079" t="inlineStr">
        <is>
          <t>ÅNGE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56569-2024</t>
        </is>
      </c>
      <c r="B1080" s="1" t="n">
        <v>45625</v>
      </c>
      <c r="C1080" s="1" t="n">
        <v>46079</v>
      </c>
      <c r="D1080" t="inlineStr">
        <is>
          <t>VÄSTERNORRLANDS LÄN</t>
        </is>
      </c>
      <c r="E1080" t="inlineStr">
        <is>
          <t>ÅNGE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46267-2025</t>
        </is>
      </c>
      <c r="B1081" s="1" t="n">
        <v>45925.36578703704</v>
      </c>
      <c r="C1081" s="1" t="n">
        <v>46079</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26608-2025</t>
        </is>
      </c>
      <c r="B1082" s="1" t="n">
        <v>45809.98600694445</v>
      </c>
      <c r="C1082" s="1" t="n">
        <v>46079</v>
      </c>
      <c r="D1082" t="inlineStr">
        <is>
          <t>VÄSTERNORRLANDS LÄN</t>
        </is>
      </c>
      <c r="E1082" t="inlineStr">
        <is>
          <t>ÅNGE</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57529-2024</t>
        </is>
      </c>
      <c r="B1083" s="1" t="n">
        <v>45630</v>
      </c>
      <c r="C1083" s="1" t="n">
        <v>46079</v>
      </c>
      <c r="D1083" t="inlineStr">
        <is>
          <t>VÄSTERNORRLANDS LÄN</t>
        </is>
      </c>
      <c r="E1083" t="inlineStr">
        <is>
          <t>ÅNGE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4872-2025</t>
        </is>
      </c>
      <c r="B1084" s="1" t="n">
        <v>45688.67619212963</v>
      </c>
      <c r="C1084" s="1" t="n">
        <v>46079</v>
      </c>
      <c r="D1084" t="inlineStr">
        <is>
          <t>VÄSTERNORRLANDS LÄN</t>
        </is>
      </c>
      <c r="E1084" t="inlineStr">
        <is>
          <t>ÅNGE</t>
        </is>
      </c>
      <c r="F1084" t="inlineStr">
        <is>
          <t>SCA</t>
        </is>
      </c>
      <c r="G1084" t="n">
        <v>31.3</v>
      </c>
      <c r="H1084" t="n">
        <v>0</v>
      </c>
      <c r="I1084" t="n">
        <v>0</v>
      </c>
      <c r="J1084" t="n">
        <v>0</v>
      </c>
      <c r="K1084" t="n">
        <v>0</v>
      </c>
      <c r="L1084" t="n">
        <v>0</v>
      </c>
      <c r="M1084" t="n">
        <v>0</v>
      </c>
      <c r="N1084" t="n">
        <v>0</v>
      </c>
      <c r="O1084" t="n">
        <v>0</v>
      </c>
      <c r="P1084" t="n">
        <v>0</v>
      </c>
      <c r="Q1084" t="n">
        <v>0</v>
      </c>
      <c r="R1084" s="2" t="inlineStr"/>
      <c r="U1084">
        <f>HYPERLINK("https://klasma.github.io/Logging_2260/knärot/A 4872-2025 karta knärot.png", "A 4872-2025")</f>
        <v/>
      </c>
      <c r="V1084">
        <f>HYPERLINK("https://klasma.github.io/Logging_2260/klagomål/A 4872-2025 FSC-klagomål.docx", "A 4872-2025")</f>
        <v/>
      </c>
      <c r="W1084">
        <f>HYPERLINK("https://klasma.github.io/Logging_2260/klagomålsmail/A 4872-2025 FSC-klagomål mail.docx", "A 4872-2025")</f>
        <v/>
      </c>
      <c r="X1084">
        <f>HYPERLINK("https://klasma.github.io/Logging_2260/tillsyn/A 4872-2025 tillsynsbegäran.docx", "A 4872-2025")</f>
        <v/>
      </c>
      <c r="Y1084">
        <f>HYPERLINK("https://klasma.github.io/Logging_2260/tillsynsmail/A 4872-2025 tillsynsbegäran mail.docx", "A 4872-2025")</f>
        <v/>
      </c>
    </row>
    <row r="1085" ht="15" customHeight="1">
      <c r="A1085" t="inlineStr">
        <is>
          <t>A 42242-2023</t>
        </is>
      </c>
      <c r="B1085" s="1" t="n">
        <v>45180.35025462963</v>
      </c>
      <c r="C1085" s="1" t="n">
        <v>46079</v>
      </c>
      <c r="D1085" t="inlineStr">
        <is>
          <t>VÄSTERNORRLANDS LÄN</t>
        </is>
      </c>
      <c r="E1085" t="inlineStr">
        <is>
          <t>ÅNGE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46419-2025</t>
        </is>
      </c>
      <c r="B1086" s="1" t="n">
        <v>45925.5949537037</v>
      </c>
      <c r="C1086" s="1" t="n">
        <v>46079</v>
      </c>
      <c r="D1086" t="inlineStr">
        <is>
          <t>VÄSTERNORRLANDS LÄN</t>
        </is>
      </c>
      <c r="E1086" t="inlineStr">
        <is>
          <t>ÅNGE</t>
        </is>
      </c>
      <c r="F1086" t="inlineStr">
        <is>
          <t>SCA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16973-2025</t>
        </is>
      </c>
      <c r="B1087" s="1" t="n">
        <v>45755.46967592592</v>
      </c>
      <c r="C1087" s="1" t="n">
        <v>46079</v>
      </c>
      <c r="D1087" t="inlineStr">
        <is>
          <t>VÄSTERNORRLANDS LÄN</t>
        </is>
      </c>
      <c r="E1087" t="inlineStr">
        <is>
          <t>ÅNGE</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46416-2025</t>
        </is>
      </c>
      <c r="B1088" s="1" t="n">
        <v>45925.594375</v>
      </c>
      <c r="C1088" s="1" t="n">
        <v>46079</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36790-2023</t>
        </is>
      </c>
      <c r="B1089" s="1" t="n">
        <v>45154.36418981481</v>
      </c>
      <c r="C1089" s="1" t="n">
        <v>46079</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48632-2023</t>
        </is>
      </c>
      <c r="B1090" s="1" t="n">
        <v>45208.57944444445</v>
      </c>
      <c r="C1090" s="1" t="n">
        <v>46079</v>
      </c>
      <c r="D1090" t="inlineStr">
        <is>
          <t>VÄSTERNORRLANDS LÄN</t>
        </is>
      </c>
      <c r="E1090" t="inlineStr">
        <is>
          <t>ÅNGE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26734-2025</t>
        </is>
      </c>
      <c r="B1091" s="1" t="n">
        <v>45810.51087962963</v>
      </c>
      <c r="C1091" s="1" t="n">
        <v>46079</v>
      </c>
      <c r="D1091" t="inlineStr">
        <is>
          <t>VÄSTERNORRLANDS LÄN</t>
        </is>
      </c>
      <c r="E1091" t="inlineStr">
        <is>
          <t>ÅNGE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47440-2025</t>
        </is>
      </c>
      <c r="B1092" s="1" t="n">
        <v>45930.63766203704</v>
      </c>
      <c r="C1092" s="1" t="n">
        <v>46079</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47118-2025</t>
        </is>
      </c>
      <c r="B1093" s="1" t="n">
        <v>45929.67770833334</v>
      </c>
      <c r="C1093" s="1" t="n">
        <v>46079</v>
      </c>
      <c r="D1093" t="inlineStr">
        <is>
          <t>VÄSTERNORRLANDS LÄN</t>
        </is>
      </c>
      <c r="E1093" t="inlineStr">
        <is>
          <t>ÅNGE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47196-2025</t>
        </is>
      </c>
      <c r="B1094" s="1" t="n">
        <v>45930.34520833333</v>
      </c>
      <c r="C1094" s="1" t="n">
        <v>46079</v>
      </c>
      <c r="D1094" t="inlineStr">
        <is>
          <t>VÄSTERNORRLANDS LÄN</t>
        </is>
      </c>
      <c r="E1094" t="inlineStr">
        <is>
          <t>ÅNGE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27023-2025</t>
        </is>
      </c>
      <c r="B1095" s="1" t="n">
        <v>45811.57342592593</v>
      </c>
      <c r="C1095" s="1" t="n">
        <v>46079</v>
      </c>
      <c r="D1095" t="inlineStr">
        <is>
          <t>VÄSTERNORRLANDS LÄN</t>
        </is>
      </c>
      <c r="E1095" t="inlineStr">
        <is>
          <t>ÅNGE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27164-2025</t>
        </is>
      </c>
      <c r="B1096" s="1" t="n">
        <v>45812.34430555555</v>
      </c>
      <c r="C1096" s="1" t="n">
        <v>46079</v>
      </c>
      <c r="D1096" t="inlineStr">
        <is>
          <t>VÄSTERNORRLANDS LÄN</t>
        </is>
      </c>
      <c r="E1096" t="inlineStr">
        <is>
          <t>ÅNGE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8747-2022</t>
        </is>
      </c>
      <c r="B1097" s="1" t="n">
        <v>44614.33912037037</v>
      </c>
      <c r="C1097" s="1" t="n">
        <v>46079</v>
      </c>
      <c r="D1097" t="inlineStr">
        <is>
          <t>VÄSTERNORRLANDS LÄN</t>
        </is>
      </c>
      <c r="E1097" t="inlineStr">
        <is>
          <t>ÅNGE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26901-2025</t>
        </is>
      </c>
      <c r="B1098" s="1" t="n">
        <v>45811.34457175926</v>
      </c>
      <c r="C1098" s="1" t="n">
        <v>46079</v>
      </c>
      <c r="D1098" t="inlineStr">
        <is>
          <t>VÄSTERNORRLANDS LÄN</t>
        </is>
      </c>
      <c r="E1098" t="inlineStr">
        <is>
          <t>ÅNGE</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46829-2025</t>
        </is>
      </c>
      <c r="B1099" s="1" t="n">
        <v>45927.34513888889</v>
      </c>
      <c r="C1099" s="1" t="n">
        <v>46079</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33750-2024</t>
        </is>
      </c>
      <c r="B1100" s="1" t="n">
        <v>45520.56475694444</v>
      </c>
      <c r="C1100" s="1" t="n">
        <v>46079</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14888-2022</t>
        </is>
      </c>
      <c r="B1101" s="1" t="n">
        <v>44656</v>
      </c>
      <c r="C1101" s="1" t="n">
        <v>46079</v>
      </c>
      <c r="D1101" t="inlineStr">
        <is>
          <t>VÄSTERNORRLANDS LÄN</t>
        </is>
      </c>
      <c r="E1101" t="inlineStr">
        <is>
          <t>ÅNGE</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47488-2025</t>
        </is>
      </c>
      <c r="B1102" s="1" t="n">
        <v>45930.69890046296</v>
      </c>
      <c r="C1102" s="1" t="n">
        <v>46079</v>
      </c>
      <c r="D1102" t="inlineStr">
        <is>
          <t>VÄSTERNORRLANDS LÄN</t>
        </is>
      </c>
      <c r="E1102" t="inlineStr">
        <is>
          <t>ÅNGE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27165-2025</t>
        </is>
      </c>
      <c r="B1103" s="1" t="n">
        <v>45812.34440972222</v>
      </c>
      <c r="C1103" s="1" t="n">
        <v>46079</v>
      </c>
      <c r="D1103" t="inlineStr">
        <is>
          <t>VÄSTERNORRLANDS LÄN</t>
        </is>
      </c>
      <c r="E1103" t="inlineStr">
        <is>
          <t>ÅNGE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46897-2025</t>
        </is>
      </c>
      <c r="B1104" s="1" t="n">
        <v>45929.38597222222</v>
      </c>
      <c r="C1104" s="1" t="n">
        <v>46079</v>
      </c>
      <c r="D1104" t="inlineStr">
        <is>
          <t>VÄSTERNORRLANDS LÄN</t>
        </is>
      </c>
      <c r="E1104" t="inlineStr">
        <is>
          <t>ÅNGE</t>
        </is>
      </c>
      <c r="G1104" t="n">
        <v>10.6</v>
      </c>
      <c r="H1104" t="n">
        <v>0</v>
      </c>
      <c r="I1104" t="n">
        <v>0</v>
      </c>
      <c r="J1104" t="n">
        <v>0</v>
      </c>
      <c r="K1104" t="n">
        <v>0</v>
      </c>
      <c r="L1104" t="n">
        <v>0</v>
      </c>
      <c r="M1104" t="n">
        <v>0</v>
      </c>
      <c r="N1104" t="n">
        <v>0</v>
      </c>
      <c r="O1104" t="n">
        <v>0</v>
      </c>
      <c r="P1104" t="n">
        <v>0</v>
      </c>
      <c r="Q1104" t="n">
        <v>0</v>
      </c>
      <c r="R1104" s="2" t="inlineStr"/>
    </row>
    <row r="1105" ht="15" customHeight="1">
      <c r="A1105" t="inlineStr">
        <is>
          <t>A 5931-2025</t>
        </is>
      </c>
      <c r="B1105" s="1" t="n">
        <v>45695.44827546296</v>
      </c>
      <c r="C1105" s="1" t="n">
        <v>46079</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47377-2025</t>
        </is>
      </c>
      <c r="B1106" s="1" t="n">
        <v>45930.59469907408</v>
      </c>
      <c r="C1106" s="1" t="n">
        <v>46079</v>
      </c>
      <c r="D1106" t="inlineStr">
        <is>
          <t>VÄSTERNORRLANDS LÄN</t>
        </is>
      </c>
      <c r="E1106" t="inlineStr">
        <is>
          <t>ÅNGE</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47305-2025</t>
        </is>
      </c>
      <c r="B1107" s="1" t="n">
        <v>45930</v>
      </c>
      <c r="C1107" s="1" t="n">
        <v>46079</v>
      </c>
      <c r="D1107" t="inlineStr">
        <is>
          <t>VÄSTERNORRLANDS LÄN</t>
        </is>
      </c>
      <c r="E1107" t="inlineStr">
        <is>
          <t>ÅNGE</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46933-2025</t>
        </is>
      </c>
      <c r="B1108" s="1" t="n">
        <v>45929.44645833333</v>
      </c>
      <c r="C1108" s="1" t="n">
        <v>46079</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47752-2025</t>
        </is>
      </c>
      <c r="B1109" s="1" t="n">
        <v>45931.66358796296</v>
      </c>
      <c r="C1109" s="1" t="n">
        <v>46079</v>
      </c>
      <c r="D1109" t="inlineStr">
        <is>
          <t>VÄSTERNORRLANDS LÄN</t>
        </is>
      </c>
      <c r="E1109" t="inlineStr">
        <is>
          <t>ÅNGE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27545-2025</t>
        </is>
      </c>
      <c r="B1110" s="1" t="n">
        <v>45813.46942129629</v>
      </c>
      <c r="C1110" s="1" t="n">
        <v>46079</v>
      </c>
      <c r="D1110" t="inlineStr">
        <is>
          <t>VÄSTERNORRLANDS LÄN</t>
        </is>
      </c>
      <c r="E1110" t="inlineStr">
        <is>
          <t>ÅNGE</t>
        </is>
      </c>
      <c r="F1110" t="inlineStr">
        <is>
          <t>SCA</t>
        </is>
      </c>
      <c r="G1110" t="n">
        <v>14.3</v>
      </c>
      <c r="H1110" t="n">
        <v>0</v>
      </c>
      <c r="I1110" t="n">
        <v>0</v>
      </c>
      <c r="J1110" t="n">
        <v>0</v>
      </c>
      <c r="K1110" t="n">
        <v>0</v>
      </c>
      <c r="L1110" t="n">
        <v>0</v>
      </c>
      <c r="M1110" t="n">
        <v>0</v>
      </c>
      <c r="N1110" t="n">
        <v>0</v>
      </c>
      <c r="O1110" t="n">
        <v>0</v>
      </c>
      <c r="P1110" t="n">
        <v>0</v>
      </c>
      <c r="Q1110" t="n">
        <v>0</v>
      </c>
      <c r="R1110" s="2" t="inlineStr"/>
    </row>
    <row r="1111" ht="15" customHeight="1">
      <c r="A1111" t="inlineStr">
        <is>
          <t>A 55329-2023</t>
        </is>
      </c>
      <c r="B1111" s="1" t="n">
        <v>45237</v>
      </c>
      <c r="C1111" s="1" t="n">
        <v>46079</v>
      </c>
      <c r="D1111" t="inlineStr">
        <is>
          <t>VÄSTERNORRLANDS LÄN</t>
        </is>
      </c>
      <c r="E1111" t="inlineStr">
        <is>
          <t>ÅNGE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3986-2025</t>
        </is>
      </c>
      <c r="B1112" s="1" t="n">
        <v>45684.55262731481</v>
      </c>
      <c r="C1112" s="1" t="n">
        <v>46079</v>
      </c>
      <c r="D1112" t="inlineStr">
        <is>
          <t>VÄSTERNORRLANDS LÄN</t>
        </is>
      </c>
      <c r="E1112" t="inlineStr">
        <is>
          <t>ÅNGE</t>
        </is>
      </c>
      <c r="F1112" t="inlineStr">
        <is>
          <t>SCA</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27572-2025</t>
        </is>
      </c>
      <c r="B1113" s="1" t="n">
        <v>45813.49049768518</v>
      </c>
      <c r="C1113" s="1" t="n">
        <v>46079</v>
      </c>
      <c r="D1113" t="inlineStr">
        <is>
          <t>VÄSTERNORRLANDS LÄN</t>
        </is>
      </c>
      <c r="E1113" t="inlineStr">
        <is>
          <t>ÅNGE</t>
        </is>
      </c>
      <c r="F1113" t="inlineStr">
        <is>
          <t>SCA</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27606-2025</t>
        </is>
      </c>
      <c r="B1114" s="1" t="n">
        <v>45813.53200231482</v>
      </c>
      <c r="C1114" s="1" t="n">
        <v>46079</v>
      </c>
      <c r="D1114" t="inlineStr">
        <is>
          <t>VÄSTERNORRLANDS LÄN</t>
        </is>
      </c>
      <c r="E1114" t="inlineStr">
        <is>
          <t>ÅNGE</t>
        </is>
      </c>
      <c r="F1114" t="inlineStr">
        <is>
          <t>SCA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48055-2025</t>
        </is>
      </c>
      <c r="B1115" s="1" t="n">
        <v>45932.67922453704</v>
      </c>
      <c r="C1115" s="1" t="n">
        <v>46079</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48069-2025</t>
        </is>
      </c>
      <c r="B1116" s="1" t="n">
        <v>45932.69865740741</v>
      </c>
      <c r="C1116" s="1" t="n">
        <v>46079</v>
      </c>
      <c r="D1116" t="inlineStr">
        <is>
          <t>VÄSTERNORRLANDS LÄN</t>
        </is>
      </c>
      <c r="E1116" t="inlineStr">
        <is>
          <t>ÅNGE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27639-2025</t>
        </is>
      </c>
      <c r="B1117" s="1" t="n">
        <v>45813</v>
      </c>
      <c r="C1117" s="1" t="n">
        <v>46079</v>
      </c>
      <c r="D1117" t="inlineStr">
        <is>
          <t>VÄSTERNORRLANDS LÄN</t>
        </is>
      </c>
      <c r="E1117" t="inlineStr">
        <is>
          <t>ÅNGE</t>
        </is>
      </c>
      <c r="G1117" t="n">
        <v>22.9</v>
      </c>
      <c r="H1117" t="n">
        <v>0</v>
      </c>
      <c r="I1117" t="n">
        <v>0</v>
      </c>
      <c r="J1117" t="n">
        <v>0</v>
      </c>
      <c r="K1117" t="n">
        <v>0</v>
      </c>
      <c r="L1117" t="n">
        <v>0</v>
      </c>
      <c r="M1117" t="n">
        <v>0</v>
      </c>
      <c r="N1117" t="n">
        <v>0</v>
      </c>
      <c r="O1117" t="n">
        <v>0</v>
      </c>
      <c r="P1117" t="n">
        <v>0</v>
      </c>
      <c r="Q1117" t="n">
        <v>0</v>
      </c>
      <c r="R1117" s="2" t="inlineStr"/>
    </row>
    <row r="1118" ht="15" customHeight="1">
      <c r="A1118" t="inlineStr">
        <is>
          <t>A 28070-2025</t>
        </is>
      </c>
      <c r="B1118" s="1" t="n">
        <v>45817.67739583334</v>
      </c>
      <c r="C1118" s="1" t="n">
        <v>46079</v>
      </c>
      <c r="D1118" t="inlineStr">
        <is>
          <t>VÄSTERNORRLANDS LÄN</t>
        </is>
      </c>
      <c r="E1118" t="inlineStr">
        <is>
          <t>ÅNGE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46795-2023</t>
        </is>
      </c>
      <c r="B1119" s="1" t="n">
        <v>45198</v>
      </c>
      <c r="C1119" s="1" t="n">
        <v>46079</v>
      </c>
      <c r="D1119" t="inlineStr">
        <is>
          <t>VÄSTERNORRLANDS LÄN</t>
        </is>
      </c>
      <c r="E1119" t="inlineStr">
        <is>
          <t>ÅNGE</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48234-2025</t>
        </is>
      </c>
      <c r="B1120" s="1" t="n">
        <v>45933.53211805555</v>
      </c>
      <c r="C1120" s="1" t="n">
        <v>46079</v>
      </c>
      <c r="D1120" t="inlineStr">
        <is>
          <t>VÄSTERNORRLANDS LÄN</t>
        </is>
      </c>
      <c r="E1120" t="inlineStr">
        <is>
          <t>ÅNGE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48235-2025</t>
        </is>
      </c>
      <c r="B1121" s="1" t="n">
        <v>45933.5321412037</v>
      </c>
      <c r="C1121" s="1" t="n">
        <v>46079</v>
      </c>
      <c r="D1121" t="inlineStr">
        <is>
          <t>VÄSTERNORRLANDS LÄN</t>
        </is>
      </c>
      <c r="E1121" t="inlineStr">
        <is>
          <t>ÅNGE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28085-2025</t>
        </is>
      </c>
      <c r="B1122" s="1" t="n">
        <v>45817.71924768519</v>
      </c>
      <c r="C1122" s="1" t="n">
        <v>46079</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28143-2025</t>
        </is>
      </c>
      <c r="B1123" s="1" t="n">
        <v>45818.34546296296</v>
      </c>
      <c r="C1123" s="1" t="n">
        <v>46079</v>
      </c>
      <c r="D1123" t="inlineStr">
        <is>
          <t>VÄSTERNORRLANDS LÄN</t>
        </is>
      </c>
      <c r="E1123" t="inlineStr">
        <is>
          <t>ÅNGE</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4094-2025</t>
        </is>
      </c>
      <c r="B1124" s="1" t="n">
        <v>45684.6778125</v>
      </c>
      <c r="C1124" s="1" t="n">
        <v>46079</v>
      </c>
      <c r="D1124" t="inlineStr">
        <is>
          <t>VÄSTERNORRLANDS LÄN</t>
        </is>
      </c>
      <c r="E1124" t="inlineStr">
        <is>
          <t>ÅNGE</t>
        </is>
      </c>
      <c r="F1124" t="inlineStr">
        <is>
          <t>SCA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48679-2025</t>
        </is>
      </c>
      <c r="B1125" s="1" t="n">
        <v>45936.59196759259</v>
      </c>
      <c r="C1125" s="1" t="n">
        <v>46079</v>
      </c>
      <c r="D1125" t="inlineStr">
        <is>
          <t>VÄSTERNORRLANDS LÄN</t>
        </is>
      </c>
      <c r="E1125" t="inlineStr">
        <is>
          <t>ÅNGE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28404-2025</t>
        </is>
      </c>
      <c r="B1126" s="1" t="n">
        <v>45819.34532407407</v>
      </c>
      <c r="C1126" s="1" t="n">
        <v>46079</v>
      </c>
      <c r="D1126" t="inlineStr">
        <is>
          <t>VÄSTERNORRLANDS LÄN</t>
        </is>
      </c>
      <c r="E1126" t="inlineStr">
        <is>
          <t>ÅNGE</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28896-2025</t>
        </is>
      </c>
      <c r="B1127" s="1" t="n">
        <v>45820.63584490741</v>
      </c>
      <c r="C1127" s="1" t="n">
        <v>46079</v>
      </c>
      <c r="D1127" t="inlineStr">
        <is>
          <t>VÄSTERNORRLANDS LÄN</t>
        </is>
      </c>
      <c r="E1127" t="inlineStr">
        <is>
          <t>ÅNGE</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39973-2023</t>
        </is>
      </c>
      <c r="B1128" s="1" t="n">
        <v>45168.5858912037</v>
      </c>
      <c r="C1128" s="1" t="n">
        <v>46079</v>
      </c>
      <c r="D1128" t="inlineStr">
        <is>
          <t>VÄSTERNORRLANDS LÄN</t>
        </is>
      </c>
      <c r="E1128" t="inlineStr">
        <is>
          <t>ÅNGE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18112-2025</t>
        </is>
      </c>
      <c r="B1129" s="1" t="n">
        <v>45761.57350694444</v>
      </c>
      <c r="C1129" s="1" t="n">
        <v>46079</v>
      </c>
      <c r="D1129" t="inlineStr">
        <is>
          <t>VÄSTERNORRLANDS LÄN</t>
        </is>
      </c>
      <c r="E1129" t="inlineStr">
        <is>
          <t>ÅNGE</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28819-2025</t>
        </is>
      </c>
      <c r="B1130" s="1" t="n">
        <v>45820.53758101852</v>
      </c>
      <c r="C1130" s="1" t="n">
        <v>46079</v>
      </c>
      <c r="D1130" t="inlineStr">
        <is>
          <t>VÄSTERNORRLANDS LÄN</t>
        </is>
      </c>
      <c r="E1130" t="inlineStr">
        <is>
          <t>ÅNGE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28845-2025</t>
        </is>
      </c>
      <c r="B1131" s="1" t="n">
        <v>45820.57324074074</v>
      </c>
      <c r="C1131" s="1" t="n">
        <v>46079</v>
      </c>
      <c r="D1131" t="inlineStr">
        <is>
          <t>VÄSTERNORRLANDS LÄN</t>
        </is>
      </c>
      <c r="E1131" t="inlineStr">
        <is>
          <t>ÅNGE</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49377-2025</t>
        </is>
      </c>
      <c r="B1132" s="1" t="n">
        <v>45938.63626157407</v>
      </c>
      <c r="C1132" s="1" t="n">
        <v>46079</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28814-2025</t>
        </is>
      </c>
      <c r="B1133" s="1" t="n">
        <v>45820.52846064815</v>
      </c>
      <c r="C1133" s="1" t="n">
        <v>46079</v>
      </c>
      <c r="D1133" t="inlineStr">
        <is>
          <t>VÄSTERNORRLANDS LÄN</t>
        </is>
      </c>
      <c r="E1133" t="inlineStr">
        <is>
          <t>ÅNGE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49156-2025</t>
        </is>
      </c>
      <c r="B1134" s="1" t="n">
        <v>45938.3458912037</v>
      </c>
      <c r="C1134" s="1" t="n">
        <v>46079</v>
      </c>
      <c r="D1134" t="inlineStr">
        <is>
          <t>VÄSTERNORRLANDS LÄN</t>
        </is>
      </c>
      <c r="E1134" t="inlineStr">
        <is>
          <t>ÅNGE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49179-2025</t>
        </is>
      </c>
      <c r="B1135" s="1" t="n">
        <v>45938.38579861111</v>
      </c>
      <c r="C1135" s="1" t="n">
        <v>46079</v>
      </c>
      <c r="D1135" t="inlineStr">
        <is>
          <t>VÄSTERNORRLANDS LÄN</t>
        </is>
      </c>
      <c r="E1135" t="inlineStr">
        <is>
          <t>ÅNGE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28717-2025</t>
        </is>
      </c>
      <c r="B1136" s="1" t="n">
        <v>45820</v>
      </c>
      <c r="C1136" s="1" t="n">
        <v>46079</v>
      </c>
      <c r="D1136" t="inlineStr">
        <is>
          <t>VÄSTERNORRLANDS LÄN</t>
        </is>
      </c>
      <c r="E1136" t="inlineStr">
        <is>
          <t>ÅNGE</t>
        </is>
      </c>
      <c r="F1136" t="inlineStr">
        <is>
          <t>SCA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49381-2025</t>
        </is>
      </c>
      <c r="B1137" s="1" t="n">
        <v>45938.63694444444</v>
      </c>
      <c r="C1137" s="1" t="n">
        <v>46079</v>
      </c>
      <c r="D1137" t="inlineStr">
        <is>
          <t>VÄSTERNORRLANDS LÄN</t>
        </is>
      </c>
      <c r="E1137" t="inlineStr">
        <is>
          <t>ÅNGE</t>
        </is>
      </c>
      <c r="F1137" t="inlineStr">
        <is>
          <t>SCA</t>
        </is>
      </c>
      <c r="G1137" t="n">
        <v>20.6</v>
      </c>
      <c r="H1137" t="n">
        <v>0</v>
      </c>
      <c r="I1137" t="n">
        <v>0</v>
      </c>
      <c r="J1137" t="n">
        <v>0</v>
      </c>
      <c r="K1137" t="n">
        <v>0</v>
      </c>
      <c r="L1137" t="n">
        <v>0</v>
      </c>
      <c r="M1137" t="n">
        <v>0</v>
      </c>
      <c r="N1137" t="n">
        <v>0</v>
      </c>
      <c r="O1137" t="n">
        <v>0</v>
      </c>
      <c r="P1137" t="n">
        <v>0</v>
      </c>
      <c r="Q1137" t="n">
        <v>0</v>
      </c>
      <c r="R1137" s="2" t="inlineStr"/>
    </row>
    <row r="1138" ht="15" customHeight="1">
      <c r="A1138" t="inlineStr">
        <is>
          <t>A 58637-2023</t>
        </is>
      </c>
      <c r="B1138" s="1" t="n">
        <v>45251</v>
      </c>
      <c r="C1138" s="1" t="n">
        <v>46079</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29350-2025</t>
        </is>
      </c>
      <c r="B1139" s="1" t="n">
        <v>45824.53206018519</v>
      </c>
      <c r="C1139" s="1" t="n">
        <v>46079</v>
      </c>
      <c r="D1139" t="inlineStr">
        <is>
          <t>VÄSTERNORRLANDS LÄN</t>
        </is>
      </c>
      <c r="E1139" t="inlineStr">
        <is>
          <t>ÅNGE</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29153-2025</t>
        </is>
      </c>
      <c r="B1140" s="1" t="n">
        <v>45821.63574074074</v>
      </c>
      <c r="C1140" s="1" t="n">
        <v>46079</v>
      </c>
      <c r="D1140" t="inlineStr">
        <is>
          <t>VÄSTERNORRLANDS LÄN</t>
        </is>
      </c>
      <c r="E1140" t="inlineStr">
        <is>
          <t>ÅNGE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49562-2025</t>
        </is>
      </c>
      <c r="B1141" s="1" t="n">
        <v>45939.46524305556</v>
      </c>
      <c r="C1141" s="1" t="n">
        <v>46079</v>
      </c>
      <c r="D1141" t="inlineStr">
        <is>
          <t>VÄSTERNORRLANDS LÄN</t>
        </is>
      </c>
      <c r="E1141" t="inlineStr">
        <is>
          <t>ÅNGE</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49476-2025</t>
        </is>
      </c>
      <c r="B1142" s="1" t="n">
        <v>45939.34506944445</v>
      </c>
      <c r="C1142" s="1" t="n">
        <v>46079</v>
      </c>
      <c r="D1142" t="inlineStr">
        <is>
          <t>VÄSTERNORRLANDS LÄN</t>
        </is>
      </c>
      <c r="E1142" t="inlineStr">
        <is>
          <t>ÅNGE</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29862-2025</t>
        </is>
      </c>
      <c r="B1143" s="1" t="n">
        <v>45826.3465625</v>
      </c>
      <c r="C1143" s="1" t="n">
        <v>46079</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29882-2025</t>
        </is>
      </c>
      <c r="B1144" s="1" t="n">
        <v>45826.36548611111</v>
      </c>
      <c r="C1144" s="1" t="n">
        <v>46079</v>
      </c>
      <c r="D1144" t="inlineStr">
        <is>
          <t>VÄSTERNORRLANDS LÄN</t>
        </is>
      </c>
      <c r="E1144" t="inlineStr">
        <is>
          <t>ÅNGE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49603-2025</t>
        </is>
      </c>
      <c r="B1145" s="1" t="n">
        <v>45939.5484375</v>
      </c>
      <c r="C1145" s="1" t="n">
        <v>46079</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29916-2025</t>
        </is>
      </c>
      <c r="B1146" s="1" t="n">
        <v>45826.41822916667</v>
      </c>
      <c r="C1146" s="1" t="n">
        <v>46079</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49600-2025</t>
        </is>
      </c>
      <c r="B1147" s="1" t="n">
        <v>45939.54434027777</v>
      </c>
      <c r="C1147" s="1" t="n">
        <v>46079</v>
      </c>
      <c r="D1147" t="inlineStr">
        <is>
          <t>VÄSTERNORRLANDS LÄN</t>
        </is>
      </c>
      <c r="E1147" t="inlineStr">
        <is>
          <t>ÅNGE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49566-2025</t>
        </is>
      </c>
      <c r="B1148" s="1" t="n">
        <v>45939.46939814815</v>
      </c>
      <c r="C1148" s="1" t="n">
        <v>46079</v>
      </c>
      <c r="D1148" t="inlineStr">
        <is>
          <t>VÄSTERNORRLANDS LÄN</t>
        </is>
      </c>
      <c r="E1148" t="inlineStr">
        <is>
          <t>ÅNGE</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29560-2025</t>
        </is>
      </c>
      <c r="B1149" s="1" t="n">
        <v>45825.36497685185</v>
      </c>
      <c r="C1149" s="1" t="n">
        <v>46079</v>
      </c>
      <c r="D1149" t="inlineStr">
        <is>
          <t>VÄSTERNORRLANDS LÄN</t>
        </is>
      </c>
      <c r="E1149" t="inlineStr">
        <is>
          <t>ÅNGE</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29786-2025</t>
        </is>
      </c>
      <c r="B1150" s="1" t="n">
        <v>45825.65663194445</v>
      </c>
      <c r="C1150" s="1" t="n">
        <v>46079</v>
      </c>
      <c r="D1150" t="inlineStr">
        <is>
          <t>VÄSTERNORRLANDS LÄN</t>
        </is>
      </c>
      <c r="E1150" t="inlineStr">
        <is>
          <t>ÅNGE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4236-2025</t>
        </is>
      </c>
      <c r="B1151" s="1" t="n">
        <v>45685.56534722223</v>
      </c>
      <c r="C1151" s="1" t="n">
        <v>46079</v>
      </c>
      <c r="D1151" t="inlineStr">
        <is>
          <t>VÄSTERNORRLANDS LÄN</t>
        </is>
      </c>
      <c r="E1151" t="inlineStr">
        <is>
          <t>ÅNGE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50210-2025</t>
        </is>
      </c>
      <c r="B1152" s="1" t="n">
        <v>45943.67379629629</v>
      </c>
      <c r="C1152" s="1" t="n">
        <v>46079</v>
      </c>
      <c r="D1152" t="inlineStr">
        <is>
          <t>VÄSTERNORRLANDS LÄN</t>
        </is>
      </c>
      <c r="E1152" t="inlineStr">
        <is>
          <t>ÅNGE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50001-2025</t>
        </is>
      </c>
      <c r="B1153" s="1" t="n">
        <v>45943.34421296296</v>
      </c>
      <c r="C1153" s="1" t="n">
        <v>46079</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51131-2022</t>
        </is>
      </c>
      <c r="B1154" s="1" t="n">
        <v>44868</v>
      </c>
      <c r="C1154" s="1" t="n">
        <v>46079</v>
      </c>
      <c r="D1154" t="inlineStr">
        <is>
          <t>VÄSTERNORRLANDS LÄN</t>
        </is>
      </c>
      <c r="E1154" t="inlineStr">
        <is>
          <t>ÅNGE</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50009-2025</t>
        </is>
      </c>
      <c r="B1155" s="1" t="n">
        <v>45943.34527777778</v>
      </c>
      <c r="C1155" s="1" t="n">
        <v>46079</v>
      </c>
      <c r="D1155" t="inlineStr">
        <is>
          <t>VÄSTERNORRLANDS LÄN</t>
        </is>
      </c>
      <c r="E1155" t="inlineStr">
        <is>
          <t>ÅNGE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50008-2025</t>
        </is>
      </c>
      <c r="B1156" s="1" t="n">
        <v>45943.34515046296</v>
      </c>
      <c r="C1156" s="1" t="n">
        <v>46079</v>
      </c>
      <c r="D1156" t="inlineStr">
        <is>
          <t>VÄSTERNORRLANDS LÄN</t>
        </is>
      </c>
      <c r="E1156" t="inlineStr">
        <is>
          <t>ÅNGE</t>
        </is>
      </c>
      <c r="G1156" t="n">
        <v>13.9</v>
      </c>
      <c r="H1156" t="n">
        <v>0</v>
      </c>
      <c r="I1156" t="n">
        <v>0</v>
      </c>
      <c r="J1156" t="n">
        <v>0</v>
      </c>
      <c r="K1156" t="n">
        <v>0</v>
      </c>
      <c r="L1156" t="n">
        <v>0</v>
      </c>
      <c r="M1156" t="n">
        <v>0</v>
      </c>
      <c r="N1156" t="n">
        <v>0</v>
      </c>
      <c r="O1156" t="n">
        <v>0</v>
      </c>
      <c r="P1156" t="n">
        <v>0</v>
      </c>
      <c r="Q1156" t="n">
        <v>0</v>
      </c>
      <c r="R1156" s="2" t="inlineStr"/>
    </row>
    <row r="1157" ht="15" customHeight="1">
      <c r="A1157" t="inlineStr">
        <is>
          <t>A 30475-2025</t>
        </is>
      </c>
      <c r="B1157" s="1" t="n">
        <v>45828.34444444445</v>
      </c>
      <c r="C1157" s="1" t="n">
        <v>46079</v>
      </c>
      <c r="D1157" t="inlineStr">
        <is>
          <t>VÄSTERNORRLANDS LÄN</t>
        </is>
      </c>
      <c r="E1157" t="inlineStr">
        <is>
          <t>ÅNGE</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5999-2025</t>
        </is>
      </c>
      <c r="B1158" s="1" t="n">
        <v>45695</v>
      </c>
      <c r="C1158" s="1" t="n">
        <v>46079</v>
      </c>
      <c r="D1158" t="inlineStr">
        <is>
          <t>VÄSTERNORRLANDS LÄN</t>
        </is>
      </c>
      <c r="E1158" t="inlineStr">
        <is>
          <t>ÅNGE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50291-2025</t>
        </is>
      </c>
      <c r="B1159" s="1" t="n">
        <v>45944.40677083333</v>
      </c>
      <c r="C1159" s="1" t="n">
        <v>46079</v>
      </c>
      <c r="D1159" t="inlineStr">
        <is>
          <t>VÄSTERNORRLANDS LÄN</t>
        </is>
      </c>
      <c r="E1159" t="inlineStr">
        <is>
          <t>ÅNGE</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50767-2025</t>
        </is>
      </c>
      <c r="B1160" s="1" t="n">
        <v>45946</v>
      </c>
      <c r="C1160" s="1" t="n">
        <v>46079</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50769-2025</t>
        </is>
      </c>
      <c r="B1161" s="1" t="n">
        <v>45946.44864583333</v>
      </c>
      <c r="C1161" s="1" t="n">
        <v>46079</v>
      </c>
      <c r="D1161" t="inlineStr">
        <is>
          <t>VÄSTERNORRLANDS LÄN</t>
        </is>
      </c>
      <c r="E1161" t="inlineStr">
        <is>
          <t>ÅNGE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26015-2024</t>
        </is>
      </c>
      <c r="B1162" s="1" t="n">
        <v>45467.95872685185</v>
      </c>
      <c r="C1162" s="1" t="n">
        <v>46079</v>
      </c>
      <c r="D1162" t="inlineStr">
        <is>
          <t>VÄSTERNORRLANDS LÄN</t>
        </is>
      </c>
      <c r="E1162" t="inlineStr">
        <is>
          <t>ÅNGE</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26010-2024</t>
        </is>
      </c>
      <c r="B1163" s="1" t="n">
        <v>45467.95819444444</v>
      </c>
      <c r="C1163" s="1" t="n">
        <v>46079</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60365-2024</t>
        </is>
      </c>
      <c r="B1164" s="1" t="n">
        <v>45643</v>
      </c>
      <c r="C1164" s="1" t="n">
        <v>46079</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50460-2025</t>
        </is>
      </c>
      <c r="B1165" s="1" t="n">
        <v>45945.345</v>
      </c>
      <c r="C1165" s="1" t="n">
        <v>46079</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11871-2025</t>
        </is>
      </c>
      <c r="B1166" s="1" t="n">
        <v>45728.42740740741</v>
      </c>
      <c r="C1166" s="1" t="n">
        <v>46079</v>
      </c>
      <c r="D1166" t="inlineStr">
        <is>
          <t>VÄSTERNORRLANDS LÄN</t>
        </is>
      </c>
      <c r="E1166" t="inlineStr">
        <is>
          <t>ÅNGE</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15799-2025</t>
        </is>
      </c>
      <c r="B1167" s="1" t="n">
        <v>45748.64768518518</v>
      </c>
      <c r="C1167" s="1" t="n">
        <v>46079</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47488-2023</t>
        </is>
      </c>
      <c r="B1168" s="1" t="n">
        <v>45202.94168981481</v>
      </c>
      <c r="C1168" s="1" t="n">
        <v>46079</v>
      </c>
      <c r="D1168" t="inlineStr">
        <is>
          <t>VÄSTERNORRLANDS LÄN</t>
        </is>
      </c>
      <c r="E1168" t="inlineStr">
        <is>
          <t>ÅNGE</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54982-2023</t>
        </is>
      </c>
      <c r="B1169" s="1" t="n">
        <v>45236</v>
      </c>
      <c r="C1169" s="1" t="n">
        <v>46079</v>
      </c>
      <c r="D1169" t="inlineStr">
        <is>
          <t>VÄSTERNORRLANDS LÄN</t>
        </is>
      </c>
      <c r="E1169" t="inlineStr">
        <is>
          <t>ÅNGE</t>
        </is>
      </c>
      <c r="F1169" t="inlineStr">
        <is>
          <t>SCA</t>
        </is>
      </c>
      <c r="G1169" t="n">
        <v>26.2</v>
      </c>
      <c r="H1169" t="n">
        <v>0</v>
      </c>
      <c r="I1169" t="n">
        <v>0</v>
      </c>
      <c r="J1169" t="n">
        <v>0</v>
      </c>
      <c r="K1169" t="n">
        <v>0</v>
      </c>
      <c r="L1169" t="n">
        <v>0</v>
      </c>
      <c r="M1169" t="n">
        <v>0</v>
      </c>
      <c r="N1169" t="n">
        <v>0</v>
      </c>
      <c r="O1169" t="n">
        <v>0</v>
      </c>
      <c r="P1169" t="n">
        <v>0</v>
      </c>
      <c r="Q1169" t="n">
        <v>0</v>
      </c>
      <c r="R1169" s="2" t="inlineStr"/>
    </row>
    <row r="1170" ht="15" customHeight="1">
      <c r="A1170" t="inlineStr">
        <is>
          <t>A 30875-2025</t>
        </is>
      </c>
      <c r="B1170" s="1" t="n">
        <v>45832.34447916667</v>
      </c>
      <c r="C1170" s="1" t="n">
        <v>46079</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31211-2025</t>
        </is>
      </c>
      <c r="B1171" s="1" t="n">
        <v>45832.71938657408</v>
      </c>
      <c r="C1171" s="1" t="n">
        <v>46079</v>
      </c>
      <c r="D1171" t="inlineStr">
        <is>
          <t>VÄSTERNORRLANDS LÄN</t>
        </is>
      </c>
      <c r="E1171" t="inlineStr">
        <is>
          <t>ÅNGE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50571-2025</t>
        </is>
      </c>
      <c r="B1172" s="1" t="n">
        <v>45945.57443287037</v>
      </c>
      <c r="C1172" s="1" t="n">
        <v>46079</v>
      </c>
      <c r="D1172" t="inlineStr">
        <is>
          <t>VÄSTERNORRLANDS LÄN</t>
        </is>
      </c>
      <c r="E1172" t="inlineStr">
        <is>
          <t>ÅNGE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30618-2025</t>
        </is>
      </c>
      <c r="B1173" s="1" t="n">
        <v>45831.46909722222</v>
      </c>
      <c r="C1173" s="1" t="n">
        <v>46079</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31188-2025</t>
        </is>
      </c>
      <c r="B1174" s="1" t="n">
        <v>45832.67842592593</v>
      </c>
      <c r="C1174" s="1" t="n">
        <v>46079</v>
      </c>
      <c r="D1174" t="inlineStr">
        <is>
          <t>VÄSTERNORRLANDS LÄN</t>
        </is>
      </c>
      <c r="E1174" t="inlineStr">
        <is>
          <t>ÅNGE</t>
        </is>
      </c>
      <c r="F1174" t="inlineStr">
        <is>
          <t>SCA</t>
        </is>
      </c>
      <c r="G1174" t="n">
        <v>14.9</v>
      </c>
      <c r="H1174" t="n">
        <v>0</v>
      </c>
      <c r="I1174" t="n">
        <v>0</v>
      </c>
      <c r="J1174" t="n">
        <v>0</v>
      </c>
      <c r="K1174" t="n">
        <v>0</v>
      </c>
      <c r="L1174" t="n">
        <v>0</v>
      </c>
      <c r="M1174" t="n">
        <v>0</v>
      </c>
      <c r="N1174" t="n">
        <v>0</v>
      </c>
      <c r="O1174" t="n">
        <v>0</v>
      </c>
      <c r="P1174" t="n">
        <v>0</v>
      </c>
      <c r="Q1174" t="n">
        <v>0</v>
      </c>
      <c r="R1174" s="2" t="inlineStr"/>
    </row>
    <row r="1175" ht="15" customHeight="1">
      <c r="A1175" t="inlineStr">
        <is>
          <t>A 57560-2023</t>
        </is>
      </c>
      <c r="B1175" s="1" t="n">
        <v>45243</v>
      </c>
      <c r="C1175" s="1" t="n">
        <v>46079</v>
      </c>
      <c r="D1175" t="inlineStr">
        <is>
          <t>VÄSTERNORRLANDS LÄN</t>
        </is>
      </c>
      <c r="E1175" t="inlineStr">
        <is>
          <t>ÅNGE</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51382-2025</t>
        </is>
      </c>
      <c r="B1176" s="1" t="n">
        <v>45950.46019675926</v>
      </c>
      <c r="C1176" s="1" t="n">
        <v>46079</v>
      </c>
      <c r="D1176" t="inlineStr">
        <is>
          <t>VÄSTERNORRLANDS LÄN</t>
        </is>
      </c>
      <c r="E1176" t="inlineStr">
        <is>
          <t>ÅNGE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57568-2023</t>
        </is>
      </c>
      <c r="B1177" s="1" t="n">
        <v>45246.50484953704</v>
      </c>
      <c r="C1177" s="1" t="n">
        <v>46079</v>
      </c>
      <c r="D1177" t="inlineStr">
        <is>
          <t>VÄSTERNORRLANDS LÄN</t>
        </is>
      </c>
      <c r="E1177" t="inlineStr">
        <is>
          <t>ÅNGE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31042-2025</t>
        </is>
      </c>
      <c r="B1178" s="1" t="n">
        <v>45832.55267361111</v>
      </c>
      <c r="C1178" s="1" t="n">
        <v>46079</v>
      </c>
      <c r="D1178" t="inlineStr">
        <is>
          <t>VÄSTERNORRLANDS LÄN</t>
        </is>
      </c>
      <c r="E1178" t="inlineStr">
        <is>
          <t>ÅNGE</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31135-2025</t>
        </is>
      </c>
      <c r="B1179" s="1" t="n">
        <v>45832.63581018519</v>
      </c>
      <c r="C1179" s="1" t="n">
        <v>46079</v>
      </c>
      <c r="D1179" t="inlineStr">
        <is>
          <t>VÄSTERNORRLANDS LÄN</t>
        </is>
      </c>
      <c r="E1179" t="inlineStr">
        <is>
          <t>ÅNGE</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30892-2025</t>
        </is>
      </c>
      <c r="B1180" s="1" t="n">
        <v>45832.34663194444</v>
      </c>
      <c r="C1180" s="1" t="n">
        <v>46079</v>
      </c>
      <c r="D1180" t="inlineStr">
        <is>
          <t>VÄSTERNORRLANDS LÄN</t>
        </is>
      </c>
      <c r="E1180" t="inlineStr">
        <is>
          <t>ÅNGE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30598-2025</t>
        </is>
      </c>
      <c r="B1181" s="1" t="n">
        <v>45831.44834490741</v>
      </c>
      <c r="C1181" s="1" t="n">
        <v>46079</v>
      </c>
      <c r="D1181" t="inlineStr">
        <is>
          <t>VÄSTERNORRLANDS LÄN</t>
        </is>
      </c>
      <c r="E1181" t="inlineStr">
        <is>
          <t>ÅNGE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51109-2025</t>
        </is>
      </c>
      <c r="B1182" s="1" t="n">
        <v>45947.50263888889</v>
      </c>
      <c r="C1182" s="1" t="n">
        <v>46079</v>
      </c>
      <c r="D1182" t="inlineStr">
        <is>
          <t>VÄSTERNORRLANDS LÄN</t>
        </is>
      </c>
      <c r="E1182" t="inlineStr">
        <is>
          <t>ÅNGE</t>
        </is>
      </c>
      <c r="F1182" t="inlineStr">
        <is>
          <t>Holmen skog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51389-2025</t>
        </is>
      </c>
      <c r="B1183" s="1" t="n">
        <v>45950.46767361111</v>
      </c>
      <c r="C1183" s="1" t="n">
        <v>46079</v>
      </c>
      <c r="D1183" t="inlineStr">
        <is>
          <t>VÄSTERNORRLANDS LÄN</t>
        </is>
      </c>
      <c r="E1183" t="inlineStr">
        <is>
          <t>ÅNGE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51416-2025</t>
        </is>
      </c>
      <c r="B1184" s="1" t="n">
        <v>45950.51097222222</v>
      </c>
      <c r="C1184" s="1" t="n">
        <v>46079</v>
      </c>
      <c r="D1184" t="inlineStr">
        <is>
          <t>VÄSTERNORRLANDS LÄN</t>
        </is>
      </c>
      <c r="E1184" t="inlineStr">
        <is>
          <t>ÅNGE</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31041-2025</t>
        </is>
      </c>
      <c r="B1185" s="1" t="n">
        <v>45832.55247685185</v>
      </c>
      <c r="C1185" s="1" t="n">
        <v>46079</v>
      </c>
      <c r="D1185" t="inlineStr">
        <is>
          <t>VÄSTERNORRLANDS LÄN</t>
        </is>
      </c>
      <c r="E1185" t="inlineStr">
        <is>
          <t>ÅNGE</t>
        </is>
      </c>
      <c r="F1185" t="inlineStr">
        <is>
          <t>SCA</t>
        </is>
      </c>
      <c r="G1185" t="n">
        <v>15.1</v>
      </c>
      <c r="H1185" t="n">
        <v>0</v>
      </c>
      <c r="I1185" t="n">
        <v>0</v>
      </c>
      <c r="J1185" t="n">
        <v>0</v>
      </c>
      <c r="K1185" t="n">
        <v>0</v>
      </c>
      <c r="L1185" t="n">
        <v>0</v>
      </c>
      <c r="M1185" t="n">
        <v>0</v>
      </c>
      <c r="N1185" t="n">
        <v>0</v>
      </c>
      <c r="O1185" t="n">
        <v>0</v>
      </c>
      <c r="P1185" t="n">
        <v>0</v>
      </c>
      <c r="Q1185" t="n">
        <v>0</v>
      </c>
      <c r="R1185" s="2" t="inlineStr"/>
    </row>
    <row r="1186" ht="15" customHeight="1">
      <c r="A1186" t="inlineStr">
        <is>
          <t>A 51370-2025</t>
        </is>
      </c>
      <c r="B1186" s="1" t="n">
        <v>45950.44818287037</v>
      </c>
      <c r="C1186" s="1" t="n">
        <v>46079</v>
      </c>
      <c r="D1186" t="inlineStr">
        <is>
          <t>VÄSTERNORRLANDS LÄN</t>
        </is>
      </c>
      <c r="E1186" t="inlineStr">
        <is>
          <t>ÅNGE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31139-2025</t>
        </is>
      </c>
      <c r="B1187" s="1" t="n">
        <v>45832.63633101852</v>
      </c>
      <c r="C1187" s="1" t="n">
        <v>46079</v>
      </c>
      <c r="D1187" t="inlineStr">
        <is>
          <t>VÄSTERNORRLANDS LÄN</t>
        </is>
      </c>
      <c r="E1187" t="inlineStr">
        <is>
          <t>ÅNGE</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30877-2025</t>
        </is>
      </c>
      <c r="B1188" s="1" t="n">
        <v>45832.34478009259</v>
      </c>
      <c r="C1188" s="1" t="n">
        <v>46079</v>
      </c>
      <c r="D1188" t="inlineStr">
        <is>
          <t>VÄSTERNORRLANDS LÄN</t>
        </is>
      </c>
      <c r="E1188" t="inlineStr">
        <is>
          <t>ÅNGE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30888-2025</t>
        </is>
      </c>
      <c r="B1189" s="1" t="n">
        <v>45832.34606481482</v>
      </c>
      <c r="C1189" s="1" t="n">
        <v>46079</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31275-2025</t>
        </is>
      </c>
      <c r="B1190" s="1" t="n">
        <v>45833.34459490741</v>
      </c>
      <c r="C1190" s="1" t="n">
        <v>46079</v>
      </c>
      <c r="D1190" t="inlineStr">
        <is>
          <t>VÄSTERNORRLANDS LÄN</t>
        </is>
      </c>
      <c r="E1190" t="inlineStr">
        <is>
          <t>ÅNGE</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52121-2025</t>
        </is>
      </c>
      <c r="B1191" s="1" t="n">
        <v>45952.71921296296</v>
      </c>
      <c r="C1191" s="1" t="n">
        <v>46079</v>
      </c>
      <c r="D1191" t="inlineStr">
        <is>
          <t>VÄSTERNORRLANDS LÄN</t>
        </is>
      </c>
      <c r="E1191" t="inlineStr">
        <is>
          <t>ÅNGE</t>
        </is>
      </c>
      <c r="F1191" t="inlineStr">
        <is>
          <t>SCA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31452-2025</t>
        </is>
      </c>
      <c r="B1192" s="1" t="n">
        <v>45833.53179398148</v>
      </c>
      <c r="C1192" s="1" t="n">
        <v>46079</v>
      </c>
      <c r="D1192" t="inlineStr">
        <is>
          <t>VÄSTERNORRLANDS LÄN</t>
        </is>
      </c>
      <c r="E1192" t="inlineStr">
        <is>
          <t>ÅNGE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31544-2025</t>
        </is>
      </c>
      <c r="B1193" s="1" t="n">
        <v>45833.63597222222</v>
      </c>
      <c r="C1193" s="1" t="n">
        <v>46079</v>
      </c>
      <c r="D1193" t="inlineStr">
        <is>
          <t>VÄSTERNORRLANDS LÄN</t>
        </is>
      </c>
      <c r="E1193" t="inlineStr">
        <is>
          <t>ÅNGE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31646-2025</t>
        </is>
      </c>
      <c r="B1194" s="1" t="n">
        <v>45834.34563657407</v>
      </c>
      <c r="C1194" s="1" t="n">
        <v>46079</v>
      </c>
      <c r="D1194" t="inlineStr">
        <is>
          <t>VÄSTERNORRLANDS LÄN</t>
        </is>
      </c>
      <c r="E1194" t="inlineStr">
        <is>
          <t>ÅNGE</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51857-2025</t>
        </is>
      </c>
      <c r="B1195" s="1" t="n">
        <v>45952.36506944444</v>
      </c>
      <c r="C1195" s="1" t="n">
        <v>46079</v>
      </c>
      <c r="D1195" t="inlineStr">
        <is>
          <t>VÄSTERNORRLANDS LÄN</t>
        </is>
      </c>
      <c r="E1195" t="inlineStr">
        <is>
          <t>ÅNGE</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31484-2025</t>
        </is>
      </c>
      <c r="B1196" s="1" t="n">
        <v>45833.57418981481</v>
      </c>
      <c r="C1196" s="1" t="n">
        <v>46079</v>
      </c>
      <c r="D1196" t="inlineStr">
        <is>
          <t>VÄSTERNORRLANDS LÄN</t>
        </is>
      </c>
      <c r="E1196" t="inlineStr">
        <is>
          <t>ÅNGE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31642-2025</t>
        </is>
      </c>
      <c r="B1197" s="1" t="n">
        <v>45834.34474537037</v>
      </c>
      <c r="C1197" s="1" t="n">
        <v>46079</v>
      </c>
      <c r="D1197" t="inlineStr">
        <is>
          <t>VÄSTERNORRLANDS LÄN</t>
        </is>
      </c>
      <c r="E1197" t="inlineStr">
        <is>
          <t>ÅNGE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31666-2025</t>
        </is>
      </c>
      <c r="B1198" s="1" t="n">
        <v>45834.36519675926</v>
      </c>
      <c r="C1198" s="1" t="n">
        <v>46079</v>
      </c>
      <c r="D1198" t="inlineStr">
        <is>
          <t>VÄSTERNORRLANDS LÄN</t>
        </is>
      </c>
      <c r="E1198" t="inlineStr">
        <is>
          <t>ÅNGE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52060-2025</t>
        </is>
      </c>
      <c r="B1199" s="1" t="n">
        <v>45952.63641203703</v>
      </c>
      <c r="C1199" s="1" t="n">
        <v>46079</v>
      </c>
      <c r="D1199" t="inlineStr">
        <is>
          <t>VÄSTERNORRLANDS LÄN</t>
        </is>
      </c>
      <c r="E1199" t="inlineStr">
        <is>
          <t>ÅNGE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51813-2025</t>
        </is>
      </c>
      <c r="B1200" s="1" t="n">
        <v>45951.83082175926</v>
      </c>
      <c r="C1200" s="1" t="n">
        <v>46079</v>
      </c>
      <c r="D1200" t="inlineStr">
        <is>
          <t>VÄSTERNORRLANDS LÄN</t>
        </is>
      </c>
      <c r="E1200" t="inlineStr">
        <is>
          <t>ÅNGE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52335-2025</t>
        </is>
      </c>
      <c r="B1201" s="1" t="n">
        <v>45953.68591435185</v>
      </c>
      <c r="C1201" s="1" t="n">
        <v>46079</v>
      </c>
      <c r="D1201" t="inlineStr">
        <is>
          <t>VÄSTERNORRLANDS LÄN</t>
        </is>
      </c>
      <c r="E1201" t="inlineStr">
        <is>
          <t>ÅNGE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63530-2023</t>
        </is>
      </c>
      <c r="B1202" s="1" t="n">
        <v>45274</v>
      </c>
      <c r="C1202" s="1" t="n">
        <v>46079</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32025-2025</t>
        </is>
      </c>
      <c r="B1203" s="1" t="n">
        <v>45835.40721064815</v>
      </c>
      <c r="C1203" s="1" t="n">
        <v>46079</v>
      </c>
      <c r="D1203" t="inlineStr">
        <is>
          <t>VÄSTERNORRLANDS LÄN</t>
        </is>
      </c>
      <c r="E1203" t="inlineStr">
        <is>
          <t>ÅNGE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52283-2025</t>
        </is>
      </c>
      <c r="B1204" s="1" t="n">
        <v>45953.57346064815</v>
      </c>
      <c r="C1204" s="1" t="n">
        <v>46079</v>
      </c>
      <c r="D1204" t="inlineStr">
        <is>
          <t>VÄSTERNORRLANDS LÄN</t>
        </is>
      </c>
      <c r="E1204" t="inlineStr">
        <is>
          <t>ÅNGE</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26092-2025</t>
        </is>
      </c>
      <c r="B1205" s="1" t="n">
        <v>45805</v>
      </c>
      <c r="C1205" s="1" t="n">
        <v>46079</v>
      </c>
      <c r="D1205" t="inlineStr">
        <is>
          <t>VÄSTERNORRLANDS LÄN</t>
        </is>
      </c>
      <c r="E1205" t="inlineStr">
        <is>
          <t>ÅNGE</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52411-2025</t>
        </is>
      </c>
      <c r="B1206" s="1" t="n">
        <v>45954.36518518518</v>
      </c>
      <c r="C1206" s="1" t="n">
        <v>46079</v>
      </c>
      <c r="D1206" t="inlineStr">
        <is>
          <t>VÄSTERNORRLANDS LÄN</t>
        </is>
      </c>
      <c r="E1206" t="inlineStr">
        <is>
          <t>ÅNGE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52306-2025</t>
        </is>
      </c>
      <c r="B1207" s="1" t="n">
        <v>45953.63600694444</v>
      </c>
      <c r="C1207" s="1" t="n">
        <v>46079</v>
      </c>
      <c r="D1207" t="inlineStr">
        <is>
          <t>VÄSTERNORRLANDS LÄN</t>
        </is>
      </c>
      <c r="E1207" t="inlineStr">
        <is>
          <t>ÅNGE</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3253-2024</t>
        </is>
      </c>
      <c r="B1208" s="1" t="n">
        <v>45316</v>
      </c>
      <c r="C1208" s="1" t="n">
        <v>46079</v>
      </c>
      <c r="D1208" t="inlineStr">
        <is>
          <t>VÄSTERNORRLANDS LÄN</t>
        </is>
      </c>
      <c r="E1208" t="inlineStr">
        <is>
          <t>ÅNGE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49945-2023</t>
        </is>
      </c>
      <c r="B1209" s="1" t="n">
        <v>45215.3625462963</v>
      </c>
      <c r="C1209" s="1" t="n">
        <v>46079</v>
      </c>
      <c r="D1209" t="inlineStr">
        <is>
          <t>VÄSTERNORRLANDS LÄN</t>
        </is>
      </c>
      <c r="E1209" t="inlineStr">
        <is>
          <t>ÅNGE</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25903-2022</t>
        </is>
      </c>
      <c r="B1210" s="1" t="n">
        <v>44733</v>
      </c>
      <c r="C1210" s="1" t="n">
        <v>46079</v>
      </c>
      <c r="D1210" t="inlineStr">
        <is>
          <t>VÄSTERNORRLANDS LÄN</t>
        </is>
      </c>
      <c r="E1210" t="inlineStr">
        <is>
          <t>ÅNGE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52642-2025</t>
        </is>
      </c>
      <c r="B1211" s="1" t="n">
        <v>45955.34576388889</v>
      </c>
      <c r="C1211" s="1" t="n">
        <v>46079</v>
      </c>
      <c r="D1211" t="inlineStr">
        <is>
          <t>VÄSTERNORRLANDS LÄN</t>
        </is>
      </c>
      <c r="E1211" t="inlineStr">
        <is>
          <t>ÅNGE</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19709-2025</t>
        </is>
      </c>
      <c r="B1212" s="1" t="n">
        <v>45771.34263888889</v>
      </c>
      <c r="C1212" s="1" t="n">
        <v>46079</v>
      </c>
      <c r="D1212" t="inlineStr">
        <is>
          <t>VÄSTERNORRLANDS LÄN</t>
        </is>
      </c>
      <c r="E1212" t="inlineStr">
        <is>
          <t>ÅNGE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32024-2025</t>
        </is>
      </c>
      <c r="B1213" s="1" t="n">
        <v>45835.40706018519</v>
      </c>
      <c r="C1213" s="1" t="n">
        <v>46079</v>
      </c>
      <c r="D1213" t="inlineStr">
        <is>
          <t>VÄSTERNORRLANDS LÄN</t>
        </is>
      </c>
      <c r="E1213" t="inlineStr">
        <is>
          <t>ÅNGE</t>
        </is>
      </c>
      <c r="F1213" t="inlineStr">
        <is>
          <t>SCA</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52858-2025</t>
        </is>
      </c>
      <c r="B1214" s="1" t="n">
        <v>45957.50284722223</v>
      </c>
      <c r="C1214" s="1" t="n">
        <v>46079</v>
      </c>
      <c r="D1214" t="inlineStr">
        <is>
          <t>VÄSTERNORRLANDS LÄN</t>
        </is>
      </c>
      <c r="E1214" t="inlineStr">
        <is>
          <t>ÅNGE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53012-2025</t>
        </is>
      </c>
      <c r="B1215" s="1" t="n">
        <v>45957.80320601852</v>
      </c>
      <c r="C1215" s="1" t="n">
        <v>46079</v>
      </c>
      <c r="D1215" t="inlineStr">
        <is>
          <t>VÄSTERNORRLANDS LÄN</t>
        </is>
      </c>
      <c r="E1215" t="inlineStr">
        <is>
          <t>ÅNGE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53013-2025</t>
        </is>
      </c>
      <c r="B1216" s="1" t="n">
        <v>45957.81732638889</v>
      </c>
      <c r="C1216" s="1" t="n">
        <v>46079</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53221-2025</t>
        </is>
      </c>
      <c r="B1217" s="1" t="n">
        <v>45958.60331018519</v>
      </c>
      <c r="C1217" s="1" t="n">
        <v>46079</v>
      </c>
      <c r="D1217" t="inlineStr">
        <is>
          <t>VÄSTERNORRLANDS LÄN</t>
        </is>
      </c>
      <c r="E1217" t="inlineStr">
        <is>
          <t>ÅNGE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24324-2022</t>
        </is>
      </c>
      <c r="B1218" s="1" t="n">
        <v>44725.945</v>
      </c>
      <c r="C1218" s="1" t="n">
        <v>46079</v>
      </c>
      <c r="D1218" t="inlineStr">
        <is>
          <t>VÄSTERNORRLANDS LÄN</t>
        </is>
      </c>
      <c r="E1218" t="inlineStr">
        <is>
          <t>ÅNGE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24325-2022</t>
        </is>
      </c>
      <c r="B1219" s="1" t="n">
        <v>44725.94506944445</v>
      </c>
      <c r="C1219" s="1" t="n">
        <v>46079</v>
      </c>
      <c r="D1219" t="inlineStr">
        <is>
          <t>VÄSTERNORRLANDS LÄN</t>
        </is>
      </c>
      <c r="E1219" t="inlineStr">
        <is>
          <t>ÅNGE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32847-2025</t>
        </is>
      </c>
      <c r="B1220" s="1" t="n">
        <v>45839.57354166666</v>
      </c>
      <c r="C1220" s="1" t="n">
        <v>46079</v>
      </c>
      <c r="D1220" t="inlineStr">
        <is>
          <t>VÄSTERNORRLANDS LÄN</t>
        </is>
      </c>
      <c r="E1220" t="inlineStr">
        <is>
          <t>ÅNGE</t>
        </is>
      </c>
      <c r="F1220" t="inlineStr">
        <is>
          <t>SCA</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30803-2022</t>
        </is>
      </c>
      <c r="B1221" s="1" t="n">
        <v>44764</v>
      </c>
      <c r="C1221" s="1" t="n">
        <v>46079</v>
      </c>
      <c r="D1221" t="inlineStr">
        <is>
          <t>VÄSTERNORRLANDS LÄN</t>
        </is>
      </c>
      <c r="E1221" t="inlineStr">
        <is>
          <t>ÅNGE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53033-2025</t>
        </is>
      </c>
      <c r="B1222" s="1" t="n">
        <v>45958.34479166667</v>
      </c>
      <c r="C1222" s="1" t="n">
        <v>46079</v>
      </c>
      <c r="D1222" t="inlineStr">
        <is>
          <t>VÄSTERNORRLANDS LÄN</t>
        </is>
      </c>
      <c r="E1222" t="inlineStr">
        <is>
          <t>ÅNGE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17744-2025</t>
        </is>
      </c>
      <c r="B1223" s="1" t="n">
        <v>45758</v>
      </c>
      <c r="C1223" s="1" t="n">
        <v>46079</v>
      </c>
      <c r="D1223" t="inlineStr">
        <is>
          <t>VÄSTERNORRLANDS LÄN</t>
        </is>
      </c>
      <c r="E1223" t="inlineStr">
        <is>
          <t>ÅNGE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2433-2024</t>
        </is>
      </c>
      <c r="B1224" s="1" t="n">
        <v>45310</v>
      </c>
      <c r="C1224" s="1" t="n">
        <v>46079</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56615-2023</t>
        </is>
      </c>
      <c r="B1225" s="1" t="n">
        <v>45243</v>
      </c>
      <c r="C1225" s="1" t="n">
        <v>46079</v>
      </c>
      <c r="D1225" t="inlineStr">
        <is>
          <t>VÄSTERNORRLANDS LÄN</t>
        </is>
      </c>
      <c r="E1225" t="inlineStr">
        <is>
          <t>ÅNGE</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61461-2023</t>
        </is>
      </c>
      <c r="B1226" s="1" t="n">
        <v>45264.9261574074</v>
      </c>
      <c r="C1226" s="1" t="n">
        <v>46079</v>
      </c>
      <c r="D1226" t="inlineStr">
        <is>
          <t>VÄSTERNORRLANDS LÄN</t>
        </is>
      </c>
      <c r="E1226" t="inlineStr">
        <is>
          <t>ÅNGE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33782-2025</t>
        </is>
      </c>
      <c r="B1227" s="1" t="n">
        <v>45842.40678240741</v>
      </c>
      <c r="C1227" s="1" t="n">
        <v>46079</v>
      </c>
      <c r="D1227" t="inlineStr">
        <is>
          <t>VÄSTERNORRLANDS LÄN</t>
        </is>
      </c>
      <c r="E1227" t="inlineStr">
        <is>
          <t>ÅNGE</t>
        </is>
      </c>
      <c r="F1227" t="inlineStr">
        <is>
          <t>SCA</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53509-2025</t>
        </is>
      </c>
      <c r="B1228" s="1" t="n">
        <v>45960.34506944445</v>
      </c>
      <c r="C1228" s="1" t="n">
        <v>46079</v>
      </c>
      <c r="D1228" t="inlineStr">
        <is>
          <t>VÄSTERNORRLANDS LÄN</t>
        </is>
      </c>
      <c r="E1228" t="inlineStr">
        <is>
          <t>ÅNGE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27661-2024</t>
        </is>
      </c>
      <c r="B1229" s="1" t="n">
        <v>45474.95365740741</v>
      </c>
      <c r="C1229" s="1" t="n">
        <v>46079</v>
      </c>
      <c r="D1229" t="inlineStr">
        <is>
          <t>VÄSTERNORRLANDS LÄN</t>
        </is>
      </c>
      <c r="E1229" t="inlineStr">
        <is>
          <t>ÅNGE</t>
        </is>
      </c>
      <c r="F1229" t="inlineStr">
        <is>
          <t>SCA</t>
        </is>
      </c>
      <c r="G1229" t="n">
        <v>19.1</v>
      </c>
      <c r="H1229" t="n">
        <v>0</v>
      </c>
      <c r="I1229" t="n">
        <v>0</v>
      </c>
      <c r="J1229" t="n">
        <v>0</v>
      </c>
      <c r="K1229" t="n">
        <v>0</v>
      </c>
      <c r="L1229" t="n">
        <v>0</v>
      </c>
      <c r="M1229" t="n">
        <v>0</v>
      </c>
      <c r="N1229" t="n">
        <v>0</v>
      </c>
      <c r="O1229" t="n">
        <v>0</v>
      </c>
      <c r="P1229" t="n">
        <v>0</v>
      </c>
      <c r="Q1229" t="n">
        <v>0</v>
      </c>
      <c r="R1229" s="2" t="inlineStr"/>
    </row>
    <row r="1230" ht="15" customHeight="1">
      <c r="A1230" t="inlineStr">
        <is>
          <t>A 53381-2025</t>
        </is>
      </c>
      <c r="B1230" s="1" t="n">
        <v>45959.53690972222</v>
      </c>
      <c r="C1230" s="1" t="n">
        <v>46079</v>
      </c>
      <c r="D1230" t="inlineStr">
        <is>
          <t>VÄSTERNORRLANDS LÄN</t>
        </is>
      </c>
      <c r="E1230" t="inlineStr">
        <is>
          <t>ÅNGE</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53713-2025</t>
        </is>
      </c>
      <c r="B1231" s="1" t="n">
        <v>45960.61568287037</v>
      </c>
      <c r="C1231" s="1" t="n">
        <v>46079</v>
      </c>
      <c r="D1231" t="inlineStr">
        <is>
          <t>VÄSTERNORRLANDS LÄN</t>
        </is>
      </c>
      <c r="E1231" t="inlineStr">
        <is>
          <t>ÅNGE</t>
        </is>
      </c>
      <c r="F1231" t="inlineStr">
        <is>
          <t>SCA</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45890-2021</t>
        </is>
      </c>
      <c r="B1232" s="1" t="n">
        <v>44441</v>
      </c>
      <c r="C1232" s="1" t="n">
        <v>46079</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53984-2025</t>
        </is>
      </c>
      <c r="B1233" s="1" t="n">
        <v>45961.5734837963</v>
      </c>
      <c r="C1233" s="1" t="n">
        <v>46079</v>
      </c>
      <c r="D1233" t="inlineStr">
        <is>
          <t>VÄSTERNORRLANDS LÄN</t>
        </is>
      </c>
      <c r="E1233" t="inlineStr">
        <is>
          <t>ÅNGE</t>
        </is>
      </c>
      <c r="F1233" t="inlineStr">
        <is>
          <t>SCA</t>
        </is>
      </c>
      <c r="G1233" t="n">
        <v>14.8</v>
      </c>
      <c r="H1233" t="n">
        <v>0</v>
      </c>
      <c r="I1233" t="n">
        <v>0</v>
      </c>
      <c r="J1233" t="n">
        <v>0</v>
      </c>
      <c r="K1233" t="n">
        <v>0</v>
      </c>
      <c r="L1233" t="n">
        <v>0</v>
      </c>
      <c r="M1233" t="n">
        <v>0</v>
      </c>
      <c r="N1233" t="n">
        <v>0</v>
      </c>
      <c r="O1233" t="n">
        <v>0</v>
      </c>
      <c r="P1233" t="n">
        <v>0</v>
      </c>
      <c r="Q1233" t="n">
        <v>0</v>
      </c>
      <c r="R1233" s="2" t="inlineStr"/>
    </row>
    <row r="1234" ht="15" customHeight="1">
      <c r="A1234" t="inlineStr">
        <is>
          <t>A 33717-2025</t>
        </is>
      </c>
      <c r="B1234" s="1" t="n">
        <v>45841.89357638889</v>
      </c>
      <c r="C1234" s="1" t="n">
        <v>46079</v>
      </c>
      <c r="D1234" t="inlineStr">
        <is>
          <t>VÄSTERNORRLANDS LÄN</t>
        </is>
      </c>
      <c r="E1234" t="inlineStr">
        <is>
          <t>ÅNGE</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53985-2025</t>
        </is>
      </c>
      <c r="B1235" s="1" t="n">
        <v>45961.57366898148</v>
      </c>
      <c r="C1235" s="1" t="n">
        <v>46079</v>
      </c>
      <c r="D1235" t="inlineStr">
        <is>
          <t>VÄSTERNORRLANDS LÄN</t>
        </is>
      </c>
      <c r="E1235" t="inlineStr">
        <is>
          <t>ÅNGE</t>
        </is>
      </c>
      <c r="F1235" t="inlineStr">
        <is>
          <t>SCA</t>
        </is>
      </c>
      <c r="G1235" t="n">
        <v>14.2</v>
      </c>
      <c r="H1235" t="n">
        <v>0</v>
      </c>
      <c r="I1235" t="n">
        <v>0</v>
      </c>
      <c r="J1235" t="n">
        <v>0</v>
      </c>
      <c r="K1235" t="n">
        <v>0</v>
      </c>
      <c r="L1235" t="n">
        <v>0</v>
      </c>
      <c r="M1235" t="n">
        <v>0</v>
      </c>
      <c r="N1235" t="n">
        <v>0</v>
      </c>
      <c r="O1235" t="n">
        <v>0</v>
      </c>
      <c r="P1235" t="n">
        <v>0</v>
      </c>
      <c r="Q1235" t="n">
        <v>0</v>
      </c>
      <c r="R1235" s="2" t="inlineStr"/>
    </row>
    <row r="1236" ht="15" customHeight="1">
      <c r="A1236" t="inlineStr">
        <is>
          <t>A 33738-2025</t>
        </is>
      </c>
      <c r="B1236" s="1" t="n">
        <v>45842.33795138889</v>
      </c>
      <c r="C1236" s="1" t="n">
        <v>46079</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53999-2025</t>
        </is>
      </c>
      <c r="B1237" s="1" t="n">
        <v>45961</v>
      </c>
      <c r="C1237" s="1" t="n">
        <v>46079</v>
      </c>
      <c r="D1237" t="inlineStr">
        <is>
          <t>VÄSTERNORRLANDS LÄN</t>
        </is>
      </c>
      <c r="E1237" t="inlineStr">
        <is>
          <t>ÅNGE</t>
        </is>
      </c>
      <c r="F1237" t="inlineStr">
        <is>
          <t>SCA</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54197-2025</t>
        </is>
      </c>
      <c r="B1238" s="1" t="n">
        <v>45964</v>
      </c>
      <c r="C1238" s="1" t="n">
        <v>46079</v>
      </c>
      <c r="D1238" t="inlineStr">
        <is>
          <t>VÄSTERNORRLANDS LÄN</t>
        </is>
      </c>
      <c r="E1238" t="inlineStr">
        <is>
          <t>ÅNGE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60003-2023</t>
        </is>
      </c>
      <c r="B1239" s="1" t="n">
        <v>45257</v>
      </c>
      <c r="C1239" s="1" t="n">
        <v>46079</v>
      </c>
      <c r="D1239" t="inlineStr">
        <is>
          <t>VÄSTERNORRLANDS LÄN</t>
        </is>
      </c>
      <c r="E1239" t="inlineStr">
        <is>
          <t>ÅNGE</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34019-2025</t>
        </is>
      </c>
      <c r="B1240" s="1" t="n">
        <v>45845.34416666667</v>
      </c>
      <c r="C1240" s="1" t="n">
        <v>46079</v>
      </c>
      <c r="D1240" t="inlineStr">
        <is>
          <t>VÄSTERNORRLANDS LÄN</t>
        </is>
      </c>
      <c r="E1240" t="inlineStr">
        <is>
          <t>ÅNGE</t>
        </is>
      </c>
      <c r="F1240" t="inlineStr">
        <is>
          <t>SCA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213-2024</t>
        </is>
      </c>
      <c r="B1241" s="1" t="n">
        <v>45293</v>
      </c>
      <c r="C1241" s="1" t="n">
        <v>46079</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40788-2024</t>
        </is>
      </c>
      <c r="B1242" s="1" t="n">
        <v>45558.50974537037</v>
      </c>
      <c r="C1242" s="1" t="n">
        <v>46079</v>
      </c>
      <c r="D1242" t="inlineStr">
        <is>
          <t>VÄSTERNORRLANDS LÄN</t>
        </is>
      </c>
      <c r="E1242" t="inlineStr">
        <is>
          <t>ÅNGE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54702-2025</t>
        </is>
      </c>
      <c r="B1243" s="1" t="n">
        <v>45966.4828587963</v>
      </c>
      <c r="C1243" s="1" t="n">
        <v>46079</v>
      </c>
      <c r="D1243" t="inlineStr">
        <is>
          <t>VÄSTERNORRLANDS LÄN</t>
        </is>
      </c>
      <c r="E1243" t="inlineStr">
        <is>
          <t>ÅNGE</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54357-2025</t>
        </is>
      </c>
      <c r="B1244" s="1" t="n">
        <v>45965.3858912037</v>
      </c>
      <c r="C1244" s="1" t="n">
        <v>46079</v>
      </c>
      <c r="D1244" t="inlineStr">
        <is>
          <t>VÄSTERNORRLANDS LÄN</t>
        </is>
      </c>
      <c r="E1244" t="inlineStr">
        <is>
          <t>ÅNGE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34031-2025</t>
        </is>
      </c>
      <c r="B1245" s="1" t="n">
        <v>45845.36508101852</v>
      </c>
      <c r="C1245" s="1" t="n">
        <v>46079</v>
      </c>
      <c r="D1245" t="inlineStr">
        <is>
          <t>VÄSTERNORRLANDS LÄN</t>
        </is>
      </c>
      <c r="E1245" t="inlineStr">
        <is>
          <t>ÅNGE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741-2024</t>
        </is>
      </c>
      <c r="B1246" s="1" t="n">
        <v>45300.46591435185</v>
      </c>
      <c r="C1246" s="1" t="n">
        <v>46079</v>
      </c>
      <c r="D1246" t="inlineStr">
        <is>
          <t>VÄSTERNORRLANDS LÄN</t>
        </is>
      </c>
      <c r="E1246" t="inlineStr">
        <is>
          <t>ÅNGE</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54713-2025</t>
        </is>
      </c>
      <c r="B1247" s="1" t="n">
        <v>45966.50446759259</v>
      </c>
      <c r="C1247" s="1" t="n">
        <v>46079</v>
      </c>
      <c r="D1247" t="inlineStr">
        <is>
          <t>VÄSTERNORRLANDS LÄN</t>
        </is>
      </c>
      <c r="E1247" t="inlineStr">
        <is>
          <t>ÅNGE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54680-2025</t>
        </is>
      </c>
      <c r="B1248" s="1" t="n">
        <v>45966.42751157407</v>
      </c>
      <c r="C1248" s="1" t="n">
        <v>46079</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54611-2023</t>
        </is>
      </c>
      <c r="B1249" s="1" t="n">
        <v>45233</v>
      </c>
      <c r="C1249" s="1" t="n">
        <v>46079</v>
      </c>
      <c r="D1249" t="inlineStr">
        <is>
          <t>VÄSTERNORRLANDS LÄN</t>
        </is>
      </c>
      <c r="E1249" t="inlineStr">
        <is>
          <t>ÅNGE</t>
        </is>
      </c>
      <c r="F1249" t="inlineStr">
        <is>
          <t>SCA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54705-2025</t>
        </is>
      </c>
      <c r="B1250" s="1" t="n">
        <v>45966.4853125</v>
      </c>
      <c r="C1250" s="1" t="n">
        <v>46079</v>
      </c>
      <c r="D1250" t="inlineStr">
        <is>
          <t>VÄSTERNORRLANDS LÄN</t>
        </is>
      </c>
      <c r="E1250" t="inlineStr">
        <is>
          <t>ÅNGE</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54707-2025</t>
        </is>
      </c>
      <c r="B1251" s="1" t="n">
        <v>45966</v>
      </c>
      <c r="C1251" s="1" t="n">
        <v>46079</v>
      </c>
      <c r="D1251" t="inlineStr">
        <is>
          <t>VÄSTERNORRLANDS LÄN</t>
        </is>
      </c>
      <c r="E1251" t="inlineStr">
        <is>
          <t>ÅNGE</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54710-2025</t>
        </is>
      </c>
      <c r="B1252" s="1" t="n">
        <v>45966.49515046296</v>
      </c>
      <c r="C1252" s="1" t="n">
        <v>46079</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54819-2025</t>
        </is>
      </c>
      <c r="B1253" s="1" t="n">
        <v>45966.65709490741</v>
      </c>
      <c r="C1253" s="1" t="n">
        <v>46079</v>
      </c>
      <c r="D1253" t="inlineStr">
        <is>
          <t>VÄSTERNORRLANDS LÄN</t>
        </is>
      </c>
      <c r="E1253" t="inlineStr">
        <is>
          <t>ÅNGE</t>
        </is>
      </c>
      <c r="F1253" t="inlineStr">
        <is>
          <t>SCA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54715-2025</t>
        </is>
      </c>
      <c r="B1254" s="1" t="n">
        <v>45966.50961805556</v>
      </c>
      <c r="C1254" s="1" t="n">
        <v>46079</v>
      </c>
      <c r="D1254" t="inlineStr">
        <is>
          <t>VÄSTERNORRLANDS LÄN</t>
        </is>
      </c>
      <c r="E1254" t="inlineStr">
        <is>
          <t>ÅNGE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54346-2025</t>
        </is>
      </c>
      <c r="B1255" s="1" t="n">
        <v>45965.36525462963</v>
      </c>
      <c r="C1255" s="1" t="n">
        <v>46079</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14673-2025</t>
        </is>
      </c>
      <c r="B1256" s="1" t="n">
        <v>45742.55309027778</v>
      </c>
      <c r="C1256" s="1" t="n">
        <v>46079</v>
      </c>
      <c r="D1256" t="inlineStr">
        <is>
          <t>VÄSTERNORRLANDS LÄN</t>
        </is>
      </c>
      <c r="E1256" t="inlineStr">
        <is>
          <t>ÅNGE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34785-2025</t>
        </is>
      </c>
      <c r="B1257" s="1" t="n">
        <v>45848.67771990741</v>
      </c>
      <c r="C1257" s="1" t="n">
        <v>46079</v>
      </c>
      <c r="D1257" t="inlineStr">
        <is>
          <t>VÄSTERNORRLANDS LÄN</t>
        </is>
      </c>
      <c r="E1257" t="inlineStr">
        <is>
          <t>ÅNGE</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55160-2025</t>
        </is>
      </c>
      <c r="B1258" s="1" t="n">
        <v>45968.46930555555</v>
      </c>
      <c r="C1258" s="1" t="n">
        <v>46079</v>
      </c>
      <c r="D1258" t="inlineStr">
        <is>
          <t>VÄSTERNORRLANDS LÄN</t>
        </is>
      </c>
      <c r="E1258" t="inlineStr">
        <is>
          <t>ÅNGE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15032-2025</t>
        </is>
      </c>
      <c r="B1259" s="1" t="n">
        <v>45743.67748842593</v>
      </c>
      <c r="C1259" s="1" t="n">
        <v>46079</v>
      </c>
      <c r="D1259" t="inlineStr">
        <is>
          <t>VÄSTERNORRLANDS LÄN</t>
        </is>
      </c>
      <c r="E1259" t="inlineStr">
        <is>
          <t>ÅNGE</t>
        </is>
      </c>
      <c r="F1259" t="inlineStr">
        <is>
          <t>SCA</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34591-2025</t>
        </is>
      </c>
      <c r="B1260" s="1" t="n">
        <v>45847.62920138889</v>
      </c>
      <c r="C1260" s="1" t="n">
        <v>46079</v>
      </c>
      <c r="D1260" t="inlineStr">
        <is>
          <t>VÄSTERNORRLANDS LÄN</t>
        </is>
      </c>
      <c r="E1260" t="inlineStr">
        <is>
          <t>ÅNGE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34593-2025</t>
        </is>
      </c>
      <c r="B1261" s="1" t="n">
        <v>45847.6316087963</v>
      </c>
      <c r="C1261" s="1" t="n">
        <v>46079</v>
      </c>
      <c r="D1261" t="inlineStr">
        <is>
          <t>VÄSTERNORRLANDS LÄN</t>
        </is>
      </c>
      <c r="E1261" t="inlineStr">
        <is>
          <t>ÅNGE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54925-2025</t>
        </is>
      </c>
      <c r="B1262" s="1" t="n">
        <v>45967.40699074074</v>
      </c>
      <c r="C1262" s="1" t="n">
        <v>46079</v>
      </c>
      <c r="D1262" t="inlineStr">
        <is>
          <t>VÄSTERNORRLANDS LÄN</t>
        </is>
      </c>
      <c r="E1262" t="inlineStr">
        <is>
          <t>ÅNGE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7692-2024</t>
        </is>
      </c>
      <c r="B1263" s="1" t="n">
        <v>45349</v>
      </c>
      <c r="C1263" s="1" t="n">
        <v>46079</v>
      </c>
      <c r="D1263" t="inlineStr">
        <is>
          <t>VÄSTERNORRLANDS LÄN</t>
        </is>
      </c>
      <c r="E1263" t="inlineStr">
        <is>
          <t>ÅNGE</t>
        </is>
      </c>
      <c r="F1263" t="inlineStr">
        <is>
          <t>SCA</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29673-2024</t>
        </is>
      </c>
      <c r="B1264" s="1" t="n">
        <v>45484.94210648148</v>
      </c>
      <c r="C1264" s="1" t="n">
        <v>46079</v>
      </c>
      <c r="D1264" t="inlineStr">
        <is>
          <t>VÄSTERNORRLANDS LÄN</t>
        </is>
      </c>
      <c r="E1264" t="inlineStr">
        <is>
          <t>ÅNGE</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5602-2025</t>
        </is>
      </c>
      <c r="B1265" s="1" t="n">
        <v>45693</v>
      </c>
      <c r="C1265" s="1" t="n">
        <v>46079</v>
      </c>
      <c r="D1265" t="inlineStr">
        <is>
          <t>VÄSTERNORRLANDS LÄN</t>
        </is>
      </c>
      <c r="E1265" t="inlineStr">
        <is>
          <t>ÅNGE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54926-2025</t>
        </is>
      </c>
      <c r="B1266" s="1" t="n">
        <v>45967.40707175926</v>
      </c>
      <c r="C1266" s="1" t="n">
        <v>46079</v>
      </c>
      <c r="D1266" t="inlineStr">
        <is>
          <t>VÄSTERNORRLANDS LÄN</t>
        </is>
      </c>
      <c r="E1266" t="inlineStr">
        <is>
          <t>ÅNGE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30751-2024</t>
        </is>
      </c>
      <c r="B1267" s="1" t="n">
        <v>45496.69339120371</v>
      </c>
      <c r="C1267" s="1" t="n">
        <v>46079</v>
      </c>
      <c r="D1267" t="inlineStr">
        <is>
          <t>VÄSTERNORRLANDS LÄN</t>
        </is>
      </c>
      <c r="E1267" t="inlineStr">
        <is>
          <t>ÅNGE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55038-2025</t>
        </is>
      </c>
      <c r="B1268" s="1" t="n">
        <v>45967.65527777778</v>
      </c>
      <c r="C1268" s="1" t="n">
        <v>46079</v>
      </c>
      <c r="D1268" t="inlineStr">
        <is>
          <t>VÄSTERNORRLANDS LÄN</t>
        </is>
      </c>
      <c r="E1268" t="inlineStr">
        <is>
          <t>ÅNGE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55045-2025</t>
        </is>
      </c>
      <c r="B1269" s="1" t="n">
        <v>45967.66068287037</v>
      </c>
      <c r="C1269" s="1" t="n">
        <v>46079</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38099-2024</t>
        </is>
      </c>
      <c r="B1270" s="1" t="n">
        <v>45545.35920138889</v>
      </c>
      <c r="C1270" s="1" t="n">
        <v>46079</v>
      </c>
      <c r="D1270" t="inlineStr">
        <is>
          <t>VÄSTERNORRLANDS LÄN</t>
        </is>
      </c>
      <c r="E1270" t="inlineStr">
        <is>
          <t>ÅNGE</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44636-2024</t>
        </is>
      </c>
      <c r="B1271" s="1" t="n">
        <v>45574.51491898148</v>
      </c>
      <c r="C1271" s="1" t="n">
        <v>46079</v>
      </c>
      <c r="D1271" t="inlineStr">
        <is>
          <t>VÄSTERNORRLANDS LÄN</t>
        </is>
      </c>
      <c r="E1271" t="inlineStr">
        <is>
          <t>ÅNGE</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55049-2025</t>
        </is>
      </c>
      <c r="B1272" s="1" t="n">
        <v>45967.66614583333</v>
      </c>
      <c r="C1272" s="1" t="n">
        <v>46079</v>
      </c>
      <c r="D1272" t="inlineStr">
        <is>
          <t>VÄSTERNORRLANDS LÄN</t>
        </is>
      </c>
      <c r="E1272" t="inlineStr">
        <is>
          <t>ÅNGE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35143-2025</t>
        </is>
      </c>
      <c r="B1273" s="1" t="n">
        <v>45852.65660879629</v>
      </c>
      <c r="C1273" s="1" t="n">
        <v>46079</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35061-2025</t>
        </is>
      </c>
      <c r="B1274" s="1" t="n">
        <v>45852</v>
      </c>
      <c r="C1274" s="1" t="n">
        <v>46079</v>
      </c>
      <c r="D1274" t="inlineStr">
        <is>
          <t>VÄSTERNORRLANDS LÄN</t>
        </is>
      </c>
      <c r="E1274" t="inlineStr">
        <is>
          <t>ÅNGE</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64375-2023</t>
        </is>
      </c>
      <c r="B1275" s="1" t="n">
        <v>45280</v>
      </c>
      <c r="C1275" s="1" t="n">
        <v>46079</v>
      </c>
      <c r="D1275" t="inlineStr">
        <is>
          <t>VÄSTERNORRLANDS LÄN</t>
        </is>
      </c>
      <c r="E1275" t="inlineStr">
        <is>
          <t>ÅNGE</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55556-2025</t>
        </is>
      </c>
      <c r="B1276" s="1" t="n">
        <v>45971.64694444444</v>
      </c>
      <c r="C1276" s="1" t="n">
        <v>46079</v>
      </c>
      <c r="D1276" t="inlineStr">
        <is>
          <t>VÄSTERNORRLANDS LÄN</t>
        </is>
      </c>
      <c r="E1276" t="inlineStr">
        <is>
          <t>ÅNGE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60296-2021</t>
        </is>
      </c>
      <c r="B1277" s="1" t="n">
        <v>44495</v>
      </c>
      <c r="C1277" s="1" t="n">
        <v>46079</v>
      </c>
      <c r="D1277" t="inlineStr">
        <is>
          <t>VÄSTERNORRLANDS LÄN</t>
        </is>
      </c>
      <c r="E1277" t="inlineStr">
        <is>
          <t>ÅNGE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35503-2025</t>
        </is>
      </c>
      <c r="B1278" s="1" t="n">
        <v>45856</v>
      </c>
      <c r="C1278" s="1" t="n">
        <v>46079</v>
      </c>
      <c r="D1278" t="inlineStr">
        <is>
          <t>VÄSTERNORRLANDS LÄN</t>
        </is>
      </c>
      <c r="E1278" t="inlineStr">
        <is>
          <t>ÅNGE</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63556-2021</t>
        </is>
      </c>
      <c r="B1279" s="1" t="n">
        <v>44508.70231481481</v>
      </c>
      <c r="C1279" s="1" t="n">
        <v>46079</v>
      </c>
      <c r="D1279" t="inlineStr">
        <is>
          <t>VÄSTERNORRLANDS LÄN</t>
        </is>
      </c>
      <c r="E1279" t="inlineStr">
        <is>
          <t>ÅNGE</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35540-2025</t>
        </is>
      </c>
      <c r="B1280" s="1" t="n">
        <v>45856.46912037037</v>
      </c>
      <c r="C1280" s="1" t="n">
        <v>46079</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10922-2024</t>
        </is>
      </c>
      <c r="B1281" s="1" t="n">
        <v>45370</v>
      </c>
      <c r="C1281" s="1" t="n">
        <v>46079</v>
      </c>
      <c r="D1281" t="inlineStr">
        <is>
          <t>VÄSTERNORRLANDS LÄN</t>
        </is>
      </c>
      <c r="E1281" t="inlineStr">
        <is>
          <t>ÅNGE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35548-2025</t>
        </is>
      </c>
      <c r="B1282" s="1" t="n">
        <v>45856.48995370371</v>
      </c>
      <c r="C1282" s="1" t="n">
        <v>46079</v>
      </c>
      <c r="D1282" t="inlineStr">
        <is>
          <t>VÄSTERNORRLANDS LÄN</t>
        </is>
      </c>
      <c r="E1282" t="inlineStr">
        <is>
          <t>ÅNGE</t>
        </is>
      </c>
      <c r="F1282" t="inlineStr">
        <is>
          <t>SCA</t>
        </is>
      </c>
      <c r="G1282" t="n">
        <v>14.6</v>
      </c>
      <c r="H1282" t="n">
        <v>0</v>
      </c>
      <c r="I1282" t="n">
        <v>0</v>
      </c>
      <c r="J1282" t="n">
        <v>0</v>
      </c>
      <c r="K1282" t="n">
        <v>0</v>
      </c>
      <c r="L1282" t="n">
        <v>0</v>
      </c>
      <c r="M1282" t="n">
        <v>0</v>
      </c>
      <c r="N1282" t="n">
        <v>0</v>
      </c>
      <c r="O1282" t="n">
        <v>0</v>
      </c>
      <c r="P1282" t="n">
        <v>0</v>
      </c>
      <c r="Q1282" t="n">
        <v>0</v>
      </c>
      <c r="R1282" s="2" t="inlineStr"/>
    </row>
    <row r="1283" ht="15" customHeight="1">
      <c r="A1283" t="inlineStr">
        <is>
          <t>A 35575-2025</t>
        </is>
      </c>
      <c r="B1283" s="1" t="n">
        <v>45856.63591435185</v>
      </c>
      <c r="C1283" s="1" t="n">
        <v>46079</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35497-2025</t>
        </is>
      </c>
      <c r="B1284" s="1" t="n">
        <v>45856.29752314815</v>
      </c>
      <c r="C1284" s="1" t="n">
        <v>46079</v>
      </c>
      <c r="D1284" t="inlineStr">
        <is>
          <t>VÄSTERNORRLANDS LÄN</t>
        </is>
      </c>
      <c r="E1284" t="inlineStr">
        <is>
          <t>ÅNGE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21089-2024</t>
        </is>
      </c>
      <c r="B1285" s="1" t="n">
        <v>45439.94987268518</v>
      </c>
      <c r="C1285" s="1" t="n">
        <v>46079</v>
      </c>
      <c r="D1285" t="inlineStr">
        <is>
          <t>VÄSTERNORRLANDS LÄN</t>
        </is>
      </c>
      <c r="E1285" t="inlineStr">
        <is>
          <t>ÅNGE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35432-2025</t>
        </is>
      </c>
      <c r="B1286" s="1" t="n">
        <v>45855.44831018519</v>
      </c>
      <c r="C1286" s="1" t="n">
        <v>46079</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35577-2025</t>
        </is>
      </c>
      <c r="B1287" s="1" t="n">
        <v>45856.67762731481</v>
      </c>
      <c r="C1287" s="1" t="n">
        <v>46079</v>
      </c>
      <c r="D1287" t="inlineStr">
        <is>
          <t>VÄSTERNORRLANDS LÄN</t>
        </is>
      </c>
      <c r="E1287" t="inlineStr">
        <is>
          <t>ÅNGE</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64950-2023</t>
        </is>
      </c>
      <c r="B1288" s="1" t="n">
        <v>45282</v>
      </c>
      <c r="C1288" s="1" t="n">
        <v>46079</v>
      </c>
      <c r="D1288" t="inlineStr">
        <is>
          <t>VÄSTERNORRLANDS LÄN</t>
        </is>
      </c>
      <c r="E1288" t="inlineStr">
        <is>
          <t>ÅNGE</t>
        </is>
      </c>
      <c r="F1288" t="inlineStr">
        <is>
          <t>SCA</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35690-2025</t>
        </is>
      </c>
      <c r="B1289" s="1" t="n">
        <v>45860.34421296296</v>
      </c>
      <c r="C1289" s="1" t="n">
        <v>46079</v>
      </c>
      <c r="D1289" t="inlineStr">
        <is>
          <t>VÄSTERNORRLANDS LÄN</t>
        </is>
      </c>
      <c r="E1289" t="inlineStr">
        <is>
          <t>ÅNGE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56077-2025</t>
        </is>
      </c>
      <c r="B1290" s="1" t="n">
        <v>45973.65759259259</v>
      </c>
      <c r="C1290" s="1" t="n">
        <v>46079</v>
      </c>
      <c r="D1290" t="inlineStr">
        <is>
          <t>VÄSTERNORRLANDS LÄN</t>
        </is>
      </c>
      <c r="E1290" t="inlineStr">
        <is>
          <t>ÅNGE</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55816-2025</t>
        </is>
      </c>
      <c r="B1291" s="1" t="n">
        <v>45972.69851851852</v>
      </c>
      <c r="C1291" s="1" t="n">
        <v>46079</v>
      </c>
      <c r="D1291" t="inlineStr">
        <is>
          <t>VÄSTERNORRLANDS LÄN</t>
        </is>
      </c>
      <c r="E1291" t="inlineStr">
        <is>
          <t>ÅNGE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20393-2022</t>
        </is>
      </c>
      <c r="B1292" s="1" t="n">
        <v>44699</v>
      </c>
      <c r="C1292" s="1" t="n">
        <v>46079</v>
      </c>
      <c r="D1292" t="inlineStr">
        <is>
          <t>VÄSTERNORRLANDS LÄN</t>
        </is>
      </c>
      <c r="E1292" t="inlineStr">
        <is>
          <t>ÅNGE</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4727-2023</t>
        </is>
      </c>
      <c r="B1293" s="1" t="n">
        <v>44953</v>
      </c>
      <c r="C1293" s="1" t="n">
        <v>46079</v>
      </c>
      <c r="D1293" t="inlineStr">
        <is>
          <t>VÄSTERNORRLANDS LÄN</t>
        </is>
      </c>
      <c r="E1293" t="inlineStr">
        <is>
          <t>ÅNGE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35650-2024</t>
        </is>
      </c>
      <c r="B1294" s="1" t="n">
        <v>45532.34123842593</v>
      </c>
      <c r="C1294" s="1" t="n">
        <v>46079</v>
      </c>
      <c r="D1294" t="inlineStr">
        <is>
          <t>VÄSTERNORRLANDS LÄN</t>
        </is>
      </c>
      <c r="E1294" t="inlineStr">
        <is>
          <t>ÅNGE</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3357-2024</t>
        </is>
      </c>
      <c r="B1295" s="1" t="n">
        <v>45317</v>
      </c>
      <c r="C1295" s="1" t="n">
        <v>46079</v>
      </c>
      <c r="D1295" t="inlineStr">
        <is>
          <t>VÄSTERNORRLANDS LÄN</t>
        </is>
      </c>
      <c r="E1295" t="inlineStr">
        <is>
          <t>ÅNGE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35766-2025</t>
        </is>
      </c>
      <c r="B1296" s="1" t="n">
        <v>45860.63077546296</v>
      </c>
      <c r="C1296" s="1" t="n">
        <v>46079</v>
      </c>
      <c r="D1296" t="inlineStr">
        <is>
          <t>VÄSTERNORRLANDS LÄN</t>
        </is>
      </c>
      <c r="E1296" t="inlineStr">
        <is>
          <t>ÅNGE</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46332-2023</t>
        </is>
      </c>
      <c r="B1297" s="1" t="n">
        <v>45196</v>
      </c>
      <c r="C1297" s="1" t="n">
        <v>46079</v>
      </c>
      <c r="D1297" t="inlineStr">
        <is>
          <t>VÄSTERNORRLANDS LÄN</t>
        </is>
      </c>
      <c r="E1297" t="inlineStr">
        <is>
          <t>ÅNGE</t>
        </is>
      </c>
      <c r="F1297" t="inlineStr">
        <is>
          <t>SCA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56423-2025</t>
        </is>
      </c>
      <c r="B1298" s="1" t="n">
        <v>45975.34528935186</v>
      </c>
      <c r="C1298" s="1" t="n">
        <v>46079</v>
      </c>
      <c r="D1298" t="inlineStr">
        <is>
          <t>VÄSTERNORRLANDS LÄN</t>
        </is>
      </c>
      <c r="E1298" t="inlineStr">
        <is>
          <t>ÅNGE</t>
        </is>
      </c>
      <c r="F1298" t="inlineStr">
        <is>
          <t>SCA</t>
        </is>
      </c>
      <c r="G1298" t="n">
        <v>1.5</v>
      </c>
      <c r="H1298" t="n">
        <v>0</v>
      </c>
      <c r="I1298" t="n">
        <v>0</v>
      </c>
      <c r="J1298" t="n">
        <v>0</v>
      </c>
      <c r="K1298" t="n">
        <v>0</v>
      </c>
      <c r="L1298" t="n">
        <v>0</v>
      </c>
      <c r="M1298" t="n">
        <v>0</v>
      </c>
      <c r="N1298" t="n">
        <v>0</v>
      </c>
      <c r="O1298" t="n">
        <v>0</v>
      </c>
      <c r="P1298" t="n">
        <v>0</v>
      </c>
      <c r="Q1298" t="n">
        <v>0</v>
      </c>
      <c r="R1298" s="2" t="inlineStr"/>
      <c r="U1298">
        <f>HYPERLINK("https://klasma.github.io/Logging_2260/knärot/A 56423-2025 karta knärot.png", "A 56423-2025")</f>
        <v/>
      </c>
      <c r="V1298">
        <f>HYPERLINK("https://klasma.github.io/Logging_2260/klagomål/A 56423-2025 FSC-klagomål.docx", "A 56423-2025")</f>
        <v/>
      </c>
      <c r="W1298">
        <f>HYPERLINK("https://klasma.github.io/Logging_2260/klagomålsmail/A 56423-2025 FSC-klagomål mail.docx", "A 56423-2025")</f>
        <v/>
      </c>
      <c r="X1298">
        <f>HYPERLINK("https://klasma.github.io/Logging_2260/tillsyn/A 56423-2025 tillsynsbegäran.docx", "A 56423-2025")</f>
        <v/>
      </c>
      <c r="Y1298">
        <f>HYPERLINK("https://klasma.github.io/Logging_2260/tillsynsmail/A 56423-2025 tillsynsbegäran mail.docx", "A 56423-2025")</f>
        <v/>
      </c>
    </row>
    <row r="1299" ht="15" customHeight="1">
      <c r="A1299" t="inlineStr">
        <is>
          <t>A 35826-2025</t>
        </is>
      </c>
      <c r="B1299" s="1" t="n">
        <v>45861.48997685185</v>
      </c>
      <c r="C1299" s="1" t="n">
        <v>46079</v>
      </c>
      <c r="D1299" t="inlineStr">
        <is>
          <t>VÄSTERNORRLANDS LÄN</t>
        </is>
      </c>
      <c r="E1299" t="inlineStr">
        <is>
          <t>ÅNGE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35838-2025</t>
        </is>
      </c>
      <c r="B1300" s="1" t="n">
        <v>45861.53829861111</v>
      </c>
      <c r="C1300" s="1" t="n">
        <v>46079</v>
      </c>
      <c r="D1300" t="inlineStr">
        <is>
          <t>VÄSTERNORRLANDS LÄN</t>
        </is>
      </c>
      <c r="E1300" t="inlineStr">
        <is>
          <t>ÅNGE</t>
        </is>
      </c>
      <c r="F1300" t="inlineStr">
        <is>
          <t>Sveaskog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35827-2025</t>
        </is>
      </c>
      <c r="B1301" s="1" t="n">
        <v>45861.49017361111</v>
      </c>
      <c r="C1301" s="1" t="n">
        <v>46079</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56849-2025</t>
        </is>
      </c>
      <c r="B1302" s="1" t="n">
        <v>45978.48989583334</v>
      </c>
      <c r="C1302" s="1" t="n">
        <v>46079</v>
      </c>
      <c r="D1302" t="inlineStr">
        <is>
          <t>VÄSTERNORRLANDS LÄN</t>
        </is>
      </c>
      <c r="E1302" t="inlineStr">
        <is>
          <t>ÅNGE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30683-2024</t>
        </is>
      </c>
      <c r="B1303" s="1" t="n">
        <v>45495</v>
      </c>
      <c r="C1303" s="1" t="n">
        <v>46079</v>
      </c>
      <c r="D1303" t="inlineStr">
        <is>
          <t>VÄSTERNORRLANDS LÄN</t>
        </is>
      </c>
      <c r="E1303" t="inlineStr">
        <is>
          <t>ÅNGE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56419-2025</t>
        </is>
      </c>
      <c r="B1304" s="1" t="n">
        <v>45975.34445601852</v>
      </c>
      <c r="C1304" s="1" t="n">
        <v>46079</v>
      </c>
      <c r="D1304" t="inlineStr">
        <is>
          <t>VÄSTERNORRLANDS LÄN</t>
        </is>
      </c>
      <c r="E1304" t="inlineStr">
        <is>
          <t>ÅNGE</t>
        </is>
      </c>
      <c r="F1304" t="inlineStr">
        <is>
          <t>SCA</t>
        </is>
      </c>
      <c r="G1304" t="n">
        <v>21.4</v>
      </c>
      <c r="H1304" t="n">
        <v>0</v>
      </c>
      <c r="I1304" t="n">
        <v>0</v>
      </c>
      <c r="J1304" t="n">
        <v>0</v>
      </c>
      <c r="K1304" t="n">
        <v>0</v>
      </c>
      <c r="L1304" t="n">
        <v>0</v>
      </c>
      <c r="M1304" t="n">
        <v>0</v>
      </c>
      <c r="N1304" t="n">
        <v>0</v>
      </c>
      <c r="O1304" t="n">
        <v>0</v>
      </c>
      <c r="P1304" t="n">
        <v>0</v>
      </c>
      <c r="Q1304" t="n">
        <v>0</v>
      </c>
      <c r="R1304" s="2" t="inlineStr"/>
    </row>
    <row r="1305" ht="15" customHeight="1">
      <c r="A1305" t="inlineStr">
        <is>
          <t>A 56666-2025</t>
        </is>
      </c>
      <c r="B1305" s="1" t="n">
        <v>45975.67747685185</v>
      </c>
      <c r="C1305" s="1" t="n">
        <v>46079</v>
      </c>
      <c r="D1305" t="inlineStr">
        <is>
          <t>VÄSTERNORRLANDS LÄN</t>
        </is>
      </c>
      <c r="E1305" t="inlineStr">
        <is>
          <t>ÅNGE</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56741-2025</t>
        </is>
      </c>
      <c r="B1306" s="1" t="n">
        <v>45978.34726851852</v>
      </c>
      <c r="C1306" s="1" t="n">
        <v>46079</v>
      </c>
      <c r="D1306" t="inlineStr">
        <is>
          <t>VÄSTERNORRLANDS LÄN</t>
        </is>
      </c>
      <c r="E1306" t="inlineStr">
        <is>
          <t>ÅNGE</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64945-2023</t>
        </is>
      </c>
      <c r="B1307" s="1" t="n">
        <v>45282.94668981482</v>
      </c>
      <c r="C1307" s="1" t="n">
        <v>46079</v>
      </c>
      <c r="D1307" t="inlineStr">
        <is>
          <t>VÄSTERNORRLANDS LÄN</t>
        </is>
      </c>
      <c r="E1307" t="inlineStr">
        <is>
          <t>ÅNGE</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57022-2025</t>
        </is>
      </c>
      <c r="B1308" s="1" t="n">
        <v>45978.88921296296</v>
      </c>
      <c r="C1308" s="1" t="n">
        <v>46079</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23018-2021</t>
        </is>
      </c>
      <c r="B1309" s="1" t="n">
        <v>44328</v>
      </c>
      <c r="C1309" s="1" t="n">
        <v>46079</v>
      </c>
      <c r="D1309" t="inlineStr">
        <is>
          <t>VÄSTERNORRLANDS LÄN</t>
        </is>
      </c>
      <c r="E1309" t="inlineStr">
        <is>
          <t>ÅNGE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57283-2025</t>
        </is>
      </c>
      <c r="B1310" s="1" t="n">
        <v>45979.71918981482</v>
      </c>
      <c r="C1310" s="1" t="n">
        <v>46079</v>
      </c>
      <c r="D1310" t="inlineStr">
        <is>
          <t>VÄSTERNORRLANDS LÄN</t>
        </is>
      </c>
      <c r="E1310" t="inlineStr">
        <is>
          <t>ÅNGE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57457-2025</t>
        </is>
      </c>
      <c r="B1311" s="1" t="n">
        <v>45980.53001157408</v>
      </c>
      <c r="C1311" s="1" t="n">
        <v>46079</v>
      </c>
      <c r="D1311" t="inlineStr">
        <is>
          <t>VÄSTERNORRLANDS LÄN</t>
        </is>
      </c>
      <c r="E1311" t="inlineStr">
        <is>
          <t>ÅNGE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31866-2024</t>
        </is>
      </c>
      <c r="B1312" s="1" t="n">
        <v>45509</v>
      </c>
      <c r="C1312" s="1" t="n">
        <v>46079</v>
      </c>
      <c r="D1312" t="inlineStr">
        <is>
          <t>VÄSTERNORRLANDS LÄN</t>
        </is>
      </c>
      <c r="E1312" t="inlineStr">
        <is>
          <t>ÅNGE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31867-2024</t>
        </is>
      </c>
      <c r="B1313" s="1" t="n">
        <v>45509</v>
      </c>
      <c r="C1313" s="1" t="n">
        <v>46079</v>
      </c>
      <c r="D1313" t="inlineStr">
        <is>
          <t>VÄSTERNORRLANDS LÄN</t>
        </is>
      </c>
      <c r="E1313" t="inlineStr">
        <is>
          <t>ÅNGE</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39178-2024</t>
        </is>
      </c>
      <c r="B1314" s="1" t="n">
        <v>45548.65692129629</v>
      </c>
      <c r="C1314" s="1" t="n">
        <v>46079</v>
      </c>
      <c r="D1314" t="inlineStr">
        <is>
          <t>VÄSTERNORRLANDS LÄN</t>
        </is>
      </c>
      <c r="E1314" t="inlineStr">
        <is>
          <t>ÅNGE</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36205-2025</t>
        </is>
      </c>
      <c r="B1315" s="1" t="n">
        <v>45867.44855324074</v>
      </c>
      <c r="C1315" s="1" t="n">
        <v>46079</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57302-2025</t>
        </is>
      </c>
      <c r="B1316" s="1" t="n">
        <v>45979.87184027778</v>
      </c>
      <c r="C1316" s="1" t="n">
        <v>46079</v>
      </c>
      <c r="D1316" t="inlineStr">
        <is>
          <t>VÄSTERNORRLANDS LÄN</t>
        </is>
      </c>
      <c r="E1316" t="inlineStr">
        <is>
          <t>ÅNGE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36240-2025</t>
        </is>
      </c>
      <c r="B1317" s="1" t="n">
        <v>45867.55298611111</v>
      </c>
      <c r="C1317" s="1" t="n">
        <v>46079</v>
      </c>
      <c r="D1317" t="inlineStr">
        <is>
          <t>VÄSTERNORRLANDS LÄN</t>
        </is>
      </c>
      <c r="E1317" t="inlineStr">
        <is>
          <t>ÅNGE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36210-2025</t>
        </is>
      </c>
      <c r="B1318" s="1" t="n">
        <v>45867.46930555555</v>
      </c>
      <c r="C1318" s="1" t="n">
        <v>46079</v>
      </c>
      <c r="D1318" t="inlineStr">
        <is>
          <t>VÄSTERNORRLANDS LÄN</t>
        </is>
      </c>
      <c r="E1318" t="inlineStr">
        <is>
          <t>ÅNGE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36236-2025</t>
        </is>
      </c>
      <c r="B1319" s="1" t="n">
        <v>45867.55245370371</v>
      </c>
      <c r="C1319" s="1" t="n">
        <v>46079</v>
      </c>
      <c r="D1319" t="inlineStr">
        <is>
          <t>VÄSTERNORRLANDS LÄN</t>
        </is>
      </c>
      <c r="E1319" t="inlineStr">
        <is>
          <t>ÅNGE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57081-2025</t>
        </is>
      </c>
      <c r="B1320" s="1" t="n">
        <v>45979.40826388889</v>
      </c>
      <c r="C1320" s="1" t="n">
        <v>46079</v>
      </c>
      <c r="D1320" t="inlineStr">
        <is>
          <t>VÄSTERNORRLANDS LÄN</t>
        </is>
      </c>
      <c r="E1320" t="inlineStr">
        <is>
          <t>ÅNGE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36248-2025</t>
        </is>
      </c>
      <c r="B1321" s="1" t="n">
        <v>45867.57326388889</v>
      </c>
      <c r="C1321" s="1" t="n">
        <v>46079</v>
      </c>
      <c r="D1321" t="inlineStr">
        <is>
          <t>VÄSTERNORRLANDS LÄN</t>
        </is>
      </c>
      <c r="E1321" t="inlineStr">
        <is>
          <t>ÅNGE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57371-2025</t>
        </is>
      </c>
      <c r="B1322" s="1" t="n">
        <v>45980.38586805556</v>
      </c>
      <c r="C1322" s="1" t="n">
        <v>46079</v>
      </c>
      <c r="D1322" t="inlineStr">
        <is>
          <t>VÄSTERNORRLANDS LÄN</t>
        </is>
      </c>
      <c r="E1322" t="inlineStr">
        <is>
          <t>ÅNGE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29193-2024</t>
        </is>
      </c>
      <c r="B1323" s="1" t="n">
        <v>45482.56510416666</v>
      </c>
      <c r="C1323" s="1" t="n">
        <v>46079</v>
      </c>
      <c r="D1323" t="inlineStr">
        <is>
          <t>VÄSTERNORRLANDS LÄN</t>
        </is>
      </c>
      <c r="E1323" t="inlineStr">
        <is>
          <t>ÅNGE</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42040-2024</t>
        </is>
      </c>
      <c r="B1324" s="1" t="n">
        <v>45561.80983796297</v>
      </c>
      <c r="C1324" s="1" t="n">
        <v>46079</v>
      </c>
      <c r="D1324" t="inlineStr">
        <is>
          <t>VÄSTERNORRLANDS LÄN</t>
        </is>
      </c>
      <c r="E1324" t="inlineStr">
        <is>
          <t>ÅNGE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57961-2025</t>
        </is>
      </c>
      <c r="B1325" s="1" t="n">
        <v>45982.36502314815</v>
      </c>
      <c r="C1325" s="1" t="n">
        <v>46079</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36237-2025</t>
        </is>
      </c>
      <c r="B1326" s="1" t="n">
        <v>45867.55263888889</v>
      </c>
      <c r="C1326" s="1" t="n">
        <v>46079</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36193-2025</t>
        </is>
      </c>
      <c r="B1327" s="1" t="n">
        <v>45867.42741898148</v>
      </c>
      <c r="C1327" s="1" t="n">
        <v>46079</v>
      </c>
      <c r="D1327" t="inlineStr">
        <is>
          <t>VÄSTERNORRLANDS LÄN</t>
        </is>
      </c>
      <c r="E1327" t="inlineStr">
        <is>
          <t>ÅNGE</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36336-2025</t>
        </is>
      </c>
      <c r="B1328" s="1" t="n">
        <v>45868.44751157407</v>
      </c>
      <c r="C1328" s="1" t="n">
        <v>46079</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34691-2024</t>
        </is>
      </c>
      <c r="B1329" s="1" t="n">
        <v>45526.54516203704</v>
      </c>
      <c r="C1329" s="1" t="n">
        <v>46079</v>
      </c>
      <c r="D1329" t="inlineStr">
        <is>
          <t>VÄSTERNORRLANDS LÄN</t>
        </is>
      </c>
      <c r="E1329" t="inlineStr">
        <is>
          <t>ÅNGE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54210-2024</t>
        </is>
      </c>
      <c r="B1330" s="1" t="n">
        <v>45616.65662037037</v>
      </c>
      <c r="C1330" s="1" t="n">
        <v>46079</v>
      </c>
      <c r="D1330" t="inlineStr">
        <is>
          <t>VÄSTERNORRLANDS LÄN</t>
        </is>
      </c>
      <c r="E1330" t="inlineStr">
        <is>
          <t>ÅNGE</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36457-2025</t>
        </is>
      </c>
      <c r="B1331" s="1" t="n">
        <v>45869.44842592593</v>
      </c>
      <c r="C1331" s="1" t="n">
        <v>46079</v>
      </c>
      <c r="D1331" t="inlineStr">
        <is>
          <t>VÄSTERNORRLANDS LÄN</t>
        </is>
      </c>
      <c r="E1331" t="inlineStr">
        <is>
          <t>ÅNGE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58048-2025</t>
        </is>
      </c>
      <c r="B1332" s="1" t="n">
        <v>45982.5109837963</v>
      </c>
      <c r="C1332" s="1" t="n">
        <v>46079</v>
      </c>
      <c r="D1332" t="inlineStr">
        <is>
          <t>VÄSTERNORRLANDS LÄN</t>
        </is>
      </c>
      <c r="E1332" t="inlineStr">
        <is>
          <t>ÅNGE</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52805-2024</t>
        </is>
      </c>
      <c r="B1333" s="1" t="n">
        <v>45610.57344907407</v>
      </c>
      <c r="C1333" s="1" t="n">
        <v>46079</v>
      </c>
      <c r="D1333" t="inlineStr">
        <is>
          <t>VÄSTERNORRLANDS LÄN</t>
        </is>
      </c>
      <c r="E1333" t="inlineStr">
        <is>
          <t>ÅNGE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61577-2023</t>
        </is>
      </c>
      <c r="B1334" s="1" t="n">
        <v>45265.47366898148</v>
      </c>
      <c r="C1334" s="1" t="n">
        <v>46079</v>
      </c>
      <c r="D1334" t="inlineStr">
        <is>
          <t>VÄSTERNORRLANDS LÄN</t>
        </is>
      </c>
      <c r="E1334" t="inlineStr">
        <is>
          <t>ÅNGE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1735-2025</t>
        </is>
      </c>
      <c r="B1335" s="1" t="n">
        <v>45671.38594907407</v>
      </c>
      <c r="C1335" s="1" t="n">
        <v>46079</v>
      </c>
      <c r="D1335" t="inlineStr">
        <is>
          <t>VÄSTERNORRLANDS LÄN</t>
        </is>
      </c>
      <c r="E1335" t="inlineStr">
        <is>
          <t>ÅNGE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45939-2023</t>
        </is>
      </c>
      <c r="B1336" s="1" t="n">
        <v>45195.94578703704</v>
      </c>
      <c r="C1336" s="1" t="n">
        <v>46079</v>
      </c>
      <c r="D1336" t="inlineStr">
        <is>
          <t>VÄSTERNORRLANDS LÄN</t>
        </is>
      </c>
      <c r="E1336" t="inlineStr">
        <is>
          <t>ÅNGE</t>
        </is>
      </c>
      <c r="F1336" t="inlineStr">
        <is>
          <t>SCA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36456-2025</t>
        </is>
      </c>
      <c r="B1337" s="1" t="n">
        <v>45869.44827546296</v>
      </c>
      <c r="C1337" s="1" t="n">
        <v>46079</v>
      </c>
      <c r="D1337" t="inlineStr">
        <is>
          <t>VÄSTERNORRLANDS LÄN</t>
        </is>
      </c>
      <c r="E1337" t="inlineStr">
        <is>
          <t>ÅNGE</t>
        </is>
      </c>
      <c r="F1337" t="inlineStr">
        <is>
          <t>SCA</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36491-2025</t>
        </is>
      </c>
      <c r="B1338" s="1" t="n">
        <v>45869.53173611111</v>
      </c>
      <c r="C1338" s="1" t="n">
        <v>46079</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61585-2022</t>
        </is>
      </c>
      <c r="B1339" s="1" t="n">
        <v>44916.63380787037</v>
      </c>
      <c r="C1339" s="1" t="n">
        <v>46079</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57615-2025</t>
        </is>
      </c>
      <c r="B1340" s="1" t="n">
        <v>45981.34431712963</v>
      </c>
      <c r="C1340" s="1" t="n">
        <v>46079</v>
      </c>
      <c r="D1340" t="inlineStr">
        <is>
          <t>VÄSTERNORRLANDS LÄN</t>
        </is>
      </c>
      <c r="E1340" t="inlineStr">
        <is>
          <t>ÅNGE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57991-2025</t>
        </is>
      </c>
      <c r="B1341" s="1" t="n">
        <v>45982.42438657407</v>
      </c>
      <c r="C1341" s="1" t="n">
        <v>46079</v>
      </c>
      <c r="D1341" t="inlineStr">
        <is>
          <t>VÄSTERNORRLANDS LÄN</t>
        </is>
      </c>
      <c r="E1341" t="inlineStr">
        <is>
          <t>ÅNGE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36873-2025</t>
        </is>
      </c>
      <c r="B1342" s="1" t="n">
        <v>45874.42935185185</v>
      </c>
      <c r="C1342" s="1" t="n">
        <v>46079</v>
      </c>
      <c r="D1342" t="inlineStr">
        <is>
          <t>VÄSTERNORRLANDS LÄN</t>
        </is>
      </c>
      <c r="E1342" t="inlineStr">
        <is>
          <t>ÅNGE</t>
        </is>
      </c>
      <c r="F1342" t="inlineStr">
        <is>
          <t>SCA</t>
        </is>
      </c>
      <c r="G1342" t="n">
        <v>16.9</v>
      </c>
      <c r="H1342" t="n">
        <v>0</v>
      </c>
      <c r="I1342" t="n">
        <v>0</v>
      </c>
      <c r="J1342" t="n">
        <v>0</v>
      </c>
      <c r="K1342" t="n">
        <v>0</v>
      </c>
      <c r="L1342" t="n">
        <v>0</v>
      </c>
      <c r="M1342" t="n">
        <v>0</v>
      </c>
      <c r="N1342" t="n">
        <v>0</v>
      </c>
      <c r="O1342" t="n">
        <v>0</v>
      </c>
      <c r="P1342" t="n">
        <v>0</v>
      </c>
      <c r="Q1342" t="n">
        <v>0</v>
      </c>
      <c r="R1342" s="2" t="inlineStr"/>
    </row>
    <row r="1343" ht="15" customHeight="1">
      <c r="A1343" t="inlineStr">
        <is>
          <t>A 3574-2025</t>
        </is>
      </c>
      <c r="B1343" s="1" t="n">
        <v>45680.71916666667</v>
      </c>
      <c r="C1343" s="1" t="n">
        <v>46079</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57950-2025</t>
        </is>
      </c>
      <c r="B1344" s="1" t="n">
        <v>45982.34473379629</v>
      </c>
      <c r="C1344" s="1" t="n">
        <v>46079</v>
      </c>
      <c r="D1344" t="inlineStr">
        <is>
          <t>VÄSTERNORRLANDS LÄN</t>
        </is>
      </c>
      <c r="E1344" t="inlineStr">
        <is>
          <t>ÅNGE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57960-2025</t>
        </is>
      </c>
      <c r="B1345" s="1" t="n">
        <v>45982.36494212963</v>
      </c>
      <c r="C1345" s="1" t="n">
        <v>46079</v>
      </c>
      <c r="D1345" t="inlineStr">
        <is>
          <t>VÄSTERNORRLANDS LÄN</t>
        </is>
      </c>
      <c r="E1345" t="inlineStr">
        <is>
          <t>ÅNGE</t>
        </is>
      </c>
      <c r="F1345" t="inlineStr">
        <is>
          <t>SCA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58750-2025</t>
        </is>
      </c>
      <c r="B1346" s="1" t="n">
        <v>45986.64064814815</v>
      </c>
      <c r="C1346" s="1" t="n">
        <v>46079</v>
      </c>
      <c r="D1346" t="inlineStr">
        <is>
          <t>VÄSTERNORRLANDS LÄN</t>
        </is>
      </c>
      <c r="E1346" t="inlineStr">
        <is>
          <t>ÅNGE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58536-2025</t>
        </is>
      </c>
      <c r="B1347" s="1" t="n">
        <v>45985.83274305556</v>
      </c>
      <c r="C1347" s="1" t="n">
        <v>46079</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58388-2025</t>
        </is>
      </c>
      <c r="B1348" s="1" t="n">
        <v>45985.54685185185</v>
      </c>
      <c r="C1348" s="1" t="n">
        <v>46079</v>
      </c>
      <c r="D1348" t="inlineStr">
        <is>
          <t>VÄSTERNORRLANDS LÄN</t>
        </is>
      </c>
      <c r="E1348" t="inlineStr">
        <is>
          <t>ÅNGE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58366-2025</t>
        </is>
      </c>
      <c r="B1349" s="1" t="n">
        <v>45985.52600694444</v>
      </c>
      <c r="C1349" s="1" t="n">
        <v>46079</v>
      </c>
      <c r="D1349" t="inlineStr">
        <is>
          <t>VÄSTERNORRLANDS LÄN</t>
        </is>
      </c>
      <c r="E1349" t="inlineStr">
        <is>
          <t>ÅNGE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58268-2025</t>
        </is>
      </c>
      <c r="B1350" s="1" t="n">
        <v>45985.42450231482</v>
      </c>
      <c r="C1350" s="1" t="n">
        <v>46079</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58588-2025</t>
        </is>
      </c>
      <c r="B1351" s="1" t="n">
        <v>45986.4065625</v>
      </c>
      <c r="C1351" s="1" t="n">
        <v>46079</v>
      </c>
      <c r="D1351" t="inlineStr">
        <is>
          <t>VÄSTERNORRLANDS LÄN</t>
        </is>
      </c>
      <c r="E1351" t="inlineStr">
        <is>
          <t>ÅNGE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58605-2025</t>
        </is>
      </c>
      <c r="B1352" s="1" t="n">
        <v>45986</v>
      </c>
      <c r="C1352" s="1" t="n">
        <v>46079</v>
      </c>
      <c r="D1352" t="inlineStr">
        <is>
          <t>VÄSTERNORRLANDS LÄN</t>
        </is>
      </c>
      <c r="E1352" t="inlineStr">
        <is>
          <t>ÅNGE</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58585-2025</t>
        </is>
      </c>
      <c r="B1353" s="1" t="n">
        <v>45986.39733796296</v>
      </c>
      <c r="C1353" s="1" t="n">
        <v>46079</v>
      </c>
      <c r="D1353" t="inlineStr">
        <is>
          <t>VÄSTERNORRLANDS LÄN</t>
        </is>
      </c>
      <c r="E1353" t="inlineStr">
        <is>
          <t>ÅNGE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58486-2025</t>
        </is>
      </c>
      <c r="B1354" s="1" t="n">
        <v>45985.65660879629</v>
      </c>
      <c r="C1354" s="1" t="n">
        <v>46079</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29048-2021</t>
        </is>
      </c>
      <c r="B1355" s="1" t="n">
        <v>44358</v>
      </c>
      <c r="C1355" s="1" t="n">
        <v>46079</v>
      </c>
      <c r="D1355" t="inlineStr">
        <is>
          <t>VÄSTERNORRLANDS LÄN</t>
        </is>
      </c>
      <c r="E1355" t="inlineStr">
        <is>
          <t>ÅNGE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36740-2025</t>
        </is>
      </c>
      <c r="B1356" s="1" t="n">
        <v>45873.53237268519</v>
      </c>
      <c r="C1356" s="1" t="n">
        <v>46079</v>
      </c>
      <c r="D1356" t="inlineStr">
        <is>
          <t>VÄSTERNORRLANDS LÄN</t>
        </is>
      </c>
      <c r="E1356" t="inlineStr">
        <is>
          <t>ÅNGE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58242-2025</t>
        </is>
      </c>
      <c r="B1357" s="1" t="n">
        <v>45985.38802083334</v>
      </c>
      <c r="C1357" s="1" t="n">
        <v>46079</v>
      </c>
      <c r="D1357" t="inlineStr">
        <is>
          <t>VÄSTERNORRLANDS LÄN</t>
        </is>
      </c>
      <c r="E1357" t="inlineStr">
        <is>
          <t>ÅNGE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58439-2025</t>
        </is>
      </c>
      <c r="B1358" s="1" t="n">
        <v>45985.61518518518</v>
      </c>
      <c r="C1358" s="1" t="n">
        <v>46079</v>
      </c>
      <c r="D1358" t="inlineStr">
        <is>
          <t>VÄSTERNORRLANDS LÄN</t>
        </is>
      </c>
      <c r="E1358" t="inlineStr">
        <is>
          <t>ÅNGE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58524-2025</t>
        </is>
      </c>
      <c r="B1359" s="1" t="n">
        <v>45985.7190162037</v>
      </c>
      <c r="C1359" s="1" t="n">
        <v>46079</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58639-2025</t>
        </is>
      </c>
      <c r="B1360" s="1" t="n">
        <v>45986.49042824074</v>
      </c>
      <c r="C1360" s="1" t="n">
        <v>46079</v>
      </c>
      <c r="D1360" t="inlineStr">
        <is>
          <t>VÄSTERNORRLANDS LÄN</t>
        </is>
      </c>
      <c r="E1360" t="inlineStr">
        <is>
          <t>ÅNGE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36249-2025</t>
        </is>
      </c>
      <c r="B1361" s="1" t="n">
        <v>45867</v>
      </c>
      <c r="C1361" s="1" t="n">
        <v>46079</v>
      </c>
      <c r="D1361" t="inlineStr">
        <is>
          <t>VÄSTERNORRLANDS LÄN</t>
        </is>
      </c>
      <c r="E1361" t="inlineStr">
        <is>
          <t>ÅNGE</t>
        </is>
      </c>
      <c r="F1361" t="inlineStr">
        <is>
          <t>SCA</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58599-2025</t>
        </is>
      </c>
      <c r="B1362" s="1" t="n">
        <v>45986.42644675926</v>
      </c>
      <c r="C1362" s="1" t="n">
        <v>46079</v>
      </c>
      <c r="D1362" t="inlineStr">
        <is>
          <t>VÄSTERNORRLANDS LÄN</t>
        </is>
      </c>
      <c r="E1362" t="inlineStr">
        <is>
          <t>ÅNGE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58406-2025</t>
        </is>
      </c>
      <c r="B1363" s="1" t="n">
        <v>45985.56913194444</v>
      </c>
      <c r="C1363" s="1" t="n">
        <v>46079</v>
      </c>
      <c r="D1363" t="inlineStr">
        <is>
          <t>VÄSTERNORRLANDS LÄN</t>
        </is>
      </c>
      <c r="E1363" t="inlineStr">
        <is>
          <t>ÅNGE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58240-2025</t>
        </is>
      </c>
      <c r="B1364" s="1" t="n">
        <v>45985.38796296297</v>
      </c>
      <c r="C1364" s="1" t="n">
        <v>46079</v>
      </c>
      <c r="D1364" t="inlineStr">
        <is>
          <t>VÄSTERNORRLANDS LÄN</t>
        </is>
      </c>
      <c r="E1364" t="inlineStr">
        <is>
          <t>ÅNGE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58270-2025</t>
        </is>
      </c>
      <c r="B1365" s="1" t="n">
        <v>45985.42633101852</v>
      </c>
      <c r="C1365" s="1" t="n">
        <v>46079</v>
      </c>
      <c r="D1365" t="inlineStr">
        <is>
          <t>VÄSTERNORRLANDS LÄN</t>
        </is>
      </c>
      <c r="E1365" t="inlineStr">
        <is>
          <t>ÅNGE</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3022-2023</t>
        </is>
      </c>
      <c r="B1366" s="1" t="n">
        <v>44945</v>
      </c>
      <c r="C1366" s="1" t="n">
        <v>46079</v>
      </c>
      <c r="D1366" t="inlineStr">
        <is>
          <t>VÄSTERNORRLANDS LÄN</t>
        </is>
      </c>
      <c r="E1366" t="inlineStr">
        <is>
          <t>ÅNGE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58890-2025</t>
        </is>
      </c>
      <c r="B1367" s="1" t="n">
        <v>45987.49006944444</v>
      </c>
      <c r="C1367" s="1" t="n">
        <v>46079</v>
      </c>
      <c r="D1367" t="inlineStr">
        <is>
          <t>VÄSTERNORRLANDS LÄN</t>
        </is>
      </c>
      <c r="E1367" t="inlineStr">
        <is>
          <t>ÅNGE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36723-2025</t>
        </is>
      </c>
      <c r="B1368" s="1" t="n">
        <v>45873.47770833333</v>
      </c>
      <c r="C1368" s="1" t="n">
        <v>46079</v>
      </c>
      <c r="D1368" t="inlineStr">
        <is>
          <t>VÄSTERNORRLANDS LÄN</t>
        </is>
      </c>
      <c r="E1368" t="inlineStr">
        <is>
          <t>ÅNGE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59062-2025</t>
        </is>
      </c>
      <c r="B1369" s="1" t="n">
        <v>45988.40723379629</v>
      </c>
      <c r="C1369" s="1" t="n">
        <v>46079</v>
      </c>
      <c r="D1369" t="inlineStr">
        <is>
          <t>VÄSTERNORRLANDS LÄN</t>
        </is>
      </c>
      <c r="E1369" t="inlineStr">
        <is>
          <t>ÅNGE</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59064-2025</t>
        </is>
      </c>
      <c r="B1370" s="1" t="n">
        <v>45988.40768518519</v>
      </c>
      <c r="C1370" s="1" t="n">
        <v>46079</v>
      </c>
      <c r="D1370" t="inlineStr">
        <is>
          <t>VÄSTERNORRLANDS LÄN</t>
        </is>
      </c>
      <c r="E1370" t="inlineStr">
        <is>
          <t>ÅNGE</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59023-2025</t>
        </is>
      </c>
      <c r="B1371" s="1" t="n">
        <v>45988</v>
      </c>
      <c r="C1371" s="1" t="n">
        <v>46079</v>
      </c>
      <c r="D1371" t="inlineStr">
        <is>
          <t>VÄSTERNORRLANDS LÄN</t>
        </is>
      </c>
      <c r="E1371" t="inlineStr">
        <is>
          <t>ÅNGE</t>
        </is>
      </c>
      <c r="F1371" t="inlineStr">
        <is>
          <t>SCA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59022-2025</t>
        </is>
      </c>
      <c r="B1372" s="1" t="n">
        <v>45988</v>
      </c>
      <c r="C1372" s="1" t="n">
        <v>46079</v>
      </c>
      <c r="D1372" t="inlineStr">
        <is>
          <t>VÄSTERNORRLANDS LÄN</t>
        </is>
      </c>
      <c r="E1372" t="inlineStr">
        <is>
          <t>ÅNGE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59063-2025</t>
        </is>
      </c>
      <c r="B1373" s="1" t="n">
        <v>45988.40734953704</v>
      </c>
      <c r="C1373" s="1" t="n">
        <v>46079</v>
      </c>
      <c r="D1373" t="inlineStr">
        <is>
          <t>VÄSTERNORRLANDS LÄN</t>
        </is>
      </c>
      <c r="E1373" t="inlineStr">
        <is>
          <t>ÅNGE</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36674-2025</t>
        </is>
      </c>
      <c r="B1374" s="1" t="n">
        <v>45873.3930787037</v>
      </c>
      <c r="C1374" s="1" t="n">
        <v>46079</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58613-2023</t>
        </is>
      </c>
      <c r="B1375" s="1" t="n">
        <v>45251.50709490741</v>
      </c>
      <c r="C1375" s="1" t="n">
        <v>46079</v>
      </c>
      <c r="D1375" t="inlineStr">
        <is>
          <t>VÄSTERNORRLANDS LÄN</t>
        </is>
      </c>
      <c r="E1375" t="inlineStr">
        <is>
          <t>ÅNGE</t>
        </is>
      </c>
      <c r="F1375" t="inlineStr">
        <is>
          <t>Övriga Aktiebolag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37045-2025</t>
        </is>
      </c>
      <c r="B1376" s="1" t="n">
        <v>45875.34451388889</v>
      </c>
      <c r="C1376" s="1" t="n">
        <v>46079</v>
      </c>
      <c r="D1376" t="inlineStr">
        <is>
          <t>VÄSTERNORRLANDS LÄN</t>
        </is>
      </c>
      <c r="E1376" t="inlineStr">
        <is>
          <t>ÅNGE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37047-2025</t>
        </is>
      </c>
      <c r="B1377" s="1" t="n">
        <v>45875.34489583333</v>
      </c>
      <c r="C1377" s="1" t="n">
        <v>46079</v>
      </c>
      <c r="D1377" t="inlineStr">
        <is>
          <t>VÄSTERNORRLANDS LÄN</t>
        </is>
      </c>
      <c r="E1377" t="inlineStr">
        <is>
          <t>ÅNGE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39021-2024</t>
        </is>
      </c>
      <c r="B1378" s="1" t="n">
        <v>45548</v>
      </c>
      <c r="C1378" s="1" t="n">
        <v>46079</v>
      </c>
      <c r="D1378" t="inlineStr">
        <is>
          <t>VÄSTERNORRLANDS LÄN</t>
        </is>
      </c>
      <c r="E1378" t="inlineStr">
        <is>
          <t>ÅNGE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37275-2025</t>
        </is>
      </c>
      <c r="B1379" s="1" t="n">
        <v>45876.49003472222</v>
      </c>
      <c r="C1379" s="1" t="n">
        <v>46079</v>
      </c>
      <c r="D1379" t="inlineStr">
        <is>
          <t>VÄSTERNORRLANDS LÄN</t>
        </is>
      </c>
      <c r="E1379" t="inlineStr">
        <is>
          <t>ÅNGE</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37303-2025</t>
        </is>
      </c>
      <c r="B1380" s="1" t="n">
        <v>45876.59445601852</v>
      </c>
      <c r="C1380" s="1" t="n">
        <v>46079</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37233-2025</t>
        </is>
      </c>
      <c r="B1381" s="1" t="n">
        <v>45876.34474537037</v>
      </c>
      <c r="C1381" s="1" t="n">
        <v>46079</v>
      </c>
      <c r="D1381" t="inlineStr">
        <is>
          <t>VÄSTERNORRLANDS LÄN</t>
        </is>
      </c>
      <c r="E1381" t="inlineStr">
        <is>
          <t>ÅNGE</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13875-2022</t>
        </is>
      </c>
      <c r="B1382" s="1" t="n">
        <v>44649</v>
      </c>
      <c r="C1382" s="1" t="n">
        <v>46079</v>
      </c>
      <c r="D1382" t="inlineStr">
        <is>
          <t>VÄSTERNORRLANDS LÄN</t>
        </is>
      </c>
      <c r="E1382" t="inlineStr">
        <is>
          <t>ÅNGE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58892-2025</t>
        </is>
      </c>
      <c r="B1383" s="1" t="n">
        <v>45987.49056712963</v>
      </c>
      <c r="C1383" s="1" t="n">
        <v>46079</v>
      </c>
      <c r="D1383" t="inlineStr">
        <is>
          <t>VÄSTERNORRLANDS LÄN</t>
        </is>
      </c>
      <c r="E1383" t="inlineStr">
        <is>
          <t>ÅNGE</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37108-2025</t>
        </is>
      </c>
      <c r="B1384" s="1" t="n">
        <v>45875</v>
      </c>
      <c r="C1384" s="1" t="n">
        <v>46079</v>
      </c>
      <c r="D1384" t="inlineStr">
        <is>
          <t>VÄSTERNORRLANDS LÄN</t>
        </is>
      </c>
      <c r="E1384" t="inlineStr">
        <is>
          <t>ÅNGE</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37177-2025</t>
        </is>
      </c>
      <c r="B1385" s="1" t="n">
        <v>45875.61539351852</v>
      </c>
      <c r="C1385" s="1" t="n">
        <v>46079</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58823-2025</t>
        </is>
      </c>
      <c r="B1386" s="1" t="n">
        <v>45987.3453125</v>
      </c>
      <c r="C1386" s="1" t="n">
        <v>46079</v>
      </c>
      <c r="D1386" t="inlineStr">
        <is>
          <t>VÄSTERNORRLANDS LÄN</t>
        </is>
      </c>
      <c r="E1386" t="inlineStr">
        <is>
          <t>ÅNGE</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58906-2025</t>
        </is>
      </c>
      <c r="B1387" s="1" t="n">
        <v>45987.51087962963</v>
      </c>
      <c r="C1387" s="1" t="n">
        <v>46079</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58907-2025</t>
        </is>
      </c>
      <c r="B1388" s="1" t="n">
        <v>45987.51108796296</v>
      </c>
      <c r="C1388" s="1" t="n">
        <v>46079</v>
      </c>
      <c r="D1388" t="inlineStr">
        <is>
          <t>VÄSTERNORRLANDS LÄN</t>
        </is>
      </c>
      <c r="E1388" t="inlineStr">
        <is>
          <t>ÅNGE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59065-2025</t>
        </is>
      </c>
      <c r="B1389" s="1" t="n">
        <v>45988.40780092592</v>
      </c>
      <c r="C1389" s="1" t="n">
        <v>46079</v>
      </c>
      <c r="D1389" t="inlineStr">
        <is>
          <t>VÄSTERNORRLANDS LÄN</t>
        </is>
      </c>
      <c r="E1389" t="inlineStr">
        <is>
          <t>ÅNGE</t>
        </is>
      </c>
      <c r="F1389" t="inlineStr">
        <is>
          <t>SCA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37371-2025</t>
        </is>
      </c>
      <c r="B1390" s="1" t="n">
        <v>45877.34472222222</v>
      </c>
      <c r="C1390" s="1" t="n">
        <v>46079</v>
      </c>
      <c r="D1390" t="inlineStr">
        <is>
          <t>VÄSTERNORRLANDS LÄN</t>
        </is>
      </c>
      <c r="E1390" t="inlineStr">
        <is>
          <t>ÅNGE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59259-2025</t>
        </is>
      </c>
      <c r="B1391" s="1" t="n">
        <v>45988.65748842592</v>
      </c>
      <c r="C1391" s="1" t="n">
        <v>46079</v>
      </c>
      <c r="D1391" t="inlineStr">
        <is>
          <t>VÄSTERNORRLANDS LÄN</t>
        </is>
      </c>
      <c r="E1391" t="inlineStr">
        <is>
          <t>ÅNGE</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37384-2025</t>
        </is>
      </c>
      <c r="B1392" s="1" t="n">
        <v>45877.3859837963</v>
      </c>
      <c r="C1392" s="1" t="n">
        <v>46079</v>
      </c>
      <c r="D1392" t="inlineStr">
        <is>
          <t>VÄSTERNORRLANDS LÄN</t>
        </is>
      </c>
      <c r="E1392" t="inlineStr">
        <is>
          <t>ÅNGE</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37663-2025</t>
        </is>
      </c>
      <c r="B1393" s="1" t="n">
        <v>45880.51079861111</v>
      </c>
      <c r="C1393" s="1" t="n">
        <v>46079</v>
      </c>
      <c r="D1393" t="inlineStr">
        <is>
          <t>VÄSTERNORRLANDS LÄN</t>
        </is>
      </c>
      <c r="E1393" t="inlineStr">
        <is>
          <t>ÅNGE</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59641-2025</t>
        </is>
      </c>
      <c r="B1394" s="1" t="n">
        <v>45992.4175925926</v>
      </c>
      <c r="C1394" s="1" t="n">
        <v>46079</v>
      </c>
      <c r="D1394" t="inlineStr">
        <is>
          <t>VÄSTERNORRLANDS LÄN</t>
        </is>
      </c>
      <c r="E1394" t="inlineStr">
        <is>
          <t>ÅNGE</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4876-2023</t>
        </is>
      </c>
      <c r="B1395" s="1" t="n">
        <v>44957.94023148148</v>
      </c>
      <c r="C1395" s="1" t="n">
        <v>46079</v>
      </c>
      <c r="D1395" t="inlineStr">
        <is>
          <t>VÄSTERNORRLANDS LÄN</t>
        </is>
      </c>
      <c r="E1395" t="inlineStr">
        <is>
          <t>ÅNGE</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59319-2025</t>
        </is>
      </c>
      <c r="B1396" s="1" t="n">
        <v>45989.33283564815</v>
      </c>
      <c r="C1396" s="1" t="n">
        <v>46079</v>
      </c>
      <c r="D1396" t="inlineStr">
        <is>
          <t>VÄSTERNORRLANDS LÄN</t>
        </is>
      </c>
      <c r="E1396" t="inlineStr">
        <is>
          <t>ÅNGE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59331-2025</t>
        </is>
      </c>
      <c r="B1397" s="1" t="n">
        <v>45989.35978009259</v>
      </c>
      <c r="C1397" s="1" t="n">
        <v>46079</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37723-2025</t>
        </is>
      </c>
      <c r="B1398" s="1" t="n">
        <v>45880.61528935185</v>
      </c>
      <c r="C1398" s="1" t="n">
        <v>46079</v>
      </c>
      <c r="D1398" t="inlineStr">
        <is>
          <t>VÄSTERNORRLANDS LÄN</t>
        </is>
      </c>
      <c r="E1398" t="inlineStr">
        <is>
          <t>ÅNGE</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37383-2025</t>
        </is>
      </c>
      <c r="B1399" s="1" t="n">
        <v>45877.38581018519</v>
      </c>
      <c r="C1399" s="1" t="n">
        <v>46079</v>
      </c>
      <c r="D1399" t="inlineStr">
        <is>
          <t>VÄSTERNORRLANDS LÄN</t>
        </is>
      </c>
      <c r="E1399" t="inlineStr">
        <is>
          <t>ÅNGE</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37719-2025</t>
        </is>
      </c>
      <c r="B1400" s="1" t="n">
        <v>45880.61505787037</v>
      </c>
      <c r="C1400" s="1" t="n">
        <v>46079</v>
      </c>
      <c r="D1400" t="inlineStr">
        <is>
          <t>VÄSTERNORRLANDS LÄN</t>
        </is>
      </c>
      <c r="E1400" t="inlineStr">
        <is>
          <t>ÅNGE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3362-2023</t>
        </is>
      </c>
      <c r="B1401" s="1" t="n">
        <v>44945</v>
      </c>
      <c r="C1401" s="1" t="n">
        <v>46079</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59815-2025</t>
        </is>
      </c>
      <c r="B1402" s="1" t="n">
        <v>45992.6359837963</v>
      </c>
      <c r="C1402" s="1" t="n">
        <v>46079</v>
      </c>
      <c r="D1402" t="inlineStr">
        <is>
          <t>VÄSTERNORRLANDS LÄN</t>
        </is>
      </c>
      <c r="E1402" t="inlineStr">
        <is>
          <t>ÅNGE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20110-2023</t>
        </is>
      </c>
      <c r="B1403" s="1" t="n">
        <v>45051</v>
      </c>
      <c r="C1403" s="1" t="n">
        <v>46079</v>
      </c>
      <c r="D1403" t="inlineStr">
        <is>
          <t>VÄSTERNORRLANDS LÄN</t>
        </is>
      </c>
      <c r="E1403" t="inlineStr">
        <is>
          <t>ÅNGE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44415-2021</t>
        </is>
      </c>
      <c r="B1404" s="1" t="n">
        <v>44435</v>
      </c>
      <c r="C1404" s="1" t="n">
        <v>46079</v>
      </c>
      <c r="D1404" t="inlineStr">
        <is>
          <t>VÄSTERNORRLANDS LÄN</t>
        </is>
      </c>
      <c r="E1404" t="inlineStr">
        <is>
          <t>ÅNGE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34726-2024</t>
        </is>
      </c>
      <c r="B1405" s="1" t="n">
        <v>45526.5733912037</v>
      </c>
      <c r="C1405" s="1" t="n">
        <v>46079</v>
      </c>
      <c r="D1405" t="inlineStr">
        <is>
          <t>VÄSTERNORRLANDS LÄN</t>
        </is>
      </c>
      <c r="E1405" t="inlineStr">
        <is>
          <t>ÅNGE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60278-2025</t>
        </is>
      </c>
      <c r="B1406" s="1" t="n">
        <v>45994.63739583334</v>
      </c>
      <c r="C1406" s="1" t="n">
        <v>46079</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38078-2025</t>
        </is>
      </c>
      <c r="B1407" s="1" t="n">
        <v>45882.46918981482</v>
      </c>
      <c r="C1407" s="1" t="n">
        <v>46079</v>
      </c>
      <c r="D1407" t="inlineStr">
        <is>
          <t>VÄSTERNORRLANDS LÄN</t>
        </is>
      </c>
      <c r="E1407" t="inlineStr">
        <is>
          <t>ÅNGE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37919-2025</t>
        </is>
      </c>
      <c r="B1408" s="1" t="n">
        <v>45881.57478009259</v>
      </c>
      <c r="C1408" s="1" t="n">
        <v>46079</v>
      </c>
      <c r="D1408" t="inlineStr">
        <is>
          <t>VÄSTERNORRLANDS LÄN</t>
        </is>
      </c>
      <c r="E1408" t="inlineStr">
        <is>
          <t>ÅNGE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37802-2025</t>
        </is>
      </c>
      <c r="B1409" s="1" t="n">
        <v>45881.34447916667</v>
      </c>
      <c r="C1409" s="1" t="n">
        <v>46079</v>
      </c>
      <c r="D1409" t="inlineStr">
        <is>
          <t>VÄSTERNORRLANDS LÄN</t>
        </is>
      </c>
      <c r="E1409" t="inlineStr">
        <is>
          <t>ÅNGE</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60286-2025</t>
        </is>
      </c>
      <c r="B1410" s="1" t="n">
        <v>45994.64612268518</v>
      </c>
      <c r="C1410" s="1" t="n">
        <v>46079</v>
      </c>
      <c r="D1410" t="inlineStr">
        <is>
          <t>VÄSTERNORRLANDS LÄN</t>
        </is>
      </c>
      <c r="E1410" t="inlineStr">
        <is>
          <t>ÅNGE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60296-2025</t>
        </is>
      </c>
      <c r="B1411" s="1" t="n">
        <v>45994.6568287037</v>
      </c>
      <c r="C1411" s="1" t="n">
        <v>46079</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60582-2025</t>
        </is>
      </c>
      <c r="B1412" s="1" t="n">
        <v>45994</v>
      </c>
      <c r="C1412" s="1" t="n">
        <v>46079</v>
      </c>
      <c r="D1412" t="inlineStr">
        <is>
          <t>VÄSTERNORRLANDS LÄN</t>
        </is>
      </c>
      <c r="E1412" t="inlineStr">
        <is>
          <t>ÅNGE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60599-2025</t>
        </is>
      </c>
      <c r="B1413" s="1" t="n">
        <v>45994</v>
      </c>
      <c r="C1413" s="1" t="n">
        <v>46079</v>
      </c>
      <c r="D1413" t="inlineStr">
        <is>
          <t>VÄSTERNORRLANDS LÄN</t>
        </is>
      </c>
      <c r="E1413" t="inlineStr">
        <is>
          <t>ÅNGE</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60079-2025</t>
        </is>
      </c>
      <c r="B1414" s="1" t="n">
        <v>45993.6834375</v>
      </c>
      <c r="C1414" s="1" t="n">
        <v>46079</v>
      </c>
      <c r="D1414" t="inlineStr">
        <is>
          <t>VÄSTERNORRLANDS LÄN</t>
        </is>
      </c>
      <c r="E1414" t="inlineStr">
        <is>
          <t>ÅNGE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60590-2025</t>
        </is>
      </c>
      <c r="B1415" s="1" t="n">
        <v>45994</v>
      </c>
      <c r="C1415" s="1" t="n">
        <v>46079</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60061-2025</t>
        </is>
      </c>
      <c r="B1416" s="1" t="n">
        <v>45993.65673611111</v>
      </c>
      <c r="C1416" s="1" t="n">
        <v>46079</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5455-2023</t>
        </is>
      </c>
      <c r="B1417" s="1" t="n">
        <v>44959.93983796296</v>
      </c>
      <c r="C1417" s="1" t="n">
        <v>46079</v>
      </c>
      <c r="D1417" t="inlineStr">
        <is>
          <t>VÄSTERNORRLANDS LÄN</t>
        </is>
      </c>
      <c r="E1417" t="inlineStr">
        <is>
          <t>ÅNGE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60118-2025</t>
        </is>
      </c>
      <c r="B1418" s="1" t="n">
        <v>45994.3242824074</v>
      </c>
      <c r="C1418" s="1" t="n">
        <v>46079</v>
      </c>
      <c r="D1418" t="inlineStr">
        <is>
          <t>VÄSTERNORRLANDS LÄN</t>
        </is>
      </c>
      <c r="E1418" t="inlineStr">
        <is>
          <t>ÅNGE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60119-2025</t>
        </is>
      </c>
      <c r="B1419" s="1" t="n">
        <v>45994.33081018519</v>
      </c>
      <c r="C1419" s="1" t="n">
        <v>46079</v>
      </c>
      <c r="D1419" t="inlineStr">
        <is>
          <t>VÄSTERNORRLANDS LÄN</t>
        </is>
      </c>
      <c r="E1419" t="inlineStr">
        <is>
          <t>ÅNGE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59986-2021</t>
        </is>
      </c>
      <c r="B1420" s="1" t="n">
        <v>44494</v>
      </c>
      <c r="C1420" s="1" t="n">
        <v>46079</v>
      </c>
      <c r="D1420" t="inlineStr">
        <is>
          <t>VÄSTERNORRLANDS LÄN</t>
        </is>
      </c>
      <c r="E1420" t="inlineStr">
        <is>
          <t>ÅNGE</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60342-2025</t>
        </is>
      </c>
      <c r="B1421" s="1" t="n">
        <v>45994.86804398148</v>
      </c>
      <c r="C1421" s="1" t="n">
        <v>46079</v>
      </c>
      <c r="D1421" t="inlineStr">
        <is>
          <t>VÄSTERNORRLANDS LÄN</t>
        </is>
      </c>
      <c r="E1421" t="inlineStr">
        <is>
          <t>ÅNGE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60402-2025</t>
        </is>
      </c>
      <c r="B1422" s="1" t="n">
        <v>45995.4262962963</v>
      </c>
      <c r="C1422" s="1" t="n">
        <v>46079</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60422-2025</t>
        </is>
      </c>
      <c r="B1423" s="1" t="n">
        <v>45995.46922453704</v>
      </c>
      <c r="C1423" s="1" t="n">
        <v>46079</v>
      </c>
      <c r="D1423" t="inlineStr">
        <is>
          <t>VÄSTERNORRLANDS LÄN</t>
        </is>
      </c>
      <c r="E1423" t="inlineStr">
        <is>
          <t>ÅNGE</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60520-2025</t>
        </is>
      </c>
      <c r="B1424" s="1" t="n">
        <v>45995.63694444444</v>
      </c>
      <c r="C1424" s="1" t="n">
        <v>46079</v>
      </c>
      <c r="D1424" t="inlineStr">
        <is>
          <t>VÄSTERNORRLANDS LÄN</t>
        </is>
      </c>
      <c r="E1424" t="inlineStr">
        <is>
          <t>ÅNGE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60124-2025</t>
        </is>
      </c>
      <c r="B1425" s="1" t="n">
        <v>45994.33722222222</v>
      </c>
      <c r="C1425" s="1" t="n">
        <v>46079</v>
      </c>
      <c r="D1425" t="inlineStr">
        <is>
          <t>VÄSTERNORRLANDS LÄN</t>
        </is>
      </c>
      <c r="E1425" t="inlineStr">
        <is>
          <t>ÅNGE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60134-2025</t>
        </is>
      </c>
      <c r="B1426" s="1" t="n">
        <v>45994.34793981481</v>
      </c>
      <c r="C1426" s="1" t="n">
        <v>46079</v>
      </c>
      <c r="D1426" t="inlineStr">
        <is>
          <t>VÄSTERNORRLANDS LÄN</t>
        </is>
      </c>
      <c r="E1426" t="inlineStr">
        <is>
          <t>ÅNGE</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38686-2025</t>
        </is>
      </c>
      <c r="B1427" s="1" t="n">
        <v>45884.65658564815</v>
      </c>
      <c r="C1427" s="1" t="n">
        <v>46079</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50235-2021</t>
        </is>
      </c>
      <c r="B1428" s="1" t="n">
        <v>44457</v>
      </c>
      <c r="C1428" s="1" t="n">
        <v>46079</v>
      </c>
      <c r="D1428" t="inlineStr">
        <is>
          <t>VÄSTERNORRLANDS LÄN</t>
        </is>
      </c>
      <c r="E1428" t="inlineStr">
        <is>
          <t>ÅNGE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60604-2025</t>
        </is>
      </c>
      <c r="B1429" s="1" t="n">
        <v>45995</v>
      </c>
      <c r="C1429" s="1" t="n">
        <v>46079</v>
      </c>
      <c r="D1429" t="inlineStr">
        <is>
          <t>VÄSTERNORRLANDS LÄN</t>
        </is>
      </c>
      <c r="E1429" t="inlineStr">
        <is>
          <t>ÅNGE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2485-2026</t>
        </is>
      </c>
      <c r="B1430" s="1" t="n">
        <v>46037.38591435185</v>
      </c>
      <c r="C1430" s="1" t="n">
        <v>46079</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60403-2025</t>
        </is>
      </c>
      <c r="B1431" s="1" t="n">
        <v>45995.42762731481</v>
      </c>
      <c r="C1431" s="1" t="n">
        <v>46079</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47950-2024</t>
        </is>
      </c>
      <c r="B1432" s="1" t="n">
        <v>45589.36511574074</v>
      </c>
      <c r="C1432" s="1" t="n">
        <v>46079</v>
      </c>
      <c r="D1432" t="inlineStr">
        <is>
          <t>VÄSTERNORRLANDS LÄN</t>
        </is>
      </c>
      <c r="E1432" t="inlineStr">
        <is>
          <t>ÅNGE</t>
        </is>
      </c>
      <c r="F1432" t="inlineStr">
        <is>
          <t>SCA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11299-2023</t>
        </is>
      </c>
      <c r="B1433" s="1" t="n">
        <v>44993.01074074074</v>
      </c>
      <c r="C1433" s="1" t="n">
        <v>46079</v>
      </c>
      <c r="D1433" t="inlineStr">
        <is>
          <t>VÄSTERNORRLANDS LÄN</t>
        </is>
      </c>
      <c r="E1433" t="inlineStr">
        <is>
          <t>ÅNGE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11309-2023</t>
        </is>
      </c>
      <c r="B1434" s="1" t="n">
        <v>44993.0118287037</v>
      </c>
      <c r="C1434" s="1" t="n">
        <v>46079</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61200-2025</t>
        </is>
      </c>
      <c r="B1435" s="1" t="n">
        <v>46000.60918981482</v>
      </c>
      <c r="C1435" s="1" t="n">
        <v>46079</v>
      </c>
      <c r="D1435" t="inlineStr">
        <is>
          <t>VÄSTERNORRLANDS LÄN</t>
        </is>
      </c>
      <c r="E1435" t="inlineStr">
        <is>
          <t>ÅNGE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61203-2025</t>
        </is>
      </c>
      <c r="B1436" s="1" t="n">
        <v>46000.61237268519</v>
      </c>
      <c r="C1436" s="1" t="n">
        <v>46079</v>
      </c>
      <c r="D1436" t="inlineStr">
        <is>
          <t>VÄSTERNORRLANDS LÄN</t>
        </is>
      </c>
      <c r="E1436" t="inlineStr">
        <is>
          <t>ÅNGE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62834-2021</t>
        </is>
      </c>
      <c r="B1437" s="1" t="n">
        <v>44503</v>
      </c>
      <c r="C1437" s="1" t="n">
        <v>46079</v>
      </c>
      <c r="D1437" t="inlineStr">
        <is>
          <t>VÄSTERNORRLANDS LÄN</t>
        </is>
      </c>
      <c r="E1437" t="inlineStr">
        <is>
          <t>ÅNGE</t>
        </is>
      </c>
      <c r="F1437" t="inlineStr">
        <is>
          <t>Övriga statliga verk och myndigheter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10557-2023</t>
        </is>
      </c>
      <c r="B1438" s="1" t="n">
        <v>44987</v>
      </c>
      <c r="C1438" s="1" t="n">
        <v>46079</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38693-2025</t>
        </is>
      </c>
      <c r="B1439" s="1" t="n">
        <v>45884.69829861111</v>
      </c>
      <c r="C1439" s="1" t="n">
        <v>46079</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8418-2023</t>
        </is>
      </c>
      <c r="B1440" s="1" t="n">
        <v>44971</v>
      </c>
      <c r="C1440" s="1" t="n">
        <v>46079</v>
      </c>
      <c r="D1440" t="inlineStr">
        <is>
          <t>VÄSTERNORRLANDS LÄN</t>
        </is>
      </c>
      <c r="E1440" t="inlineStr">
        <is>
          <t>ÅNGE</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3289-2026</t>
        </is>
      </c>
      <c r="B1441" s="1" t="n">
        <v>46041.63581018519</v>
      </c>
      <c r="C1441" s="1" t="n">
        <v>46079</v>
      </c>
      <c r="D1441" t="inlineStr">
        <is>
          <t>VÄSTERNORRLANDS LÄN</t>
        </is>
      </c>
      <c r="E1441" t="inlineStr">
        <is>
          <t>ÅNGE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61075-2025</t>
        </is>
      </c>
      <c r="B1442" s="1" t="n">
        <v>46000.3959837963</v>
      </c>
      <c r="C1442" s="1" t="n">
        <v>46079</v>
      </c>
      <c r="D1442" t="inlineStr">
        <is>
          <t>VÄSTERNORRLANDS LÄN</t>
        </is>
      </c>
      <c r="E1442" t="inlineStr">
        <is>
          <t>ÅNGE</t>
        </is>
      </c>
      <c r="F1442" t="inlineStr">
        <is>
          <t>Holmen skog AB</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4006-2022</t>
        </is>
      </c>
      <c r="B1443" s="1" t="n">
        <v>44587.92019675926</v>
      </c>
      <c r="C1443" s="1" t="n">
        <v>46079</v>
      </c>
      <c r="D1443" t="inlineStr">
        <is>
          <t>VÄSTERNORRLANDS LÄN</t>
        </is>
      </c>
      <c r="E1443" t="inlineStr">
        <is>
          <t>ÅNGE</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60864-2025</t>
        </is>
      </c>
      <c r="B1444" s="1" t="n">
        <v>45999.53170138889</v>
      </c>
      <c r="C1444" s="1" t="n">
        <v>46079</v>
      </c>
      <c r="D1444" t="inlineStr">
        <is>
          <t>VÄSTERNORRLANDS LÄN</t>
        </is>
      </c>
      <c r="E1444" t="inlineStr">
        <is>
          <t>ÅNGE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48725-2024</t>
        </is>
      </c>
      <c r="B1445" s="1" t="n">
        <v>45593.55793981482</v>
      </c>
      <c r="C1445" s="1" t="n">
        <v>46079</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3290-2026</t>
        </is>
      </c>
      <c r="B1446" s="1" t="n">
        <v>46041</v>
      </c>
      <c r="C1446" s="1" t="n">
        <v>46079</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3534-2026</t>
        </is>
      </c>
      <c r="B1447" s="1" t="n">
        <v>46042.62432870371</v>
      </c>
      <c r="C1447" s="1" t="n">
        <v>46079</v>
      </c>
      <c r="D1447" t="inlineStr">
        <is>
          <t>VÄSTERNORRLANDS LÄN</t>
        </is>
      </c>
      <c r="E1447" t="inlineStr">
        <is>
          <t>ÅNGE</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48988-2021</t>
        </is>
      </c>
      <c r="B1448" s="1" t="n">
        <v>44453.43</v>
      </c>
      <c r="C1448" s="1" t="n">
        <v>46079</v>
      </c>
      <c r="D1448" t="inlineStr">
        <is>
          <t>VÄSTERNORRLANDS LÄN</t>
        </is>
      </c>
      <c r="E1448" t="inlineStr">
        <is>
          <t>ÅNGE</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1886-2024</t>
        </is>
      </c>
      <c r="B1449" s="1" t="n">
        <v>45307.96335648148</v>
      </c>
      <c r="C1449" s="1" t="n">
        <v>46079</v>
      </c>
      <c r="D1449" t="inlineStr">
        <is>
          <t>VÄSTERNORRLANDS LÄN</t>
        </is>
      </c>
      <c r="E1449" t="inlineStr">
        <is>
          <t>ÅNGE</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61308-2025</t>
        </is>
      </c>
      <c r="B1450" s="1" t="n">
        <v>46000.81952546296</v>
      </c>
      <c r="C1450" s="1" t="n">
        <v>46079</v>
      </c>
      <c r="D1450" t="inlineStr">
        <is>
          <t>VÄSTERNORRLANDS LÄN</t>
        </is>
      </c>
      <c r="E1450" t="inlineStr">
        <is>
          <t>ÅNGE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61321-2025</t>
        </is>
      </c>
      <c r="B1451" s="1" t="n">
        <v>46000.96894675926</v>
      </c>
      <c r="C1451" s="1" t="n">
        <v>46079</v>
      </c>
      <c r="D1451" t="inlineStr">
        <is>
          <t>VÄSTERNORRLANDS LÄN</t>
        </is>
      </c>
      <c r="E1451" t="inlineStr">
        <is>
          <t>ÅNGE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61349-2025</t>
        </is>
      </c>
      <c r="B1452" s="1" t="n">
        <v>46001.3866087963</v>
      </c>
      <c r="C1452" s="1" t="n">
        <v>46079</v>
      </c>
      <c r="D1452" t="inlineStr">
        <is>
          <t>VÄSTERNORRLANDS LÄN</t>
        </is>
      </c>
      <c r="E1452" t="inlineStr">
        <is>
          <t>ÅNGE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44979-2023</t>
        </is>
      </c>
      <c r="B1453" s="1" t="n">
        <v>45190.95752314815</v>
      </c>
      <c r="C1453" s="1" t="n">
        <v>46079</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3882-2026</t>
        </is>
      </c>
      <c r="B1454" s="1" t="n">
        <v>46043.65693287037</v>
      </c>
      <c r="C1454" s="1" t="n">
        <v>46079</v>
      </c>
      <c r="D1454" t="inlineStr">
        <is>
          <t>VÄSTERNORRLANDS LÄN</t>
        </is>
      </c>
      <c r="E1454" t="inlineStr">
        <is>
          <t>ÅNGE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3889-2026</t>
        </is>
      </c>
      <c r="B1455" s="1" t="n">
        <v>46043.67015046296</v>
      </c>
      <c r="C1455" s="1" t="n">
        <v>46079</v>
      </c>
      <c r="D1455" t="inlineStr">
        <is>
          <t>VÄSTERNORRLANDS LÄN</t>
        </is>
      </c>
      <c r="E1455" t="inlineStr">
        <is>
          <t>ÅNGE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17923-2025</t>
        </is>
      </c>
      <c r="B1456" s="1" t="n">
        <v>45759.34415509259</v>
      </c>
      <c r="C1456" s="1" t="n">
        <v>46079</v>
      </c>
      <c r="D1456" t="inlineStr">
        <is>
          <t>VÄSTERNORRLANDS LÄN</t>
        </is>
      </c>
      <c r="E1456" t="inlineStr">
        <is>
          <t>ÅNGE</t>
        </is>
      </c>
      <c r="F1456" t="inlineStr">
        <is>
          <t>SCA</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61332-2025</t>
        </is>
      </c>
      <c r="B1457" s="1" t="n">
        <v>46001.34416666667</v>
      </c>
      <c r="C1457" s="1" t="n">
        <v>46079</v>
      </c>
      <c r="D1457" t="inlineStr">
        <is>
          <t>VÄSTERNORRLANDS LÄN</t>
        </is>
      </c>
      <c r="E1457" t="inlineStr">
        <is>
          <t>ÅNGE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1582-2025</t>
        </is>
      </c>
      <c r="B1458" s="1" t="n">
        <v>45670</v>
      </c>
      <c r="C1458" s="1" t="n">
        <v>46079</v>
      </c>
      <c r="D1458" t="inlineStr">
        <is>
          <t>VÄSTERNORRLANDS LÄN</t>
        </is>
      </c>
      <c r="E1458" t="inlineStr">
        <is>
          <t>ÅNGE</t>
        </is>
      </c>
      <c r="G1458" t="n">
        <v>7.3</v>
      </c>
      <c r="H1458" t="n">
        <v>0</v>
      </c>
      <c r="I1458" t="n">
        <v>0</v>
      </c>
      <c r="J1458" t="n">
        <v>0</v>
      </c>
      <c r="K1458" t="n">
        <v>0</v>
      </c>
      <c r="L1458" t="n">
        <v>0</v>
      </c>
      <c r="M1458" t="n">
        <v>0</v>
      </c>
      <c r="N1458" t="n">
        <v>0</v>
      </c>
      <c r="O1458" t="n">
        <v>0</v>
      </c>
      <c r="P1458" t="n">
        <v>0</v>
      </c>
      <c r="Q1458" t="n">
        <v>0</v>
      </c>
      <c r="R1458" s="2" t="inlineStr"/>
      <c r="U1458">
        <f>HYPERLINK("https://klasma.github.io/Logging_2260/knärot/A 1582-2025 karta knärot.png", "A 1582-2025")</f>
        <v/>
      </c>
      <c r="V1458">
        <f>HYPERLINK("https://klasma.github.io/Logging_2260/klagomål/A 1582-2025 FSC-klagomål.docx", "A 1582-2025")</f>
        <v/>
      </c>
      <c r="W1458">
        <f>HYPERLINK("https://klasma.github.io/Logging_2260/klagomålsmail/A 1582-2025 FSC-klagomål mail.docx", "A 1582-2025")</f>
        <v/>
      </c>
      <c r="X1458">
        <f>HYPERLINK("https://klasma.github.io/Logging_2260/tillsyn/A 1582-2025 tillsynsbegäran.docx", "A 1582-2025")</f>
        <v/>
      </c>
      <c r="Y1458">
        <f>HYPERLINK("https://klasma.github.io/Logging_2260/tillsynsmail/A 1582-2025 tillsynsbegäran mail.docx", "A 1582-2025")</f>
        <v/>
      </c>
    </row>
    <row r="1459" ht="15" customHeight="1">
      <c r="A1459" t="inlineStr">
        <is>
          <t>A 8778-2025</t>
        </is>
      </c>
      <c r="B1459" s="1" t="n">
        <v>45712.61539351852</v>
      </c>
      <c r="C1459" s="1" t="n">
        <v>46079</v>
      </c>
      <c r="D1459" t="inlineStr">
        <is>
          <t>VÄSTERNORRLANDS LÄN</t>
        </is>
      </c>
      <c r="E1459" t="inlineStr">
        <is>
          <t>ÅNGE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3970-2026</t>
        </is>
      </c>
      <c r="B1460" s="1" t="n">
        <v>46044.3521875</v>
      </c>
      <c r="C1460" s="1" t="n">
        <v>46079</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10687-2022</t>
        </is>
      </c>
      <c r="B1461" s="1" t="n">
        <v>44624.92684027777</v>
      </c>
      <c r="C1461" s="1" t="n">
        <v>46079</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54908-2021</t>
        </is>
      </c>
      <c r="B1462" s="1" t="n">
        <v>44474.39769675926</v>
      </c>
      <c r="C1462" s="1" t="n">
        <v>46079</v>
      </c>
      <c r="D1462" t="inlineStr">
        <is>
          <t>VÄSTERNORRLANDS LÄN</t>
        </is>
      </c>
      <c r="E1462" t="inlineStr">
        <is>
          <t>ÅNGE</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61279-2025</t>
        </is>
      </c>
      <c r="B1463" s="1" t="n">
        <v>46000.69841435185</v>
      </c>
      <c r="C1463" s="1" t="n">
        <v>46079</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27951-2021</t>
        </is>
      </c>
      <c r="B1464" s="1" t="n">
        <v>44354</v>
      </c>
      <c r="C1464" s="1" t="n">
        <v>46079</v>
      </c>
      <c r="D1464" t="inlineStr">
        <is>
          <t>VÄSTERNORRLANDS LÄN</t>
        </is>
      </c>
      <c r="E1464" t="inlineStr">
        <is>
          <t>ÅNGE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22990-2024</t>
        </is>
      </c>
      <c r="B1465" s="1" t="n">
        <v>45449.94548611111</v>
      </c>
      <c r="C1465" s="1" t="n">
        <v>46079</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61439-2025</t>
        </is>
      </c>
      <c r="B1466" s="1" t="n">
        <v>46001.57010416667</v>
      </c>
      <c r="C1466" s="1" t="n">
        <v>46079</v>
      </c>
      <c r="D1466" t="inlineStr">
        <is>
          <t>VÄSTERNORRLANDS LÄN</t>
        </is>
      </c>
      <c r="E1466" t="inlineStr">
        <is>
          <t>ÅNGE</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4209-2026</t>
        </is>
      </c>
      <c r="B1467" s="1" t="n">
        <v>46044.72609953704</v>
      </c>
      <c r="C1467" s="1" t="n">
        <v>46079</v>
      </c>
      <c r="D1467" t="inlineStr">
        <is>
          <t>VÄSTERNORRLANDS LÄN</t>
        </is>
      </c>
      <c r="E1467" t="inlineStr">
        <is>
          <t>ÅNGE</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3800-2026</t>
        </is>
      </c>
      <c r="B1468" s="1" t="n">
        <v>46043.58267361111</v>
      </c>
      <c r="C1468" s="1" t="n">
        <v>46079</v>
      </c>
      <c r="D1468" t="inlineStr">
        <is>
          <t>VÄSTERNORRLANDS LÄN</t>
        </is>
      </c>
      <c r="E1468" t="inlineStr">
        <is>
          <t>ÅNGE</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3872-2026</t>
        </is>
      </c>
      <c r="B1469" s="1" t="n">
        <v>46043.64314814815</v>
      </c>
      <c r="C1469" s="1" t="n">
        <v>46079</v>
      </c>
      <c r="D1469" t="inlineStr">
        <is>
          <t>VÄSTERNORRLANDS LÄN</t>
        </is>
      </c>
      <c r="E1469" t="inlineStr">
        <is>
          <t>ÅNGE</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61656-2025</t>
        </is>
      </c>
      <c r="B1470" s="1" t="n">
        <v>46002.44873842593</v>
      </c>
      <c r="C1470" s="1" t="n">
        <v>46079</v>
      </c>
      <c r="D1470" t="inlineStr">
        <is>
          <t>VÄSTERNORRLANDS LÄN</t>
        </is>
      </c>
      <c r="E1470" t="inlineStr">
        <is>
          <t>ÅNGE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61500-2025</t>
        </is>
      </c>
      <c r="B1471" s="1" t="n">
        <v>46001.65667824074</v>
      </c>
      <c r="C1471" s="1" t="n">
        <v>46079</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3801-2026</t>
        </is>
      </c>
      <c r="B1472" s="1" t="n">
        <v>46043.58273148148</v>
      </c>
      <c r="C1472" s="1" t="n">
        <v>46079</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39589-2022</t>
        </is>
      </c>
      <c r="B1473" s="1" t="n">
        <v>44818</v>
      </c>
      <c r="C1473" s="1" t="n">
        <v>46079</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62084-2025</t>
        </is>
      </c>
      <c r="B1474" s="1" t="n">
        <v>46006.37449074074</v>
      </c>
      <c r="C1474" s="1" t="n">
        <v>46079</v>
      </c>
      <c r="D1474" t="inlineStr">
        <is>
          <t>VÄSTERNORRLANDS LÄN</t>
        </is>
      </c>
      <c r="E1474" t="inlineStr">
        <is>
          <t>ÅNGE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4262-2026</t>
        </is>
      </c>
      <c r="B1475" s="1" t="n">
        <v>46045.34431712963</v>
      </c>
      <c r="C1475" s="1" t="n">
        <v>46079</v>
      </c>
      <c r="D1475" t="inlineStr">
        <is>
          <t>VÄSTERNORRLANDS LÄN</t>
        </is>
      </c>
      <c r="E1475" t="inlineStr">
        <is>
          <t>ÅNGE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4263-2026</t>
        </is>
      </c>
      <c r="B1476" s="1" t="n">
        <v>46045.34451388889</v>
      </c>
      <c r="C1476" s="1" t="n">
        <v>46079</v>
      </c>
      <c r="D1476" t="inlineStr">
        <is>
          <t>VÄSTERNORRLANDS LÄN</t>
        </is>
      </c>
      <c r="E1476" t="inlineStr">
        <is>
          <t>ÅNGE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25320-2023</t>
        </is>
      </c>
      <c r="B1477" s="1" t="n">
        <v>45086.93929398148</v>
      </c>
      <c r="C1477" s="1" t="n">
        <v>46079</v>
      </c>
      <c r="D1477" t="inlineStr">
        <is>
          <t>VÄSTERNORRLANDS LÄN</t>
        </is>
      </c>
      <c r="E1477" t="inlineStr">
        <is>
          <t>ÅNGE</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24541-2023</t>
        </is>
      </c>
      <c r="B1478" s="1" t="n">
        <v>45082.94135416667</v>
      </c>
      <c r="C1478" s="1" t="n">
        <v>46079</v>
      </c>
      <c r="D1478" t="inlineStr">
        <is>
          <t>VÄSTERNORRLANDS LÄN</t>
        </is>
      </c>
      <c r="E1478" t="inlineStr">
        <is>
          <t>ÅNGE</t>
        </is>
      </c>
      <c r="F1478" t="inlineStr">
        <is>
          <t>SCA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4328-2026</t>
        </is>
      </c>
      <c r="B1479" s="1" t="n">
        <v>46045.46940972222</v>
      </c>
      <c r="C1479" s="1" t="n">
        <v>46079</v>
      </c>
      <c r="D1479" t="inlineStr">
        <is>
          <t>VÄSTERNORRLANDS LÄN</t>
        </is>
      </c>
      <c r="E1479" t="inlineStr">
        <is>
          <t>ÅNGE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62160-2025</t>
        </is>
      </c>
      <c r="B1480" s="1" t="n">
        <v>46006.49094907408</v>
      </c>
      <c r="C1480" s="1" t="n">
        <v>46079</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4441-2026</t>
        </is>
      </c>
      <c r="B1481" s="1" t="n">
        <v>46045.63600694444</v>
      </c>
      <c r="C1481" s="1" t="n">
        <v>46079</v>
      </c>
      <c r="D1481" t="inlineStr">
        <is>
          <t>VÄSTERNORRLANDS LÄN</t>
        </is>
      </c>
      <c r="E1481" t="inlineStr">
        <is>
          <t>ÅNGE</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4442-2026</t>
        </is>
      </c>
      <c r="B1482" s="1" t="n">
        <v>46045.63625</v>
      </c>
      <c r="C1482" s="1" t="n">
        <v>46079</v>
      </c>
      <c r="D1482" t="inlineStr">
        <is>
          <t>VÄSTERNORRLANDS LÄN</t>
        </is>
      </c>
      <c r="E1482" t="inlineStr">
        <is>
          <t>ÅNGE</t>
        </is>
      </c>
      <c r="F1482" t="inlineStr">
        <is>
          <t>SCA</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4591-2026</t>
        </is>
      </c>
      <c r="B1483" s="1" t="n">
        <v>46048.34443287037</v>
      </c>
      <c r="C1483" s="1" t="n">
        <v>46079</v>
      </c>
      <c r="D1483" t="inlineStr">
        <is>
          <t>VÄSTERNORRLANDS LÄN</t>
        </is>
      </c>
      <c r="E1483" t="inlineStr">
        <is>
          <t>ÅNGE</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4593-2026</t>
        </is>
      </c>
      <c r="B1484" s="1" t="n">
        <v>46048.3446412037</v>
      </c>
      <c r="C1484" s="1" t="n">
        <v>46079</v>
      </c>
      <c r="D1484" t="inlineStr">
        <is>
          <t>VÄSTERNORRLANDS LÄN</t>
        </is>
      </c>
      <c r="E1484" t="inlineStr">
        <is>
          <t>ÅNGE</t>
        </is>
      </c>
      <c r="F1484" t="inlineStr">
        <is>
          <t>SCA</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54627-2025</t>
        </is>
      </c>
      <c r="B1485" s="1" t="n">
        <v>45966.34565972222</v>
      </c>
      <c r="C1485" s="1" t="n">
        <v>46079</v>
      </c>
      <c r="D1485" t="inlineStr">
        <is>
          <t>VÄSTERNORRLANDS LÄN</t>
        </is>
      </c>
      <c r="E1485" t="inlineStr">
        <is>
          <t>ÅNGE</t>
        </is>
      </c>
      <c r="F1485" t="inlineStr">
        <is>
          <t>SCA</t>
        </is>
      </c>
      <c r="G1485" t="n">
        <v>18.5</v>
      </c>
      <c r="H1485" t="n">
        <v>0</v>
      </c>
      <c r="I1485" t="n">
        <v>0</v>
      </c>
      <c r="J1485" t="n">
        <v>0</v>
      </c>
      <c r="K1485" t="n">
        <v>0</v>
      </c>
      <c r="L1485" t="n">
        <v>0</v>
      </c>
      <c r="M1485" t="n">
        <v>0</v>
      </c>
      <c r="N1485" t="n">
        <v>0</v>
      </c>
      <c r="O1485" t="n">
        <v>0</v>
      </c>
      <c r="P1485" t="n">
        <v>0</v>
      </c>
      <c r="Q1485" t="n">
        <v>0</v>
      </c>
      <c r="R1485" s="2" t="inlineStr"/>
    </row>
    <row r="1486" ht="15" customHeight="1">
      <c r="A1486" t="inlineStr">
        <is>
          <t>A 18542-2022</t>
        </is>
      </c>
      <c r="B1486" s="1" t="n">
        <v>44686</v>
      </c>
      <c r="C1486" s="1" t="n">
        <v>46079</v>
      </c>
      <c r="D1486" t="inlineStr">
        <is>
          <t>VÄSTERNORRLANDS LÄN</t>
        </is>
      </c>
      <c r="E1486" t="inlineStr">
        <is>
          <t>ÅNGE</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4592-2026</t>
        </is>
      </c>
      <c r="B1487" s="1" t="n">
        <v>46048.34451388889</v>
      </c>
      <c r="C1487" s="1" t="n">
        <v>46079</v>
      </c>
      <c r="D1487" t="inlineStr">
        <is>
          <t>VÄSTERNORRLANDS LÄN</t>
        </is>
      </c>
      <c r="E1487" t="inlineStr">
        <is>
          <t>ÅNGE</t>
        </is>
      </c>
      <c r="F1487" t="inlineStr">
        <is>
          <t>SCA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44600-2024</t>
        </is>
      </c>
      <c r="B1488" s="1" t="n">
        <v>45574.51113425926</v>
      </c>
      <c r="C1488" s="1" t="n">
        <v>46079</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26013-2024</t>
        </is>
      </c>
      <c r="B1489" s="1" t="n">
        <v>45467</v>
      </c>
      <c r="C1489" s="1" t="n">
        <v>46079</v>
      </c>
      <c r="D1489" t="inlineStr">
        <is>
          <t>VÄSTERNORRLANDS LÄN</t>
        </is>
      </c>
      <c r="E1489" t="inlineStr">
        <is>
          <t>ÅNGE</t>
        </is>
      </c>
      <c r="F1489" t="inlineStr">
        <is>
          <t>SCA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25377-2024</t>
        </is>
      </c>
      <c r="B1490" s="1" t="n">
        <v>45462.96211805556</v>
      </c>
      <c r="C1490" s="1" t="n">
        <v>46079</v>
      </c>
      <c r="D1490" t="inlineStr">
        <is>
          <t>VÄSTERNORRLANDS LÄN</t>
        </is>
      </c>
      <c r="E1490" t="inlineStr">
        <is>
          <t>ÅNGE</t>
        </is>
      </c>
      <c r="F1490" t="inlineStr">
        <is>
          <t>SCA</t>
        </is>
      </c>
      <c r="G1490" t="n">
        <v>20.7</v>
      </c>
      <c r="H1490" t="n">
        <v>0</v>
      </c>
      <c r="I1490" t="n">
        <v>0</v>
      </c>
      <c r="J1490" t="n">
        <v>0</v>
      </c>
      <c r="K1490" t="n">
        <v>0</v>
      </c>
      <c r="L1490" t="n">
        <v>0</v>
      </c>
      <c r="M1490" t="n">
        <v>0</v>
      </c>
      <c r="N1490" t="n">
        <v>0</v>
      </c>
      <c r="O1490" t="n">
        <v>0</v>
      </c>
      <c r="P1490" t="n">
        <v>0</v>
      </c>
      <c r="Q1490" t="n">
        <v>0</v>
      </c>
      <c r="R1490" s="2" t="inlineStr"/>
    </row>
    <row r="1491" ht="15" customHeight="1">
      <c r="A1491" t="inlineStr">
        <is>
          <t>A 62101-2025</t>
        </is>
      </c>
      <c r="B1491" s="1" t="n">
        <v>46006.40664351852</v>
      </c>
      <c r="C1491" s="1" t="n">
        <v>46079</v>
      </c>
      <c r="D1491" t="inlineStr">
        <is>
          <t>VÄSTERNORRLANDS LÄN</t>
        </is>
      </c>
      <c r="E1491" t="inlineStr">
        <is>
          <t>ÅNGE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62257-2025</t>
        </is>
      </c>
      <c r="B1492" s="1" t="n">
        <v>46006.61524305555</v>
      </c>
      <c r="C1492" s="1" t="n">
        <v>46079</v>
      </c>
      <c r="D1492" t="inlineStr">
        <is>
          <t>VÄSTERNORRLANDS LÄN</t>
        </is>
      </c>
      <c r="E1492" t="inlineStr">
        <is>
          <t>ÅNGE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34629-2025</t>
        </is>
      </c>
      <c r="B1493" s="1" t="n">
        <v>45847.93006944445</v>
      </c>
      <c r="C1493" s="1" t="n">
        <v>46079</v>
      </c>
      <c r="D1493" t="inlineStr">
        <is>
          <t>VÄSTERNORRLANDS LÄN</t>
        </is>
      </c>
      <c r="E1493" t="inlineStr">
        <is>
          <t>ÅNGE</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61857-2025</t>
        </is>
      </c>
      <c r="B1494" s="1" t="n">
        <v>46003.3862962963</v>
      </c>
      <c r="C1494" s="1" t="n">
        <v>46079</v>
      </c>
      <c r="D1494" t="inlineStr">
        <is>
          <t>VÄSTERNORRLANDS LÄN</t>
        </is>
      </c>
      <c r="E1494" t="inlineStr">
        <is>
          <t>ÅNGE</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4376-2026</t>
        </is>
      </c>
      <c r="B1495" s="1" t="n">
        <v>46045.55318287037</v>
      </c>
      <c r="C1495" s="1" t="n">
        <v>46079</v>
      </c>
      <c r="D1495" t="inlineStr">
        <is>
          <t>VÄSTERNORRLANDS LÄN</t>
        </is>
      </c>
      <c r="E1495" t="inlineStr">
        <is>
          <t>ÅNGE</t>
        </is>
      </c>
      <c r="F1495" t="inlineStr">
        <is>
          <t>SCA</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4327-2026</t>
        </is>
      </c>
      <c r="B1496" s="1" t="n">
        <v>46045.46930555555</v>
      </c>
      <c r="C1496" s="1" t="n">
        <v>46079</v>
      </c>
      <c r="D1496" t="inlineStr">
        <is>
          <t>VÄSTERNORRLANDS LÄN</t>
        </is>
      </c>
      <c r="E1496" t="inlineStr">
        <is>
          <t>ÅNGE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4586-2026</t>
        </is>
      </c>
      <c r="B1497" s="1" t="n">
        <v>46048.33769675926</v>
      </c>
      <c r="C1497" s="1" t="n">
        <v>46079</v>
      </c>
      <c r="D1497" t="inlineStr">
        <is>
          <t>VÄSTERNORRLANDS LÄN</t>
        </is>
      </c>
      <c r="E1497" t="inlineStr">
        <is>
          <t>ÅNGE</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4612-2026</t>
        </is>
      </c>
      <c r="B1498" s="1" t="n">
        <v>46048.36509259259</v>
      </c>
      <c r="C1498" s="1" t="n">
        <v>46079</v>
      </c>
      <c r="D1498" t="inlineStr">
        <is>
          <t>VÄSTERNORRLANDS LÄN</t>
        </is>
      </c>
      <c r="E1498" t="inlineStr">
        <is>
          <t>ÅNGE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62661-2025</t>
        </is>
      </c>
      <c r="B1499" s="1" t="n">
        <v>46008.42761574074</v>
      </c>
      <c r="C1499" s="1" t="n">
        <v>46079</v>
      </c>
      <c r="D1499" t="inlineStr">
        <is>
          <t>VÄSTERNORRLANDS LÄN</t>
        </is>
      </c>
      <c r="E1499" t="inlineStr">
        <is>
          <t>ÅNGE</t>
        </is>
      </c>
      <c r="F1499" t="inlineStr">
        <is>
          <t>SCA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62793-2025</t>
        </is>
      </c>
      <c r="B1500" s="1" t="n">
        <v>46008.63625</v>
      </c>
      <c r="C1500" s="1" t="n">
        <v>46079</v>
      </c>
      <c r="D1500" t="inlineStr">
        <is>
          <t>VÄSTERNORRLANDS LÄN</t>
        </is>
      </c>
      <c r="E1500" t="inlineStr">
        <is>
          <t>ÅNGE</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62763-2025</t>
        </is>
      </c>
      <c r="B1501" s="1" t="n">
        <v>46008.59434027778</v>
      </c>
      <c r="C1501" s="1" t="n">
        <v>46079</v>
      </c>
      <c r="D1501" t="inlineStr">
        <is>
          <t>VÄSTERNORRLANDS LÄN</t>
        </is>
      </c>
      <c r="E1501" t="inlineStr">
        <is>
          <t>ÅNGE</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5478-2026</t>
        </is>
      </c>
      <c r="B1502" s="1" t="n">
        <v>46050.60172453704</v>
      </c>
      <c r="C1502" s="1" t="n">
        <v>46079</v>
      </c>
      <c r="D1502" t="inlineStr">
        <is>
          <t>VÄSTERNORRLANDS LÄN</t>
        </is>
      </c>
      <c r="E1502" t="inlineStr">
        <is>
          <t>ÅNGE</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5470-2026</t>
        </is>
      </c>
      <c r="B1503" s="1" t="n">
        <v>46050.59548611111</v>
      </c>
      <c r="C1503" s="1" t="n">
        <v>46079</v>
      </c>
      <c r="D1503" t="inlineStr">
        <is>
          <t>VÄSTERNORRLANDS LÄN</t>
        </is>
      </c>
      <c r="E1503" t="inlineStr">
        <is>
          <t>ÅNGE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5136-2026</t>
        </is>
      </c>
      <c r="B1504" s="1" t="n">
        <v>46049.59420138889</v>
      </c>
      <c r="C1504" s="1" t="n">
        <v>46079</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5391-2026</t>
        </is>
      </c>
      <c r="B1505" s="1" t="n">
        <v>46050.47145833333</v>
      </c>
      <c r="C1505" s="1" t="n">
        <v>46079</v>
      </c>
      <c r="D1505" t="inlineStr">
        <is>
          <t>VÄSTERNORRLANDS LÄN</t>
        </is>
      </c>
      <c r="E1505" t="inlineStr">
        <is>
          <t>ÅNGE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5223-2026</t>
        </is>
      </c>
      <c r="B1506" s="1" t="n">
        <v>46049.79012731482</v>
      </c>
      <c r="C1506" s="1" t="n">
        <v>46079</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5135-2026</t>
        </is>
      </c>
      <c r="B1507" s="1" t="n">
        <v>46049.59417824074</v>
      </c>
      <c r="C1507" s="1" t="n">
        <v>46079</v>
      </c>
      <c r="D1507" t="inlineStr">
        <is>
          <t>VÄSTERNORRLANDS LÄN</t>
        </is>
      </c>
      <c r="E1507" t="inlineStr">
        <is>
          <t>ÅNGE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5388-2026</t>
        </is>
      </c>
      <c r="B1508" s="1" t="n">
        <v>46050.46769675926</v>
      </c>
      <c r="C1508" s="1" t="n">
        <v>46079</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63092-2025</t>
        </is>
      </c>
      <c r="B1509" s="1" t="n">
        <v>46009.67795138889</v>
      </c>
      <c r="C1509" s="1" t="n">
        <v>46079</v>
      </c>
      <c r="D1509" t="inlineStr">
        <is>
          <t>VÄSTERNORRLANDS LÄN</t>
        </is>
      </c>
      <c r="E1509" t="inlineStr">
        <is>
          <t>ÅNGE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5673-2026</t>
        </is>
      </c>
      <c r="B1510" s="1" t="n">
        <v>46051.4699537037</v>
      </c>
      <c r="C1510" s="1" t="n">
        <v>46079</v>
      </c>
      <c r="D1510" t="inlineStr">
        <is>
          <t>VÄSTERNORRLANDS LÄN</t>
        </is>
      </c>
      <c r="E1510" t="inlineStr">
        <is>
          <t>ÅNGE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5670-2026</t>
        </is>
      </c>
      <c r="B1511" s="1" t="n">
        <v>46051.46958333333</v>
      </c>
      <c r="C1511" s="1" t="n">
        <v>46079</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5672-2026</t>
        </is>
      </c>
      <c r="B1512" s="1" t="n">
        <v>46051.46989583333</v>
      </c>
      <c r="C1512" s="1" t="n">
        <v>46079</v>
      </c>
      <c r="D1512" t="inlineStr">
        <is>
          <t>VÄSTERNORRLANDS LÄN</t>
        </is>
      </c>
      <c r="E1512" t="inlineStr">
        <is>
          <t>ÅNGE</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1826-2026</t>
        </is>
      </c>
      <c r="B1513" s="1" t="n">
        <v>46035</v>
      </c>
      <c r="C1513" s="1" t="n">
        <v>46079</v>
      </c>
      <c r="D1513" t="inlineStr">
        <is>
          <t>VÄSTERNORRLANDS LÄN</t>
        </is>
      </c>
      <c r="E1513" t="inlineStr">
        <is>
          <t>ÅNGE</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63173-2025</t>
        </is>
      </c>
      <c r="B1514" s="1" t="n">
        <v>46010.40679398148</v>
      </c>
      <c r="C1514" s="1" t="n">
        <v>46079</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5671-2026</t>
        </is>
      </c>
      <c r="B1515" s="1" t="n">
        <v>46051.46965277778</v>
      </c>
      <c r="C1515" s="1" t="n">
        <v>46079</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5882-2026</t>
        </is>
      </c>
      <c r="B1516" s="1" t="n">
        <v>46052.39703703704</v>
      </c>
      <c r="C1516" s="1" t="n">
        <v>46079</v>
      </c>
      <c r="D1516" t="inlineStr">
        <is>
          <t>VÄSTERNORRLANDS LÄN</t>
        </is>
      </c>
      <c r="E1516" t="inlineStr">
        <is>
          <t>ÅNGE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3811-2026</t>
        </is>
      </c>
      <c r="B1517" s="1" t="n">
        <v>46043</v>
      </c>
      <c r="C1517" s="1" t="n">
        <v>46079</v>
      </c>
      <c r="D1517" t="inlineStr">
        <is>
          <t>VÄSTERNORRLANDS LÄN</t>
        </is>
      </c>
      <c r="E1517" t="inlineStr">
        <is>
          <t>ÅNGE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4095-2023</t>
        </is>
      </c>
      <c r="B1518" s="1" t="n">
        <v>44952</v>
      </c>
      <c r="C1518" s="1" t="n">
        <v>46079</v>
      </c>
      <c r="D1518" t="inlineStr">
        <is>
          <t>VÄSTERNORRLANDS LÄN</t>
        </is>
      </c>
      <c r="E1518" t="inlineStr">
        <is>
          <t>ÅNGE</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60950-2025</t>
        </is>
      </c>
      <c r="B1519" s="1" t="n">
        <v>45999</v>
      </c>
      <c r="C1519" s="1" t="n">
        <v>46079</v>
      </c>
      <c r="D1519" t="inlineStr">
        <is>
          <t>VÄSTERNORRLANDS LÄN</t>
        </is>
      </c>
      <c r="E1519" t="inlineStr">
        <is>
          <t>ÅNGE</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62336-2025</t>
        </is>
      </c>
      <c r="B1520" s="1" t="n">
        <v>46006</v>
      </c>
      <c r="C1520" s="1" t="n">
        <v>46079</v>
      </c>
      <c r="D1520" t="inlineStr">
        <is>
          <t>VÄSTERNORRLANDS LÄN</t>
        </is>
      </c>
      <c r="E1520" t="inlineStr">
        <is>
          <t>ÅNGE</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63686-2025</t>
        </is>
      </c>
      <c r="B1521" s="1" t="n">
        <v>46014.53172453704</v>
      </c>
      <c r="C1521" s="1" t="n">
        <v>46079</v>
      </c>
      <c r="D1521" t="inlineStr">
        <is>
          <t>VÄSTERNORRLANDS LÄN</t>
        </is>
      </c>
      <c r="E1521" t="inlineStr">
        <is>
          <t>ÅNGE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6692-2026</t>
        </is>
      </c>
      <c r="B1522" s="1" t="n">
        <v>46056.63623842593</v>
      </c>
      <c r="C1522" s="1" t="n">
        <v>46079</v>
      </c>
      <c r="D1522" t="inlineStr">
        <is>
          <t>VÄSTERNORRLANDS LÄN</t>
        </is>
      </c>
      <c r="E1522" t="inlineStr">
        <is>
          <t>ÅNGE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63652-2025</t>
        </is>
      </c>
      <c r="B1523" s="1" t="n">
        <v>46014.43987268519</v>
      </c>
      <c r="C1523" s="1" t="n">
        <v>46079</v>
      </c>
      <c r="D1523" t="inlineStr">
        <is>
          <t>VÄSTERNORRLANDS LÄN</t>
        </is>
      </c>
      <c r="E1523" t="inlineStr">
        <is>
          <t>ÅNGE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6542-2026</t>
        </is>
      </c>
      <c r="B1524" s="1" t="n">
        <v>46056.42770833334</v>
      </c>
      <c r="C1524" s="1" t="n">
        <v>46079</v>
      </c>
      <c r="D1524" t="inlineStr">
        <is>
          <t>VÄSTERNORRLANDS LÄN</t>
        </is>
      </c>
      <c r="E1524" t="inlineStr">
        <is>
          <t>ÅNGE</t>
        </is>
      </c>
      <c r="F1524" t="inlineStr">
        <is>
          <t>SCA</t>
        </is>
      </c>
      <c r="G1524" t="n">
        <v>28.5</v>
      </c>
      <c r="H1524" t="n">
        <v>0</v>
      </c>
      <c r="I1524" t="n">
        <v>0</v>
      </c>
      <c r="J1524" t="n">
        <v>0</v>
      </c>
      <c r="K1524" t="n">
        <v>0</v>
      </c>
      <c r="L1524" t="n">
        <v>0</v>
      </c>
      <c r="M1524" t="n">
        <v>0</v>
      </c>
      <c r="N1524" t="n">
        <v>0</v>
      </c>
      <c r="O1524" t="n">
        <v>0</v>
      </c>
      <c r="P1524" t="n">
        <v>0</v>
      </c>
      <c r="Q1524" t="n">
        <v>0</v>
      </c>
      <c r="R1524" s="2" t="inlineStr"/>
    </row>
    <row r="1525" ht="15" customHeight="1">
      <c r="A1525" t="inlineStr">
        <is>
          <t>A 6547-2026</t>
        </is>
      </c>
      <c r="B1525" s="1" t="n">
        <v>46056.42825231481</v>
      </c>
      <c r="C1525" s="1" t="n">
        <v>46079</v>
      </c>
      <c r="D1525" t="inlineStr">
        <is>
          <t>VÄSTERNORRLANDS LÄN</t>
        </is>
      </c>
      <c r="E1525" t="inlineStr">
        <is>
          <t>ÅNGE</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7184-2026</t>
        </is>
      </c>
      <c r="B1526" s="1" t="n">
        <v>46058.49020833334</v>
      </c>
      <c r="C1526" s="1" t="n">
        <v>46079</v>
      </c>
      <c r="D1526" t="inlineStr">
        <is>
          <t>VÄSTERNORRLANDS LÄN</t>
        </is>
      </c>
      <c r="E1526" t="inlineStr">
        <is>
          <t>ÅNGE</t>
        </is>
      </c>
      <c r="F1526" t="inlineStr">
        <is>
          <t>SCA</t>
        </is>
      </c>
      <c r="G1526" t="n">
        <v>19.3</v>
      </c>
      <c r="H1526" t="n">
        <v>0</v>
      </c>
      <c r="I1526" t="n">
        <v>0</v>
      </c>
      <c r="J1526" t="n">
        <v>0</v>
      </c>
      <c r="K1526" t="n">
        <v>0</v>
      </c>
      <c r="L1526" t="n">
        <v>0</v>
      </c>
      <c r="M1526" t="n">
        <v>0</v>
      </c>
      <c r="N1526" t="n">
        <v>0</v>
      </c>
      <c r="O1526" t="n">
        <v>0</v>
      </c>
      <c r="P1526" t="n">
        <v>0</v>
      </c>
      <c r="Q1526" t="n">
        <v>0</v>
      </c>
      <c r="R1526" s="2" t="inlineStr"/>
    </row>
    <row r="1527" ht="15" customHeight="1">
      <c r="A1527" t="inlineStr">
        <is>
          <t>A 60960-2025</t>
        </is>
      </c>
      <c r="B1527" s="1" t="n">
        <v>45999</v>
      </c>
      <c r="C1527" s="1" t="n">
        <v>46079</v>
      </c>
      <c r="D1527" t="inlineStr">
        <is>
          <t>VÄSTERNORRLANDS LÄN</t>
        </is>
      </c>
      <c r="E1527" t="inlineStr">
        <is>
          <t>ÅNGE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6918-2026</t>
        </is>
      </c>
      <c r="B1528" s="1" t="n">
        <v>46057.53289351852</v>
      </c>
      <c r="C1528" s="1" t="n">
        <v>46079</v>
      </c>
      <c r="D1528" t="inlineStr">
        <is>
          <t>VÄSTERNORRLANDS LÄN</t>
        </is>
      </c>
      <c r="E1528" t="inlineStr">
        <is>
          <t>ÅNGE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6932-2026</t>
        </is>
      </c>
      <c r="B1529" s="1" t="n">
        <v>46057.55331018518</v>
      </c>
      <c r="C1529" s="1" t="n">
        <v>46079</v>
      </c>
      <c r="D1529" t="inlineStr">
        <is>
          <t>VÄSTERNORRLANDS LÄN</t>
        </is>
      </c>
      <c r="E1529" t="inlineStr">
        <is>
          <t>ÅNGE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7016-2026</t>
        </is>
      </c>
      <c r="B1530" s="1" t="n">
        <v>46057.64766203704</v>
      </c>
      <c r="C1530" s="1" t="n">
        <v>46079</v>
      </c>
      <c r="D1530" t="inlineStr">
        <is>
          <t>VÄSTERNORRLANDS LÄN</t>
        </is>
      </c>
      <c r="E1530" t="inlineStr">
        <is>
          <t>ÅNGE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62091-2025</t>
        </is>
      </c>
      <c r="B1531" s="1" t="n">
        <v>46006.3859375</v>
      </c>
      <c r="C1531" s="1" t="n">
        <v>46079</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49669-2025</t>
        </is>
      </c>
      <c r="B1532" s="1" t="n">
        <v>45939.63710648148</v>
      </c>
      <c r="C1532" s="1" t="n">
        <v>46079</v>
      </c>
      <c r="D1532" t="inlineStr">
        <is>
          <t>VÄSTERNORRLANDS LÄN</t>
        </is>
      </c>
      <c r="E1532" t="inlineStr">
        <is>
          <t>ÅNGE</t>
        </is>
      </c>
      <c r="F1532" t="inlineStr">
        <is>
          <t>SCA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62092-2025</t>
        </is>
      </c>
      <c r="B1533" s="1" t="n">
        <v>46006.38613425926</v>
      </c>
      <c r="C1533" s="1" t="n">
        <v>46079</v>
      </c>
      <c r="D1533" t="inlineStr">
        <is>
          <t>VÄSTERNORRLANDS LÄN</t>
        </is>
      </c>
      <c r="E1533" t="inlineStr">
        <is>
          <t>ÅNGE</t>
        </is>
      </c>
      <c r="F1533" t="inlineStr">
        <is>
          <t>SCA</t>
        </is>
      </c>
      <c r="G1533" t="n">
        <v>16.3</v>
      </c>
      <c r="H1533" t="n">
        <v>0</v>
      </c>
      <c r="I1533" t="n">
        <v>0</v>
      </c>
      <c r="J1533" t="n">
        <v>0</v>
      </c>
      <c r="K1533" t="n">
        <v>0</v>
      </c>
      <c r="L1533" t="n">
        <v>0</v>
      </c>
      <c r="M1533" t="n">
        <v>0</v>
      </c>
      <c r="N1533" t="n">
        <v>0</v>
      </c>
      <c r="O1533" t="n">
        <v>0</v>
      </c>
      <c r="P1533" t="n">
        <v>0</v>
      </c>
      <c r="Q1533" t="n">
        <v>0</v>
      </c>
      <c r="R1533" s="2" t="inlineStr"/>
    </row>
    <row r="1534" ht="15" customHeight="1">
      <c r="A1534" t="inlineStr">
        <is>
          <t>A 63642-2025</t>
        </is>
      </c>
      <c r="B1534" s="1" t="n">
        <v>46014.41258101852</v>
      </c>
      <c r="C1534" s="1" t="n">
        <v>46079</v>
      </c>
      <c r="D1534" t="inlineStr">
        <is>
          <t>VÄSTERNORRLANDS LÄN</t>
        </is>
      </c>
      <c r="E1534" t="inlineStr">
        <is>
          <t>ÅNGE</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6883-2026</t>
        </is>
      </c>
      <c r="B1535" s="1" t="n">
        <v>46057.46607638889</v>
      </c>
      <c r="C1535" s="1" t="n">
        <v>46079</v>
      </c>
      <c r="D1535" t="inlineStr">
        <is>
          <t>VÄSTERNORRLANDS LÄN</t>
        </is>
      </c>
      <c r="E1535" t="inlineStr">
        <is>
          <t>ÅNGE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6901-2026</t>
        </is>
      </c>
      <c r="B1536" s="1" t="n">
        <v>46057.4903587963</v>
      </c>
      <c r="C1536" s="1" t="n">
        <v>46079</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63673-2025</t>
        </is>
      </c>
      <c r="B1537" s="1" t="n">
        <v>46014.47594907408</v>
      </c>
      <c r="C1537" s="1" t="n">
        <v>46079</v>
      </c>
      <c r="D1537" t="inlineStr">
        <is>
          <t>VÄSTERNORRLANDS LÄN</t>
        </is>
      </c>
      <c r="E1537" t="inlineStr">
        <is>
          <t>ÅNGE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7005-2026</t>
        </is>
      </c>
      <c r="B1538" s="1" t="n">
        <v>46057.63594907407</v>
      </c>
      <c r="C1538" s="1" t="n">
        <v>46079</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7026-2026</t>
        </is>
      </c>
      <c r="B1539" s="1" t="n">
        <v>46057.67420138889</v>
      </c>
      <c r="C1539" s="1" t="n">
        <v>46079</v>
      </c>
      <c r="D1539" t="inlineStr">
        <is>
          <t>VÄSTERNORRLANDS LÄN</t>
        </is>
      </c>
      <c r="E1539" t="inlineStr">
        <is>
          <t>ÅNGE</t>
        </is>
      </c>
      <c r="G1539" t="n">
        <v>18.4</v>
      </c>
      <c r="H1539" t="n">
        <v>0</v>
      </c>
      <c r="I1539" t="n">
        <v>0</v>
      </c>
      <c r="J1539" t="n">
        <v>0</v>
      </c>
      <c r="K1539" t="n">
        <v>0</v>
      </c>
      <c r="L1539" t="n">
        <v>0</v>
      </c>
      <c r="M1539" t="n">
        <v>0</v>
      </c>
      <c r="N1539" t="n">
        <v>0</v>
      </c>
      <c r="O1539" t="n">
        <v>0</v>
      </c>
      <c r="P1539" t="n">
        <v>0</v>
      </c>
      <c r="Q1539" t="n">
        <v>0</v>
      </c>
      <c r="R1539" s="2" t="inlineStr"/>
    </row>
    <row r="1540" ht="15" customHeight="1">
      <c r="A1540" t="inlineStr">
        <is>
          <t>A 7284-2026</t>
        </is>
      </c>
      <c r="B1540" s="1" t="n">
        <v>46058.63614583333</v>
      </c>
      <c r="C1540" s="1" t="n">
        <v>46079</v>
      </c>
      <c r="D1540" t="inlineStr">
        <is>
          <t>VÄSTERNORRLANDS LÄN</t>
        </is>
      </c>
      <c r="E1540" t="inlineStr">
        <is>
          <t>ÅNGE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7283-2026</t>
        </is>
      </c>
      <c r="B1541" s="1" t="n">
        <v>46058.63606481482</v>
      </c>
      <c r="C1541" s="1" t="n">
        <v>46079</v>
      </c>
      <c r="D1541" t="inlineStr">
        <is>
          <t>VÄSTERNORRLANDS LÄN</t>
        </is>
      </c>
      <c r="E1541" t="inlineStr">
        <is>
          <t>ÅNGE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6795-2026</t>
        </is>
      </c>
      <c r="B1542" s="1" t="n">
        <v>46057.34429398148</v>
      </c>
      <c r="C1542" s="1" t="n">
        <v>46079</v>
      </c>
      <c r="D1542" t="inlineStr">
        <is>
          <t>VÄSTERNORRLANDS LÄN</t>
        </is>
      </c>
      <c r="E1542" t="inlineStr">
        <is>
          <t>ÅNGE</t>
        </is>
      </c>
      <c r="F1542" t="inlineStr">
        <is>
          <t>SCA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6797-2026</t>
        </is>
      </c>
      <c r="B1543" s="1" t="n">
        <v>46057.34459490741</v>
      </c>
      <c r="C1543" s="1" t="n">
        <v>46079</v>
      </c>
      <c r="D1543" t="inlineStr">
        <is>
          <t>VÄSTERNORRLANDS LÄN</t>
        </is>
      </c>
      <c r="E1543" t="inlineStr">
        <is>
          <t>ÅNGE</t>
        </is>
      </c>
      <c r="F1543" t="inlineStr">
        <is>
          <t>SCA</t>
        </is>
      </c>
      <c r="G1543" t="n">
        <v>10.7</v>
      </c>
      <c r="H1543" t="n">
        <v>0</v>
      </c>
      <c r="I1543" t="n">
        <v>0</v>
      </c>
      <c r="J1543" t="n">
        <v>0</v>
      </c>
      <c r="K1543" t="n">
        <v>0</v>
      </c>
      <c r="L1543" t="n">
        <v>0</v>
      </c>
      <c r="M1543" t="n">
        <v>0</v>
      </c>
      <c r="N1543" t="n">
        <v>0</v>
      </c>
      <c r="O1543" t="n">
        <v>0</v>
      </c>
      <c r="P1543" t="n">
        <v>0</v>
      </c>
      <c r="Q1543" t="n">
        <v>0</v>
      </c>
      <c r="R1543" s="2" t="inlineStr"/>
    </row>
    <row r="1544" ht="15" customHeight="1">
      <c r="A1544" t="inlineStr">
        <is>
          <t>A 6975-2026</t>
        </is>
      </c>
      <c r="B1544" s="1" t="n">
        <v>46057.59436342592</v>
      </c>
      <c r="C1544" s="1" t="n">
        <v>46079</v>
      </c>
      <c r="D1544" t="inlineStr">
        <is>
          <t>VÄSTERNORRLANDS LÄN</t>
        </is>
      </c>
      <c r="E1544" t="inlineStr">
        <is>
          <t>ÅNGE</t>
        </is>
      </c>
      <c r="F1544" t="inlineStr">
        <is>
          <t>SCA</t>
        </is>
      </c>
      <c r="G1544" t="n">
        <v>20.7</v>
      </c>
      <c r="H1544" t="n">
        <v>0</v>
      </c>
      <c r="I1544" t="n">
        <v>0</v>
      </c>
      <c r="J1544" t="n">
        <v>0</v>
      </c>
      <c r="K1544" t="n">
        <v>0</v>
      </c>
      <c r="L1544" t="n">
        <v>0</v>
      </c>
      <c r="M1544" t="n">
        <v>0</v>
      </c>
      <c r="N1544" t="n">
        <v>0</v>
      </c>
      <c r="O1544" t="n">
        <v>0</v>
      </c>
      <c r="P1544" t="n">
        <v>0</v>
      </c>
      <c r="Q1544" t="n">
        <v>0</v>
      </c>
      <c r="R1544" s="2" t="inlineStr"/>
    </row>
    <row r="1545" ht="15" customHeight="1">
      <c r="A1545" t="inlineStr">
        <is>
          <t>A 5669-2026</t>
        </is>
      </c>
      <c r="B1545" s="1" t="n">
        <v>46051.46931712963</v>
      </c>
      <c r="C1545" s="1" t="n">
        <v>46079</v>
      </c>
      <c r="D1545" t="inlineStr">
        <is>
          <t>VÄSTERNORRLANDS LÄN</t>
        </is>
      </c>
      <c r="E1545" t="inlineStr">
        <is>
          <t>ÅNGE</t>
        </is>
      </c>
      <c r="F1545" t="inlineStr">
        <is>
          <t>SCA</t>
        </is>
      </c>
      <c r="G1545" t="n">
        <v>13.6</v>
      </c>
      <c r="H1545" t="n">
        <v>0</v>
      </c>
      <c r="I1545" t="n">
        <v>0</v>
      </c>
      <c r="J1545" t="n">
        <v>0</v>
      </c>
      <c r="K1545" t="n">
        <v>0</v>
      </c>
      <c r="L1545" t="n">
        <v>0</v>
      </c>
      <c r="M1545" t="n">
        <v>0</v>
      </c>
      <c r="N1545" t="n">
        <v>0</v>
      </c>
      <c r="O1545" t="n">
        <v>0</v>
      </c>
      <c r="P1545" t="n">
        <v>0</v>
      </c>
      <c r="Q1545" t="n">
        <v>0</v>
      </c>
      <c r="R1545" s="2" t="inlineStr"/>
    </row>
    <row r="1546" ht="15" customHeight="1">
      <c r="A1546" t="inlineStr">
        <is>
          <t>A 7548-2026</t>
        </is>
      </c>
      <c r="B1546" s="1" t="n">
        <v>46059.67776620371</v>
      </c>
      <c r="C1546" s="1" t="n">
        <v>46079</v>
      </c>
      <c r="D1546" t="inlineStr">
        <is>
          <t>VÄSTERNORRLANDS LÄN</t>
        </is>
      </c>
      <c r="E1546" t="inlineStr">
        <is>
          <t>ÅNGE</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7547-2026</t>
        </is>
      </c>
      <c r="B1547" s="1" t="n">
        <v>46059.67755787037</v>
      </c>
      <c r="C1547" s="1" t="n">
        <v>46079</v>
      </c>
      <c r="D1547" t="inlineStr">
        <is>
          <t>VÄSTERNORRLANDS LÄN</t>
        </is>
      </c>
      <c r="E1547" t="inlineStr">
        <is>
          <t>ÅNGE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7480-2026</t>
        </is>
      </c>
      <c r="B1548" s="1" t="n">
        <v>46059.51086805556</v>
      </c>
      <c r="C1548" s="1" t="n">
        <v>46079</v>
      </c>
      <c r="D1548" t="inlineStr">
        <is>
          <t>VÄSTERNORRLANDS LÄN</t>
        </is>
      </c>
      <c r="E1548" t="inlineStr">
        <is>
          <t>ÅNGE</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7634-2026</t>
        </is>
      </c>
      <c r="B1549" s="1" t="n">
        <v>46062.36506944444</v>
      </c>
      <c r="C1549" s="1" t="n">
        <v>46079</v>
      </c>
      <c r="D1549" t="inlineStr">
        <is>
          <t>VÄSTERNORRLANDS LÄN</t>
        </is>
      </c>
      <c r="E1549" t="inlineStr">
        <is>
          <t>ÅNGE</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7946-2026</t>
        </is>
      </c>
      <c r="B1550" s="1" t="n">
        <v>46062</v>
      </c>
      <c r="C1550" s="1" t="n">
        <v>46079</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63978-2025</t>
        </is>
      </c>
      <c r="B1551" s="1" t="n">
        <v>46021.34421296296</v>
      </c>
      <c r="C1551" s="1" t="n">
        <v>46079</v>
      </c>
      <c r="D1551" t="inlineStr">
        <is>
          <t>VÄSTERNORRLANDS LÄN</t>
        </is>
      </c>
      <c r="E1551" t="inlineStr">
        <is>
          <t>ÅNGE</t>
        </is>
      </c>
      <c r="F1551" t="inlineStr">
        <is>
          <t>SCA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8035-2026</t>
        </is>
      </c>
      <c r="B1552" s="1" t="n">
        <v>46063.59454861111</v>
      </c>
      <c r="C1552" s="1" t="n">
        <v>46079</v>
      </c>
      <c r="D1552" t="inlineStr">
        <is>
          <t>VÄSTERNORRLANDS LÄN</t>
        </is>
      </c>
      <c r="E1552" t="inlineStr">
        <is>
          <t>ÅNGE</t>
        </is>
      </c>
      <c r="F1552" t="inlineStr">
        <is>
          <t>SCA</t>
        </is>
      </c>
      <c r="G1552" t="n">
        <v>51.4</v>
      </c>
      <c r="H1552" t="n">
        <v>0</v>
      </c>
      <c r="I1552" t="n">
        <v>0</v>
      </c>
      <c r="J1552" t="n">
        <v>0</v>
      </c>
      <c r="K1552" t="n">
        <v>0</v>
      </c>
      <c r="L1552" t="n">
        <v>0</v>
      </c>
      <c r="M1552" t="n">
        <v>0</v>
      </c>
      <c r="N1552" t="n">
        <v>0</v>
      </c>
      <c r="O1552" t="n">
        <v>0</v>
      </c>
      <c r="P1552" t="n">
        <v>0</v>
      </c>
      <c r="Q1552" t="n">
        <v>0</v>
      </c>
      <c r="R1552" s="2" t="inlineStr"/>
    </row>
    <row r="1553" ht="15" customHeight="1">
      <c r="A1553" t="inlineStr">
        <is>
          <t>A 8284-2026</t>
        </is>
      </c>
      <c r="B1553" s="1" t="n">
        <v>46064.56364583333</v>
      </c>
      <c r="C1553" s="1" t="n">
        <v>46079</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64080-2025</t>
        </is>
      </c>
      <c r="B1554" s="1" t="n">
        <v>46021.67752314815</v>
      </c>
      <c r="C1554" s="1" t="n">
        <v>46079</v>
      </c>
      <c r="D1554" t="inlineStr">
        <is>
          <t>VÄSTERNORRLANDS LÄN</t>
        </is>
      </c>
      <c r="E1554" t="inlineStr">
        <is>
          <t>ÅNGE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63965-2025</t>
        </is>
      </c>
      <c r="B1555" s="1" t="n">
        <v>46020.93445601852</v>
      </c>
      <c r="C1555" s="1" t="n">
        <v>46079</v>
      </c>
      <c r="D1555" t="inlineStr">
        <is>
          <t>VÄSTERNORRLANDS LÄN</t>
        </is>
      </c>
      <c r="E1555" t="inlineStr">
        <is>
          <t>ÅNGE</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8143-2026</t>
        </is>
      </c>
      <c r="B1556" s="1" t="n">
        <v>46064.34438657408</v>
      </c>
      <c r="C1556" s="1" t="n">
        <v>46079</v>
      </c>
      <c r="D1556" t="inlineStr">
        <is>
          <t>VÄSTERNORRLANDS LÄN</t>
        </is>
      </c>
      <c r="E1556" t="inlineStr">
        <is>
          <t>ÅNGE</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8145-2026</t>
        </is>
      </c>
      <c r="B1557" s="1" t="n">
        <v>46064.34459490741</v>
      </c>
      <c r="C1557" s="1" t="n">
        <v>46079</v>
      </c>
      <c r="D1557" t="inlineStr">
        <is>
          <t>VÄSTERNORRLANDS LÄN</t>
        </is>
      </c>
      <c r="E1557" t="inlineStr">
        <is>
          <t>ÅNGE</t>
        </is>
      </c>
      <c r="F1557" t="inlineStr">
        <is>
          <t>SCA</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53858-2024</t>
        </is>
      </c>
      <c r="B1558" s="1" t="n">
        <v>45615</v>
      </c>
      <c r="C1558" s="1" t="n">
        <v>46079</v>
      </c>
      <c r="D1558" t="inlineStr">
        <is>
          <t>VÄSTERNORRLANDS LÄN</t>
        </is>
      </c>
      <c r="E1558" t="inlineStr">
        <is>
          <t>ÅNGE</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58-2026</t>
        </is>
      </c>
      <c r="B1559" s="1" t="n">
        <v>46024</v>
      </c>
      <c r="C1559" s="1" t="n">
        <v>46079</v>
      </c>
      <c r="D1559" t="inlineStr">
        <is>
          <t>VÄSTERNORRLANDS LÄN</t>
        </is>
      </c>
      <c r="E1559" t="inlineStr">
        <is>
          <t>ÅNGE</t>
        </is>
      </c>
      <c r="F1559" t="inlineStr">
        <is>
          <t>Kyrkan</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8635-2026</t>
        </is>
      </c>
      <c r="B1560" s="1" t="n">
        <v>46066.3543287037</v>
      </c>
      <c r="C1560" s="1" t="n">
        <v>46079</v>
      </c>
      <c r="D1560" t="inlineStr">
        <is>
          <t>VÄSTERNORRLANDS LÄN</t>
        </is>
      </c>
      <c r="E1560" t="inlineStr">
        <is>
          <t>ÅNGE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8858-2026</t>
        </is>
      </c>
      <c r="B1561" s="1" t="n">
        <v>46066.69833333333</v>
      </c>
      <c r="C1561" s="1" t="n">
        <v>46079</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8569-2026</t>
        </is>
      </c>
      <c r="B1562" s="1" t="n">
        <v>46065.67476851852</v>
      </c>
      <c r="C1562" s="1" t="n">
        <v>46079</v>
      </c>
      <c r="D1562" t="inlineStr">
        <is>
          <t>VÄSTERNORRLANDS LÄN</t>
        </is>
      </c>
      <c r="E1562" t="inlineStr">
        <is>
          <t>ÅNGE</t>
        </is>
      </c>
      <c r="F1562" t="inlineStr">
        <is>
          <t>SCA</t>
        </is>
      </c>
      <c r="G1562" t="n">
        <v>30.5</v>
      </c>
      <c r="H1562" t="n">
        <v>0</v>
      </c>
      <c r="I1562" t="n">
        <v>0</v>
      </c>
      <c r="J1562" t="n">
        <v>0</v>
      </c>
      <c r="K1562" t="n">
        <v>0</v>
      </c>
      <c r="L1562" t="n">
        <v>0</v>
      </c>
      <c r="M1562" t="n">
        <v>0</v>
      </c>
      <c r="N1562" t="n">
        <v>0</v>
      </c>
      <c r="O1562" t="n">
        <v>0</v>
      </c>
      <c r="P1562" t="n">
        <v>0</v>
      </c>
      <c r="Q1562" t="n">
        <v>0</v>
      </c>
      <c r="R1562" s="2" t="inlineStr"/>
    </row>
    <row r="1563" ht="15" customHeight="1">
      <c r="A1563" t="inlineStr">
        <is>
          <t>A 8638-2026</t>
        </is>
      </c>
      <c r="B1563" s="1" t="n">
        <v>46066.3546875</v>
      </c>
      <c r="C1563" s="1" t="n">
        <v>46079</v>
      </c>
      <c r="D1563" t="inlineStr">
        <is>
          <t>VÄSTERNORRLANDS LÄN</t>
        </is>
      </c>
      <c r="E1563" t="inlineStr">
        <is>
          <t>ÅNGE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8499-2026</t>
        </is>
      </c>
      <c r="B1564" s="1" t="n">
        <v>46065.49912037037</v>
      </c>
      <c r="C1564" s="1" t="n">
        <v>46079</v>
      </c>
      <c r="D1564" t="inlineStr">
        <is>
          <t>VÄSTERNORRLANDS LÄN</t>
        </is>
      </c>
      <c r="E1564" t="inlineStr">
        <is>
          <t>ÅNGE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8448-2026</t>
        </is>
      </c>
      <c r="B1565" s="1" t="n">
        <v>46065.40693287037</v>
      </c>
      <c r="C1565" s="1" t="n">
        <v>46079</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8431-2026</t>
        </is>
      </c>
      <c r="B1566" s="1" t="n">
        <v>46065.38619212963</v>
      </c>
      <c r="C1566" s="1" t="n">
        <v>46079</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8432-2026</t>
        </is>
      </c>
      <c r="B1567" s="1" t="n">
        <v>46065.3862962963</v>
      </c>
      <c r="C1567" s="1" t="n">
        <v>46079</v>
      </c>
      <c r="D1567" t="inlineStr">
        <is>
          <t>VÄSTERNORRLANDS LÄN</t>
        </is>
      </c>
      <c r="E1567" t="inlineStr">
        <is>
          <t>ÅNGE</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8836-2026</t>
        </is>
      </c>
      <c r="B1568" s="1" t="n">
        <v>46066.63701388889</v>
      </c>
      <c r="C1568" s="1" t="n">
        <v>46079</v>
      </c>
      <c r="D1568" t="inlineStr">
        <is>
          <t>VÄSTERNORRLANDS LÄN</t>
        </is>
      </c>
      <c r="E1568" t="inlineStr">
        <is>
          <t>ÅNGE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8860-2026</t>
        </is>
      </c>
      <c r="B1569" s="1" t="n">
        <v>46066.6987037037</v>
      </c>
      <c r="C1569" s="1" t="n">
        <v>46079</v>
      </c>
      <c r="D1569" t="inlineStr">
        <is>
          <t>VÄSTERNORRLANDS LÄN</t>
        </is>
      </c>
      <c r="E1569" t="inlineStr">
        <is>
          <t>ÅNGE</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8856-2026</t>
        </is>
      </c>
      <c r="B1570" s="1" t="n">
        <v>46066.67790509259</v>
      </c>
      <c r="C1570" s="1" t="n">
        <v>46079</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8859-2026</t>
        </is>
      </c>
      <c r="B1571" s="1" t="n">
        <v>46066.69863425926</v>
      </c>
      <c r="C1571" s="1" t="n">
        <v>46079</v>
      </c>
      <c r="D1571" t="inlineStr">
        <is>
          <t>VÄSTERNORRLANDS LÄN</t>
        </is>
      </c>
      <c r="E1571" t="inlineStr">
        <is>
          <t>ÅNGE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8358-2026</t>
        </is>
      </c>
      <c r="B1572" s="1" t="n">
        <v>46064.65677083333</v>
      </c>
      <c r="C1572" s="1" t="n">
        <v>46079</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8412-2026</t>
        </is>
      </c>
      <c r="B1573" s="1" t="n">
        <v>46065.34435185185</v>
      </c>
      <c r="C1573" s="1" t="n">
        <v>46079</v>
      </c>
      <c r="D1573" t="inlineStr">
        <is>
          <t>VÄSTERNORRLANDS LÄN</t>
        </is>
      </c>
      <c r="E1573" t="inlineStr">
        <is>
          <t>ÅNGE</t>
        </is>
      </c>
      <c r="F1573" t="inlineStr">
        <is>
          <t>SCA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7826-2026</t>
        </is>
      </c>
      <c r="B1574" s="1" t="n">
        <v>46062</v>
      </c>
      <c r="C1574" s="1" t="n">
        <v>46079</v>
      </c>
      <c r="D1574" t="inlineStr">
        <is>
          <t>VÄSTERNORRLANDS LÄN</t>
        </is>
      </c>
      <c r="E1574" t="inlineStr">
        <is>
          <t>ÅNGE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8874-2026</t>
        </is>
      </c>
      <c r="B1575" s="1" t="n">
        <v>46067.34431712963</v>
      </c>
      <c r="C1575" s="1" t="n">
        <v>46079</v>
      </c>
      <c r="D1575" t="inlineStr">
        <is>
          <t>VÄSTERNORRLANDS LÄN</t>
        </is>
      </c>
      <c r="E1575" t="inlineStr">
        <is>
          <t>ÅNGE</t>
        </is>
      </c>
      <c r="F1575" t="inlineStr">
        <is>
          <t>SCA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232-2026</t>
        </is>
      </c>
      <c r="B1576" s="1" t="n">
        <v>46027.34425925926</v>
      </c>
      <c r="C1576" s="1" t="n">
        <v>46079</v>
      </c>
      <c r="D1576" t="inlineStr">
        <is>
          <t>VÄSTERNORRLANDS LÄN</t>
        </is>
      </c>
      <c r="E1576" t="inlineStr">
        <is>
          <t>ÅNGE</t>
        </is>
      </c>
      <c r="F1576" t="inlineStr">
        <is>
          <t>SCA</t>
        </is>
      </c>
      <c r="G1576" t="n">
        <v>37.7</v>
      </c>
      <c r="H1576" t="n">
        <v>0</v>
      </c>
      <c r="I1576" t="n">
        <v>0</v>
      </c>
      <c r="J1576" t="n">
        <v>0</v>
      </c>
      <c r="K1576" t="n">
        <v>0</v>
      </c>
      <c r="L1576" t="n">
        <v>0</v>
      </c>
      <c r="M1576" t="n">
        <v>0</v>
      </c>
      <c r="N1576" t="n">
        <v>0</v>
      </c>
      <c r="O1576" t="n">
        <v>0</v>
      </c>
      <c r="P1576" t="n">
        <v>0</v>
      </c>
      <c r="Q1576" t="n">
        <v>0</v>
      </c>
      <c r="R1576" s="2" t="inlineStr"/>
    </row>
    <row r="1577" ht="15" customHeight="1">
      <c r="A1577" t="inlineStr">
        <is>
          <t>A 8879-2026</t>
        </is>
      </c>
      <c r="B1577" s="1" t="n">
        <v>46067.53172453704</v>
      </c>
      <c r="C1577" s="1" t="n">
        <v>46079</v>
      </c>
      <c r="D1577" t="inlineStr">
        <is>
          <t>VÄSTERNORRLANDS LÄN</t>
        </is>
      </c>
      <c r="E1577" t="inlineStr">
        <is>
          <t>ÅNGE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8926-2026</t>
        </is>
      </c>
      <c r="B1578" s="1" t="n">
        <v>46069.34429398148</v>
      </c>
      <c r="C1578" s="1" t="n">
        <v>46079</v>
      </c>
      <c r="D1578" t="inlineStr">
        <is>
          <t>VÄSTERNORRLANDS LÄN</t>
        </is>
      </c>
      <c r="E1578" t="inlineStr">
        <is>
          <t>ÅNGE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8995-2026</t>
        </is>
      </c>
      <c r="B1579" s="1" t="n">
        <v>46069.46938657408</v>
      </c>
      <c r="C1579" s="1" t="n">
        <v>46079</v>
      </c>
      <c r="D1579" t="inlineStr">
        <is>
          <t>VÄSTERNORRLANDS LÄN</t>
        </is>
      </c>
      <c r="E1579" t="inlineStr">
        <is>
          <t>ÅNGE</t>
        </is>
      </c>
      <c r="F1579" t="inlineStr">
        <is>
          <t>SCA</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345-2026</t>
        </is>
      </c>
      <c r="B1580" s="1" t="n">
        <v>46027.61515046296</v>
      </c>
      <c r="C1580" s="1" t="n">
        <v>46079</v>
      </c>
      <c r="D1580" t="inlineStr">
        <is>
          <t>VÄSTERNORRLANDS LÄN</t>
        </is>
      </c>
      <c r="E1580" t="inlineStr">
        <is>
          <t>ÅNGE</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9126-2026</t>
        </is>
      </c>
      <c r="B1581" s="1" t="n">
        <v>46069.68767361111</v>
      </c>
      <c r="C1581" s="1" t="n">
        <v>46079</v>
      </c>
      <c r="D1581" t="inlineStr">
        <is>
          <t>VÄSTERNORRLANDS LÄN</t>
        </is>
      </c>
      <c r="E1581" t="inlineStr">
        <is>
          <t>ÅNGE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9157-2026</t>
        </is>
      </c>
      <c r="B1582" s="1" t="n">
        <v>46070.34450231482</v>
      </c>
      <c r="C1582" s="1" t="n">
        <v>46079</v>
      </c>
      <c r="D1582" t="inlineStr">
        <is>
          <t>VÄSTERNORRLANDS LÄN</t>
        </is>
      </c>
      <c r="E1582" t="inlineStr">
        <is>
          <t>ÅNGE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353-2026</t>
        </is>
      </c>
      <c r="B1583" s="1" t="n">
        <v>46027.63585648148</v>
      </c>
      <c r="C1583" s="1" t="n">
        <v>46079</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9192-2026</t>
        </is>
      </c>
      <c r="B1584" s="1" t="n">
        <v>46070.3859837963</v>
      </c>
      <c r="C1584" s="1" t="n">
        <v>46079</v>
      </c>
      <c r="D1584" t="inlineStr">
        <is>
          <t>VÄSTERNORRLANDS LÄN</t>
        </is>
      </c>
      <c r="E1584" t="inlineStr">
        <is>
          <t>ÅNGE</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8469-2026</t>
        </is>
      </c>
      <c r="B1585" s="1" t="n">
        <v>46065.44871527778</v>
      </c>
      <c r="C1585" s="1" t="n">
        <v>46079</v>
      </c>
      <c r="D1585" t="inlineStr">
        <is>
          <t>VÄSTERNORRLANDS LÄN</t>
        </is>
      </c>
      <c r="E1585" t="inlineStr">
        <is>
          <t>ÅNGE</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8928-2026</t>
        </is>
      </c>
      <c r="B1586" s="1" t="n">
        <v>46069.34454861111</v>
      </c>
      <c r="C1586" s="1" t="n">
        <v>46079</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61486-2025</t>
        </is>
      </c>
      <c r="B1587" s="1" t="n">
        <v>46001.63607638889</v>
      </c>
      <c r="C1587" s="1" t="n">
        <v>46079</v>
      </c>
      <c r="D1587" t="inlineStr">
        <is>
          <t>VÄSTERNORRLANDS LÄN</t>
        </is>
      </c>
      <c r="E1587" t="inlineStr">
        <is>
          <t>ÅNGE</t>
        </is>
      </c>
      <c r="F1587" t="inlineStr">
        <is>
          <t>SCA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35781-2025</t>
        </is>
      </c>
      <c r="B1588" s="1" t="n">
        <v>45860</v>
      </c>
      <c r="C1588" s="1" t="n">
        <v>46079</v>
      </c>
      <c r="D1588" t="inlineStr">
        <is>
          <t>VÄSTERNORRLANDS LÄN</t>
        </is>
      </c>
      <c r="E1588" t="inlineStr">
        <is>
          <t>ÅNGE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703-2026</t>
        </is>
      </c>
      <c r="B1589" s="1" t="n">
        <v>46029.61604166667</v>
      </c>
      <c r="C1589" s="1" t="n">
        <v>46079</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4374-2026</t>
        </is>
      </c>
      <c r="B1590" s="1" t="n">
        <v>46045</v>
      </c>
      <c r="C1590" s="1" t="n">
        <v>46079</v>
      </c>
      <c r="D1590" t="inlineStr">
        <is>
          <t>VÄSTERNORRLANDS LÄN</t>
        </is>
      </c>
      <c r="E1590" t="inlineStr">
        <is>
          <t>ÅNGE</t>
        </is>
      </c>
      <c r="G1590" t="n">
        <v>13.5</v>
      </c>
      <c r="H1590" t="n">
        <v>0</v>
      </c>
      <c r="I1590" t="n">
        <v>0</v>
      </c>
      <c r="J1590" t="n">
        <v>0</v>
      </c>
      <c r="K1590" t="n">
        <v>0</v>
      </c>
      <c r="L1590" t="n">
        <v>0</v>
      </c>
      <c r="M1590" t="n">
        <v>0</v>
      </c>
      <c r="N1590" t="n">
        <v>0</v>
      </c>
      <c r="O1590" t="n">
        <v>0</v>
      </c>
      <c r="P1590" t="n">
        <v>0</v>
      </c>
      <c r="Q1590" t="n">
        <v>0</v>
      </c>
      <c r="R1590" s="2" t="inlineStr"/>
    </row>
    <row r="1591" ht="15" customHeight="1">
      <c r="A1591" t="inlineStr">
        <is>
          <t>A 627-2026</t>
        </is>
      </c>
      <c r="B1591" s="1" t="n">
        <v>46029.55262731481</v>
      </c>
      <c r="C1591" s="1" t="n">
        <v>46079</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9705-2026</t>
        </is>
      </c>
      <c r="B1592" s="1" t="n">
        <v>46072.42768518518</v>
      </c>
      <c r="C1592" s="1" t="n">
        <v>46079</v>
      </c>
      <c r="D1592" t="inlineStr">
        <is>
          <t>VÄSTERNORRLANDS LÄN</t>
        </is>
      </c>
      <c r="E1592" t="inlineStr">
        <is>
          <t>ÅNGE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9845-2026</t>
        </is>
      </c>
      <c r="B1593" s="1" t="n">
        <v>46072.73510416667</v>
      </c>
      <c r="C1593" s="1" t="n">
        <v>46079</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21456-2025</t>
        </is>
      </c>
      <c r="B1594" s="1" t="n">
        <v>45782</v>
      </c>
      <c r="C1594" s="1" t="n">
        <v>46079</v>
      </c>
      <c r="D1594" t="inlineStr">
        <is>
          <t>VÄSTERNORRLANDS LÄN</t>
        </is>
      </c>
      <c r="E1594" t="inlineStr">
        <is>
          <t>ÅNGE</t>
        </is>
      </c>
      <c r="F1594" t="inlineStr">
        <is>
          <t>SCA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1375-2026</t>
        </is>
      </c>
      <c r="B1595" s="1" t="n">
        <v>46031.61520833334</v>
      </c>
      <c r="C1595" s="1" t="n">
        <v>46079</v>
      </c>
      <c r="D1595" t="inlineStr">
        <is>
          <t>VÄSTERNORRLANDS LÄN</t>
        </is>
      </c>
      <c r="E1595" t="inlineStr">
        <is>
          <t>ÅNGE</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9882-2026</t>
        </is>
      </c>
      <c r="B1596" s="1" t="n">
        <v>46073.34444444445</v>
      </c>
      <c r="C1596" s="1" t="n">
        <v>46079</v>
      </c>
      <c r="D1596" t="inlineStr">
        <is>
          <t>VÄSTERNORRLANDS LÄN</t>
        </is>
      </c>
      <c r="E1596" t="inlineStr">
        <is>
          <t>ÅNGE</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1280-2026</t>
        </is>
      </c>
      <c r="B1597" s="1" t="n">
        <v>46031.47851851852</v>
      </c>
      <c r="C1597" s="1" t="n">
        <v>46079</v>
      </c>
      <c r="D1597" t="inlineStr">
        <is>
          <t>VÄSTERNORRLANDS LÄN</t>
        </is>
      </c>
      <c r="E1597" t="inlineStr">
        <is>
          <t>ÅNGE</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1270-2026</t>
        </is>
      </c>
      <c r="B1598" s="1" t="n">
        <v>46031.46538194444</v>
      </c>
      <c r="C1598" s="1" t="n">
        <v>46079</v>
      </c>
      <c r="D1598" t="inlineStr">
        <is>
          <t>VÄSTERNORRLANDS LÄN</t>
        </is>
      </c>
      <c r="E1598" t="inlineStr">
        <is>
          <t>ÅNGE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1547-2026</t>
        </is>
      </c>
      <c r="B1599" s="1" t="n">
        <v>46034.38689814815</v>
      </c>
      <c r="C1599" s="1" t="n">
        <v>46079</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1544-2026</t>
        </is>
      </c>
      <c r="B1600" s="1" t="n">
        <v>46034.38653935185</v>
      </c>
      <c r="C1600" s="1" t="n">
        <v>46079</v>
      </c>
      <c r="D1600" t="inlineStr">
        <is>
          <t>VÄSTERNORRLANDS LÄN</t>
        </is>
      </c>
      <c r="E1600" t="inlineStr">
        <is>
          <t>ÅNGE</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5492-2026</t>
        </is>
      </c>
      <c r="B1601" s="1" t="n">
        <v>46050</v>
      </c>
      <c r="C1601" s="1" t="n">
        <v>46079</v>
      </c>
      <c r="D1601" t="inlineStr">
        <is>
          <t>VÄSTERNORRLANDS LÄN</t>
        </is>
      </c>
      <c r="E1601" t="inlineStr">
        <is>
          <t>ÅNGE</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1541-2026</t>
        </is>
      </c>
      <c r="B1602" s="1" t="n">
        <v>46034.38606481482</v>
      </c>
      <c r="C1602" s="1" t="n">
        <v>46079</v>
      </c>
      <c r="D1602" t="inlineStr">
        <is>
          <t>VÄSTERNORRLANDS LÄN</t>
        </is>
      </c>
      <c r="E1602" t="inlineStr">
        <is>
          <t>ÅNGE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1543-2026</t>
        </is>
      </c>
      <c r="B1603" s="1" t="n">
        <v>46034.38636574074</v>
      </c>
      <c r="C1603" s="1" t="n">
        <v>46079</v>
      </c>
      <c r="D1603" t="inlineStr">
        <is>
          <t>VÄSTERNORRLANDS LÄN</t>
        </is>
      </c>
      <c r="E1603" t="inlineStr">
        <is>
          <t>ÅNGE</t>
        </is>
      </c>
      <c r="F1603" t="inlineStr">
        <is>
          <t>SCA</t>
        </is>
      </c>
      <c r="G1603" t="n">
        <v>17.3</v>
      </c>
      <c r="H1603" t="n">
        <v>0</v>
      </c>
      <c r="I1603" t="n">
        <v>0</v>
      </c>
      <c r="J1603" t="n">
        <v>0</v>
      </c>
      <c r="K1603" t="n">
        <v>0</v>
      </c>
      <c r="L1603" t="n">
        <v>0</v>
      </c>
      <c r="M1603" t="n">
        <v>0</v>
      </c>
      <c r="N1603" t="n">
        <v>0</v>
      </c>
      <c r="O1603" t="n">
        <v>0</v>
      </c>
      <c r="P1603" t="n">
        <v>0</v>
      </c>
      <c r="Q1603" t="n">
        <v>0</v>
      </c>
      <c r="R1603" s="2" t="inlineStr"/>
    </row>
    <row r="1604" ht="15" customHeight="1">
      <c r="A1604" t="inlineStr">
        <is>
          <t>A 10352-2026</t>
        </is>
      </c>
      <c r="B1604" s="1" t="n">
        <v>46076.71934027778</v>
      </c>
      <c r="C1604" s="1" t="n">
        <v>46079</v>
      </c>
      <c r="D1604" t="inlineStr">
        <is>
          <t>VÄSTERNORRLANDS LÄN</t>
        </is>
      </c>
      <c r="E1604" t="inlineStr">
        <is>
          <t>ÅNGE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1654-2026</t>
        </is>
      </c>
      <c r="B1605" s="1" t="n">
        <v>46034</v>
      </c>
      <c r="C1605" s="1" t="n">
        <v>46079</v>
      </c>
      <c r="D1605" t="inlineStr">
        <is>
          <t>VÄSTERNORRLANDS LÄN</t>
        </is>
      </c>
      <c r="E1605" t="inlineStr">
        <is>
          <t>ÅNGE</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1266-2026</t>
        </is>
      </c>
      <c r="B1606" s="1" t="n">
        <v>46031.46269675926</v>
      </c>
      <c r="C1606" s="1" t="n">
        <v>46079</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10741-2026</t>
        </is>
      </c>
      <c r="B1607" s="1" t="n">
        <v>46078.51119212963</v>
      </c>
      <c r="C1607" s="1" t="n">
        <v>46079</v>
      </c>
      <c r="D1607" t="inlineStr">
        <is>
          <t>VÄSTERNORRLANDS LÄN</t>
        </is>
      </c>
      <c r="E1607" t="inlineStr">
        <is>
          <t>ÅNGE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1846-2026</t>
        </is>
      </c>
      <c r="B1608" s="1" t="n">
        <v>46035</v>
      </c>
      <c r="C1608" s="1" t="n">
        <v>46079</v>
      </c>
      <c r="D1608" t="inlineStr">
        <is>
          <t>VÄSTERNORRLANDS LÄN</t>
        </is>
      </c>
      <c r="E1608" t="inlineStr">
        <is>
          <t>ÅNGE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10707-2026</t>
        </is>
      </c>
      <c r="B1609" s="1" t="n">
        <v>46078.4487962963</v>
      </c>
      <c r="C1609" s="1" t="n">
        <v>46079</v>
      </c>
      <c r="D1609" t="inlineStr">
        <is>
          <t>VÄSTERNORRLANDS LÄN</t>
        </is>
      </c>
      <c r="E1609" t="inlineStr">
        <is>
          <t>ÅNGE</t>
        </is>
      </c>
      <c r="F1609" t="inlineStr">
        <is>
          <t>SCA</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10708-2026</t>
        </is>
      </c>
      <c r="B1610" s="1" t="n">
        <v>46078.44883101852</v>
      </c>
      <c r="C1610" s="1" t="n">
        <v>46079</v>
      </c>
      <c r="D1610" t="inlineStr">
        <is>
          <t>VÄSTERNORRLANDS LÄN</t>
        </is>
      </c>
      <c r="E1610" t="inlineStr">
        <is>
          <t>ÅNGE</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10777-2026</t>
        </is>
      </c>
      <c r="B1611" s="1" t="n">
        <v>46078.57386574074</v>
      </c>
      <c r="C1611" s="1" t="n">
        <v>46079</v>
      </c>
      <c r="D1611" t="inlineStr">
        <is>
          <t>VÄSTERNORRLANDS LÄN</t>
        </is>
      </c>
      <c r="E1611" t="inlineStr">
        <is>
          <t>ÅNGE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10407-2026</t>
        </is>
      </c>
      <c r="B1612" s="1" t="n">
        <v>46077.34465277778</v>
      </c>
      <c r="C1612" s="1" t="n">
        <v>46079</v>
      </c>
      <c r="D1612" t="inlineStr">
        <is>
          <t>VÄSTERNORRLANDS LÄN</t>
        </is>
      </c>
      <c r="E1612" t="inlineStr">
        <is>
          <t>ÅNGE</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9328-2026</t>
        </is>
      </c>
      <c r="B1613" s="1" t="n">
        <v>46070</v>
      </c>
      <c r="C1613" s="1" t="n">
        <v>46079</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9334-2026</t>
        </is>
      </c>
      <c r="B1614" s="1" t="n">
        <v>46070</v>
      </c>
      <c r="C1614" s="1" t="n">
        <v>46079</v>
      </c>
      <c r="D1614" t="inlineStr">
        <is>
          <t>VÄSTERNORRLANDS LÄN</t>
        </is>
      </c>
      <c r="E1614" t="inlineStr">
        <is>
          <t>ÅNGE</t>
        </is>
      </c>
      <c r="F1614" t="inlineStr">
        <is>
          <t>SCA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10878-2026</t>
        </is>
      </c>
      <c r="B1615" s="1" t="n">
        <v>46078.71934027778</v>
      </c>
      <c r="C1615" s="1" t="n">
        <v>46079</v>
      </c>
      <c r="D1615" t="inlineStr">
        <is>
          <t>VÄSTERNORRLANDS LÄN</t>
        </is>
      </c>
      <c r="E1615" t="inlineStr">
        <is>
          <t>ÅNGE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10678-2026</t>
        </is>
      </c>
      <c r="B1616" s="1" t="n">
        <v>46078.40769675926</v>
      </c>
      <c r="C1616" s="1" t="n">
        <v>46079</v>
      </c>
      <c r="D1616" t="inlineStr">
        <is>
          <t>VÄSTERNORRLANDS LÄN</t>
        </is>
      </c>
      <c r="E1616" t="inlineStr">
        <is>
          <t>ÅNGE</t>
        </is>
      </c>
      <c r="F1616" t="inlineStr">
        <is>
          <t>SCA</t>
        </is>
      </c>
      <c r="G1616" t="n">
        <v>19.9</v>
      </c>
      <c r="H1616" t="n">
        <v>0</v>
      </c>
      <c r="I1616" t="n">
        <v>0</v>
      </c>
      <c r="J1616" t="n">
        <v>0</v>
      </c>
      <c r="K1616" t="n">
        <v>0</v>
      </c>
      <c r="L1616" t="n">
        <v>0</v>
      </c>
      <c r="M1616" t="n">
        <v>0</v>
      </c>
      <c r="N1616" t="n">
        <v>0</v>
      </c>
      <c r="O1616" t="n">
        <v>0</v>
      </c>
      <c r="P1616" t="n">
        <v>0</v>
      </c>
      <c r="Q1616" t="n">
        <v>0</v>
      </c>
      <c r="R1616" s="2" t="inlineStr"/>
    </row>
    <row r="1617" ht="15" customHeight="1">
      <c r="A1617" t="inlineStr">
        <is>
          <t>A 10705-2026</t>
        </is>
      </c>
      <c r="B1617" s="1" t="n">
        <v>46078.44865740741</v>
      </c>
      <c r="C1617" s="1" t="n">
        <v>46079</v>
      </c>
      <c r="D1617" t="inlineStr">
        <is>
          <t>VÄSTERNORRLANDS LÄN</t>
        </is>
      </c>
      <c r="E1617" t="inlineStr">
        <is>
          <t>ÅNGE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10706-2026</t>
        </is>
      </c>
      <c r="B1618" s="1" t="n">
        <v>46078.44876157407</v>
      </c>
      <c r="C1618" s="1" t="n">
        <v>46079</v>
      </c>
      <c r="D1618" t="inlineStr">
        <is>
          <t>VÄSTERNORRLANDS LÄN</t>
        </is>
      </c>
      <c r="E1618" t="inlineStr">
        <is>
          <t>ÅNGE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9832-2026</t>
        </is>
      </c>
      <c r="B1619" s="1" t="n">
        <v>46072</v>
      </c>
      <c r="C1619" s="1" t="n">
        <v>46079</v>
      </c>
      <c r="D1619" t="inlineStr">
        <is>
          <t>VÄSTERNORRLANDS LÄN</t>
        </is>
      </c>
      <c r="E1619" t="inlineStr">
        <is>
          <t>ÅNGE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10411-2026</t>
        </is>
      </c>
      <c r="B1620" s="1" t="n">
        <v>46077.34547453704</v>
      </c>
      <c r="C1620" s="1" t="n">
        <v>46079</v>
      </c>
      <c r="D1620" t="inlineStr">
        <is>
          <t>VÄSTERNORRLANDS LÄN</t>
        </is>
      </c>
      <c r="E1620" t="inlineStr">
        <is>
          <t>ÅNGE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10647-2026</t>
        </is>
      </c>
      <c r="B1621" s="1" t="n">
        <v>46078.344375</v>
      </c>
      <c r="C1621" s="1" t="n">
        <v>46079</v>
      </c>
      <c r="D1621" t="inlineStr">
        <is>
          <t>VÄSTERNORRLANDS LÄN</t>
        </is>
      </c>
      <c r="E1621" t="inlineStr">
        <is>
          <t>ÅNGE</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10657-2026</t>
        </is>
      </c>
      <c r="B1622" s="1" t="n">
        <v>46078.36505787037</v>
      </c>
      <c r="C1622" s="1" t="n">
        <v>46079</v>
      </c>
      <c r="D1622" t="inlineStr">
        <is>
          <t>VÄSTERNORRLANDS LÄN</t>
        </is>
      </c>
      <c r="E1622" t="inlineStr">
        <is>
          <t>ÅNGE</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10409-2026</t>
        </is>
      </c>
      <c r="B1623" s="1" t="n">
        <v>46077.34508101852</v>
      </c>
      <c r="C1623" s="1" t="n">
        <v>46079</v>
      </c>
      <c r="D1623" t="inlineStr">
        <is>
          <t>VÄSTERNORRLANDS LÄN</t>
        </is>
      </c>
      <c r="E1623" t="inlineStr">
        <is>
          <t>ÅNGE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5637-2026</t>
        </is>
      </c>
      <c r="B1624" s="1" t="n">
        <v>46051</v>
      </c>
      <c r="C1624" s="1" t="n">
        <v>46079</v>
      </c>
      <c r="D1624" t="inlineStr">
        <is>
          <t>VÄSTERNORRLANDS LÄN</t>
        </is>
      </c>
      <c r="E1624" t="inlineStr">
        <is>
          <t>ÅNGE</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1971-2026</t>
        </is>
      </c>
      <c r="B1625" s="1" t="n">
        <v>46035.64133101852</v>
      </c>
      <c r="C1625" s="1" t="n">
        <v>46079</v>
      </c>
      <c r="D1625" t="inlineStr">
        <is>
          <t>VÄSTERNORRLANDS LÄN</t>
        </is>
      </c>
      <c r="E1625" t="inlineStr">
        <is>
          <t>ÅNGE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10412-2026</t>
        </is>
      </c>
      <c r="B1626" s="1" t="n">
        <v>46077.34564814815</v>
      </c>
      <c r="C1626" s="1" t="n">
        <v>46079</v>
      </c>
      <c r="D1626" t="inlineStr">
        <is>
          <t>VÄSTERNORRLANDS LÄN</t>
        </is>
      </c>
      <c r="E1626" t="inlineStr">
        <is>
          <t>ÅNGE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9333-2026</t>
        </is>
      </c>
      <c r="B1627" s="1" t="n">
        <v>46070</v>
      </c>
      <c r="C1627" s="1" t="n">
        <v>46079</v>
      </c>
      <c r="D1627" t="inlineStr">
        <is>
          <t>VÄSTERNORRLANDS LÄN</t>
        </is>
      </c>
      <c r="E1627" t="inlineStr">
        <is>
          <t>ÅNGE</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10722-2026</t>
        </is>
      </c>
      <c r="B1628" s="1" t="n">
        <v>46078.46929398148</v>
      </c>
      <c r="C1628" s="1" t="n">
        <v>46079</v>
      </c>
      <c r="D1628" t="inlineStr">
        <is>
          <t>VÄSTERNORRLANDS LÄN</t>
        </is>
      </c>
      <c r="E1628" t="inlineStr">
        <is>
          <t>ÅNGE</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1897-2026</t>
        </is>
      </c>
      <c r="B1629" s="1" t="n">
        <v>46035</v>
      </c>
      <c r="C1629" s="1" t="n">
        <v>46079</v>
      </c>
      <c r="D1629" t="inlineStr">
        <is>
          <t>VÄSTERNORRLANDS LÄN</t>
        </is>
      </c>
      <c r="E1629" t="inlineStr">
        <is>
          <t>ÅNGE</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9798-2026</t>
        </is>
      </c>
      <c r="B1630" s="1" t="n">
        <v>46072</v>
      </c>
      <c r="C1630" s="1" t="n">
        <v>46079</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1969-2026</t>
        </is>
      </c>
      <c r="B1631" s="1" t="n">
        <v>46035.64024305555</v>
      </c>
      <c r="C1631" s="1" t="n">
        <v>46079</v>
      </c>
      <c r="D1631" t="inlineStr">
        <is>
          <t>VÄSTERNORRLANDS LÄN</t>
        </is>
      </c>
      <c r="E1631" t="inlineStr">
        <is>
          <t>ÅNGE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10648-2026</t>
        </is>
      </c>
      <c r="B1632" s="1" t="n">
        <v>46078.3446412037</v>
      </c>
      <c r="C1632" s="1" t="n">
        <v>46079</v>
      </c>
      <c r="D1632" t="inlineStr">
        <is>
          <t>VÄSTERNORRLANDS LÄN</t>
        </is>
      </c>
      <c r="E1632" t="inlineStr">
        <is>
          <t>ÅNGE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10854-2026</t>
        </is>
      </c>
      <c r="B1633" s="1" t="n">
        <v>46078.65730324074</v>
      </c>
      <c r="C1633" s="1" t="n">
        <v>46079</v>
      </c>
      <c r="D1633" t="inlineStr">
        <is>
          <t>VÄSTERNORRLANDS LÄN</t>
        </is>
      </c>
      <c r="E1633" t="inlineStr">
        <is>
          <t>ÅNGE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9330-2026</t>
        </is>
      </c>
      <c r="B1634" s="1" t="n">
        <v>46070</v>
      </c>
      <c r="C1634" s="1" t="n">
        <v>46079</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c r="A1635" t="inlineStr">
        <is>
          <t>A 10749-2026</t>
        </is>
      </c>
      <c r="B1635" s="1" t="n">
        <v>46078.53174768519</v>
      </c>
      <c r="C1635" s="1" t="n">
        <v>46079</v>
      </c>
      <c r="D1635" t="inlineStr">
        <is>
          <t>VÄSTERNORRLANDS LÄN</t>
        </is>
      </c>
      <c r="E1635" t="inlineStr">
        <is>
          <t>ÅNGE</t>
        </is>
      </c>
      <c r="F1635" t="inlineStr">
        <is>
          <t>SCA</t>
        </is>
      </c>
      <c r="G1635" t="n">
        <v>5.4</v>
      </c>
      <c r="H1635" t="n">
        <v>0</v>
      </c>
      <c r="I1635" t="n">
        <v>0</v>
      </c>
      <c r="J1635" t="n">
        <v>0</v>
      </c>
      <c r="K1635" t="n">
        <v>0</v>
      </c>
      <c r="L1635" t="n">
        <v>0</v>
      </c>
      <c r="M1635" t="n">
        <v>0</v>
      </c>
      <c r="N1635" t="n">
        <v>0</v>
      </c>
      <c r="O1635" t="n">
        <v>0</v>
      </c>
      <c r="P1635" t="n">
        <v>0</v>
      </c>
      <c r="Q1635" t="n">
        <v>0</v>
      </c>
      <c r="R1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2026-02-26T11:19:00Z</dcterms:created>
  <dcterms:modified xmlns:dcterms="http://purl.org/dc/terms/" xmlns:xsi="http://www.w3.org/2001/XMLSchema-instance" xsi:type="dcterms:W3CDTF">2026-02-26T11:19:02Z</dcterms:modified>
</cp:coreProperties>
</file>