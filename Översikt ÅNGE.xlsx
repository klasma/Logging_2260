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46049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46049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46049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46049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46049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46049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46049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46049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46049</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46049</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46049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46049</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46049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46049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46049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46049</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46049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46049</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46049</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46049</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46049</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46049</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46049</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46049</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46049</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46049</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46049</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46049</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25323-2023</t>
        </is>
      </c>
      <c r="B42" s="1" t="n">
        <v>45086</v>
      </c>
      <c r="C42" s="1" t="n">
        <v>46049</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30840-2023</t>
        </is>
      </c>
      <c r="B43" s="1" t="n">
        <v>45112</v>
      </c>
      <c r="C43" s="1" t="n">
        <v>46049</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46049</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34519-2022</t>
        </is>
      </c>
      <c r="B45" s="1" t="n">
        <v>44792</v>
      </c>
      <c r="C45" s="1" t="n">
        <v>46049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46049</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46049</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46049</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26473-2025</t>
        </is>
      </c>
      <c r="B49" s="1" t="n">
        <v>45807</v>
      </c>
      <c r="C49" s="1" t="n">
        <v>46049</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46049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46049</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46049</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22737-2023</t>
        </is>
      </c>
      <c r="B53" s="1" t="n">
        <v>45071</v>
      </c>
      <c r="C53" s="1" t="n">
        <v>46049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46049</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46049</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46049</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46049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46049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46049</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46049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46049</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46049</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46049</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60240-2025</t>
        </is>
      </c>
      <c r="B64" s="1" t="n">
        <v>45994.57857638889</v>
      </c>
      <c r="C64" s="1" t="n">
        <v>46049</v>
      </c>
      <c r="D64" t="inlineStr">
        <is>
          <t>VÄSTERNORRLANDS LÄN</t>
        </is>
      </c>
      <c r="E64" t="inlineStr">
        <is>
          <t>ÅNGE</t>
        </is>
      </c>
      <c r="F64" t="inlineStr">
        <is>
          <t>Sveaskog</t>
        </is>
      </c>
      <c r="G64" t="n">
        <v>5.5</v>
      </c>
      <c r="H64" t="n">
        <v>3</v>
      </c>
      <c r="I64" t="n">
        <v>1</v>
      </c>
      <c r="J64" t="n">
        <v>4</v>
      </c>
      <c r="K64" t="n">
        <v>1</v>
      </c>
      <c r="L64" t="n">
        <v>0</v>
      </c>
      <c r="M64" t="n">
        <v>0</v>
      </c>
      <c r="N64" t="n">
        <v>0</v>
      </c>
      <c r="O64" t="n">
        <v>5</v>
      </c>
      <c r="P64" t="n">
        <v>1</v>
      </c>
      <c r="Q64" t="n">
        <v>7</v>
      </c>
      <c r="R64" s="2" t="inlineStr">
        <is>
          <t>Knärot
Garnlav
Lunglav
Skrovellav
Tallticka
Plattlummer
Fläcknycklar</t>
        </is>
      </c>
      <c r="S64">
        <f>HYPERLINK("https://klasma.github.io/Logging_2260/artfynd/A 60240-2025 artfynd.xlsx", "A 60240-2025")</f>
        <v/>
      </c>
      <c r="T64">
        <f>HYPERLINK("https://klasma.github.io/Logging_2260/kartor/A 60240-2025 karta.png", "A 60240-2025")</f>
        <v/>
      </c>
      <c r="U64">
        <f>HYPERLINK("https://klasma.github.io/Logging_2260/knärot/A 60240-2025 karta knärot.png", "A 60240-2025")</f>
        <v/>
      </c>
      <c r="V64">
        <f>HYPERLINK("https://klasma.github.io/Logging_2260/klagomål/A 60240-2025 FSC-klagomål.docx", "A 60240-2025")</f>
        <v/>
      </c>
      <c r="W64">
        <f>HYPERLINK("https://klasma.github.io/Logging_2260/klagomålsmail/A 60240-2025 FSC-klagomål mail.docx", "A 60240-2025")</f>
        <v/>
      </c>
      <c r="X64">
        <f>HYPERLINK("https://klasma.github.io/Logging_2260/tillsyn/A 60240-2025 tillsynsbegäran.docx", "A 60240-2025")</f>
        <v/>
      </c>
      <c r="Y64">
        <f>HYPERLINK("https://klasma.github.io/Logging_2260/tillsynsmail/A 60240-2025 tillsynsbegäran mail.docx", "A 60240-2025")</f>
        <v/>
      </c>
    </row>
    <row r="65" ht="15" customHeight="1">
      <c r="A65" t="inlineStr">
        <is>
          <t>A 60116-2025</t>
        </is>
      </c>
      <c r="B65" s="1" t="n">
        <v>45994.318125</v>
      </c>
      <c r="C65" s="1" t="n">
        <v>46049</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53456-2023</t>
        </is>
      </c>
      <c r="B66" s="1" t="n">
        <v>45229</v>
      </c>
      <c r="C66" s="1" t="n">
        <v>46049</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46049</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46049</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10085-2023</t>
        </is>
      </c>
      <c r="B69" s="1" t="n">
        <v>44985.9447337963</v>
      </c>
      <c r="C69" s="1" t="n">
        <v>46049</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46049</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39570-2025</t>
        </is>
      </c>
      <c r="B71" s="1" t="n">
        <v>45890.49009259259</v>
      </c>
      <c r="C71" s="1" t="n">
        <v>46049</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45402-2025</t>
        </is>
      </c>
      <c r="B72" s="1" t="n">
        <v>45922.4278587963</v>
      </c>
      <c r="C72" s="1" t="n">
        <v>46049</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46049</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46049</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46049</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46049</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55176-2024</t>
        </is>
      </c>
      <c r="B77" s="1" t="n">
        <v>45621</v>
      </c>
      <c r="C77" s="1" t="n">
        <v>46049</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27955-2021</t>
        </is>
      </c>
      <c r="B78" s="1" t="n">
        <v>44354</v>
      </c>
      <c r="C78" s="1" t="n">
        <v>46049</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46049</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46049</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27914-2024</t>
        </is>
      </c>
      <c r="B81" s="1" t="n">
        <v>45475</v>
      </c>
      <c r="C81" s="1" t="n">
        <v>46049</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46049</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38322-2025</t>
        </is>
      </c>
      <c r="B83" s="1" t="n">
        <v>45883.49003472222</v>
      </c>
      <c r="C83" s="1" t="n">
        <v>46049</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43520-2025</t>
        </is>
      </c>
      <c r="B84" s="1" t="n">
        <v>45911.57364583333</v>
      </c>
      <c r="C84" s="1" t="n">
        <v>46049</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51065-2024</t>
        </is>
      </c>
      <c r="B85" s="1" t="n">
        <v>45603</v>
      </c>
      <c r="C85" s="1" t="n">
        <v>46049</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46375-2025</t>
        </is>
      </c>
      <c r="B86" s="1" t="n">
        <v>45925.51097222222</v>
      </c>
      <c r="C86" s="1" t="n">
        <v>46049</v>
      </c>
      <c r="D86" t="inlineStr">
        <is>
          <t>VÄSTERNORRLANDS LÄN</t>
        </is>
      </c>
      <c r="E86" t="inlineStr">
        <is>
          <t>ÅNGE</t>
        </is>
      </c>
      <c r="F86" t="inlineStr">
        <is>
          <t>SCA</t>
        </is>
      </c>
      <c r="G86" t="n">
        <v>4.7</v>
      </c>
      <c r="H86" t="n">
        <v>1</v>
      </c>
      <c r="I86" t="n">
        <v>1</v>
      </c>
      <c r="J86" t="n">
        <v>3</v>
      </c>
      <c r="K86" t="n">
        <v>0</v>
      </c>
      <c r="L86" t="n">
        <v>0</v>
      </c>
      <c r="M86" t="n">
        <v>0</v>
      </c>
      <c r="N86" t="n">
        <v>0</v>
      </c>
      <c r="O86" t="n">
        <v>3</v>
      </c>
      <c r="P86" t="n">
        <v>0</v>
      </c>
      <c r="Q86" t="n">
        <v>5</v>
      </c>
      <c r="R86" s="2" t="inlineStr">
        <is>
          <t>Garnlav
Lunglav
Ullticka
Dropptaggsvamp
Tjäder</t>
        </is>
      </c>
      <c r="S86">
        <f>HYPERLINK("https://klasma.github.io/Logging_2260/artfynd/A 46375-2025 artfynd.xlsx", "A 46375-2025")</f>
        <v/>
      </c>
      <c r="T86">
        <f>HYPERLINK("https://klasma.github.io/Logging_2260/kartor/A 46375-2025 karta.png", "A 46375-2025")</f>
        <v/>
      </c>
      <c r="V86">
        <f>HYPERLINK("https://klasma.github.io/Logging_2260/klagomål/A 46375-2025 FSC-klagomål.docx", "A 46375-2025")</f>
        <v/>
      </c>
      <c r="W86">
        <f>HYPERLINK("https://klasma.github.io/Logging_2260/klagomålsmail/A 46375-2025 FSC-klagomål mail.docx", "A 46375-2025")</f>
        <v/>
      </c>
      <c r="X86">
        <f>HYPERLINK("https://klasma.github.io/Logging_2260/tillsyn/A 46375-2025 tillsynsbegäran.docx", "A 46375-2025")</f>
        <v/>
      </c>
      <c r="Y86">
        <f>HYPERLINK("https://klasma.github.io/Logging_2260/tillsynsmail/A 46375-2025 tillsynsbegäran mail.docx", "A 46375-2025")</f>
        <v/>
      </c>
      <c r="Z86">
        <f>HYPERLINK("https://klasma.github.io/Logging_2260/fåglar/A 46375-2025 prioriterade fågelarter.docx", "A 46375-2025")</f>
        <v/>
      </c>
    </row>
    <row r="87" ht="15" customHeight="1">
      <c r="A87" t="inlineStr">
        <is>
          <t>A 47102-2025</t>
        </is>
      </c>
      <c r="B87" s="1" t="n">
        <v>45929</v>
      </c>
      <c r="C87" s="1" t="n">
        <v>46049</v>
      </c>
      <c r="D87" t="inlineStr">
        <is>
          <t>VÄSTERNORRLANDS LÄN</t>
        </is>
      </c>
      <c r="E87" t="inlineStr">
        <is>
          <t>ÅNGE</t>
        </is>
      </c>
      <c r="G87" t="n">
        <v>1.3</v>
      </c>
      <c r="H87" t="n">
        <v>1</v>
      </c>
      <c r="I87" t="n">
        <v>1</v>
      </c>
      <c r="J87" t="n">
        <v>3</v>
      </c>
      <c r="K87" t="n">
        <v>1</v>
      </c>
      <c r="L87" t="n">
        <v>0</v>
      </c>
      <c r="M87" t="n">
        <v>0</v>
      </c>
      <c r="N87" t="n">
        <v>0</v>
      </c>
      <c r="O87" t="n">
        <v>4</v>
      </c>
      <c r="P87" t="n">
        <v>1</v>
      </c>
      <c r="Q87" t="n">
        <v>5</v>
      </c>
      <c r="R87" s="2" t="inlineStr">
        <is>
          <t>Knärot
Garnlav
Rosenticka
Ullticka
Dropptaggsvamp</t>
        </is>
      </c>
      <c r="S87">
        <f>HYPERLINK("https://klasma.github.io/Logging_2260/artfynd/A 47102-2025 artfynd.xlsx", "A 47102-2025")</f>
        <v/>
      </c>
      <c r="T87">
        <f>HYPERLINK("https://klasma.github.io/Logging_2260/kartor/A 47102-2025 karta.png", "A 47102-2025")</f>
        <v/>
      </c>
      <c r="U87">
        <f>HYPERLINK("https://klasma.github.io/Logging_2260/knärot/A 47102-2025 karta knärot.png", "A 47102-2025")</f>
        <v/>
      </c>
      <c r="V87">
        <f>HYPERLINK("https://klasma.github.io/Logging_2260/klagomål/A 47102-2025 FSC-klagomål.docx", "A 47102-2025")</f>
        <v/>
      </c>
      <c r="W87">
        <f>HYPERLINK("https://klasma.github.io/Logging_2260/klagomålsmail/A 47102-2025 FSC-klagomål mail.docx", "A 47102-2025")</f>
        <v/>
      </c>
      <c r="X87">
        <f>HYPERLINK("https://klasma.github.io/Logging_2260/tillsyn/A 47102-2025 tillsynsbegäran.docx", "A 47102-2025")</f>
        <v/>
      </c>
      <c r="Y87">
        <f>HYPERLINK("https://klasma.github.io/Logging_2260/tillsynsmail/A 47102-2025 tillsynsbegäran mail.docx", "A 47102-2025")</f>
        <v/>
      </c>
    </row>
    <row r="88" ht="15" customHeight="1">
      <c r="A88" t="inlineStr">
        <is>
          <t>A 38327-2025</t>
        </is>
      </c>
      <c r="B88" s="1" t="n">
        <v>45883.49084490741</v>
      </c>
      <c r="C88" s="1" t="n">
        <v>46049</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13696-2023</t>
        </is>
      </c>
      <c r="B89" s="1" t="n">
        <v>45006</v>
      </c>
      <c r="C89" s="1" t="n">
        <v>46049</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52601-2025</t>
        </is>
      </c>
      <c r="B90" s="1" t="n">
        <v>45954</v>
      </c>
      <c r="C90" s="1" t="n">
        <v>46049</v>
      </c>
      <c r="D90" t="inlineStr">
        <is>
          <t>VÄSTERNORRLANDS LÄN</t>
        </is>
      </c>
      <c r="E90" t="inlineStr">
        <is>
          <t>ÅNGE</t>
        </is>
      </c>
      <c r="F90" t="inlineStr">
        <is>
          <t>SCA</t>
        </is>
      </c>
      <c r="G90" t="n">
        <v>3.1</v>
      </c>
      <c r="H90" t="n">
        <v>4</v>
      </c>
      <c r="I90" t="n">
        <v>4</v>
      </c>
      <c r="J90" t="n">
        <v>0</v>
      </c>
      <c r="K90" t="n">
        <v>1</v>
      </c>
      <c r="L90" t="n">
        <v>0</v>
      </c>
      <c r="M90" t="n">
        <v>0</v>
      </c>
      <c r="N90" t="n">
        <v>0</v>
      </c>
      <c r="O90" t="n">
        <v>1</v>
      </c>
      <c r="P90" t="n">
        <v>1</v>
      </c>
      <c r="Q90" t="n">
        <v>5</v>
      </c>
      <c r="R90" s="2" t="inlineStr">
        <is>
          <t>Knärot
Bågpraktmossa
Korallrot
Spindelblomster
Tvåblad</t>
        </is>
      </c>
      <c r="S90">
        <f>HYPERLINK("https://klasma.github.io/Logging_2260/artfynd/A 52601-2025 artfynd.xlsx", "A 52601-2025")</f>
        <v/>
      </c>
      <c r="T90">
        <f>HYPERLINK("https://klasma.github.io/Logging_2260/kartor/A 52601-2025 karta.png", "A 52601-2025")</f>
        <v/>
      </c>
      <c r="U90">
        <f>HYPERLINK("https://klasma.github.io/Logging_2260/knärot/A 52601-2025 karta knärot.png", "A 52601-2025")</f>
        <v/>
      </c>
      <c r="V90">
        <f>HYPERLINK("https://klasma.github.io/Logging_2260/klagomål/A 52601-2025 FSC-klagomål.docx", "A 52601-2025")</f>
        <v/>
      </c>
      <c r="W90">
        <f>HYPERLINK("https://klasma.github.io/Logging_2260/klagomålsmail/A 52601-2025 FSC-klagomål mail.docx", "A 52601-2025")</f>
        <v/>
      </c>
      <c r="X90">
        <f>HYPERLINK("https://klasma.github.io/Logging_2260/tillsyn/A 52601-2025 tillsynsbegäran.docx", "A 52601-2025")</f>
        <v/>
      </c>
      <c r="Y90">
        <f>HYPERLINK("https://klasma.github.io/Logging_2260/tillsynsmail/A 52601-2025 tillsynsbegäran mail.docx", "A 52601-2025")</f>
        <v/>
      </c>
    </row>
    <row r="91" ht="15" customHeight="1">
      <c r="A91" t="inlineStr">
        <is>
          <t>A 2451-2024</t>
        </is>
      </c>
      <c r="B91" s="1" t="n">
        <v>45312.58627314815</v>
      </c>
      <c r="C91" s="1" t="n">
        <v>46049</v>
      </c>
      <c r="D91" t="inlineStr">
        <is>
          <t>VÄSTERNORRLANDS LÄN</t>
        </is>
      </c>
      <c r="E91" t="inlineStr">
        <is>
          <t>ÅNGE</t>
        </is>
      </c>
      <c r="G91" t="n">
        <v>3.5</v>
      </c>
      <c r="H91" t="n">
        <v>0</v>
      </c>
      <c r="I91" t="n">
        <v>1</v>
      </c>
      <c r="J91" t="n">
        <v>4</v>
      </c>
      <c r="K91" t="n">
        <v>0</v>
      </c>
      <c r="L91" t="n">
        <v>0</v>
      </c>
      <c r="M91" t="n">
        <v>0</v>
      </c>
      <c r="N91" t="n">
        <v>0</v>
      </c>
      <c r="O91" t="n">
        <v>4</v>
      </c>
      <c r="P91" t="n">
        <v>0</v>
      </c>
      <c r="Q91" t="n">
        <v>5</v>
      </c>
      <c r="R91" s="2" t="inlineStr">
        <is>
          <t>Garnlav
Mörk kolflarnlav
Rosenticka
Ullticka
Dropptaggsvamp</t>
        </is>
      </c>
      <c r="S91">
        <f>HYPERLINK("https://klasma.github.io/Logging_2260/artfynd/A 2451-2024 artfynd.xlsx", "A 2451-2024")</f>
        <v/>
      </c>
      <c r="T91">
        <f>HYPERLINK("https://klasma.github.io/Logging_2260/kartor/A 2451-2024 karta.png", "A 2451-2024")</f>
        <v/>
      </c>
      <c r="V91">
        <f>HYPERLINK("https://klasma.github.io/Logging_2260/klagomål/A 2451-2024 FSC-klagomål.docx", "A 2451-2024")</f>
        <v/>
      </c>
      <c r="W91">
        <f>HYPERLINK("https://klasma.github.io/Logging_2260/klagomålsmail/A 2451-2024 FSC-klagomål mail.docx", "A 2451-2024")</f>
        <v/>
      </c>
      <c r="X91">
        <f>HYPERLINK("https://klasma.github.io/Logging_2260/tillsyn/A 2451-2024 tillsynsbegäran.docx", "A 2451-2024")</f>
        <v/>
      </c>
      <c r="Y91">
        <f>HYPERLINK("https://klasma.github.io/Logging_2260/tillsynsmail/A 2451-2024 tillsynsbegäran mail.docx", "A 2451-2024")</f>
        <v/>
      </c>
    </row>
    <row r="92" ht="15" customHeight="1">
      <c r="A92" t="inlineStr">
        <is>
          <t>A 52269-2024</t>
        </is>
      </c>
      <c r="B92" s="1" t="n">
        <v>45608.65660879629</v>
      </c>
      <c r="C92" s="1" t="n">
        <v>46049</v>
      </c>
      <c r="D92" t="inlineStr">
        <is>
          <t>VÄSTERNORRLANDS LÄN</t>
        </is>
      </c>
      <c r="E92" t="inlineStr">
        <is>
          <t>ÅNGE</t>
        </is>
      </c>
      <c r="F92" t="inlineStr">
        <is>
          <t>SCA</t>
        </is>
      </c>
      <c r="G92" t="n">
        <v>5.1</v>
      </c>
      <c r="H92" t="n">
        <v>0</v>
      </c>
      <c r="I92" t="n">
        <v>2</v>
      </c>
      <c r="J92" t="n">
        <v>3</v>
      </c>
      <c r="K92" t="n">
        <v>0</v>
      </c>
      <c r="L92" t="n">
        <v>0</v>
      </c>
      <c r="M92" t="n">
        <v>0</v>
      </c>
      <c r="N92" t="n">
        <v>0</v>
      </c>
      <c r="O92" t="n">
        <v>3</v>
      </c>
      <c r="P92" t="n">
        <v>0</v>
      </c>
      <c r="Q92" t="n">
        <v>5</v>
      </c>
      <c r="R92" s="2" t="inlineStr">
        <is>
          <t>Lunglav
Rosenticka
Ullticka
Bårdlav
Stor aspticka</t>
        </is>
      </c>
      <c r="S92">
        <f>HYPERLINK("https://klasma.github.io/Logging_2260/artfynd/A 52269-2024 artfynd.xlsx", "A 52269-2024")</f>
        <v/>
      </c>
      <c r="T92">
        <f>HYPERLINK("https://klasma.github.io/Logging_2260/kartor/A 52269-2024 karta.png", "A 52269-2024")</f>
        <v/>
      </c>
      <c r="V92">
        <f>HYPERLINK("https://klasma.github.io/Logging_2260/klagomål/A 52269-2024 FSC-klagomål.docx", "A 52269-2024")</f>
        <v/>
      </c>
      <c r="W92">
        <f>HYPERLINK("https://klasma.github.io/Logging_2260/klagomålsmail/A 52269-2024 FSC-klagomål mail.docx", "A 52269-2024")</f>
        <v/>
      </c>
      <c r="X92">
        <f>HYPERLINK("https://klasma.github.io/Logging_2260/tillsyn/A 52269-2024 tillsynsbegäran.docx", "A 52269-2024")</f>
        <v/>
      </c>
      <c r="Y92">
        <f>HYPERLINK("https://klasma.github.io/Logging_2260/tillsynsmail/A 52269-2024 tillsynsbegäran mail.docx", "A 52269-2024")</f>
        <v/>
      </c>
    </row>
    <row r="93" ht="15" customHeight="1">
      <c r="A93" t="inlineStr">
        <is>
          <t>A 59971-2025</t>
        </is>
      </c>
      <c r="B93" s="1" t="n">
        <v>45993.49002314815</v>
      </c>
      <c r="C93" s="1" t="n">
        <v>46049</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55004-2023</t>
        </is>
      </c>
      <c r="B94" s="1" t="n">
        <v>45236</v>
      </c>
      <c r="C94" s="1" t="n">
        <v>46049</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23601-2025</t>
        </is>
      </c>
      <c r="B95" s="1" t="n">
        <v>45792</v>
      </c>
      <c r="C95" s="1" t="n">
        <v>46049</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46548-2023</t>
        </is>
      </c>
      <c r="B96" s="1" t="n">
        <v>45197</v>
      </c>
      <c r="C96" s="1" t="n">
        <v>46049</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38326-2024</t>
        </is>
      </c>
      <c r="B97" s="1" t="n">
        <v>45545.67741898148</v>
      </c>
      <c r="C97" s="1" t="n">
        <v>46049</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39176-2024</t>
        </is>
      </c>
      <c r="B98" s="1" t="n">
        <v>45548</v>
      </c>
      <c r="C98" s="1" t="n">
        <v>46049</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38713-2025</t>
        </is>
      </c>
      <c r="B99" s="1" t="n">
        <v>45886.34479166667</v>
      </c>
      <c r="C99" s="1" t="n">
        <v>46049</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46049</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54095-2025</t>
        </is>
      </c>
      <c r="B101" s="1" t="n">
        <v>45964.40685185185</v>
      </c>
      <c r="C101" s="1" t="n">
        <v>46049</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26953-2024</t>
        </is>
      </c>
      <c r="B102" s="1" t="n">
        <v>45470</v>
      </c>
      <c r="C102" s="1" t="n">
        <v>46049</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44558-2024</t>
        </is>
      </c>
      <c r="B103" s="1" t="n">
        <v>45574.47001157407</v>
      </c>
      <c r="C103" s="1" t="n">
        <v>46049</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61007-2025</t>
        </is>
      </c>
      <c r="B104" s="1" t="n">
        <v>45998</v>
      </c>
      <c r="C104" s="1" t="n">
        <v>46049</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61487-2025</t>
        </is>
      </c>
      <c r="B105" s="1" t="n">
        <v>46001.63628472222</v>
      </c>
      <c r="C105" s="1" t="n">
        <v>46049</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24796-2024</t>
        </is>
      </c>
      <c r="B106" s="1" t="n">
        <v>45460</v>
      </c>
      <c r="C106" s="1" t="n">
        <v>46049</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46049</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46049</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46049</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46049</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46049</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46049</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29691-2024</t>
        </is>
      </c>
      <c r="B113" s="1" t="n">
        <v>45484.9446875</v>
      </c>
      <c r="C113" s="1" t="n">
        <v>46049</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28274-2023</t>
        </is>
      </c>
      <c r="B114" s="1" t="n">
        <v>45099</v>
      </c>
      <c r="C114" s="1" t="n">
        <v>46049</v>
      </c>
      <c r="D114" t="inlineStr">
        <is>
          <t>VÄSTERNORRLANDS LÄN</t>
        </is>
      </c>
      <c r="E114" t="inlineStr">
        <is>
          <t>ÅNGE</t>
        </is>
      </c>
      <c r="G114" t="n">
        <v>19.2</v>
      </c>
      <c r="H114" t="n">
        <v>1</v>
      </c>
      <c r="I114" t="n">
        <v>1</v>
      </c>
      <c r="J114" t="n">
        <v>1</v>
      </c>
      <c r="K114" t="n">
        <v>1</v>
      </c>
      <c r="L114" t="n">
        <v>0</v>
      </c>
      <c r="M114" t="n">
        <v>0</v>
      </c>
      <c r="N114" t="n">
        <v>0</v>
      </c>
      <c r="O114" t="n">
        <v>2</v>
      </c>
      <c r="P114" t="n">
        <v>1</v>
      </c>
      <c r="Q114" t="n">
        <v>3</v>
      </c>
      <c r="R114" s="2" t="inlineStr">
        <is>
          <t>Knärot
Lunglav
Grönpyrola</t>
        </is>
      </c>
      <c r="S114">
        <f>HYPERLINK("https://klasma.github.io/Logging_2260/artfynd/A 28274-2023 artfynd.xlsx", "A 28274-2023")</f>
        <v/>
      </c>
      <c r="T114">
        <f>HYPERLINK("https://klasma.github.io/Logging_2260/kartor/A 28274-2023 karta.png", "A 28274-2023")</f>
        <v/>
      </c>
      <c r="U114">
        <f>HYPERLINK("https://klasma.github.io/Logging_2260/knärot/A 28274-2023 karta knärot.png", "A 28274-2023")</f>
        <v/>
      </c>
      <c r="V114">
        <f>HYPERLINK("https://klasma.github.io/Logging_2260/klagomål/A 28274-2023 FSC-klagomål.docx", "A 28274-2023")</f>
        <v/>
      </c>
      <c r="W114">
        <f>HYPERLINK("https://klasma.github.io/Logging_2260/klagomålsmail/A 28274-2023 FSC-klagomål mail.docx", "A 28274-2023")</f>
        <v/>
      </c>
      <c r="X114">
        <f>HYPERLINK("https://klasma.github.io/Logging_2260/tillsyn/A 28274-2023 tillsynsbegäran.docx", "A 28274-2023")</f>
        <v/>
      </c>
      <c r="Y114">
        <f>HYPERLINK("https://klasma.github.io/Logging_2260/tillsynsmail/A 28274-2023 tillsynsbegäran mail.docx", "A 28274-2023")</f>
        <v/>
      </c>
    </row>
    <row r="115" ht="15" customHeight="1">
      <c r="A115" t="inlineStr">
        <is>
          <t>A 26679-2025</t>
        </is>
      </c>
      <c r="B115" s="1" t="n">
        <v>45810</v>
      </c>
      <c r="C115" s="1" t="n">
        <v>46049</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46049</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39029-2025</t>
        </is>
      </c>
      <c r="B117" s="1" t="n">
        <v>45888.40684027778</v>
      </c>
      <c r="C117" s="1" t="n">
        <v>46049</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39179-2024</t>
        </is>
      </c>
      <c r="B118" s="1" t="n">
        <v>45548.65703703704</v>
      </c>
      <c r="C118" s="1" t="n">
        <v>46049</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46049</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31212-2025</t>
        </is>
      </c>
      <c r="B120" s="1" t="n">
        <v>45832.71978009259</v>
      </c>
      <c r="C120" s="1" t="n">
        <v>46049</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47617-2024</t>
        </is>
      </c>
      <c r="B121" s="1" t="n">
        <v>45588.32125</v>
      </c>
      <c r="C121" s="1" t="n">
        <v>46049</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41868-2025</t>
        </is>
      </c>
      <c r="B122" s="1" t="n">
        <v>45903.34429398148</v>
      </c>
      <c r="C122" s="1" t="n">
        <v>46049</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46049</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33806-2025</t>
        </is>
      </c>
      <c r="B124" s="1" t="n">
        <v>45842.44865740741</v>
      </c>
      <c r="C124" s="1" t="n">
        <v>46049</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43880-2025</t>
        </is>
      </c>
      <c r="B125" s="1" t="n">
        <v>45912</v>
      </c>
      <c r="C125" s="1" t="n">
        <v>46049</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46049</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37184-2025</t>
        </is>
      </c>
      <c r="B127" s="1" t="n">
        <v>45875.63591435185</v>
      </c>
      <c r="C127" s="1" t="n">
        <v>46049</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38664-2025</t>
        </is>
      </c>
      <c r="B128" s="1" t="n">
        <v>45884.61503472222</v>
      </c>
      <c r="C128" s="1" t="n">
        <v>46049</v>
      </c>
      <c r="D128" t="inlineStr">
        <is>
          <t>VÄSTERNORRLANDS LÄN</t>
        </is>
      </c>
      <c r="E128" t="inlineStr">
        <is>
          <t>ÅNGE</t>
        </is>
      </c>
      <c r="F128" t="inlineStr">
        <is>
          <t>SCA</t>
        </is>
      </c>
      <c r="G128" t="n">
        <v>6.4</v>
      </c>
      <c r="H128" t="n">
        <v>1</v>
      </c>
      <c r="I128" t="n">
        <v>0</v>
      </c>
      <c r="J128" t="n">
        <v>2</v>
      </c>
      <c r="K128" t="n">
        <v>1</v>
      </c>
      <c r="L128" t="n">
        <v>0</v>
      </c>
      <c r="M128" t="n">
        <v>0</v>
      </c>
      <c r="N128" t="n">
        <v>0</v>
      </c>
      <c r="O128" t="n">
        <v>3</v>
      </c>
      <c r="P128" t="n">
        <v>1</v>
      </c>
      <c r="Q128" t="n">
        <v>3</v>
      </c>
      <c r="R128" s="2" t="inlineStr">
        <is>
          <t>Knärot
Kolflarnlav
Mörk kolflarnlav</t>
        </is>
      </c>
      <c r="S128">
        <f>HYPERLINK("https://klasma.github.io/Logging_2260/artfynd/A 38664-2025 artfynd.xlsx", "A 38664-2025")</f>
        <v/>
      </c>
      <c r="T128">
        <f>HYPERLINK("https://klasma.github.io/Logging_2260/kartor/A 38664-2025 karta.png", "A 38664-2025")</f>
        <v/>
      </c>
      <c r="U128">
        <f>HYPERLINK("https://klasma.github.io/Logging_2260/knärot/A 38664-2025 karta knärot.png", "A 38664-2025")</f>
        <v/>
      </c>
      <c r="V128">
        <f>HYPERLINK("https://klasma.github.io/Logging_2260/klagomål/A 38664-2025 FSC-klagomål.docx", "A 38664-2025")</f>
        <v/>
      </c>
      <c r="W128">
        <f>HYPERLINK("https://klasma.github.io/Logging_2260/klagomålsmail/A 38664-2025 FSC-klagomål mail.docx", "A 38664-2025")</f>
        <v/>
      </c>
      <c r="X128">
        <f>HYPERLINK("https://klasma.github.io/Logging_2260/tillsyn/A 38664-2025 tillsynsbegäran.docx", "A 38664-2025")</f>
        <v/>
      </c>
      <c r="Y128">
        <f>HYPERLINK("https://klasma.github.io/Logging_2260/tillsynsmail/A 38664-2025 tillsynsbegäran mail.docx", "A 38664-2025")</f>
        <v/>
      </c>
    </row>
    <row r="129" ht="15" customHeight="1">
      <c r="A129" t="inlineStr">
        <is>
          <t>A 49530-2025</t>
        </is>
      </c>
      <c r="B129" s="1" t="n">
        <v>45939.40700231482</v>
      </c>
      <c r="C129" s="1" t="n">
        <v>46049</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50259-2025</t>
        </is>
      </c>
      <c r="B130" s="1" t="n">
        <v>45944.34498842592</v>
      </c>
      <c r="C130" s="1" t="n">
        <v>46049</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38238-2025</t>
        </is>
      </c>
      <c r="B131" s="1" t="n">
        <v>45883.36497685185</v>
      </c>
      <c r="C131" s="1" t="n">
        <v>46049</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53710-2025</t>
        </is>
      </c>
      <c r="B132" s="1" t="n">
        <v>45960.6153125</v>
      </c>
      <c r="C132" s="1" t="n">
        <v>46049</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63330-2025</t>
        </is>
      </c>
      <c r="B133" s="1" t="n">
        <v>46010</v>
      </c>
      <c r="C133" s="1" t="n">
        <v>46049</v>
      </c>
      <c r="D133" t="inlineStr">
        <is>
          <t>VÄSTERNORRLANDS LÄN</t>
        </is>
      </c>
      <c r="E133" t="inlineStr">
        <is>
          <t>ÅNGE</t>
        </is>
      </c>
      <c r="G133" t="n">
        <v>2.1</v>
      </c>
      <c r="H133" t="n">
        <v>0</v>
      </c>
      <c r="I133" t="n">
        <v>0</v>
      </c>
      <c r="J133" t="n">
        <v>3</v>
      </c>
      <c r="K133" t="n">
        <v>0</v>
      </c>
      <c r="L133" t="n">
        <v>0</v>
      </c>
      <c r="M133" t="n">
        <v>0</v>
      </c>
      <c r="N133" t="n">
        <v>0</v>
      </c>
      <c r="O133" t="n">
        <v>3</v>
      </c>
      <c r="P133" t="n">
        <v>0</v>
      </c>
      <c r="Q133" t="n">
        <v>3</v>
      </c>
      <c r="R133" s="2" t="inlineStr">
        <is>
          <t>Garnlav
Granticka
Lunglav</t>
        </is>
      </c>
      <c r="S133">
        <f>HYPERLINK("https://klasma.github.io/Logging_2260/artfynd/A 63330-2025 artfynd.xlsx", "A 63330-2025")</f>
        <v/>
      </c>
      <c r="T133">
        <f>HYPERLINK("https://klasma.github.io/Logging_2260/kartor/A 63330-2025 karta.png", "A 63330-2025")</f>
        <v/>
      </c>
      <c r="V133">
        <f>HYPERLINK("https://klasma.github.io/Logging_2260/klagomål/A 63330-2025 FSC-klagomål.docx", "A 63330-2025")</f>
        <v/>
      </c>
      <c r="W133">
        <f>HYPERLINK("https://klasma.github.io/Logging_2260/klagomålsmail/A 63330-2025 FSC-klagomål mail.docx", "A 63330-2025")</f>
        <v/>
      </c>
      <c r="X133">
        <f>HYPERLINK("https://klasma.github.io/Logging_2260/tillsyn/A 63330-2025 tillsynsbegäran.docx", "A 63330-2025")</f>
        <v/>
      </c>
      <c r="Y133">
        <f>HYPERLINK("https://klasma.github.io/Logging_2260/tillsynsmail/A 63330-2025 tillsynsbegäran mail.docx", "A 63330-2025")</f>
        <v/>
      </c>
    </row>
    <row r="134" ht="15" customHeight="1">
      <c r="A134" t="inlineStr">
        <is>
          <t>A 24795-2024</t>
        </is>
      </c>
      <c r="B134" s="1" t="n">
        <v>45460.95252314815</v>
      </c>
      <c r="C134" s="1" t="n">
        <v>46049</v>
      </c>
      <c r="D134" t="inlineStr">
        <is>
          <t>VÄSTERNORRLANDS LÄN</t>
        </is>
      </c>
      <c r="E134" t="inlineStr">
        <is>
          <t>ÅNGE</t>
        </is>
      </c>
      <c r="F134" t="inlineStr">
        <is>
          <t>SCA</t>
        </is>
      </c>
      <c r="G134" t="n">
        <v>2.2</v>
      </c>
      <c r="H134" t="n">
        <v>1</v>
      </c>
      <c r="I134" t="n">
        <v>2</v>
      </c>
      <c r="J134" t="n">
        <v>1</v>
      </c>
      <c r="K134" t="n">
        <v>0</v>
      </c>
      <c r="L134" t="n">
        <v>0</v>
      </c>
      <c r="M134" t="n">
        <v>0</v>
      </c>
      <c r="N134" t="n">
        <v>0</v>
      </c>
      <c r="O134" t="n">
        <v>1</v>
      </c>
      <c r="P134" t="n">
        <v>0</v>
      </c>
      <c r="Q134" t="n">
        <v>3</v>
      </c>
      <c r="R134" s="2" t="inlineStr">
        <is>
          <t>Lunglav
Plattlummer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7533-2023</t>
        </is>
      </c>
      <c r="B135" s="1" t="n">
        <v>44971</v>
      </c>
      <c r="C135" s="1" t="n">
        <v>46049</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39181-2024</t>
        </is>
      </c>
      <c r="B136" s="1" t="n">
        <v>45548</v>
      </c>
      <c r="C136" s="1" t="n">
        <v>46049</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21267-2025</t>
        </is>
      </c>
      <c r="B137" s="1" t="n">
        <v>45779</v>
      </c>
      <c r="C137" s="1" t="n">
        <v>46049</v>
      </c>
      <c r="D137" t="inlineStr">
        <is>
          <t>VÄSTERNORRLANDS LÄN</t>
        </is>
      </c>
      <c r="E137" t="inlineStr">
        <is>
          <t>ÅNGE</t>
        </is>
      </c>
      <c r="F137" t="inlineStr">
        <is>
          <t>Sveaskog</t>
        </is>
      </c>
      <c r="G137" t="n">
        <v>3.7</v>
      </c>
      <c r="H137" t="n">
        <v>2</v>
      </c>
      <c r="I137" t="n">
        <v>2</v>
      </c>
      <c r="J137" t="n">
        <v>1</v>
      </c>
      <c r="K137" t="n">
        <v>0</v>
      </c>
      <c r="L137" t="n">
        <v>0</v>
      </c>
      <c r="M137" t="n">
        <v>0</v>
      </c>
      <c r="N137" t="n">
        <v>0</v>
      </c>
      <c r="O137" t="n">
        <v>1</v>
      </c>
      <c r="P137" t="n">
        <v>0</v>
      </c>
      <c r="Q137" t="n">
        <v>3</v>
      </c>
      <c r="R137" s="2" t="inlineStr">
        <is>
          <t>Lunglav
Korallrot
Spindelblomster</t>
        </is>
      </c>
      <c r="S137">
        <f>HYPERLINK("https://klasma.github.io/Logging_2260/artfynd/A 21267-2025 artfynd.xlsx", "A 21267-2025")</f>
        <v/>
      </c>
      <c r="T137">
        <f>HYPERLINK("https://klasma.github.io/Logging_2260/kartor/A 21267-2025 karta.png", "A 21267-2025")</f>
        <v/>
      </c>
      <c r="V137">
        <f>HYPERLINK("https://klasma.github.io/Logging_2260/klagomål/A 21267-2025 FSC-klagomål.docx", "A 21267-2025")</f>
        <v/>
      </c>
      <c r="W137">
        <f>HYPERLINK("https://klasma.github.io/Logging_2260/klagomålsmail/A 21267-2025 FSC-klagomål mail.docx", "A 21267-2025")</f>
        <v/>
      </c>
      <c r="X137">
        <f>HYPERLINK("https://klasma.github.io/Logging_2260/tillsyn/A 21267-2025 tillsynsbegäran.docx", "A 21267-2025")</f>
        <v/>
      </c>
      <c r="Y137">
        <f>HYPERLINK("https://klasma.github.io/Logging_2260/tillsynsmail/A 21267-2025 tillsynsbegäran mail.docx", "A 21267-2025")</f>
        <v/>
      </c>
    </row>
    <row r="138" ht="15" customHeight="1">
      <c r="A138" t="inlineStr">
        <is>
          <t>A 23754-2025</t>
        </is>
      </c>
      <c r="B138" s="1" t="n">
        <v>45793.45782407407</v>
      </c>
      <c r="C138" s="1" t="n">
        <v>46049</v>
      </c>
      <c r="D138" t="inlineStr">
        <is>
          <t>VÄSTERNORRLANDS LÄN</t>
        </is>
      </c>
      <c r="E138" t="inlineStr">
        <is>
          <t>ÅNGE</t>
        </is>
      </c>
      <c r="F138" t="inlineStr">
        <is>
          <t>Sveaskog</t>
        </is>
      </c>
      <c r="G138" t="n">
        <v>4.3</v>
      </c>
      <c r="H138" t="n">
        <v>3</v>
      </c>
      <c r="I138" t="n">
        <v>0</v>
      </c>
      <c r="J138" t="n">
        <v>1</v>
      </c>
      <c r="K138" t="n">
        <v>0</v>
      </c>
      <c r="L138" t="n">
        <v>0</v>
      </c>
      <c r="M138" t="n">
        <v>0</v>
      </c>
      <c r="N138" t="n">
        <v>0</v>
      </c>
      <c r="O138" t="n">
        <v>1</v>
      </c>
      <c r="P138" t="n">
        <v>0</v>
      </c>
      <c r="Q138" t="n">
        <v>3</v>
      </c>
      <c r="R138" s="2" t="inlineStr">
        <is>
          <t>Spillkråka
Tjäder
Blåsippa</t>
        </is>
      </c>
      <c r="S138">
        <f>HYPERLINK("https://klasma.github.io/Logging_2260/artfynd/A 23754-2025 artfynd.xlsx", "A 23754-2025")</f>
        <v/>
      </c>
      <c r="T138">
        <f>HYPERLINK("https://klasma.github.io/Logging_2260/kartor/A 23754-2025 karta.png", "A 23754-2025")</f>
        <v/>
      </c>
      <c r="U138">
        <f>HYPERLINK("https://klasma.github.io/Logging_2260/knärot/A 23754-2025 karta knärot.png", "A 23754-2025")</f>
        <v/>
      </c>
      <c r="V138">
        <f>HYPERLINK("https://klasma.github.io/Logging_2260/klagomål/A 23754-2025 FSC-klagomål.docx", "A 23754-2025")</f>
        <v/>
      </c>
      <c r="W138">
        <f>HYPERLINK("https://klasma.github.io/Logging_2260/klagomålsmail/A 23754-2025 FSC-klagomål mail.docx", "A 23754-2025")</f>
        <v/>
      </c>
      <c r="X138">
        <f>HYPERLINK("https://klasma.github.io/Logging_2260/tillsyn/A 23754-2025 tillsynsbegäran.docx", "A 23754-2025")</f>
        <v/>
      </c>
      <c r="Y138">
        <f>HYPERLINK("https://klasma.github.io/Logging_2260/tillsynsmail/A 23754-2025 tillsynsbegäran mail.docx", "A 23754-2025")</f>
        <v/>
      </c>
      <c r="Z138">
        <f>HYPERLINK("https://klasma.github.io/Logging_2260/fåglar/A 23754-2025 prioriterade fågelarter.docx", "A 23754-2025")</f>
        <v/>
      </c>
    </row>
    <row r="139" ht="15" customHeight="1">
      <c r="A139" t="inlineStr">
        <is>
          <t>A 23759-2025</t>
        </is>
      </c>
      <c r="B139" s="1" t="n">
        <v>45793.46409722222</v>
      </c>
      <c r="C139" s="1" t="n">
        <v>46049</v>
      </c>
      <c r="D139" t="inlineStr">
        <is>
          <t>VÄSTERNORRLANDS LÄN</t>
        </is>
      </c>
      <c r="E139" t="inlineStr">
        <is>
          <t>ÅNGE</t>
        </is>
      </c>
      <c r="F139" t="inlineStr">
        <is>
          <t>Sveaskog</t>
        </is>
      </c>
      <c r="G139" t="n">
        <v>5.2</v>
      </c>
      <c r="H139" t="n">
        <v>0</v>
      </c>
      <c r="I139" t="n">
        <v>1</v>
      </c>
      <c r="J139" t="n">
        <v>2</v>
      </c>
      <c r="K139" t="n">
        <v>0</v>
      </c>
      <c r="L139" t="n">
        <v>0</v>
      </c>
      <c r="M139" t="n">
        <v>0</v>
      </c>
      <c r="N139" t="n">
        <v>0</v>
      </c>
      <c r="O139" t="n">
        <v>2</v>
      </c>
      <c r="P139" t="n">
        <v>0</v>
      </c>
      <c r="Q139" t="n">
        <v>3</v>
      </c>
      <c r="R139" s="2" t="inlineStr">
        <is>
          <t>Lunglav
Skrovellav
Korallblylav</t>
        </is>
      </c>
      <c r="S139">
        <f>HYPERLINK("https://klasma.github.io/Logging_2260/artfynd/A 23759-2025 artfynd.xlsx", "A 23759-2025")</f>
        <v/>
      </c>
      <c r="T139">
        <f>HYPERLINK("https://klasma.github.io/Logging_2260/kartor/A 23759-2025 karta.png", "A 23759-2025")</f>
        <v/>
      </c>
      <c r="V139">
        <f>HYPERLINK("https://klasma.github.io/Logging_2260/klagomål/A 23759-2025 FSC-klagomål.docx", "A 23759-2025")</f>
        <v/>
      </c>
      <c r="W139">
        <f>HYPERLINK("https://klasma.github.io/Logging_2260/klagomålsmail/A 23759-2025 FSC-klagomål mail.docx", "A 23759-2025")</f>
        <v/>
      </c>
      <c r="X139">
        <f>HYPERLINK("https://klasma.github.io/Logging_2260/tillsyn/A 23759-2025 tillsynsbegäran.docx", "A 23759-2025")</f>
        <v/>
      </c>
      <c r="Y139">
        <f>HYPERLINK("https://klasma.github.io/Logging_2260/tillsynsmail/A 23759-2025 tillsynsbegäran mail.docx", "A 23759-2025")</f>
        <v/>
      </c>
    </row>
    <row r="140" ht="15" customHeight="1">
      <c r="A140" t="inlineStr">
        <is>
          <t>A 22996-2023</t>
        </is>
      </c>
      <c r="B140" s="1" t="n">
        <v>45072</v>
      </c>
      <c r="C140" s="1" t="n">
        <v>46049</v>
      </c>
      <c r="D140" t="inlineStr">
        <is>
          <t>VÄSTERNORRLANDS LÄN</t>
        </is>
      </c>
      <c r="E140" t="inlineStr">
        <is>
          <t>ÅNGE</t>
        </is>
      </c>
      <c r="F140" t="inlineStr">
        <is>
          <t>SCA</t>
        </is>
      </c>
      <c r="G140" t="n">
        <v>2.2</v>
      </c>
      <c r="H140" t="n">
        <v>1</v>
      </c>
      <c r="I140" t="n">
        <v>0</v>
      </c>
      <c r="J140" t="n">
        <v>2</v>
      </c>
      <c r="K140" t="n">
        <v>1</v>
      </c>
      <c r="L140" t="n">
        <v>0</v>
      </c>
      <c r="M140" t="n">
        <v>0</v>
      </c>
      <c r="N140" t="n">
        <v>0</v>
      </c>
      <c r="O140" t="n">
        <v>3</v>
      </c>
      <c r="P140" t="n">
        <v>1</v>
      </c>
      <c r="Q140" t="n">
        <v>3</v>
      </c>
      <c r="R140" s="2" t="inlineStr">
        <is>
          <t>Knärot
Garnlav
Vedtrappmossa</t>
        </is>
      </c>
      <c r="S140">
        <f>HYPERLINK("https://klasma.github.io/Logging_2260/artfynd/A 22996-2023 artfynd.xlsx", "A 22996-2023")</f>
        <v/>
      </c>
      <c r="T140">
        <f>HYPERLINK("https://klasma.github.io/Logging_2260/kartor/A 22996-2023 karta.png", "A 22996-2023")</f>
        <v/>
      </c>
      <c r="U140">
        <f>HYPERLINK("https://klasma.github.io/Logging_2260/knärot/A 22996-2023 karta knärot.png", "A 22996-2023")</f>
        <v/>
      </c>
      <c r="V140">
        <f>HYPERLINK("https://klasma.github.io/Logging_2260/klagomål/A 22996-2023 FSC-klagomål.docx", "A 22996-2023")</f>
        <v/>
      </c>
      <c r="W140">
        <f>HYPERLINK("https://klasma.github.io/Logging_2260/klagomålsmail/A 22996-2023 FSC-klagomål mail.docx", "A 22996-2023")</f>
        <v/>
      </c>
      <c r="X140">
        <f>HYPERLINK("https://klasma.github.io/Logging_2260/tillsyn/A 22996-2023 tillsynsbegäran.docx", "A 22996-2023")</f>
        <v/>
      </c>
      <c r="Y140">
        <f>HYPERLINK("https://klasma.github.io/Logging_2260/tillsynsmail/A 22996-2023 tillsynsbegäran mail.docx", "A 22996-2023")</f>
        <v/>
      </c>
    </row>
    <row r="141" ht="15" customHeight="1">
      <c r="A141" t="inlineStr">
        <is>
          <t>A 47798-2022</t>
        </is>
      </c>
      <c r="B141" s="1" t="n">
        <v>44854.95365740741</v>
      </c>
      <c r="C141" s="1" t="n">
        <v>46049</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36635-2021</t>
        </is>
      </c>
      <c r="B142" s="1" t="n">
        <v>44391</v>
      </c>
      <c r="C142" s="1" t="n">
        <v>46049</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46049</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48152-2022</t>
        </is>
      </c>
      <c r="B144" s="1" t="n">
        <v>44853</v>
      </c>
      <c r="C144" s="1" t="n">
        <v>46049</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46049</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46049</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46049</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26906-2025</t>
        </is>
      </c>
      <c r="B148" s="1" t="n">
        <v>45811.34552083333</v>
      </c>
      <c r="C148" s="1" t="n">
        <v>46049</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47719-2024</t>
        </is>
      </c>
      <c r="B149" s="1" t="n">
        <v>45588.48996527777</v>
      </c>
      <c r="C149" s="1" t="n">
        <v>46049</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42864-2025</t>
        </is>
      </c>
      <c r="B150" s="1" t="n">
        <v>45908</v>
      </c>
      <c r="C150" s="1" t="n">
        <v>46049</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57594-2022</t>
        </is>
      </c>
      <c r="B151" s="1" t="n">
        <v>44896.97854166666</v>
      </c>
      <c r="C151" s="1" t="n">
        <v>46049</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43721-2025</t>
        </is>
      </c>
      <c r="B152" s="1" t="n">
        <v>45912.42800925926</v>
      </c>
      <c r="C152" s="1" t="n">
        <v>46049</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57597-2022</t>
        </is>
      </c>
      <c r="B153" s="1" t="n">
        <v>44896.97878472223</v>
      </c>
      <c r="C153" s="1" t="n">
        <v>46049</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36414-2025</t>
        </is>
      </c>
      <c r="B154" s="1" t="n">
        <v>45868.69246527777</v>
      </c>
      <c r="C154" s="1" t="n">
        <v>46049</v>
      </c>
      <c r="D154" t="inlineStr">
        <is>
          <t>VÄSTERNORRLANDS LÄN</t>
        </is>
      </c>
      <c r="E154" t="inlineStr">
        <is>
          <t>ÅNGE</t>
        </is>
      </c>
      <c r="G154" t="n">
        <v>5.4</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36414-2025 artfynd.xlsx", "A 36414-2025")</f>
        <v/>
      </c>
      <c r="T154">
        <f>HYPERLINK("https://klasma.github.io/Logging_2260/kartor/A 36414-2025 karta.png", "A 36414-2025")</f>
        <v/>
      </c>
      <c r="V154">
        <f>HYPERLINK("https://klasma.github.io/Logging_2260/klagomål/A 36414-2025 FSC-klagomål.docx", "A 36414-2025")</f>
        <v/>
      </c>
      <c r="W154">
        <f>HYPERLINK("https://klasma.github.io/Logging_2260/klagomålsmail/A 36414-2025 FSC-klagomål mail.docx", "A 36414-2025")</f>
        <v/>
      </c>
      <c r="X154">
        <f>HYPERLINK("https://klasma.github.io/Logging_2260/tillsyn/A 36414-2025 tillsynsbegäran.docx", "A 36414-2025")</f>
        <v/>
      </c>
      <c r="Y154">
        <f>HYPERLINK("https://klasma.github.io/Logging_2260/tillsynsmail/A 36414-2025 tillsynsbegäran mail.docx", "A 36414-2025")</f>
        <v/>
      </c>
    </row>
    <row r="155" ht="15" customHeight="1">
      <c r="A155" t="inlineStr">
        <is>
          <t>A 32659-2024</t>
        </is>
      </c>
      <c r="B155" s="1" t="n">
        <v>45513</v>
      </c>
      <c r="C155" s="1" t="n">
        <v>46049</v>
      </c>
      <c r="D155" t="inlineStr">
        <is>
          <t>VÄSTERNORRLANDS LÄN</t>
        </is>
      </c>
      <c r="E155" t="inlineStr">
        <is>
          <t>ÅNGE</t>
        </is>
      </c>
      <c r="F155" t="inlineStr">
        <is>
          <t>SCA</t>
        </is>
      </c>
      <c r="G155" t="n">
        <v>6.9</v>
      </c>
      <c r="H155" t="n">
        <v>0</v>
      </c>
      <c r="I155" t="n">
        <v>0</v>
      </c>
      <c r="J155" t="n">
        <v>2</v>
      </c>
      <c r="K155" t="n">
        <v>0</v>
      </c>
      <c r="L155" t="n">
        <v>0</v>
      </c>
      <c r="M155" t="n">
        <v>0</v>
      </c>
      <c r="N155" t="n">
        <v>0</v>
      </c>
      <c r="O155" t="n">
        <v>2</v>
      </c>
      <c r="P155" t="n">
        <v>0</v>
      </c>
      <c r="Q155" t="n">
        <v>2</v>
      </c>
      <c r="R155" s="2" t="inlineStr">
        <is>
          <t>Lunglav
Stjärntagging</t>
        </is>
      </c>
      <c r="S155">
        <f>HYPERLINK("https://klasma.github.io/Logging_2260/artfynd/A 32659-2024 artfynd.xlsx", "A 32659-2024")</f>
        <v/>
      </c>
      <c r="T155">
        <f>HYPERLINK("https://klasma.github.io/Logging_2260/kartor/A 32659-2024 karta.png", "A 32659-2024")</f>
        <v/>
      </c>
      <c r="V155">
        <f>HYPERLINK("https://klasma.github.io/Logging_2260/klagomål/A 32659-2024 FSC-klagomål.docx", "A 32659-2024")</f>
        <v/>
      </c>
      <c r="W155">
        <f>HYPERLINK("https://klasma.github.io/Logging_2260/klagomålsmail/A 32659-2024 FSC-klagomål mail.docx", "A 32659-2024")</f>
        <v/>
      </c>
      <c r="X155">
        <f>HYPERLINK("https://klasma.github.io/Logging_2260/tillsyn/A 32659-2024 tillsynsbegäran.docx", "A 32659-2024")</f>
        <v/>
      </c>
      <c r="Y155">
        <f>HYPERLINK("https://klasma.github.io/Logging_2260/tillsynsmail/A 32659-2024 tillsynsbegäran mail.docx", "A 32659-2024")</f>
        <v/>
      </c>
    </row>
    <row r="156" ht="15" customHeight="1">
      <c r="A156" t="inlineStr">
        <is>
          <t>A 37800-2025</t>
        </is>
      </c>
      <c r="B156" s="1" t="n">
        <v>45881.34420138889</v>
      </c>
      <c r="C156" s="1" t="n">
        <v>46049</v>
      </c>
      <c r="D156" t="inlineStr">
        <is>
          <t>VÄSTERNORRLANDS LÄN</t>
        </is>
      </c>
      <c r="E156" t="inlineStr">
        <is>
          <t>ÅNGE</t>
        </is>
      </c>
      <c r="F156" t="inlineStr">
        <is>
          <t>SCA</t>
        </is>
      </c>
      <c r="G156" t="n">
        <v>4</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37800-2025 artfynd.xlsx", "A 37800-2025")</f>
        <v/>
      </c>
      <c r="T156">
        <f>HYPERLINK("https://klasma.github.io/Logging_2260/kartor/A 37800-2025 karta.png", "A 37800-2025")</f>
        <v/>
      </c>
      <c r="V156">
        <f>HYPERLINK("https://klasma.github.io/Logging_2260/klagomål/A 37800-2025 FSC-klagomål.docx", "A 37800-2025")</f>
        <v/>
      </c>
      <c r="W156">
        <f>HYPERLINK("https://klasma.github.io/Logging_2260/klagomålsmail/A 37800-2025 FSC-klagomål mail.docx", "A 37800-2025")</f>
        <v/>
      </c>
      <c r="X156">
        <f>HYPERLINK("https://klasma.github.io/Logging_2260/tillsyn/A 37800-2025 tillsynsbegäran.docx", "A 37800-2025")</f>
        <v/>
      </c>
      <c r="Y156">
        <f>HYPERLINK("https://klasma.github.io/Logging_2260/tillsynsmail/A 37800-2025 tillsynsbegäran mail.docx", "A 37800-2025")</f>
        <v/>
      </c>
    </row>
    <row r="157" ht="15" customHeight="1">
      <c r="A157" t="inlineStr">
        <is>
          <t>A 38298-2025</t>
        </is>
      </c>
      <c r="B157" s="1" t="n">
        <v>45883.4568287037</v>
      </c>
      <c r="C157" s="1" t="n">
        <v>46049</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4873-2025</t>
        </is>
      </c>
      <c r="B158" s="1" t="n">
        <v>45688.67633101852</v>
      </c>
      <c r="C158" s="1" t="n">
        <v>46049</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4873-2025 artfynd.xlsx", "A 4873-2025")</f>
        <v/>
      </c>
      <c r="T158">
        <f>HYPERLINK("https://klasma.github.io/Logging_2260/kartor/A 4873-2025 karta.png", "A 4873-2025")</f>
        <v/>
      </c>
      <c r="V158">
        <f>HYPERLINK("https://klasma.github.io/Logging_2260/klagomål/A 4873-2025 FSC-klagomål.docx", "A 4873-2025")</f>
        <v/>
      </c>
      <c r="W158">
        <f>HYPERLINK("https://klasma.github.io/Logging_2260/klagomålsmail/A 4873-2025 FSC-klagomål mail.docx", "A 4873-2025")</f>
        <v/>
      </c>
      <c r="X158">
        <f>HYPERLINK("https://klasma.github.io/Logging_2260/tillsyn/A 4873-2025 tillsynsbegäran.docx", "A 4873-2025")</f>
        <v/>
      </c>
      <c r="Y158">
        <f>HYPERLINK("https://klasma.github.io/Logging_2260/tillsynsmail/A 4873-2025 tillsynsbegäran mail.docx", "A 4873-2025")</f>
        <v/>
      </c>
    </row>
    <row r="159" ht="15" customHeight="1">
      <c r="A159" t="inlineStr">
        <is>
          <t>A 54625-2025</t>
        </is>
      </c>
      <c r="B159" s="1" t="n">
        <v>45966.34552083333</v>
      </c>
      <c r="C159" s="1" t="n">
        <v>46049</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29325-2023</t>
        </is>
      </c>
      <c r="B160" s="1" t="n">
        <v>45105</v>
      </c>
      <c r="C160" s="1" t="n">
        <v>46049</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46049</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46049</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46049</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46049</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46049</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46049</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46049</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46049</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46049</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46049</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46049</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46049</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46049</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46049</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46049</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46049</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24176-2025</t>
        </is>
      </c>
      <c r="B177" s="1" t="n">
        <v>45796.69832175926</v>
      </c>
      <c r="C177" s="1" t="n">
        <v>46049</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20367-2022</t>
        </is>
      </c>
      <c r="B178" s="1" t="n">
        <v>44699</v>
      </c>
      <c r="C178" s="1" t="n">
        <v>46049</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46049</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46049</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46049</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46049</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46049</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46049</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43171-2024</t>
        </is>
      </c>
      <c r="B185" s="1" t="n">
        <v>45567</v>
      </c>
      <c r="C185" s="1" t="n">
        <v>46049</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24798-2024</t>
        </is>
      </c>
      <c r="B186" s="1" t="n">
        <v>45460.95277777778</v>
      </c>
      <c r="C186" s="1" t="n">
        <v>46049</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46049</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13934-2024</t>
        </is>
      </c>
      <c r="B188" s="1" t="n">
        <v>45391</v>
      </c>
      <c r="C188" s="1" t="n">
        <v>46049</v>
      </c>
      <c r="D188" t="inlineStr">
        <is>
          <t>VÄSTERNORRLANDS LÄN</t>
        </is>
      </c>
      <c r="E188" t="inlineStr">
        <is>
          <t>ÅNGE</t>
        </is>
      </c>
      <c r="F188" t="inlineStr">
        <is>
          <t>SCA</t>
        </is>
      </c>
      <c r="G188" t="n">
        <v>5.8</v>
      </c>
      <c r="H188" t="n">
        <v>0</v>
      </c>
      <c r="I188" t="n">
        <v>0</v>
      </c>
      <c r="J188" t="n">
        <v>1</v>
      </c>
      <c r="K188" t="n">
        <v>0</v>
      </c>
      <c r="L188" t="n">
        <v>0</v>
      </c>
      <c r="M188" t="n">
        <v>0</v>
      </c>
      <c r="N188" t="n">
        <v>0</v>
      </c>
      <c r="O188" t="n">
        <v>1</v>
      </c>
      <c r="P188" t="n">
        <v>0</v>
      </c>
      <c r="Q188" t="n">
        <v>1</v>
      </c>
      <c r="R188" s="2" t="inlineStr">
        <is>
          <t>Ullticka</t>
        </is>
      </c>
      <c r="S188">
        <f>HYPERLINK("https://klasma.github.io/Logging_2260/artfynd/A 13934-2024 artfynd.xlsx", "A 13934-2024")</f>
        <v/>
      </c>
      <c r="T188">
        <f>HYPERLINK("https://klasma.github.io/Logging_2260/kartor/A 13934-2024 karta.png", "A 13934-2024")</f>
        <v/>
      </c>
      <c r="V188">
        <f>HYPERLINK("https://klasma.github.io/Logging_2260/klagomål/A 13934-2024 FSC-klagomål.docx", "A 13934-2024")</f>
        <v/>
      </c>
      <c r="W188">
        <f>HYPERLINK("https://klasma.github.io/Logging_2260/klagomålsmail/A 13934-2024 FSC-klagomål mail.docx", "A 13934-2024")</f>
        <v/>
      </c>
      <c r="X188">
        <f>HYPERLINK("https://klasma.github.io/Logging_2260/tillsyn/A 13934-2024 tillsynsbegäran.docx", "A 13934-2024")</f>
        <v/>
      </c>
      <c r="Y188">
        <f>HYPERLINK("https://klasma.github.io/Logging_2260/tillsynsmail/A 13934-2024 tillsynsbegäran mail.docx", "A 13934-2024")</f>
        <v/>
      </c>
    </row>
    <row r="189" ht="15" customHeight="1">
      <c r="A189" t="inlineStr">
        <is>
          <t>A 31544-2024</t>
        </is>
      </c>
      <c r="B189" s="1" t="n">
        <v>45505</v>
      </c>
      <c r="C189" s="1" t="n">
        <v>46049</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54386-2024</t>
        </is>
      </c>
      <c r="B190" s="1" t="n">
        <v>45617.44822916666</v>
      </c>
      <c r="C190" s="1" t="n">
        <v>46049</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37914-2024</t>
        </is>
      </c>
      <c r="B191" s="1" t="n">
        <v>45544</v>
      </c>
      <c r="C191" s="1" t="n">
        <v>46049</v>
      </c>
      <c r="D191" t="inlineStr">
        <is>
          <t>VÄSTERNORRLANDS LÄN</t>
        </is>
      </c>
      <c r="E191" t="inlineStr">
        <is>
          <t>ÅNGE</t>
        </is>
      </c>
      <c r="F191" t="inlineStr">
        <is>
          <t>SCA</t>
        </is>
      </c>
      <c r="G191" t="n">
        <v>9</v>
      </c>
      <c r="H191" t="n">
        <v>0</v>
      </c>
      <c r="I191" t="n">
        <v>0</v>
      </c>
      <c r="J191" t="n">
        <v>1</v>
      </c>
      <c r="K191" t="n">
        <v>0</v>
      </c>
      <c r="L191" t="n">
        <v>0</v>
      </c>
      <c r="M191" t="n">
        <v>0</v>
      </c>
      <c r="N191" t="n">
        <v>0</v>
      </c>
      <c r="O191" t="n">
        <v>1</v>
      </c>
      <c r="P191" t="n">
        <v>0</v>
      </c>
      <c r="Q191" t="n">
        <v>1</v>
      </c>
      <c r="R191" s="2" t="inlineStr">
        <is>
          <t>Granticka</t>
        </is>
      </c>
      <c r="S191">
        <f>HYPERLINK("https://klasma.github.io/Logging_2260/artfynd/A 37914-2024 artfynd.xlsx", "A 37914-2024")</f>
        <v/>
      </c>
      <c r="T191">
        <f>HYPERLINK("https://klasma.github.io/Logging_2260/kartor/A 37914-2024 karta.png", "A 37914-2024")</f>
        <v/>
      </c>
      <c r="V191">
        <f>HYPERLINK("https://klasma.github.io/Logging_2260/klagomål/A 37914-2024 FSC-klagomål.docx", "A 37914-2024")</f>
        <v/>
      </c>
      <c r="W191">
        <f>HYPERLINK("https://klasma.github.io/Logging_2260/klagomålsmail/A 37914-2024 FSC-klagomål mail.docx", "A 37914-2024")</f>
        <v/>
      </c>
      <c r="X191">
        <f>HYPERLINK("https://klasma.github.io/Logging_2260/tillsyn/A 37914-2024 tillsynsbegäran.docx", "A 37914-2024")</f>
        <v/>
      </c>
      <c r="Y191">
        <f>HYPERLINK("https://klasma.github.io/Logging_2260/tillsynsmail/A 37914-2024 tillsynsbegäran mail.docx", "A 37914-2024")</f>
        <v/>
      </c>
    </row>
    <row r="192" ht="15" customHeight="1">
      <c r="A192" t="inlineStr">
        <is>
          <t>A 27025-2025</t>
        </is>
      </c>
      <c r="B192" s="1" t="n">
        <v>45811</v>
      </c>
      <c r="C192" s="1" t="n">
        <v>46049</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42524-2025</t>
        </is>
      </c>
      <c r="B193" s="1" t="n">
        <v>45905.55262731481</v>
      </c>
      <c r="C193" s="1" t="n">
        <v>46049</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46049</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46094-2025</t>
        </is>
      </c>
      <c r="B195" s="1" t="n">
        <v>45924</v>
      </c>
      <c r="C195" s="1" t="n">
        <v>46049</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35648-2025</t>
        </is>
      </c>
      <c r="B196" s="1" t="n">
        <v>45859.51670138889</v>
      </c>
      <c r="C196" s="1" t="n">
        <v>46049</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35839-2025</t>
        </is>
      </c>
      <c r="B197" s="1" t="n">
        <v>45861.53943287037</v>
      </c>
      <c r="C197" s="1" t="n">
        <v>46049</v>
      </c>
      <c r="D197" t="inlineStr">
        <is>
          <t>VÄSTERNORRLANDS LÄN</t>
        </is>
      </c>
      <c r="E197" t="inlineStr">
        <is>
          <t>ÅNGE</t>
        </is>
      </c>
      <c r="F197" t="inlineStr">
        <is>
          <t>Sveaskog</t>
        </is>
      </c>
      <c r="G197" t="n">
        <v>7.9</v>
      </c>
      <c r="H197" t="n">
        <v>0</v>
      </c>
      <c r="I197" t="n">
        <v>0</v>
      </c>
      <c r="J197" t="n">
        <v>1</v>
      </c>
      <c r="K197" t="n">
        <v>0</v>
      </c>
      <c r="L197" t="n">
        <v>0</v>
      </c>
      <c r="M197" t="n">
        <v>0</v>
      </c>
      <c r="N197" t="n">
        <v>0</v>
      </c>
      <c r="O197" t="n">
        <v>1</v>
      </c>
      <c r="P197" t="n">
        <v>0</v>
      </c>
      <c r="Q197" t="n">
        <v>1</v>
      </c>
      <c r="R197" s="2" t="inlineStr">
        <is>
          <t>Lunglav</t>
        </is>
      </c>
      <c r="S197">
        <f>HYPERLINK("https://klasma.github.io/Logging_2260/artfynd/A 35839-2025 artfynd.xlsx", "A 35839-2025")</f>
        <v/>
      </c>
      <c r="T197">
        <f>HYPERLINK("https://klasma.github.io/Logging_2260/kartor/A 35839-2025 karta.png", "A 35839-2025")</f>
        <v/>
      </c>
      <c r="V197">
        <f>HYPERLINK("https://klasma.github.io/Logging_2260/klagomål/A 35839-2025 FSC-klagomål.docx", "A 35839-2025")</f>
        <v/>
      </c>
      <c r="W197">
        <f>HYPERLINK("https://klasma.github.io/Logging_2260/klagomålsmail/A 35839-2025 FSC-klagomål mail.docx", "A 35839-2025")</f>
        <v/>
      </c>
      <c r="X197">
        <f>HYPERLINK("https://klasma.github.io/Logging_2260/tillsyn/A 35839-2025 tillsynsbegäran.docx", "A 35839-2025")</f>
        <v/>
      </c>
      <c r="Y197">
        <f>HYPERLINK("https://klasma.github.io/Logging_2260/tillsynsmail/A 35839-2025 tillsynsbegäran mail.docx", "A 35839-2025")</f>
        <v/>
      </c>
    </row>
    <row r="198" ht="15" customHeight="1">
      <c r="A198" t="inlineStr">
        <is>
          <t>A 57272-2024</t>
        </is>
      </c>
      <c r="B198" s="1" t="n">
        <v>45629.57380787037</v>
      </c>
      <c r="C198" s="1" t="n">
        <v>46049</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47857-2025</t>
        </is>
      </c>
      <c r="B199" s="1" t="n">
        <v>45932.4068287037</v>
      </c>
      <c r="C199" s="1" t="n">
        <v>46049</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48237-2025</t>
        </is>
      </c>
      <c r="B200" s="1" t="n">
        <v>45933</v>
      </c>
      <c r="C200" s="1" t="n">
        <v>46049</v>
      </c>
      <c r="D200" t="inlineStr">
        <is>
          <t>VÄSTERNORRLANDS LÄN</t>
        </is>
      </c>
      <c r="E200" t="inlineStr">
        <is>
          <t>ÅNGE</t>
        </is>
      </c>
      <c r="F200" t="inlineStr">
        <is>
          <t>SCA</t>
        </is>
      </c>
      <c r="G200" t="n">
        <v>1.9</v>
      </c>
      <c r="H200" t="n">
        <v>1</v>
      </c>
      <c r="I200" t="n">
        <v>0</v>
      </c>
      <c r="J200" t="n">
        <v>0</v>
      </c>
      <c r="K200" t="n">
        <v>1</v>
      </c>
      <c r="L200" t="n">
        <v>0</v>
      </c>
      <c r="M200" t="n">
        <v>0</v>
      </c>
      <c r="N200" t="n">
        <v>0</v>
      </c>
      <c r="O200" t="n">
        <v>1</v>
      </c>
      <c r="P200" t="n">
        <v>1</v>
      </c>
      <c r="Q200" t="n">
        <v>1</v>
      </c>
      <c r="R200" s="2" t="inlineStr">
        <is>
          <t>Knärot</t>
        </is>
      </c>
      <c r="S200">
        <f>HYPERLINK("https://klasma.github.io/Logging_2260/artfynd/A 48237-2025 artfynd.xlsx", "A 48237-2025")</f>
        <v/>
      </c>
      <c r="T200">
        <f>HYPERLINK("https://klasma.github.io/Logging_2260/kartor/A 48237-2025 karta.png", "A 48237-2025")</f>
        <v/>
      </c>
      <c r="U200">
        <f>HYPERLINK("https://klasma.github.io/Logging_2260/knärot/A 48237-2025 karta knärot.png", "A 48237-2025")</f>
        <v/>
      </c>
      <c r="V200">
        <f>HYPERLINK("https://klasma.github.io/Logging_2260/klagomål/A 48237-2025 FSC-klagomål.docx", "A 48237-2025")</f>
        <v/>
      </c>
      <c r="W200">
        <f>HYPERLINK("https://klasma.github.io/Logging_2260/klagomålsmail/A 48237-2025 FSC-klagomål mail.docx", "A 48237-2025")</f>
        <v/>
      </c>
      <c r="X200">
        <f>HYPERLINK("https://klasma.github.io/Logging_2260/tillsyn/A 48237-2025 tillsynsbegäran.docx", "A 48237-2025")</f>
        <v/>
      </c>
      <c r="Y200">
        <f>HYPERLINK("https://klasma.github.io/Logging_2260/tillsynsmail/A 48237-2025 tillsynsbegäran mail.docx", "A 48237-2025")</f>
        <v/>
      </c>
    </row>
    <row r="201" ht="15" customHeight="1">
      <c r="A201" t="inlineStr">
        <is>
          <t>A 1449-2025</t>
        </is>
      </c>
      <c r="B201" s="1" t="n">
        <v>45670.27537037037</v>
      </c>
      <c r="C201" s="1" t="n">
        <v>46049</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37432-2025</t>
        </is>
      </c>
      <c r="B202" s="1" t="n">
        <v>45877.51106481482</v>
      </c>
      <c r="C202" s="1" t="n">
        <v>46049</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29327-2023</t>
        </is>
      </c>
      <c r="B203" s="1" t="n">
        <v>45105.94349537037</v>
      </c>
      <c r="C203" s="1" t="n">
        <v>46049</v>
      </c>
      <c r="D203" t="inlineStr">
        <is>
          <t>VÄSTERNORRLANDS LÄN</t>
        </is>
      </c>
      <c r="E203" t="inlineStr">
        <is>
          <t>ÅNGE</t>
        </is>
      </c>
      <c r="G203" t="n">
        <v>7.8</v>
      </c>
      <c r="H203" t="n">
        <v>0</v>
      </c>
      <c r="I203" t="n">
        <v>0</v>
      </c>
      <c r="J203" t="n">
        <v>1</v>
      </c>
      <c r="K203" t="n">
        <v>0</v>
      </c>
      <c r="L203" t="n">
        <v>0</v>
      </c>
      <c r="M203" t="n">
        <v>0</v>
      </c>
      <c r="N203" t="n">
        <v>0</v>
      </c>
      <c r="O203" t="n">
        <v>1</v>
      </c>
      <c r="P203" t="n">
        <v>0</v>
      </c>
      <c r="Q203" t="n">
        <v>1</v>
      </c>
      <c r="R203" s="2" t="inlineStr">
        <is>
          <t>Mörk kolflarnlav</t>
        </is>
      </c>
      <c r="S203">
        <f>HYPERLINK("https://klasma.github.io/Logging_2260/artfynd/A 29327-2023 artfynd.xlsx", "A 29327-2023")</f>
        <v/>
      </c>
      <c r="T203">
        <f>HYPERLINK("https://klasma.github.io/Logging_2260/kartor/A 29327-2023 karta.png", "A 29327-2023")</f>
        <v/>
      </c>
      <c r="V203">
        <f>HYPERLINK("https://klasma.github.io/Logging_2260/klagomål/A 29327-2023 FSC-klagomål.docx", "A 29327-2023")</f>
        <v/>
      </c>
      <c r="W203">
        <f>HYPERLINK("https://klasma.github.io/Logging_2260/klagomålsmail/A 29327-2023 FSC-klagomål mail.docx", "A 29327-2023")</f>
        <v/>
      </c>
      <c r="X203">
        <f>HYPERLINK("https://klasma.github.io/Logging_2260/tillsyn/A 29327-2023 tillsynsbegäran.docx", "A 29327-2023")</f>
        <v/>
      </c>
      <c r="Y203">
        <f>HYPERLINK("https://klasma.github.io/Logging_2260/tillsynsmail/A 29327-2023 tillsynsbegäran mail.docx", "A 29327-2023")</f>
        <v/>
      </c>
    </row>
    <row r="204" ht="15" customHeight="1">
      <c r="A204" t="inlineStr">
        <is>
          <t>A 53683-2025</t>
        </is>
      </c>
      <c r="B204" s="1" t="n">
        <v>45960</v>
      </c>
      <c r="C204" s="1" t="n">
        <v>46049</v>
      </c>
      <c r="D204" t="inlineStr">
        <is>
          <t>VÄSTERNORRLANDS LÄN</t>
        </is>
      </c>
      <c r="E204" t="inlineStr">
        <is>
          <t>ÅNGE</t>
        </is>
      </c>
      <c r="F204" t="inlineStr">
        <is>
          <t>SCA</t>
        </is>
      </c>
      <c r="G204" t="n">
        <v>3.6</v>
      </c>
      <c r="H204" t="n">
        <v>0</v>
      </c>
      <c r="I204" t="n">
        <v>1</v>
      </c>
      <c r="J204" t="n">
        <v>0</v>
      </c>
      <c r="K204" t="n">
        <v>0</v>
      </c>
      <c r="L204" t="n">
        <v>0</v>
      </c>
      <c r="M204" t="n">
        <v>0</v>
      </c>
      <c r="N204" t="n">
        <v>0</v>
      </c>
      <c r="O204" t="n">
        <v>0</v>
      </c>
      <c r="P204" t="n">
        <v>0</v>
      </c>
      <c r="Q204" t="n">
        <v>1</v>
      </c>
      <c r="R204" s="2" t="inlineStr">
        <is>
          <t>Ögonpyrola</t>
        </is>
      </c>
      <c r="S204">
        <f>HYPERLINK("https://klasma.github.io/Logging_2260/artfynd/A 53683-2025 artfynd.xlsx", "A 53683-2025")</f>
        <v/>
      </c>
      <c r="T204">
        <f>HYPERLINK("https://klasma.github.io/Logging_2260/kartor/A 53683-2025 karta.png", "A 53683-2025")</f>
        <v/>
      </c>
      <c r="U204">
        <f>HYPERLINK("https://klasma.github.io/Logging_2260/knärot/A 53683-2025 karta knärot.png", "A 53683-2025")</f>
        <v/>
      </c>
      <c r="V204">
        <f>HYPERLINK("https://klasma.github.io/Logging_2260/klagomål/A 53683-2025 FSC-klagomål.docx", "A 53683-2025")</f>
        <v/>
      </c>
      <c r="W204">
        <f>HYPERLINK("https://klasma.github.io/Logging_2260/klagomålsmail/A 53683-2025 FSC-klagomål mail.docx", "A 53683-2025")</f>
        <v/>
      </c>
      <c r="X204">
        <f>HYPERLINK("https://klasma.github.io/Logging_2260/tillsyn/A 53683-2025 tillsynsbegäran.docx", "A 53683-2025")</f>
        <v/>
      </c>
      <c r="Y204">
        <f>HYPERLINK("https://klasma.github.io/Logging_2260/tillsynsmail/A 53683-2025 tillsynsbegäran mail.docx", "A 53683-2025")</f>
        <v/>
      </c>
    </row>
    <row r="205" ht="15" customHeight="1">
      <c r="A205" t="inlineStr">
        <is>
          <t>A 30774-2024</t>
        </is>
      </c>
      <c r="B205" s="1" t="n">
        <v>45496.949375</v>
      </c>
      <c r="C205" s="1" t="n">
        <v>46049</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50651-2021</t>
        </is>
      </c>
      <c r="B206" s="1" t="n">
        <v>44459</v>
      </c>
      <c r="C206" s="1" t="n">
        <v>46049</v>
      </c>
      <c r="D206" t="inlineStr">
        <is>
          <t>VÄSTERNORRLANDS LÄN</t>
        </is>
      </c>
      <c r="E206" t="inlineStr">
        <is>
          <t>ÅNGE</t>
        </is>
      </c>
      <c r="G206" t="n">
        <v>20.6</v>
      </c>
      <c r="H206" t="n">
        <v>0</v>
      </c>
      <c r="I206" t="n">
        <v>0</v>
      </c>
      <c r="J206" t="n">
        <v>1</v>
      </c>
      <c r="K206" t="n">
        <v>0</v>
      </c>
      <c r="L206" t="n">
        <v>0</v>
      </c>
      <c r="M206" t="n">
        <v>0</v>
      </c>
      <c r="N206" t="n">
        <v>0</v>
      </c>
      <c r="O206" t="n">
        <v>1</v>
      </c>
      <c r="P206" t="n">
        <v>0</v>
      </c>
      <c r="Q206" t="n">
        <v>1</v>
      </c>
      <c r="R206" s="2" t="inlineStr">
        <is>
          <t>Garnlav</t>
        </is>
      </c>
      <c r="S206">
        <f>HYPERLINK("https://klasma.github.io/Logging_2260/artfynd/A 50651-2021 artfynd.xlsx", "A 50651-2021")</f>
        <v/>
      </c>
      <c r="T206">
        <f>HYPERLINK("https://klasma.github.io/Logging_2260/kartor/A 50651-2021 karta.png", "A 50651-2021")</f>
        <v/>
      </c>
      <c r="V206">
        <f>HYPERLINK("https://klasma.github.io/Logging_2260/klagomål/A 50651-2021 FSC-klagomål.docx", "A 50651-2021")</f>
        <v/>
      </c>
      <c r="W206">
        <f>HYPERLINK("https://klasma.github.io/Logging_2260/klagomålsmail/A 50651-2021 FSC-klagomål mail.docx", "A 50651-2021")</f>
        <v/>
      </c>
      <c r="X206">
        <f>HYPERLINK("https://klasma.github.io/Logging_2260/tillsyn/A 50651-2021 tillsynsbegäran.docx", "A 50651-2021")</f>
        <v/>
      </c>
      <c r="Y206">
        <f>HYPERLINK("https://klasma.github.io/Logging_2260/tillsynsmail/A 50651-2021 tillsynsbegäran mail.docx", "A 50651-2021")</f>
        <v/>
      </c>
    </row>
    <row r="207" ht="15" customHeight="1">
      <c r="A207" t="inlineStr">
        <is>
          <t>A 64510-2023</t>
        </is>
      </c>
      <c r="B207" s="1" t="n">
        <v>45281</v>
      </c>
      <c r="C207" s="1" t="n">
        <v>46049</v>
      </c>
      <c r="D207" t="inlineStr">
        <is>
          <t>VÄSTERNORRLANDS LÄN</t>
        </is>
      </c>
      <c r="E207" t="inlineStr">
        <is>
          <t>ÅNGE</t>
        </is>
      </c>
      <c r="G207" t="n">
        <v>3.7</v>
      </c>
      <c r="H207" t="n">
        <v>0</v>
      </c>
      <c r="I207" t="n">
        <v>1</v>
      </c>
      <c r="J207" t="n">
        <v>0</v>
      </c>
      <c r="K207" t="n">
        <v>0</v>
      </c>
      <c r="L207" t="n">
        <v>0</v>
      </c>
      <c r="M207" t="n">
        <v>0</v>
      </c>
      <c r="N207" t="n">
        <v>0</v>
      </c>
      <c r="O207" t="n">
        <v>0</v>
      </c>
      <c r="P207" t="n">
        <v>0</v>
      </c>
      <c r="Q207" t="n">
        <v>1</v>
      </c>
      <c r="R207" s="2" t="inlineStr">
        <is>
          <t>Dropptaggsvamp</t>
        </is>
      </c>
      <c r="S207">
        <f>HYPERLINK("https://klasma.github.io/Logging_2260/artfynd/A 64510-2023 artfynd.xlsx", "A 64510-2023")</f>
        <v/>
      </c>
      <c r="T207">
        <f>HYPERLINK("https://klasma.github.io/Logging_2260/kartor/A 64510-2023 karta.png", "A 64510-2023")</f>
        <v/>
      </c>
      <c r="V207">
        <f>HYPERLINK("https://klasma.github.io/Logging_2260/klagomål/A 64510-2023 FSC-klagomål.docx", "A 64510-2023")</f>
        <v/>
      </c>
      <c r="W207">
        <f>HYPERLINK("https://klasma.github.io/Logging_2260/klagomålsmail/A 64510-2023 FSC-klagomål mail.docx", "A 64510-2023")</f>
        <v/>
      </c>
      <c r="X207">
        <f>HYPERLINK("https://klasma.github.io/Logging_2260/tillsyn/A 64510-2023 tillsynsbegäran.docx", "A 64510-2023")</f>
        <v/>
      </c>
      <c r="Y207">
        <f>HYPERLINK("https://klasma.github.io/Logging_2260/tillsynsmail/A 64510-2023 tillsynsbegäran mail.docx", "A 64510-2023")</f>
        <v/>
      </c>
    </row>
    <row r="208" ht="15" customHeight="1">
      <c r="A208" t="inlineStr">
        <is>
          <t>A 38603-2024</t>
        </is>
      </c>
      <c r="B208" s="1" t="n">
        <v>45546</v>
      </c>
      <c r="C208" s="1" t="n">
        <v>46049</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20192-2025</t>
        </is>
      </c>
      <c r="B209" s="1" t="n">
        <v>45772.60177083333</v>
      </c>
      <c r="C209" s="1" t="n">
        <v>46049</v>
      </c>
      <c r="D209" t="inlineStr">
        <is>
          <t>VÄSTERNORRLANDS LÄN</t>
        </is>
      </c>
      <c r="E209" t="inlineStr">
        <is>
          <t>ÅNGE</t>
        </is>
      </c>
      <c r="F209" t="inlineStr">
        <is>
          <t>Sveaskog</t>
        </is>
      </c>
      <c r="G209" t="n">
        <v>8.800000000000001</v>
      </c>
      <c r="H209" t="n">
        <v>1</v>
      </c>
      <c r="I209" t="n">
        <v>0</v>
      </c>
      <c r="J209" t="n">
        <v>0</v>
      </c>
      <c r="K209" t="n">
        <v>0</v>
      </c>
      <c r="L209" t="n">
        <v>0</v>
      </c>
      <c r="M209" t="n">
        <v>0</v>
      </c>
      <c r="N209" t="n">
        <v>0</v>
      </c>
      <c r="O209" t="n">
        <v>0</v>
      </c>
      <c r="P209" t="n">
        <v>0</v>
      </c>
      <c r="Q209" t="n">
        <v>1</v>
      </c>
      <c r="R209" s="2" t="inlineStr">
        <is>
          <t>Blåsippa</t>
        </is>
      </c>
      <c r="S209">
        <f>HYPERLINK("https://klasma.github.io/Logging_2260/artfynd/A 20192-2025 artfynd.xlsx", "A 20192-2025")</f>
        <v/>
      </c>
      <c r="T209">
        <f>HYPERLINK("https://klasma.github.io/Logging_2260/kartor/A 20192-2025 karta.png", "A 20192-2025")</f>
        <v/>
      </c>
      <c r="V209">
        <f>HYPERLINK("https://klasma.github.io/Logging_2260/klagomål/A 20192-2025 FSC-klagomål.docx", "A 20192-2025")</f>
        <v/>
      </c>
      <c r="W209">
        <f>HYPERLINK("https://klasma.github.io/Logging_2260/klagomålsmail/A 20192-2025 FSC-klagomål mail.docx", "A 20192-2025")</f>
        <v/>
      </c>
      <c r="X209">
        <f>HYPERLINK("https://klasma.github.io/Logging_2260/tillsyn/A 20192-2025 tillsynsbegäran.docx", "A 20192-2025")</f>
        <v/>
      </c>
      <c r="Y209">
        <f>HYPERLINK("https://klasma.github.io/Logging_2260/tillsynsmail/A 20192-2025 tillsynsbegäran mail.docx", "A 20192-2025")</f>
        <v/>
      </c>
    </row>
    <row r="210" ht="15" customHeight="1">
      <c r="A210" t="inlineStr">
        <is>
          <t>A 329-2026</t>
        </is>
      </c>
      <c r="B210" s="1" t="n">
        <v>46027.59431712963</v>
      </c>
      <c r="C210" s="1" t="n">
        <v>46049</v>
      </c>
      <c r="D210" t="inlineStr">
        <is>
          <t>VÄSTERNORRLANDS LÄN</t>
        </is>
      </c>
      <c r="E210" t="inlineStr">
        <is>
          <t>ÅNGE</t>
        </is>
      </c>
      <c r="F210" t="inlineStr">
        <is>
          <t>SCA</t>
        </is>
      </c>
      <c r="G210" t="n">
        <v>3.3</v>
      </c>
      <c r="H210" t="n">
        <v>1</v>
      </c>
      <c r="I210" t="n">
        <v>0</v>
      </c>
      <c r="J210" t="n">
        <v>0</v>
      </c>
      <c r="K210" t="n">
        <v>0</v>
      </c>
      <c r="L210" t="n">
        <v>0</v>
      </c>
      <c r="M210" t="n">
        <v>0</v>
      </c>
      <c r="N210" t="n">
        <v>0</v>
      </c>
      <c r="O210" t="n">
        <v>0</v>
      </c>
      <c r="P210" t="n">
        <v>0</v>
      </c>
      <c r="Q210" t="n">
        <v>1</v>
      </c>
      <c r="R210" s="2" t="inlineStr">
        <is>
          <t>Revlummer</t>
        </is>
      </c>
      <c r="S210">
        <f>HYPERLINK("https://klasma.github.io/Logging_2260/artfynd/A 329-2026 artfynd.xlsx", "A 329-2026")</f>
        <v/>
      </c>
      <c r="T210">
        <f>HYPERLINK("https://klasma.github.io/Logging_2260/kartor/A 329-2026 karta.png", "A 329-2026")</f>
        <v/>
      </c>
      <c r="V210">
        <f>HYPERLINK("https://klasma.github.io/Logging_2260/klagomål/A 329-2026 FSC-klagomål.docx", "A 329-2026")</f>
        <v/>
      </c>
      <c r="W210">
        <f>HYPERLINK("https://klasma.github.io/Logging_2260/klagomålsmail/A 329-2026 FSC-klagomål mail.docx", "A 329-2026")</f>
        <v/>
      </c>
      <c r="X210">
        <f>HYPERLINK("https://klasma.github.io/Logging_2260/tillsyn/A 329-2026 tillsynsbegäran.docx", "A 329-2026")</f>
        <v/>
      </c>
      <c r="Y210">
        <f>HYPERLINK("https://klasma.github.io/Logging_2260/tillsynsmail/A 329-2026 tillsynsbegäran mail.docx", "A 329-2026")</f>
        <v/>
      </c>
    </row>
    <row r="211" ht="15" customHeight="1">
      <c r="A211" t="inlineStr">
        <is>
          <t>A 58534-2025</t>
        </is>
      </c>
      <c r="B211" s="1" t="n">
        <v>45985.80396990741</v>
      </c>
      <c r="C211" s="1" t="n">
        <v>46049</v>
      </c>
      <c r="D211" t="inlineStr">
        <is>
          <t>VÄSTERNORRLANDS LÄN</t>
        </is>
      </c>
      <c r="E211" t="inlineStr">
        <is>
          <t>ÅNGE</t>
        </is>
      </c>
      <c r="F211" t="inlineStr">
        <is>
          <t>Holmen skog AB</t>
        </is>
      </c>
      <c r="G211" t="n">
        <v>2.2</v>
      </c>
      <c r="H211" t="n">
        <v>0</v>
      </c>
      <c r="I211" t="n">
        <v>0</v>
      </c>
      <c r="J211" t="n">
        <v>1</v>
      </c>
      <c r="K211" t="n">
        <v>0</v>
      </c>
      <c r="L211" t="n">
        <v>0</v>
      </c>
      <c r="M211" t="n">
        <v>0</v>
      </c>
      <c r="N211" t="n">
        <v>0</v>
      </c>
      <c r="O211" t="n">
        <v>1</v>
      </c>
      <c r="P211" t="n">
        <v>0</v>
      </c>
      <c r="Q211" t="n">
        <v>1</v>
      </c>
      <c r="R211" s="2" t="inlineStr">
        <is>
          <t>Ullticka</t>
        </is>
      </c>
      <c r="S211">
        <f>HYPERLINK("https://klasma.github.io/Logging_2260/artfynd/A 58534-2025 artfynd.xlsx", "A 58534-2025")</f>
        <v/>
      </c>
      <c r="T211">
        <f>HYPERLINK("https://klasma.github.io/Logging_2260/kartor/A 58534-2025 karta.png", "A 58534-2025")</f>
        <v/>
      </c>
      <c r="V211">
        <f>HYPERLINK("https://klasma.github.io/Logging_2260/klagomål/A 58534-2025 FSC-klagomål.docx", "A 58534-2025")</f>
        <v/>
      </c>
      <c r="W211">
        <f>HYPERLINK("https://klasma.github.io/Logging_2260/klagomålsmail/A 58534-2025 FSC-klagomål mail.docx", "A 58534-2025")</f>
        <v/>
      </c>
      <c r="X211">
        <f>HYPERLINK("https://klasma.github.io/Logging_2260/tillsyn/A 58534-2025 tillsynsbegäran.docx", "A 58534-2025")</f>
        <v/>
      </c>
      <c r="Y211">
        <f>HYPERLINK("https://klasma.github.io/Logging_2260/tillsynsmail/A 58534-2025 tillsynsbegäran mail.docx", "A 58534-2025")</f>
        <v/>
      </c>
    </row>
    <row r="212" ht="15" customHeight="1">
      <c r="A212" t="inlineStr">
        <is>
          <t>A 71366-2021</t>
        </is>
      </c>
      <c r="B212" s="1" t="n">
        <v>44539</v>
      </c>
      <c r="C212" s="1" t="n">
        <v>46049</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56091-2024</t>
        </is>
      </c>
      <c r="B213" s="1" t="n">
        <v>45624.40678240741</v>
      </c>
      <c r="C213" s="1" t="n">
        <v>46049</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31878-2024</t>
        </is>
      </c>
      <c r="B214" s="1" t="n">
        <v>45509</v>
      </c>
      <c r="C214" s="1" t="n">
        <v>46049</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61076-2025</t>
        </is>
      </c>
      <c r="B215" s="1" t="n">
        <v>46000.39689814814</v>
      </c>
      <c r="C215" s="1" t="n">
        <v>46049</v>
      </c>
      <c r="D215" t="inlineStr">
        <is>
          <t>VÄSTERNORRLANDS LÄN</t>
        </is>
      </c>
      <c r="E215" t="inlineStr">
        <is>
          <t>ÅNGE</t>
        </is>
      </c>
      <c r="F215" t="inlineStr">
        <is>
          <t>Holmen skog AB</t>
        </is>
      </c>
      <c r="G215" t="n">
        <v>2.7</v>
      </c>
      <c r="H215" t="n">
        <v>0</v>
      </c>
      <c r="I215" t="n">
        <v>1</v>
      </c>
      <c r="J215" t="n">
        <v>0</v>
      </c>
      <c r="K215" t="n">
        <v>0</v>
      </c>
      <c r="L215" t="n">
        <v>0</v>
      </c>
      <c r="M215" t="n">
        <v>0</v>
      </c>
      <c r="N215" t="n">
        <v>0</v>
      </c>
      <c r="O215" t="n">
        <v>0</v>
      </c>
      <c r="P215" t="n">
        <v>0</v>
      </c>
      <c r="Q215" t="n">
        <v>1</v>
      </c>
      <c r="R215" s="2" t="inlineStr">
        <is>
          <t>Stor aspticka</t>
        </is>
      </c>
      <c r="S215">
        <f>HYPERLINK("https://klasma.github.io/Logging_2260/artfynd/A 61076-2025 artfynd.xlsx", "A 61076-2025")</f>
        <v/>
      </c>
      <c r="T215">
        <f>HYPERLINK("https://klasma.github.io/Logging_2260/kartor/A 61076-2025 karta.png", "A 61076-2025")</f>
        <v/>
      </c>
      <c r="V215">
        <f>HYPERLINK("https://klasma.github.io/Logging_2260/klagomål/A 61076-2025 FSC-klagomål.docx", "A 61076-2025")</f>
        <v/>
      </c>
      <c r="W215">
        <f>HYPERLINK("https://klasma.github.io/Logging_2260/klagomålsmail/A 61076-2025 FSC-klagomål mail.docx", "A 61076-2025")</f>
        <v/>
      </c>
      <c r="X215">
        <f>HYPERLINK("https://klasma.github.io/Logging_2260/tillsyn/A 61076-2025 tillsynsbegäran.docx", "A 61076-2025")</f>
        <v/>
      </c>
      <c r="Y215">
        <f>HYPERLINK("https://klasma.github.io/Logging_2260/tillsynsmail/A 61076-2025 tillsynsbegäran mail.docx", "A 61076-2025")</f>
        <v/>
      </c>
    </row>
    <row r="216" ht="15" customHeight="1">
      <c r="A216" t="inlineStr">
        <is>
          <t>A 31510-2024</t>
        </is>
      </c>
      <c r="B216" s="1" t="n">
        <v>45505</v>
      </c>
      <c r="C216" s="1" t="n">
        <v>46049</v>
      </c>
      <c r="D216" t="inlineStr">
        <is>
          <t>VÄSTERNORRLANDS LÄN</t>
        </is>
      </c>
      <c r="E216" t="inlineStr">
        <is>
          <t>ÅNGE</t>
        </is>
      </c>
      <c r="F216" t="inlineStr">
        <is>
          <t>SCA</t>
        </is>
      </c>
      <c r="G216" t="n">
        <v>6</v>
      </c>
      <c r="H216" t="n">
        <v>1</v>
      </c>
      <c r="I216" t="n">
        <v>0</v>
      </c>
      <c r="J216" t="n">
        <v>0</v>
      </c>
      <c r="K216" t="n">
        <v>1</v>
      </c>
      <c r="L216" t="n">
        <v>0</v>
      </c>
      <c r="M216" t="n">
        <v>0</v>
      </c>
      <c r="N216" t="n">
        <v>0</v>
      </c>
      <c r="O216" t="n">
        <v>1</v>
      </c>
      <c r="P216" t="n">
        <v>1</v>
      </c>
      <c r="Q216" t="n">
        <v>1</v>
      </c>
      <c r="R216" s="2" t="inlineStr">
        <is>
          <t>Doftticka</t>
        </is>
      </c>
      <c r="S216">
        <f>HYPERLINK("https://klasma.github.io/Logging_2260/artfynd/A 31510-2024 artfynd.xlsx", "A 31510-2024")</f>
        <v/>
      </c>
      <c r="T216">
        <f>HYPERLINK("https://klasma.github.io/Logging_2260/kartor/A 31510-2024 karta.png", "A 31510-2024")</f>
        <v/>
      </c>
      <c r="V216">
        <f>HYPERLINK("https://klasma.github.io/Logging_2260/klagomål/A 31510-2024 FSC-klagomål.docx", "A 31510-2024")</f>
        <v/>
      </c>
      <c r="W216">
        <f>HYPERLINK("https://klasma.github.io/Logging_2260/klagomålsmail/A 31510-2024 FSC-klagomål mail.docx", "A 31510-2024")</f>
        <v/>
      </c>
      <c r="X216">
        <f>HYPERLINK("https://klasma.github.io/Logging_2260/tillsyn/A 31510-2024 tillsynsbegäran.docx", "A 31510-2024")</f>
        <v/>
      </c>
      <c r="Y216">
        <f>HYPERLINK("https://klasma.github.io/Logging_2260/tillsynsmail/A 31510-2024 tillsynsbegäran mail.docx", "A 31510-2024")</f>
        <v/>
      </c>
    </row>
    <row r="217" ht="15" customHeight="1">
      <c r="A217" t="inlineStr">
        <is>
          <t>A 55015-2023</t>
        </is>
      </c>
      <c r="B217" s="1" t="n">
        <v>45237.32185185186</v>
      </c>
      <c r="C217" s="1" t="n">
        <v>46049</v>
      </c>
      <c r="D217" t="inlineStr">
        <is>
          <t>VÄSTERNORRLANDS LÄN</t>
        </is>
      </c>
      <c r="E217" t="inlineStr">
        <is>
          <t>ÅNGE</t>
        </is>
      </c>
      <c r="F217" t="inlineStr">
        <is>
          <t>Sveaskog</t>
        </is>
      </c>
      <c r="G217" t="n">
        <v>2.7</v>
      </c>
      <c r="H217" t="n">
        <v>0</v>
      </c>
      <c r="I217" t="n">
        <v>0</v>
      </c>
      <c r="J217" t="n">
        <v>1</v>
      </c>
      <c r="K217" t="n">
        <v>0</v>
      </c>
      <c r="L217" t="n">
        <v>0</v>
      </c>
      <c r="M217" t="n">
        <v>0</v>
      </c>
      <c r="N217" t="n">
        <v>0</v>
      </c>
      <c r="O217" t="n">
        <v>1</v>
      </c>
      <c r="P217" t="n">
        <v>0</v>
      </c>
      <c r="Q217" t="n">
        <v>1</v>
      </c>
      <c r="R217" s="2" t="inlineStr">
        <is>
          <t>Lunglav</t>
        </is>
      </c>
      <c r="S217">
        <f>HYPERLINK("https://klasma.github.io/Logging_2260/artfynd/A 55015-2023 artfynd.xlsx", "A 55015-2023")</f>
        <v/>
      </c>
      <c r="T217">
        <f>HYPERLINK("https://klasma.github.io/Logging_2260/kartor/A 55015-2023 karta.png", "A 55015-2023")</f>
        <v/>
      </c>
      <c r="V217">
        <f>HYPERLINK("https://klasma.github.io/Logging_2260/klagomål/A 55015-2023 FSC-klagomål.docx", "A 55015-2023")</f>
        <v/>
      </c>
      <c r="W217">
        <f>HYPERLINK("https://klasma.github.io/Logging_2260/klagomålsmail/A 55015-2023 FSC-klagomål mail.docx", "A 55015-2023")</f>
        <v/>
      </c>
      <c r="X217">
        <f>HYPERLINK("https://klasma.github.io/Logging_2260/tillsyn/A 55015-2023 tillsynsbegäran.docx", "A 55015-2023")</f>
        <v/>
      </c>
      <c r="Y217">
        <f>HYPERLINK("https://klasma.github.io/Logging_2260/tillsynsmail/A 55015-2023 tillsynsbegäran mail.docx", "A 55015-2023")</f>
        <v/>
      </c>
    </row>
    <row r="218" ht="15" customHeight="1">
      <c r="A218" t="inlineStr">
        <is>
          <t>A 34696-2024</t>
        </is>
      </c>
      <c r="B218" s="1" t="n">
        <v>45526</v>
      </c>
      <c r="C218" s="1" t="n">
        <v>46049</v>
      </c>
      <c r="D218" t="inlineStr">
        <is>
          <t>VÄSTERNORRLANDS LÄN</t>
        </is>
      </c>
      <c r="E218" t="inlineStr">
        <is>
          <t>ÅNGE</t>
        </is>
      </c>
      <c r="G218" t="n">
        <v>3.6</v>
      </c>
      <c r="H218" t="n">
        <v>1</v>
      </c>
      <c r="I218" t="n">
        <v>0</v>
      </c>
      <c r="J218" t="n">
        <v>0</v>
      </c>
      <c r="K218" t="n">
        <v>0</v>
      </c>
      <c r="L218" t="n">
        <v>0</v>
      </c>
      <c r="M218" t="n">
        <v>0</v>
      </c>
      <c r="N218" t="n">
        <v>0</v>
      </c>
      <c r="O218" t="n">
        <v>0</v>
      </c>
      <c r="P218" t="n">
        <v>0</v>
      </c>
      <c r="Q218" t="n">
        <v>1</v>
      </c>
      <c r="R218" s="2" t="inlineStr">
        <is>
          <t>Revlummer</t>
        </is>
      </c>
      <c r="S218">
        <f>HYPERLINK("https://klasma.github.io/Logging_2260/artfynd/A 34696-2024 artfynd.xlsx", "A 34696-2024")</f>
        <v/>
      </c>
      <c r="T218">
        <f>HYPERLINK("https://klasma.github.io/Logging_2260/kartor/A 34696-2024 karta.png", "A 34696-2024")</f>
        <v/>
      </c>
      <c r="V218">
        <f>HYPERLINK("https://klasma.github.io/Logging_2260/klagomål/A 34696-2024 FSC-klagomål.docx", "A 34696-2024")</f>
        <v/>
      </c>
      <c r="W218">
        <f>HYPERLINK("https://klasma.github.io/Logging_2260/klagomålsmail/A 34696-2024 FSC-klagomål mail.docx", "A 34696-2024")</f>
        <v/>
      </c>
      <c r="X218">
        <f>HYPERLINK("https://klasma.github.io/Logging_2260/tillsyn/A 34696-2024 tillsynsbegäran.docx", "A 34696-2024")</f>
        <v/>
      </c>
      <c r="Y218">
        <f>HYPERLINK("https://klasma.github.io/Logging_2260/tillsynsmail/A 34696-2024 tillsynsbegäran mail.docx", "A 34696-2024")</f>
        <v/>
      </c>
    </row>
    <row r="219" ht="15" customHeight="1">
      <c r="A219" t="inlineStr">
        <is>
          <t>A 41493-2021</t>
        </is>
      </c>
      <c r="B219" s="1" t="n">
        <v>44424</v>
      </c>
      <c r="C219" s="1" t="n">
        <v>46049</v>
      </c>
      <c r="D219" t="inlineStr">
        <is>
          <t>VÄSTERNORRLANDS LÄN</t>
        </is>
      </c>
      <c r="E219" t="inlineStr">
        <is>
          <t>ÅNGE</t>
        </is>
      </c>
      <c r="F219" t="inlineStr">
        <is>
          <t>SCA</t>
        </is>
      </c>
      <c r="G219" t="n">
        <v>8</v>
      </c>
      <c r="H219" t="n">
        <v>1</v>
      </c>
      <c r="I219" t="n">
        <v>0</v>
      </c>
      <c r="J219" t="n">
        <v>0</v>
      </c>
      <c r="K219" t="n">
        <v>1</v>
      </c>
      <c r="L219" t="n">
        <v>0</v>
      </c>
      <c r="M219" t="n">
        <v>0</v>
      </c>
      <c r="N219" t="n">
        <v>0</v>
      </c>
      <c r="O219" t="n">
        <v>1</v>
      </c>
      <c r="P219" t="n">
        <v>1</v>
      </c>
      <c r="Q219" t="n">
        <v>1</v>
      </c>
      <c r="R219" s="2" t="inlineStr">
        <is>
          <t>Knärot</t>
        </is>
      </c>
      <c r="S219">
        <f>HYPERLINK("https://klasma.github.io/Logging_2260/artfynd/A 41493-2021 artfynd.xlsx", "A 41493-2021")</f>
        <v/>
      </c>
      <c r="T219">
        <f>HYPERLINK("https://klasma.github.io/Logging_2260/kartor/A 41493-2021 karta.png", "A 41493-2021")</f>
        <v/>
      </c>
      <c r="U219">
        <f>HYPERLINK("https://klasma.github.io/Logging_2260/knärot/A 41493-2021 karta knärot.png", "A 41493-2021")</f>
        <v/>
      </c>
      <c r="V219">
        <f>HYPERLINK("https://klasma.github.io/Logging_2260/klagomål/A 41493-2021 FSC-klagomål.docx", "A 41493-2021")</f>
        <v/>
      </c>
      <c r="W219">
        <f>HYPERLINK("https://klasma.github.io/Logging_2260/klagomålsmail/A 41493-2021 FSC-klagomål mail.docx", "A 41493-2021")</f>
        <v/>
      </c>
      <c r="X219">
        <f>HYPERLINK("https://klasma.github.io/Logging_2260/tillsyn/A 41493-2021 tillsynsbegäran.docx", "A 41493-2021")</f>
        <v/>
      </c>
      <c r="Y219">
        <f>HYPERLINK("https://klasma.github.io/Logging_2260/tillsynsmail/A 41493-2021 tillsynsbegäran mail.docx", "A 41493-2021")</f>
        <v/>
      </c>
    </row>
    <row r="220" ht="15" customHeight="1">
      <c r="A220" t="inlineStr">
        <is>
          <t>A 25705-2024</t>
        </is>
      </c>
      <c r="B220" s="1" t="n">
        <v>45463.9428587963</v>
      </c>
      <c r="C220" s="1" t="n">
        <v>46049</v>
      </c>
      <c r="D220" t="inlineStr">
        <is>
          <t>VÄSTERNORRLANDS LÄN</t>
        </is>
      </c>
      <c r="E220" t="inlineStr">
        <is>
          <t>ÅNGE</t>
        </is>
      </c>
      <c r="F220" t="inlineStr">
        <is>
          <t>SCA</t>
        </is>
      </c>
      <c r="G220" t="n">
        <v>10.6</v>
      </c>
      <c r="H220" t="n">
        <v>1</v>
      </c>
      <c r="I220" t="n">
        <v>1</v>
      </c>
      <c r="J220" t="n">
        <v>0</v>
      </c>
      <c r="K220" t="n">
        <v>0</v>
      </c>
      <c r="L220" t="n">
        <v>0</v>
      </c>
      <c r="M220" t="n">
        <v>0</v>
      </c>
      <c r="N220" t="n">
        <v>0</v>
      </c>
      <c r="O220" t="n">
        <v>0</v>
      </c>
      <c r="P220" t="n">
        <v>0</v>
      </c>
      <c r="Q220" t="n">
        <v>1</v>
      </c>
      <c r="R220" s="2" t="inlineStr">
        <is>
          <t>Korallrot</t>
        </is>
      </c>
      <c r="S220">
        <f>HYPERLINK("https://klasma.github.io/Logging_2260/artfynd/A 25705-2024 artfynd.xlsx", "A 25705-2024")</f>
        <v/>
      </c>
      <c r="T220">
        <f>HYPERLINK("https://klasma.github.io/Logging_2260/kartor/A 25705-2024 karta.png", "A 25705-2024")</f>
        <v/>
      </c>
      <c r="V220">
        <f>HYPERLINK("https://klasma.github.io/Logging_2260/klagomål/A 25705-2024 FSC-klagomål.docx", "A 25705-2024")</f>
        <v/>
      </c>
      <c r="W220">
        <f>HYPERLINK("https://klasma.github.io/Logging_2260/klagomålsmail/A 25705-2024 FSC-klagomål mail.docx", "A 25705-2024")</f>
        <v/>
      </c>
      <c r="X220">
        <f>HYPERLINK("https://klasma.github.io/Logging_2260/tillsyn/A 25705-2024 tillsynsbegäran.docx", "A 25705-2024")</f>
        <v/>
      </c>
      <c r="Y220">
        <f>HYPERLINK("https://klasma.github.io/Logging_2260/tillsynsmail/A 25705-2024 tillsynsbegäran mail.docx", "A 25705-2024")</f>
        <v/>
      </c>
    </row>
    <row r="221" ht="15" customHeight="1">
      <c r="A221" t="inlineStr">
        <is>
          <t>A 52424-2023</t>
        </is>
      </c>
      <c r="B221" s="1" t="n">
        <v>45217</v>
      </c>
      <c r="C221" s="1" t="n">
        <v>46049</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39638-2024</t>
        </is>
      </c>
      <c r="B222" s="1" t="n">
        <v>45552</v>
      </c>
      <c r="C222" s="1" t="n">
        <v>46049</v>
      </c>
      <c r="D222" t="inlineStr">
        <is>
          <t>VÄSTERNORRLANDS LÄN</t>
        </is>
      </c>
      <c r="E222" t="inlineStr">
        <is>
          <t>ÅNGE</t>
        </is>
      </c>
      <c r="G222" t="n">
        <v>3</v>
      </c>
      <c r="H222" t="n">
        <v>1</v>
      </c>
      <c r="I222" t="n">
        <v>0</v>
      </c>
      <c r="J222" t="n">
        <v>0</v>
      </c>
      <c r="K222" t="n">
        <v>0</v>
      </c>
      <c r="L222" t="n">
        <v>0</v>
      </c>
      <c r="M222" t="n">
        <v>0</v>
      </c>
      <c r="N222" t="n">
        <v>0</v>
      </c>
      <c r="O222" t="n">
        <v>0</v>
      </c>
      <c r="P222" t="n">
        <v>0</v>
      </c>
      <c r="Q222" t="n">
        <v>1</v>
      </c>
      <c r="R222" s="2" t="inlineStr">
        <is>
          <t>Tjäder</t>
        </is>
      </c>
      <c r="S222">
        <f>HYPERLINK("https://klasma.github.io/Logging_2260/artfynd/A 39638-2024 artfynd.xlsx", "A 39638-2024")</f>
        <v/>
      </c>
      <c r="T222">
        <f>HYPERLINK("https://klasma.github.io/Logging_2260/kartor/A 39638-2024 karta.png", "A 39638-2024")</f>
        <v/>
      </c>
      <c r="V222">
        <f>HYPERLINK("https://klasma.github.io/Logging_2260/klagomål/A 39638-2024 FSC-klagomål.docx", "A 39638-2024")</f>
        <v/>
      </c>
      <c r="W222">
        <f>HYPERLINK("https://klasma.github.io/Logging_2260/klagomålsmail/A 39638-2024 FSC-klagomål mail.docx", "A 39638-2024")</f>
        <v/>
      </c>
      <c r="X222">
        <f>HYPERLINK("https://klasma.github.io/Logging_2260/tillsyn/A 39638-2024 tillsynsbegäran.docx", "A 39638-2024")</f>
        <v/>
      </c>
      <c r="Y222">
        <f>HYPERLINK("https://klasma.github.io/Logging_2260/tillsynsmail/A 39638-2024 tillsynsbegäran mail.docx", "A 39638-2024")</f>
        <v/>
      </c>
      <c r="Z222">
        <f>HYPERLINK("https://klasma.github.io/Logging_2260/fåglar/A 39638-2024 prioriterade fågelarter.docx", "A 39638-2024")</f>
        <v/>
      </c>
    </row>
    <row r="223" ht="15" customHeight="1">
      <c r="A223" t="inlineStr">
        <is>
          <t>A 54751-2021</t>
        </is>
      </c>
      <c r="B223" s="1" t="n">
        <v>44473</v>
      </c>
      <c r="C223" s="1" t="n">
        <v>46049</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40214-2024</t>
        </is>
      </c>
      <c r="B224" s="1" t="n">
        <v>45554.59460648148</v>
      </c>
      <c r="C224" s="1" t="n">
        <v>46049</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39180-2024</t>
        </is>
      </c>
      <c r="B225" s="1" t="n">
        <v>45548.6571412037</v>
      </c>
      <c r="C225" s="1" t="n">
        <v>46049</v>
      </c>
      <c r="D225" t="inlineStr">
        <is>
          <t>VÄSTERNORRLANDS LÄN</t>
        </is>
      </c>
      <c r="E225" t="inlineStr">
        <is>
          <t>ÅNGE</t>
        </is>
      </c>
      <c r="F225" t="inlineStr">
        <is>
          <t>SCA</t>
        </is>
      </c>
      <c r="G225" t="n">
        <v>8.699999999999999</v>
      </c>
      <c r="H225" t="n">
        <v>0</v>
      </c>
      <c r="I225" t="n">
        <v>0</v>
      </c>
      <c r="J225" t="n">
        <v>1</v>
      </c>
      <c r="K225" t="n">
        <v>0</v>
      </c>
      <c r="L225" t="n">
        <v>0</v>
      </c>
      <c r="M225" t="n">
        <v>0</v>
      </c>
      <c r="N225" t="n">
        <v>0</v>
      </c>
      <c r="O225" t="n">
        <v>1</v>
      </c>
      <c r="P225" t="n">
        <v>0</v>
      </c>
      <c r="Q225" t="n">
        <v>1</v>
      </c>
      <c r="R225" s="2" t="inlineStr">
        <is>
          <t>Lunglav</t>
        </is>
      </c>
      <c r="S225">
        <f>HYPERLINK("https://klasma.github.io/Logging_2260/artfynd/A 39180-2024 artfynd.xlsx", "A 39180-2024")</f>
        <v/>
      </c>
      <c r="T225">
        <f>HYPERLINK("https://klasma.github.io/Logging_2260/kartor/A 39180-2024 karta.png", "A 39180-2024")</f>
        <v/>
      </c>
      <c r="V225">
        <f>HYPERLINK("https://klasma.github.io/Logging_2260/klagomål/A 39180-2024 FSC-klagomål.docx", "A 39180-2024")</f>
        <v/>
      </c>
      <c r="W225">
        <f>HYPERLINK("https://klasma.github.io/Logging_2260/klagomålsmail/A 39180-2024 FSC-klagomål mail.docx", "A 39180-2024")</f>
        <v/>
      </c>
      <c r="X225">
        <f>HYPERLINK("https://klasma.github.io/Logging_2260/tillsyn/A 39180-2024 tillsynsbegäran.docx", "A 39180-2024")</f>
        <v/>
      </c>
      <c r="Y225">
        <f>HYPERLINK("https://klasma.github.io/Logging_2260/tillsynsmail/A 39180-2024 tillsynsbegäran mail.docx", "A 39180-2024")</f>
        <v/>
      </c>
    </row>
    <row r="226" ht="15" customHeight="1">
      <c r="A226" t="inlineStr">
        <is>
          <t>A 39933-2022</t>
        </is>
      </c>
      <c r="B226" s="1" t="n">
        <v>44819</v>
      </c>
      <c r="C226" s="1" t="n">
        <v>46049</v>
      </c>
      <c r="D226" t="inlineStr">
        <is>
          <t>VÄSTERNORRLANDS LÄN</t>
        </is>
      </c>
      <c r="E226" t="inlineStr">
        <is>
          <t>ÅNGE</t>
        </is>
      </c>
      <c r="F226" t="inlineStr">
        <is>
          <t>SCA</t>
        </is>
      </c>
      <c r="G226" t="n">
        <v>13.8</v>
      </c>
      <c r="H226" t="n">
        <v>1</v>
      </c>
      <c r="I226" t="n">
        <v>0</v>
      </c>
      <c r="J226" t="n">
        <v>0</v>
      </c>
      <c r="K226" t="n">
        <v>1</v>
      </c>
      <c r="L226" t="n">
        <v>0</v>
      </c>
      <c r="M226" t="n">
        <v>0</v>
      </c>
      <c r="N226" t="n">
        <v>0</v>
      </c>
      <c r="O226" t="n">
        <v>1</v>
      </c>
      <c r="P226" t="n">
        <v>1</v>
      </c>
      <c r="Q226" t="n">
        <v>1</v>
      </c>
      <c r="R226" s="2" t="inlineStr">
        <is>
          <t>Knärot</t>
        </is>
      </c>
      <c r="S226">
        <f>HYPERLINK("https://klasma.github.io/Logging_2260/artfynd/A 39933-2022 artfynd.xlsx", "A 39933-2022")</f>
        <v/>
      </c>
      <c r="T226">
        <f>HYPERLINK("https://klasma.github.io/Logging_2260/kartor/A 39933-2022 karta.png", "A 39933-2022")</f>
        <v/>
      </c>
      <c r="U226">
        <f>HYPERLINK("https://klasma.github.io/Logging_2260/knärot/A 39933-2022 karta knärot.png", "A 39933-2022")</f>
        <v/>
      </c>
      <c r="V226">
        <f>HYPERLINK("https://klasma.github.io/Logging_2260/klagomål/A 39933-2022 FSC-klagomål.docx", "A 39933-2022")</f>
        <v/>
      </c>
      <c r="W226">
        <f>HYPERLINK("https://klasma.github.io/Logging_2260/klagomålsmail/A 39933-2022 FSC-klagomål mail.docx", "A 39933-2022")</f>
        <v/>
      </c>
      <c r="X226">
        <f>HYPERLINK("https://klasma.github.io/Logging_2260/tillsyn/A 39933-2022 tillsynsbegäran.docx", "A 39933-2022")</f>
        <v/>
      </c>
      <c r="Y226">
        <f>HYPERLINK("https://klasma.github.io/Logging_2260/tillsynsmail/A 39933-2022 tillsynsbegäran mail.docx", "A 39933-2022")</f>
        <v/>
      </c>
    </row>
    <row r="227" ht="15" customHeight="1">
      <c r="A227" t="inlineStr">
        <is>
          <t>A 32457-2024</t>
        </is>
      </c>
      <c r="B227" s="1" t="n">
        <v>45512</v>
      </c>
      <c r="C227" s="1" t="n">
        <v>46049</v>
      </c>
      <c r="D227" t="inlineStr">
        <is>
          <t>VÄSTERNORRLANDS LÄN</t>
        </is>
      </c>
      <c r="E227" t="inlineStr">
        <is>
          <t>ÅNGE</t>
        </is>
      </c>
      <c r="F227" t="inlineStr">
        <is>
          <t>SCA</t>
        </is>
      </c>
      <c r="G227" t="n">
        <v>1.3</v>
      </c>
      <c r="H227" t="n">
        <v>0</v>
      </c>
      <c r="I227" t="n">
        <v>0</v>
      </c>
      <c r="J227" t="n">
        <v>1</v>
      </c>
      <c r="K227" t="n">
        <v>0</v>
      </c>
      <c r="L227" t="n">
        <v>0</v>
      </c>
      <c r="M227" t="n">
        <v>0</v>
      </c>
      <c r="N227" t="n">
        <v>0</v>
      </c>
      <c r="O227" t="n">
        <v>1</v>
      </c>
      <c r="P227" t="n">
        <v>0</v>
      </c>
      <c r="Q227" t="n">
        <v>1</v>
      </c>
      <c r="R227" s="2" t="inlineStr">
        <is>
          <t>Ullticka</t>
        </is>
      </c>
      <c r="S227">
        <f>HYPERLINK("https://klasma.github.io/Logging_2260/artfynd/A 32457-2024 artfynd.xlsx", "A 32457-2024")</f>
        <v/>
      </c>
      <c r="T227">
        <f>HYPERLINK("https://klasma.github.io/Logging_2260/kartor/A 32457-2024 karta.png", "A 32457-2024")</f>
        <v/>
      </c>
      <c r="V227">
        <f>HYPERLINK("https://klasma.github.io/Logging_2260/klagomål/A 32457-2024 FSC-klagomål.docx", "A 32457-2024")</f>
        <v/>
      </c>
      <c r="W227">
        <f>HYPERLINK("https://klasma.github.io/Logging_2260/klagomålsmail/A 32457-2024 FSC-klagomål mail.docx", "A 32457-2024")</f>
        <v/>
      </c>
      <c r="X227">
        <f>HYPERLINK("https://klasma.github.io/Logging_2260/tillsyn/A 32457-2024 tillsynsbegäran.docx", "A 32457-2024")</f>
        <v/>
      </c>
      <c r="Y227">
        <f>HYPERLINK("https://klasma.github.io/Logging_2260/tillsynsmail/A 32457-2024 tillsynsbegäran mail.docx", "A 32457-2024")</f>
        <v/>
      </c>
    </row>
    <row r="228" ht="15" customHeight="1">
      <c r="A228" t="inlineStr">
        <is>
          <t>A 4351-2024</t>
        </is>
      </c>
      <c r="B228" s="1" t="n">
        <v>45324</v>
      </c>
      <c r="C228" s="1" t="n">
        <v>46049</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27308-2024</t>
        </is>
      </c>
      <c r="B229" s="1" t="n">
        <v>45471</v>
      </c>
      <c r="C229" s="1" t="n">
        <v>46049</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23490-2025</t>
        </is>
      </c>
      <c r="B230" s="1" t="n">
        <v>45792.46907407408</v>
      </c>
      <c r="C230" s="1" t="n">
        <v>46049</v>
      </c>
      <c r="D230" t="inlineStr">
        <is>
          <t>VÄSTERNORRLANDS LÄN</t>
        </is>
      </c>
      <c r="E230" t="inlineStr">
        <is>
          <t>ÅNGE</t>
        </is>
      </c>
      <c r="F230" t="inlineStr">
        <is>
          <t>SCA</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HYPERLINK("https://klasma.github.io/Logging_2260/artfynd/A 23490-2025 artfynd.xlsx", "A 23490-2025")</f>
        <v/>
      </c>
      <c r="T230">
        <f>HYPERLINK("https://klasma.github.io/Logging_2260/kartor/A 23490-2025 karta.png", "A 23490-2025")</f>
        <v/>
      </c>
      <c r="V230">
        <f>HYPERLINK("https://klasma.github.io/Logging_2260/klagomål/A 23490-2025 FSC-klagomål.docx", "A 23490-2025")</f>
        <v/>
      </c>
      <c r="W230">
        <f>HYPERLINK("https://klasma.github.io/Logging_2260/klagomålsmail/A 23490-2025 FSC-klagomål mail.docx", "A 23490-2025")</f>
        <v/>
      </c>
      <c r="X230">
        <f>HYPERLINK("https://klasma.github.io/Logging_2260/tillsyn/A 23490-2025 tillsynsbegäran.docx", "A 23490-2025")</f>
        <v/>
      </c>
      <c r="Y230">
        <f>HYPERLINK("https://klasma.github.io/Logging_2260/tillsynsmail/A 23490-2025 tillsynsbegäran mail.docx", "A 23490-2025")</f>
        <v/>
      </c>
    </row>
    <row r="231" ht="15" customHeight="1">
      <c r="A231" t="inlineStr">
        <is>
          <t>A 8057-2021</t>
        </is>
      </c>
      <c r="B231" s="1" t="n">
        <v>44238</v>
      </c>
      <c r="C231" s="1" t="n">
        <v>46049</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46049</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46049</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46049</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46049</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46049</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46049</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46049</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46049</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46049</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46049</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46049</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46049</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46049</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46049</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46049</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46049</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46049</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46049</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46049</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46049</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46049</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46049</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46049</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46049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46049</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46049</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46049</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46049</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46049</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46049</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46049</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46049</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46049</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46049</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46049</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46049</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46049</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46049</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46049</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46049</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46049</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46049</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46049</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46049</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46049</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46049</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46049</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46049</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46049</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46049</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46049</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46049</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46049</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46049</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46049</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46049</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46049</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46049</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46049</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46049</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46049</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46049</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46049</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46049</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46049</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4939-2022</t>
        </is>
      </c>
      <c r="B298" s="1" t="n">
        <v>44593.50019675926</v>
      </c>
      <c r="C298" s="1" t="n">
        <v>46049</v>
      </c>
      <c r="D298" t="inlineStr">
        <is>
          <t>VÄSTERNORRLANDS LÄN</t>
        </is>
      </c>
      <c r="E298" t="inlineStr">
        <is>
          <t>ÅNGE</t>
        </is>
      </c>
      <c r="G298" t="n">
        <v>1.7</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46049</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46049</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46049</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46049</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46049</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46049</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46049</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46049</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46049</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46049</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46049</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46049</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10680-2022</t>
        </is>
      </c>
      <c r="B311" s="1" t="n">
        <v>44624</v>
      </c>
      <c r="C311" s="1" t="n">
        <v>46049</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46049</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46049</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14084-2022</t>
        </is>
      </c>
      <c r="B314" s="1" t="n">
        <v>44651</v>
      </c>
      <c r="C314" s="1" t="n">
        <v>46049</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14091-2022</t>
        </is>
      </c>
      <c r="B315" s="1" t="n">
        <v>44651</v>
      </c>
      <c r="C315" s="1" t="n">
        <v>46049</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21189-2021</t>
        </is>
      </c>
      <c r="B316" s="1" t="n">
        <v>44320</v>
      </c>
      <c r="C316" s="1" t="n">
        <v>46049</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46049</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46049</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46049</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46049</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46049</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46049</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46049</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46049</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46049</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46049</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46049</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46049</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46049</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46049</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46049</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46049</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46049</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46049</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46049</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46049</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46049</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46049</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46049</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46049</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46049</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46049</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46049</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46049</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7633-2022</t>
        </is>
      </c>
      <c r="B345" s="1" t="n">
        <v>44607.71378472223</v>
      </c>
      <c r="C345" s="1" t="n">
        <v>46049</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47660-2022</t>
        </is>
      </c>
      <c r="B346" s="1" t="n">
        <v>44854.45766203704</v>
      </c>
      <c r="C346" s="1" t="n">
        <v>46049</v>
      </c>
      <c r="D346" t="inlineStr">
        <is>
          <t>VÄSTERNORRLANDS LÄN</t>
        </is>
      </c>
      <c r="E346" t="inlineStr">
        <is>
          <t>ÅNGE</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50710-2021</t>
        </is>
      </c>
      <c r="B347" s="1" t="n">
        <v>44460.366875</v>
      </c>
      <c r="C347" s="1" t="n">
        <v>46049</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40476-2022</t>
        </is>
      </c>
      <c r="B348" s="1" t="n">
        <v>44823.54685185185</v>
      </c>
      <c r="C348" s="1" t="n">
        <v>46049</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46049</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57418-2021</t>
        </is>
      </c>
      <c r="B350" s="1" t="n">
        <v>44483</v>
      </c>
      <c r="C350" s="1" t="n">
        <v>46049</v>
      </c>
      <c r="D350" t="inlineStr">
        <is>
          <t>VÄSTERNORRLANDS LÄN</t>
        </is>
      </c>
      <c r="E350" t="inlineStr">
        <is>
          <t>ÅNGE</t>
        </is>
      </c>
      <c r="G350" t="n">
        <v>4.4</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46049</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53664-2022</t>
        </is>
      </c>
      <c r="B352" s="1" t="n">
        <v>44879.95643518519</v>
      </c>
      <c r="C352" s="1" t="n">
        <v>46049</v>
      </c>
      <c r="D352" t="inlineStr">
        <is>
          <t>VÄSTERNORRLANDS LÄN</t>
        </is>
      </c>
      <c r="E352" t="inlineStr">
        <is>
          <t>ÅNGE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1297-2022</t>
        </is>
      </c>
      <c r="B353" s="1" t="n">
        <v>44572.69135416667</v>
      </c>
      <c r="C353" s="1" t="n">
        <v>46049</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10342-2021</t>
        </is>
      </c>
      <c r="B354" s="1" t="n">
        <v>44257</v>
      </c>
      <c r="C354" s="1" t="n">
        <v>46049</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46049</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46049</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46049</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46049</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70899-2021</t>
        </is>
      </c>
      <c r="B359" s="1" t="n">
        <v>44537</v>
      </c>
      <c r="C359" s="1" t="n">
        <v>46049</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46049</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46049</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46049</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14587-2021</t>
        </is>
      </c>
      <c r="B363" s="1" t="n">
        <v>44279.91825231481</v>
      </c>
      <c r="C363" s="1" t="n">
        <v>46049</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46049</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45145-2021</t>
        </is>
      </c>
      <c r="B365" s="1" t="n">
        <v>44439</v>
      </c>
      <c r="C365" s="1" t="n">
        <v>46049</v>
      </c>
      <c r="D365" t="inlineStr">
        <is>
          <t>VÄSTERNORRLANDS LÄN</t>
        </is>
      </c>
      <c r="E365" t="inlineStr">
        <is>
          <t>ÅNGE</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46049</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46049</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44412-2022</t>
        </is>
      </c>
      <c r="B368" s="1" t="n">
        <v>44839.92626157407</v>
      </c>
      <c r="C368" s="1" t="n">
        <v>46049</v>
      </c>
      <c r="D368" t="inlineStr">
        <is>
          <t>VÄSTERNORRLANDS LÄN</t>
        </is>
      </c>
      <c r="E368" t="inlineStr">
        <is>
          <t>ÅNGE</t>
        </is>
      </c>
      <c r="G368" t="n">
        <v>1.6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46049</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27953-2021</t>
        </is>
      </c>
      <c r="B370" s="1" t="n">
        <v>44354.9209375</v>
      </c>
      <c r="C370" s="1" t="n">
        <v>46049</v>
      </c>
      <c r="D370" t="inlineStr">
        <is>
          <t>VÄSTERNORRLANDS LÄN</t>
        </is>
      </c>
      <c r="E370" t="inlineStr">
        <is>
          <t>ÅNGE</t>
        </is>
      </c>
      <c r="G370" t="n">
        <v>2.9</v>
      </c>
      <c r="H370" t="n">
        <v>0</v>
      </c>
      <c r="I370" t="n">
        <v>0</v>
      </c>
      <c r="J370" t="n">
        <v>0</v>
      </c>
      <c r="K370" t="n">
        <v>0</v>
      </c>
      <c r="L370" t="n">
        <v>0</v>
      </c>
      <c r="M370" t="n">
        <v>0</v>
      </c>
      <c r="N370" t="n">
        <v>0</v>
      </c>
      <c r="O370" t="n">
        <v>0</v>
      </c>
      <c r="P370" t="n">
        <v>0</v>
      </c>
      <c r="Q370" t="n">
        <v>0</v>
      </c>
      <c r="R370" s="2" t="inlineStr"/>
    </row>
    <row r="371" ht="15" customHeight="1">
      <c r="A371" t="inlineStr">
        <is>
          <t>A 17044-2022</t>
        </is>
      </c>
      <c r="B371" s="1" t="n">
        <v>44676</v>
      </c>
      <c r="C371" s="1" t="n">
        <v>46049</v>
      </c>
      <c r="D371" t="inlineStr">
        <is>
          <t>VÄSTERNORRLANDS LÄN</t>
        </is>
      </c>
      <c r="E371" t="inlineStr">
        <is>
          <t>ÅNGE</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46049</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50640-2022</t>
        </is>
      </c>
      <c r="B373" s="1" t="n">
        <v>44866.94734953704</v>
      </c>
      <c r="C373" s="1" t="n">
        <v>46049</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46049</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46049</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46049</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46049</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46049</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18422-2021</t>
        </is>
      </c>
      <c r="B379" s="1" t="n">
        <v>44305</v>
      </c>
      <c r="C379" s="1" t="n">
        <v>46049</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46049</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46049</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46049</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46049</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46049</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46049</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53549-2023</t>
        </is>
      </c>
      <c r="B386" s="1" t="n">
        <v>45230</v>
      </c>
      <c r="C386" s="1" t="n">
        <v>46049</v>
      </c>
      <c r="D386" t="inlineStr">
        <is>
          <t>VÄSTERNORRLANDS LÄN</t>
        </is>
      </c>
      <c r="E386" t="inlineStr">
        <is>
          <t>ÅNGE</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51810-2023</t>
        </is>
      </c>
      <c r="B387" s="1" t="n">
        <v>45222.96583333334</v>
      </c>
      <c r="C387" s="1" t="n">
        <v>46049</v>
      </c>
      <c r="D387" t="inlineStr">
        <is>
          <t>VÄSTERNORRLANDS LÄN</t>
        </is>
      </c>
      <c r="E387" t="inlineStr">
        <is>
          <t>ÅNGE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16978-2024</t>
        </is>
      </c>
      <c r="B388" s="1" t="n">
        <v>45412.02416666667</v>
      </c>
      <c r="C388" s="1" t="n">
        <v>46049</v>
      </c>
      <c r="D388" t="inlineStr">
        <is>
          <t>VÄSTERNORRLANDS LÄN</t>
        </is>
      </c>
      <c r="E388" t="inlineStr">
        <is>
          <t>ÅNGE</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31325-2022</t>
        </is>
      </c>
      <c r="B389" s="1" t="n">
        <v>44774.41421296296</v>
      </c>
      <c r="C389" s="1" t="n">
        <v>46049</v>
      </c>
      <c r="D389" t="inlineStr">
        <is>
          <t>VÄSTERNORRLANDS LÄN</t>
        </is>
      </c>
      <c r="E389" t="inlineStr">
        <is>
          <t>ÅNGE</t>
        </is>
      </c>
      <c r="G389" t="n">
        <v>6.3</v>
      </c>
      <c r="H389" t="n">
        <v>0</v>
      </c>
      <c r="I389" t="n">
        <v>0</v>
      </c>
      <c r="J389" t="n">
        <v>0</v>
      </c>
      <c r="K389" t="n">
        <v>0</v>
      </c>
      <c r="L389" t="n">
        <v>0</v>
      </c>
      <c r="M389" t="n">
        <v>0</v>
      </c>
      <c r="N389" t="n">
        <v>0</v>
      </c>
      <c r="O389" t="n">
        <v>0</v>
      </c>
      <c r="P389" t="n">
        <v>0</v>
      </c>
      <c r="Q389" t="n">
        <v>0</v>
      </c>
      <c r="R389" s="2" t="inlineStr"/>
    </row>
    <row r="390" ht="15" customHeight="1">
      <c r="A390" t="inlineStr">
        <is>
          <t>A 15369-2024</t>
        </is>
      </c>
      <c r="B390" s="1" t="n">
        <v>45400.92290509259</v>
      </c>
      <c r="C390" s="1" t="n">
        <v>46049</v>
      </c>
      <c r="D390" t="inlineStr">
        <is>
          <t>VÄSTERNORRLANDS LÄN</t>
        </is>
      </c>
      <c r="E390" t="inlineStr">
        <is>
          <t>ÅNGE</t>
        </is>
      </c>
      <c r="G390" t="n">
        <v>0.4</v>
      </c>
      <c r="H390" t="n">
        <v>0</v>
      </c>
      <c r="I390" t="n">
        <v>0</v>
      </c>
      <c r="J390" t="n">
        <v>0</v>
      </c>
      <c r="K390" t="n">
        <v>0</v>
      </c>
      <c r="L390" t="n">
        <v>0</v>
      </c>
      <c r="M390" t="n">
        <v>0</v>
      </c>
      <c r="N390" t="n">
        <v>0</v>
      </c>
      <c r="O390" t="n">
        <v>0</v>
      </c>
      <c r="P390" t="n">
        <v>0</v>
      </c>
      <c r="Q390" t="n">
        <v>0</v>
      </c>
      <c r="R390" s="2" t="inlineStr"/>
    </row>
    <row r="391" ht="15" customHeight="1">
      <c r="A391" t="inlineStr">
        <is>
          <t>A 31696-2022</t>
        </is>
      </c>
      <c r="B391" s="1" t="n">
        <v>44776</v>
      </c>
      <c r="C391" s="1" t="n">
        <v>46049</v>
      </c>
      <c r="D391" t="inlineStr">
        <is>
          <t>VÄSTERNORRLANDS LÄN</t>
        </is>
      </c>
      <c r="E391" t="inlineStr">
        <is>
          <t>ÅNGE</t>
        </is>
      </c>
      <c r="G391" t="n">
        <v>1.8</v>
      </c>
      <c r="H391" t="n">
        <v>0</v>
      </c>
      <c r="I391" t="n">
        <v>0</v>
      </c>
      <c r="J391" t="n">
        <v>0</v>
      </c>
      <c r="K391" t="n">
        <v>0</v>
      </c>
      <c r="L391" t="n">
        <v>0</v>
      </c>
      <c r="M391" t="n">
        <v>0</v>
      </c>
      <c r="N391" t="n">
        <v>0</v>
      </c>
      <c r="O391" t="n">
        <v>0</v>
      </c>
      <c r="P391" t="n">
        <v>0</v>
      </c>
      <c r="Q391" t="n">
        <v>0</v>
      </c>
      <c r="R391" s="2" t="inlineStr"/>
    </row>
    <row r="392" ht="15" customHeight="1">
      <c r="A392" t="inlineStr">
        <is>
          <t>A 58634-2023</t>
        </is>
      </c>
      <c r="B392" s="1" t="n">
        <v>45251</v>
      </c>
      <c r="C392" s="1" t="n">
        <v>46049</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9605-2025</t>
        </is>
      </c>
      <c r="B393" s="1" t="n">
        <v>45715.65657407408</v>
      </c>
      <c r="C393" s="1" t="n">
        <v>46049</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63709-2023</t>
        </is>
      </c>
      <c r="B394" s="1" t="n">
        <v>45275.95069444444</v>
      </c>
      <c r="C394" s="1" t="n">
        <v>46049</v>
      </c>
      <c r="D394" t="inlineStr">
        <is>
          <t>VÄSTERNORRLANDS LÄN</t>
        </is>
      </c>
      <c r="E394" t="inlineStr">
        <is>
          <t>ÅNGE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20108-2025</t>
        </is>
      </c>
      <c r="B395" s="1" t="n">
        <v>45772.47006944445</v>
      </c>
      <c r="C395" s="1" t="n">
        <v>46049</v>
      </c>
      <c r="D395" t="inlineStr">
        <is>
          <t>VÄSTERNORRLANDS LÄN</t>
        </is>
      </c>
      <c r="E395" t="inlineStr">
        <is>
          <t>ÅNGE</t>
        </is>
      </c>
      <c r="F395" t="inlineStr">
        <is>
          <t>Naturvårdsverket</t>
        </is>
      </c>
      <c r="G395" t="n">
        <v>2</v>
      </c>
      <c r="H395" t="n">
        <v>0</v>
      </c>
      <c r="I395" t="n">
        <v>0</v>
      </c>
      <c r="J395" t="n">
        <v>0</v>
      </c>
      <c r="K395" t="n">
        <v>0</v>
      </c>
      <c r="L395" t="n">
        <v>0</v>
      </c>
      <c r="M395" t="n">
        <v>0</v>
      </c>
      <c r="N395" t="n">
        <v>0</v>
      </c>
      <c r="O395" t="n">
        <v>0</v>
      </c>
      <c r="P395" t="n">
        <v>0</v>
      </c>
      <c r="Q395" t="n">
        <v>0</v>
      </c>
      <c r="R395" s="2" t="inlineStr"/>
    </row>
    <row r="396" ht="15" customHeight="1">
      <c r="A396" t="inlineStr">
        <is>
          <t>A 34091-2022</t>
        </is>
      </c>
      <c r="B396" s="1" t="n">
        <v>44791</v>
      </c>
      <c r="C396" s="1" t="n">
        <v>46049</v>
      </c>
      <c r="D396" t="inlineStr">
        <is>
          <t>VÄSTERNORRLANDS LÄN</t>
        </is>
      </c>
      <c r="E396" t="inlineStr">
        <is>
          <t>ÅNGE</t>
        </is>
      </c>
      <c r="G396" t="n">
        <v>10.1</v>
      </c>
      <c r="H396" t="n">
        <v>0</v>
      </c>
      <c r="I396" t="n">
        <v>0</v>
      </c>
      <c r="J396" t="n">
        <v>0</v>
      </c>
      <c r="K396" t="n">
        <v>0</v>
      </c>
      <c r="L396" t="n">
        <v>0</v>
      </c>
      <c r="M396" t="n">
        <v>0</v>
      </c>
      <c r="N396" t="n">
        <v>0</v>
      </c>
      <c r="O396" t="n">
        <v>0</v>
      </c>
      <c r="P396" t="n">
        <v>0</v>
      </c>
      <c r="Q396" t="n">
        <v>0</v>
      </c>
      <c r="R396" s="2" t="inlineStr"/>
    </row>
    <row r="397" ht="15" customHeight="1">
      <c r="A397" t="inlineStr">
        <is>
          <t>A 54342-2023</t>
        </is>
      </c>
      <c r="B397" s="1" t="n">
        <v>45232</v>
      </c>
      <c r="C397" s="1" t="n">
        <v>46049</v>
      </c>
      <c r="D397" t="inlineStr">
        <is>
          <t>VÄSTERNORRLANDS LÄN</t>
        </is>
      </c>
      <c r="E397" t="inlineStr">
        <is>
          <t>ÅNGE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46049</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16853-2023</t>
        </is>
      </c>
      <c r="B399" s="1" t="n">
        <v>45033</v>
      </c>
      <c r="C399" s="1" t="n">
        <v>46049</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2365-2024</t>
        </is>
      </c>
      <c r="B400" s="1" t="n">
        <v>45310.59778935185</v>
      </c>
      <c r="C400" s="1" t="n">
        <v>46049</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2372-2024</t>
        </is>
      </c>
      <c r="B401" s="1" t="n">
        <v>45310.6115625</v>
      </c>
      <c r="C401" s="1" t="n">
        <v>46049</v>
      </c>
      <c r="D401" t="inlineStr">
        <is>
          <t>VÄSTERNORRLANDS LÄN</t>
        </is>
      </c>
      <c r="E401" t="inlineStr">
        <is>
          <t>ÅNGE</t>
        </is>
      </c>
      <c r="G401" t="n">
        <v>5.6</v>
      </c>
      <c r="H401" t="n">
        <v>0</v>
      </c>
      <c r="I401" t="n">
        <v>0</v>
      </c>
      <c r="J401" t="n">
        <v>0</v>
      </c>
      <c r="K401" t="n">
        <v>0</v>
      </c>
      <c r="L401" t="n">
        <v>0</v>
      </c>
      <c r="M401" t="n">
        <v>0</v>
      </c>
      <c r="N401" t="n">
        <v>0</v>
      </c>
      <c r="O401" t="n">
        <v>0</v>
      </c>
      <c r="P401" t="n">
        <v>0</v>
      </c>
      <c r="Q401" t="n">
        <v>0</v>
      </c>
      <c r="R401" s="2" t="inlineStr"/>
    </row>
    <row r="402" ht="15" customHeight="1">
      <c r="A402" t="inlineStr">
        <is>
          <t>A 17452-2025</t>
        </is>
      </c>
      <c r="B402" s="1" t="n">
        <v>45757.44842592593</v>
      </c>
      <c r="C402" s="1" t="n">
        <v>46049</v>
      </c>
      <c r="D402" t="inlineStr">
        <is>
          <t>VÄSTERNORRLANDS LÄN</t>
        </is>
      </c>
      <c r="E402" t="inlineStr">
        <is>
          <t>ÅNGE</t>
        </is>
      </c>
      <c r="F402" t="inlineStr">
        <is>
          <t>SCA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46049</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46049</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46255-2023</t>
        </is>
      </c>
      <c r="B405" s="1" t="n">
        <v>45196</v>
      </c>
      <c r="C405" s="1" t="n">
        <v>46049</v>
      </c>
      <c r="D405" t="inlineStr">
        <is>
          <t>VÄSTERNORRLANDS LÄN</t>
        </is>
      </c>
      <c r="E405" t="inlineStr">
        <is>
          <t>ÅNGE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20761-2024</t>
        </is>
      </c>
      <c r="B406" s="1" t="n">
        <v>45436</v>
      </c>
      <c r="C406" s="1" t="n">
        <v>46049</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21200-2024</t>
        </is>
      </c>
      <c r="B407" s="1" t="n">
        <v>45440</v>
      </c>
      <c r="C407" s="1" t="n">
        <v>46049</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42857-2022</t>
        </is>
      </c>
      <c r="B408" s="1" t="n">
        <v>44832</v>
      </c>
      <c r="C408" s="1" t="n">
        <v>46049</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51383-2022</t>
        </is>
      </c>
      <c r="B409" s="1" t="n">
        <v>44866</v>
      </c>
      <c r="C409" s="1" t="n">
        <v>46049</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51393-2022</t>
        </is>
      </c>
      <c r="B410" s="1" t="n">
        <v>44869.43277777778</v>
      </c>
      <c r="C410" s="1" t="n">
        <v>46049</v>
      </c>
      <c r="D410" t="inlineStr">
        <is>
          <t>VÄSTERNORRLANDS LÄN</t>
        </is>
      </c>
      <c r="E410" t="inlineStr">
        <is>
          <t>ÅNGE</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15287-2025</t>
        </is>
      </c>
      <c r="B411" s="1" t="n">
        <v>45745</v>
      </c>
      <c r="C411" s="1" t="n">
        <v>46049</v>
      </c>
      <c r="D411" t="inlineStr">
        <is>
          <t>VÄSTERNORRLANDS LÄN</t>
        </is>
      </c>
      <c r="E411" t="inlineStr">
        <is>
          <t>ÅNGE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15288-2025</t>
        </is>
      </c>
      <c r="B412" s="1" t="n">
        <v>45745.34423611111</v>
      </c>
      <c r="C412" s="1" t="n">
        <v>46049</v>
      </c>
      <c r="D412" t="inlineStr">
        <is>
          <t>VÄSTERNORRLANDS LÄN</t>
        </is>
      </c>
      <c r="E412" t="inlineStr">
        <is>
          <t>ÅNGE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18869-2024</t>
        </is>
      </c>
      <c r="B413" s="1" t="n">
        <v>45426</v>
      </c>
      <c r="C413" s="1" t="n">
        <v>46049</v>
      </c>
      <c r="D413" t="inlineStr">
        <is>
          <t>VÄSTERNORRLANDS LÄN</t>
        </is>
      </c>
      <c r="E413" t="inlineStr">
        <is>
          <t>ÅNGE</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24797-2024</t>
        </is>
      </c>
      <c r="B414" s="1" t="n">
        <v>45460.95269675926</v>
      </c>
      <c r="C414" s="1" t="n">
        <v>46049</v>
      </c>
      <c r="D414" t="inlineStr">
        <is>
          <t>VÄSTERNORRLANDS LÄN</t>
        </is>
      </c>
      <c r="E414" t="inlineStr">
        <is>
          <t>ÅNGE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58997-2023</t>
        </is>
      </c>
      <c r="B415" s="1" t="n">
        <v>45252.6352662037</v>
      </c>
      <c r="C415" s="1" t="n">
        <v>46049</v>
      </c>
      <c r="D415" t="inlineStr">
        <is>
          <t>VÄSTERNORRLANDS LÄN</t>
        </is>
      </c>
      <c r="E415" t="inlineStr">
        <is>
          <t>ÅNGE</t>
        </is>
      </c>
      <c r="F415" t="inlineStr">
        <is>
          <t>Övriga Aktiebolag</t>
        </is>
      </c>
      <c r="G415" t="n">
        <v>2.1</v>
      </c>
      <c r="H415" t="n">
        <v>0</v>
      </c>
      <c r="I415" t="n">
        <v>0</v>
      </c>
      <c r="J415" t="n">
        <v>0</v>
      </c>
      <c r="K415" t="n">
        <v>0</v>
      </c>
      <c r="L415" t="n">
        <v>0</v>
      </c>
      <c r="M415" t="n">
        <v>0</v>
      </c>
      <c r="N415" t="n">
        <v>0</v>
      </c>
      <c r="O415" t="n">
        <v>0</v>
      </c>
      <c r="P415" t="n">
        <v>0</v>
      </c>
      <c r="Q415" t="n">
        <v>0</v>
      </c>
      <c r="R415" s="2" t="inlineStr"/>
    </row>
    <row r="416" ht="15" customHeight="1">
      <c r="A416" t="inlineStr">
        <is>
          <t>A 22680-2024</t>
        </is>
      </c>
      <c r="B416" s="1" t="n">
        <v>45447.94548611111</v>
      </c>
      <c r="C416" s="1" t="n">
        <v>46049</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47792-2022</t>
        </is>
      </c>
      <c r="B417" s="1" t="n">
        <v>44854.95238425926</v>
      </c>
      <c r="C417" s="1" t="n">
        <v>46049</v>
      </c>
      <c r="D417" t="inlineStr">
        <is>
          <t>VÄSTERNORRLANDS LÄN</t>
        </is>
      </c>
      <c r="E417" t="inlineStr">
        <is>
          <t>ÅNGE</t>
        </is>
      </c>
      <c r="F417" t="inlineStr">
        <is>
          <t>SCA</t>
        </is>
      </c>
      <c r="G417" t="n">
        <v>10.9</v>
      </c>
      <c r="H417" t="n">
        <v>0</v>
      </c>
      <c r="I417" t="n">
        <v>0</v>
      </c>
      <c r="J417" t="n">
        <v>0</v>
      </c>
      <c r="K417" t="n">
        <v>0</v>
      </c>
      <c r="L417" t="n">
        <v>0</v>
      </c>
      <c r="M417" t="n">
        <v>0</v>
      </c>
      <c r="N417" t="n">
        <v>0</v>
      </c>
      <c r="O417" t="n">
        <v>0</v>
      </c>
      <c r="P417" t="n">
        <v>0</v>
      </c>
      <c r="Q417" t="n">
        <v>0</v>
      </c>
      <c r="R417" s="2" t="inlineStr"/>
    </row>
    <row r="418" ht="15" customHeight="1">
      <c r="A418" t="inlineStr">
        <is>
          <t>A 23035-2024</t>
        </is>
      </c>
      <c r="B418" s="1" t="n">
        <v>45450.39016203704</v>
      </c>
      <c r="C418" s="1" t="n">
        <v>46049</v>
      </c>
      <c r="D418" t="inlineStr">
        <is>
          <t>VÄSTERNORRLANDS LÄN</t>
        </is>
      </c>
      <c r="E418" t="inlineStr">
        <is>
          <t>ÅNGE</t>
        </is>
      </c>
      <c r="G418" t="n">
        <v>12.1</v>
      </c>
      <c r="H418" t="n">
        <v>0</v>
      </c>
      <c r="I418" t="n">
        <v>0</v>
      </c>
      <c r="J418" t="n">
        <v>0</v>
      </c>
      <c r="K418" t="n">
        <v>0</v>
      </c>
      <c r="L418" t="n">
        <v>0</v>
      </c>
      <c r="M418" t="n">
        <v>0</v>
      </c>
      <c r="N418" t="n">
        <v>0</v>
      </c>
      <c r="O418" t="n">
        <v>0</v>
      </c>
      <c r="P418" t="n">
        <v>0</v>
      </c>
      <c r="Q418" t="n">
        <v>0</v>
      </c>
      <c r="R418" s="2" t="inlineStr"/>
    </row>
    <row r="419" ht="15" customHeight="1">
      <c r="A419" t="inlineStr">
        <is>
          <t>A 23063-2024</t>
        </is>
      </c>
      <c r="B419" s="1" t="n">
        <v>45450.44278935185</v>
      </c>
      <c r="C419" s="1" t="n">
        <v>46049</v>
      </c>
      <c r="D419" t="inlineStr">
        <is>
          <t>VÄSTERNORRLANDS LÄN</t>
        </is>
      </c>
      <c r="E419" t="inlineStr">
        <is>
          <t>ÅNGE</t>
        </is>
      </c>
      <c r="G419" t="n">
        <v>0.8</v>
      </c>
      <c r="H419" t="n">
        <v>0</v>
      </c>
      <c r="I419" t="n">
        <v>0</v>
      </c>
      <c r="J419" t="n">
        <v>0</v>
      </c>
      <c r="K419" t="n">
        <v>0</v>
      </c>
      <c r="L419" t="n">
        <v>0</v>
      </c>
      <c r="M419" t="n">
        <v>0</v>
      </c>
      <c r="N419" t="n">
        <v>0</v>
      </c>
      <c r="O419" t="n">
        <v>0</v>
      </c>
      <c r="P419" t="n">
        <v>0</v>
      </c>
      <c r="Q419" t="n">
        <v>0</v>
      </c>
      <c r="R419" s="2" t="inlineStr"/>
    </row>
    <row r="420" ht="15" customHeight="1">
      <c r="A420" t="inlineStr">
        <is>
          <t>A 12581-2024</t>
        </is>
      </c>
      <c r="B420" s="1" t="n">
        <v>45379</v>
      </c>
      <c r="C420" s="1" t="n">
        <v>46049</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24231-2024</t>
        </is>
      </c>
      <c r="B421" s="1" t="n">
        <v>45457.34393518518</v>
      </c>
      <c r="C421" s="1" t="n">
        <v>46049</v>
      </c>
      <c r="D421" t="inlineStr">
        <is>
          <t>VÄSTERNORRLANDS LÄN</t>
        </is>
      </c>
      <c r="E421" t="inlineStr">
        <is>
          <t>ÅNGE</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25023-2022</t>
        </is>
      </c>
      <c r="B422" s="1" t="n">
        <v>44728</v>
      </c>
      <c r="C422" s="1" t="n">
        <v>46049</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34815-2024</t>
        </is>
      </c>
      <c r="B423" s="1" t="n">
        <v>45526.70732638889</v>
      </c>
      <c r="C423" s="1" t="n">
        <v>46049</v>
      </c>
      <c r="D423" t="inlineStr">
        <is>
          <t>VÄSTERNORRLANDS LÄN</t>
        </is>
      </c>
      <c r="E423" t="inlineStr">
        <is>
          <t>ÅNGE</t>
        </is>
      </c>
      <c r="G423" t="n">
        <v>1.3</v>
      </c>
      <c r="H423" t="n">
        <v>0</v>
      </c>
      <c r="I423" t="n">
        <v>0</v>
      </c>
      <c r="J423" t="n">
        <v>0</v>
      </c>
      <c r="K423" t="n">
        <v>0</v>
      </c>
      <c r="L423" t="n">
        <v>0</v>
      </c>
      <c r="M423" t="n">
        <v>0</v>
      </c>
      <c r="N423" t="n">
        <v>0</v>
      </c>
      <c r="O423" t="n">
        <v>0</v>
      </c>
      <c r="P423" t="n">
        <v>0</v>
      </c>
      <c r="Q423" t="n">
        <v>0</v>
      </c>
      <c r="R423" s="2" t="inlineStr"/>
    </row>
    <row r="424" ht="15" customHeight="1">
      <c r="A424" t="inlineStr">
        <is>
          <t>A 56399-2022</t>
        </is>
      </c>
      <c r="B424" s="1" t="n">
        <v>44890</v>
      </c>
      <c r="C424" s="1" t="n">
        <v>46049</v>
      </c>
      <c r="D424" t="inlineStr">
        <is>
          <t>VÄSTERNORRLANDS LÄN</t>
        </is>
      </c>
      <c r="E424" t="inlineStr">
        <is>
          <t>ÅNGE</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9567-2024</t>
        </is>
      </c>
      <c r="B425" s="1" t="n">
        <v>45360.03635416667</v>
      </c>
      <c r="C425" s="1" t="n">
        <v>46049</v>
      </c>
      <c r="D425" t="inlineStr">
        <is>
          <t>VÄSTERNORRLANDS LÄN</t>
        </is>
      </c>
      <c r="E425" t="inlineStr">
        <is>
          <t>ÅNGE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13773-2024</t>
        </is>
      </c>
      <c r="B426" s="1" t="n">
        <v>45390.95297453704</v>
      </c>
      <c r="C426" s="1" t="n">
        <v>46049</v>
      </c>
      <c r="D426" t="inlineStr">
        <is>
          <t>VÄSTERNORRLANDS LÄN</t>
        </is>
      </c>
      <c r="E426" t="inlineStr">
        <is>
          <t>ÅNGE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1420-2023</t>
        </is>
      </c>
      <c r="B427" s="1" t="n">
        <v>44936.92762731481</v>
      </c>
      <c r="C427" s="1" t="n">
        <v>46049</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51311-2022</t>
        </is>
      </c>
      <c r="B428" s="1" t="n">
        <v>44868</v>
      </c>
      <c r="C428" s="1" t="n">
        <v>46049</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33428-2023</t>
        </is>
      </c>
      <c r="B429" s="1" t="n">
        <v>45128.94976851852</v>
      </c>
      <c r="C429" s="1" t="n">
        <v>46049</v>
      </c>
      <c r="D429" t="inlineStr">
        <is>
          <t>VÄSTERNORRLANDS LÄN</t>
        </is>
      </c>
      <c r="E429" t="inlineStr">
        <is>
          <t>ÅNGE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60205-2023</t>
        </is>
      </c>
      <c r="B430" s="1" t="n">
        <v>45257</v>
      </c>
      <c r="C430" s="1" t="n">
        <v>46049</v>
      </c>
      <c r="D430" t="inlineStr">
        <is>
          <t>VÄSTERNORRLANDS LÄN</t>
        </is>
      </c>
      <c r="E430" t="inlineStr">
        <is>
          <t>ÅNGE</t>
        </is>
      </c>
      <c r="G430" t="n">
        <v>2.1</v>
      </c>
      <c r="H430" t="n">
        <v>0</v>
      </c>
      <c r="I430" t="n">
        <v>0</v>
      </c>
      <c r="J430" t="n">
        <v>0</v>
      </c>
      <c r="K430" t="n">
        <v>0</v>
      </c>
      <c r="L430" t="n">
        <v>0</v>
      </c>
      <c r="M430" t="n">
        <v>0</v>
      </c>
      <c r="N430" t="n">
        <v>0</v>
      </c>
      <c r="O430" t="n">
        <v>0</v>
      </c>
      <c r="P430" t="n">
        <v>0</v>
      </c>
      <c r="Q430" t="n">
        <v>0</v>
      </c>
      <c r="R430" s="2" t="inlineStr"/>
    </row>
    <row r="431" ht="15" customHeight="1">
      <c r="A431" t="inlineStr">
        <is>
          <t>A 28506-2024</t>
        </is>
      </c>
      <c r="B431" s="1" t="n">
        <v>45477.9475</v>
      </c>
      <c r="C431" s="1" t="n">
        <v>46049</v>
      </c>
      <c r="D431" t="inlineStr">
        <is>
          <t>VÄSTERNORRLANDS LÄN</t>
        </is>
      </c>
      <c r="E431" t="inlineStr">
        <is>
          <t>ÅNGE</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11088-2024</t>
        </is>
      </c>
      <c r="B432" s="1" t="n">
        <v>45370</v>
      </c>
      <c r="C432" s="1" t="n">
        <v>46049</v>
      </c>
      <c r="D432" t="inlineStr">
        <is>
          <t>VÄSTERNORRLANDS LÄN</t>
        </is>
      </c>
      <c r="E432" t="inlineStr">
        <is>
          <t>ÅNGE</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33631-2024</t>
        </is>
      </c>
      <c r="B433" s="1" t="n">
        <v>45520</v>
      </c>
      <c r="C433" s="1" t="n">
        <v>46049</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26012-2024</t>
        </is>
      </c>
      <c r="B434" s="1" t="n">
        <v>45467</v>
      </c>
      <c r="C434" s="1" t="n">
        <v>46049</v>
      </c>
      <c r="D434" t="inlineStr">
        <is>
          <t>VÄSTERNORRLANDS LÄN</t>
        </is>
      </c>
      <c r="E434" t="inlineStr">
        <is>
          <t>ÅNGE</t>
        </is>
      </c>
      <c r="F434" t="inlineStr">
        <is>
          <t>SCA</t>
        </is>
      </c>
      <c r="G434" t="n">
        <v>7.5</v>
      </c>
      <c r="H434" t="n">
        <v>0</v>
      </c>
      <c r="I434" t="n">
        <v>0</v>
      </c>
      <c r="J434" t="n">
        <v>0</v>
      </c>
      <c r="K434" t="n">
        <v>0</v>
      </c>
      <c r="L434" t="n">
        <v>0</v>
      </c>
      <c r="M434" t="n">
        <v>0</v>
      </c>
      <c r="N434" t="n">
        <v>0</v>
      </c>
      <c r="O434" t="n">
        <v>0</v>
      </c>
      <c r="P434" t="n">
        <v>0</v>
      </c>
      <c r="Q434" t="n">
        <v>0</v>
      </c>
      <c r="R434" s="2" t="inlineStr"/>
    </row>
    <row r="435" ht="15" customHeight="1">
      <c r="A435" t="inlineStr">
        <is>
          <t>A 44876-2024</t>
        </is>
      </c>
      <c r="B435" s="1" t="n">
        <v>45575.34474537037</v>
      </c>
      <c r="C435" s="1" t="n">
        <v>46049</v>
      </c>
      <c r="D435" t="inlineStr">
        <is>
          <t>VÄSTERNORRLANDS LÄN</t>
        </is>
      </c>
      <c r="E435" t="inlineStr">
        <is>
          <t>ÅNGE</t>
        </is>
      </c>
      <c r="F435" t="inlineStr">
        <is>
          <t>SCA</t>
        </is>
      </c>
      <c r="G435" t="n">
        <v>12.4</v>
      </c>
      <c r="H435" t="n">
        <v>0</v>
      </c>
      <c r="I435" t="n">
        <v>0</v>
      </c>
      <c r="J435" t="n">
        <v>0</v>
      </c>
      <c r="K435" t="n">
        <v>0</v>
      </c>
      <c r="L435" t="n">
        <v>0</v>
      </c>
      <c r="M435" t="n">
        <v>0</v>
      </c>
      <c r="N435" t="n">
        <v>0</v>
      </c>
      <c r="O435" t="n">
        <v>0</v>
      </c>
      <c r="P435" t="n">
        <v>0</v>
      </c>
      <c r="Q435" t="n">
        <v>0</v>
      </c>
      <c r="R435" s="2" t="inlineStr"/>
    </row>
    <row r="436" ht="15" customHeight="1">
      <c r="A436" t="inlineStr">
        <is>
          <t>A 30348-2024</t>
        </is>
      </c>
      <c r="B436" s="1" t="n">
        <v>45490.95524305556</v>
      </c>
      <c r="C436" s="1" t="n">
        <v>46049</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31457-2024</t>
        </is>
      </c>
      <c r="B437" s="1" t="n">
        <v>45505</v>
      </c>
      <c r="C437" s="1" t="n">
        <v>46049</v>
      </c>
      <c r="D437" t="inlineStr">
        <is>
          <t>VÄSTERNORRLANDS LÄN</t>
        </is>
      </c>
      <c r="E437" t="inlineStr">
        <is>
          <t>ÅNGE</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35392-2024</t>
        </is>
      </c>
      <c r="B438" s="1" t="n">
        <v>45531.4025462963</v>
      </c>
      <c r="C438" s="1" t="n">
        <v>46049</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24232-2024</t>
        </is>
      </c>
      <c r="B439" s="1" t="n">
        <v>45457.34686342593</v>
      </c>
      <c r="C439" s="1" t="n">
        <v>46049</v>
      </c>
      <c r="D439" t="inlineStr">
        <is>
          <t>VÄSTERNORRLANDS LÄN</t>
        </is>
      </c>
      <c r="E439" t="inlineStr">
        <is>
          <t>ÅNGE</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43066-2022</t>
        </is>
      </c>
      <c r="B440" s="1" t="n">
        <v>44833</v>
      </c>
      <c r="C440" s="1" t="n">
        <v>46049</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57595-2022</t>
        </is>
      </c>
      <c r="B441" s="1" t="n">
        <v>44896.97862268519</v>
      </c>
      <c r="C441" s="1" t="n">
        <v>46049</v>
      </c>
      <c r="D441" t="inlineStr">
        <is>
          <t>VÄSTERNORRLANDS LÄN</t>
        </is>
      </c>
      <c r="E441" t="inlineStr">
        <is>
          <t>ÅNGE</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27321-2024</t>
        </is>
      </c>
      <c r="B442" s="1" t="n">
        <v>45471</v>
      </c>
      <c r="C442" s="1" t="n">
        <v>46049</v>
      </c>
      <c r="D442" t="inlineStr">
        <is>
          <t>VÄSTERNORRLANDS LÄN</t>
        </is>
      </c>
      <c r="E442" t="inlineStr">
        <is>
          <t>ÅNGE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37382-2021</t>
        </is>
      </c>
      <c r="B443" s="1" t="n">
        <v>44397</v>
      </c>
      <c r="C443" s="1" t="n">
        <v>46049</v>
      </c>
      <c r="D443" t="inlineStr">
        <is>
          <t>VÄSTERNORRLANDS LÄN</t>
        </is>
      </c>
      <c r="E443" t="inlineStr">
        <is>
          <t>ÅNGE</t>
        </is>
      </c>
      <c r="G443" t="n">
        <v>2.4</v>
      </c>
      <c r="H443" t="n">
        <v>0</v>
      </c>
      <c r="I443" t="n">
        <v>0</v>
      </c>
      <c r="J443" t="n">
        <v>0</v>
      </c>
      <c r="K443" t="n">
        <v>0</v>
      </c>
      <c r="L443" t="n">
        <v>0</v>
      </c>
      <c r="M443" t="n">
        <v>0</v>
      </c>
      <c r="N443" t="n">
        <v>0</v>
      </c>
      <c r="O443" t="n">
        <v>0</v>
      </c>
      <c r="P443" t="n">
        <v>0</v>
      </c>
      <c r="Q443" t="n">
        <v>0</v>
      </c>
      <c r="R443" s="2" t="inlineStr"/>
    </row>
    <row r="444" ht="15" customHeight="1">
      <c r="A444" t="inlineStr">
        <is>
          <t>A 33783-2024</t>
        </is>
      </c>
      <c r="B444" s="1" t="n">
        <v>45520</v>
      </c>
      <c r="C444" s="1" t="n">
        <v>46049</v>
      </c>
      <c r="D444" t="inlineStr">
        <is>
          <t>VÄSTERNORRLANDS LÄN</t>
        </is>
      </c>
      <c r="E444" t="inlineStr">
        <is>
          <t>ÅNGE</t>
        </is>
      </c>
      <c r="G444" t="n">
        <v>0.7</v>
      </c>
      <c r="H444" t="n">
        <v>0</v>
      </c>
      <c r="I444" t="n">
        <v>0</v>
      </c>
      <c r="J444" t="n">
        <v>0</v>
      </c>
      <c r="K444" t="n">
        <v>0</v>
      </c>
      <c r="L444" t="n">
        <v>0</v>
      </c>
      <c r="M444" t="n">
        <v>0</v>
      </c>
      <c r="N444" t="n">
        <v>0</v>
      </c>
      <c r="O444" t="n">
        <v>0</v>
      </c>
      <c r="P444" t="n">
        <v>0</v>
      </c>
      <c r="Q444" t="n">
        <v>0</v>
      </c>
      <c r="R444" s="2" t="inlineStr"/>
    </row>
    <row r="445" ht="15" customHeight="1">
      <c r="A445" t="inlineStr">
        <is>
          <t>A 27668-2024</t>
        </is>
      </c>
      <c r="B445" s="1" t="n">
        <v>45474.95435185185</v>
      </c>
      <c r="C445" s="1" t="n">
        <v>46049</v>
      </c>
      <c r="D445" t="inlineStr">
        <is>
          <t>VÄSTERNORRLANDS LÄN</t>
        </is>
      </c>
      <c r="E445" t="inlineStr">
        <is>
          <t>ÅNGE</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45128-2022</t>
        </is>
      </c>
      <c r="B446" s="1" t="n">
        <v>44844.3146412037</v>
      </c>
      <c r="C446" s="1" t="n">
        <v>46049</v>
      </c>
      <c r="D446" t="inlineStr">
        <is>
          <t>VÄSTERNORRLANDS LÄN</t>
        </is>
      </c>
      <c r="E446" t="inlineStr">
        <is>
          <t>ÅNGE</t>
        </is>
      </c>
      <c r="G446" t="n">
        <v>4.1</v>
      </c>
      <c r="H446" t="n">
        <v>0</v>
      </c>
      <c r="I446" t="n">
        <v>0</v>
      </c>
      <c r="J446" t="n">
        <v>0</v>
      </c>
      <c r="K446" t="n">
        <v>0</v>
      </c>
      <c r="L446" t="n">
        <v>0</v>
      </c>
      <c r="M446" t="n">
        <v>0</v>
      </c>
      <c r="N446" t="n">
        <v>0</v>
      </c>
      <c r="O446" t="n">
        <v>0</v>
      </c>
      <c r="P446" t="n">
        <v>0</v>
      </c>
      <c r="Q446" t="n">
        <v>0</v>
      </c>
      <c r="R446" s="2" t="inlineStr"/>
    </row>
    <row r="447" ht="15" customHeight="1">
      <c r="A447" t="inlineStr">
        <is>
          <t>A 1116-2023</t>
        </is>
      </c>
      <c r="B447" s="1" t="n">
        <v>44929</v>
      </c>
      <c r="C447" s="1" t="n">
        <v>46049</v>
      </c>
      <c r="D447" t="inlineStr">
        <is>
          <t>VÄSTERNORRLANDS LÄN</t>
        </is>
      </c>
      <c r="E447" t="inlineStr">
        <is>
          <t>ÅNGE</t>
        </is>
      </c>
      <c r="G447" t="n">
        <v>17.2</v>
      </c>
      <c r="H447" t="n">
        <v>0</v>
      </c>
      <c r="I447" t="n">
        <v>0</v>
      </c>
      <c r="J447" t="n">
        <v>0</v>
      </c>
      <c r="K447" t="n">
        <v>0</v>
      </c>
      <c r="L447" t="n">
        <v>0</v>
      </c>
      <c r="M447" t="n">
        <v>0</v>
      </c>
      <c r="N447" t="n">
        <v>0</v>
      </c>
      <c r="O447" t="n">
        <v>0</v>
      </c>
      <c r="P447" t="n">
        <v>0</v>
      </c>
      <c r="Q447" t="n">
        <v>0</v>
      </c>
      <c r="R447" s="2" t="inlineStr"/>
    </row>
    <row r="448" ht="15" customHeight="1">
      <c r="A448" t="inlineStr">
        <is>
          <t>A 26951-2024</t>
        </is>
      </c>
      <c r="B448" s="1" t="n">
        <v>45470.96991898148</v>
      </c>
      <c r="C448" s="1" t="n">
        <v>46049</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26952-2024</t>
        </is>
      </c>
      <c r="B449" s="1" t="n">
        <v>45470</v>
      </c>
      <c r="C449" s="1" t="n">
        <v>46049</v>
      </c>
      <c r="D449" t="inlineStr">
        <is>
          <t>VÄSTERNORRLANDS LÄN</t>
        </is>
      </c>
      <c r="E449" t="inlineStr">
        <is>
          <t>ÅNGE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63216-2023</t>
        </is>
      </c>
      <c r="B450" s="1" t="n">
        <v>45273.62721064815</v>
      </c>
      <c r="C450" s="1" t="n">
        <v>46049</v>
      </c>
      <c r="D450" t="inlineStr">
        <is>
          <t>VÄSTERNORRLANDS LÄN</t>
        </is>
      </c>
      <c r="E450" t="inlineStr">
        <is>
          <t>ÅNGE</t>
        </is>
      </c>
      <c r="F450" t="inlineStr">
        <is>
          <t>Holmen skog AB</t>
        </is>
      </c>
      <c r="G450" t="n">
        <v>2.9</v>
      </c>
      <c r="H450" t="n">
        <v>0</v>
      </c>
      <c r="I450" t="n">
        <v>0</v>
      </c>
      <c r="J450" t="n">
        <v>0</v>
      </c>
      <c r="K450" t="n">
        <v>0</v>
      </c>
      <c r="L450" t="n">
        <v>0</v>
      </c>
      <c r="M450" t="n">
        <v>0</v>
      </c>
      <c r="N450" t="n">
        <v>0</v>
      </c>
      <c r="O450" t="n">
        <v>0</v>
      </c>
      <c r="P450" t="n">
        <v>0</v>
      </c>
      <c r="Q450" t="n">
        <v>0</v>
      </c>
      <c r="R450" s="2" t="inlineStr"/>
    </row>
    <row r="451" ht="15" customHeight="1">
      <c r="A451" t="inlineStr">
        <is>
          <t>A 55197-2022</t>
        </is>
      </c>
      <c r="B451" s="1" t="n">
        <v>44886.93714120371</v>
      </c>
      <c r="C451" s="1" t="n">
        <v>46049</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50186-2021</t>
        </is>
      </c>
      <c r="B452" s="1" t="n">
        <v>44456</v>
      </c>
      <c r="C452" s="1" t="n">
        <v>46049</v>
      </c>
      <c r="D452" t="inlineStr">
        <is>
          <t>VÄSTERNORRLANDS LÄN</t>
        </is>
      </c>
      <c r="E452" t="inlineStr">
        <is>
          <t>ÅNGE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35426-2024</t>
        </is>
      </c>
      <c r="B453" s="1" t="n">
        <v>45531</v>
      </c>
      <c r="C453" s="1" t="n">
        <v>46049</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31864-2024</t>
        </is>
      </c>
      <c r="B454" s="1" t="n">
        <v>45509.74791666667</v>
      </c>
      <c r="C454" s="1" t="n">
        <v>46049</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49532-2024</t>
        </is>
      </c>
      <c r="B455" s="1" t="n">
        <v>45596.41797453703</v>
      </c>
      <c r="C455" s="1" t="n">
        <v>46049</v>
      </c>
      <c r="D455" t="inlineStr">
        <is>
          <t>VÄSTERNORRLANDS LÄN</t>
        </is>
      </c>
      <c r="E455" t="inlineStr">
        <is>
          <t>ÅNGE</t>
        </is>
      </c>
      <c r="G455" t="n">
        <v>3.3</v>
      </c>
      <c r="H455" t="n">
        <v>0</v>
      </c>
      <c r="I455" t="n">
        <v>0</v>
      </c>
      <c r="J455" t="n">
        <v>0</v>
      </c>
      <c r="K455" t="n">
        <v>0</v>
      </c>
      <c r="L455" t="n">
        <v>0</v>
      </c>
      <c r="M455" t="n">
        <v>0</v>
      </c>
      <c r="N455" t="n">
        <v>0</v>
      </c>
      <c r="O455" t="n">
        <v>0</v>
      </c>
      <c r="P455" t="n">
        <v>0</v>
      </c>
      <c r="Q455" t="n">
        <v>0</v>
      </c>
      <c r="R455" s="2" t="inlineStr"/>
    </row>
    <row r="456" ht="15" customHeight="1">
      <c r="A456" t="inlineStr">
        <is>
          <t>A 40790-2023</t>
        </is>
      </c>
      <c r="B456" s="1" t="n">
        <v>45170.95814814815</v>
      </c>
      <c r="C456" s="1" t="n">
        <v>46049</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31545-2024</t>
        </is>
      </c>
      <c r="B457" s="1" t="n">
        <v>45505</v>
      </c>
      <c r="C457" s="1" t="n">
        <v>46049</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46049</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46049</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27915-2024</t>
        </is>
      </c>
      <c r="B460" s="1" t="n">
        <v>45475</v>
      </c>
      <c r="C460" s="1" t="n">
        <v>46049</v>
      </c>
      <c r="D460" t="inlineStr">
        <is>
          <t>VÄSTERNORRLANDS LÄN</t>
        </is>
      </c>
      <c r="E460" t="inlineStr">
        <is>
          <t>ÅNGE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1964-2022</t>
        </is>
      </c>
      <c r="B461" s="1" t="n">
        <v>44575.5050462963</v>
      </c>
      <c r="C461" s="1" t="n">
        <v>46049</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63522-2021</t>
        </is>
      </c>
      <c r="B462" s="1" t="n">
        <v>44508</v>
      </c>
      <c r="C462" s="1" t="n">
        <v>46049</v>
      </c>
      <c r="D462" t="inlineStr">
        <is>
          <t>VÄSTERNORRLANDS LÄN</t>
        </is>
      </c>
      <c r="E462" t="inlineStr">
        <is>
          <t>ÅNGE</t>
        </is>
      </c>
      <c r="F462" t="inlineStr">
        <is>
          <t>Övriga Aktiebolag</t>
        </is>
      </c>
      <c r="G462" t="n">
        <v>3.5</v>
      </c>
      <c r="H462" t="n">
        <v>0</v>
      </c>
      <c r="I462" t="n">
        <v>0</v>
      </c>
      <c r="J462" t="n">
        <v>0</v>
      </c>
      <c r="K462" t="n">
        <v>0</v>
      </c>
      <c r="L462" t="n">
        <v>0</v>
      </c>
      <c r="M462" t="n">
        <v>0</v>
      </c>
      <c r="N462" t="n">
        <v>0</v>
      </c>
      <c r="O462" t="n">
        <v>0</v>
      </c>
      <c r="P462" t="n">
        <v>0</v>
      </c>
      <c r="Q462" t="n">
        <v>0</v>
      </c>
      <c r="R462" s="2" t="inlineStr"/>
    </row>
    <row r="463" ht="15" customHeight="1">
      <c r="A463" t="inlineStr">
        <is>
          <t>A 57287-2022</t>
        </is>
      </c>
      <c r="B463" s="1" t="n">
        <v>44895.95</v>
      </c>
      <c r="C463" s="1" t="n">
        <v>46049</v>
      </c>
      <c r="D463" t="inlineStr">
        <is>
          <t>VÄSTERNORRLANDS LÄN</t>
        </is>
      </c>
      <c r="E463" t="inlineStr">
        <is>
          <t>ÅNGE</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57291-2022</t>
        </is>
      </c>
      <c r="B464" s="1" t="n">
        <v>44895</v>
      </c>
      <c r="C464" s="1" t="n">
        <v>46049</v>
      </c>
      <c r="D464" t="inlineStr">
        <is>
          <t>VÄSTERNORRLANDS LÄN</t>
        </is>
      </c>
      <c r="E464" t="inlineStr">
        <is>
          <t>ÅNGE</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6680-2024</t>
        </is>
      </c>
      <c r="B465" s="1" t="n">
        <v>45341</v>
      </c>
      <c r="C465" s="1" t="n">
        <v>46049</v>
      </c>
      <c r="D465" t="inlineStr">
        <is>
          <t>VÄSTERNORRLANDS LÄN</t>
        </is>
      </c>
      <c r="E465" t="inlineStr">
        <is>
          <t>ÅNGE</t>
        </is>
      </c>
      <c r="G465" t="n">
        <v>0.9</v>
      </c>
      <c r="H465" t="n">
        <v>0</v>
      </c>
      <c r="I465" t="n">
        <v>0</v>
      </c>
      <c r="J465" t="n">
        <v>0</v>
      </c>
      <c r="K465" t="n">
        <v>0</v>
      </c>
      <c r="L465" t="n">
        <v>0</v>
      </c>
      <c r="M465" t="n">
        <v>0</v>
      </c>
      <c r="N465" t="n">
        <v>0</v>
      </c>
      <c r="O465" t="n">
        <v>0</v>
      </c>
      <c r="P465" t="n">
        <v>0</v>
      </c>
      <c r="Q465" t="n">
        <v>0</v>
      </c>
      <c r="R465" s="2" t="inlineStr"/>
    </row>
    <row r="466" ht="15" customHeight="1">
      <c r="A466" t="inlineStr">
        <is>
          <t>A 6685-2024</t>
        </is>
      </c>
      <c r="B466" s="1" t="n">
        <v>45341</v>
      </c>
      <c r="C466" s="1" t="n">
        <v>46049</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6689-2024</t>
        </is>
      </c>
      <c r="B467" s="1" t="n">
        <v>45341.9259375</v>
      </c>
      <c r="C467" s="1" t="n">
        <v>46049</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27468-2024</t>
        </is>
      </c>
      <c r="B468" s="1" t="n">
        <v>45474</v>
      </c>
      <c r="C468" s="1" t="n">
        <v>46049</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15863-2022</t>
        </is>
      </c>
      <c r="B469" s="1" t="n">
        <v>44664</v>
      </c>
      <c r="C469" s="1" t="n">
        <v>46049</v>
      </c>
      <c r="D469" t="inlineStr">
        <is>
          <t>VÄSTERNORRLANDS LÄN</t>
        </is>
      </c>
      <c r="E469" t="inlineStr">
        <is>
          <t>ÅNGE</t>
        </is>
      </c>
      <c r="G469" t="n">
        <v>3.6</v>
      </c>
      <c r="H469" t="n">
        <v>0</v>
      </c>
      <c r="I469" t="n">
        <v>0</v>
      </c>
      <c r="J469" t="n">
        <v>0</v>
      </c>
      <c r="K469" t="n">
        <v>0</v>
      </c>
      <c r="L469" t="n">
        <v>0</v>
      </c>
      <c r="M469" t="n">
        <v>0</v>
      </c>
      <c r="N469" t="n">
        <v>0</v>
      </c>
      <c r="O469" t="n">
        <v>0</v>
      </c>
      <c r="P469" t="n">
        <v>0</v>
      </c>
      <c r="Q469" t="n">
        <v>0</v>
      </c>
      <c r="R469" s="2" t="inlineStr"/>
    </row>
    <row r="470" ht="15" customHeight="1">
      <c r="A470" t="inlineStr">
        <is>
          <t>A 30055-2024</t>
        </is>
      </c>
      <c r="B470" s="1" t="n">
        <v>45488.94767361111</v>
      </c>
      <c r="C470" s="1" t="n">
        <v>46049</v>
      </c>
      <c r="D470" t="inlineStr">
        <is>
          <t>VÄSTERNORRLANDS LÄN</t>
        </is>
      </c>
      <c r="E470" t="inlineStr">
        <is>
          <t>ÅNGE</t>
        </is>
      </c>
      <c r="F470" t="inlineStr">
        <is>
          <t>SCA</t>
        </is>
      </c>
      <c r="G470" t="n">
        <v>4.8</v>
      </c>
      <c r="H470" t="n">
        <v>0</v>
      </c>
      <c r="I470" t="n">
        <v>0</v>
      </c>
      <c r="J470" t="n">
        <v>0</v>
      </c>
      <c r="K470" t="n">
        <v>0</v>
      </c>
      <c r="L470" t="n">
        <v>0</v>
      </c>
      <c r="M470" t="n">
        <v>0</v>
      </c>
      <c r="N470" t="n">
        <v>0</v>
      </c>
      <c r="O470" t="n">
        <v>0</v>
      </c>
      <c r="P470" t="n">
        <v>0</v>
      </c>
      <c r="Q470" t="n">
        <v>0</v>
      </c>
      <c r="R470" s="2" t="inlineStr"/>
    </row>
    <row r="471" ht="15" customHeight="1">
      <c r="A471" t="inlineStr">
        <is>
          <t>A 35488-2024</t>
        </is>
      </c>
      <c r="B471" s="1" t="n">
        <v>45531</v>
      </c>
      <c r="C471" s="1" t="n">
        <v>46049</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35593-2024</t>
        </is>
      </c>
      <c r="B472" s="1" t="n">
        <v>45531</v>
      </c>
      <c r="C472" s="1" t="n">
        <v>46049</v>
      </c>
      <c r="D472" t="inlineStr">
        <is>
          <t>VÄSTERNORRLANDS LÄN</t>
        </is>
      </c>
      <c r="E472" t="inlineStr">
        <is>
          <t>ÅNGE</t>
        </is>
      </c>
      <c r="G472" t="n">
        <v>17.6</v>
      </c>
      <c r="H472" t="n">
        <v>0</v>
      </c>
      <c r="I472" t="n">
        <v>0</v>
      </c>
      <c r="J472" t="n">
        <v>0</v>
      </c>
      <c r="K472" t="n">
        <v>0</v>
      </c>
      <c r="L472" t="n">
        <v>0</v>
      </c>
      <c r="M472" t="n">
        <v>0</v>
      </c>
      <c r="N472" t="n">
        <v>0</v>
      </c>
      <c r="O472" t="n">
        <v>0</v>
      </c>
      <c r="P472" t="n">
        <v>0</v>
      </c>
      <c r="Q472" t="n">
        <v>0</v>
      </c>
      <c r="R472" s="2" t="inlineStr"/>
    </row>
    <row r="473" ht="15" customHeight="1">
      <c r="A473" t="inlineStr">
        <is>
          <t>A 26193-2025</t>
        </is>
      </c>
      <c r="B473" s="1" t="n">
        <v>45805.48922453704</v>
      </c>
      <c r="C473" s="1" t="n">
        <v>46049</v>
      </c>
      <c r="D473" t="inlineStr">
        <is>
          <t>VÄSTERNORRLANDS LÄN</t>
        </is>
      </c>
      <c r="E473" t="inlineStr">
        <is>
          <t>ÅNGE</t>
        </is>
      </c>
      <c r="G473" t="n">
        <v>2.3</v>
      </c>
      <c r="H473" t="n">
        <v>0</v>
      </c>
      <c r="I473" t="n">
        <v>0</v>
      </c>
      <c r="J473" t="n">
        <v>0</v>
      </c>
      <c r="K473" t="n">
        <v>0</v>
      </c>
      <c r="L473" t="n">
        <v>0</v>
      </c>
      <c r="M473" t="n">
        <v>0</v>
      </c>
      <c r="N473" t="n">
        <v>0</v>
      </c>
      <c r="O473" t="n">
        <v>0</v>
      </c>
      <c r="P473" t="n">
        <v>0</v>
      </c>
      <c r="Q473" t="n">
        <v>0</v>
      </c>
      <c r="R473" s="2" t="inlineStr"/>
    </row>
    <row r="474" ht="15" customHeight="1">
      <c r="A474" t="inlineStr">
        <is>
          <t>A 26388-2025</t>
        </is>
      </c>
      <c r="B474" s="1" t="n">
        <v>45806.51069444444</v>
      </c>
      <c r="C474" s="1" t="n">
        <v>46049</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26365-2025</t>
        </is>
      </c>
      <c r="B475" s="1" t="n">
        <v>45806.34412037037</v>
      </c>
      <c r="C475" s="1" t="n">
        <v>46049</v>
      </c>
      <c r="D475" t="inlineStr">
        <is>
          <t>VÄSTERNORRLANDS LÄN</t>
        </is>
      </c>
      <c r="E475" t="inlineStr">
        <is>
          <t>ÅNGE</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26011-2024</t>
        </is>
      </c>
      <c r="B476" s="1" t="n">
        <v>45467.95828703704</v>
      </c>
      <c r="C476" s="1" t="n">
        <v>46049</v>
      </c>
      <c r="D476" t="inlineStr">
        <is>
          <t>VÄSTERNORRLANDS LÄN</t>
        </is>
      </c>
      <c r="E476" t="inlineStr">
        <is>
          <t>ÅNGE</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26014-2024</t>
        </is>
      </c>
      <c r="B477" s="1" t="n">
        <v>45467.95862268518</v>
      </c>
      <c r="C477" s="1" t="n">
        <v>46049</v>
      </c>
      <c r="D477" t="inlineStr">
        <is>
          <t>VÄSTERNORRLANDS LÄN</t>
        </is>
      </c>
      <c r="E477" t="inlineStr">
        <is>
          <t>ÅNGE</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26019-2024</t>
        </is>
      </c>
      <c r="B478" s="1" t="n">
        <v>45467.96015046296</v>
      </c>
      <c r="C478" s="1" t="n">
        <v>46049</v>
      </c>
      <c r="D478" t="inlineStr">
        <is>
          <t>VÄSTERNORRLANDS LÄN</t>
        </is>
      </c>
      <c r="E478" t="inlineStr">
        <is>
          <t>ÅNGE</t>
        </is>
      </c>
      <c r="F478" t="inlineStr">
        <is>
          <t>SCA</t>
        </is>
      </c>
      <c r="G478" t="n">
        <v>7.5</v>
      </c>
      <c r="H478" t="n">
        <v>0</v>
      </c>
      <c r="I478" t="n">
        <v>0</v>
      </c>
      <c r="J478" t="n">
        <v>0</v>
      </c>
      <c r="K478" t="n">
        <v>0</v>
      </c>
      <c r="L478" t="n">
        <v>0</v>
      </c>
      <c r="M478" t="n">
        <v>0</v>
      </c>
      <c r="N478" t="n">
        <v>0</v>
      </c>
      <c r="O478" t="n">
        <v>0</v>
      </c>
      <c r="P478" t="n">
        <v>0</v>
      </c>
      <c r="Q478" t="n">
        <v>0</v>
      </c>
      <c r="R478" s="2" t="inlineStr"/>
    </row>
    <row r="479" ht="15" customHeight="1">
      <c r="A479" t="inlineStr">
        <is>
          <t>A 26389-2025</t>
        </is>
      </c>
      <c r="B479" s="1" t="n">
        <v>45806.51078703703</v>
      </c>
      <c r="C479" s="1" t="n">
        <v>46049</v>
      </c>
      <c r="D479" t="inlineStr">
        <is>
          <t>VÄSTERNORRLANDS LÄN</t>
        </is>
      </c>
      <c r="E479" t="inlineStr">
        <is>
          <t>ÅNGE</t>
        </is>
      </c>
      <c r="F479" t="inlineStr">
        <is>
          <t>SCA</t>
        </is>
      </c>
      <c r="G479" t="n">
        <v>11.9</v>
      </c>
      <c r="H479" t="n">
        <v>0</v>
      </c>
      <c r="I479" t="n">
        <v>0</v>
      </c>
      <c r="J479" t="n">
        <v>0</v>
      </c>
      <c r="K479" t="n">
        <v>0</v>
      </c>
      <c r="L479" t="n">
        <v>0</v>
      </c>
      <c r="M479" t="n">
        <v>0</v>
      </c>
      <c r="N479" t="n">
        <v>0</v>
      </c>
      <c r="O479" t="n">
        <v>0</v>
      </c>
      <c r="P479" t="n">
        <v>0</v>
      </c>
      <c r="Q479" t="n">
        <v>0</v>
      </c>
      <c r="R479" s="2" t="inlineStr"/>
    </row>
    <row r="480" ht="15" customHeight="1">
      <c r="A480" t="inlineStr">
        <is>
          <t>A 21262-2025</t>
        </is>
      </c>
      <c r="B480" s="1" t="n">
        <v>45779</v>
      </c>
      <c r="C480" s="1" t="n">
        <v>46049</v>
      </c>
      <c r="D480" t="inlineStr">
        <is>
          <t>VÄSTERNORRLANDS LÄN</t>
        </is>
      </c>
      <c r="E480" t="inlineStr">
        <is>
          <t>ÅNGE</t>
        </is>
      </c>
      <c r="F480" t="inlineStr">
        <is>
          <t>Sveaskog</t>
        </is>
      </c>
      <c r="G480" t="n">
        <v>9</v>
      </c>
      <c r="H480" t="n">
        <v>0</v>
      </c>
      <c r="I480" t="n">
        <v>0</v>
      </c>
      <c r="J480" t="n">
        <v>0</v>
      </c>
      <c r="K480" t="n">
        <v>0</v>
      </c>
      <c r="L480" t="n">
        <v>0</v>
      </c>
      <c r="M480" t="n">
        <v>0</v>
      </c>
      <c r="N480" t="n">
        <v>0</v>
      </c>
      <c r="O480" t="n">
        <v>0</v>
      </c>
      <c r="P480" t="n">
        <v>0</v>
      </c>
      <c r="Q480" t="n">
        <v>0</v>
      </c>
      <c r="R480" s="2" t="inlineStr"/>
    </row>
    <row r="481" ht="15" customHeight="1">
      <c r="A481" t="inlineStr">
        <is>
          <t>A 26366-2025</t>
        </is>
      </c>
      <c r="B481" s="1" t="n">
        <v>45806.34424768519</v>
      </c>
      <c r="C481" s="1" t="n">
        <v>46049</v>
      </c>
      <c r="D481" t="inlineStr">
        <is>
          <t>VÄSTERNORRLANDS LÄN</t>
        </is>
      </c>
      <c r="E481" t="inlineStr">
        <is>
          <t>ÅNGE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14889-2022</t>
        </is>
      </c>
      <c r="B482" s="1" t="n">
        <v>44656</v>
      </c>
      <c r="C482" s="1" t="n">
        <v>46049</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26655-2025</t>
        </is>
      </c>
      <c r="B483" s="1" t="n">
        <v>45810.39047453704</v>
      </c>
      <c r="C483" s="1" t="n">
        <v>46049</v>
      </c>
      <c r="D483" t="inlineStr">
        <is>
          <t>VÄSTERNORRLANDS LÄN</t>
        </is>
      </c>
      <c r="E483" t="inlineStr">
        <is>
          <t>ÅNGE</t>
        </is>
      </c>
      <c r="G483" t="n">
        <v>0.6</v>
      </c>
      <c r="H483" t="n">
        <v>0</v>
      </c>
      <c r="I483" t="n">
        <v>0</v>
      </c>
      <c r="J483" t="n">
        <v>0</v>
      </c>
      <c r="K483" t="n">
        <v>0</v>
      </c>
      <c r="L483" t="n">
        <v>0</v>
      </c>
      <c r="M483" t="n">
        <v>0</v>
      </c>
      <c r="N483" t="n">
        <v>0</v>
      </c>
      <c r="O483" t="n">
        <v>0</v>
      </c>
      <c r="P483" t="n">
        <v>0</v>
      </c>
      <c r="Q483" t="n">
        <v>0</v>
      </c>
      <c r="R483" s="2" t="inlineStr"/>
    </row>
    <row r="484" ht="15" customHeight="1">
      <c r="A484" t="inlineStr">
        <is>
          <t>A 60817-2024</t>
        </is>
      </c>
      <c r="B484" s="1" t="n">
        <v>45644</v>
      </c>
      <c r="C484" s="1" t="n">
        <v>46049</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23225-2024</t>
        </is>
      </c>
      <c r="B485" s="1" t="n">
        <v>45452.9490162037</v>
      </c>
      <c r="C485" s="1" t="n">
        <v>46049</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25973-2022</t>
        </is>
      </c>
      <c r="B486" s="1" t="n">
        <v>44734</v>
      </c>
      <c r="C486" s="1" t="n">
        <v>46049</v>
      </c>
      <c r="D486" t="inlineStr">
        <is>
          <t>VÄSTERNORRLANDS LÄN</t>
        </is>
      </c>
      <c r="E486" t="inlineStr">
        <is>
          <t>ÅNGE</t>
        </is>
      </c>
      <c r="G486" t="n">
        <v>4.1</v>
      </c>
      <c r="H486" t="n">
        <v>0</v>
      </c>
      <c r="I486" t="n">
        <v>0</v>
      </c>
      <c r="J486" t="n">
        <v>0</v>
      </c>
      <c r="K486" t="n">
        <v>0</v>
      </c>
      <c r="L486" t="n">
        <v>0</v>
      </c>
      <c r="M486" t="n">
        <v>0</v>
      </c>
      <c r="N486" t="n">
        <v>0</v>
      </c>
      <c r="O486" t="n">
        <v>0</v>
      </c>
      <c r="P486" t="n">
        <v>0</v>
      </c>
      <c r="Q486" t="n">
        <v>0</v>
      </c>
      <c r="R486" s="2" t="inlineStr"/>
    </row>
    <row r="487" ht="15" customHeight="1">
      <c r="A487" t="inlineStr">
        <is>
          <t>A 33305-2024</t>
        </is>
      </c>
      <c r="B487" s="1" t="n">
        <v>45518</v>
      </c>
      <c r="C487" s="1" t="n">
        <v>46049</v>
      </c>
      <c r="D487" t="inlineStr">
        <is>
          <t>VÄSTERNORRLANDS LÄN</t>
        </is>
      </c>
      <c r="E487" t="inlineStr">
        <is>
          <t>ÅNGE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33306-2024</t>
        </is>
      </c>
      <c r="B488" s="1" t="n">
        <v>45518</v>
      </c>
      <c r="C488" s="1" t="n">
        <v>46049</v>
      </c>
      <c r="D488" t="inlineStr">
        <is>
          <t>VÄSTERNORRLANDS LÄN</t>
        </is>
      </c>
      <c r="E488" t="inlineStr">
        <is>
          <t>ÅNGE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7535-2023</t>
        </is>
      </c>
      <c r="B489" s="1" t="n">
        <v>44971</v>
      </c>
      <c r="C489" s="1" t="n">
        <v>46049</v>
      </c>
      <c r="D489" t="inlineStr">
        <is>
          <t>VÄSTERNORRLANDS LÄN</t>
        </is>
      </c>
      <c r="E489" t="inlineStr">
        <is>
          <t>ÅNGE</t>
        </is>
      </c>
      <c r="F489" t="inlineStr">
        <is>
          <t>SCA</t>
        </is>
      </c>
      <c r="G489" t="n">
        <v>14.6</v>
      </c>
      <c r="H489" t="n">
        <v>0</v>
      </c>
      <c r="I489" t="n">
        <v>0</v>
      </c>
      <c r="J489" t="n">
        <v>0</v>
      </c>
      <c r="K489" t="n">
        <v>0</v>
      </c>
      <c r="L489" t="n">
        <v>0</v>
      </c>
      <c r="M489" t="n">
        <v>0</v>
      </c>
      <c r="N489" t="n">
        <v>0</v>
      </c>
      <c r="O489" t="n">
        <v>0</v>
      </c>
      <c r="P489" t="n">
        <v>0</v>
      </c>
      <c r="Q489" t="n">
        <v>0</v>
      </c>
      <c r="R489" s="2" t="inlineStr"/>
    </row>
    <row r="490" ht="15" customHeight="1">
      <c r="A490" t="inlineStr">
        <is>
          <t>A 26608-2025</t>
        </is>
      </c>
      <c r="B490" s="1" t="n">
        <v>45809.98600694445</v>
      </c>
      <c r="C490" s="1" t="n">
        <v>46049</v>
      </c>
      <c r="D490" t="inlineStr">
        <is>
          <t>VÄSTERNORRLANDS LÄN</t>
        </is>
      </c>
      <c r="E490" t="inlineStr">
        <is>
          <t>ÅNGE</t>
        </is>
      </c>
      <c r="G490" t="n">
        <v>4.5</v>
      </c>
      <c r="H490" t="n">
        <v>0</v>
      </c>
      <c r="I490" t="n">
        <v>0</v>
      </c>
      <c r="J490" t="n">
        <v>0</v>
      </c>
      <c r="K490" t="n">
        <v>0</v>
      </c>
      <c r="L490" t="n">
        <v>0</v>
      </c>
      <c r="M490" t="n">
        <v>0</v>
      </c>
      <c r="N490" t="n">
        <v>0</v>
      </c>
      <c r="O490" t="n">
        <v>0</v>
      </c>
      <c r="P490" t="n">
        <v>0</v>
      </c>
      <c r="Q490" t="n">
        <v>0</v>
      </c>
      <c r="R490" s="2" t="inlineStr"/>
    </row>
    <row r="491" ht="15" customHeight="1">
      <c r="A491" t="inlineStr">
        <is>
          <t>A 42242-2023</t>
        </is>
      </c>
      <c r="B491" s="1" t="n">
        <v>45180.35025462963</v>
      </c>
      <c r="C491" s="1" t="n">
        <v>46049</v>
      </c>
      <c r="D491" t="inlineStr">
        <is>
          <t>VÄSTERNORRLANDS LÄN</t>
        </is>
      </c>
      <c r="E491" t="inlineStr">
        <is>
          <t>ÅNGE</t>
        </is>
      </c>
      <c r="G491" t="n">
        <v>5.7</v>
      </c>
      <c r="H491" t="n">
        <v>0</v>
      </c>
      <c r="I491" t="n">
        <v>0</v>
      </c>
      <c r="J491" t="n">
        <v>0</v>
      </c>
      <c r="K491" t="n">
        <v>0</v>
      </c>
      <c r="L491" t="n">
        <v>0</v>
      </c>
      <c r="M491" t="n">
        <v>0</v>
      </c>
      <c r="N491" t="n">
        <v>0</v>
      </c>
      <c r="O491" t="n">
        <v>0</v>
      </c>
      <c r="P491" t="n">
        <v>0</v>
      </c>
      <c r="Q491" t="n">
        <v>0</v>
      </c>
      <c r="R491" s="2" t="inlineStr"/>
    </row>
    <row r="492" ht="15" customHeight="1">
      <c r="A492" t="inlineStr">
        <is>
          <t>A 37038-2024</t>
        </is>
      </c>
      <c r="B492" s="1" t="n">
        <v>45539.40881944444</v>
      </c>
      <c r="C492" s="1" t="n">
        <v>46049</v>
      </c>
      <c r="D492" t="inlineStr">
        <is>
          <t>VÄSTERNORRLANDS LÄN</t>
        </is>
      </c>
      <c r="E492" t="inlineStr">
        <is>
          <t>ÅNGE</t>
        </is>
      </c>
      <c r="G492" t="n">
        <v>1.4</v>
      </c>
      <c r="H492" t="n">
        <v>0</v>
      </c>
      <c r="I492" t="n">
        <v>0</v>
      </c>
      <c r="J492" t="n">
        <v>0</v>
      </c>
      <c r="K492" t="n">
        <v>0</v>
      </c>
      <c r="L492" t="n">
        <v>0</v>
      </c>
      <c r="M492" t="n">
        <v>0</v>
      </c>
      <c r="N492" t="n">
        <v>0</v>
      </c>
      <c r="O492" t="n">
        <v>0</v>
      </c>
      <c r="P492" t="n">
        <v>0</v>
      </c>
      <c r="Q492" t="n">
        <v>0</v>
      </c>
      <c r="R492" s="2" t="inlineStr"/>
    </row>
    <row r="493" ht="15" customHeight="1">
      <c r="A493" t="inlineStr">
        <is>
          <t>A 36790-2023</t>
        </is>
      </c>
      <c r="B493" s="1" t="n">
        <v>45154.36418981481</v>
      </c>
      <c r="C493" s="1" t="n">
        <v>46049</v>
      </c>
      <c r="D493" t="inlineStr">
        <is>
          <t>VÄSTERNORRLANDS LÄN</t>
        </is>
      </c>
      <c r="E493" t="inlineStr">
        <is>
          <t>ÅNGE</t>
        </is>
      </c>
      <c r="G493" t="n">
        <v>1.4</v>
      </c>
      <c r="H493" t="n">
        <v>0</v>
      </c>
      <c r="I493" t="n">
        <v>0</v>
      </c>
      <c r="J493" t="n">
        <v>0</v>
      </c>
      <c r="K493" t="n">
        <v>0</v>
      </c>
      <c r="L493" t="n">
        <v>0</v>
      </c>
      <c r="M493" t="n">
        <v>0</v>
      </c>
      <c r="N493" t="n">
        <v>0</v>
      </c>
      <c r="O493" t="n">
        <v>0</v>
      </c>
      <c r="P493" t="n">
        <v>0</v>
      </c>
      <c r="Q493" t="n">
        <v>0</v>
      </c>
      <c r="R493" s="2" t="inlineStr"/>
    </row>
    <row r="494" ht="15" customHeight="1">
      <c r="A494" t="inlineStr">
        <is>
          <t>A 26734-2025</t>
        </is>
      </c>
      <c r="B494" s="1" t="n">
        <v>45810.51087962963</v>
      </c>
      <c r="C494" s="1" t="n">
        <v>46049</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59626-2022</t>
        </is>
      </c>
      <c r="B495" s="1" t="n">
        <v>44907.92354166666</v>
      </c>
      <c r="C495" s="1" t="n">
        <v>46049</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27023-2025</t>
        </is>
      </c>
      <c r="B496" s="1" t="n">
        <v>45811.57342592593</v>
      </c>
      <c r="C496" s="1" t="n">
        <v>46049</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27164-2025</t>
        </is>
      </c>
      <c r="B497" s="1" t="n">
        <v>45812.34430555555</v>
      </c>
      <c r="C497" s="1" t="n">
        <v>46049</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3249-2024</t>
        </is>
      </c>
      <c r="B498" s="1" t="n">
        <v>45316</v>
      </c>
      <c r="C498" s="1" t="n">
        <v>46049</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26901-2025</t>
        </is>
      </c>
      <c r="B499" s="1" t="n">
        <v>45811.34457175926</v>
      </c>
      <c r="C499" s="1" t="n">
        <v>46049</v>
      </c>
      <c r="D499" t="inlineStr">
        <is>
          <t>VÄSTERNORRLANDS LÄN</t>
        </is>
      </c>
      <c r="E499" t="inlineStr">
        <is>
          <t>ÅNGE</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33750-2024</t>
        </is>
      </c>
      <c r="B500" s="1" t="n">
        <v>45520.56475694444</v>
      </c>
      <c r="C500" s="1" t="n">
        <v>46049</v>
      </c>
      <c r="D500" t="inlineStr">
        <is>
          <t>VÄSTERNORRLANDS LÄN</t>
        </is>
      </c>
      <c r="E500" t="inlineStr">
        <is>
          <t>ÅNGE</t>
        </is>
      </c>
      <c r="G500" t="n">
        <v>1.3</v>
      </c>
      <c r="H500" t="n">
        <v>0</v>
      </c>
      <c r="I500" t="n">
        <v>0</v>
      </c>
      <c r="J500" t="n">
        <v>0</v>
      </c>
      <c r="K500" t="n">
        <v>0</v>
      </c>
      <c r="L500" t="n">
        <v>0</v>
      </c>
      <c r="M500" t="n">
        <v>0</v>
      </c>
      <c r="N500" t="n">
        <v>0</v>
      </c>
      <c r="O500" t="n">
        <v>0</v>
      </c>
      <c r="P500" t="n">
        <v>0</v>
      </c>
      <c r="Q500" t="n">
        <v>0</v>
      </c>
      <c r="R500" s="2" t="inlineStr"/>
    </row>
    <row r="501" ht="15" customHeight="1">
      <c r="A501" t="inlineStr">
        <is>
          <t>A 9759-2024</t>
        </is>
      </c>
      <c r="B501" s="1" t="n">
        <v>45362</v>
      </c>
      <c r="C501" s="1" t="n">
        <v>46049</v>
      </c>
      <c r="D501" t="inlineStr">
        <is>
          <t>VÄSTERNORRLANDS LÄN</t>
        </is>
      </c>
      <c r="E501" t="inlineStr">
        <is>
          <t>ÅNGE</t>
        </is>
      </c>
      <c r="G501" t="n">
        <v>2.5</v>
      </c>
      <c r="H501" t="n">
        <v>0</v>
      </c>
      <c r="I501" t="n">
        <v>0</v>
      </c>
      <c r="J501" t="n">
        <v>0</v>
      </c>
      <c r="K501" t="n">
        <v>0</v>
      </c>
      <c r="L501" t="n">
        <v>0</v>
      </c>
      <c r="M501" t="n">
        <v>0</v>
      </c>
      <c r="N501" t="n">
        <v>0</v>
      </c>
      <c r="O501" t="n">
        <v>0</v>
      </c>
      <c r="P501" t="n">
        <v>0</v>
      </c>
      <c r="Q501" t="n">
        <v>0</v>
      </c>
      <c r="R501" s="2" t="inlineStr"/>
    </row>
    <row r="502" ht="15" customHeight="1">
      <c r="A502" t="inlineStr">
        <is>
          <t>A 27165-2025</t>
        </is>
      </c>
      <c r="B502" s="1" t="n">
        <v>45812.34440972222</v>
      </c>
      <c r="C502" s="1" t="n">
        <v>46049</v>
      </c>
      <c r="D502" t="inlineStr">
        <is>
          <t>VÄSTERNORRLANDS LÄN</t>
        </is>
      </c>
      <c r="E502" t="inlineStr">
        <is>
          <t>ÅNGE</t>
        </is>
      </c>
      <c r="F502" t="inlineStr">
        <is>
          <t>SCA</t>
        </is>
      </c>
      <c r="G502" t="n">
        <v>3.5</v>
      </c>
      <c r="H502" t="n">
        <v>0</v>
      </c>
      <c r="I502" t="n">
        <v>0</v>
      </c>
      <c r="J502" t="n">
        <v>0</v>
      </c>
      <c r="K502" t="n">
        <v>0</v>
      </c>
      <c r="L502" t="n">
        <v>0</v>
      </c>
      <c r="M502" t="n">
        <v>0</v>
      </c>
      <c r="N502" t="n">
        <v>0</v>
      </c>
      <c r="O502" t="n">
        <v>0</v>
      </c>
      <c r="P502" t="n">
        <v>0</v>
      </c>
      <c r="Q502" t="n">
        <v>0</v>
      </c>
      <c r="R502" s="2" t="inlineStr"/>
    </row>
    <row r="503" ht="15" customHeight="1">
      <c r="A503" t="inlineStr">
        <is>
          <t>A 5931-2025</t>
        </is>
      </c>
      <c r="B503" s="1" t="n">
        <v>45695.44827546296</v>
      </c>
      <c r="C503" s="1" t="n">
        <v>46049</v>
      </c>
      <c r="D503" t="inlineStr">
        <is>
          <t>VÄSTERNORRLANDS LÄN</t>
        </is>
      </c>
      <c r="E503" t="inlineStr">
        <is>
          <t>ÅNGE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27545-2025</t>
        </is>
      </c>
      <c r="B504" s="1" t="n">
        <v>45813.46942129629</v>
      </c>
      <c r="C504" s="1" t="n">
        <v>46049</v>
      </c>
      <c r="D504" t="inlineStr">
        <is>
          <t>VÄSTERNORRLANDS LÄN</t>
        </is>
      </c>
      <c r="E504" t="inlineStr">
        <is>
          <t>ÅNGE</t>
        </is>
      </c>
      <c r="F504" t="inlineStr">
        <is>
          <t>SCA</t>
        </is>
      </c>
      <c r="G504" t="n">
        <v>14.3</v>
      </c>
      <c r="H504" t="n">
        <v>0</v>
      </c>
      <c r="I504" t="n">
        <v>0</v>
      </c>
      <c r="J504" t="n">
        <v>0</v>
      </c>
      <c r="K504" t="n">
        <v>0</v>
      </c>
      <c r="L504" t="n">
        <v>0</v>
      </c>
      <c r="M504" t="n">
        <v>0</v>
      </c>
      <c r="N504" t="n">
        <v>0</v>
      </c>
      <c r="O504" t="n">
        <v>0</v>
      </c>
      <c r="P504" t="n">
        <v>0</v>
      </c>
      <c r="Q504" t="n">
        <v>0</v>
      </c>
      <c r="R504" s="2" t="inlineStr"/>
    </row>
    <row r="505" ht="15" customHeight="1">
      <c r="A505" t="inlineStr">
        <is>
          <t>A 38703-2025</t>
        </is>
      </c>
      <c r="B505" s="1" t="n">
        <v>45885.34440972222</v>
      </c>
      <c r="C505" s="1" t="n">
        <v>46049</v>
      </c>
      <c r="D505" t="inlineStr">
        <is>
          <t>VÄSTERNORRLANDS LÄN</t>
        </is>
      </c>
      <c r="E505" t="inlineStr">
        <is>
          <t>ÅNGE</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27572-2025</t>
        </is>
      </c>
      <c r="B506" s="1" t="n">
        <v>45813.49049768518</v>
      </c>
      <c r="C506" s="1" t="n">
        <v>46049</v>
      </c>
      <c r="D506" t="inlineStr">
        <is>
          <t>VÄSTERNORRLANDS LÄN</t>
        </is>
      </c>
      <c r="E506" t="inlineStr">
        <is>
          <t>ÅNGE</t>
        </is>
      </c>
      <c r="F506" t="inlineStr">
        <is>
          <t>SCA</t>
        </is>
      </c>
      <c r="G506" t="n">
        <v>14.3</v>
      </c>
      <c r="H506" t="n">
        <v>0</v>
      </c>
      <c r="I506" t="n">
        <v>0</v>
      </c>
      <c r="J506" t="n">
        <v>0</v>
      </c>
      <c r="K506" t="n">
        <v>0</v>
      </c>
      <c r="L506" t="n">
        <v>0</v>
      </c>
      <c r="M506" t="n">
        <v>0</v>
      </c>
      <c r="N506" t="n">
        <v>0</v>
      </c>
      <c r="O506" t="n">
        <v>0</v>
      </c>
      <c r="P506" t="n">
        <v>0</v>
      </c>
      <c r="Q506" t="n">
        <v>0</v>
      </c>
      <c r="R506" s="2" t="inlineStr"/>
    </row>
    <row r="507" ht="15" customHeight="1">
      <c r="A507" t="inlineStr">
        <is>
          <t>A 27606-2025</t>
        </is>
      </c>
      <c r="B507" s="1" t="n">
        <v>45813.53200231482</v>
      </c>
      <c r="C507" s="1" t="n">
        <v>46049</v>
      </c>
      <c r="D507" t="inlineStr">
        <is>
          <t>VÄSTERNORRLANDS LÄN</t>
        </is>
      </c>
      <c r="E507" t="inlineStr">
        <is>
          <t>ÅNGE</t>
        </is>
      </c>
      <c r="F507" t="inlineStr">
        <is>
          <t>SCA</t>
        </is>
      </c>
      <c r="G507" t="n">
        <v>6.3</v>
      </c>
      <c r="H507" t="n">
        <v>0</v>
      </c>
      <c r="I507" t="n">
        <v>0</v>
      </c>
      <c r="J507" t="n">
        <v>0</v>
      </c>
      <c r="K507" t="n">
        <v>0</v>
      </c>
      <c r="L507" t="n">
        <v>0</v>
      </c>
      <c r="M507" t="n">
        <v>0</v>
      </c>
      <c r="N507" t="n">
        <v>0</v>
      </c>
      <c r="O507" t="n">
        <v>0</v>
      </c>
      <c r="P507" t="n">
        <v>0</v>
      </c>
      <c r="Q507" t="n">
        <v>0</v>
      </c>
      <c r="R507" s="2" t="inlineStr"/>
    </row>
    <row r="508" ht="15" customHeight="1">
      <c r="A508" t="inlineStr">
        <is>
          <t>A 32051-2025</t>
        </is>
      </c>
      <c r="B508" s="1" t="n">
        <v>45835.44185185185</v>
      </c>
      <c r="C508" s="1" t="n">
        <v>46049</v>
      </c>
      <c r="D508" t="inlineStr">
        <is>
          <t>VÄSTERNORRLANDS LÄN</t>
        </is>
      </c>
      <c r="E508" t="inlineStr">
        <is>
          <t>ÅNGE</t>
        </is>
      </c>
      <c r="G508" t="n">
        <v>4</v>
      </c>
      <c r="H508" t="n">
        <v>0</v>
      </c>
      <c r="I508" t="n">
        <v>0</v>
      </c>
      <c r="J508" t="n">
        <v>0</v>
      </c>
      <c r="K508" t="n">
        <v>0</v>
      </c>
      <c r="L508" t="n">
        <v>0</v>
      </c>
      <c r="M508" t="n">
        <v>0</v>
      </c>
      <c r="N508" t="n">
        <v>0</v>
      </c>
      <c r="O508" t="n">
        <v>0</v>
      </c>
      <c r="P508" t="n">
        <v>0</v>
      </c>
      <c r="Q508" t="n">
        <v>0</v>
      </c>
      <c r="R508" s="2" t="inlineStr"/>
    </row>
    <row r="509" ht="15" customHeight="1">
      <c r="A509" t="inlineStr">
        <is>
          <t>A 20716-2025</t>
        </is>
      </c>
      <c r="B509" s="1" t="n">
        <v>45776.49026620371</v>
      </c>
      <c r="C509" s="1" t="n">
        <v>46049</v>
      </c>
      <c r="D509" t="inlineStr">
        <is>
          <t>VÄSTERNORRLANDS LÄN</t>
        </is>
      </c>
      <c r="E509" t="inlineStr">
        <is>
          <t>ÅNGE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42953-2024</t>
        </is>
      </c>
      <c r="B510" s="1" t="n">
        <v>45567</v>
      </c>
      <c r="C510" s="1" t="n">
        <v>46049</v>
      </c>
      <c r="D510" t="inlineStr">
        <is>
          <t>VÄSTERNORRLANDS LÄN</t>
        </is>
      </c>
      <c r="E510" t="inlineStr">
        <is>
          <t>ÅNGE</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42968-2024</t>
        </is>
      </c>
      <c r="B511" s="1" t="n">
        <v>45567</v>
      </c>
      <c r="C511" s="1" t="n">
        <v>46049</v>
      </c>
      <c r="D511" t="inlineStr">
        <is>
          <t>VÄSTERNORRLANDS LÄN</t>
        </is>
      </c>
      <c r="E511" t="inlineStr">
        <is>
          <t>ÅNGE</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27639-2025</t>
        </is>
      </c>
      <c r="B512" s="1" t="n">
        <v>45813</v>
      </c>
      <c r="C512" s="1" t="n">
        <v>46049</v>
      </c>
      <c r="D512" t="inlineStr">
        <is>
          <t>VÄSTERNORRLANDS LÄN</t>
        </is>
      </c>
      <c r="E512" t="inlineStr">
        <is>
          <t>ÅNGE</t>
        </is>
      </c>
      <c r="G512" t="n">
        <v>22.9</v>
      </c>
      <c r="H512" t="n">
        <v>0</v>
      </c>
      <c r="I512" t="n">
        <v>0</v>
      </c>
      <c r="J512" t="n">
        <v>0</v>
      </c>
      <c r="K512" t="n">
        <v>0</v>
      </c>
      <c r="L512" t="n">
        <v>0</v>
      </c>
      <c r="M512" t="n">
        <v>0</v>
      </c>
      <c r="N512" t="n">
        <v>0</v>
      </c>
      <c r="O512" t="n">
        <v>0</v>
      </c>
      <c r="P512" t="n">
        <v>0</v>
      </c>
      <c r="Q512" t="n">
        <v>0</v>
      </c>
      <c r="R512" s="2" t="inlineStr"/>
    </row>
    <row r="513" ht="15" customHeight="1">
      <c r="A513" t="inlineStr">
        <is>
          <t>A 38711-2025</t>
        </is>
      </c>
      <c r="B513" s="1" t="n">
        <v>45886.34450231482</v>
      </c>
      <c r="C513" s="1" t="n">
        <v>46049</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38715-2025</t>
        </is>
      </c>
      <c r="B514" s="1" t="n">
        <v>45886.34501157407</v>
      </c>
      <c r="C514" s="1" t="n">
        <v>46049</v>
      </c>
      <c r="D514" t="inlineStr">
        <is>
          <t>VÄSTERNORRLANDS LÄN</t>
        </is>
      </c>
      <c r="E514" t="inlineStr">
        <is>
          <t>ÅNGE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28070-2025</t>
        </is>
      </c>
      <c r="B515" s="1" t="n">
        <v>45817.67739583334</v>
      </c>
      <c r="C515" s="1" t="n">
        <v>46049</v>
      </c>
      <c r="D515" t="inlineStr">
        <is>
          <t>VÄSTERNORRLANDS LÄN</t>
        </is>
      </c>
      <c r="E515" t="inlineStr">
        <is>
          <t>ÅNGE</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42100-2023</t>
        </is>
      </c>
      <c r="B516" s="1" t="n">
        <v>45174</v>
      </c>
      <c r="C516" s="1" t="n">
        <v>46049</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39444-2025</t>
        </is>
      </c>
      <c r="B517" s="1" t="n">
        <v>45889.69826388889</v>
      </c>
      <c r="C517" s="1" t="n">
        <v>46049</v>
      </c>
      <c r="D517" t="inlineStr">
        <is>
          <t>VÄSTERNORRLANDS LÄN</t>
        </is>
      </c>
      <c r="E517" t="inlineStr">
        <is>
          <t>ÅNGE</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51411-2023</t>
        </is>
      </c>
      <c r="B518" s="1" t="n">
        <v>45219</v>
      </c>
      <c r="C518" s="1" t="n">
        <v>46049</v>
      </c>
      <c r="D518" t="inlineStr">
        <is>
          <t>VÄSTERNORRLANDS LÄN</t>
        </is>
      </c>
      <c r="E518" t="inlineStr">
        <is>
          <t>ÅNGE</t>
        </is>
      </c>
      <c r="G518" t="n">
        <v>2.5</v>
      </c>
      <c r="H518" t="n">
        <v>0</v>
      </c>
      <c r="I518" t="n">
        <v>0</v>
      </c>
      <c r="J518" t="n">
        <v>0</v>
      </c>
      <c r="K518" t="n">
        <v>0</v>
      </c>
      <c r="L518" t="n">
        <v>0</v>
      </c>
      <c r="M518" t="n">
        <v>0</v>
      </c>
      <c r="N518" t="n">
        <v>0</v>
      </c>
      <c r="O518" t="n">
        <v>0</v>
      </c>
      <c r="P518" t="n">
        <v>0</v>
      </c>
      <c r="Q518" t="n">
        <v>0</v>
      </c>
      <c r="R518" s="2" t="inlineStr"/>
    </row>
    <row r="519" ht="15" customHeight="1">
      <c r="A519" t="inlineStr">
        <is>
          <t>A 1869-2022</t>
        </is>
      </c>
      <c r="B519" s="1" t="n">
        <v>44574</v>
      </c>
      <c r="C519" s="1" t="n">
        <v>46049</v>
      </c>
      <c r="D519" t="inlineStr">
        <is>
          <t>VÄSTERNORRLANDS LÄN</t>
        </is>
      </c>
      <c r="E519" t="inlineStr">
        <is>
          <t>ÅNGE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28085-2025</t>
        </is>
      </c>
      <c r="B520" s="1" t="n">
        <v>45817.71924768519</v>
      </c>
      <c r="C520" s="1" t="n">
        <v>46049</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39434-2025</t>
        </is>
      </c>
      <c r="B521" s="1" t="n">
        <v>45889.67811342593</v>
      </c>
      <c r="C521" s="1" t="n">
        <v>46049</v>
      </c>
      <c r="D521" t="inlineStr">
        <is>
          <t>VÄSTERNORRLANDS LÄN</t>
        </is>
      </c>
      <c r="E521" t="inlineStr">
        <is>
          <t>ÅNGE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28143-2025</t>
        </is>
      </c>
      <c r="B522" s="1" t="n">
        <v>45818.34546296296</v>
      </c>
      <c r="C522" s="1" t="n">
        <v>46049</v>
      </c>
      <c r="D522" t="inlineStr">
        <is>
          <t>VÄSTERNORRLANDS LÄN</t>
        </is>
      </c>
      <c r="E522" t="inlineStr">
        <is>
          <t>ÅNGE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4095-2023</t>
        </is>
      </c>
      <c r="B523" s="1" t="n">
        <v>44952</v>
      </c>
      <c r="C523" s="1" t="n">
        <v>46049</v>
      </c>
      <c r="D523" t="inlineStr">
        <is>
          <t>VÄSTERNORRLANDS LÄN</t>
        </is>
      </c>
      <c r="E523" t="inlineStr">
        <is>
          <t>ÅNGE</t>
        </is>
      </c>
      <c r="G523" t="n">
        <v>13.4</v>
      </c>
      <c r="H523" t="n">
        <v>0</v>
      </c>
      <c r="I523" t="n">
        <v>0</v>
      </c>
      <c r="J523" t="n">
        <v>0</v>
      </c>
      <c r="K523" t="n">
        <v>0</v>
      </c>
      <c r="L523" t="n">
        <v>0</v>
      </c>
      <c r="M523" t="n">
        <v>0</v>
      </c>
      <c r="N523" t="n">
        <v>0</v>
      </c>
      <c r="O523" t="n">
        <v>0</v>
      </c>
      <c r="P523" t="n">
        <v>0</v>
      </c>
      <c r="Q523" t="n">
        <v>0</v>
      </c>
      <c r="R523" s="2" t="inlineStr"/>
    </row>
    <row r="524" ht="15" customHeight="1">
      <c r="A524" t="inlineStr">
        <is>
          <t>A 5367-2022</t>
        </is>
      </c>
      <c r="B524" s="1" t="n">
        <v>44594.92111111111</v>
      </c>
      <c r="C524" s="1" t="n">
        <v>46049</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35578-2025</t>
        </is>
      </c>
      <c r="B525" s="1" t="n">
        <v>45856.67797453704</v>
      </c>
      <c r="C525" s="1" t="n">
        <v>46049</v>
      </c>
      <c r="D525" t="inlineStr">
        <is>
          <t>VÄSTERNORRLANDS LÄN</t>
        </is>
      </c>
      <c r="E525" t="inlineStr">
        <is>
          <t>ÅNGE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72239-2021</t>
        </is>
      </c>
      <c r="B526" s="1" t="n">
        <v>44544.9203587963</v>
      </c>
      <c r="C526" s="1" t="n">
        <v>46049</v>
      </c>
      <c r="D526" t="inlineStr">
        <is>
          <t>VÄSTERNORRLANDS LÄN</t>
        </is>
      </c>
      <c r="E526" t="inlineStr">
        <is>
          <t>ÅNGE</t>
        </is>
      </c>
      <c r="G526" t="n">
        <v>1.2</v>
      </c>
      <c r="H526" t="n">
        <v>0</v>
      </c>
      <c r="I526" t="n">
        <v>0</v>
      </c>
      <c r="J526" t="n">
        <v>0</v>
      </c>
      <c r="K526" t="n">
        <v>0</v>
      </c>
      <c r="L526" t="n">
        <v>0</v>
      </c>
      <c r="M526" t="n">
        <v>0</v>
      </c>
      <c r="N526" t="n">
        <v>0</v>
      </c>
      <c r="O526" t="n">
        <v>0</v>
      </c>
      <c r="P526" t="n">
        <v>0</v>
      </c>
      <c r="Q526" t="n">
        <v>0</v>
      </c>
      <c r="R526" s="2" t="inlineStr"/>
    </row>
    <row r="527" ht="15" customHeight="1">
      <c r="A527" t="inlineStr">
        <is>
          <t>A 39768-2025</t>
        </is>
      </c>
      <c r="B527" s="1" t="n">
        <v>45891.44842592593</v>
      </c>
      <c r="C527" s="1" t="n">
        <v>46049</v>
      </c>
      <c r="D527" t="inlineStr">
        <is>
          <t>VÄSTERNORRLANDS LÄN</t>
        </is>
      </c>
      <c r="E527" t="inlineStr">
        <is>
          <t>ÅNGE</t>
        </is>
      </c>
      <c r="G527" t="n">
        <v>10.4</v>
      </c>
      <c r="H527" t="n">
        <v>0</v>
      </c>
      <c r="I527" t="n">
        <v>0</v>
      </c>
      <c r="J527" t="n">
        <v>0</v>
      </c>
      <c r="K527" t="n">
        <v>0</v>
      </c>
      <c r="L527" t="n">
        <v>0</v>
      </c>
      <c r="M527" t="n">
        <v>0</v>
      </c>
      <c r="N527" t="n">
        <v>0</v>
      </c>
      <c r="O527" t="n">
        <v>0</v>
      </c>
      <c r="P527" t="n">
        <v>0</v>
      </c>
      <c r="Q527" t="n">
        <v>0</v>
      </c>
      <c r="R527" s="2" t="inlineStr"/>
    </row>
    <row r="528" ht="15" customHeight="1">
      <c r="A528" t="inlineStr">
        <is>
          <t>A 28404-2025</t>
        </is>
      </c>
      <c r="B528" s="1" t="n">
        <v>45819.34532407407</v>
      </c>
      <c r="C528" s="1" t="n">
        <v>46049</v>
      </c>
      <c r="D528" t="inlineStr">
        <is>
          <t>VÄSTERNORRLANDS LÄN</t>
        </is>
      </c>
      <c r="E528" t="inlineStr">
        <is>
          <t>ÅNGE</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28896-2025</t>
        </is>
      </c>
      <c r="B529" s="1" t="n">
        <v>45820.63584490741</v>
      </c>
      <c r="C529" s="1" t="n">
        <v>46049</v>
      </c>
      <c r="D529" t="inlineStr">
        <is>
          <t>VÄSTERNORRLANDS LÄN</t>
        </is>
      </c>
      <c r="E529" t="inlineStr">
        <is>
          <t>ÅNGE</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55882-2022</t>
        </is>
      </c>
      <c r="B530" s="1" t="n">
        <v>44888</v>
      </c>
      <c r="C530" s="1" t="n">
        <v>46049</v>
      </c>
      <c r="D530" t="inlineStr">
        <is>
          <t>VÄSTERNORRLANDS LÄN</t>
        </is>
      </c>
      <c r="E530" t="inlineStr">
        <is>
          <t>ÅNGE</t>
        </is>
      </c>
      <c r="G530" t="n">
        <v>2.7</v>
      </c>
      <c r="H530" t="n">
        <v>0</v>
      </c>
      <c r="I530" t="n">
        <v>0</v>
      </c>
      <c r="J530" t="n">
        <v>0</v>
      </c>
      <c r="K530" t="n">
        <v>0</v>
      </c>
      <c r="L530" t="n">
        <v>0</v>
      </c>
      <c r="M530" t="n">
        <v>0</v>
      </c>
      <c r="N530" t="n">
        <v>0</v>
      </c>
      <c r="O530" t="n">
        <v>0</v>
      </c>
      <c r="P530" t="n">
        <v>0</v>
      </c>
      <c r="Q530" t="n">
        <v>0</v>
      </c>
      <c r="R530" s="2" t="inlineStr"/>
    </row>
    <row r="531" ht="15" customHeight="1">
      <c r="A531" t="inlineStr">
        <is>
          <t>A 33720-2025</t>
        </is>
      </c>
      <c r="B531" s="1" t="n">
        <v>45841.90605324074</v>
      </c>
      <c r="C531" s="1" t="n">
        <v>46049</v>
      </c>
      <c r="D531" t="inlineStr">
        <is>
          <t>VÄSTERNORRLANDS LÄN</t>
        </is>
      </c>
      <c r="E531" t="inlineStr">
        <is>
          <t>ÅNGE</t>
        </is>
      </c>
      <c r="G531" t="n">
        <v>6.4</v>
      </c>
      <c r="H531" t="n">
        <v>0</v>
      </c>
      <c r="I531" t="n">
        <v>0</v>
      </c>
      <c r="J531" t="n">
        <v>0</v>
      </c>
      <c r="K531" t="n">
        <v>0</v>
      </c>
      <c r="L531" t="n">
        <v>0</v>
      </c>
      <c r="M531" t="n">
        <v>0</v>
      </c>
      <c r="N531" t="n">
        <v>0</v>
      </c>
      <c r="O531" t="n">
        <v>0</v>
      </c>
      <c r="P531" t="n">
        <v>0</v>
      </c>
      <c r="Q531" t="n">
        <v>0</v>
      </c>
      <c r="R531" s="2" t="inlineStr"/>
    </row>
    <row r="532" ht="15" customHeight="1">
      <c r="A532" t="inlineStr">
        <is>
          <t>A 39729-2025</t>
        </is>
      </c>
      <c r="B532" s="1" t="n">
        <v>45891</v>
      </c>
      <c r="C532" s="1" t="n">
        <v>46049</v>
      </c>
      <c r="D532" t="inlineStr">
        <is>
          <t>VÄSTERNORRLANDS LÄN</t>
        </is>
      </c>
      <c r="E532" t="inlineStr">
        <is>
          <t>ÅNGE</t>
        </is>
      </c>
      <c r="G532" t="n">
        <v>2.3</v>
      </c>
      <c r="H532" t="n">
        <v>0</v>
      </c>
      <c r="I532" t="n">
        <v>0</v>
      </c>
      <c r="J532" t="n">
        <v>0</v>
      </c>
      <c r="K532" t="n">
        <v>0</v>
      </c>
      <c r="L532" t="n">
        <v>0</v>
      </c>
      <c r="M532" t="n">
        <v>0</v>
      </c>
      <c r="N532" t="n">
        <v>0</v>
      </c>
      <c r="O532" t="n">
        <v>0</v>
      </c>
      <c r="P532" t="n">
        <v>0</v>
      </c>
      <c r="Q532" t="n">
        <v>0</v>
      </c>
      <c r="R532" s="2" t="inlineStr"/>
    </row>
    <row r="533" ht="15" customHeight="1">
      <c r="A533" t="inlineStr">
        <is>
          <t>A 46249-2024</t>
        </is>
      </c>
      <c r="B533" s="1" t="n">
        <v>45581.59409722222</v>
      </c>
      <c r="C533" s="1" t="n">
        <v>46049</v>
      </c>
      <c r="D533" t="inlineStr">
        <is>
          <t>VÄSTERNORRLANDS LÄN</t>
        </is>
      </c>
      <c r="E533" t="inlineStr">
        <is>
          <t>ÅNGE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28819-2025</t>
        </is>
      </c>
      <c r="B534" s="1" t="n">
        <v>45820.53758101852</v>
      </c>
      <c r="C534" s="1" t="n">
        <v>46049</v>
      </c>
      <c r="D534" t="inlineStr">
        <is>
          <t>VÄSTERNORRLANDS LÄN</t>
        </is>
      </c>
      <c r="E534" t="inlineStr">
        <is>
          <t>ÅNGE</t>
        </is>
      </c>
      <c r="G534" t="n">
        <v>2.9</v>
      </c>
      <c r="H534" t="n">
        <v>0</v>
      </c>
      <c r="I534" t="n">
        <v>0</v>
      </c>
      <c r="J534" t="n">
        <v>0</v>
      </c>
      <c r="K534" t="n">
        <v>0</v>
      </c>
      <c r="L534" t="n">
        <v>0</v>
      </c>
      <c r="M534" t="n">
        <v>0</v>
      </c>
      <c r="N534" t="n">
        <v>0</v>
      </c>
      <c r="O534" t="n">
        <v>0</v>
      </c>
      <c r="P534" t="n">
        <v>0</v>
      </c>
      <c r="Q534" t="n">
        <v>0</v>
      </c>
      <c r="R534" s="2" t="inlineStr"/>
    </row>
    <row r="535" ht="15" customHeight="1">
      <c r="A535" t="inlineStr">
        <is>
          <t>A 28845-2025</t>
        </is>
      </c>
      <c r="B535" s="1" t="n">
        <v>45820.57324074074</v>
      </c>
      <c r="C535" s="1" t="n">
        <v>46049</v>
      </c>
      <c r="D535" t="inlineStr">
        <is>
          <t>VÄSTERNORRLANDS LÄN</t>
        </is>
      </c>
      <c r="E535" t="inlineStr">
        <is>
          <t>ÅNGE</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28814-2025</t>
        </is>
      </c>
      <c r="B536" s="1" t="n">
        <v>45820.52846064815</v>
      </c>
      <c r="C536" s="1" t="n">
        <v>46049</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16450-2025</t>
        </is>
      </c>
      <c r="B537" s="1" t="n">
        <v>45751.51081018519</v>
      </c>
      <c r="C537" s="1" t="n">
        <v>46049</v>
      </c>
      <c r="D537" t="inlineStr">
        <is>
          <t>VÄSTERNORRLANDS LÄN</t>
        </is>
      </c>
      <c r="E537" t="inlineStr">
        <is>
          <t>ÅNGE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28717-2025</t>
        </is>
      </c>
      <c r="B538" s="1" t="n">
        <v>45820</v>
      </c>
      <c r="C538" s="1" t="n">
        <v>46049</v>
      </c>
      <c r="D538" t="inlineStr">
        <is>
          <t>VÄSTERNORRLANDS LÄN</t>
        </is>
      </c>
      <c r="E538" t="inlineStr">
        <is>
          <t>ÅNGE</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29350-2025</t>
        </is>
      </c>
      <c r="B539" s="1" t="n">
        <v>45824.53206018519</v>
      </c>
      <c r="C539" s="1" t="n">
        <v>46049</v>
      </c>
      <c r="D539" t="inlineStr">
        <is>
          <t>VÄSTERNORRLANDS LÄN</t>
        </is>
      </c>
      <c r="E539" t="inlineStr">
        <is>
          <t>ÅNGE</t>
        </is>
      </c>
      <c r="G539" t="n">
        <v>8.6</v>
      </c>
      <c r="H539" t="n">
        <v>0</v>
      </c>
      <c r="I539" t="n">
        <v>0</v>
      </c>
      <c r="J539" t="n">
        <v>0</v>
      </c>
      <c r="K539" t="n">
        <v>0</v>
      </c>
      <c r="L539" t="n">
        <v>0</v>
      </c>
      <c r="M539" t="n">
        <v>0</v>
      </c>
      <c r="N539" t="n">
        <v>0</v>
      </c>
      <c r="O539" t="n">
        <v>0</v>
      </c>
      <c r="P539" t="n">
        <v>0</v>
      </c>
      <c r="Q539" t="n">
        <v>0</v>
      </c>
      <c r="R539" s="2" t="inlineStr"/>
    </row>
    <row r="540" ht="15" customHeight="1">
      <c r="A540" t="inlineStr">
        <is>
          <t>A 38272-2024</t>
        </is>
      </c>
      <c r="B540" s="1" t="n">
        <v>45545.60392361111</v>
      </c>
      <c r="C540" s="1" t="n">
        <v>46049</v>
      </c>
      <c r="D540" t="inlineStr">
        <is>
          <t>VÄSTERNORRLANDS LÄN</t>
        </is>
      </c>
      <c r="E540" t="inlineStr">
        <is>
          <t>ÅNGE</t>
        </is>
      </c>
      <c r="G540" t="n">
        <v>1.7</v>
      </c>
      <c r="H540" t="n">
        <v>0</v>
      </c>
      <c r="I540" t="n">
        <v>0</v>
      </c>
      <c r="J540" t="n">
        <v>0</v>
      </c>
      <c r="K540" t="n">
        <v>0</v>
      </c>
      <c r="L540" t="n">
        <v>0</v>
      </c>
      <c r="M540" t="n">
        <v>0</v>
      </c>
      <c r="N540" t="n">
        <v>0</v>
      </c>
      <c r="O540" t="n">
        <v>0</v>
      </c>
      <c r="P540" t="n">
        <v>0</v>
      </c>
      <c r="Q540" t="n">
        <v>0</v>
      </c>
      <c r="R540" s="2" t="inlineStr"/>
    </row>
    <row r="541" ht="15" customHeight="1">
      <c r="A541" t="inlineStr">
        <is>
          <t>A 29153-2025</t>
        </is>
      </c>
      <c r="B541" s="1" t="n">
        <v>45821.63574074074</v>
      </c>
      <c r="C541" s="1" t="n">
        <v>46049</v>
      </c>
      <c r="D541" t="inlineStr">
        <is>
          <t>VÄSTERNORRLANDS LÄN</t>
        </is>
      </c>
      <c r="E541" t="inlineStr">
        <is>
          <t>ÅNGE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40665-2025</t>
        </is>
      </c>
      <c r="B542" s="1" t="n">
        <v>45896.65663194445</v>
      </c>
      <c r="C542" s="1" t="n">
        <v>46049</v>
      </c>
      <c r="D542" t="inlineStr">
        <is>
          <t>VÄSTERNORRLANDS LÄN</t>
        </is>
      </c>
      <c r="E542" t="inlineStr">
        <is>
          <t>ÅNGE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16593-2023</t>
        </is>
      </c>
      <c r="B543" s="1" t="n">
        <v>45030</v>
      </c>
      <c r="C543" s="1" t="n">
        <v>46049</v>
      </c>
      <c r="D543" t="inlineStr">
        <is>
          <t>VÄSTERNORRLANDS LÄN</t>
        </is>
      </c>
      <c r="E543" t="inlineStr">
        <is>
          <t>ÅNGE</t>
        </is>
      </c>
      <c r="G543" t="n">
        <v>0.7</v>
      </c>
      <c r="H543" t="n">
        <v>0</v>
      </c>
      <c r="I543" t="n">
        <v>0</v>
      </c>
      <c r="J543" t="n">
        <v>0</v>
      </c>
      <c r="K543" t="n">
        <v>0</v>
      </c>
      <c r="L543" t="n">
        <v>0</v>
      </c>
      <c r="M543" t="n">
        <v>0</v>
      </c>
      <c r="N543" t="n">
        <v>0</v>
      </c>
      <c r="O543" t="n">
        <v>0</v>
      </c>
      <c r="P543" t="n">
        <v>0</v>
      </c>
      <c r="Q543" t="n">
        <v>0</v>
      </c>
      <c r="R543" s="2" t="inlineStr"/>
    </row>
    <row r="544" ht="15" customHeight="1">
      <c r="A544" t="inlineStr">
        <is>
          <t>A 16600-2023</t>
        </is>
      </c>
      <c r="B544" s="1" t="n">
        <v>45030</v>
      </c>
      <c r="C544" s="1" t="n">
        <v>46049</v>
      </c>
      <c r="D544" t="inlineStr">
        <is>
          <t>VÄSTERNORRLANDS LÄN</t>
        </is>
      </c>
      <c r="E544" t="inlineStr">
        <is>
          <t>ÅNGE</t>
        </is>
      </c>
      <c r="G544" t="n">
        <v>0.1</v>
      </c>
      <c r="H544" t="n">
        <v>0</v>
      </c>
      <c r="I544" t="n">
        <v>0</v>
      </c>
      <c r="J544" t="n">
        <v>0</v>
      </c>
      <c r="K544" t="n">
        <v>0</v>
      </c>
      <c r="L544" t="n">
        <v>0</v>
      </c>
      <c r="M544" t="n">
        <v>0</v>
      </c>
      <c r="N544" t="n">
        <v>0</v>
      </c>
      <c r="O544" t="n">
        <v>0</v>
      </c>
      <c r="P544" t="n">
        <v>0</v>
      </c>
      <c r="Q544" t="n">
        <v>0</v>
      </c>
      <c r="R544" s="2" t="inlineStr"/>
    </row>
    <row r="545" ht="15" customHeight="1">
      <c r="A545" t="inlineStr">
        <is>
          <t>A 42488-2024</t>
        </is>
      </c>
      <c r="B545" s="1" t="n">
        <v>45565.49420138889</v>
      </c>
      <c r="C545" s="1" t="n">
        <v>46049</v>
      </c>
      <c r="D545" t="inlineStr">
        <is>
          <t>VÄSTERNORRLANDS LÄN</t>
        </is>
      </c>
      <c r="E545" t="inlineStr">
        <is>
          <t>ÅNGE</t>
        </is>
      </c>
      <c r="F545" t="inlineStr">
        <is>
          <t>SCA</t>
        </is>
      </c>
      <c r="G545" t="n">
        <v>6</v>
      </c>
      <c r="H545" t="n">
        <v>0</v>
      </c>
      <c r="I545" t="n">
        <v>0</v>
      </c>
      <c r="J545" t="n">
        <v>0</v>
      </c>
      <c r="K545" t="n">
        <v>0</v>
      </c>
      <c r="L545" t="n">
        <v>0</v>
      </c>
      <c r="M545" t="n">
        <v>0</v>
      </c>
      <c r="N545" t="n">
        <v>0</v>
      </c>
      <c r="O545" t="n">
        <v>0</v>
      </c>
      <c r="P545" t="n">
        <v>0</v>
      </c>
      <c r="Q545" t="n">
        <v>0</v>
      </c>
      <c r="R545" s="2" t="inlineStr"/>
    </row>
    <row r="546" ht="15" customHeight="1">
      <c r="A546" t="inlineStr">
        <is>
          <t>A 35399-2024</t>
        </is>
      </c>
      <c r="B546" s="1" t="n">
        <v>45531.40438657408</v>
      </c>
      <c r="C546" s="1" t="n">
        <v>46049</v>
      </c>
      <c r="D546" t="inlineStr">
        <is>
          <t>VÄSTERNORRLANDS LÄN</t>
        </is>
      </c>
      <c r="E546" t="inlineStr">
        <is>
          <t>ÅNGE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39682-2024</t>
        </is>
      </c>
      <c r="B547" s="1" t="n">
        <v>45552</v>
      </c>
      <c r="C547" s="1" t="n">
        <v>46049</v>
      </c>
      <c r="D547" t="inlineStr">
        <is>
          <t>VÄSTERNORRLANDS LÄN</t>
        </is>
      </c>
      <c r="E547" t="inlineStr">
        <is>
          <t>ÅNGE</t>
        </is>
      </c>
      <c r="G547" t="n">
        <v>35.4</v>
      </c>
      <c r="H547" t="n">
        <v>0</v>
      </c>
      <c r="I547" t="n">
        <v>0</v>
      </c>
      <c r="J547" t="n">
        <v>0</v>
      </c>
      <c r="K547" t="n">
        <v>0</v>
      </c>
      <c r="L547" t="n">
        <v>0</v>
      </c>
      <c r="M547" t="n">
        <v>0</v>
      </c>
      <c r="N547" t="n">
        <v>0</v>
      </c>
      <c r="O547" t="n">
        <v>0</v>
      </c>
      <c r="P547" t="n">
        <v>0</v>
      </c>
      <c r="Q547" t="n">
        <v>0</v>
      </c>
      <c r="R547" s="2" t="inlineStr"/>
    </row>
    <row r="548" ht="15" customHeight="1">
      <c r="A548" t="inlineStr">
        <is>
          <t>A 29862-2025</t>
        </is>
      </c>
      <c r="B548" s="1" t="n">
        <v>45826.3465625</v>
      </c>
      <c r="C548" s="1" t="n">
        <v>46049</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29882-2025</t>
        </is>
      </c>
      <c r="B549" s="1" t="n">
        <v>45826.36548611111</v>
      </c>
      <c r="C549" s="1" t="n">
        <v>46049</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17668-2023</t>
        </is>
      </c>
      <c r="B550" s="1" t="n">
        <v>45036</v>
      </c>
      <c r="C550" s="1" t="n">
        <v>46049</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8406-2023</t>
        </is>
      </c>
      <c r="B551" s="1" t="n">
        <v>44971</v>
      </c>
      <c r="C551" s="1" t="n">
        <v>46049</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29916-2025</t>
        </is>
      </c>
      <c r="B552" s="1" t="n">
        <v>45826.41822916667</v>
      </c>
      <c r="C552" s="1" t="n">
        <v>46049</v>
      </c>
      <c r="D552" t="inlineStr">
        <is>
          <t>VÄSTERNORRLANDS LÄN</t>
        </is>
      </c>
      <c r="E552" t="inlineStr">
        <is>
          <t>ÅNGE</t>
        </is>
      </c>
      <c r="G552" t="n">
        <v>3.4</v>
      </c>
      <c r="H552" t="n">
        <v>0</v>
      </c>
      <c r="I552" t="n">
        <v>0</v>
      </c>
      <c r="J552" t="n">
        <v>0</v>
      </c>
      <c r="K552" t="n">
        <v>0</v>
      </c>
      <c r="L552" t="n">
        <v>0</v>
      </c>
      <c r="M552" t="n">
        <v>0</v>
      </c>
      <c r="N552" t="n">
        <v>0</v>
      </c>
      <c r="O552" t="n">
        <v>0</v>
      </c>
      <c r="P552" t="n">
        <v>0</v>
      </c>
      <c r="Q552" t="n">
        <v>0</v>
      </c>
      <c r="R552" s="2" t="inlineStr"/>
    </row>
    <row r="553" ht="15" customHeight="1">
      <c r="A553" t="inlineStr">
        <is>
          <t>A 41179-2025</t>
        </is>
      </c>
      <c r="B553" s="1" t="n">
        <v>45898.55277777778</v>
      </c>
      <c r="C553" s="1" t="n">
        <v>46049</v>
      </c>
      <c r="D553" t="inlineStr">
        <is>
          <t>VÄSTERNORRLANDS LÄN</t>
        </is>
      </c>
      <c r="E553" t="inlineStr">
        <is>
          <t>ÅNGE</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4651-2022</t>
        </is>
      </c>
      <c r="B554" s="1" t="n">
        <v>44592</v>
      </c>
      <c r="C554" s="1" t="n">
        <v>46049</v>
      </c>
      <c r="D554" t="inlineStr">
        <is>
          <t>VÄSTERNORRLANDS LÄN</t>
        </is>
      </c>
      <c r="E554" t="inlineStr">
        <is>
          <t>ÅNGE</t>
        </is>
      </c>
      <c r="G554" t="n">
        <v>1.7</v>
      </c>
      <c r="H554" t="n">
        <v>0</v>
      </c>
      <c r="I554" t="n">
        <v>0</v>
      </c>
      <c r="J554" t="n">
        <v>0</v>
      </c>
      <c r="K554" t="n">
        <v>0</v>
      </c>
      <c r="L554" t="n">
        <v>0</v>
      </c>
      <c r="M554" t="n">
        <v>0</v>
      </c>
      <c r="N554" t="n">
        <v>0</v>
      </c>
      <c r="O554" t="n">
        <v>0</v>
      </c>
      <c r="P554" t="n">
        <v>0</v>
      </c>
      <c r="Q554" t="n">
        <v>0</v>
      </c>
      <c r="R554" s="2" t="inlineStr"/>
    </row>
    <row r="555" ht="15" customHeight="1">
      <c r="A555" t="inlineStr">
        <is>
          <t>A 45933-2023</t>
        </is>
      </c>
      <c r="B555" s="1" t="n">
        <v>45195</v>
      </c>
      <c r="C555" s="1" t="n">
        <v>46049</v>
      </c>
      <c r="D555" t="inlineStr">
        <is>
          <t>VÄSTERNORRLANDS LÄN</t>
        </is>
      </c>
      <c r="E555" t="inlineStr">
        <is>
          <t>ÅNGE</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57601-2022</t>
        </is>
      </c>
      <c r="B556" s="1" t="n">
        <v>44896</v>
      </c>
      <c r="C556" s="1" t="n">
        <v>46049</v>
      </c>
      <c r="D556" t="inlineStr">
        <is>
          <t>VÄSTERNORRLANDS LÄN</t>
        </is>
      </c>
      <c r="E556" t="inlineStr">
        <is>
          <t>ÅNGE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41173-2025</t>
        </is>
      </c>
      <c r="B557" s="1" t="n">
        <v>45898</v>
      </c>
      <c r="C557" s="1" t="n">
        <v>46049</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40898-2025</t>
        </is>
      </c>
      <c r="B558" s="1" t="n">
        <v>45897.61503472222</v>
      </c>
      <c r="C558" s="1" t="n">
        <v>46049</v>
      </c>
      <c r="D558" t="inlineStr">
        <is>
          <t>VÄSTERNORRLANDS LÄN</t>
        </is>
      </c>
      <c r="E558" t="inlineStr">
        <is>
          <t>ÅNGE</t>
        </is>
      </c>
      <c r="F558" t="inlineStr">
        <is>
          <t>SCA</t>
        </is>
      </c>
      <c r="G558" t="n">
        <v>3.7</v>
      </c>
      <c r="H558" t="n">
        <v>0</v>
      </c>
      <c r="I558" t="n">
        <v>0</v>
      </c>
      <c r="J558" t="n">
        <v>0</v>
      </c>
      <c r="K558" t="n">
        <v>0</v>
      </c>
      <c r="L558" t="n">
        <v>0</v>
      </c>
      <c r="M558" t="n">
        <v>0</v>
      </c>
      <c r="N558" t="n">
        <v>0</v>
      </c>
      <c r="O558" t="n">
        <v>0</v>
      </c>
      <c r="P558" t="n">
        <v>0</v>
      </c>
      <c r="Q558" t="n">
        <v>0</v>
      </c>
      <c r="R558" s="2" t="inlineStr"/>
    </row>
    <row r="559" ht="15" customHeight="1">
      <c r="A559" t="inlineStr">
        <is>
          <t>A 40899-2025</t>
        </is>
      </c>
      <c r="B559" s="1" t="n">
        <v>45897.61528935185</v>
      </c>
      <c r="C559" s="1" t="n">
        <v>46049</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29560-2025</t>
        </is>
      </c>
      <c r="B560" s="1" t="n">
        <v>45825.36497685185</v>
      </c>
      <c r="C560" s="1" t="n">
        <v>46049</v>
      </c>
      <c r="D560" t="inlineStr">
        <is>
          <t>VÄSTERNORRLANDS LÄN</t>
        </is>
      </c>
      <c r="E560" t="inlineStr">
        <is>
          <t>ÅNGE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34649-2024</t>
        </is>
      </c>
      <c r="B561" s="1" t="n">
        <v>45526.48325231481</v>
      </c>
      <c r="C561" s="1" t="n">
        <v>46049</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29786-2025</t>
        </is>
      </c>
      <c r="B562" s="1" t="n">
        <v>45825.65663194445</v>
      </c>
      <c r="C562" s="1" t="n">
        <v>46049</v>
      </c>
      <c r="D562" t="inlineStr">
        <is>
          <t>VÄSTERNORRLANDS LÄN</t>
        </is>
      </c>
      <c r="E562" t="inlineStr">
        <is>
          <t>ÅNGE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40872-2025</t>
        </is>
      </c>
      <c r="B563" s="1" t="n">
        <v>45897.574375</v>
      </c>
      <c r="C563" s="1" t="n">
        <v>46049</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40818-2025</t>
        </is>
      </c>
      <c r="B564" s="1" t="n">
        <v>45897.48881944444</v>
      </c>
      <c r="C564" s="1" t="n">
        <v>46049</v>
      </c>
      <c r="D564" t="inlineStr">
        <is>
          <t>VÄSTERNORRLANDS LÄN</t>
        </is>
      </c>
      <c r="E564" t="inlineStr">
        <is>
          <t>ÅNGE</t>
        </is>
      </c>
      <c r="G564" t="n">
        <v>2.9</v>
      </c>
      <c r="H564" t="n">
        <v>0</v>
      </c>
      <c r="I564" t="n">
        <v>0</v>
      </c>
      <c r="J564" t="n">
        <v>0</v>
      </c>
      <c r="K564" t="n">
        <v>0</v>
      </c>
      <c r="L564" t="n">
        <v>0</v>
      </c>
      <c r="M564" t="n">
        <v>0</v>
      </c>
      <c r="N564" t="n">
        <v>0</v>
      </c>
      <c r="O564" t="n">
        <v>0</v>
      </c>
      <c r="P564" t="n">
        <v>0</v>
      </c>
      <c r="Q564" t="n">
        <v>0</v>
      </c>
      <c r="R564" s="2" t="inlineStr"/>
    </row>
    <row r="565" ht="15" customHeight="1">
      <c r="A565" t="inlineStr">
        <is>
          <t>A 40830-2025</t>
        </is>
      </c>
      <c r="B565" s="1" t="n">
        <v>45897.51079861111</v>
      </c>
      <c r="C565" s="1" t="n">
        <v>46049</v>
      </c>
      <c r="D565" t="inlineStr">
        <is>
          <t>VÄSTERNORRLANDS LÄN</t>
        </is>
      </c>
      <c r="E565" t="inlineStr">
        <is>
          <t>ÅNGE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30475-2025</t>
        </is>
      </c>
      <c r="B566" s="1" t="n">
        <v>45828.34444444445</v>
      </c>
      <c r="C566" s="1" t="n">
        <v>46049</v>
      </c>
      <c r="D566" t="inlineStr">
        <is>
          <t>VÄSTERNORRLANDS LÄN</t>
        </is>
      </c>
      <c r="E566" t="inlineStr">
        <is>
          <t>ÅNGE</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34679-2024</t>
        </is>
      </c>
      <c r="B567" s="1" t="n">
        <v>45526</v>
      </c>
      <c r="C567" s="1" t="n">
        <v>46049</v>
      </c>
      <c r="D567" t="inlineStr">
        <is>
          <t>VÄSTERNORRLANDS LÄN</t>
        </is>
      </c>
      <c r="E567" t="inlineStr">
        <is>
          <t>ÅNGE</t>
        </is>
      </c>
      <c r="G567" t="n">
        <v>1.4</v>
      </c>
      <c r="H567" t="n">
        <v>0</v>
      </c>
      <c r="I567" t="n">
        <v>0</v>
      </c>
      <c r="J567" t="n">
        <v>0</v>
      </c>
      <c r="K567" t="n">
        <v>0</v>
      </c>
      <c r="L567" t="n">
        <v>0</v>
      </c>
      <c r="M567" t="n">
        <v>0</v>
      </c>
      <c r="N567" t="n">
        <v>0</v>
      </c>
      <c r="O567" t="n">
        <v>0</v>
      </c>
      <c r="P567" t="n">
        <v>0</v>
      </c>
      <c r="Q567" t="n">
        <v>0</v>
      </c>
      <c r="R567" s="2" t="inlineStr"/>
    </row>
    <row r="568" ht="15" customHeight="1">
      <c r="A568" t="inlineStr">
        <is>
          <t>A 58445-2022</t>
        </is>
      </c>
      <c r="B568" s="1" t="n">
        <v>44901.95453703704</v>
      </c>
      <c r="C568" s="1" t="n">
        <v>46049</v>
      </c>
      <c r="D568" t="inlineStr">
        <is>
          <t>VÄSTERNORRLANDS LÄN</t>
        </is>
      </c>
      <c r="E568" t="inlineStr">
        <is>
          <t>ÅNGE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23058-2024</t>
        </is>
      </c>
      <c r="B569" s="1" t="n">
        <v>45450.44020833333</v>
      </c>
      <c r="C569" s="1" t="n">
        <v>46049</v>
      </c>
      <c r="D569" t="inlineStr">
        <is>
          <t>VÄSTERNORRLANDS LÄN</t>
        </is>
      </c>
      <c r="E569" t="inlineStr">
        <is>
          <t>ÅNGE</t>
        </is>
      </c>
      <c r="G569" t="n">
        <v>3.9</v>
      </c>
      <c r="H569" t="n">
        <v>0</v>
      </c>
      <c r="I569" t="n">
        <v>0</v>
      </c>
      <c r="J569" t="n">
        <v>0</v>
      </c>
      <c r="K569" t="n">
        <v>0</v>
      </c>
      <c r="L569" t="n">
        <v>0</v>
      </c>
      <c r="M569" t="n">
        <v>0</v>
      </c>
      <c r="N569" t="n">
        <v>0</v>
      </c>
      <c r="O569" t="n">
        <v>0</v>
      </c>
      <c r="P569" t="n">
        <v>0</v>
      </c>
      <c r="Q569" t="n">
        <v>0</v>
      </c>
      <c r="R569" s="2" t="inlineStr"/>
    </row>
    <row r="570" ht="15" customHeight="1">
      <c r="A570" t="inlineStr">
        <is>
          <t>A 64946-2023</t>
        </is>
      </c>
      <c r="B570" s="1" t="n">
        <v>45282.94678240741</v>
      </c>
      <c r="C570" s="1" t="n">
        <v>46049</v>
      </c>
      <c r="D570" t="inlineStr">
        <is>
          <t>VÄSTERNORRLANDS LÄN</t>
        </is>
      </c>
      <c r="E570" t="inlineStr">
        <is>
          <t>ÅNGE</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41355-2025</t>
        </is>
      </c>
      <c r="B571" s="1" t="n">
        <v>45900.34425925926</v>
      </c>
      <c r="C571" s="1" t="n">
        <v>46049</v>
      </c>
      <c r="D571" t="inlineStr">
        <is>
          <t>VÄSTERNORRLANDS LÄN</t>
        </is>
      </c>
      <c r="E571" t="inlineStr">
        <is>
          <t>ÅNGE</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30875-2025</t>
        </is>
      </c>
      <c r="B572" s="1" t="n">
        <v>45832.34447916667</v>
      </c>
      <c r="C572" s="1" t="n">
        <v>46049</v>
      </c>
      <c r="D572" t="inlineStr">
        <is>
          <t>VÄSTERNORRLANDS LÄN</t>
        </is>
      </c>
      <c r="E572" t="inlineStr">
        <is>
          <t>ÅNGE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31211-2025</t>
        </is>
      </c>
      <c r="B573" s="1" t="n">
        <v>45832.71938657408</v>
      </c>
      <c r="C573" s="1" t="n">
        <v>46049</v>
      </c>
      <c r="D573" t="inlineStr">
        <is>
          <t>VÄSTERNORRLANDS LÄN</t>
        </is>
      </c>
      <c r="E573" t="inlineStr">
        <is>
          <t>ÅNGE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30618-2025</t>
        </is>
      </c>
      <c r="B574" s="1" t="n">
        <v>45831.46909722222</v>
      </c>
      <c r="C574" s="1" t="n">
        <v>46049</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31188-2025</t>
        </is>
      </c>
      <c r="B575" s="1" t="n">
        <v>45832.67842592593</v>
      </c>
      <c r="C575" s="1" t="n">
        <v>46049</v>
      </c>
      <c r="D575" t="inlineStr">
        <is>
          <t>VÄSTERNORRLANDS LÄN</t>
        </is>
      </c>
      <c r="E575" t="inlineStr">
        <is>
          <t>ÅNGE</t>
        </is>
      </c>
      <c r="F575" t="inlineStr">
        <is>
          <t>SCA</t>
        </is>
      </c>
      <c r="G575" t="n">
        <v>14.9</v>
      </c>
      <c r="H575" t="n">
        <v>0</v>
      </c>
      <c r="I575" t="n">
        <v>0</v>
      </c>
      <c r="J575" t="n">
        <v>0</v>
      </c>
      <c r="K575" t="n">
        <v>0</v>
      </c>
      <c r="L575" t="n">
        <v>0</v>
      </c>
      <c r="M575" t="n">
        <v>0</v>
      </c>
      <c r="N575" t="n">
        <v>0</v>
      </c>
      <c r="O575" t="n">
        <v>0</v>
      </c>
      <c r="P575" t="n">
        <v>0</v>
      </c>
      <c r="Q575" t="n">
        <v>0</v>
      </c>
      <c r="R575" s="2" t="inlineStr"/>
    </row>
    <row r="576" ht="15" customHeight="1">
      <c r="A576" t="inlineStr">
        <is>
          <t>A 31042-2025</t>
        </is>
      </c>
      <c r="B576" s="1" t="n">
        <v>45832.55267361111</v>
      </c>
      <c r="C576" s="1" t="n">
        <v>46049</v>
      </c>
      <c r="D576" t="inlineStr">
        <is>
          <t>VÄSTERNORRLANDS LÄN</t>
        </is>
      </c>
      <c r="E576" t="inlineStr">
        <is>
          <t>ÅNGE</t>
        </is>
      </c>
      <c r="F576" t="inlineStr">
        <is>
          <t>SCA</t>
        </is>
      </c>
      <c r="G576" t="n">
        <v>11.8</v>
      </c>
      <c r="H576" t="n">
        <v>0</v>
      </c>
      <c r="I576" t="n">
        <v>0</v>
      </c>
      <c r="J576" t="n">
        <v>0</v>
      </c>
      <c r="K576" t="n">
        <v>0</v>
      </c>
      <c r="L576" t="n">
        <v>0</v>
      </c>
      <c r="M576" t="n">
        <v>0</v>
      </c>
      <c r="N576" t="n">
        <v>0</v>
      </c>
      <c r="O576" t="n">
        <v>0</v>
      </c>
      <c r="P576" t="n">
        <v>0</v>
      </c>
      <c r="Q576" t="n">
        <v>0</v>
      </c>
      <c r="R576" s="2" t="inlineStr"/>
    </row>
    <row r="577" ht="15" customHeight="1">
      <c r="A577" t="inlineStr">
        <is>
          <t>A 31135-2025</t>
        </is>
      </c>
      <c r="B577" s="1" t="n">
        <v>45832.63581018519</v>
      </c>
      <c r="C577" s="1" t="n">
        <v>46049</v>
      </c>
      <c r="D577" t="inlineStr">
        <is>
          <t>VÄSTERNORRLANDS LÄN</t>
        </is>
      </c>
      <c r="E577" t="inlineStr">
        <is>
          <t>ÅNGE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30892-2025</t>
        </is>
      </c>
      <c r="B578" s="1" t="n">
        <v>45832.34663194444</v>
      </c>
      <c r="C578" s="1" t="n">
        <v>46049</v>
      </c>
      <c r="D578" t="inlineStr">
        <is>
          <t>VÄSTERNORRLANDS LÄN</t>
        </is>
      </c>
      <c r="E578" t="inlineStr">
        <is>
          <t>ÅNGE</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30598-2025</t>
        </is>
      </c>
      <c r="B579" s="1" t="n">
        <v>45831.44834490741</v>
      </c>
      <c r="C579" s="1" t="n">
        <v>46049</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31041-2025</t>
        </is>
      </c>
      <c r="B580" s="1" t="n">
        <v>45832.55247685185</v>
      </c>
      <c r="C580" s="1" t="n">
        <v>46049</v>
      </c>
      <c r="D580" t="inlineStr">
        <is>
          <t>VÄSTERNORRLANDS LÄN</t>
        </is>
      </c>
      <c r="E580" t="inlineStr">
        <is>
          <t>ÅNGE</t>
        </is>
      </c>
      <c r="F580" t="inlineStr">
        <is>
          <t>SCA</t>
        </is>
      </c>
      <c r="G580" t="n">
        <v>15.1</v>
      </c>
      <c r="H580" t="n">
        <v>0</v>
      </c>
      <c r="I580" t="n">
        <v>0</v>
      </c>
      <c r="J580" t="n">
        <v>0</v>
      </c>
      <c r="K580" t="n">
        <v>0</v>
      </c>
      <c r="L580" t="n">
        <v>0</v>
      </c>
      <c r="M580" t="n">
        <v>0</v>
      </c>
      <c r="N580" t="n">
        <v>0</v>
      </c>
      <c r="O580" t="n">
        <v>0</v>
      </c>
      <c r="P580" t="n">
        <v>0</v>
      </c>
      <c r="Q580" t="n">
        <v>0</v>
      </c>
      <c r="R580" s="2" t="inlineStr"/>
    </row>
    <row r="581" ht="15" customHeight="1">
      <c r="A581" t="inlineStr">
        <is>
          <t>A 31139-2025</t>
        </is>
      </c>
      <c r="B581" s="1" t="n">
        <v>45832.63633101852</v>
      </c>
      <c r="C581" s="1" t="n">
        <v>46049</v>
      </c>
      <c r="D581" t="inlineStr">
        <is>
          <t>VÄSTERNORRLANDS LÄN</t>
        </is>
      </c>
      <c r="E581" t="inlineStr">
        <is>
          <t>ÅNGE</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46681-2023</t>
        </is>
      </c>
      <c r="B582" s="1" t="n">
        <v>45198</v>
      </c>
      <c r="C582" s="1" t="n">
        <v>46049</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30877-2025</t>
        </is>
      </c>
      <c r="B583" s="1" t="n">
        <v>45832.34478009259</v>
      </c>
      <c r="C583" s="1" t="n">
        <v>46049</v>
      </c>
      <c r="D583" t="inlineStr">
        <is>
          <t>VÄSTERNORRLANDS LÄN</t>
        </is>
      </c>
      <c r="E583" t="inlineStr">
        <is>
          <t>ÅNGE</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41586-2024</t>
        </is>
      </c>
      <c r="B584" s="1" t="n">
        <v>45560.56089120371</v>
      </c>
      <c r="C584" s="1" t="n">
        <v>46049</v>
      </c>
      <c r="D584" t="inlineStr">
        <is>
          <t>VÄSTERNORRLANDS LÄN</t>
        </is>
      </c>
      <c r="E584" t="inlineStr">
        <is>
          <t>ÅNGE</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30888-2025</t>
        </is>
      </c>
      <c r="B585" s="1" t="n">
        <v>45832.34606481482</v>
      </c>
      <c r="C585" s="1" t="n">
        <v>46049</v>
      </c>
      <c r="D585" t="inlineStr">
        <is>
          <t>VÄSTERNORRLANDS LÄN</t>
        </is>
      </c>
      <c r="E585" t="inlineStr">
        <is>
          <t>ÅNGE</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48946-2024</t>
        </is>
      </c>
      <c r="B586" s="1" t="n">
        <v>45594.42736111111</v>
      </c>
      <c r="C586" s="1" t="n">
        <v>46049</v>
      </c>
      <c r="D586" t="inlineStr">
        <is>
          <t>VÄSTERNORRLANDS LÄN</t>
        </is>
      </c>
      <c r="E586" t="inlineStr">
        <is>
          <t>ÅNGE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22988-2024</t>
        </is>
      </c>
      <c r="B587" s="1" t="n">
        <v>45449.94530092592</v>
      </c>
      <c r="C587" s="1" t="n">
        <v>46049</v>
      </c>
      <c r="D587" t="inlineStr">
        <is>
          <t>VÄSTERNORRLANDS LÄN</t>
        </is>
      </c>
      <c r="E587" t="inlineStr">
        <is>
          <t>ÅNGE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31275-2025</t>
        </is>
      </c>
      <c r="B588" s="1" t="n">
        <v>45833.34459490741</v>
      </c>
      <c r="C588" s="1" t="n">
        <v>46049</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3023-2023</t>
        </is>
      </c>
      <c r="B589" s="1" t="n">
        <v>44945</v>
      </c>
      <c r="C589" s="1" t="n">
        <v>46049</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3025-2023</t>
        </is>
      </c>
      <c r="B590" s="1" t="n">
        <v>44945</v>
      </c>
      <c r="C590" s="1" t="n">
        <v>46049</v>
      </c>
      <c r="D590" t="inlineStr">
        <is>
          <t>VÄSTERNORRLANDS LÄN</t>
        </is>
      </c>
      <c r="E590" t="inlineStr">
        <is>
          <t>ÅNGE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41870-2025</t>
        </is>
      </c>
      <c r="B591" s="1" t="n">
        <v>45903.3446412037</v>
      </c>
      <c r="C591" s="1" t="n">
        <v>46049</v>
      </c>
      <c r="D591" t="inlineStr">
        <is>
          <t>VÄSTERNORRLANDS LÄN</t>
        </is>
      </c>
      <c r="E591" t="inlineStr">
        <is>
          <t>ÅNGE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41872-2025</t>
        </is>
      </c>
      <c r="B592" s="1" t="n">
        <v>45903.34497685185</v>
      </c>
      <c r="C592" s="1" t="n">
        <v>46049</v>
      </c>
      <c r="D592" t="inlineStr">
        <is>
          <t>VÄSTERNORRLANDS LÄN</t>
        </is>
      </c>
      <c r="E592" t="inlineStr">
        <is>
          <t>ÅNGE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31452-2025</t>
        </is>
      </c>
      <c r="B593" s="1" t="n">
        <v>45833.53179398148</v>
      </c>
      <c r="C593" s="1" t="n">
        <v>46049</v>
      </c>
      <c r="D593" t="inlineStr">
        <is>
          <t>VÄSTERNORRLANDS LÄN</t>
        </is>
      </c>
      <c r="E593" t="inlineStr">
        <is>
          <t>ÅNGE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31544-2025</t>
        </is>
      </c>
      <c r="B594" s="1" t="n">
        <v>45833.63597222222</v>
      </c>
      <c r="C594" s="1" t="n">
        <v>46049</v>
      </c>
      <c r="D594" t="inlineStr">
        <is>
          <t>VÄSTERNORRLANDS LÄN</t>
        </is>
      </c>
      <c r="E594" t="inlineStr">
        <is>
          <t>ÅNGE</t>
        </is>
      </c>
      <c r="G594" t="n">
        <v>2.1</v>
      </c>
      <c r="H594" t="n">
        <v>0</v>
      </c>
      <c r="I594" t="n">
        <v>0</v>
      </c>
      <c r="J594" t="n">
        <v>0</v>
      </c>
      <c r="K594" t="n">
        <v>0</v>
      </c>
      <c r="L594" t="n">
        <v>0</v>
      </c>
      <c r="M594" t="n">
        <v>0</v>
      </c>
      <c r="N594" t="n">
        <v>0</v>
      </c>
      <c r="O594" t="n">
        <v>0</v>
      </c>
      <c r="P594" t="n">
        <v>0</v>
      </c>
      <c r="Q594" t="n">
        <v>0</v>
      </c>
      <c r="R594" s="2" t="inlineStr"/>
    </row>
    <row r="595" ht="15" customHeight="1">
      <c r="A595" t="inlineStr">
        <is>
          <t>A 38002-2024</t>
        </is>
      </c>
      <c r="B595" s="1" t="n">
        <v>45544.61484953704</v>
      </c>
      <c r="C595" s="1" t="n">
        <v>46049</v>
      </c>
      <c r="D595" t="inlineStr">
        <is>
          <t>VÄSTERNORRLANDS LÄN</t>
        </is>
      </c>
      <c r="E595" t="inlineStr">
        <is>
          <t>ÅNGE</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31646-2025</t>
        </is>
      </c>
      <c r="B596" s="1" t="n">
        <v>45834.34563657407</v>
      </c>
      <c r="C596" s="1" t="n">
        <v>46049</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42889-2025</t>
        </is>
      </c>
      <c r="B597" s="1" t="n">
        <v>45908.65546296296</v>
      </c>
      <c r="C597" s="1" t="n">
        <v>46049</v>
      </c>
      <c r="D597" t="inlineStr">
        <is>
          <t>VÄSTERNORRLANDS LÄN</t>
        </is>
      </c>
      <c r="E597" t="inlineStr">
        <is>
          <t>ÅNGE</t>
        </is>
      </c>
      <c r="G597" t="n">
        <v>11.9</v>
      </c>
      <c r="H597" t="n">
        <v>0</v>
      </c>
      <c r="I597" t="n">
        <v>0</v>
      </c>
      <c r="J597" t="n">
        <v>0</v>
      </c>
      <c r="K597" t="n">
        <v>0</v>
      </c>
      <c r="L597" t="n">
        <v>0</v>
      </c>
      <c r="M597" t="n">
        <v>0</v>
      </c>
      <c r="N597" t="n">
        <v>0</v>
      </c>
      <c r="O597" t="n">
        <v>0</v>
      </c>
      <c r="P597" t="n">
        <v>0</v>
      </c>
      <c r="Q597" t="n">
        <v>0</v>
      </c>
      <c r="R597" s="2" t="inlineStr"/>
    </row>
    <row r="598" ht="15" customHeight="1">
      <c r="A598" t="inlineStr">
        <is>
          <t>A 31568-2024</t>
        </is>
      </c>
      <c r="B598" s="1" t="n">
        <v>45505.96721064814</v>
      </c>
      <c r="C598" s="1" t="n">
        <v>46049</v>
      </c>
      <c r="D598" t="inlineStr">
        <is>
          <t>VÄSTERNORRLANDS LÄN</t>
        </is>
      </c>
      <c r="E598" t="inlineStr">
        <is>
          <t>ÅNGE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44565-2024</t>
        </is>
      </c>
      <c r="B599" s="1" t="n">
        <v>45574.47518518518</v>
      </c>
      <c r="C599" s="1" t="n">
        <v>46049</v>
      </c>
      <c r="D599" t="inlineStr">
        <is>
          <t>VÄSTERNORRLANDS LÄN</t>
        </is>
      </c>
      <c r="E599" t="inlineStr">
        <is>
          <t>ÅNGE</t>
        </is>
      </c>
      <c r="G599" t="n">
        <v>1.8</v>
      </c>
      <c r="H599" t="n">
        <v>0</v>
      </c>
      <c r="I599" t="n">
        <v>0</v>
      </c>
      <c r="J599" t="n">
        <v>0</v>
      </c>
      <c r="K599" t="n">
        <v>0</v>
      </c>
      <c r="L599" t="n">
        <v>0</v>
      </c>
      <c r="M599" t="n">
        <v>0</v>
      </c>
      <c r="N599" t="n">
        <v>0</v>
      </c>
      <c r="O599" t="n">
        <v>0</v>
      </c>
      <c r="P599" t="n">
        <v>0</v>
      </c>
      <c r="Q599" t="n">
        <v>0</v>
      </c>
      <c r="R599" s="2" t="inlineStr"/>
    </row>
    <row r="600" ht="15" customHeight="1">
      <c r="A600" t="inlineStr">
        <is>
          <t>A 31484-2025</t>
        </is>
      </c>
      <c r="B600" s="1" t="n">
        <v>45833.57418981481</v>
      </c>
      <c r="C600" s="1" t="n">
        <v>46049</v>
      </c>
      <c r="D600" t="inlineStr">
        <is>
          <t>VÄSTERNORRLANDS LÄN</t>
        </is>
      </c>
      <c r="E600" t="inlineStr">
        <is>
          <t>ÅNGE</t>
        </is>
      </c>
      <c r="F600" t="inlineStr">
        <is>
          <t>SCA</t>
        </is>
      </c>
      <c r="G600" t="n">
        <v>7</v>
      </c>
      <c r="H600" t="n">
        <v>0</v>
      </c>
      <c r="I600" t="n">
        <v>0</v>
      </c>
      <c r="J600" t="n">
        <v>0</v>
      </c>
      <c r="K600" t="n">
        <v>0</v>
      </c>
      <c r="L600" t="n">
        <v>0</v>
      </c>
      <c r="M600" t="n">
        <v>0</v>
      </c>
      <c r="N600" t="n">
        <v>0</v>
      </c>
      <c r="O600" t="n">
        <v>0</v>
      </c>
      <c r="P600" t="n">
        <v>0</v>
      </c>
      <c r="Q600" t="n">
        <v>0</v>
      </c>
      <c r="R600" s="2" t="inlineStr"/>
    </row>
    <row r="601" ht="15" customHeight="1">
      <c r="A601" t="inlineStr">
        <is>
          <t>A 19997-2023</t>
        </is>
      </c>
      <c r="B601" s="1" t="n">
        <v>45054</v>
      </c>
      <c r="C601" s="1" t="n">
        <v>46049</v>
      </c>
      <c r="D601" t="inlineStr">
        <is>
          <t>VÄSTERNORRLANDS LÄN</t>
        </is>
      </c>
      <c r="E601" t="inlineStr">
        <is>
          <t>ÅNGE</t>
        </is>
      </c>
      <c r="G601" t="n">
        <v>0.3</v>
      </c>
      <c r="H601" t="n">
        <v>0</v>
      </c>
      <c r="I601" t="n">
        <v>0</v>
      </c>
      <c r="J601" t="n">
        <v>0</v>
      </c>
      <c r="K601" t="n">
        <v>0</v>
      </c>
      <c r="L601" t="n">
        <v>0</v>
      </c>
      <c r="M601" t="n">
        <v>0</v>
      </c>
      <c r="N601" t="n">
        <v>0</v>
      </c>
      <c r="O601" t="n">
        <v>0</v>
      </c>
      <c r="P601" t="n">
        <v>0</v>
      </c>
      <c r="Q601" t="n">
        <v>0</v>
      </c>
      <c r="R601" s="2" t="inlineStr"/>
    </row>
    <row r="602" ht="15" customHeight="1">
      <c r="A602" t="inlineStr">
        <is>
          <t>A 31642-2025</t>
        </is>
      </c>
      <c r="B602" s="1" t="n">
        <v>45834.34474537037</v>
      </c>
      <c r="C602" s="1" t="n">
        <v>46049</v>
      </c>
      <c r="D602" t="inlineStr">
        <is>
          <t>VÄSTERNORRLANDS LÄN</t>
        </is>
      </c>
      <c r="E602" t="inlineStr">
        <is>
          <t>ÅNGE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31666-2025</t>
        </is>
      </c>
      <c r="B603" s="1" t="n">
        <v>45834.36519675926</v>
      </c>
      <c r="C603" s="1" t="n">
        <v>46049</v>
      </c>
      <c r="D603" t="inlineStr">
        <is>
          <t>VÄSTERNORRLANDS LÄN</t>
        </is>
      </c>
      <c r="E603" t="inlineStr">
        <is>
          <t>ÅNGE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34959-2023</t>
        </is>
      </c>
      <c r="B604" s="1" t="n">
        <v>45142</v>
      </c>
      <c r="C604" s="1" t="n">
        <v>46049</v>
      </c>
      <c r="D604" t="inlineStr">
        <is>
          <t>VÄSTERNORRLANDS LÄN</t>
        </is>
      </c>
      <c r="E604" t="inlineStr">
        <is>
          <t>ÅNGE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42786-2025</t>
        </is>
      </c>
      <c r="B605" s="1" t="n">
        <v>45908.51097222222</v>
      </c>
      <c r="C605" s="1" t="n">
        <v>46049</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54346-2023</t>
        </is>
      </c>
      <c r="B606" s="1" t="n">
        <v>45232.96087962963</v>
      </c>
      <c r="C606" s="1" t="n">
        <v>46049</v>
      </c>
      <c r="D606" t="inlineStr">
        <is>
          <t>VÄSTERNORRLANDS LÄN</t>
        </is>
      </c>
      <c r="E606" t="inlineStr">
        <is>
          <t>ÅNGE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5035-2025</t>
        </is>
      </c>
      <c r="B607" s="1" t="n">
        <v>45691</v>
      </c>
      <c r="C607" s="1" t="n">
        <v>46049</v>
      </c>
      <c r="D607" t="inlineStr">
        <is>
          <t>VÄSTERNORRLANDS LÄN</t>
        </is>
      </c>
      <c r="E607" t="inlineStr">
        <is>
          <t>ÅNGE</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42863-2025</t>
        </is>
      </c>
      <c r="B608" s="1" t="n">
        <v>45908.61527777778</v>
      </c>
      <c r="C608" s="1" t="n">
        <v>46049</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42731-2025</t>
        </is>
      </c>
      <c r="B609" s="1" t="n">
        <v>45908.40686342592</v>
      </c>
      <c r="C609" s="1" t="n">
        <v>46049</v>
      </c>
      <c r="D609" t="inlineStr">
        <is>
          <t>VÄSTERNORRLANDS LÄN</t>
        </is>
      </c>
      <c r="E609" t="inlineStr">
        <is>
          <t>ÅNGE</t>
        </is>
      </c>
      <c r="G609" t="n">
        <v>14.1</v>
      </c>
      <c r="H609" t="n">
        <v>0</v>
      </c>
      <c r="I609" t="n">
        <v>0</v>
      </c>
      <c r="J609" t="n">
        <v>0</v>
      </c>
      <c r="K609" t="n">
        <v>0</v>
      </c>
      <c r="L609" t="n">
        <v>0</v>
      </c>
      <c r="M609" t="n">
        <v>0</v>
      </c>
      <c r="N609" t="n">
        <v>0</v>
      </c>
      <c r="O609" t="n">
        <v>0</v>
      </c>
      <c r="P609" t="n">
        <v>0</v>
      </c>
      <c r="Q609" t="n">
        <v>0</v>
      </c>
      <c r="R609" s="2" t="inlineStr"/>
    </row>
    <row r="610" ht="15" customHeight="1">
      <c r="A610" t="inlineStr">
        <is>
          <t>A 42785-2025</t>
        </is>
      </c>
      <c r="B610" s="1" t="n">
        <v>45908.51083333333</v>
      </c>
      <c r="C610" s="1" t="n">
        <v>46049</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55328-2023</t>
        </is>
      </c>
      <c r="B611" s="1" t="n">
        <v>45237</v>
      </c>
      <c r="C611" s="1" t="n">
        <v>46049</v>
      </c>
      <c r="D611" t="inlineStr">
        <is>
          <t>VÄSTERNORRLANDS LÄN</t>
        </is>
      </c>
      <c r="E611" t="inlineStr">
        <is>
          <t>ÅNGE</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21456-2025</t>
        </is>
      </c>
      <c r="B612" s="1" t="n">
        <v>45782.55342592593</v>
      </c>
      <c r="C612" s="1" t="n">
        <v>46049</v>
      </c>
      <c r="D612" t="inlineStr">
        <is>
          <t>VÄSTERNORRLANDS LÄN</t>
        </is>
      </c>
      <c r="E612" t="inlineStr">
        <is>
          <t>ÅNGE</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3-2025</t>
        </is>
      </c>
      <c r="B613" s="1" t="n">
        <v>45658.49819444444</v>
      </c>
      <c r="C613" s="1" t="n">
        <v>46049</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9619-2021</t>
        </is>
      </c>
      <c r="B614" s="1" t="n">
        <v>44251</v>
      </c>
      <c r="C614" s="1" t="n">
        <v>46049</v>
      </c>
      <c r="D614" t="inlineStr">
        <is>
          <t>VÄSTERNORRLANDS LÄN</t>
        </is>
      </c>
      <c r="E614" t="inlineStr">
        <is>
          <t>ÅNGE</t>
        </is>
      </c>
      <c r="G614" t="n">
        <v>10.4</v>
      </c>
      <c r="H614" t="n">
        <v>0</v>
      </c>
      <c r="I614" t="n">
        <v>0</v>
      </c>
      <c r="J614" t="n">
        <v>0</v>
      </c>
      <c r="K614" t="n">
        <v>0</v>
      </c>
      <c r="L614" t="n">
        <v>0</v>
      </c>
      <c r="M614" t="n">
        <v>0</v>
      </c>
      <c r="N614" t="n">
        <v>0</v>
      </c>
      <c r="O614" t="n">
        <v>0</v>
      </c>
      <c r="P614" t="n">
        <v>0</v>
      </c>
      <c r="Q614" t="n">
        <v>0</v>
      </c>
      <c r="R614" s="2" t="inlineStr"/>
    </row>
    <row r="615" ht="15" customHeight="1">
      <c r="A615" t="inlineStr">
        <is>
          <t>A 42730-2025</t>
        </is>
      </c>
      <c r="B615" s="1" t="n">
        <v>45908.40666666667</v>
      </c>
      <c r="C615" s="1" t="n">
        <v>46049</v>
      </c>
      <c r="D615" t="inlineStr">
        <is>
          <t>VÄSTERNORRLANDS LÄN</t>
        </is>
      </c>
      <c r="E615" t="inlineStr">
        <is>
          <t>ÅNGE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42589-2025</t>
        </is>
      </c>
      <c r="B616" s="1" t="n">
        <v>45905.63585648148</v>
      </c>
      <c r="C616" s="1" t="n">
        <v>46049</v>
      </c>
      <c r="D616" t="inlineStr">
        <is>
          <t>VÄSTERNORRLANDS LÄN</t>
        </is>
      </c>
      <c r="E616" t="inlineStr">
        <is>
          <t>ÅNGE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32025-2025</t>
        </is>
      </c>
      <c r="B617" s="1" t="n">
        <v>45835.40721064815</v>
      </c>
      <c r="C617" s="1" t="n">
        <v>46049</v>
      </c>
      <c r="D617" t="inlineStr">
        <is>
          <t>VÄSTERNORRLANDS LÄN</t>
        </is>
      </c>
      <c r="E617" t="inlineStr">
        <is>
          <t>ÅNGE</t>
        </is>
      </c>
      <c r="G617" t="n">
        <v>1.6</v>
      </c>
      <c r="H617" t="n">
        <v>0</v>
      </c>
      <c r="I617" t="n">
        <v>0</v>
      </c>
      <c r="J617" t="n">
        <v>0</v>
      </c>
      <c r="K617" t="n">
        <v>0</v>
      </c>
      <c r="L617" t="n">
        <v>0</v>
      </c>
      <c r="M617" t="n">
        <v>0</v>
      </c>
      <c r="N617" t="n">
        <v>0</v>
      </c>
      <c r="O617" t="n">
        <v>0</v>
      </c>
      <c r="P617" t="n">
        <v>0</v>
      </c>
      <c r="Q617" t="n">
        <v>0</v>
      </c>
      <c r="R617" s="2" t="inlineStr"/>
    </row>
    <row r="618" ht="15" customHeight="1">
      <c r="A618" t="inlineStr">
        <is>
          <t>A 42764-2025</t>
        </is>
      </c>
      <c r="B618" s="1" t="n">
        <v>45908.46943287037</v>
      </c>
      <c r="C618" s="1" t="n">
        <v>46049</v>
      </c>
      <c r="D618" t="inlineStr">
        <is>
          <t>VÄSTERNORRLANDS LÄN</t>
        </is>
      </c>
      <c r="E618" t="inlineStr">
        <is>
          <t>ÅNGE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26092-2025</t>
        </is>
      </c>
      <c r="B619" s="1" t="n">
        <v>45805</v>
      </c>
      <c r="C619" s="1" t="n">
        <v>46049</v>
      </c>
      <c r="D619" t="inlineStr">
        <is>
          <t>VÄSTERNORRLANDS LÄN</t>
        </is>
      </c>
      <c r="E619" t="inlineStr">
        <is>
          <t>ÅNGE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42880-2025</t>
        </is>
      </c>
      <c r="B620" s="1" t="n">
        <v>45908.63599537037</v>
      </c>
      <c r="C620" s="1" t="n">
        <v>46049</v>
      </c>
      <c r="D620" t="inlineStr">
        <is>
          <t>VÄSTERNORRLANDS LÄN</t>
        </is>
      </c>
      <c r="E620" t="inlineStr">
        <is>
          <t>ÅNGE</t>
        </is>
      </c>
      <c r="G620" t="n">
        <v>4.3</v>
      </c>
      <c r="H620" t="n">
        <v>0</v>
      </c>
      <c r="I620" t="n">
        <v>0</v>
      </c>
      <c r="J620" t="n">
        <v>0</v>
      </c>
      <c r="K620" t="n">
        <v>0</v>
      </c>
      <c r="L620" t="n">
        <v>0</v>
      </c>
      <c r="M620" t="n">
        <v>0</v>
      </c>
      <c r="N620" t="n">
        <v>0</v>
      </c>
      <c r="O620" t="n">
        <v>0</v>
      </c>
      <c r="P620" t="n">
        <v>0</v>
      </c>
      <c r="Q620" t="n">
        <v>0</v>
      </c>
      <c r="R620" s="2" t="inlineStr"/>
    </row>
    <row r="621" ht="15" customHeight="1">
      <c r="A621" t="inlineStr">
        <is>
          <t>A 11531-2023</t>
        </is>
      </c>
      <c r="B621" s="1" t="n">
        <v>44993.77038194444</v>
      </c>
      <c r="C621" s="1" t="n">
        <v>46049</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11532-2023</t>
        </is>
      </c>
      <c r="B622" s="1" t="n">
        <v>44993.77212962963</v>
      </c>
      <c r="C622" s="1" t="n">
        <v>46049</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41355-2024</t>
        </is>
      </c>
      <c r="B623" s="1" t="n">
        <v>45559.69833333333</v>
      </c>
      <c r="C623" s="1" t="n">
        <v>46049</v>
      </c>
      <c r="D623" t="inlineStr">
        <is>
          <t>VÄSTERNORRLANDS LÄN</t>
        </is>
      </c>
      <c r="E623" t="inlineStr">
        <is>
          <t>ÅNGE</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43237-2025</t>
        </is>
      </c>
      <c r="B624" s="1" t="n">
        <v>45910.51670138889</v>
      </c>
      <c r="C624" s="1" t="n">
        <v>46049</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32024-2025</t>
        </is>
      </c>
      <c r="B625" s="1" t="n">
        <v>45835.40706018519</v>
      </c>
      <c r="C625" s="1" t="n">
        <v>46049</v>
      </c>
      <c r="D625" t="inlineStr">
        <is>
          <t>VÄSTERNORRLANDS LÄN</t>
        </is>
      </c>
      <c r="E625" t="inlineStr">
        <is>
          <t>ÅNGE</t>
        </is>
      </c>
      <c r="F625" t="inlineStr">
        <is>
          <t>SCA</t>
        </is>
      </c>
      <c r="G625" t="n">
        <v>12.3</v>
      </c>
      <c r="H625" t="n">
        <v>0</v>
      </c>
      <c r="I625" t="n">
        <v>0</v>
      </c>
      <c r="J625" t="n">
        <v>0</v>
      </c>
      <c r="K625" t="n">
        <v>0</v>
      </c>
      <c r="L625" t="n">
        <v>0</v>
      </c>
      <c r="M625" t="n">
        <v>0</v>
      </c>
      <c r="N625" t="n">
        <v>0</v>
      </c>
      <c r="O625" t="n">
        <v>0</v>
      </c>
      <c r="P625" t="n">
        <v>0</v>
      </c>
      <c r="Q625" t="n">
        <v>0</v>
      </c>
      <c r="R625" s="2" t="inlineStr"/>
    </row>
    <row r="626" ht="15" customHeight="1">
      <c r="A626" t="inlineStr">
        <is>
          <t>A 43250-2025</t>
        </is>
      </c>
      <c r="B626" s="1" t="n">
        <v>45910.5525462963</v>
      </c>
      <c r="C626" s="1" t="n">
        <v>46049</v>
      </c>
      <c r="D626" t="inlineStr">
        <is>
          <t>VÄSTERNORRLANDS LÄN</t>
        </is>
      </c>
      <c r="E626" t="inlineStr">
        <is>
          <t>ÅNGE</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53858-2024</t>
        </is>
      </c>
      <c r="B627" s="1" t="n">
        <v>45615</v>
      </c>
      <c r="C627" s="1" t="n">
        <v>46049</v>
      </c>
      <c r="D627" t="inlineStr">
        <is>
          <t>VÄSTERNORRLANDS LÄN</t>
        </is>
      </c>
      <c r="E627" t="inlineStr">
        <is>
          <t>ÅNGE</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43221-2025</t>
        </is>
      </c>
      <c r="B628" s="1" t="n">
        <v>45910.47981481482</v>
      </c>
      <c r="C628" s="1" t="n">
        <v>46049</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43265-2025</t>
        </is>
      </c>
      <c r="B629" s="1" t="n">
        <v>45910.57377314815</v>
      </c>
      <c r="C629" s="1" t="n">
        <v>46049</v>
      </c>
      <c r="D629" t="inlineStr">
        <is>
          <t>VÄSTERNORRLANDS LÄN</t>
        </is>
      </c>
      <c r="E629" t="inlineStr">
        <is>
          <t>ÅNGE</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43252-2025</t>
        </is>
      </c>
      <c r="B630" s="1" t="n">
        <v>45910.55292824074</v>
      </c>
      <c r="C630" s="1" t="n">
        <v>46049</v>
      </c>
      <c r="D630" t="inlineStr">
        <is>
          <t>VÄSTERNORRLANDS LÄN</t>
        </is>
      </c>
      <c r="E630" t="inlineStr">
        <is>
          <t>ÅNGE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43091-2025</t>
        </is>
      </c>
      <c r="B631" s="1" t="n">
        <v>45909.62511574074</v>
      </c>
      <c r="C631" s="1" t="n">
        <v>46049</v>
      </c>
      <c r="D631" t="inlineStr">
        <is>
          <t>VÄSTERNORRLANDS LÄN</t>
        </is>
      </c>
      <c r="E631" t="inlineStr">
        <is>
          <t>ÅNGE</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43077-2025</t>
        </is>
      </c>
      <c r="B632" s="1" t="n">
        <v>45909.6046412037</v>
      </c>
      <c r="C632" s="1" t="n">
        <v>46049</v>
      </c>
      <c r="D632" t="inlineStr">
        <is>
          <t>VÄSTERNORRLANDS LÄN</t>
        </is>
      </c>
      <c r="E632" t="inlineStr">
        <is>
          <t>ÅNGE</t>
        </is>
      </c>
      <c r="F632" t="inlineStr">
        <is>
          <t>Kyrkan</t>
        </is>
      </c>
      <c r="G632" t="n">
        <v>7.6</v>
      </c>
      <c r="H632" t="n">
        <v>0</v>
      </c>
      <c r="I632" t="n">
        <v>0</v>
      </c>
      <c r="J632" t="n">
        <v>0</v>
      </c>
      <c r="K632" t="n">
        <v>0</v>
      </c>
      <c r="L632" t="n">
        <v>0</v>
      </c>
      <c r="M632" t="n">
        <v>0</v>
      </c>
      <c r="N632" t="n">
        <v>0</v>
      </c>
      <c r="O632" t="n">
        <v>0</v>
      </c>
      <c r="P632" t="n">
        <v>0</v>
      </c>
      <c r="Q632" t="n">
        <v>0</v>
      </c>
      <c r="R632" s="2" t="inlineStr"/>
    </row>
    <row r="633" ht="15" customHeight="1">
      <c r="A633" t="inlineStr">
        <is>
          <t>A 45631-2021</t>
        </is>
      </c>
      <c r="B633" s="1" t="n">
        <v>44440.98045138889</v>
      </c>
      <c r="C633" s="1" t="n">
        <v>46049</v>
      </c>
      <c r="D633" t="inlineStr">
        <is>
          <t>VÄSTERNORRLANDS LÄN</t>
        </is>
      </c>
      <c r="E633" t="inlineStr">
        <is>
          <t>ÅNGE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57592-2022</t>
        </is>
      </c>
      <c r="B634" s="1" t="n">
        <v>44896.97841435186</v>
      </c>
      <c r="C634" s="1" t="n">
        <v>46049</v>
      </c>
      <c r="D634" t="inlineStr">
        <is>
          <t>VÄSTERNORRLANDS LÄN</t>
        </is>
      </c>
      <c r="E634" t="inlineStr">
        <is>
          <t>ÅNGE</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57602-2022</t>
        </is>
      </c>
      <c r="B635" s="1" t="n">
        <v>44896</v>
      </c>
      <c r="C635" s="1" t="n">
        <v>46049</v>
      </c>
      <c r="D635" t="inlineStr">
        <is>
          <t>VÄSTERNORRLANDS LÄN</t>
        </is>
      </c>
      <c r="E635" t="inlineStr">
        <is>
          <t>ÅNGE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20231-2022</t>
        </is>
      </c>
      <c r="B636" s="1" t="n">
        <v>44698</v>
      </c>
      <c r="C636" s="1" t="n">
        <v>46049</v>
      </c>
      <c r="D636" t="inlineStr">
        <is>
          <t>VÄSTERNORRLANDS LÄN</t>
        </is>
      </c>
      <c r="E636" t="inlineStr">
        <is>
          <t>ÅNGE</t>
        </is>
      </c>
      <c r="G636" t="n">
        <v>4.2</v>
      </c>
      <c r="H636" t="n">
        <v>0</v>
      </c>
      <c r="I636" t="n">
        <v>0</v>
      </c>
      <c r="J636" t="n">
        <v>0</v>
      </c>
      <c r="K636" t="n">
        <v>0</v>
      </c>
      <c r="L636" t="n">
        <v>0</v>
      </c>
      <c r="M636" t="n">
        <v>0</v>
      </c>
      <c r="N636" t="n">
        <v>0</v>
      </c>
      <c r="O636" t="n">
        <v>0</v>
      </c>
      <c r="P636" t="n">
        <v>0</v>
      </c>
      <c r="Q636" t="n">
        <v>0</v>
      </c>
      <c r="R636" s="2" t="inlineStr"/>
    </row>
    <row r="637" ht="15" customHeight="1">
      <c r="A637" t="inlineStr">
        <is>
          <t>A 39985-2023</t>
        </is>
      </c>
      <c r="B637" s="1" t="n">
        <v>45168</v>
      </c>
      <c r="C637" s="1" t="n">
        <v>46049</v>
      </c>
      <c r="D637" t="inlineStr">
        <is>
          <t>VÄSTERNORRLANDS LÄN</t>
        </is>
      </c>
      <c r="E637" t="inlineStr">
        <is>
          <t>ÅNGE</t>
        </is>
      </c>
      <c r="G637" t="n">
        <v>0.1</v>
      </c>
      <c r="H637" t="n">
        <v>0</v>
      </c>
      <c r="I637" t="n">
        <v>0</v>
      </c>
      <c r="J637" t="n">
        <v>0</v>
      </c>
      <c r="K637" t="n">
        <v>0</v>
      </c>
      <c r="L637" t="n">
        <v>0</v>
      </c>
      <c r="M637" t="n">
        <v>0</v>
      </c>
      <c r="N637" t="n">
        <v>0</v>
      </c>
      <c r="O637" t="n">
        <v>0</v>
      </c>
      <c r="P637" t="n">
        <v>0</v>
      </c>
      <c r="Q637" t="n">
        <v>0</v>
      </c>
      <c r="R637" s="2" t="inlineStr"/>
    </row>
    <row r="638" ht="15" customHeight="1">
      <c r="A638" t="inlineStr">
        <is>
          <t>A 58748-2023</t>
        </is>
      </c>
      <c r="B638" s="1" t="n">
        <v>45251.92936342592</v>
      </c>
      <c r="C638" s="1" t="n">
        <v>46049</v>
      </c>
      <c r="D638" t="inlineStr">
        <is>
          <t>VÄSTERNORRLANDS LÄN</t>
        </is>
      </c>
      <c r="E638" t="inlineStr">
        <is>
          <t>ÅNGE</t>
        </is>
      </c>
      <c r="G638" t="n">
        <v>2.7</v>
      </c>
      <c r="H638" t="n">
        <v>0</v>
      </c>
      <c r="I638" t="n">
        <v>0</v>
      </c>
      <c r="J638" t="n">
        <v>0</v>
      </c>
      <c r="K638" t="n">
        <v>0</v>
      </c>
      <c r="L638" t="n">
        <v>0</v>
      </c>
      <c r="M638" t="n">
        <v>0</v>
      </c>
      <c r="N638" t="n">
        <v>0</v>
      </c>
      <c r="O638" t="n">
        <v>0</v>
      </c>
      <c r="P638" t="n">
        <v>0</v>
      </c>
      <c r="Q638" t="n">
        <v>0</v>
      </c>
      <c r="R638" s="2" t="inlineStr"/>
    </row>
    <row r="639" ht="15" customHeight="1">
      <c r="A639" t="inlineStr">
        <is>
          <t>A 32847-2025</t>
        </is>
      </c>
      <c r="B639" s="1" t="n">
        <v>45839.57354166666</v>
      </c>
      <c r="C639" s="1" t="n">
        <v>46049</v>
      </c>
      <c r="D639" t="inlineStr">
        <is>
          <t>VÄSTERNORRLANDS LÄN</t>
        </is>
      </c>
      <c r="E639" t="inlineStr">
        <is>
          <t>ÅNGE</t>
        </is>
      </c>
      <c r="F639" t="inlineStr">
        <is>
          <t>SCA</t>
        </is>
      </c>
      <c r="G639" t="n">
        <v>9.4</v>
      </c>
      <c r="H639" t="n">
        <v>0</v>
      </c>
      <c r="I639" t="n">
        <v>0</v>
      </c>
      <c r="J639" t="n">
        <v>0</v>
      </c>
      <c r="K639" t="n">
        <v>0</v>
      </c>
      <c r="L639" t="n">
        <v>0</v>
      </c>
      <c r="M639" t="n">
        <v>0</v>
      </c>
      <c r="N639" t="n">
        <v>0</v>
      </c>
      <c r="O639" t="n">
        <v>0</v>
      </c>
      <c r="P639" t="n">
        <v>0</v>
      </c>
      <c r="Q639" t="n">
        <v>0</v>
      </c>
      <c r="R639" s="2" t="inlineStr"/>
    </row>
    <row r="640" ht="15" customHeight="1">
      <c r="A640" t="inlineStr">
        <is>
          <t>A 43552-2023</t>
        </is>
      </c>
      <c r="B640" s="1" t="n">
        <v>45181</v>
      </c>
      <c r="C640" s="1" t="n">
        <v>46049</v>
      </c>
      <c r="D640" t="inlineStr">
        <is>
          <t>VÄSTERNORRLANDS LÄN</t>
        </is>
      </c>
      <c r="E640" t="inlineStr">
        <is>
          <t>ÅNGE</t>
        </is>
      </c>
      <c r="F640" t="inlineStr">
        <is>
          <t>SCA</t>
        </is>
      </c>
      <c r="G640" t="n">
        <v>7.3</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46049</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43707-2025</t>
        </is>
      </c>
      <c r="B642" s="1" t="n">
        <v>45912.40668981482</v>
      </c>
      <c r="C642" s="1" t="n">
        <v>46049</v>
      </c>
      <c r="D642" t="inlineStr">
        <is>
          <t>VÄSTERNORRLANDS LÄN</t>
        </is>
      </c>
      <c r="E642" t="inlineStr">
        <is>
          <t>ÅNGE</t>
        </is>
      </c>
      <c r="F642" t="inlineStr">
        <is>
          <t>SCA</t>
        </is>
      </c>
      <c r="G642" t="n">
        <v>12.5</v>
      </c>
      <c r="H642" t="n">
        <v>0</v>
      </c>
      <c r="I642" t="n">
        <v>0</v>
      </c>
      <c r="J642" t="n">
        <v>0</v>
      </c>
      <c r="K642" t="n">
        <v>0</v>
      </c>
      <c r="L642" t="n">
        <v>0</v>
      </c>
      <c r="M642" t="n">
        <v>0</v>
      </c>
      <c r="N642" t="n">
        <v>0</v>
      </c>
      <c r="O642" t="n">
        <v>0</v>
      </c>
      <c r="P642" t="n">
        <v>0</v>
      </c>
      <c r="Q642" t="n">
        <v>0</v>
      </c>
      <c r="R642" s="2" t="inlineStr"/>
      <c r="U642">
        <f>HYPERLINK("https://klasma.github.io/Logging_2260/knärot/A 43707-2025 karta knärot.png", "A 43707-2025")</f>
        <v/>
      </c>
      <c r="V642">
        <f>HYPERLINK("https://klasma.github.io/Logging_2260/klagomål/A 43707-2025 FSC-klagomål.docx", "A 43707-2025")</f>
        <v/>
      </c>
      <c r="W642">
        <f>HYPERLINK("https://klasma.github.io/Logging_2260/klagomålsmail/A 43707-2025 FSC-klagomål mail.docx", "A 43707-2025")</f>
        <v/>
      </c>
      <c r="X642">
        <f>HYPERLINK("https://klasma.github.io/Logging_2260/tillsyn/A 43707-2025 tillsynsbegäran.docx", "A 43707-2025")</f>
        <v/>
      </c>
      <c r="Y642">
        <f>HYPERLINK("https://klasma.github.io/Logging_2260/tillsynsmail/A 43707-2025 tillsynsbegäran mail.docx", "A 43707-2025")</f>
        <v/>
      </c>
    </row>
    <row r="643" ht="15" customHeight="1">
      <c r="A643" t="inlineStr">
        <is>
          <t>A 43415-2025</t>
        </is>
      </c>
      <c r="B643" s="1" t="n">
        <v>45911.40662037037</v>
      </c>
      <c r="C643" s="1" t="n">
        <v>46049</v>
      </c>
      <c r="D643" t="inlineStr">
        <is>
          <t>VÄSTERNORRLANDS LÄN</t>
        </is>
      </c>
      <c r="E643" t="inlineStr">
        <is>
          <t>ÅNGE</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46775-2024</t>
        </is>
      </c>
      <c r="B644" s="1" t="n">
        <v>45583.49711805556</v>
      </c>
      <c r="C644" s="1" t="n">
        <v>46049</v>
      </c>
      <c r="D644" t="inlineStr">
        <is>
          <t>VÄSTERNORRLANDS LÄN</t>
        </is>
      </c>
      <c r="E644" t="inlineStr">
        <is>
          <t>ÅNGE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46780-2024</t>
        </is>
      </c>
      <c r="B645" s="1" t="n">
        <v>45583.51076388889</v>
      </c>
      <c r="C645" s="1" t="n">
        <v>46049</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18880-2024</t>
        </is>
      </c>
      <c r="B646" s="1" t="n">
        <v>45426</v>
      </c>
      <c r="C646" s="1" t="n">
        <v>46049</v>
      </c>
      <c r="D646" t="inlineStr">
        <is>
          <t>VÄSTERNORRLANDS LÄN</t>
        </is>
      </c>
      <c r="E646" t="inlineStr">
        <is>
          <t>ÅNGE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55558-2024</t>
        </is>
      </c>
      <c r="B647" s="1" t="n">
        <v>45622.52586805556</v>
      </c>
      <c r="C647" s="1" t="n">
        <v>46049</v>
      </c>
      <c r="D647" t="inlineStr">
        <is>
          <t>VÄSTERNORRLANDS LÄN</t>
        </is>
      </c>
      <c r="E647" t="inlineStr">
        <is>
          <t>ÅNGE</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43389-2025</t>
        </is>
      </c>
      <c r="B648" s="1" t="n">
        <v>45911.36560185185</v>
      </c>
      <c r="C648" s="1" t="n">
        <v>46049</v>
      </c>
      <c r="D648" t="inlineStr">
        <is>
          <t>VÄSTERNORRLANDS LÄN</t>
        </is>
      </c>
      <c r="E648" t="inlineStr">
        <is>
          <t>ÅNGE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33782-2025</t>
        </is>
      </c>
      <c r="B649" s="1" t="n">
        <v>45842.40678240741</v>
      </c>
      <c r="C649" s="1" t="n">
        <v>46049</v>
      </c>
      <c r="D649" t="inlineStr">
        <is>
          <t>VÄSTERNORRLANDS LÄN</t>
        </is>
      </c>
      <c r="E649" t="inlineStr">
        <is>
          <t>ÅNGE</t>
        </is>
      </c>
      <c r="F649" t="inlineStr">
        <is>
          <t>SCA</t>
        </is>
      </c>
      <c r="G649" t="n">
        <v>8.4</v>
      </c>
      <c r="H649" t="n">
        <v>0</v>
      </c>
      <c r="I649" t="n">
        <v>0</v>
      </c>
      <c r="J649" t="n">
        <v>0</v>
      </c>
      <c r="K649" t="n">
        <v>0</v>
      </c>
      <c r="L649" t="n">
        <v>0</v>
      </c>
      <c r="M649" t="n">
        <v>0</v>
      </c>
      <c r="N649" t="n">
        <v>0</v>
      </c>
      <c r="O649" t="n">
        <v>0</v>
      </c>
      <c r="P649" t="n">
        <v>0</v>
      </c>
      <c r="Q649" t="n">
        <v>0</v>
      </c>
      <c r="R649" s="2" t="inlineStr"/>
    </row>
    <row r="650" ht="15" customHeight="1">
      <c r="A650" t="inlineStr">
        <is>
          <t>A 43546-2025</t>
        </is>
      </c>
      <c r="B650" s="1" t="n">
        <v>45911.6153125</v>
      </c>
      <c r="C650" s="1" t="n">
        <v>46049</v>
      </c>
      <c r="D650" t="inlineStr">
        <is>
          <t>VÄSTERNORRLANDS LÄN</t>
        </is>
      </c>
      <c r="E650" t="inlineStr">
        <is>
          <t>ÅNGE</t>
        </is>
      </c>
      <c r="F650" t="inlineStr">
        <is>
          <t>SCA</t>
        </is>
      </c>
      <c r="G650" t="n">
        <v>9.6</v>
      </c>
      <c r="H650" t="n">
        <v>0</v>
      </c>
      <c r="I650" t="n">
        <v>0</v>
      </c>
      <c r="J650" t="n">
        <v>0</v>
      </c>
      <c r="K650" t="n">
        <v>0</v>
      </c>
      <c r="L650" t="n">
        <v>0</v>
      </c>
      <c r="M650" t="n">
        <v>0</v>
      </c>
      <c r="N650" t="n">
        <v>0</v>
      </c>
      <c r="O650" t="n">
        <v>0</v>
      </c>
      <c r="P650" t="n">
        <v>0</v>
      </c>
      <c r="Q650" t="n">
        <v>0</v>
      </c>
      <c r="R650" s="2" t="inlineStr"/>
    </row>
    <row r="651" ht="15" customHeight="1">
      <c r="A651" t="inlineStr">
        <is>
          <t>A 20229-2022</t>
        </is>
      </c>
      <c r="B651" s="1" t="n">
        <v>44698.61150462963</v>
      </c>
      <c r="C651" s="1" t="n">
        <v>46049</v>
      </c>
      <c r="D651" t="inlineStr">
        <is>
          <t>VÄSTERNORRLANDS LÄN</t>
        </is>
      </c>
      <c r="E651" t="inlineStr">
        <is>
          <t>ÅNGE</t>
        </is>
      </c>
      <c r="G651" t="n">
        <v>1.1</v>
      </c>
      <c r="H651" t="n">
        <v>0</v>
      </c>
      <c r="I651" t="n">
        <v>0</v>
      </c>
      <c r="J651" t="n">
        <v>0</v>
      </c>
      <c r="K651" t="n">
        <v>0</v>
      </c>
      <c r="L651" t="n">
        <v>0</v>
      </c>
      <c r="M651" t="n">
        <v>0</v>
      </c>
      <c r="N651" t="n">
        <v>0</v>
      </c>
      <c r="O651" t="n">
        <v>0</v>
      </c>
      <c r="P651" t="n">
        <v>0</v>
      </c>
      <c r="Q651" t="n">
        <v>0</v>
      </c>
      <c r="R651" s="2" t="inlineStr"/>
    </row>
    <row r="652" ht="15" customHeight="1">
      <c r="A652" t="inlineStr">
        <is>
          <t>A 43386-2025</t>
        </is>
      </c>
      <c r="B652" s="1" t="n">
        <v>45911.36520833334</v>
      </c>
      <c r="C652" s="1" t="n">
        <v>46049</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58639-2023</t>
        </is>
      </c>
      <c r="B653" s="1" t="n">
        <v>45251</v>
      </c>
      <c r="C653" s="1" t="n">
        <v>46049</v>
      </c>
      <c r="D653" t="inlineStr">
        <is>
          <t>VÄSTERNORRLANDS LÄN</t>
        </is>
      </c>
      <c r="E653" t="inlineStr">
        <is>
          <t>ÅNGE</t>
        </is>
      </c>
      <c r="G653" t="n">
        <v>0.6</v>
      </c>
      <c r="H653" t="n">
        <v>0</v>
      </c>
      <c r="I653" t="n">
        <v>0</v>
      </c>
      <c r="J653" t="n">
        <v>0</v>
      </c>
      <c r="K653" t="n">
        <v>0</v>
      </c>
      <c r="L653" t="n">
        <v>0</v>
      </c>
      <c r="M653" t="n">
        <v>0</v>
      </c>
      <c r="N653" t="n">
        <v>0</v>
      </c>
      <c r="O653" t="n">
        <v>0</v>
      </c>
      <c r="P653" t="n">
        <v>0</v>
      </c>
      <c r="Q653" t="n">
        <v>0</v>
      </c>
      <c r="R653" s="2" t="inlineStr"/>
    </row>
    <row r="654" ht="15" customHeight="1">
      <c r="A654" t="inlineStr">
        <is>
          <t>A 51054-2024</t>
        </is>
      </c>
      <c r="B654" s="1" t="n">
        <v>45603</v>
      </c>
      <c r="C654" s="1" t="n">
        <v>46049</v>
      </c>
      <c r="D654" t="inlineStr">
        <is>
          <t>VÄSTERNORRLANDS LÄN</t>
        </is>
      </c>
      <c r="E654" t="inlineStr">
        <is>
          <t>ÅNGE</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35498-2022</t>
        </is>
      </c>
      <c r="B655" s="1" t="n">
        <v>44798.94810185185</v>
      </c>
      <c r="C655" s="1" t="n">
        <v>46049</v>
      </c>
      <c r="D655" t="inlineStr">
        <is>
          <t>VÄSTERNORRLANDS LÄN</t>
        </is>
      </c>
      <c r="E655" t="inlineStr">
        <is>
          <t>ÅNGE</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33717-2025</t>
        </is>
      </c>
      <c r="B656" s="1" t="n">
        <v>45841.89357638889</v>
      </c>
      <c r="C656" s="1" t="n">
        <v>46049</v>
      </c>
      <c r="D656" t="inlineStr">
        <is>
          <t>VÄSTERNORRLANDS LÄN</t>
        </is>
      </c>
      <c r="E656" t="inlineStr">
        <is>
          <t>ÅNGE</t>
        </is>
      </c>
      <c r="G656" t="n">
        <v>14.3</v>
      </c>
      <c r="H656" t="n">
        <v>0</v>
      </c>
      <c r="I656" t="n">
        <v>0</v>
      </c>
      <c r="J656" t="n">
        <v>0</v>
      </c>
      <c r="K656" t="n">
        <v>0</v>
      </c>
      <c r="L656" t="n">
        <v>0</v>
      </c>
      <c r="M656" t="n">
        <v>0</v>
      </c>
      <c r="N656" t="n">
        <v>0</v>
      </c>
      <c r="O656" t="n">
        <v>0</v>
      </c>
      <c r="P656" t="n">
        <v>0</v>
      </c>
      <c r="Q656" t="n">
        <v>0</v>
      </c>
      <c r="R656" s="2" t="inlineStr"/>
    </row>
    <row r="657" ht="15" customHeight="1">
      <c r="A657" t="inlineStr">
        <is>
          <t>A 33738-2025</t>
        </is>
      </c>
      <c r="B657" s="1" t="n">
        <v>45842.33795138889</v>
      </c>
      <c r="C657" s="1" t="n">
        <v>46049</v>
      </c>
      <c r="D657" t="inlineStr">
        <is>
          <t>VÄSTERNORRLANDS LÄN</t>
        </is>
      </c>
      <c r="E657" t="inlineStr">
        <is>
          <t>ÅNGE</t>
        </is>
      </c>
      <c r="G657" t="n">
        <v>0.6</v>
      </c>
      <c r="H657" t="n">
        <v>0</v>
      </c>
      <c r="I657" t="n">
        <v>0</v>
      </c>
      <c r="J657" t="n">
        <v>0</v>
      </c>
      <c r="K657" t="n">
        <v>0</v>
      </c>
      <c r="L657" t="n">
        <v>0</v>
      </c>
      <c r="M657" t="n">
        <v>0</v>
      </c>
      <c r="N657" t="n">
        <v>0</v>
      </c>
      <c r="O657" t="n">
        <v>0</v>
      </c>
      <c r="P657" t="n">
        <v>0</v>
      </c>
      <c r="Q657" t="n">
        <v>0</v>
      </c>
      <c r="R657" s="2" t="inlineStr"/>
    </row>
    <row r="658" ht="15" customHeight="1">
      <c r="A658" t="inlineStr">
        <is>
          <t>A 3347-2024</t>
        </is>
      </c>
      <c r="B658" s="1" t="n">
        <v>45317</v>
      </c>
      <c r="C658" s="1" t="n">
        <v>46049</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51059-2024</t>
        </is>
      </c>
      <c r="B659" s="1" t="n">
        <v>45603</v>
      </c>
      <c r="C659" s="1" t="n">
        <v>46049</v>
      </c>
      <c r="D659" t="inlineStr">
        <is>
          <t>VÄSTERNORRLANDS LÄN</t>
        </is>
      </c>
      <c r="E659" t="inlineStr">
        <is>
          <t>ÅNGE</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53856-2024</t>
        </is>
      </c>
      <c r="B660" s="1" t="n">
        <v>45615</v>
      </c>
      <c r="C660" s="1" t="n">
        <v>46049</v>
      </c>
      <c r="D660" t="inlineStr">
        <is>
          <t>VÄSTERNORRLANDS LÄN</t>
        </is>
      </c>
      <c r="E660" t="inlineStr">
        <is>
          <t>ÅNGE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34019-2025</t>
        </is>
      </c>
      <c r="B661" s="1" t="n">
        <v>45845.34416666667</v>
      </c>
      <c r="C661" s="1" t="n">
        <v>46049</v>
      </c>
      <c r="D661" t="inlineStr">
        <is>
          <t>VÄSTERNORRLANDS LÄN</t>
        </is>
      </c>
      <c r="E661" t="inlineStr">
        <is>
          <t>ÅNGE</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44165-2025</t>
        </is>
      </c>
      <c r="B662" s="1" t="n">
        <v>45915.59840277778</v>
      </c>
      <c r="C662" s="1" t="n">
        <v>46049</v>
      </c>
      <c r="D662" t="inlineStr">
        <is>
          <t>VÄSTERNORRLANDS LÄN</t>
        </is>
      </c>
      <c r="E662" t="inlineStr">
        <is>
          <t>ÅNGE</t>
        </is>
      </c>
      <c r="G662" t="n">
        <v>0.7</v>
      </c>
      <c r="H662" t="n">
        <v>0</v>
      </c>
      <c r="I662" t="n">
        <v>0</v>
      </c>
      <c r="J662" t="n">
        <v>0</v>
      </c>
      <c r="K662" t="n">
        <v>0</v>
      </c>
      <c r="L662" t="n">
        <v>0</v>
      </c>
      <c r="M662" t="n">
        <v>0</v>
      </c>
      <c r="N662" t="n">
        <v>0</v>
      </c>
      <c r="O662" t="n">
        <v>0</v>
      </c>
      <c r="P662" t="n">
        <v>0</v>
      </c>
      <c r="Q662" t="n">
        <v>0</v>
      </c>
      <c r="R662" s="2" t="inlineStr"/>
    </row>
    <row r="663" ht="15" customHeight="1">
      <c r="A663" t="inlineStr">
        <is>
          <t>A 9382-2025</t>
        </is>
      </c>
      <c r="B663" s="1" t="n">
        <v>45715.34425925926</v>
      </c>
      <c r="C663" s="1" t="n">
        <v>46049</v>
      </c>
      <c r="D663" t="inlineStr">
        <is>
          <t>VÄSTERNORRLANDS LÄN</t>
        </is>
      </c>
      <c r="E663" t="inlineStr">
        <is>
          <t>ÅNGE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34031-2025</t>
        </is>
      </c>
      <c r="B664" s="1" t="n">
        <v>45845.36508101852</v>
      </c>
      <c r="C664" s="1" t="n">
        <v>46049</v>
      </c>
      <c r="D664" t="inlineStr">
        <is>
          <t>VÄSTERNORRLANDS LÄN</t>
        </is>
      </c>
      <c r="E664" t="inlineStr">
        <is>
          <t>ÅNGE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1711-2025</t>
        </is>
      </c>
      <c r="B665" s="1" t="n">
        <v>45671.31184027778</v>
      </c>
      <c r="C665" s="1" t="n">
        <v>46049</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42043-2024</t>
        </is>
      </c>
      <c r="B666" s="1" t="n">
        <v>45561</v>
      </c>
      <c r="C666" s="1" t="n">
        <v>46049</v>
      </c>
      <c r="D666" t="inlineStr">
        <is>
          <t>VÄSTERNORRLANDS LÄN</t>
        </is>
      </c>
      <c r="E666" t="inlineStr">
        <is>
          <t>ÅNGE</t>
        </is>
      </c>
      <c r="G666" t="n">
        <v>3.1</v>
      </c>
      <c r="H666" t="n">
        <v>0</v>
      </c>
      <c r="I666" t="n">
        <v>0</v>
      </c>
      <c r="J666" t="n">
        <v>0</v>
      </c>
      <c r="K666" t="n">
        <v>0</v>
      </c>
      <c r="L666" t="n">
        <v>0</v>
      </c>
      <c r="M666" t="n">
        <v>0</v>
      </c>
      <c r="N666" t="n">
        <v>0</v>
      </c>
      <c r="O666" t="n">
        <v>0</v>
      </c>
      <c r="P666" t="n">
        <v>0</v>
      </c>
      <c r="Q666" t="n">
        <v>0</v>
      </c>
      <c r="R666" s="2" t="inlineStr"/>
    </row>
    <row r="667" ht="15" customHeight="1">
      <c r="A667" t="inlineStr">
        <is>
          <t>A 42046-2024</t>
        </is>
      </c>
      <c r="B667" s="1" t="n">
        <v>45561.83422453704</v>
      </c>
      <c r="C667" s="1" t="n">
        <v>46049</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55751-2024</t>
        </is>
      </c>
      <c r="B668" s="1" t="n">
        <v>45623.34409722222</v>
      </c>
      <c r="C668" s="1" t="n">
        <v>46049</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44919-2025</t>
        </is>
      </c>
      <c r="B669" s="1" t="n">
        <v>45918.55246527777</v>
      </c>
      <c r="C669" s="1" t="n">
        <v>46049</v>
      </c>
      <c r="D669" t="inlineStr">
        <is>
          <t>VÄSTERNORRLANDS LÄN</t>
        </is>
      </c>
      <c r="E669" t="inlineStr">
        <is>
          <t>ÅNGE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44935-2025</t>
        </is>
      </c>
      <c r="B670" s="1" t="n">
        <v>45918.57392361111</v>
      </c>
      <c r="C670" s="1" t="n">
        <v>46049</v>
      </c>
      <c r="D670" t="inlineStr">
        <is>
          <t>VÄSTERNORRLANDS LÄN</t>
        </is>
      </c>
      <c r="E670" t="inlineStr">
        <is>
          <t>ÅNGE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56232-2024</t>
        </is>
      </c>
      <c r="B671" s="1" t="n">
        <v>45624</v>
      </c>
      <c r="C671" s="1" t="n">
        <v>46049</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44635-2024</t>
        </is>
      </c>
      <c r="B672" s="1" t="n">
        <v>45574.51488425926</v>
      </c>
      <c r="C672" s="1" t="n">
        <v>46049</v>
      </c>
      <c r="D672" t="inlineStr">
        <is>
          <t>VÄSTERNORRLANDS LÄN</t>
        </is>
      </c>
      <c r="E672" t="inlineStr">
        <is>
          <t>ÅNGE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34785-2025</t>
        </is>
      </c>
      <c r="B673" s="1" t="n">
        <v>45848.67771990741</v>
      </c>
      <c r="C673" s="1" t="n">
        <v>46049</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24552-2023</t>
        </is>
      </c>
      <c r="B674" s="1" t="n">
        <v>45082.94226851852</v>
      </c>
      <c r="C674" s="1" t="n">
        <v>46049</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34591-2025</t>
        </is>
      </c>
      <c r="B675" s="1" t="n">
        <v>45847.62920138889</v>
      </c>
      <c r="C675" s="1" t="n">
        <v>46049</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34593-2025</t>
        </is>
      </c>
      <c r="B676" s="1" t="n">
        <v>45847.6316087963</v>
      </c>
      <c r="C676" s="1" t="n">
        <v>46049</v>
      </c>
      <c r="D676" t="inlineStr">
        <is>
          <t>VÄSTERNORRLANDS LÄN</t>
        </is>
      </c>
      <c r="E676" t="inlineStr">
        <is>
          <t>ÅNGE</t>
        </is>
      </c>
      <c r="G676" t="n">
        <v>5.3</v>
      </c>
      <c r="H676" t="n">
        <v>0</v>
      </c>
      <c r="I676" t="n">
        <v>0</v>
      </c>
      <c r="J676" t="n">
        <v>0</v>
      </c>
      <c r="K676" t="n">
        <v>0</v>
      </c>
      <c r="L676" t="n">
        <v>0</v>
      </c>
      <c r="M676" t="n">
        <v>0</v>
      </c>
      <c r="N676" t="n">
        <v>0</v>
      </c>
      <c r="O676" t="n">
        <v>0</v>
      </c>
      <c r="P676" t="n">
        <v>0</v>
      </c>
      <c r="Q676" t="n">
        <v>0</v>
      </c>
      <c r="R676" s="2" t="inlineStr"/>
    </row>
    <row r="677" ht="15" customHeight="1">
      <c r="A677" t="inlineStr">
        <is>
          <t>A 16191-2023</t>
        </is>
      </c>
      <c r="B677" s="1" t="n">
        <v>45027.94111111111</v>
      </c>
      <c r="C677" s="1" t="n">
        <v>46049</v>
      </c>
      <c r="D677" t="inlineStr">
        <is>
          <t>VÄSTERNORRLANDS LÄN</t>
        </is>
      </c>
      <c r="E677" t="inlineStr">
        <is>
          <t>ÅNGE</t>
        </is>
      </c>
      <c r="F677" t="inlineStr">
        <is>
          <t>SCA</t>
        </is>
      </c>
      <c r="G677" t="n">
        <v>6.8</v>
      </c>
      <c r="H677" t="n">
        <v>0</v>
      </c>
      <c r="I677" t="n">
        <v>0</v>
      </c>
      <c r="J677" t="n">
        <v>0</v>
      </c>
      <c r="K677" t="n">
        <v>0</v>
      </c>
      <c r="L677" t="n">
        <v>0</v>
      </c>
      <c r="M677" t="n">
        <v>0</v>
      </c>
      <c r="N677" t="n">
        <v>0</v>
      </c>
      <c r="O677" t="n">
        <v>0</v>
      </c>
      <c r="P677" t="n">
        <v>0</v>
      </c>
      <c r="Q677" t="n">
        <v>0</v>
      </c>
      <c r="R677" s="2" t="inlineStr"/>
    </row>
    <row r="678" ht="15" customHeight="1">
      <c r="A678" t="inlineStr">
        <is>
          <t>A 45403-2025</t>
        </is>
      </c>
      <c r="B678" s="1" t="n">
        <v>45922.42803240741</v>
      </c>
      <c r="C678" s="1" t="n">
        <v>46049</v>
      </c>
      <c r="D678" t="inlineStr">
        <is>
          <t>VÄSTERNORRLANDS LÄN</t>
        </is>
      </c>
      <c r="E678" t="inlineStr">
        <is>
          <t>ÅNGE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45404-2025</t>
        </is>
      </c>
      <c r="B679" s="1" t="n">
        <v>45922.42820601852</v>
      </c>
      <c r="C679" s="1" t="n">
        <v>46049</v>
      </c>
      <c r="D679" t="inlineStr">
        <is>
          <t>VÄSTERNORRLANDS LÄN</t>
        </is>
      </c>
      <c r="E679" t="inlineStr">
        <is>
          <t>ÅNGE</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17670-2023</t>
        </is>
      </c>
      <c r="B680" s="1" t="n">
        <v>45036</v>
      </c>
      <c r="C680" s="1" t="n">
        <v>46049</v>
      </c>
      <c r="D680" t="inlineStr">
        <is>
          <t>VÄSTERNORRLANDS LÄN</t>
        </is>
      </c>
      <c r="E680" t="inlineStr">
        <is>
          <t>ÅNGE</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59412-2024</t>
        </is>
      </c>
      <c r="B681" s="1" t="n">
        <v>45638</v>
      </c>
      <c r="C681" s="1" t="n">
        <v>46049</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44518-2024</t>
        </is>
      </c>
      <c r="B682" s="1" t="n">
        <v>45574.43376157407</v>
      </c>
      <c r="C682" s="1" t="n">
        <v>46049</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51124-2024</t>
        </is>
      </c>
      <c r="B683" s="1" t="n">
        <v>45603.50716435185</v>
      </c>
      <c r="C683" s="1" t="n">
        <v>46049</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45401-2025</t>
        </is>
      </c>
      <c r="B684" s="1" t="n">
        <v>45922.42767361111</v>
      </c>
      <c r="C684" s="1" t="n">
        <v>46049</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50674-2024</t>
        </is>
      </c>
      <c r="B685" s="1" t="n">
        <v>45601.85402777778</v>
      </c>
      <c r="C685" s="1" t="n">
        <v>46049</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54720-2024</t>
        </is>
      </c>
      <c r="B686" s="1" t="n">
        <v>45618.43715277778</v>
      </c>
      <c r="C686" s="1" t="n">
        <v>46049</v>
      </c>
      <c r="D686" t="inlineStr">
        <is>
          <t>VÄSTERNORRLANDS LÄN</t>
        </is>
      </c>
      <c r="E686" t="inlineStr">
        <is>
          <t>ÅNGE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35143-2025</t>
        </is>
      </c>
      <c r="B687" s="1" t="n">
        <v>45852.65660879629</v>
      </c>
      <c r="C687" s="1" t="n">
        <v>46049</v>
      </c>
      <c r="D687" t="inlineStr">
        <is>
          <t>VÄSTERNORRLANDS LÄN</t>
        </is>
      </c>
      <c r="E687" t="inlineStr">
        <is>
          <t>ÅNGE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35061-2025</t>
        </is>
      </c>
      <c r="B688" s="1" t="n">
        <v>45852</v>
      </c>
      <c r="C688" s="1" t="n">
        <v>46049</v>
      </c>
      <c r="D688" t="inlineStr">
        <is>
          <t>VÄSTERNORRLANDS LÄN</t>
        </is>
      </c>
      <c r="E688" t="inlineStr">
        <is>
          <t>ÅNGE</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53336-2024</t>
        </is>
      </c>
      <c r="B689" s="1" t="n">
        <v>45614.42753472222</v>
      </c>
      <c r="C689" s="1" t="n">
        <v>46049</v>
      </c>
      <c r="D689" t="inlineStr">
        <is>
          <t>VÄSTERNORRLANDS LÄN</t>
        </is>
      </c>
      <c r="E689" t="inlineStr">
        <is>
          <t>ÅNGE</t>
        </is>
      </c>
      <c r="G689" t="n">
        <v>1.5</v>
      </c>
      <c r="H689" t="n">
        <v>0</v>
      </c>
      <c r="I689" t="n">
        <v>0</v>
      </c>
      <c r="J689" t="n">
        <v>0</v>
      </c>
      <c r="K689" t="n">
        <v>0</v>
      </c>
      <c r="L689" t="n">
        <v>0</v>
      </c>
      <c r="M689" t="n">
        <v>0</v>
      </c>
      <c r="N689" t="n">
        <v>0</v>
      </c>
      <c r="O689" t="n">
        <v>0</v>
      </c>
      <c r="P689" t="n">
        <v>0</v>
      </c>
      <c r="Q689" t="n">
        <v>0</v>
      </c>
      <c r="R689" s="2" t="inlineStr"/>
    </row>
    <row r="690" ht="15" customHeight="1">
      <c r="A690" t="inlineStr">
        <is>
          <t>A 57598-2022</t>
        </is>
      </c>
      <c r="B690" s="1" t="n">
        <v>44896</v>
      </c>
      <c r="C690" s="1" t="n">
        <v>46049</v>
      </c>
      <c r="D690" t="inlineStr">
        <is>
          <t>VÄSTERNORRLANDS LÄN</t>
        </is>
      </c>
      <c r="E690" t="inlineStr">
        <is>
          <t>ÅNGE</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45875-2025</t>
        </is>
      </c>
      <c r="B691" s="1" t="n">
        <v>45923.65690972222</v>
      </c>
      <c r="C691" s="1" t="n">
        <v>46049</v>
      </c>
      <c r="D691" t="inlineStr">
        <is>
          <t>VÄSTERNORRLANDS LÄN</t>
        </is>
      </c>
      <c r="E691" t="inlineStr">
        <is>
          <t>ÅNGE</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35503-2025</t>
        </is>
      </c>
      <c r="B692" s="1" t="n">
        <v>45856</v>
      </c>
      <c r="C692" s="1" t="n">
        <v>46049</v>
      </c>
      <c r="D692" t="inlineStr">
        <is>
          <t>VÄSTERNORRLANDS LÄN</t>
        </is>
      </c>
      <c r="E692" t="inlineStr">
        <is>
          <t>ÅNGE</t>
        </is>
      </c>
      <c r="G692" t="n">
        <v>5.2</v>
      </c>
      <c r="H692" t="n">
        <v>0</v>
      </c>
      <c r="I692" t="n">
        <v>0</v>
      </c>
      <c r="J692" t="n">
        <v>0</v>
      </c>
      <c r="K692" t="n">
        <v>0</v>
      </c>
      <c r="L692" t="n">
        <v>0</v>
      </c>
      <c r="M692" t="n">
        <v>0</v>
      </c>
      <c r="N692" t="n">
        <v>0</v>
      </c>
      <c r="O692" t="n">
        <v>0</v>
      </c>
      <c r="P692" t="n">
        <v>0</v>
      </c>
      <c r="Q692" t="n">
        <v>0</v>
      </c>
      <c r="R692" s="2" t="inlineStr"/>
    </row>
    <row r="693" ht="15" customHeight="1">
      <c r="A693" t="inlineStr">
        <is>
          <t>A 35540-2025</t>
        </is>
      </c>
      <c r="B693" s="1" t="n">
        <v>45856.46912037037</v>
      </c>
      <c r="C693" s="1" t="n">
        <v>46049</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45660-2025</t>
        </is>
      </c>
      <c r="B694" s="1" t="n">
        <v>45923.34494212963</v>
      </c>
      <c r="C694" s="1" t="n">
        <v>46049</v>
      </c>
      <c r="D694" t="inlineStr">
        <is>
          <t>VÄSTERNORRLANDS LÄN</t>
        </is>
      </c>
      <c r="E694" t="inlineStr">
        <is>
          <t>ÅNGE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46111-2025</t>
        </is>
      </c>
      <c r="B695" s="1" t="n">
        <v>45924.56684027778</v>
      </c>
      <c r="C695" s="1" t="n">
        <v>46049</v>
      </c>
      <c r="D695" t="inlineStr">
        <is>
          <t>VÄSTERNORRLANDS LÄN</t>
        </is>
      </c>
      <c r="E695" t="inlineStr">
        <is>
          <t>ÅNGE</t>
        </is>
      </c>
      <c r="G695" t="n">
        <v>1.1</v>
      </c>
      <c r="H695" t="n">
        <v>0</v>
      </c>
      <c r="I695" t="n">
        <v>0</v>
      </c>
      <c r="J695" t="n">
        <v>0</v>
      </c>
      <c r="K695" t="n">
        <v>0</v>
      </c>
      <c r="L695" t="n">
        <v>0</v>
      </c>
      <c r="M695" t="n">
        <v>0</v>
      </c>
      <c r="N695" t="n">
        <v>0</v>
      </c>
      <c r="O695" t="n">
        <v>0</v>
      </c>
      <c r="P695" t="n">
        <v>0</v>
      </c>
      <c r="Q695" t="n">
        <v>0</v>
      </c>
      <c r="R695" s="2" t="inlineStr"/>
    </row>
    <row r="696" ht="15" customHeight="1">
      <c r="A696" t="inlineStr">
        <is>
          <t>A 35548-2025</t>
        </is>
      </c>
      <c r="B696" s="1" t="n">
        <v>45856.48995370371</v>
      </c>
      <c r="C696" s="1" t="n">
        <v>46049</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35575-2025</t>
        </is>
      </c>
      <c r="B697" s="1" t="n">
        <v>45856.63591435185</v>
      </c>
      <c r="C697" s="1" t="n">
        <v>46049</v>
      </c>
      <c r="D697" t="inlineStr">
        <is>
          <t>VÄSTERNORRLANDS LÄN</t>
        </is>
      </c>
      <c r="E697" t="inlineStr">
        <is>
          <t>ÅNGE</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35497-2025</t>
        </is>
      </c>
      <c r="B698" s="1" t="n">
        <v>45856.29752314815</v>
      </c>
      <c r="C698" s="1" t="n">
        <v>46049</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46109-2025</t>
        </is>
      </c>
      <c r="B699" s="1" t="n">
        <v>45924.5596412037</v>
      </c>
      <c r="C699" s="1" t="n">
        <v>46049</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35432-2025</t>
        </is>
      </c>
      <c r="B700" s="1" t="n">
        <v>45855.44831018519</v>
      </c>
      <c r="C700" s="1" t="n">
        <v>46049</v>
      </c>
      <c r="D700" t="inlineStr">
        <is>
          <t>VÄSTERNORRLANDS LÄN</t>
        </is>
      </c>
      <c r="E700" t="inlineStr">
        <is>
          <t>ÅNGE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35577-2025</t>
        </is>
      </c>
      <c r="B701" s="1" t="n">
        <v>45856.67762731481</v>
      </c>
      <c r="C701" s="1" t="n">
        <v>46049</v>
      </c>
      <c r="D701" t="inlineStr">
        <is>
          <t>VÄSTERNORRLANDS LÄN</t>
        </is>
      </c>
      <c r="E701" t="inlineStr">
        <is>
          <t>ÅNGE</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35690-2025</t>
        </is>
      </c>
      <c r="B702" s="1" t="n">
        <v>45860.34421296296</v>
      </c>
      <c r="C702" s="1" t="n">
        <v>46049</v>
      </c>
      <c r="D702" t="inlineStr">
        <is>
          <t>VÄSTERNORRLANDS LÄN</t>
        </is>
      </c>
      <c r="E702" t="inlineStr">
        <is>
          <t>ÅNGE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35781-2025</t>
        </is>
      </c>
      <c r="B703" s="1" t="n">
        <v>45860.70613425926</v>
      </c>
      <c r="C703" s="1" t="n">
        <v>46049</v>
      </c>
      <c r="D703" t="inlineStr">
        <is>
          <t>VÄSTERNORRLANDS LÄN</t>
        </is>
      </c>
      <c r="E703" t="inlineStr">
        <is>
          <t>ÅNGE</t>
        </is>
      </c>
      <c r="G703" t="n">
        <v>2.2</v>
      </c>
      <c r="H703" t="n">
        <v>0</v>
      </c>
      <c r="I703" t="n">
        <v>0</v>
      </c>
      <c r="J703" t="n">
        <v>0</v>
      </c>
      <c r="K703" t="n">
        <v>0</v>
      </c>
      <c r="L703" t="n">
        <v>0</v>
      </c>
      <c r="M703" t="n">
        <v>0</v>
      </c>
      <c r="N703" t="n">
        <v>0</v>
      </c>
      <c r="O703" t="n">
        <v>0</v>
      </c>
      <c r="P703" t="n">
        <v>0</v>
      </c>
      <c r="Q703" t="n">
        <v>0</v>
      </c>
      <c r="R703" s="2" t="inlineStr"/>
    </row>
    <row r="704" ht="15" customHeight="1">
      <c r="A704" t="inlineStr">
        <is>
          <t>A 1975-2025</t>
        </is>
      </c>
      <c r="B704" s="1" t="n">
        <v>45672.39332175926</v>
      </c>
      <c r="C704" s="1" t="n">
        <v>46049</v>
      </c>
      <c r="D704" t="inlineStr">
        <is>
          <t>VÄSTERNORRLANDS LÄN</t>
        </is>
      </c>
      <c r="E704" t="inlineStr">
        <is>
          <t>ÅNGE</t>
        </is>
      </c>
      <c r="G704" t="n">
        <v>6.2</v>
      </c>
      <c r="H704" t="n">
        <v>0</v>
      </c>
      <c r="I704" t="n">
        <v>0</v>
      </c>
      <c r="J704" t="n">
        <v>0</v>
      </c>
      <c r="K704" t="n">
        <v>0</v>
      </c>
      <c r="L704" t="n">
        <v>0</v>
      </c>
      <c r="M704" t="n">
        <v>0</v>
      </c>
      <c r="N704" t="n">
        <v>0</v>
      </c>
      <c r="O704" t="n">
        <v>0</v>
      </c>
      <c r="P704" t="n">
        <v>0</v>
      </c>
      <c r="Q704" t="n">
        <v>0</v>
      </c>
      <c r="R704" s="2" t="inlineStr"/>
    </row>
    <row r="705" ht="15" customHeight="1">
      <c r="A705" t="inlineStr">
        <is>
          <t>A 45659-2025</t>
        </is>
      </c>
      <c r="B705" s="1" t="n">
        <v>45923.34471064815</v>
      </c>
      <c r="C705" s="1" t="n">
        <v>46049</v>
      </c>
      <c r="D705" t="inlineStr">
        <is>
          <t>VÄSTERNORRLANDS LÄN</t>
        </is>
      </c>
      <c r="E705" t="inlineStr">
        <is>
          <t>ÅNGE</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35766-2025</t>
        </is>
      </c>
      <c r="B706" s="1" t="n">
        <v>45860.63077546296</v>
      </c>
      <c r="C706" s="1" t="n">
        <v>46049</v>
      </c>
      <c r="D706" t="inlineStr">
        <is>
          <t>VÄSTERNORRLANDS LÄN</t>
        </is>
      </c>
      <c r="E706" t="inlineStr">
        <is>
          <t>ÅNGE</t>
        </is>
      </c>
      <c r="G706" t="n">
        <v>10.7</v>
      </c>
      <c r="H706" t="n">
        <v>0</v>
      </c>
      <c r="I706" t="n">
        <v>0</v>
      </c>
      <c r="J706" t="n">
        <v>0</v>
      </c>
      <c r="K706" t="n">
        <v>0</v>
      </c>
      <c r="L706" t="n">
        <v>0</v>
      </c>
      <c r="M706" t="n">
        <v>0</v>
      </c>
      <c r="N706" t="n">
        <v>0</v>
      </c>
      <c r="O706" t="n">
        <v>0</v>
      </c>
      <c r="P706" t="n">
        <v>0</v>
      </c>
      <c r="Q706" t="n">
        <v>0</v>
      </c>
      <c r="R706" s="2" t="inlineStr"/>
    </row>
    <row r="707" ht="15" customHeight="1">
      <c r="A707" t="inlineStr">
        <is>
          <t>A 33429-2023</t>
        </is>
      </c>
      <c r="B707" s="1" t="n">
        <v>45128.94983796297</v>
      </c>
      <c r="C707" s="1" t="n">
        <v>46049</v>
      </c>
      <c r="D707" t="inlineStr">
        <is>
          <t>VÄSTERNORRLANDS LÄN</t>
        </is>
      </c>
      <c r="E707" t="inlineStr">
        <is>
          <t>ÅNGE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45970-2025</t>
        </is>
      </c>
      <c r="B708" s="1" t="n">
        <v>45924.36519675926</v>
      </c>
      <c r="C708" s="1" t="n">
        <v>46049</v>
      </c>
      <c r="D708" t="inlineStr">
        <is>
          <t>VÄSTERNORRLANDS LÄN</t>
        </is>
      </c>
      <c r="E708" t="inlineStr">
        <is>
          <t>ÅNGE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20576-2021</t>
        </is>
      </c>
      <c r="B709" s="1" t="n">
        <v>44316.3290162037</v>
      </c>
      <c r="C709" s="1" t="n">
        <v>46049</v>
      </c>
      <c r="D709" t="inlineStr">
        <is>
          <t>VÄSTERNORRLANDS LÄN</t>
        </is>
      </c>
      <c r="E709" t="inlineStr">
        <is>
          <t>ÅNGE</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1235-2023</t>
        </is>
      </c>
      <c r="B710" s="1" t="n">
        <v>44935</v>
      </c>
      <c r="C710" s="1" t="n">
        <v>46049</v>
      </c>
      <c r="D710" t="inlineStr">
        <is>
          <t>VÄSTERNORRLANDS LÄN</t>
        </is>
      </c>
      <c r="E710" t="inlineStr">
        <is>
          <t>ÅNGE</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13501-2021</t>
        </is>
      </c>
      <c r="B711" s="1" t="n">
        <v>44273</v>
      </c>
      <c r="C711" s="1" t="n">
        <v>46049</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46267-2025</t>
        </is>
      </c>
      <c r="B712" s="1" t="n">
        <v>45925.36578703704</v>
      </c>
      <c r="C712" s="1" t="n">
        <v>46049</v>
      </c>
      <c r="D712" t="inlineStr">
        <is>
          <t>VÄSTERNORRLANDS LÄN</t>
        </is>
      </c>
      <c r="E712" t="inlineStr">
        <is>
          <t>ÅNGE</t>
        </is>
      </c>
      <c r="G712" t="n">
        <v>1.9</v>
      </c>
      <c r="H712" t="n">
        <v>0</v>
      </c>
      <c r="I712" t="n">
        <v>0</v>
      </c>
      <c r="J712" t="n">
        <v>0</v>
      </c>
      <c r="K712" t="n">
        <v>0</v>
      </c>
      <c r="L712" t="n">
        <v>0</v>
      </c>
      <c r="M712" t="n">
        <v>0</v>
      </c>
      <c r="N712" t="n">
        <v>0</v>
      </c>
      <c r="O712" t="n">
        <v>0</v>
      </c>
      <c r="P712" t="n">
        <v>0</v>
      </c>
      <c r="Q712" t="n">
        <v>0</v>
      </c>
      <c r="R712" s="2" t="inlineStr"/>
    </row>
    <row r="713" ht="15" customHeight="1">
      <c r="A713" t="inlineStr">
        <is>
          <t>A 33302-2024</t>
        </is>
      </c>
      <c r="B713" s="1" t="n">
        <v>45518.96967592592</v>
      </c>
      <c r="C713" s="1" t="n">
        <v>46049</v>
      </c>
      <c r="D713" t="inlineStr">
        <is>
          <t>VÄSTERNORRLANDS LÄN</t>
        </is>
      </c>
      <c r="E713" t="inlineStr">
        <is>
          <t>ÅNGE</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7528-2023</t>
        </is>
      </c>
      <c r="B714" s="1" t="n">
        <v>44971.97662037037</v>
      </c>
      <c r="C714" s="1" t="n">
        <v>46049</v>
      </c>
      <c r="D714" t="inlineStr">
        <is>
          <t>VÄSTERNORRLANDS LÄN</t>
        </is>
      </c>
      <c r="E714" t="inlineStr">
        <is>
          <t>ÅNGE</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35826-2025</t>
        </is>
      </c>
      <c r="B715" s="1" t="n">
        <v>45861.48997685185</v>
      </c>
      <c r="C715" s="1" t="n">
        <v>46049</v>
      </c>
      <c r="D715" t="inlineStr">
        <is>
          <t>VÄSTERNORRLANDS LÄN</t>
        </is>
      </c>
      <c r="E715" t="inlineStr">
        <is>
          <t>ÅNGE</t>
        </is>
      </c>
      <c r="G715" t="n">
        <v>2.5</v>
      </c>
      <c r="H715" t="n">
        <v>0</v>
      </c>
      <c r="I715" t="n">
        <v>0</v>
      </c>
      <c r="J715" t="n">
        <v>0</v>
      </c>
      <c r="K715" t="n">
        <v>0</v>
      </c>
      <c r="L715" t="n">
        <v>0</v>
      </c>
      <c r="M715" t="n">
        <v>0</v>
      </c>
      <c r="N715" t="n">
        <v>0</v>
      </c>
      <c r="O715" t="n">
        <v>0</v>
      </c>
      <c r="P715" t="n">
        <v>0</v>
      </c>
      <c r="Q715" t="n">
        <v>0</v>
      </c>
      <c r="R715" s="2" t="inlineStr"/>
    </row>
    <row r="716" ht="15" customHeight="1">
      <c r="A716" t="inlineStr">
        <is>
          <t>A 35838-2025</t>
        </is>
      </c>
      <c r="B716" s="1" t="n">
        <v>45861.53829861111</v>
      </c>
      <c r="C716" s="1" t="n">
        <v>46049</v>
      </c>
      <c r="D716" t="inlineStr">
        <is>
          <t>VÄSTERNORRLANDS LÄN</t>
        </is>
      </c>
      <c r="E716" t="inlineStr">
        <is>
          <t>ÅNGE</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46419-2025</t>
        </is>
      </c>
      <c r="B717" s="1" t="n">
        <v>45925.5949537037</v>
      </c>
      <c r="C717" s="1" t="n">
        <v>46049</v>
      </c>
      <c r="D717" t="inlineStr">
        <is>
          <t>VÄSTERNORRLANDS LÄN</t>
        </is>
      </c>
      <c r="E717" t="inlineStr">
        <is>
          <t>ÅNGE</t>
        </is>
      </c>
      <c r="F717" t="inlineStr">
        <is>
          <t>SCA</t>
        </is>
      </c>
      <c r="G717" t="n">
        <v>4.4</v>
      </c>
      <c r="H717" t="n">
        <v>0</v>
      </c>
      <c r="I717" t="n">
        <v>0</v>
      </c>
      <c r="J717" t="n">
        <v>0</v>
      </c>
      <c r="K717" t="n">
        <v>0</v>
      </c>
      <c r="L717" t="n">
        <v>0</v>
      </c>
      <c r="M717" t="n">
        <v>0</v>
      </c>
      <c r="N717" t="n">
        <v>0</v>
      </c>
      <c r="O717" t="n">
        <v>0</v>
      </c>
      <c r="P717" t="n">
        <v>0</v>
      </c>
      <c r="Q717" t="n">
        <v>0</v>
      </c>
      <c r="R717" s="2" t="inlineStr"/>
    </row>
    <row r="718" ht="15" customHeight="1">
      <c r="A718" t="inlineStr">
        <is>
          <t>A 35827-2025</t>
        </is>
      </c>
      <c r="B718" s="1" t="n">
        <v>45861.49017361111</v>
      </c>
      <c r="C718" s="1" t="n">
        <v>46049</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46416-2025</t>
        </is>
      </c>
      <c r="B719" s="1" t="n">
        <v>45925.594375</v>
      </c>
      <c r="C719" s="1" t="n">
        <v>46049</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30683-2024</t>
        </is>
      </c>
      <c r="B720" s="1" t="n">
        <v>45495</v>
      </c>
      <c r="C720" s="1" t="n">
        <v>46049</v>
      </c>
      <c r="D720" t="inlineStr">
        <is>
          <t>VÄSTERNORRLANDS LÄN</t>
        </is>
      </c>
      <c r="E720" t="inlineStr">
        <is>
          <t>ÅNGE</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34851-2023</t>
        </is>
      </c>
      <c r="B721" s="1" t="n">
        <v>45141</v>
      </c>
      <c r="C721" s="1" t="n">
        <v>46049</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36205-2025</t>
        </is>
      </c>
      <c r="B722" s="1" t="n">
        <v>45867.44855324074</v>
      </c>
      <c r="C722" s="1" t="n">
        <v>46049</v>
      </c>
      <c r="D722" t="inlineStr">
        <is>
          <t>VÄSTERNORRLANDS LÄN</t>
        </is>
      </c>
      <c r="E722" t="inlineStr">
        <is>
          <t>ÅNGE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36240-2025</t>
        </is>
      </c>
      <c r="B723" s="1" t="n">
        <v>45867.55298611111</v>
      </c>
      <c r="C723" s="1" t="n">
        <v>46049</v>
      </c>
      <c r="D723" t="inlineStr">
        <is>
          <t>VÄSTERNORRLANDS LÄN</t>
        </is>
      </c>
      <c r="E723" t="inlineStr">
        <is>
          <t>ÅNGE</t>
        </is>
      </c>
      <c r="G723" t="n">
        <v>0.5</v>
      </c>
      <c r="H723" t="n">
        <v>0</v>
      </c>
      <c r="I723" t="n">
        <v>0</v>
      </c>
      <c r="J723" t="n">
        <v>0</v>
      </c>
      <c r="K723" t="n">
        <v>0</v>
      </c>
      <c r="L723" t="n">
        <v>0</v>
      </c>
      <c r="M723" t="n">
        <v>0</v>
      </c>
      <c r="N723" t="n">
        <v>0</v>
      </c>
      <c r="O723" t="n">
        <v>0</v>
      </c>
      <c r="P723" t="n">
        <v>0</v>
      </c>
      <c r="Q723" t="n">
        <v>0</v>
      </c>
      <c r="R723" s="2" t="inlineStr"/>
    </row>
    <row r="724" ht="15" customHeight="1">
      <c r="A724" t="inlineStr">
        <is>
          <t>A 36210-2025</t>
        </is>
      </c>
      <c r="B724" s="1" t="n">
        <v>45867.46930555555</v>
      </c>
      <c r="C724" s="1" t="n">
        <v>46049</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36236-2025</t>
        </is>
      </c>
      <c r="B725" s="1" t="n">
        <v>45867.55245370371</v>
      </c>
      <c r="C725" s="1" t="n">
        <v>46049</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47440-2025</t>
        </is>
      </c>
      <c r="B726" s="1" t="n">
        <v>45930.63766203704</v>
      </c>
      <c r="C726" s="1" t="n">
        <v>46049</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36248-2025</t>
        </is>
      </c>
      <c r="B727" s="1" t="n">
        <v>45867.57326388889</v>
      </c>
      <c r="C727" s="1" t="n">
        <v>46049</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47118-2025</t>
        </is>
      </c>
      <c r="B728" s="1" t="n">
        <v>45929.67770833334</v>
      </c>
      <c r="C728" s="1" t="n">
        <v>46049</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47196-2025</t>
        </is>
      </c>
      <c r="B729" s="1" t="n">
        <v>45930.34520833333</v>
      </c>
      <c r="C729" s="1" t="n">
        <v>46049</v>
      </c>
      <c r="D729" t="inlineStr">
        <is>
          <t>VÄSTERNORRLANDS LÄN</t>
        </is>
      </c>
      <c r="E729" t="inlineStr">
        <is>
          <t>ÅNGE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36237-2025</t>
        </is>
      </c>
      <c r="B730" s="1" t="n">
        <v>45867.55263888889</v>
      </c>
      <c r="C730" s="1" t="n">
        <v>46049</v>
      </c>
      <c r="D730" t="inlineStr">
        <is>
          <t>VÄSTERNORRLANDS LÄN</t>
        </is>
      </c>
      <c r="E730" t="inlineStr">
        <is>
          <t>ÅNGE</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36193-2025</t>
        </is>
      </c>
      <c r="B731" s="1" t="n">
        <v>45867.42741898148</v>
      </c>
      <c r="C731" s="1" t="n">
        <v>46049</v>
      </c>
      <c r="D731" t="inlineStr">
        <is>
          <t>VÄSTERNORRLANDS LÄN</t>
        </is>
      </c>
      <c r="E731" t="inlineStr">
        <is>
          <t>ÅNGE</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36336-2025</t>
        </is>
      </c>
      <c r="B732" s="1" t="n">
        <v>45868.44751157407</v>
      </c>
      <c r="C732" s="1" t="n">
        <v>46049</v>
      </c>
      <c r="D732" t="inlineStr">
        <is>
          <t>VÄSTERNORRLANDS LÄN</t>
        </is>
      </c>
      <c r="E732" t="inlineStr">
        <is>
          <t>ÅNGE</t>
        </is>
      </c>
      <c r="G732" t="n">
        <v>7.3</v>
      </c>
      <c r="H732" t="n">
        <v>0</v>
      </c>
      <c r="I732" t="n">
        <v>0</v>
      </c>
      <c r="J732" t="n">
        <v>0</v>
      </c>
      <c r="K732" t="n">
        <v>0</v>
      </c>
      <c r="L732" t="n">
        <v>0</v>
      </c>
      <c r="M732" t="n">
        <v>0</v>
      </c>
      <c r="N732" t="n">
        <v>0</v>
      </c>
      <c r="O732" t="n">
        <v>0</v>
      </c>
      <c r="P732" t="n">
        <v>0</v>
      </c>
      <c r="Q732" t="n">
        <v>0</v>
      </c>
      <c r="R732" s="2" t="inlineStr"/>
    </row>
    <row r="733" ht="15" customHeight="1">
      <c r="A733" t="inlineStr">
        <is>
          <t>A 46829-2025</t>
        </is>
      </c>
      <c r="B733" s="1" t="n">
        <v>45927.34513888889</v>
      </c>
      <c r="C733" s="1" t="n">
        <v>46049</v>
      </c>
      <c r="D733" t="inlineStr">
        <is>
          <t>VÄSTERNORRLANDS LÄN</t>
        </is>
      </c>
      <c r="E733" t="inlineStr">
        <is>
          <t>ÅNGE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26018-2024</t>
        </is>
      </c>
      <c r="B734" s="1" t="n">
        <v>45467.95998842592</v>
      </c>
      <c r="C734" s="1" t="n">
        <v>46049</v>
      </c>
      <c r="D734" t="inlineStr">
        <is>
          <t>VÄSTERNORRLANDS LÄN</t>
        </is>
      </c>
      <c r="E734" t="inlineStr">
        <is>
          <t>ÅNGE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26021-2024</t>
        </is>
      </c>
      <c r="B735" s="1" t="n">
        <v>45467</v>
      </c>
      <c r="C735" s="1" t="n">
        <v>46049</v>
      </c>
      <c r="D735" t="inlineStr">
        <is>
          <t>VÄSTERNORRLANDS LÄN</t>
        </is>
      </c>
      <c r="E735" t="inlineStr">
        <is>
          <t>ÅNGE</t>
        </is>
      </c>
      <c r="F735" t="inlineStr">
        <is>
          <t>SCA</t>
        </is>
      </c>
      <c r="G735" t="n">
        <v>7.7</v>
      </c>
      <c r="H735" t="n">
        <v>0</v>
      </c>
      <c r="I735" t="n">
        <v>0</v>
      </c>
      <c r="J735" t="n">
        <v>0</v>
      </c>
      <c r="K735" t="n">
        <v>0</v>
      </c>
      <c r="L735" t="n">
        <v>0</v>
      </c>
      <c r="M735" t="n">
        <v>0</v>
      </c>
      <c r="N735" t="n">
        <v>0</v>
      </c>
      <c r="O735" t="n">
        <v>0</v>
      </c>
      <c r="P735" t="n">
        <v>0</v>
      </c>
      <c r="Q735" t="n">
        <v>0</v>
      </c>
      <c r="R735" s="2" t="inlineStr"/>
    </row>
    <row r="736" ht="15" customHeight="1">
      <c r="A736" t="inlineStr">
        <is>
          <t>A 36457-2025</t>
        </is>
      </c>
      <c r="B736" s="1" t="n">
        <v>45869.44842592593</v>
      </c>
      <c r="C736" s="1" t="n">
        <v>46049</v>
      </c>
      <c r="D736" t="inlineStr">
        <is>
          <t>VÄSTERNORRLANDS LÄN</t>
        </is>
      </c>
      <c r="E736" t="inlineStr">
        <is>
          <t>ÅNGE</t>
        </is>
      </c>
      <c r="F736" t="inlineStr">
        <is>
          <t>SCA</t>
        </is>
      </c>
      <c r="G736" t="n">
        <v>6.3</v>
      </c>
      <c r="H736" t="n">
        <v>0</v>
      </c>
      <c r="I736" t="n">
        <v>0</v>
      </c>
      <c r="J736" t="n">
        <v>0</v>
      </c>
      <c r="K736" t="n">
        <v>0</v>
      </c>
      <c r="L736" t="n">
        <v>0</v>
      </c>
      <c r="M736" t="n">
        <v>0</v>
      </c>
      <c r="N736" t="n">
        <v>0</v>
      </c>
      <c r="O736" t="n">
        <v>0</v>
      </c>
      <c r="P736" t="n">
        <v>0</v>
      </c>
      <c r="Q736" t="n">
        <v>0</v>
      </c>
      <c r="R736" s="2" t="inlineStr"/>
    </row>
    <row r="737" ht="15" customHeight="1">
      <c r="A737" t="inlineStr">
        <is>
          <t>A 47488-2025</t>
        </is>
      </c>
      <c r="B737" s="1" t="n">
        <v>45930.69890046296</v>
      </c>
      <c r="C737" s="1" t="n">
        <v>46049</v>
      </c>
      <c r="D737" t="inlineStr">
        <is>
          <t>VÄSTERNORRLANDS LÄN</t>
        </is>
      </c>
      <c r="E737" t="inlineStr">
        <is>
          <t>ÅNGE</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46897-2025</t>
        </is>
      </c>
      <c r="B738" s="1" t="n">
        <v>45929.38597222222</v>
      </c>
      <c r="C738" s="1" t="n">
        <v>46049</v>
      </c>
      <c r="D738" t="inlineStr">
        <is>
          <t>VÄSTERNORRLANDS LÄN</t>
        </is>
      </c>
      <c r="E738" t="inlineStr">
        <is>
          <t>ÅNGE</t>
        </is>
      </c>
      <c r="G738" t="n">
        <v>10.6</v>
      </c>
      <c r="H738" t="n">
        <v>0</v>
      </c>
      <c r="I738" t="n">
        <v>0</v>
      </c>
      <c r="J738" t="n">
        <v>0</v>
      </c>
      <c r="K738" t="n">
        <v>0</v>
      </c>
      <c r="L738" t="n">
        <v>0</v>
      </c>
      <c r="M738" t="n">
        <v>0</v>
      </c>
      <c r="N738" t="n">
        <v>0</v>
      </c>
      <c r="O738" t="n">
        <v>0</v>
      </c>
      <c r="P738" t="n">
        <v>0</v>
      </c>
      <c r="Q738" t="n">
        <v>0</v>
      </c>
      <c r="R738" s="2" t="inlineStr"/>
    </row>
    <row r="739" ht="15" customHeight="1">
      <c r="A739" t="inlineStr">
        <is>
          <t>A 45932-2023</t>
        </is>
      </c>
      <c r="B739" s="1" t="n">
        <v>45195</v>
      </c>
      <c r="C739" s="1" t="n">
        <v>46049</v>
      </c>
      <c r="D739" t="inlineStr">
        <is>
          <t>VÄSTERNORRLANDS LÄN</t>
        </is>
      </c>
      <c r="E739" t="inlineStr">
        <is>
          <t>ÅNGE</t>
        </is>
      </c>
      <c r="F739" t="inlineStr">
        <is>
          <t>SCA</t>
        </is>
      </c>
      <c r="G739" t="n">
        <v>0.1</v>
      </c>
      <c r="H739" t="n">
        <v>0</v>
      </c>
      <c r="I739" t="n">
        <v>0</v>
      </c>
      <c r="J739" t="n">
        <v>0</v>
      </c>
      <c r="K739" t="n">
        <v>0</v>
      </c>
      <c r="L739" t="n">
        <v>0</v>
      </c>
      <c r="M739" t="n">
        <v>0</v>
      </c>
      <c r="N739" t="n">
        <v>0</v>
      </c>
      <c r="O739" t="n">
        <v>0</v>
      </c>
      <c r="P739" t="n">
        <v>0</v>
      </c>
      <c r="Q739" t="n">
        <v>0</v>
      </c>
      <c r="R739" s="2" t="inlineStr"/>
    </row>
    <row r="740" ht="15" customHeight="1">
      <c r="A740" t="inlineStr">
        <is>
          <t>A 47377-2025</t>
        </is>
      </c>
      <c r="B740" s="1" t="n">
        <v>45930.59469907408</v>
      </c>
      <c r="C740" s="1" t="n">
        <v>46049</v>
      </c>
      <c r="D740" t="inlineStr">
        <is>
          <t>VÄSTERNORRLANDS LÄN</t>
        </is>
      </c>
      <c r="E740" t="inlineStr">
        <is>
          <t>ÅNGE</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47305-2025</t>
        </is>
      </c>
      <c r="B741" s="1" t="n">
        <v>45930</v>
      </c>
      <c r="C741" s="1" t="n">
        <v>46049</v>
      </c>
      <c r="D741" t="inlineStr">
        <is>
          <t>VÄSTERNORRLANDS LÄN</t>
        </is>
      </c>
      <c r="E741" t="inlineStr">
        <is>
          <t>ÅNGE</t>
        </is>
      </c>
      <c r="G741" t="n">
        <v>10.9</v>
      </c>
      <c r="H741" t="n">
        <v>0</v>
      </c>
      <c r="I741" t="n">
        <v>0</v>
      </c>
      <c r="J741" t="n">
        <v>0</v>
      </c>
      <c r="K741" t="n">
        <v>0</v>
      </c>
      <c r="L741" t="n">
        <v>0</v>
      </c>
      <c r="M741" t="n">
        <v>0</v>
      </c>
      <c r="N741" t="n">
        <v>0</v>
      </c>
      <c r="O741" t="n">
        <v>0</v>
      </c>
      <c r="P741" t="n">
        <v>0</v>
      </c>
      <c r="Q741" t="n">
        <v>0</v>
      </c>
      <c r="R741" s="2" t="inlineStr"/>
    </row>
    <row r="742" ht="15" customHeight="1">
      <c r="A742" t="inlineStr">
        <is>
          <t>A 6-2025</t>
        </is>
      </c>
      <c r="B742" s="1" t="n">
        <v>45658.50759259259</v>
      </c>
      <c r="C742" s="1" t="n">
        <v>46049</v>
      </c>
      <c r="D742" t="inlineStr">
        <is>
          <t>VÄSTERNORRLANDS LÄN</t>
        </is>
      </c>
      <c r="E742" t="inlineStr">
        <is>
          <t>ÅNGE</t>
        </is>
      </c>
      <c r="G742" t="n">
        <v>4.3</v>
      </c>
      <c r="H742" t="n">
        <v>0</v>
      </c>
      <c r="I742" t="n">
        <v>0</v>
      </c>
      <c r="J742" t="n">
        <v>0</v>
      </c>
      <c r="K742" t="n">
        <v>0</v>
      </c>
      <c r="L742" t="n">
        <v>0</v>
      </c>
      <c r="M742" t="n">
        <v>0</v>
      </c>
      <c r="N742" t="n">
        <v>0</v>
      </c>
      <c r="O742" t="n">
        <v>0</v>
      </c>
      <c r="P742" t="n">
        <v>0</v>
      </c>
      <c r="Q742" t="n">
        <v>0</v>
      </c>
      <c r="R742" s="2" t="inlineStr"/>
    </row>
    <row r="743" ht="15" customHeight="1">
      <c r="A743" t="inlineStr">
        <is>
          <t>A 39764-2024</t>
        </is>
      </c>
      <c r="B743" s="1" t="n">
        <v>45552.7190162037</v>
      </c>
      <c r="C743" s="1" t="n">
        <v>46049</v>
      </c>
      <c r="D743" t="inlineStr">
        <is>
          <t>VÄSTERNORRLANDS LÄN</t>
        </is>
      </c>
      <c r="E743" t="inlineStr">
        <is>
          <t>ÅNGE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36456-2025</t>
        </is>
      </c>
      <c r="B744" s="1" t="n">
        <v>45869.44827546296</v>
      </c>
      <c r="C744" s="1" t="n">
        <v>46049</v>
      </c>
      <c r="D744" t="inlineStr">
        <is>
          <t>VÄSTERNORRLANDS LÄN</t>
        </is>
      </c>
      <c r="E744" t="inlineStr">
        <is>
          <t>ÅNGE</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36491-2025</t>
        </is>
      </c>
      <c r="B745" s="1" t="n">
        <v>45869.53173611111</v>
      </c>
      <c r="C745" s="1" t="n">
        <v>46049</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46933-2025</t>
        </is>
      </c>
      <c r="B746" s="1" t="n">
        <v>45929.44645833333</v>
      </c>
      <c r="C746" s="1" t="n">
        <v>46049</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53988-2024</t>
        </is>
      </c>
      <c r="B747" s="1" t="n">
        <v>45616.34408564815</v>
      </c>
      <c r="C747" s="1" t="n">
        <v>46049</v>
      </c>
      <c r="D747" t="inlineStr">
        <is>
          <t>VÄSTERNORRLANDS LÄN</t>
        </is>
      </c>
      <c r="E747" t="inlineStr">
        <is>
          <t>ÅNGE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54002-2024</t>
        </is>
      </c>
      <c r="B748" s="1" t="n">
        <v>45616.36491898148</v>
      </c>
      <c r="C748" s="1" t="n">
        <v>46049</v>
      </c>
      <c r="D748" t="inlineStr">
        <is>
          <t>VÄSTERNORRLANDS LÄN</t>
        </is>
      </c>
      <c r="E748" t="inlineStr">
        <is>
          <t>ÅNGE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36873-2025</t>
        </is>
      </c>
      <c r="B749" s="1" t="n">
        <v>45874.42935185185</v>
      </c>
      <c r="C749" s="1" t="n">
        <v>46049</v>
      </c>
      <c r="D749" t="inlineStr">
        <is>
          <t>VÄSTERNORRLANDS LÄN</t>
        </is>
      </c>
      <c r="E749" t="inlineStr">
        <is>
          <t>ÅNGE</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47752-2025</t>
        </is>
      </c>
      <c r="B750" s="1" t="n">
        <v>45931.66358796296</v>
      </c>
      <c r="C750" s="1" t="n">
        <v>46049</v>
      </c>
      <c r="D750" t="inlineStr">
        <is>
          <t>VÄSTERNORRLANDS LÄN</t>
        </is>
      </c>
      <c r="E750" t="inlineStr">
        <is>
          <t>ÅNGE</t>
        </is>
      </c>
      <c r="G750" t="n">
        <v>3.9</v>
      </c>
      <c r="H750" t="n">
        <v>0</v>
      </c>
      <c r="I750" t="n">
        <v>0</v>
      </c>
      <c r="J750" t="n">
        <v>0</v>
      </c>
      <c r="K750" t="n">
        <v>0</v>
      </c>
      <c r="L750" t="n">
        <v>0</v>
      </c>
      <c r="M750" t="n">
        <v>0</v>
      </c>
      <c r="N750" t="n">
        <v>0</v>
      </c>
      <c r="O750" t="n">
        <v>0</v>
      </c>
      <c r="P750" t="n">
        <v>0</v>
      </c>
      <c r="Q750" t="n">
        <v>0</v>
      </c>
      <c r="R750" s="2" t="inlineStr"/>
    </row>
    <row r="751" ht="15" customHeight="1">
      <c r="A751" t="inlineStr">
        <is>
          <t>A 48697-2024</t>
        </is>
      </c>
      <c r="B751" s="1" t="n">
        <v>45593.51136574074</v>
      </c>
      <c r="C751" s="1" t="n">
        <v>46049</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36740-2025</t>
        </is>
      </c>
      <c r="B752" s="1" t="n">
        <v>45873.53237268519</v>
      </c>
      <c r="C752" s="1" t="n">
        <v>46049</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48055-2025</t>
        </is>
      </c>
      <c r="B753" s="1" t="n">
        <v>45932.67922453704</v>
      </c>
      <c r="C753" s="1" t="n">
        <v>46049</v>
      </c>
      <c r="D753" t="inlineStr">
        <is>
          <t>VÄSTERNORRLANDS LÄN</t>
        </is>
      </c>
      <c r="E753" t="inlineStr">
        <is>
          <t>ÅNGE</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48069-2025</t>
        </is>
      </c>
      <c r="B754" s="1" t="n">
        <v>45932.69865740741</v>
      </c>
      <c r="C754" s="1" t="n">
        <v>46049</v>
      </c>
      <c r="D754" t="inlineStr">
        <is>
          <t>VÄSTERNORRLANDS LÄN</t>
        </is>
      </c>
      <c r="E754" t="inlineStr">
        <is>
          <t>ÅNGE</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36249-2025</t>
        </is>
      </c>
      <c r="B755" s="1" t="n">
        <v>45867</v>
      </c>
      <c r="C755" s="1" t="n">
        <v>46049</v>
      </c>
      <c r="D755" t="inlineStr">
        <is>
          <t>VÄSTERNORRLANDS LÄN</t>
        </is>
      </c>
      <c r="E755" t="inlineStr">
        <is>
          <t>ÅNGE</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11764-2024</t>
        </is>
      </c>
      <c r="B756" s="1" t="n">
        <v>45373.94837962963</v>
      </c>
      <c r="C756" s="1" t="n">
        <v>46049</v>
      </c>
      <c r="D756" t="inlineStr">
        <is>
          <t>VÄSTERNORRLANDS LÄN</t>
        </is>
      </c>
      <c r="E756" t="inlineStr">
        <is>
          <t>ÅNGE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54059-2024</t>
        </is>
      </c>
      <c r="B757" s="1" t="n">
        <v>45616.46943287037</v>
      </c>
      <c r="C757" s="1" t="n">
        <v>46049</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36723-2025</t>
        </is>
      </c>
      <c r="B758" s="1" t="n">
        <v>45873.47770833333</v>
      </c>
      <c r="C758" s="1" t="n">
        <v>46049</v>
      </c>
      <c r="D758" t="inlineStr">
        <is>
          <t>VÄSTERNORRLANDS LÄN</t>
        </is>
      </c>
      <c r="E758" t="inlineStr">
        <is>
          <t>ÅNGE</t>
        </is>
      </c>
      <c r="G758" t="n">
        <v>2.8</v>
      </c>
      <c r="H758" t="n">
        <v>0</v>
      </c>
      <c r="I758" t="n">
        <v>0</v>
      </c>
      <c r="J758" t="n">
        <v>0</v>
      </c>
      <c r="K758" t="n">
        <v>0</v>
      </c>
      <c r="L758" t="n">
        <v>0</v>
      </c>
      <c r="M758" t="n">
        <v>0</v>
      </c>
      <c r="N758" t="n">
        <v>0</v>
      </c>
      <c r="O758" t="n">
        <v>0</v>
      </c>
      <c r="P758" t="n">
        <v>0</v>
      </c>
      <c r="Q758" t="n">
        <v>0</v>
      </c>
      <c r="R758" s="2" t="inlineStr"/>
    </row>
    <row r="759" ht="15" customHeight="1">
      <c r="A759" t="inlineStr">
        <is>
          <t>A 36674-2025</t>
        </is>
      </c>
      <c r="B759" s="1" t="n">
        <v>45873.3930787037</v>
      </c>
      <c r="C759" s="1" t="n">
        <v>46049</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58613-2023</t>
        </is>
      </c>
      <c r="B760" s="1" t="n">
        <v>45251.50709490741</v>
      </c>
      <c r="C760" s="1" t="n">
        <v>46049</v>
      </c>
      <c r="D760" t="inlineStr">
        <is>
          <t>VÄSTERNORRLANDS LÄN</t>
        </is>
      </c>
      <c r="E760" t="inlineStr">
        <is>
          <t>ÅNGE</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44158-2024</t>
        </is>
      </c>
      <c r="B761" s="1" t="n">
        <v>45572</v>
      </c>
      <c r="C761" s="1" t="n">
        <v>46049</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48234-2025</t>
        </is>
      </c>
      <c r="B762" s="1" t="n">
        <v>45933.53211805555</v>
      </c>
      <c r="C762" s="1" t="n">
        <v>46049</v>
      </c>
      <c r="D762" t="inlineStr">
        <is>
          <t>VÄSTERNORRLANDS LÄN</t>
        </is>
      </c>
      <c r="E762" t="inlineStr">
        <is>
          <t>ÅNGE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48235-2025</t>
        </is>
      </c>
      <c r="B763" s="1" t="n">
        <v>45933.5321412037</v>
      </c>
      <c r="C763" s="1" t="n">
        <v>46049</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2299-2025</t>
        </is>
      </c>
      <c r="B764" s="1" t="n">
        <v>45673.59516203704</v>
      </c>
      <c r="C764" s="1" t="n">
        <v>46049</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37045-2025</t>
        </is>
      </c>
      <c r="B765" s="1" t="n">
        <v>45875.34451388889</v>
      </c>
      <c r="C765" s="1" t="n">
        <v>46049</v>
      </c>
      <c r="D765" t="inlineStr">
        <is>
          <t>VÄSTERNORRLANDS LÄN</t>
        </is>
      </c>
      <c r="E765" t="inlineStr">
        <is>
          <t>ÅNGE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37047-2025</t>
        </is>
      </c>
      <c r="B766" s="1" t="n">
        <v>45875.34489583333</v>
      </c>
      <c r="C766" s="1" t="n">
        <v>46049</v>
      </c>
      <c r="D766" t="inlineStr">
        <is>
          <t>VÄSTERNORRLANDS LÄN</t>
        </is>
      </c>
      <c r="E766" t="inlineStr">
        <is>
          <t>ÅNGE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37275-2025</t>
        </is>
      </c>
      <c r="B767" s="1" t="n">
        <v>45876.49003472222</v>
      </c>
      <c r="C767" s="1" t="n">
        <v>46049</v>
      </c>
      <c r="D767" t="inlineStr">
        <is>
          <t>VÄSTERNORRLANDS LÄN</t>
        </is>
      </c>
      <c r="E767" t="inlineStr">
        <is>
          <t>ÅNGE</t>
        </is>
      </c>
      <c r="G767" t="n">
        <v>3.5</v>
      </c>
      <c r="H767" t="n">
        <v>0</v>
      </c>
      <c r="I767" t="n">
        <v>0</v>
      </c>
      <c r="J767" t="n">
        <v>0</v>
      </c>
      <c r="K767" t="n">
        <v>0</v>
      </c>
      <c r="L767" t="n">
        <v>0</v>
      </c>
      <c r="M767" t="n">
        <v>0</v>
      </c>
      <c r="N767" t="n">
        <v>0</v>
      </c>
      <c r="O767" t="n">
        <v>0</v>
      </c>
      <c r="P767" t="n">
        <v>0</v>
      </c>
      <c r="Q767" t="n">
        <v>0</v>
      </c>
      <c r="R767" s="2" t="inlineStr"/>
    </row>
    <row r="768" ht="15" customHeight="1">
      <c r="A768" t="inlineStr">
        <is>
          <t>A 37303-2025</t>
        </is>
      </c>
      <c r="B768" s="1" t="n">
        <v>45876.59445601852</v>
      </c>
      <c r="C768" s="1" t="n">
        <v>46049</v>
      </c>
      <c r="D768" t="inlineStr">
        <is>
          <t>VÄSTERNORRLANDS LÄN</t>
        </is>
      </c>
      <c r="E768" t="inlineStr">
        <is>
          <t>ÅNGE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44639-2023</t>
        </is>
      </c>
      <c r="B769" s="1" t="n">
        <v>45184</v>
      </c>
      <c r="C769" s="1" t="n">
        <v>46049</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37233-2025</t>
        </is>
      </c>
      <c r="B770" s="1" t="n">
        <v>45876.34474537037</v>
      </c>
      <c r="C770" s="1" t="n">
        <v>46049</v>
      </c>
      <c r="D770" t="inlineStr">
        <is>
          <t>VÄSTERNORRLANDS LÄN</t>
        </is>
      </c>
      <c r="E770" t="inlineStr">
        <is>
          <t>ÅNGE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37108-2025</t>
        </is>
      </c>
      <c r="B771" s="1" t="n">
        <v>45875</v>
      </c>
      <c r="C771" s="1" t="n">
        <v>46049</v>
      </c>
      <c r="D771" t="inlineStr">
        <is>
          <t>VÄSTERNORRLANDS LÄN</t>
        </is>
      </c>
      <c r="E771" t="inlineStr">
        <is>
          <t>ÅNGE</t>
        </is>
      </c>
      <c r="G771" t="n">
        <v>4</v>
      </c>
      <c r="H771" t="n">
        <v>0</v>
      </c>
      <c r="I771" t="n">
        <v>0</v>
      </c>
      <c r="J771" t="n">
        <v>0</v>
      </c>
      <c r="K771" t="n">
        <v>0</v>
      </c>
      <c r="L771" t="n">
        <v>0</v>
      </c>
      <c r="M771" t="n">
        <v>0</v>
      </c>
      <c r="N771" t="n">
        <v>0</v>
      </c>
      <c r="O771" t="n">
        <v>0</v>
      </c>
      <c r="P771" t="n">
        <v>0</v>
      </c>
      <c r="Q771" t="n">
        <v>0</v>
      </c>
      <c r="R771" s="2" t="inlineStr"/>
    </row>
    <row r="772" ht="15" customHeight="1">
      <c r="A772" t="inlineStr">
        <is>
          <t>A 17009-2023</t>
        </is>
      </c>
      <c r="B772" s="1" t="n">
        <v>45033.9455787037</v>
      </c>
      <c r="C772" s="1" t="n">
        <v>46049</v>
      </c>
      <c r="D772" t="inlineStr">
        <is>
          <t>VÄSTERNORRLANDS LÄN</t>
        </is>
      </c>
      <c r="E772" t="inlineStr">
        <is>
          <t>ÅNGE</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37177-2025</t>
        </is>
      </c>
      <c r="B773" s="1" t="n">
        <v>45875.61539351852</v>
      </c>
      <c r="C773" s="1" t="n">
        <v>46049</v>
      </c>
      <c r="D773" t="inlineStr">
        <is>
          <t>VÄSTERNORRLANDS LÄN</t>
        </is>
      </c>
      <c r="E773" t="inlineStr">
        <is>
          <t>ÅNGE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60578-2024</t>
        </is>
      </c>
      <c r="B774" s="1" t="n">
        <v>45644.34434027778</v>
      </c>
      <c r="C774" s="1" t="n">
        <v>46049</v>
      </c>
      <c r="D774" t="inlineStr">
        <is>
          <t>VÄSTERNORRLANDS LÄN</t>
        </is>
      </c>
      <c r="E774" t="inlineStr">
        <is>
          <t>ÅNGE</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37371-2025</t>
        </is>
      </c>
      <c r="B775" s="1" t="n">
        <v>45877.34472222222</v>
      </c>
      <c r="C775" s="1" t="n">
        <v>46049</v>
      </c>
      <c r="D775" t="inlineStr">
        <is>
          <t>VÄSTERNORRLANDS LÄN</t>
        </is>
      </c>
      <c r="E775" t="inlineStr">
        <is>
          <t>ÅNGE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24977-2021</t>
        </is>
      </c>
      <c r="B776" s="1" t="n">
        <v>44341.51386574074</v>
      </c>
      <c r="C776" s="1" t="n">
        <v>46049</v>
      </c>
      <c r="D776" t="inlineStr">
        <is>
          <t>VÄSTERNORRLANDS LÄN</t>
        </is>
      </c>
      <c r="E776" t="inlineStr">
        <is>
          <t>ÅNGE</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37384-2025</t>
        </is>
      </c>
      <c r="B777" s="1" t="n">
        <v>45877.3859837963</v>
      </c>
      <c r="C777" s="1" t="n">
        <v>46049</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25034-2023</t>
        </is>
      </c>
      <c r="B778" s="1" t="n">
        <v>45085</v>
      </c>
      <c r="C778" s="1" t="n">
        <v>46049</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37663-2025</t>
        </is>
      </c>
      <c r="B779" s="1" t="n">
        <v>45880.51079861111</v>
      </c>
      <c r="C779" s="1" t="n">
        <v>46049</v>
      </c>
      <c r="D779" t="inlineStr">
        <is>
          <t>VÄSTERNORRLANDS LÄN</t>
        </is>
      </c>
      <c r="E779" t="inlineStr">
        <is>
          <t>ÅNGE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48679-2025</t>
        </is>
      </c>
      <c r="B780" s="1" t="n">
        <v>45936.59196759259</v>
      </c>
      <c r="C780" s="1" t="n">
        <v>46049</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37723-2025</t>
        </is>
      </c>
      <c r="B781" s="1" t="n">
        <v>45880.61528935185</v>
      </c>
      <c r="C781" s="1" t="n">
        <v>46049</v>
      </c>
      <c r="D781" t="inlineStr">
        <is>
          <t>VÄSTERNORRLANDS LÄN</t>
        </is>
      </c>
      <c r="E781" t="inlineStr">
        <is>
          <t>ÅNGE</t>
        </is>
      </c>
      <c r="G781" t="n">
        <v>3</v>
      </c>
      <c r="H781" t="n">
        <v>0</v>
      </c>
      <c r="I781" t="n">
        <v>0</v>
      </c>
      <c r="J781" t="n">
        <v>0</v>
      </c>
      <c r="K781" t="n">
        <v>0</v>
      </c>
      <c r="L781" t="n">
        <v>0</v>
      </c>
      <c r="M781" t="n">
        <v>0</v>
      </c>
      <c r="N781" t="n">
        <v>0</v>
      </c>
      <c r="O781" t="n">
        <v>0</v>
      </c>
      <c r="P781" t="n">
        <v>0</v>
      </c>
      <c r="Q781" t="n">
        <v>0</v>
      </c>
      <c r="R781" s="2" t="inlineStr"/>
    </row>
    <row r="782" ht="15" customHeight="1">
      <c r="A782" t="inlineStr">
        <is>
          <t>A 37383-2025</t>
        </is>
      </c>
      <c r="B782" s="1" t="n">
        <v>45877.38581018519</v>
      </c>
      <c r="C782" s="1" t="n">
        <v>46049</v>
      </c>
      <c r="D782" t="inlineStr">
        <is>
          <t>VÄSTERNORRLANDS LÄN</t>
        </is>
      </c>
      <c r="E782" t="inlineStr">
        <is>
          <t>ÅNGE</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37719-2025</t>
        </is>
      </c>
      <c r="B783" s="1" t="n">
        <v>45880.61505787037</v>
      </c>
      <c r="C783" s="1" t="n">
        <v>46049</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22597-2021</t>
        </is>
      </c>
      <c r="B784" s="1" t="n">
        <v>44326</v>
      </c>
      <c r="C784" s="1" t="n">
        <v>46049</v>
      </c>
      <c r="D784" t="inlineStr">
        <is>
          <t>VÄSTERNORRLANDS LÄN</t>
        </is>
      </c>
      <c r="E784" t="inlineStr">
        <is>
          <t>ÅNGE</t>
        </is>
      </c>
      <c r="G784" t="n">
        <v>0.9</v>
      </c>
      <c r="H784" t="n">
        <v>0</v>
      </c>
      <c r="I784" t="n">
        <v>0</v>
      </c>
      <c r="J784" t="n">
        <v>0</v>
      </c>
      <c r="K784" t="n">
        <v>0</v>
      </c>
      <c r="L784" t="n">
        <v>0</v>
      </c>
      <c r="M784" t="n">
        <v>0</v>
      </c>
      <c r="N784" t="n">
        <v>0</v>
      </c>
      <c r="O784" t="n">
        <v>0</v>
      </c>
      <c r="P784" t="n">
        <v>0</v>
      </c>
      <c r="Q784" t="n">
        <v>0</v>
      </c>
      <c r="R784" s="2" t="inlineStr"/>
    </row>
    <row r="785" ht="15" customHeight="1">
      <c r="A785" t="inlineStr">
        <is>
          <t>A 20110-2023</t>
        </is>
      </c>
      <c r="B785" s="1" t="n">
        <v>45051</v>
      </c>
      <c r="C785" s="1" t="n">
        <v>46049</v>
      </c>
      <c r="D785" t="inlineStr">
        <is>
          <t>VÄSTERNORRLANDS LÄN</t>
        </is>
      </c>
      <c r="E785" t="inlineStr">
        <is>
          <t>ÅNGE</t>
        </is>
      </c>
      <c r="G785" t="n">
        <v>2.5</v>
      </c>
      <c r="H785" t="n">
        <v>0</v>
      </c>
      <c r="I785" t="n">
        <v>0</v>
      </c>
      <c r="J785" t="n">
        <v>0</v>
      </c>
      <c r="K785" t="n">
        <v>0</v>
      </c>
      <c r="L785" t="n">
        <v>0</v>
      </c>
      <c r="M785" t="n">
        <v>0</v>
      </c>
      <c r="N785" t="n">
        <v>0</v>
      </c>
      <c r="O785" t="n">
        <v>0</v>
      </c>
      <c r="P785" t="n">
        <v>0</v>
      </c>
      <c r="Q785" t="n">
        <v>0</v>
      </c>
      <c r="R785" s="2" t="inlineStr"/>
    </row>
    <row r="786" ht="15" customHeight="1">
      <c r="A786" t="inlineStr">
        <is>
          <t>A 34726-2024</t>
        </is>
      </c>
      <c r="B786" s="1" t="n">
        <v>45526.5733912037</v>
      </c>
      <c r="C786" s="1" t="n">
        <v>46049</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18112-2025</t>
        </is>
      </c>
      <c r="B787" s="1" t="n">
        <v>45761.57350694444</v>
      </c>
      <c r="C787" s="1" t="n">
        <v>46049</v>
      </c>
      <c r="D787" t="inlineStr">
        <is>
          <t>VÄSTERNORRLANDS LÄN</t>
        </is>
      </c>
      <c r="E787" t="inlineStr">
        <is>
          <t>ÅNGE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10282-2025</t>
        </is>
      </c>
      <c r="B788" s="1" t="n">
        <v>45720.40659722222</v>
      </c>
      <c r="C788" s="1" t="n">
        <v>46049</v>
      </c>
      <c r="D788" t="inlineStr">
        <is>
          <t>VÄSTERNORRLANDS LÄN</t>
        </is>
      </c>
      <c r="E788" t="inlineStr">
        <is>
          <t>ÅNGE</t>
        </is>
      </c>
      <c r="F788" t="inlineStr">
        <is>
          <t>SCA</t>
        </is>
      </c>
      <c r="G788" t="n">
        <v>3.8</v>
      </c>
      <c r="H788" t="n">
        <v>0</v>
      </c>
      <c r="I788" t="n">
        <v>0</v>
      </c>
      <c r="J788" t="n">
        <v>0</v>
      </c>
      <c r="K788" t="n">
        <v>0</v>
      </c>
      <c r="L788" t="n">
        <v>0</v>
      </c>
      <c r="M788" t="n">
        <v>0</v>
      </c>
      <c r="N788" t="n">
        <v>0</v>
      </c>
      <c r="O788" t="n">
        <v>0</v>
      </c>
      <c r="P788" t="n">
        <v>0</v>
      </c>
      <c r="Q788" t="n">
        <v>0</v>
      </c>
      <c r="R788" s="2" t="inlineStr"/>
    </row>
    <row r="789" ht="15" customHeight="1">
      <c r="A789" t="inlineStr">
        <is>
          <t>A 137-2025</t>
        </is>
      </c>
      <c r="B789" s="1" t="n">
        <v>45659.57684027778</v>
      </c>
      <c r="C789" s="1" t="n">
        <v>46049</v>
      </c>
      <c r="D789" t="inlineStr">
        <is>
          <t>VÄSTERNORRLANDS LÄN</t>
        </is>
      </c>
      <c r="E789" t="inlineStr">
        <is>
          <t>ÅNGE</t>
        </is>
      </c>
      <c r="G789" t="n">
        <v>0.2</v>
      </c>
      <c r="H789" t="n">
        <v>0</v>
      </c>
      <c r="I789" t="n">
        <v>0</v>
      </c>
      <c r="J789" t="n">
        <v>0</v>
      </c>
      <c r="K789" t="n">
        <v>0</v>
      </c>
      <c r="L789" t="n">
        <v>0</v>
      </c>
      <c r="M789" t="n">
        <v>0</v>
      </c>
      <c r="N789" t="n">
        <v>0</v>
      </c>
      <c r="O789" t="n">
        <v>0</v>
      </c>
      <c r="P789" t="n">
        <v>0</v>
      </c>
      <c r="Q789" t="n">
        <v>0</v>
      </c>
      <c r="R789" s="2" t="inlineStr"/>
    </row>
    <row r="790" ht="15" customHeight="1">
      <c r="A790" t="inlineStr">
        <is>
          <t>A 49377-2025</t>
        </is>
      </c>
      <c r="B790" s="1" t="n">
        <v>45938.63626157407</v>
      </c>
      <c r="C790" s="1" t="n">
        <v>46049</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10071-2023</t>
        </is>
      </c>
      <c r="B791" s="1" t="n">
        <v>44985.92418981482</v>
      </c>
      <c r="C791" s="1" t="n">
        <v>46049</v>
      </c>
      <c r="D791" t="inlineStr">
        <is>
          <t>VÄSTERNORRLANDS LÄN</t>
        </is>
      </c>
      <c r="E791" t="inlineStr">
        <is>
          <t>ÅNGE</t>
        </is>
      </c>
      <c r="G791" t="n">
        <v>1</v>
      </c>
      <c r="H791" t="n">
        <v>0</v>
      </c>
      <c r="I791" t="n">
        <v>0</v>
      </c>
      <c r="J791" t="n">
        <v>0</v>
      </c>
      <c r="K791" t="n">
        <v>0</v>
      </c>
      <c r="L791" t="n">
        <v>0</v>
      </c>
      <c r="M791" t="n">
        <v>0</v>
      </c>
      <c r="N791" t="n">
        <v>0</v>
      </c>
      <c r="O791" t="n">
        <v>0</v>
      </c>
      <c r="P791" t="n">
        <v>0</v>
      </c>
      <c r="Q791" t="n">
        <v>0</v>
      </c>
      <c r="R791" s="2" t="inlineStr"/>
    </row>
    <row r="792" ht="15" customHeight="1">
      <c r="A792" t="inlineStr">
        <is>
          <t>A 49156-2025</t>
        </is>
      </c>
      <c r="B792" s="1" t="n">
        <v>45938.3458912037</v>
      </c>
      <c r="C792" s="1" t="n">
        <v>46049</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49179-2025</t>
        </is>
      </c>
      <c r="B793" s="1" t="n">
        <v>45938.38579861111</v>
      </c>
      <c r="C793" s="1" t="n">
        <v>46049</v>
      </c>
      <c r="D793" t="inlineStr">
        <is>
          <t>VÄSTERNORRLANDS LÄN</t>
        </is>
      </c>
      <c r="E793" t="inlineStr">
        <is>
          <t>ÅNGE</t>
        </is>
      </c>
      <c r="G793" t="n">
        <v>2.3</v>
      </c>
      <c r="H793" t="n">
        <v>0</v>
      </c>
      <c r="I793" t="n">
        <v>0</v>
      </c>
      <c r="J793" t="n">
        <v>0</v>
      </c>
      <c r="K793" t="n">
        <v>0</v>
      </c>
      <c r="L793" t="n">
        <v>0</v>
      </c>
      <c r="M793" t="n">
        <v>0</v>
      </c>
      <c r="N793" t="n">
        <v>0</v>
      </c>
      <c r="O793" t="n">
        <v>0</v>
      </c>
      <c r="P793" t="n">
        <v>0</v>
      </c>
      <c r="Q793" t="n">
        <v>0</v>
      </c>
      <c r="R793" s="2" t="inlineStr"/>
    </row>
    <row r="794" ht="15" customHeight="1">
      <c r="A794" t="inlineStr">
        <is>
          <t>A 49381-2025</t>
        </is>
      </c>
      <c r="B794" s="1" t="n">
        <v>45938.63694444444</v>
      </c>
      <c r="C794" s="1" t="n">
        <v>46049</v>
      </c>
      <c r="D794" t="inlineStr">
        <is>
          <t>VÄSTERNORRLANDS LÄN</t>
        </is>
      </c>
      <c r="E794" t="inlineStr">
        <is>
          <t>ÅNGE</t>
        </is>
      </c>
      <c r="F794" t="inlineStr">
        <is>
          <t>SCA</t>
        </is>
      </c>
      <c r="G794" t="n">
        <v>20.6</v>
      </c>
      <c r="H794" t="n">
        <v>0</v>
      </c>
      <c r="I794" t="n">
        <v>0</v>
      </c>
      <c r="J794" t="n">
        <v>0</v>
      </c>
      <c r="K794" t="n">
        <v>0</v>
      </c>
      <c r="L794" t="n">
        <v>0</v>
      </c>
      <c r="M794" t="n">
        <v>0</v>
      </c>
      <c r="N794" t="n">
        <v>0</v>
      </c>
      <c r="O794" t="n">
        <v>0</v>
      </c>
      <c r="P794" t="n">
        <v>0</v>
      </c>
      <c r="Q794" t="n">
        <v>0</v>
      </c>
      <c r="R794" s="2" t="inlineStr"/>
    </row>
    <row r="795" ht="15" customHeight="1">
      <c r="A795" t="inlineStr">
        <is>
          <t>A 38078-2025</t>
        </is>
      </c>
      <c r="B795" s="1" t="n">
        <v>45882.46918981482</v>
      </c>
      <c r="C795" s="1" t="n">
        <v>46049</v>
      </c>
      <c r="D795" t="inlineStr">
        <is>
          <t>VÄSTERNORRLANDS LÄN</t>
        </is>
      </c>
      <c r="E795" t="inlineStr">
        <is>
          <t>ÅNGE</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37919-2025</t>
        </is>
      </c>
      <c r="B796" s="1" t="n">
        <v>45881.57478009259</v>
      </c>
      <c r="C796" s="1" t="n">
        <v>46049</v>
      </c>
      <c r="D796" t="inlineStr">
        <is>
          <t>VÄSTERNORRLANDS LÄN</t>
        </is>
      </c>
      <c r="E796" t="inlineStr">
        <is>
          <t>ÅNGE</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37802-2025</t>
        </is>
      </c>
      <c r="B797" s="1" t="n">
        <v>45881.34447916667</v>
      </c>
      <c r="C797" s="1" t="n">
        <v>46049</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16362-2023</t>
        </is>
      </c>
      <c r="B798" s="1" t="n">
        <v>45028.9250462963</v>
      </c>
      <c r="C798" s="1" t="n">
        <v>46049</v>
      </c>
      <c r="D798" t="inlineStr">
        <is>
          <t>VÄSTERNORRLANDS LÄN</t>
        </is>
      </c>
      <c r="E798" t="inlineStr">
        <is>
          <t>ÅNGE</t>
        </is>
      </c>
      <c r="G798" t="n">
        <v>4.8</v>
      </c>
      <c r="H798" t="n">
        <v>0</v>
      </c>
      <c r="I798" t="n">
        <v>0</v>
      </c>
      <c r="J798" t="n">
        <v>0</v>
      </c>
      <c r="K798" t="n">
        <v>0</v>
      </c>
      <c r="L798" t="n">
        <v>0</v>
      </c>
      <c r="M798" t="n">
        <v>0</v>
      </c>
      <c r="N798" t="n">
        <v>0</v>
      </c>
      <c r="O798" t="n">
        <v>0</v>
      </c>
      <c r="P798" t="n">
        <v>0</v>
      </c>
      <c r="Q798" t="n">
        <v>0</v>
      </c>
      <c r="R798" s="2" t="inlineStr"/>
    </row>
    <row r="799" ht="15" customHeight="1">
      <c r="A799" t="inlineStr">
        <is>
          <t>A 28779-2023</t>
        </is>
      </c>
      <c r="B799" s="1" t="n">
        <v>45104.34314814815</v>
      </c>
      <c r="C799" s="1" t="n">
        <v>46049</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63607-2021</t>
        </is>
      </c>
      <c r="B800" s="1" t="n">
        <v>44508.94650462963</v>
      </c>
      <c r="C800" s="1" t="n">
        <v>46049</v>
      </c>
      <c r="D800" t="inlineStr">
        <is>
          <t>VÄSTERNORRLANDS LÄN</t>
        </is>
      </c>
      <c r="E800" t="inlineStr">
        <is>
          <t>ÅNGE</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30235-2024</t>
        </is>
      </c>
      <c r="B801" s="1" t="n">
        <v>45490.49040509259</v>
      </c>
      <c r="C801" s="1" t="n">
        <v>46049</v>
      </c>
      <c r="D801" t="inlineStr">
        <is>
          <t>VÄSTERNORRLANDS LÄN</t>
        </is>
      </c>
      <c r="E801" t="inlineStr">
        <is>
          <t>ÅNGE</t>
        </is>
      </c>
      <c r="G801" t="n">
        <v>3.7</v>
      </c>
      <c r="H801" t="n">
        <v>0</v>
      </c>
      <c r="I801" t="n">
        <v>0</v>
      </c>
      <c r="J801" t="n">
        <v>0</v>
      </c>
      <c r="K801" t="n">
        <v>0</v>
      </c>
      <c r="L801" t="n">
        <v>0</v>
      </c>
      <c r="M801" t="n">
        <v>0</v>
      </c>
      <c r="N801" t="n">
        <v>0</v>
      </c>
      <c r="O801" t="n">
        <v>0</v>
      </c>
      <c r="P801" t="n">
        <v>0</v>
      </c>
      <c r="Q801" t="n">
        <v>0</v>
      </c>
      <c r="R801" s="2" t="inlineStr"/>
    </row>
    <row r="802" ht="15" customHeight="1">
      <c r="A802" t="inlineStr">
        <is>
          <t>A 49562-2025</t>
        </is>
      </c>
      <c r="B802" s="1" t="n">
        <v>45939.46524305556</v>
      </c>
      <c r="C802" s="1" t="n">
        <v>46049</v>
      </c>
      <c r="D802" t="inlineStr">
        <is>
          <t>VÄSTERNORRLANDS LÄN</t>
        </is>
      </c>
      <c r="E802" t="inlineStr">
        <is>
          <t>ÅNGE</t>
        </is>
      </c>
      <c r="G802" t="n">
        <v>4.4</v>
      </c>
      <c r="H802" t="n">
        <v>0</v>
      </c>
      <c r="I802" t="n">
        <v>0</v>
      </c>
      <c r="J802" t="n">
        <v>0</v>
      </c>
      <c r="K802" t="n">
        <v>0</v>
      </c>
      <c r="L802" t="n">
        <v>0</v>
      </c>
      <c r="M802" t="n">
        <v>0</v>
      </c>
      <c r="N802" t="n">
        <v>0</v>
      </c>
      <c r="O802" t="n">
        <v>0</v>
      </c>
      <c r="P802" t="n">
        <v>0</v>
      </c>
      <c r="Q802" t="n">
        <v>0</v>
      </c>
      <c r="R802" s="2" t="inlineStr"/>
    </row>
    <row r="803" ht="15" customHeight="1">
      <c r="A803" t="inlineStr">
        <is>
          <t>A 49476-2025</t>
        </is>
      </c>
      <c r="B803" s="1" t="n">
        <v>45939.34506944445</v>
      </c>
      <c r="C803" s="1" t="n">
        <v>46049</v>
      </c>
      <c r="D803" t="inlineStr">
        <is>
          <t>VÄSTERNORRLANDS LÄN</t>
        </is>
      </c>
      <c r="E803" t="inlineStr">
        <is>
          <t>ÅNGE</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38686-2025</t>
        </is>
      </c>
      <c r="B804" s="1" t="n">
        <v>45884.65658564815</v>
      </c>
      <c r="C804" s="1" t="n">
        <v>46049</v>
      </c>
      <c r="D804" t="inlineStr">
        <is>
          <t>VÄSTERNORRLANDS LÄN</t>
        </is>
      </c>
      <c r="E804" t="inlineStr">
        <is>
          <t>ÅNGE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41370-2023</t>
        </is>
      </c>
      <c r="B805" s="1" t="n">
        <v>45174.85951388889</v>
      </c>
      <c r="C805" s="1" t="n">
        <v>46049</v>
      </c>
      <c r="D805" t="inlineStr">
        <is>
          <t>VÄSTERNORRLANDS LÄN</t>
        </is>
      </c>
      <c r="E805" t="inlineStr">
        <is>
          <t>ÅNGE</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14927-2025</t>
        </is>
      </c>
      <c r="B806" s="1" t="n">
        <v>45743</v>
      </c>
      <c r="C806" s="1" t="n">
        <v>46049</v>
      </c>
      <c r="D806" t="inlineStr">
        <is>
          <t>VÄSTERNORRLANDS LÄN</t>
        </is>
      </c>
      <c r="E806" t="inlineStr">
        <is>
          <t>ÅNGE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38284-2022</t>
        </is>
      </c>
      <c r="B807" s="1" t="n">
        <v>44812.55149305556</v>
      </c>
      <c r="C807" s="1" t="n">
        <v>46049</v>
      </c>
      <c r="D807" t="inlineStr">
        <is>
          <t>VÄSTERNORRLANDS LÄN</t>
        </is>
      </c>
      <c r="E807" t="inlineStr">
        <is>
          <t>ÅNGE</t>
        </is>
      </c>
      <c r="G807" t="n">
        <v>2.4</v>
      </c>
      <c r="H807" t="n">
        <v>0</v>
      </c>
      <c r="I807" t="n">
        <v>0</v>
      </c>
      <c r="J807" t="n">
        <v>0</v>
      </c>
      <c r="K807" t="n">
        <v>0</v>
      </c>
      <c r="L807" t="n">
        <v>0</v>
      </c>
      <c r="M807" t="n">
        <v>0</v>
      </c>
      <c r="N807" t="n">
        <v>0</v>
      </c>
      <c r="O807" t="n">
        <v>0</v>
      </c>
      <c r="P807" t="n">
        <v>0</v>
      </c>
      <c r="Q807" t="n">
        <v>0</v>
      </c>
      <c r="R807" s="2" t="inlineStr"/>
    </row>
    <row r="808" ht="15" customHeight="1">
      <c r="A808" t="inlineStr">
        <is>
          <t>A 49669-2025</t>
        </is>
      </c>
      <c r="B808" s="1" t="n">
        <v>45939.63710648148</v>
      </c>
      <c r="C808" s="1" t="n">
        <v>46049</v>
      </c>
      <c r="D808" t="inlineStr">
        <is>
          <t>VÄSTERNORRLANDS LÄN</t>
        </is>
      </c>
      <c r="E808" t="inlineStr">
        <is>
          <t>ÅNGE</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49603-2025</t>
        </is>
      </c>
      <c r="B809" s="1" t="n">
        <v>45939.5484375</v>
      </c>
      <c r="C809" s="1" t="n">
        <v>46049</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49600-2025</t>
        </is>
      </c>
      <c r="B810" s="1" t="n">
        <v>45939.54434027777</v>
      </c>
      <c r="C810" s="1" t="n">
        <v>46049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49566-2025</t>
        </is>
      </c>
      <c r="B811" s="1" t="n">
        <v>45939.46939814815</v>
      </c>
      <c r="C811" s="1" t="n">
        <v>46049</v>
      </c>
      <c r="D811" t="inlineStr">
        <is>
          <t>VÄSTERNORRLANDS LÄN</t>
        </is>
      </c>
      <c r="E811" t="inlineStr">
        <is>
          <t>ÅNGE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30353-2024</t>
        </is>
      </c>
      <c r="B812" s="1" t="n">
        <v>45490.95567129629</v>
      </c>
      <c r="C812" s="1" t="n">
        <v>46049</v>
      </c>
      <c r="D812" t="inlineStr">
        <is>
          <t>VÄSTERNORRLANDS LÄN</t>
        </is>
      </c>
      <c r="E812" t="inlineStr">
        <is>
          <t>ÅNGE</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38693-2025</t>
        </is>
      </c>
      <c r="B813" s="1" t="n">
        <v>45884.69829861111</v>
      </c>
      <c r="C813" s="1" t="n">
        <v>46049</v>
      </c>
      <c r="D813" t="inlineStr">
        <is>
          <t>VÄSTERNORRLANDS LÄN</t>
        </is>
      </c>
      <c r="E813" t="inlineStr">
        <is>
          <t>ÅNGE</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50210-2025</t>
        </is>
      </c>
      <c r="B814" s="1" t="n">
        <v>45943.67379629629</v>
      </c>
      <c r="C814" s="1" t="n">
        <v>46049</v>
      </c>
      <c r="D814" t="inlineStr">
        <is>
          <t>VÄSTERNORRLANDS LÄN</t>
        </is>
      </c>
      <c r="E814" t="inlineStr">
        <is>
          <t>ÅNGE</t>
        </is>
      </c>
      <c r="G814" t="n">
        <v>2.5</v>
      </c>
      <c r="H814" t="n">
        <v>0</v>
      </c>
      <c r="I814" t="n">
        <v>0</v>
      </c>
      <c r="J814" t="n">
        <v>0</v>
      </c>
      <c r="K814" t="n">
        <v>0</v>
      </c>
      <c r="L814" t="n">
        <v>0</v>
      </c>
      <c r="M814" t="n">
        <v>0</v>
      </c>
      <c r="N814" t="n">
        <v>0</v>
      </c>
      <c r="O814" t="n">
        <v>0</v>
      </c>
      <c r="P814" t="n">
        <v>0</v>
      </c>
      <c r="Q814" t="n">
        <v>0</v>
      </c>
      <c r="R814" s="2" t="inlineStr"/>
    </row>
    <row r="815" ht="15" customHeight="1">
      <c r="A815" t="inlineStr">
        <is>
          <t>A 50001-2025</t>
        </is>
      </c>
      <c r="B815" s="1" t="n">
        <v>45943.34421296296</v>
      </c>
      <c r="C815" s="1" t="n">
        <v>46049</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16606-2023</t>
        </is>
      </c>
      <c r="B816" s="1" t="n">
        <v>45030.3990625</v>
      </c>
      <c r="C816" s="1" t="n">
        <v>46049</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38386-2025</t>
        </is>
      </c>
      <c r="B817" s="1" t="n">
        <v>45883.57430555556</v>
      </c>
      <c r="C817" s="1" t="n">
        <v>46049</v>
      </c>
      <c r="D817" t="inlineStr">
        <is>
          <t>VÄSTERNORRLANDS LÄN</t>
        </is>
      </c>
      <c r="E817" t="inlineStr">
        <is>
          <t>ÅNGE</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38273-2025</t>
        </is>
      </c>
      <c r="B818" s="1" t="n">
        <v>45883.40740740741</v>
      </c>
      <c r="C818" s="1" t="n">
        <v>46049</v>
      </c>
      <c r="D818" t="inlineStr">
        <is>
          <t>VÄSTERNORRLANDS LÄN</t>
        </is>
      </c>
      <c r="E818" t="inlineStr">
        <is>
          <t>ÅNGE</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50009-2025</t>
        </is>
      </c>
      <c r="B819" s="1" t="n">
        <v>45943.34527777778</v>
      </c>
      <c r="C819" s="1" t="n">
        <v>46049</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50008-2025</t>
        </is>
      </c>
      <c r="B820" s="1" t="n">
        <v>45943.34515046296</v>
      </c>
      <c r="C820" s="1" t="n">
        <v>46049</v>
      </c>
      <c r="D820" t="inlineStr">
        <is>
          <t>VÄSTERNORRLANDS LÄN</t>
        </is>
      </c>
      <c r="E820" t="inlineStr">
        <is>
          <t>ÅNGE</t>
        </is>
      </c>
      <c r="G820" t="n">
        <v>13.9</v>
      </c>
      <c r="H820" t="n">
        <v>0</v>
      </c>
      <c r="I820" t="n">
        <v>0</v>
      </c>
      <c r="J820" t="n">
        <v>0</v>
      </c>
      <c r="K820" t="n">
        <v>0</v>
      </c>
      <c r="L820" t="n">
        <v>0</v>
      </c>
      <c r="M820" t="n">
        <v>0</v>
      </c>
      <c r="N820" t="n">
        <v>0</v>
      </c>
      <c r="O820" t="n">
        <v>0</v>
      </c>
      <c r="P820" t="n">
        <v>0</v>
      </c>
      <c r="Q820" t="n">
        <v>0</v>
      </c>
      <c r="R820" s="2" t="inlineStr"/>
    </row>
    <row r="821" ht="15" customHeight="1">
      <c r="A821" t="inlineStr">
        <is>
          <t>A 25047-2023</t>
        </is>
      </c>
      <c r="B821" s="1" t="n">
        <v>45085.94569444445</v>
      </c>
      <c r="C821" s="1" t="n">
        <v>46049</v>
      </c>
      <c r="D821" t="inlineStr">
        <is>
          <t>VÄSTERNORRLANDS LÄN</t>
        </is>
      </c>
      <c r="E821" t="inlineStr">
        <is>
          <t>ÅNGE</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15791-2025</t>
        </is>
      </c>
      <c r="B822" s="1" t="n">
        <v>45748.631875</v>
      </c>
      <c r="C822" s="1" t="n">
        <v>46049</v>
      </c>
      <c r="D822" t="inlineStr">
        <is>
          <t>VÄSTERNORRLANDS LÄN</t>
        </is>
      </c>
      <c r="E822" t="inlineStr">
        <is>
          <t>ÅNGE</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50291-2025</t>
        </is>
      </c>
      <c r="B823" s="1" t="n">
        <v>45944.40677083333</v>
      </c>
      <c r="C823" s="1" t="n">
        <v>46049</v>
      </c>
      <c r="D823" t="inlineStr">
        <is>
          <t>VÄSTERNORRLANDS LÄN</t>
        </is>
      </c>
      <c r="E823" t="inlineStr">
        <is>
          <t>ÅNGE</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50767-2025</t>
        </is>
      </c>
      <c r="B824" s="1" t="n">
        <v>45946</v>
      </c>
      <c r="C824" s="1" t="n">
        <v>46049</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50769-2025</t>
        </is>
      </c>
      <c r="B825" s="1" t="n">
        <v>45946.44864583333</v>
      </c>
      <c r="C825" s="1" t="n">
        <v>46049</v>
      </c>
      <c r="D825" t="inlineStr">
        <is>
          <t>VÄSTERNORRLANDS LÄN</t>
        </is>
      </c>
      <c r="E825" t="inlineStr">
        <is>
          <t>ÅNGE</t>
        </is>
      </c>
      <c r="G825" t="n">
        <v>3.4</v>
      </c>
      <c r="H825" t="n">
        <v>0</v>
      </c>
      <c r="I825" t="n">
        <v>0</v>
      </c>
      <c r="J825" t="n">
        <v>0</v>
      </c>
      <c r="K825" t="n">
        <v>0</v>
      </c>
      <c r="L825" t="n">
        <v>0</v>
      </c>
      <c r="M825" t="n">
        <v>0</v>
      </c>
      <c r="N825" t="n">
        <v>0</v>
      </c>
      <c r="O825" t="n">
        <v>0</v>
      </c>
      <c r="P825" t="n">
        <v>0</v>
      </c>
      <c r="Q825" t="n">
        <v>0</v>
      </c>
      <c r="R825" s="2" t="inlineStr"/>
    </row>
    <row r="826" ht="15" customHeight="1">
      <c r="A826" t="inlineStr">
        <is>
          <t>A 55007-2022</t>
        </is>
      </c>
      <c r="B826" s="1" t="n">
        <v>44881</v>
      </c>
      <c r="C826" s="1" t="n">
        <v>46049</v>
      </c>
      <c r="D826" t="inlineStr">
        <is>
          <t>VÄSTERNORRLANDS LÄN</t>
        </is>
      </c>
      <c r="E826" t="inlineStr">
        <is>
          <t>ÅNGE</t>
        </is>
      </c>
      <c r="G826" t="n">
        <v>2</v>
      </c>
      <c r="H826" t="n">
        <v>0</v>
      </c>
      <c r="I826" t="n">
        <v>0</v>
      </c>
      <c r="J826" t="n">
        <v>0</v>
      </c>
      <c r="K826" t="n">
        <v>0</v>
      </c>
      <c r="L826" t="n">
        <v>0</v>
      </c>
      <c r="M826" t="n">
        <v>0</v>
      </c>
      <c r="N826" t="n">
        <v>0</v>
      </c>
      <c r="O826" t="n">
        <v>0</v>
      </c>
      <c r="P826" t="n">
        <v>0</v>
      </c>
      <c r="Q826" t="n">
        <v>0</v>
      </c>
      <c r="R826" s="2" t="inlineStr"/>
    </row>
    <row r="827" ht="15" customHeight="1">
      <c r="A827" t="inlineStr">
        <is>
          <t>A 38283-2025</t>
        </is>
      </c>
      <c r="B827" s="1" t="n">
        <v>45883.42740740741</v>
      </c>
      <c r="C827" s="1" t="n">
        <v>46049</v>
      </c>
      <c r="D827" t="inlineStr">
        <is>
          <t>VÄSTERNORRLANDS LÄN</t>
        </is>
      </c>
      <c r="E827" t="inlineStr">
        <is>
          <t>ÅNGE</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16281-2023</t>
        </is>
      </c>
      <c r="B828" s="1" t="n">
        <v>45028</v>
      </c>
      <c r="C828" s="1" t="n">
        <v>46049</v>
      </c>
      <c r="D828" t="inlineStr">
        <is>
          <t>VÄSTERNORRLANDS LÄN</t>
        </is>
      </c>
      <c r="E828" t="inlineStr">
        <is>
          <t>ÅNGE</t>
        </is>
      </c>
      <c r="G828" t="n">
        <v>1.6</v>
      </c>
      <c r="H828" t="n">
        <v>0</v>
      </c>
      <c r="I828" t="n">
        <v>0</v>
      </c>
      <c r="J828" t="n">
        <v>0</v>
      </c>
      <c r="K828" t="n">
        <v>0</v>
      </c>
      <c r="L828" t="n">
        <v>0</v>
      </c>
      <c r="M828" t="n">
        <v>0</v>
      </c>
      <c r="N828" t="n">
        <v>0</v>
      </c>
      <c r="O828" t="n">
        <v>0</v>
      </c>
      <c r="P828" t="n">
        <v>0</v>
      </c>
      <c r="Q828" t="n">
        <v>0</v>
      </c>
      <c r="R828" s="2" t="inlineStr"/>
    </row>
    <row r="829" ht="15" customHeight="1">
      <c r="A829" t="inlineStr">
        <is>
          <t>A 50460-2025</t>
        </is>
      </c>
      <c r="B829" s="1" t="n">
        <v>45945.345</v>
      </c>
      <c r="C829" s="1" t="n">
        <v>46049</v>
      </c>
      <c r="D829" t="inlineStr">
        <is>
          <t>VÄSTERNORRLANDS LÄN</t>
        </is>
      </c>
      <c r="E829" t="inlineStr">
        <is>
          <t>ÅNGE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45459-2022</t>
        </is>
      </c>
      <c r="B830" s="1" t="n">
        <v>44845</v>
      </c>
      <c r="C830" s="1" t="n">
        <v>46049</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2984-2025</t>
        </is>
      </c>
      <c r="B831" s="1" t="n">
        <v>45678.51094907407</v>
      </c>
      <c r="C831" s="1" t="n">
        <v>46049</v>
      </c>
      <c r="D831" t="inlineStr">
        <is>
          <t>VÄSTERNORRLANDS LÄN</t>
        </is>
      </c>
      <c r="E831" t="inlineStr">
        <is>
          <t>ÅNGE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50571-2025</t>
        </is>
      </c>
      <c r="B832" s="1" t="n">
        <v>45945.57443287037</v>
      </c>
      <c r="C832" s="1" t="n">
        <v>46049</v>
      </c>
      <c r="D832" t="inlineStr">
        <is>
          <t>VÄSTERNORRLANDS LÄN</t>
        </is>
      </c>
      <c r="E832" t="inlineStr">
        <is>
          <t>ÅNGE</t>
        </is>
      </c>
      <c r="G832" t="n">
        <v>2.5</v>
      </c>
      <c r="H832" t="n">
        <v>0</v>
      </c>
      <c r="I832" t="n">
        <v>0</v>
      </c>
      <c r="J832" t="n">
        <v>0</v>
      </c>
      <c r="K832" t="n">
        <v>0</v>
      </c>
      <c r="L832" t="n">
        <v>0</v>
      </c>
      <c r="M832" t="n">
        <v>0</v>
      </c>
      <c r="N832" t="n">
        <v>0</v>
      </c>
      <c r="O832" t="n">
        <v>0</v>
      </c>
      <c r="P832" t="n">
        <v>0</v>
      </c>
      <c r="Q832" t="n">
        <v>0</v>
      </c>
      <c r="R832" s="2" t="inlineStr"/>
    </row>
    <row r="833" ht="15" customHeight="1">
      <c r="A833" t="inlineStr">
        <is>
          <t>A 38332-2025</t>
        </is>
      </c>
      <c r="B833" s="1" t="n">
        <v>45883.49151620371</v>
      </c>
      <c r="C833" s="1" t="n">
        <v>46049</v>
      </c>
      <c r="D833" t="inlineStr">
        <is>
          <t>VÄSTERNORRLANDS LÄN</t>
        </is>
      </c>
      <c r="E833" t="inlineStr">
        <is>
          <t>ÅNGE</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10017-2025</t>
        </is>
      </c>
      <c r="B834" s="1" t="n">
        <v>45719.46957175926</v>
      </c>
      <c r="C834" s="1" t="n">
        <v>46049</v>
      </c>
      <c r="D834" t="inlineStr">
        <is>
          <t>VÄSTERNORRLANDS LÄN</t>
        </is>
      </c>
      <c r="E834" t="inlineStr">
        <is>
          <t>ÅNGE</t>
        </is>
      </c>
      <c r="F834" t="inlineStr">
        <is>
          <t>SCA</t>
        </is>
      </c>
      <c r="G834" t="n">
        <v>9.9</v>
      </c>
      <c r="H834" t="n">
        <v>0</v>
      </c>
      <c r="I834" t="n">
        <v>0</v>
      </c>
      <c r="J834" t="n">
        <v>0</v>
      </c>
      <c r="K834" t="n">
        <v>0</v>
      </c>
      <c r="L834" t="n">
        <v>0</v>
      </c>
      <c r="M834" t="n">
        <v>0</v>
      </c>
      <c r="N834" t="n">
        <v>0</v>
      </c>
      <c r="O834" t="n">
        <v>0</v>
      </c>
      <c r="P834" t="n">
        <v>0</v>
      </c>
      <c r="Q834" t="n">
        <v>0</v>
      </c>
      <c r="R834" s="2" t="inlineStr"/>
    </row>
    <row r="835" ht="15" customHeight="1">
      <c r="A835" t="inlineStr">
        <is>
          <t>A 29270-2024</t>
        </is>
      </c>
      <c r="B835" s="1" t="n">
        <v>45482.94979166667</v>
      </c>
      <c r="C835" s="1" t="n">
        <v>46049</v>
      </c>
      <c r="D835" t="inlineStr">
        <is>
          <t>VÄSTERNORRLANDS LÄN</t>
        </is>
      </c>
      <c r="E835" t="inlineStr">
        <is>
          <t>ÅNGE</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29696-2024</t>
        </is>
      </c>
      <c r="B836" s="1" t="n">
        <v>45484.94524305555</v>
      </c>
      <c r="C836" s="1" t="n">
        <v>46049</v>
      </c>
      <c r="D836" t="inlineStr">
        <is>
          <t>VÄSTERNORRLANDS LÄN</t>
        </is>
      </c>
      <c r="E836" t="inlineStr">
        <is>
          <t>ÅNGE</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51382-2025</t>
        </is>
      </c>
      <c r="B837" s="1" t="n">
        <v>45950.46019675926</v>
      </c>
      <c r="C837" s="1" t="n">
        <v>46049</v>
      </c>
      <c r="D837" t="inlineStr">
        <is>
          <t>VÄSTERNORRLANDS LÄN</t>
        </is>
      </c>
      <c r="E837" t="inlineStr">
        <is>
          <t>ÅNGE</t>
        </is>
      </c>
      <c r="G837" t="n">
        <v>3</v>
      </c>
      <c r="H837" t="n">
        <v>0</v>
      </c>
      <c r="I837" t="n">
        <v>0</v>
      </c>
      <c r="J837" t="n">
        <v>0</v>
      </c>
      <c r="K837" t="n">
        <v>0</v>
      </c>
      <c r="L837" t="n">
        <v>0</v>
      </c>
      <c r="M837" t="n">
        <v>0</v>
      </c>
      <c r="N837" t="n">
        <v>0</v>
      </c>
      <c r="O837" t="n">
        <v>0</v>
      </c>
      <c r="P837" t="n">
        <v>0</v>
      </c>
      <c r="Q837" t="n">
        <v>0</v>
      </c>
      <c r="R837" s="2" t="inlineStr"/>
    </row>
    <row r="838" ht="15" customHeight="1">
      <c r="A838" t="inlineStr">
        <is>
          <t>A 33062-2022</t>
        </is>
      </c>
      <c r="B838" s="1" t="n">
        <v>44785</v>
      </c>
      <c r="C838" s="1" t="n">
        <v>46049</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51393-2025</t>
        </is>
      </c>
      <c r="B839" s="1" t="n">
        <v>45950.46957175926</v>
      </c>
      <c r="C839" s="1" t="n">
        <v>46049</v>
      </c>
      <c r="D839" t="inlineStr">
        <is>
          <t>VÄSTERNORRLANDS LÄN</t>
        </is>
      </c>
      <c r="E839" t="inlineStr">
        <is>
          <t>ÅNGE</t>
        </is>
      </c>
      <c r="F839" t="inlineStr">
        <is>
          <t>SCA</t>
        </is>
      </c>
      <c r="G839" t="n">
        <v>17.9</v>
      </c>
      <c r="H839" t="n">
        <v>0</v>
      </c>
      <c r="I839" t="n">
        <v>0</v>
      </c>
      <c r="J839" t="n">
        <v>0</v>
      </c>
      <c r="K839" t="n">
        <v>0</v>
      </c>
      <c r="L839" t="n">
        <v>0</v>
      </c>
      <c r="M839" t="n">
        <v>0</v>
      </c>
      <c r="N839" t="n">
        <v>0</v>
      </c>
      <c r="O839" t="n">
        <v>0</v>
      </c>
      <c r="P839" t="n">
        <v>0</v>
      </c>
      <c r="Q839" t="n">
        <v>0</v>
      </c>
      <c r="R839" s="2" t="inlineStr"/>
    </row>
    <row r="840" ht="15" customHeight="1">
      <c r="A840" t="inlineStr">
        <is>
          <t>A 51109-2025</t>
        </is>
      </c>
      <c r="B840" s="1" t="n">
        <v>45947.50263888889</v>
      </c>
      <c r="C840" s="1" t="n">
        <v>46049</v>
      </c>
      <c r="D840" t="inlineStr">
        <is>
          <t>VÄSTERNORRLANDS LÄN</t>
        </is>
      </c>
      <c r="E840" t="inlineStr">
        <is>
          <t>ÅNGE</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51389-2025</t>
        </is>
      </c>
      <c r="B841" s="1" t="n">
        <v>45950.46767361111</v>
      </c>
      <c r="C841" s="1" t="n">
        <v>46049</v>
      </c>
      <c r="D841" t="inlineStr">
        <is>
          <t>VÄSTERNORRLANDS LÄN</t>
        </is>
      </c>
      <c r="E841" t="inlineStr">
        <is>
          <t>ÅNGE</t>
        </is>
      </c>
      <c r="G841" t="n">
        <v>1.2</v>
      </c>
      <c r="H841" t="n">
        <v>0</v>
      </c>
      <c r="I841" t="n">
        <v>0</v>
      </c>
      <c r="J841" t="n">
        <v>0</v>
      </c>
      <c r="K841" t="n">
        <v>0</v>
      </c>
      <c r="L841" t="n">
        <v>0</v>
      </c>
      <c r="M841" t="n">
        <v>0</v>
      </c>
      <c r="N841" t="n">
        <v>0</v>
      </c>
      <c r="O841" t="n">
        <v>0</v>
      </c>
      <c r="P841" t="n">
        <v>0</v>
      </c>
      <c r="Q841" t="n">
        <v>0</v>
      </c>
      <c r="R841" s="2" t="inlineStr"/>
    </row>
    <row r="842" ht="15" customHeight="1">
      <c r="A842" t="inlineStr">
        <is>
          <t>A 51416-2025</t>
        </is>
      </c>
      <c r="B842" s="1" t="n">
        <v>45950.51097222222</v>
      </c>
      <c r="C842" s="1" t="n">
        <v>46049</v>
      </c>
      <c r="D842" t="inlineStr">
        <is>
          <t>VÄSTERNORRLANDS LÄN</t>
        </is>
      </c>
      <c r="E842" t="inlineStr">
        <is>
          <t>ÅNGE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51370-2025</t>
        </is>
      </c>
      <c r="B843" s="1" t="n">
        <v>45950.44818287037</v>
      </c>
      <c r="C843" s="1" t="n">
        <v>46049</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27002-2023</t>
        </is>
      </c>
      <c r="B844" s="1" t="n">
        <v>45093</v>
      </c>
      <c r="C844" s="1" t="n">
        <v>46049</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63170-2023</t>
        </is>
      </c>
      <c r="B845" s="1" t="n">
        <v>45273.57087962963</v>
      </c>
      <c r="C845" s="1" t="n">
        <v>46049</v>
      </c>
      <c r="D845" t="inlineStr">
        <is>
          <t>VÄSTERNORRLANDS LÄN</t>
        </is>
      </c>
      <c r="E845" t="inlineStr">
        <is>
          <t>ÅNGE</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30273-2023</t>
        </is>
      </c>
      <c r="B846" s="1" t="n">
        <v>45099</v>
      </c>
      <c r="C846" s="1" t="n">
        <v>46049</v>
      </c>
      <c r="D846" t="inlineStr">
        <is>
          <t>VÄSTERNORRLANDS LÄN</t>
        </is>
      </c>
      <c r="E846" t="inlineStr">
        <is>
          <t>ÅNGE</t>
        </is>
      </c>
      <c r="G846" t="n">
        <v>3.9</v>
      </c>
      <c r="H846" t="n">
        <v>0</v>
      </c>
      <c r="I846" t="n">
        <v>0</v>
      </c>
      <c r="J846" t="n">
        <v>0</v>
      </c>
      <c r="K846" t="n">
        <v>0</v>
      </c>
      <c r="L846" t="n">
        <v>0</v>
      </c>
      <c r="M846" t="n">
        <v>0</v>
      </c>
      <c r="N846" t="n">
        <v>0</v>
      </c>
      <c r="O846" t="n">
        <v>0</v>
      </c>
      <c r="P846" t="n">
        <v>0</v>
      </c>
      <c r="Q846" t="n">
        <v>0</v>
      </c>
      <c r="R846" s="2" t="inlineStr"/>
    </row>
    <row r="847" ht="15" customHeight="1">
      <c r="A847" t="inlineStr">
        <is>
          <t>A 60368-2024</t>
        </is>
      </c>
      <c r="B847" s="1" t="n">
        <v>45643</v>
      </c>
      <c r="C847" s="1" t="n">
        <v>46049</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31729-2024</t>
        </is>
      </c>
      <c r="B848" s="1" t="n">
        <v>45509.35844907408</v>
      </c>
      <c r="C848" s="1" t="n">
        <v>46049</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52121-2025</t>
        </is>
      </c>
      <c r="B849" s="1" t="n">
        <v>45952.71921296296</v>
      </c>
      <c r="C849" s="1" t="n">
        <v>46049</v>
      </c>
      <c r="D849" t="inlineStr">
        <is>
          <t>VÄSTERNORRLANDS LÄN</t>
        </is>
      </c>
      <c r="E849" t="inlineStr">
        <is>
          <t>ÅNGE</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34783-2021</t>
        </is>
      </c>
      <c r="B850" s="1" t="n">
        <v>44382</v>
      </c>
      <c r="C850" s="1" t="n">
        <v>46049</v>
      </c>
      <c r="D850" t="inlineStr">
        <is>
          <t>VÄSTERNORRLANDS LÄN</t>
        </is>
      </c>
      <c r="E850" t="inlineStr">
        <is>
          <t>ÅNGE</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51857-2025</t>
        </is>
      </c>
      <c r="B851" s="1" t="n">
        <v>45952.36506944444</v>
      </c>
      <c r="C851" s="1" t="n">
        <v>46049</v>
      </c>
      <c r="D851" t="inlineStr">
        <is>
          <t>VÄSTERNORRLANDS LÄN</t>
        </is>
      </c>
      <c r="E851" t="inlineStr">
        <is>
          <t>ÅNGE</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4187-2025</t>
        </is>
      </c>
      <c r="B852" s="1" t="n">
        <v>45685.44842592593</v>
      </c>
      <c r="C852" s="1" t="n">
        <v>46049</v>
      </c>
      <c r="D852" t="inlineStr">
        <is>
          <t>VÄSTERNORRLANDS LÄN</t>
        </is>
      </c>
      <c r="E852" t="inlineStr">
        <is>
          <t>ÅNGE</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52060-2025</t>
        </is>
      </c>
      <c r="B853" s="1" t="n">
        <v>45952.63641203703</v>
      </c>
      <c r="C853" s="1" t="n">
        <v>46049</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51813-2025</t>
        </is>
      </c>
      <c r="B854" s="1" t="n">
        <v>45951.83082175926</v>
      </c>
      <c r="C854" s="1" t="n">
        <v>46049</v>
      </c>
      <c r="D854" t="inlineStr">
        <is>
          <t>VÄSTERNORRLANDS LÄN</t>
        </is>
      </c>
      <c r="E854" t="inlineStr">
        <is>
          <t>ÅNGE</t>
        </is>
      </c>
      <c r="G854" t="n">
        <v>2.5</v>
      </c>
      <c r="H854" t="n">
        <v>0</v>
      </c>
      <c r="I854" t="n">
        <v>0</v>
      </c>
      <c r="J854" t="n">
        <v>0</v>
      </c>
      <c r="K854" t="n">
        <v>0</v>
      </c>
      <c r="L854" t="n">
        <v>0</v>
      </c>
      <c r="M854" t="n">
        <v>0</v>
      </c>
      <c r="N854" t="n">
        <v>0</v>
      </c>
      <c r="O854" t="n">
        <v>0</v>
      </c>
      <c r="P854" t="n">
        <v>0</v>
      </c>
      <c r="Q854" t="n">
        <v>0</v>
      </c>
      <c r="R854" s="2" t="inlineStr"/>
    </row>
    <row r="855" ht="15" customHeight="1">
      <c r="A855" t="inlineStr">
        <is>
          <t>A 52392-2025</t>
        </is>
      </c>
      <c r="B855" s="1" t="n">
        <v>45954.34424768519</v>
      </c>
      <c r="C855" s="1" t="n">
        <v>46049</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52335-2025</t>
        </is>
      </c>
      <c r="B856" s="1" t="n">
        <v>45953.68591435185</v>
      </c>
      <c r="C856" s="1" t="n">
        <v>46049</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12807-2025</t>
        </is>
      </c>
      <c r="B857" s="1" t="n">
        <v>45733.61537037037</v>
      </c>
      <c r="C857" s="1" t="n">
        <v>46049</v>
      </c>
      <c r="D857" t="inlineStr">
        <is>
          <t>VÄSTERNORRLANDS LÄN</t>
        </is>
      </c>
      <c r="E857" t="inlineStr">
        <is>
          <t>ÅNGE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52283-2025</t>
        </is>
      </c>
      <c r="B858" s="1" t="n">
        <v>45953.57346064815</v>
      </c>
      <c r="C858" s="1" t="n">
        <v>46049</v>
      </c>
      <c r="D858" t="inlineStr">
        <is>
          <t>VÄSTERNORRLANDS LÄN</t>
        </is>
      </c>
      <c r="E858" t="inlineStr">
        <is>
          <t>ÅNGE</t>
        </is>
      </c>
      <c r="G858" t="n">
        <v>8.9</v>
      </c>
      <c r="H858" t="n">
        <v>0</v>
      </c>
      <c r="I858" t="n">
        <v>0</v>
      </c>
      <c r="J858" t="n">
        <v>0</v>
      </c>
      <c r="K858" t="n">
        <v>0</v>
      </c>
      <c r="L858" t="n">
        <v>0</v>
      </c>
      <c r="M858" t="n">
        <v>0</v>
      </c>
      <c r="N858" t="n">
        <v>0</v>
      </c>
      <c r="O858" t="n">
        <v>0</v>
      </c>
      <c r="P858" t="n">
        <v>0</v>
      </c>
      <c r="Q858" t="n">
        <v>0</v>
      </c>
      <c r="R858" s="2" t="inlineStr"/>
    </row>
    <row r="859" ht="15" customHeight="1">
      <c r="A859" t="inlineStr">
        <is>
          <t>A 18668-2023</t>
        </is>
      </c>
      <c r="B859" s="1" t="n">
        <v>45043.57108796296</v>
      </c>
      <c r="C859" s="1" t="n">
        <v>46049</v>
      </c>
      <c r="D859" t="inlineStr">
        <is>
          <t>VÄSTERNORRLANDS LÄN</t>
        </is>
      </c>
      <c r="E859" t="inlineStr">
        <is>
          <t>ÅNGE</t>
        </is>
      </c>
      <c r="G859" t="n">
        <v>3.4</v>
      </c>
      <c r="H859" t="n">
        <v>0</v>
      </c>
      <c r="I859" t="n">
        <v>0</v>
      </c>
      <c r="J859" t="n">
        <v>0</v>
      </c>
      <c r="K859" t="n">
        <v>0</v>
      </c>
      <c r="L859" t="n">
        <v>0</v>
      </c>
      <c r="M859" t="n">
        <v>0</v>
      </c>
      <c r="N859" t="n">
        <v>0</v>
      </c>
      <c r="O859" t="n">
        <v>0</v>
      </c>
      <c r="P859" t="n">
        <v>0</v>
      </c>
      <c r="Q859" t="n">
        <v>0</v>
      </c>
      <c r="R859" s="2" t="inlineStr"/>
    </row>
    <row r="860" ht="15" customHeight="1">
      <c r="A860" t="inlineStr">
        <is>
          <t>A 52411-2025</t>
        </is>
      </c>
      <c r="B860" s="1" t="n">
        <v>45954.36518518518</v>
      </c>
      <c r="C860" s="1" t="n">
        <v>46049</v>
      </c>
      <c r="D860" t="inlineStr">
        <is>
          <t>VÄSTERNORRLANDS LÄN</t>
        </is>
      </c>
      <c r="E860" t="inlineStr">
        <is>
          <t>ÅNGE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52306-2025</t>
        </is>
      </c>
      <c r="B861" s="1" t="n">
        <v>45953.63600694444</v>
      </c>
      <c r="C861" s="1" t="n">
        <v>46049</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62261-2022</t>
        </is>
      </c>
      <c r="B862" s="1" t="n">
        <v>44922.94378472222</v>
      </c>
      <c r="C862" s="1" t="n">
        <v>46049</v>
      </c>
      <c r="D862" t="inlineStr">
        <is>
          <t>VÄSTERNORRLANDS LÄN</t>
        </is>
      </c>
      <c r="E862" t="inlineStr">
        <is>
          <t>ÅNGE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16524-2025</t>
        </is>
      </c>
      <c r="B863" s="1" t="n">
        <v>45751.64310185185</v>
      </c>
      <c r="C863" s="1" t="n">
        <v>46049</v>
      </c>
      <c r="D863" t="inlineStr">
        <is>
          <t>VÄSTERNORRLANDS LÄN</t>
        </is>
      </c>
      <c r="E863" t="inlineStr">
        <is>
          <t>ÅNGE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47779-2023</t>
        </is>
      </c>
      <c r="B864" s="1" t="n">
        <v>45203.92232638889</v>
      </c>
      <c r="C864" s="1" t="n">
        <v>46049</v>
      </c>
      <c r="D864" t="inlineStr">
        <is>
          <t>VÄSTERNORRLANDS LÄN</t>
        </is>
      </c>
      <c r="E864" t="inlineStr">
        <is>
          <t>ÅNGE</t>
        </is>
      </c>
      <c r="G864" t="n">
        <v>9.6</v>
      </c>
      <c r="H864" t="n">
        <v>0</v>
      </c>
      <c r="I864" t="n">
        <v>0</v>
      </c>
      <c r="J864" t="n">
        <v>0</v>
      </c>
      <c r="K864" t="n">
        <v>0</v>
      </c>
      <c r="L864" t="n">
        <v>0</v>
      </c>
      <c r="M864" t="n">
        <v>0</v>
      </c>
      <c r="N864" t="n">
        <v>0</v>
      </c>
      <c r="O864" t="n">
        <v>0</v>
      </c>
      <c r="P864" t="n">
        <v>0</v>
      </c>
      <c r="Q864" t="n">
        <v>0</v>
      </c>
      <c r="R864" s="2" t="inlineStr"/>
    </row>
    <row r="865" ht="15" customHeight="1">
      <c r="A865" t="inlineStr">
        <is>
          <t>A 49502-2022</t>
        </is>
      </c>
      <c r="B865" s="1" t="n">
        <v>44861.92613425926</v>
      </c>
      <c r="C865" s="1" t="n">
        <v>46049</v>
      </c>
      <c r="D865" t="inlineStr">
        <is>
          <t>VÄSTERNORRLANDS LÄN</t>
        </is>
      </c>
      <c r="E865" t="inlineStr">
        <is>
          <t>ÅNGE</t>
        </is>
      </c>
      <c r="G865" t="n">
        <v>0.8</v>
      </c>
      <c r="H865" t="n">
        <v>0</v>
      </c>
      <c r="I865" t="n">
        <v>0</v>
      </c>
      <c r="J865" t="n">
        <v>0</v>
      </c>
      <c r="K865" t="n">
        <v>0</v>
      </c>
      <c r="L865" t="n">
        <v>0</v>
      </c>
      <c r="M865" t="n">
        <v>0</v>
      </c>
      <c r="N865" t="n">
        <v>0</v>
      </c>
      <c r="O865" t="n">
        <v>0</v>
      </c>
      <c r="P865" t="n">
        <v>0</v>
      </c>
      <c r="Q865" t="n">
        <v>0</v>
      </c>
      <c r="R865" s="2" t="inlineStr"/>
    </row>
    <row r="866" ht="15" customHeight="1">
      <c r="A866" t="inlineStr">
        <is>
          <t>A 52642-2025</t>
        </is>
      </c>
      <c r="B866" s="1" t="n">
        <v>45955.34576388889</v>
      </c>
      <c r="C866" s="1" t="n">
        <v>46049</v>
      </c>
      <c r="D866" t="inlineStr">
        <is>
          <t>VÄSTERNORRLANDS LÄN</t>
        </is>
      </c>
      <c r="E866" t="inlineStr">
        <is>
          <t>ÅNGE</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41825-2022</t>
        </is>
      </c>
      <c r="B867" s="1" t="n">
        <v>44827</v>
      </c>
      <c r="C867" s="1" t="n">
        <v>46049</v>
      </c>
      <c r="D867" t="inlineStr">
        <is>
          <t>VÄSTERNORRLANDS LÄN</t>
        </is>
      </c>
      <c r="E867" t="inlineStr">
        <is>
          <t>ÅNGE</t>
        </is>
      </c>
      <c r="F867" t="inlineStr">
        <is>
          <t>SCA</t>
        </is>
      </c>
      <c r="G867" t="n">
        <v>3.3</v>
      </c>
      <c r="H867" t="n">
        <v>0</v>
      </c>
      <c r="I867" t="n">
        <v>0</v>
      </c>
      <c r="J867" t="n">
        <v>0</v>
      </c>
      <c r="K867" t="n">
        <v>0</v>
      </c>
      <c r="L867" t="n">
        <v>0</v>
      </c>
      <c r="M867" t="n">
        <v>0</v>
      </c>
      <c r="N867" t="n">
        <v>0</v>
      </c>
      <c r="O867" t="n">
        <v>0</v>
      </c>
      <c r="P867" t="n">
        <v>0</v>
      </c>
      <c r="Q867" t="n">
        <v>0</v>
      </c>
      <c r="R867" s="2" t="inlineStr"/>
      <c r="U867">
        <f>HYPERLINK("https://klasma.github.io/Logging_2260/knärot/A 41825-2022 karta knärot.png", "A 41825-2022")</f>
        <v/>
      </c>
      <c r="V867">
        <f>HYPERLINK("https://klasma.github.io/Logging_2260/klagomål/A 41825-2022 FSC-klagomål.docx", "A 41825-2022")</f>
        <v/>
      </c>
      <c r="W867">
        <f>HYPERLINK("https://klasma.github.io/Logging_2260/klagomålsmail/A 41825-2022 FSC-klagomål mail.docx", "A 41825-2022")</f>
        <v/>
      </c>
      <c r="X867">
        <f>HYPERLINK("https://klasma.github.io/Logging_2260/tillsyn/A 41825-2022 tillsynsbegäran.docx", "A 41825-2022")</f>
        <v/>
      </c>
      <c r="Y867">
        <f>HYPERLINK("https://klasma.github.io/Logging_2260/tillsynsmail/A 41825-2022 tillsynsbegäran mail.docx", "A 41825-2022")</f>
        <v/>
      </c>
    </row>
    <row r="868" ht="15" customHeight="1">
      <c r="A868" t="inlineStr">
        <is>
          <t>A 42958-2024</t>
        </is>
      </c>
      <c r="B868" s="1" t="n">
        <v>45567.37131944444</v>
      </c>
      <c r="C868" s="1" t="n">
        <v>46049</v>
      </c>
      <c r="D868" t="inlineStr">
        <is>
          <t>VÄSTERNORRLANDS LÄN</t>
        </is>
      </c>
      <c r="E868" t="inlineStr">
        <is>
          <t>ÅNGE</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52858-2025</t>
        </is>
      </c>
      <c r="B869" s="1" t="n">
        <v>45957.50284722223</v>
      </c>
      <c r="C869" s="1" t="n">
        <v>46049</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53012-2025</t>
        </is>
      </c>
      <c r="B870" s="1" t="n">
        <v>45957.80320601852</v>
      </c>
      <c r="C870" s="1" t="n">
        <v>46049</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34861-2024</t>
        </is>
      </c>
      <c r="B871" s="1" t="n">
        <v>45527.339375</v>
      </c>
      <c r="C871" s="1" t="n">
        <v>46049</v>
      </c>
      <c r="D871" t="inlineStr">
        <is>
          <t>VÄSTERNORRLANDS LÄN</t>
        </is>
      </c>
      <c r="E871" t="inlineStr">
        <is>
          <t>ÅNGE</t>
        </is>
      </c>
      <c r="F871" t="inlineStr">
        <is>
          <t>SCA</t>
        </is>
      </c>
      <c r="G871" t="n">
        <v>9.1</v>
      </c>
      <c r="H871" t="n">
        <v>0</v>
      </c>
      <c r="I871" t="n">
        <v>0</v>
      </c>
      <c r="J871" t="n">
        <v>0</v>
      </c>
      <c r="K871" t="n">
        <v>0</v>
      </c>
      <c r="L871" t="n">
        <v>0</v>
      </c>
      <c r="M871" t="n">
        <v>0</v>
      </c>
      <c r="N871" t="n">
        <v>0</v>
      </c>
      <c r="O871" t="n">
        <v>0</v>
      </c>
      <c r="P871" t="n">
        <v>0</v>
      </c>
      <c r="Q871" t="n">
        <v>0</v>
      </c>
      <c r="R871" s="2" t="inlineStr"/>
    </row>
    <row r="872" ht="15" customHeight="1">
      <c r="A872" t="inlineStr">
        <is>
          <t>A 17601-2024</t>
        </is>
      </c>
      <c r="B872" s="1" t="n">
        <v>45415</v>
      </c>
      <c r="C872" s="1" t="n">
        <v>46049</v>
      </c>
      <c r="D872" t="inlineStr">
        <is>
          <t>VÄSTERNORRLANDS LÄN</t>
        </is>
      </c>
      <c r="E872" t="inlineStr">
        <is>
          <t>ÅNGE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53013-2025</t>
        </is>
      </c>
      <c r="B873" s="1" t="n">
        <v>45957.81732638889</v>
      </c>
      <c r="C873" s="1" t="n">
        <v>46049</v>
      </c>
      <c r="D873" t="inlineStr">
        <is>
          <t>VÄSTERNORRLANDS LÄN</t>
        </is>
      </c>
      <c r="E873" t="inlineStr">
        <is>
          <t>ÅNGE</t>
        </is>
      </c>
      <c r="G873" t="n">
        <v>0.6</v>
      </c>
      <c r="H873" t="n">
        <v>0</v>
      </c>
      <c r="I873" t="n">
        <v>0</v>
      </c>
      <c r="J873" t="n">
        <v>0</v>
      </c>
      <c r="K873" t="n">
        <v>0</v>
      </c>
      <c r="L873" t="n">
        <v>0</v>
      </c>
      <c r="M873" t="n">
        <v>0</v>
      </c>
      <c r="N873" t="n">
        <v>0</v>
      </c>
      <c r="O873" t="n">
        <v>0</v>
      </c>
      <c r="P873" t="n">
        <v>0</v>
      </c>
      <c r="Q873" t="n">
        <v>0</v>
      </c>
      <c r="R873" s="2" t="inlineStr"/>
    </row>
    <row r="874" ht="15" customHeight="1">
      <c r="A874" t="inlineStr">
        <is>
          <t>A 53221-2025</t>
        </is>
      </c>
      <c r="B874" s="1" t="n">
        <v>45958.60331018519</v>
      </c>
      <c r="C874" s="1" t="n">
        <v>46049</v>
      </c>
      <c r="D874" t="inlineStr">
        <is>
          <t>VÄSTERNORRLANDS LÄN</t>
        </is>
      </c>
      <c r="E874" t="inlineStr">
        <is>
          <t>ÅNGE</t>
        </is>
      </c>
      <c r="G874" t="n">
        <v>2.1</v>
      </c>
      <c r="H874" t="n">
        <v>0</v>
      </c>
      <c r="I874" t="n">
        <v>0</v>
      </c>
      <c r="J874" t="n">
        <v>0</v>
      </c>
      <c r="K874" t="n">
        <v>0</v>
      </c>
      <c r="L874" t="n">
        <v>0</v>
      </c>
      <c r="M874" t="n">
        <v>0</v>
      </c>
      <c r="N874" t="n">
        <v>0</v>
      </c>
      <c r="O874" t="n">
        <v>0</v>
      </c>
      <c r="P874" t="n">
        <v>0</v>
      </c>
      <c r="Q874" t="n">
        <v>0</v>
      </c>
      <c r="R874" s="2" t="inlineStr"/>
    </row>
    <row r="875" ht="15" customHeight="1">
      <c r="A875" t="inlineStr">
        <is>
          <t>A 57846-2022</t>
        </is>
      </c>
      <c r="B875" s="1" t="n">
        <v>44897.95008101852</v>
      </c>
      <c r="C875" s="1" t="n">
        <v>46049</v>
      </c>
      <c r="D875" t="inlineStr">
        <is>
          <t>VÄSTERNORRLANDS LÄN</t>
        </is>
      </c>
      <c r="E875" t="inlineStr">
        <is>
          <t>ÅNGE</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53033-2025</t>
        </is>
      </c>
      <c r="B876" s="1" t="n">
        <v>45958.34479166667</v>
      </c>
      <c r="C876" s="1" t="n">
        <v>46049</v>
      </c>
      <c r="D876" t="inlineStr">
        <is>
          <t>VÄSTERNORRLANDS LÄN</t>
        </is>
      </c>
      <c r="E876" t="inlineStr">
        <is>
          <t>ÅNGE</t>
        </is>
      </c>
      <c r="G876" t="n">
        <v>2.7</v>
      </c>
      <c r="H876" t="n">
        <v>0</v>
      </c>
      <c r="I876" t="n">
        <v>0</v>
      </c>
      <c r="J876" t="n">
        <v>0</v>
      </c>
      <c r="K876" t="n">
        <v>0</v>
      </c>
      <c r="L876" t="n">
        <v>0</v>
      </c>
      <c r="M876" t="n">
        <v>0</v>
      </c>
      <c r="N876" t="n">
        <v>0</v>
      </c>
      <c r="O876" t="n">
        <v>0</v>
      </c>
      <c r="P876" t="n">
        <v>0</v>
      </c>
      <c r="Q876" t="n">
        <v>0</v>
      </c>
      <c r="R876" s="2" t="inlineStr"/>
    </row>
    <row r="877" ht="15" customHeight="1">
      <c r="A877" t="inlineStr">
        <is>
          <t>A 36342-2024</t>
        </is>
      </c>
      <c r="B877" s="1" t="n">
        <v>45534.64315972223</v>
      </c>
      <c r="C877" s="1" t="n">
        <v>46049</v>
      </c>
      <c r="D877" t="inlineStr">
        <is>
          <t>VÄSTERNORRLANDS LÄN</t>
        </is>
      </c>
      <c r="E877" t="inlineStr">
        <is>
          <t>ÅNGE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54771-2023</t>
        </is>
      </c>
      <c r="B878" s="1" t="n">
        <v>45229</v>
      </c>
      <c r="C878" s="1" t="n">
        <v>46049</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32922-2024</t>
        </is>
      </c>
      <c r="B879" s="1" t="n">
        <v>45516.95263888889</v>
      </c>
      <c r="C879" s="1" t="n">
        <v>46049</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53509-2025</t>
        </is>
      </c>
      <c r="B880" s="1" t="n">
        <v>45960.34506944445</v>
      </c>
      <c r="C880" s="1" t="n">
        <v>46049</v>
      </c>
      <c r="D880" t="inlineStr">
        <is>
          <t>VÄSTERNORRLANDS LÄN</t>
        </is>
      </c>
      <c r="E880" t="inlineStr">
        <is>
          <t>ÅNGE</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53381-2025</t>
        </is>
      </c>
      <c r="B881" s="1" t="n">
        <v>45959.53690972222</v>
      </c>
      <c r="C881" s="1" t="n">
        <v>46049</v>
      </c>
      <c r="D881" t="inlineStr">
        <is>
          <t>VÄSTERNORRLANDS LÄN</t>
        </is>
      </c>
      <c r="E881" t="inlineStr">
        <is>
          <t>ÅNGE</t>
        </is>
      </c>
      <c r="G881" t="n">
        <v>9.6</v>
      </c>
      <c r="H881" t="n">
        <v>0</v>
      </c>
      <c r="I881" t="n">
        <v>0</v>
      </c>
      <c r="J881" t="n">
        <v>0</v>
      </c>
      <c r="K881" t="n">
        <v>0</v>
      </c>
      <c r="L881" t="n">
        <v>0</v>
      </c>
      <c r="M881" t="n">
        <v>0</v>
      </c>
      <c r="N881" t="n">
        <v>0</v>
      </c>
      <c r="O881" t="n">
        <v>0</v>
      </c>
      <c r="P881" t="n">
        <v>0</v>
      </c>
      <c r="Q881" t="n">
        <v>0</v>
      </c>
      <c r="R881" s="2" t="inlineStr"/>
    </row>
    <row r="882" ht="15" customHeight="1">
      <c r="A882" t="inlineStr">
        <is>
          <t>A 53713-2025</t>
        </is>
      </c>
      <c r="B882" s="1" t="n">
        <v>45960.61568287037</v>
      </c>
      <c r="C882" s="1" t="n">
        <v>46049</v>
      </c>
      <c r="D882" t="inlineStr">
        <is>
          <t>VÄSTERNORRLANDS LÄN</t>
        </is>
      </c>
      <c r="E882" t="inlineStr">
        <is>
          <t>ÅNGE</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20338-2025</t>
        </is>
      </c>
      <c r="B883" s="1" t="n">
        <v>45775</v>
      </c>
      <c r="C883" s="1" t="n">
        <v>46049</v>
      </c>
      <c r="D883" t="inlineStr">
        <is>
          <t>VÄSTERNORRLANDS LÄN</t>
        </is>
      </c>
      <c r="E883" t="inlineStr">
        <is>
          <t>ÅNGE</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36457-2021</t>
        </is>
      </c>
      <c r="B884" s="1" t="n">
        <v>44390.93858796296</v>
      </c>
      <c r="C884" s="1" t="n">
        <v>46049</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53984-2025</t>
        </is>
      </c>
      <c r="B885" s="1" t="n">
        <v>45961.5734837963</v>
      </c>
      <c r="C885" s="1" t="n">
        <v>46049</v>
      </c>
      <c r="D885" t="inlineStr">
        <is>
          <t>VÄSTERNORRLANDS LÄN</t>
        </is>
      </c>
      <c r="E885" t="inlineStr">
        <is>
          <t>ÅNGE</t>
        </is>
      </c>
      <c r="F885" t="inlineStr">
        <is>
          <t>SCA</t>
        </is>
      </c>
      <c r="G885" t="n">
        <v>14.8</v>
      </c>
      <c r="H885" t="n">
        <v>0</v>
      </c>
      <c r="I885" t="n">
        <v>0</v>
      </c>
      <c r="J885" t="n">
        <v>0</v>
      </c>
      <c r="K885" t="n">
        <v>0</v>
      </c>
      <c r="L885" t="n">
        <v>0</v>
      </c>
      <c r="M885" t="n">
        <v>0</v>
      </c>
      <c r="N885" t="n">
        <v>0</v>
      </c>
      <c r="O885" t="n">
        <v>0</v>
      </c>
      <c r="P885" t="n">
        <v>0</v>
      </c>
      <c r="Q885" t="n">
        <v>0</v>
      </c>
      <c r="R885" s="2" t="inlineStr"/>
    </row>
    <row r="886" ht="15" customHeight="1">
      <c r="A886" t="inlineStr">
        <is>
          <t>A 56699-2023</t>
        </is>
      </c>
      <c r="B886" s="1" t="n">
        <v>45243</v>
      </c>
      <c r="C886" s="1" t="n">
        <v>46049</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53985-2025</t>
        </is>
      </c>
      <c r="B887" s="1" t="n">
        <v>45961.57366898148</v>
      </c>
      <c r="C887" s="1" t="n">
        <v>46049</v>
      </c>
      <c r="D887" t="inlineStr">
        <is>
          <t>VÄSTERNORRLANDS LÄN</t>
        </is>
      </c>
      <c r="E887" t="inlineStr">
        <is>
          <t>ÅNGE</t>
        </is>
      </c>
      <c r="F887" t="inlineStr">
        <is>
          <t>SCA</t>
        </is>
      </c>
      <c r="G887" t="n">
        <v>14.2</v>
      </c>
      <c r="H887" t="n">
        <v>0</v>
      </c>
      <c r="I887" t="n">
        <v>0</v>
      </c>
      <c r="J887" t="n">
        <v>0</v>
      </c>
      <c r="K887" t="n">
        <v>0</v>
      </c>
      <c r="L887" t="n">
        <v>0</v>
      </c>
      <c r="M887" t="n">
        <v>0</v>
      </c>
      <c r="N887" t="n">
        <v>0</v>
      </c>
      <c r="O887" t="n">
        <v>0</v>
      </c>
      <c r="P887" t="n">
        <v>0</v>
      </c>
      <c r="Q887" t="n">
        <v>0</v>
      </c>
      <c r="R887" s="2" t="inlineStr"/>
    </row>
    <row r="888" ht="15" customHeight="1">
      <c r="A888" t="inlineStr">
        <is>
          <t>A 53999-2025</t>
        </is>
      </c>
      <c r="B888" s="1" t="n">
        <v>45961</v>
      </c>
      <c r="C888" s="1" t="n">
        <v>46049</v>
      </c>
      <c r="D888" t="inlineStr">
        <is>
          <t>VÄSTERNORRLANDS LÄN</t>
        </is>
      </c>
      <c r="E888" t="inlineStr">
        <is>
          <t>ÅNGE</t>
        </is>
      </c>
      <c r="F888" t="inlineStr">
        <is>
          <t>SCA</t>
        </is>
      </c>
      <c r="G888" t="n">
        <v>6.7</v>
      </c>
      <c r="H888" t="n">
        <v>0</v>
      </c>
      <c r="I888" t="n">
        <v>0</v>
      </c>
      <c r="J888" t="n">
        <v>0</v>
      </c>
      <c r="K888" t="n">
        <v>0</v>
      </c>
      <c r="L888" t="n">
        <v>0</v>
      </c>
      <c r="M888" t="n">
        <v>0</v>
      </c>
      <c r="N888" t="n">
        <v>0</v>
      </c>
      <c r="O888" t="n">
        <v>0</v>
      </c>
      <c r="P888" t="n">
        <v>0</v>
      </c>
      <c r="Q888" t="n">
        <v>0</v>
      </c>
      <c r="R888" s="2" t="inlineStr"/>
    </row>
    <row r="889" ht="15" customHeight="1">
      <c r="A889" t="inlineStr">
        <is>
          <t>A 54197-2025</t>
        </is>
      </c>
      <c r="B889" s="1" t="n">
        <v>45964</v>
      </c>
      <c r="C889" s="1" t="n">
        <v>46049</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54702-2025</t>
        </is>
      </c>
      <c r="B890" s="1" t="n">
        <v>45966.4828587963</v>
      </c>
      <c r="C890" s="1" t="n">
        <v>46049</v>
      </c>
      <c r="D890" t="inlineStr">
        <is>
          <t>VÄSTERNORRLANDS LÄN</t>
        </is>
      </c>
      <c r="E890" t="inlineStr">
        <is>
          <t>ÅNGE</t>
        </is>
      </c>
      <c r="G890" t="n">
        <v>12.3</v>
      </c>
      <c r="H890" t="n">
        <v>0</v>
      </c>
      <c r="I890" t="n">
        <v>0</v>
      </c>
      <c r="J890" t="n">
        <v>0</v>
      </c>
      <c r="K890" t="n">
        <v>0</v>
      </c>
      <c r="L890" t="n">
        <v>0</v>
      </c>
      <c r="M890" t="n">
        <v>0</v>
      </c>
      <c r="N890" t="n">
        <v>0</v>
      </c>
      <c r="O890" t="n">
        <v>0</v>
      </c>
      <c r="P890" t="n">
        <v>0</v>
      </c>
      <c r="Q890" t="n">
        <v>0</v>
      </c>
      <c r="R890" s="2" t="inlineStr"/>
    </row>
    <row r="891" ht="15" customHeight="1">
      <c r="A891" t="inlineStr">
        <is>
          <t>A 61928-2021</t>
        </is>
      </c>
      <c r="B891" s="1" t="n">
        <v>44502.38475694445</v>
      </c>
      <c r="C891" s="1" t="n">
        <v>46049</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16303-2025</t>
        </is>
      </c>
      <c r="B892" s="1" t="n">
        <v>45751.3462037037</v>
      </c>
      <c r="C892" s="1" t="n">
        <v>46049</v>
      </c>
      <c r="D892" t="inlineStr">
        <is>
          <t>VÄSTERNORRLANDS LÄN</t>
        </is>
      </c>
      <c r="E892" t="inlineStr">
        <is>
          <t>ÅNGE</t>
        </is>
      </c>
      <c r="F892" t="inlineStr">
        <is>
          <t>SCA</t>
        </is>
      </c>
      <c r="G892" t="n">
        <v>0.3</v>
      </c>
      <c r="H892" t="n">
        <v>0</v>
      </c>
      <c r="I892" t="n">
        <v>0</v>
      </c>
      <c r="J892" t="n">
        <v>0</v>
      </c>
      <c r="K892" t="n">
        <v>0</v>
      </c>
      <c r="L892" t="n">
        <v>0</v>
      </c>
      <c r="M892" t="n">
        <v>0</v>
      </c>
      <c r="N892" t="n">
        <v>0</v>
      </c>
      <c r="O892" t="n">
        <v>0</v>
      </c>
      <c r="P892" t="n">
        <v>0</v>
      </c>
      <c r="Q892" t="n">
        <v>0</v>
      </c>
      <c r="R892" s="2" t="inlineStr"/>
    </row>
    <row r="893" ht="15" customHeight="1">
      <c r="A893" t="inlineStr">
        <is>
          <t>A 37051-2021</t>
        </is>
      </c>
      <c r="B893" s="1" t="n">
        <v>44393</v>
      </c>
      <c r="C893" s="1" t="n">
        <v>46049</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54357-2025</t>
        </is>
      </c>
      <c r="B894" s="1" t="n">
        <v>45965.3858912037</v>
      </c>
      <c r="C894" s="1" t="n">
        <v>46049</v>
      </c>
      <c r="D894" t="inlineStr">
        <is>
          <t>VÄSTERNORRLANDS LÄN</t>
        </is>
      </c>
      <c r="E894" t="inlineStr">
        <is>
          <t>ÅNGE</t>
        </is>
      </c>
      <c r="F894" t="inlineStr">
        <is>
          <t>SCA</t>
        </is>
      </c>
      <c r="G894" t="n">
        <v>5</v>
      </c>
      <c r="H894" t="n">
        <v>0</v>
      </c>
      <c r="I894" t="n">
        <v>0</v>
      </c>
      <c r="J894" t="n">
        <v>0</v>
      </c>
      <c r="K894" t="n">
        <v>0</v>
      </c>
      <c r="L894" t="n">
        <v>0</v>
      </c>
      <c r="M894" t="n">
        <v>0</v>
      </c>
      <c r="N894" t="n">
        <v>0</v>
      </c>
      <c r="O894" t="n">
        <v>0</v>
      </c>
      <c r="P894" t="n">
        <v>0</v>
      </c>
      <c r="Q894" t="n">
        <v>0</v>
      </c>
      <c r="R894" s="2" t="inlineStr"/>
    </row>
    <row r="895" ht="15" customHeight="1">
      <c r="A895" t="inlineStr">
        <is>
          <t>A 56908-2021</t>
        </is>
      </c>
      <c r="B895" s="1" t="n">
        <v>44481.93844907408</v>
      </c>
      <c r="C895" s="1" t="n">
        <v>46049</v>
      </c>
      <c r="D895" t="inlineStr">
        <is>
          <t>VÄSTERNORRLANDS LÄN</t>
        </is>
      </c>
      <c r="E895" t="inlineStr">
        <is>
          <t>ÅNGE</t>
        </is>
      </c>
      <c r="G895" t="n">
        <v>12</v>
      </c>
      <c r="H895" t="n">
        <v>0</v>
      </c>
      <c r="I895" t="n">
        <v>0</v>
      </c>
      <c r="J895" t="n">
        <v>0</v>
      </c>
      <c r="K895" t="n">
        <v>0</v>
      </c>
      <c r="L895" t="n">
        <v>0</v>
      </c>
      <c r="M895" t="n">
        <v>0</v>
      </c>
      <c r="N895" t="n">
        <v>0</v>
      </c>
      <c r="O895" t="n">
        <v>0</v>
      </c>
      <c r="P895" t="n">
        <v>0</v>
      </c>
      <c r="Q895" t="n">
        <v>0</v>
      </c>
      <c r="R895" s="2" t="inlineStr"/>
    </row>
    <row r="896" ht="15" customHeight="1">
      <c r="A896" t="inlineStr">
        <is>
          <t>A 732-2023</t>
        </is>
      </c>
      <c r="B896" s="1" t="n">
        <v>44931.29981481482</v>
      </c>
      <c r="C896" s="1" t="n">
        <v>46049</v>
      </c>
      <c r="D896" t="inlineStr">
        <is>
          <t>VÄSTERNORRLANDS LÄN</t>
        </is>
      </c>
      <c r="E896" t="inlineStr">
        <is>
          <t>ÅNGE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5520-2022</t>
        </is>
      </c>
      <c r="B897" s="1" t="n">
        <v>44595</v>
      </c>
      <c r="C897" s="1" t="n">
        <v>46049</v>
      </c>
      <c r="D897" t="inlineStr">
        <is>
          <t>VÄSTERNORRLANDS LÄN</t>
        </is>
      </c>
      <c r="E897" t="inlineStr">
        <is>
          <t>ÅNGE</t>
        </is>
      </c>
      <c r="G897" t="n">
        <v>4.9</v>
      </c>
      <c r="H897" t="n">
        <v>0</v>
      </c>
      <c r="I897" t="n">
        <v>0</v>
      </c>
      <c r="J897" t="n">
        <v>0</v>
      </c>
      <c r="K897" t="n">
        <v>0</v>
      </c>
      <c r="L897" t="n">
        <v>0</v>
      </c>
      <c r="M897" t="n">
        <v>0</v>
      </c>
      <c r="N897" t="n">
        <v>0</v>
      </c>
      <c r="O897" t="n">
        <v>0</v>
      </c>
      <c r="P897" t="n">
        <v>0</v>
      </c>
      <c r="Q897" t="n">
        <v>0</v>
      </c>
      <c r="R897" s="2" t="inlineStr"/>
    </row>
    <row r="898" ht="15" customHeight="1">
      <c r="A898" t="inlineStr">
        <is>
          <t>A 62763-2025</t>
        </is>
      </c>
      <c r="B898" s="1" t="n">
        <v>46008.59434027778</v>
      </c>
      <c r="C898" s="1" t="n">
        <v>46049</v>
      </c>
      <c r="D898" t="inlineStr">
        <is>
          <t>VÄSTERNORRLANDS LÄN</t>
        </is>
      </c>
      <c r="E898" t="inlineStr">
        <is>
          <t>ÅNGE</t>
        </is>
      </c>
      <c r="F898" t="inlineStr">
        <is>
          <t>SCA</t>
        </is>
      </c>
      <c r="G898" t="n">
        <v>7.6</v>
      </c>
      <c r="H898" t="n">
        <v>0</v>
      </c>
      <c r="I898" t="n">
        <v>0</v>
      </c>
      <c r="J898" t="n">
        <v>0</v>
      </c>
      <c r="K898" t="n">
        <v>0</v>
      </c>
      <c r="L898" t="n">
        <v>0</v>
      </c>
      <c r="M898" t="n">
        <v>0</v>
      </c>
      <c r="N898" t="n">
        <v>0</v>
      </c>
      <c r="O898" t="n">
        <v>0</v>
      </c>
      <c r="P898" t="n">
        <v>0</v>
      </c>
      <c r="Q898" t="n">
        <v>0</v>
      </c>
      <c r="R898" s="2" t="inlineStr"/>
    </row>
    <row r="899" ht="15" customHeight="1">
      <c r="A899" t="inlineStr">
        <is>
          <t>A 36786-2024</t>
        </is>
      </c>
      <c r="B899" s="1" t="n">
        <v>45538</v>
      </c>
      <c r="C899" s="1" t="n">
        <v>46049</v>
      </c>
      <c r="D899" t="inlineStr">
        <is>
          <t>VÄSTERNORRLANDS LÄN</t>
        </is>
      </c>
      <c r="E899" t="inlineStr">
        <is>
          <t>ÅNGE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53663-2022</t>
        </is>
      </c>
      <c r="B900" s="1" t="n">
        <v>44879</v>
      </c>
      <c r="C900" s="1" t="n">
        <v>46049</v>
      </c>
      <c r="D900" t="inlineStr">
        <is>
          <t>VÄSTERNORRLANDS LÄN</t>
        </is>
      </c>
      <c r="E900" t="inlineStr">
        <is>
          <t>ÅNGE</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54713-2025</t>
        </is>
      </c>
      <c r="B901" s="1" t="n">
        <v>45966.50446759259</v>
      </c>
      <c r="C901" s="1" t="n">
        <v>46049</v>
      </c>
      <c r="D901" t="inlineStr">
        <is>
          <t>VÄSTERNORRLANDS LÄN</t>
        </is>
      </c>
      <c r="E901" t="inlineStr">
        <is>
          <t>ÅNGE</t>
        </is>
      </c>
      <c r="G901" t="n">
        <v>1.9</v>
      </c>
      <c r="H901" t="n">
        <v>0</v>
      </c>
      <c r="I901" t="n">
        <v>0</v>
      </c>
      <c r="J901" t="n">
        <v>0</v>
      </c>
      <c r="K901" t="n">
        <v>0</v>
      </c>
      <c r="L901" t="n">
        <v>0</v>
      </c>
      <c r="M901" t="n">
        <v>0</v>
      </c>
      <c r="N901" t="n">
        <v>0</v>
      </c>
      <c r="O901" t="n">
        <v>0</v>
      </c>
      <c r="P901" t="n">
        <v>0</v>
      </c>
      <c r="Q901" t="n">
        <v>0</v>
      </c>
      <c r="R901" s="2" t="inlineStr"/>
    </row>
    <row r="902" ht="15" customHeight="1">
      <c r="A902" t="inlineStr">
        <is>
          <t>A 54680-2025</t>
        </is>
      </c>
      <c r="B902" s="1" t="n">
        <v>45966.42751157407</v>
      </c>
      <c r="C902" s="1" t="n">
        <v>46049</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49711-2024</t>
        </is>
      </c>
      <c r="B903" s="1" t="n">
        <v>45596.69891203703</v>
      </c>
      <c r="C903" s="1" t="n">
        <v>46049</v>
      </c>
      <c r="D903" t="inlineStr">
        <is>
          <t>VÄSTERNORRLANDS LÄN</t>
        </is>
      </c>
      <c r="E903" t="inlineStr">
        <is>
          <t>ÅNGE</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54705-2025</t>
        </is>
      </c>
      <c r="B904" s="1" t="n">
        <v>45966.4853125</v>
      </c>
      <c r="C904" s="1" t="n">
        <v>46049</v>
      </c>
      <c r="D904" t="inlineStr">
        <is>
          <t>VÄSTERNORRLANDS LÄN</t>
        </is>
      </c>
      <c r="E904" t="inlineStr">
        <is>
          <t>ÅNGE</t>
        </is>
      </c>
      <c r="G904" t="n">
        <v>4.5</v>
      </c>
      <c r="H904" t="n">
        <v>0</v>
      </c>
      <c r="I904" t="n">
        <v>0</v>
      </c>
      <c r="J904" t="n">
        <v>0</v>
      </c>
      <c r="K904" t="n">
        <v>0</v>
      </c>
      <c r="L904" t="n">
        <v>0</v>
      </c>
      <c r="M904" t="n">
        <v>0</v>
      </c>
      <c r="N904" t="n">
        <v>0</v>
      </c>
      <c r="O904" t="n">
        <v>0</v>
      </c>
      <c r="P904" t="n">
        <v>0</v>
      </c>
      <c r="Q904" t="n">
        <v>0</v>
      </c>
      <c r="R904" s="2" t="inlineStr"/>
    </row>
    <row r="905" ht="15" customHeight="1">
      <c r="A905" t="inlineStr">
        <is>
          <t>A 54707-2025</t>
        </is>
      </c>
      <c r="B905" s="1" t="n">
        <v>45966</v>
      </c>
      <c r="C905" s="1" t="n">
        <v>46049</v>
      </c>
      <c r="D905" t="inlineStr">
        <is>
          <t>VÄSTERNORRLANDS LÄN</t>
        </is>
      </c>
      <c r="E905" t="inlineStr">
        <is>
          <t>ÅNGE</t>
        </is>
      </c>
      <c r="G905" t="n">
        <v>3.2</v>
      </c>
      <c r="H905" t="n">
        <v>0</v>
      </c>
      <c r="I905" t="n">
        <v>0</v>
      </c>
      <c r="J905" t="n">
        <v>0</v>
      </c>
      <c r="K905" t="n">
        <v>0</v>
      </c>
      <c r="L905" t="n">
        <v>0</v>
      </c>
      <c r="M905" t="n">
        <v>0</v>
      </c>
      <c r="N905" t="n">
        <v>0</v>
      </c>
      <c r="O905" t="n">
        <v>0</v>
      </c>
      <c r="P905" t="n">
        <v>0</v>
      </c>
      <c r="Q905" t="n">
        <v>0</v>
      </c>
      <c r="R905" s="2" t="inlineStr"/>
    </row>
    <row r="906" ht="15" customHeight="1">
      <c r="A906" t="inlineStr">
        <is>
          <t>A 54710-2025</t>
        </is>
      </c>
      <c r="B906" s="1" t="n">
        <v>45966.49515046296</v>
      </c>
      <c r="C906" s="1" t="n">
        <v>46049</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24293-2023</t>
        </is>
      </c>
      <c r="B907" s="1" t="n">
        <v>45079.92756944444</v>
      </c>
      <c r="C907" s="1" t="n">
        <v>46049</v>
      </c>
      <c r="D907" t="inlineStr">
        <is>
          <t>VÄSTERNORRLANDS LÄN</t>
        </is>
      </c>
      <c r="E907" t="inlineStr">
        <is>
          <t>ÅNGE</t>
        </is>
      </c>
      <c r="G907" t="n">
        <v>0.8</v>
      </c>
      <c r="H907" t="n">
        <v>0</v>
      </c>
      <c r="I907" t="n">
        <v>0</v>
      </c>
      <c r="J907" t="n">
        <v>0</v>
      </c>
      <c r="K907" t="n">
        <v>0</v>
      </c>
      <c r="L907" t="n">
        <v>0</v>
      </c>
      <c r="M907" t="n">
        <v>0</v>
      </c>
      <c r="N907" t="n">
        <v>0</v>
      </c>
      <c r="O907" t="n">
        <v>0</v>
      </c>
      <c r="P907" t="n">
        <v>0</v>
      </c>
      <c r="Q907" t="n">
        <v>0</v>
      </c>
      <c r="R907" s="2" t="inlineStr"/>
    </row>
    <row r="908" ht="15" customHeight="1">
      <c r="A908" t="inlineStr">
        <is>
          <t>A 54819-2025</t>
        </is>
      </c>
      <c r="B908" s="1" t="n">
        <v>45966.65709490741</v>
      </c>
      <c r="C908" s="1" t="n">
        <v>46049</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25779-2023</t>
        </is>
      </c>
      <c r="B909" s="1" t="n">
        <v>45090.47439814815</v>
      </c>
      <c r="C909" s="1" t="n">
        <v>46049</v>
      </c>
      <c r="D909" t="inlineStr">
        <is>
          <t>VÄSTERNORRLANDS LÄN</t>
        </is>
      </c>
      <c r="E909" t="inlineStr">
        <is>
          <t>ÅNGE</t>
        </is>
      </c>
      <c r="G909" t="n">
        <v>2.4</v>
      </c>
      <c r="H909" t="n">
        <v>0</v>
      </c>
      <c r="I909" t="n">
        <v>0</v>
      </c>
      <c r="J909" t="n">
        <v>0</v>
      </c>
      <c r="K909" t="n">
        <v>0</v>
      </c>
      <c r="L909" t="n">
        <v>0</v>
      </c>
      <c r="M909" t="n">
        <v>0</v>
      </c>
      <c r="N909" t="n">
        <v>0</v>
      </c>
      <c r="O909" t="n">
        <v>0</v>
      </c>
      <c r="P909" t="n">
        <v>0</v>
      </c>
      <c r="Q909" t="n">
        <v>0</v>
      </c>
      <c r="R909" s="2" t="inlineStr"/>
    </row>
    <row r="910" ht="15" customHeight="1">
      <c r="A910" t="inlineStr">
        <is>
          <t>A 9211-2023</t>
        </is>
      </c>
      <c r="B910" s="1" t="n">
        <v>44980</v>
      </c>
      <c r="C910" s="1" t="n">
        <v>46049</v>
      </c>
      <c r="D910" t="inlineStr">
        <is>
          <t>VÄSTERNORRLANDS LÄN</t>
        </is>
      </c>
      <c r="E910" t="inlineStr">
        <is>
          <t>ÅNGE</t>
        </is>
      </c>
      <c r="G910" t="n">
        <v>2.3</v>
      </c>
      <c r="H910" t="n">
        <v>0</v>
      </c>
      <c r="I910" t="n">
        <v>0</v>
      </c>
      <c r="J910" t="n">
        <v>0</v>
      </c>
      <c r="K910" t="n">
        <v>0</v>
      </c>
      <c r="L910" t="n">
        <v>0</v>
      </c>
      <c r="M910" t="n">
        <v>0</v>
      </c>
      <c r="N910" t="n">
        <v>0</v>
      </c>
      <c r="O910" t="n">
        <v>0</v>
      </c>
      <c r="P910" t="n">
        <v>0</v>
      </c>
      <c r="Q910" t="n">
        <v>0</v>
      </c>
      <c r="R910" s="2" t="inlineStr"/>
    </row>
    <row r="911" ht="15" customHeight="1">
      <c r="A911" t="inlineStr">
        <is>
          <t>A 8627-2023</t>
        </is>
      </c>
      <c r="B911" s="1" t="n">
        <v>44977</v>
      </c>
      <c r="C911" s="1" t="n">
        <v>46049</v>
      </c>
      <c r="D911" t="inlineStr">
        <is>
          <t>VÄSTERNORRLANDS LÄN</t>
        </is>
      </c>
      <c r="E911" t="inlineStr">
        <is>
          <t>ÅNGE</t>
        </is>
      </c>
      <c r="G911" t="n">
        <v>3</v>
      </c>
      <c r="H911" t="n">
        <v>0</v>
      </c>
      <c r="I911" t="n">
        <v>0</v>
      </c>
      <c r="J911" t="n">
        <v>0</v>
      </c>
      <c r="K911" t="n">
        <v>0</v>
      </c>
      <c r="L911" t="n">
        <v>0</v>
      </c>
      <c r="M911" t="n">
        <v>0</v>
      </c>
      <c r="N911" t="n">
        <v>0</v>
      </c>
      <c r="O911" t="n">
        <v>0</v>
      </c>
      <c r="P911" t="n">
        <v>0</v>
      </c>
      <c r="Q911" t="n">
        <v>0</v>
      </c>
      <c r="R911" s="2" t="inlineStr"/>
    </row>
    <row r="912" ht="15" customHeight="1">
      <c r="A912" t="inlineStr">
        <is>
          <t>A 27260-2023</t>
        </is>
      </c>
      <c r="B912" s="1" t="n">
        <v>45092</v>
      </c>
      <c r="C912" s="1" t="n">
        <v>46049</v>
      </c>
      <c r="D912" t="inlineStr">
        <is>
          <t>VÄSTERNORRLANDS LÄN</t>
        </is>
      </c>
      <c r="E912" t="inlineStr">
        <is>
          <t>ÅNGE</t>
        </is>
      </c>
      <c r="G912" t="n">
        <v>2.7</v>
      </c>
      <c r="H912" t="n">
        <v>0</v>
      </c>
      <c r="I912" t="n">
        <v>0</v>
      </c>
      <c r="J912" t="n">
        <v>0</v>
      </c>
      <c r="K912" t="n">
        <v>0</v>
      </c>
      <c r="L912" t="n">
        <v>0</v>
      </c>
      <c r="M912" t="n">
        <v>0</v>
      </c>
      <c r="N912" t="n">
        <v>0</v>
      </c>
      <c r="O912" t="n">
        <v>0</v>
      </c>
      <c r="P912" t="n">
        <v>0</v>
      </c>
      <c r="Q912" t="n">
        <v>0</v>
      </c>
      <c r="R912" s="2" t="inlineStr"/>
    </row>
    <row r="913" ht="15" customHeight="1">
      <c r="A913" t="inlineStr">
        <is>
          <t>A 54715-2025</t>
        </is>
      </c>
      <c r="B913" s="1" t="n">
        <v>45966.50961805556</v>
      </c>
      <c r="C913" s="1" t="n">
        <v>46049</v>
      </c>
      <c r="D913" t="inlineStr">
        <is>
          <t>VÄSTERNORRLANDS LÄN</t>
        </is>
      </c>
      <c r="E913" t="inlineStr">
        <is>
          <t>ÅNGE</t>
        </is>
      </c>
      <c r="G913" t="n">
        <v>0.6</v>
      </c>
      <c r="H913" t="n">
        <v>0</v>
      </c>
      <c r="I913" t="n">
        <v>0</v>
      </c>
      <c r="J913" t="n">
        <v>0</v>
      </c>
      <c r="K913" t="n">
        <v>0</v>
      </c>
      <c r="L913" t="n">
        <v>0</v>
      </c>
      <c r="M913" t="n">
        <v>0</v>
      </c>
      <c r="N913" t="n">
        <v>0</v>
      </c>
      <c r="O913" t="n">
        <v>0</v>
      </c>
      <c r="P913" t="n">
        <v>0</v>
      </c>
      <c r="Q913" t="n">
        <v>0</v>
      </c>
      <c r="R913" s="2" t="inlineStr"/>
    </row>
    <row r="914" ht="15" customHeight="1">
      <c r="A914" t="inlineStr">
        <is>
          <t>A 16934-2025</t>
        </is>
      </c>
      <c r="B914" s="1" t="n">
        <v>45755.40671296296</v>
      </c>
      <c r="C914" s="1" t="n">
        <v>46049</v>
      </c>
      <c r="D914" t="inlineStr">
        <is>
          <t>VÄSTERNORRLANDS LÄN</t>
        </is>
      </c>
      <c r="E914" t="inlineStr">
        <is>
          <t>ÅNGE</t>
        </is>
      </c>
      <c r="G914" t="n">
        <v>3.9</v>
      </c>
      <c r="H914" t="n">
        <v>0</v>
      </c>
      <c r="I914" t="n">
        <v>0</v>
      </c>
      <c r="J914" t="n">
        <v>0</v>
      </c>
      <c r="K914" t="n">
        <v>0</v>
      </c>
      <c r="L914" t="n">
        <v>0</v>
      </c>
      <c r="M914" t="n">
        <v>0</v>
      </c>
      <c r="N914" t="n">
        <v>0</v>
      </c>
      <c r="O914" t="n">
        <v>0</v>
      </c>
      <c r="P914" t="n">
        <v>0</v>
      </c>
      <c r="Q914" t="n">
        <v>0</v>
      </c>
      <c r="R914" s="2" t="inlineStr"/>
    </row>
    <row r="915" ht="15" customHeight="1">
      <c r="A915" t="inlineStr">
        <is>
          <t>A 56434-2021</t>
        </is>
      </c>
      <c r="B915" s="1" t="n">
        <v>44477</v>
      </c>
      <c r="C915" s="1" t="n">
        <v>46049</v>
      </c>
      <c r="D915" t="inlineStr">
        <is>
          <t>VÄSTERNORRLANDS LÄN</t>
        </is>
      </c>
      <c r="E915" t="inlineStr">
        <is>
          <t>ÅNGE</t>
        </is>
      </c>
      <c r="G915" t="n">
        <v>2.7</v>
      </c>
      <c r="H915" t="n">
        <v>0</v>
      </c>
      <c r="I915" t="n">
        <v>0</v>
      </c>
      <c r="J915" t="n">
        <v>0</v>
      </c>
      <c r="K915" t="n">
        <v>0</v>
      </c>
      <c r="L915" t="n">
        <v>0</v>
      </c>
      <c r="M915" t="n">
        <v>0</v>
      </c>
      <c r="N915" t="n">
        <v>0</v>
      </c>
      <c r="O915" t="n">
        <v>0</v>
      </c>
      <c r="P915" t="n">
        <v>0</v>
      </c>
      <c r="Q915" t="n">
        <v>0</v>
      </c>
      <c r="R915" s="2" t="inlineStr"/>
    </row>
    <row r="916" ht="15" customHeight="1">
      <c r="A916" t="inlineStr">
        <is>
          <t>A 54946-2021</t>
        </is>
      </c>
      <c r="B916" s="1" t="n">
        <v>44474.46466435185</v>
      </c>
      <c r="C916" s="1" t="n">
        <v>46049</v>
      </c>
      <c r="D916" t="inlineStr">
        <is>
          <t>VÄSTERNORRLANDS LÄN</t>
        </is>
      </c>
      <c r="E916" t="inlineStr">
        <is>
          <t>ÅNGE</t>
        </is>
      </c>
      <c r="G916" t="n">
        <v>5.4</v>
      </c>
      <c r="H916" t="n">
        <v>0</v>
      </c>
      <c r="I916" t="n">
        <v>0</v>
      </c>
      <c r="J916" t="n">
        <v>0</v>
      </c>
      <c r="K916" t="n">
        <v>0</v>
      </c>
      <c r="L916" t="n">
        <v>0</v>
      </c>
      <c r="M916" t="n">
        <v>0</v>
      </c>
      <c r="N916" t="n">
        <v>0</v>
      </c>
      <c r="O916" t="n">
        <v>0</v>
      </c>
      <c r="P916" t="n">
        <v>0</v>
      </c>
      <c r="Q916" t="n">
        <v>0</v>
      </c>
      <c r="R916" s="2" t="inlineStr"/>
    </row>
    <row r="917" ht="15" customHeight="1">
      <c r="A917" t="inlineStr">
        <is>
          <t>A 57109-2023</t>
        </is>
      </c>
      <c r="B917" s="1" t="n">
        <v>45239</v>
      </c>
      <c r="C917" s="1" t="n">
        <v>46049</v>
      </c>
      <c r="D917" t="inlineStr">
        <is>
          <t>VÄSTERNORRLANDS LÄN</t>
        </is>
      </c>
      <c r="E917" t="inlineStr">
        <is>
          <t>ÅNGE</t>
        </is>
      </c>
      <c r="G917" t="n">
        <v>7</v>
      </c>
      <c r="H917" t="n">
        <v>0</v>
      </c>
      <c r="I917" t="n">
        <v>0</v>
      </c>
      <c r="J917" t="n">
        <v>0</v>
      </c>
      <c r="K917" t="n">
        <v>0</v>
      </c>
      <c r="L917" t="n">
        <v>0</v>
      </c>
      <c r="M917" t="n">
        <v>0</v>
      </c>
      <c r="N917" t="n">
        <v>0</v>
      </c>
      <c r="O917" t="n">
        <v>0</v>
      </c>
      <c r="P917" t="n">
        <v>0</v>
      </c>
      <c r="Q917" t="n">
        <v>0</v>
      </c>
      <c r="R917" s="2" t="inlineStr"/>
    </row>
    <row r="918" ht="15" customHeight="1">
      <c r="A918" t="inlineStr">
        <is>
          <t>A 62793-2025</t>
        </is>
      </c>
      <c r="B918" s="1" t="n">
        <v>46008.63625</v>
      </c>
      <c r="C918" s="1" t="n">
        <v>46049</v>
      </c>
      <c r="D918" t="inlineStr">
        <is>
          <t>VÄSTERNORRLANDS LÄN</t>
        </is>
      </c>
      <c r="E918" t="inlineStr">
        <is>
          <t>ÅNGE</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54346-2025</t>
        </is>
      </c>
      <c r="B919" s="1" t="n">
        <v>45965.36525462963</v>
      </c>
      <c r="C919" s="1" t="n">
        <v>46049</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42346-2023</t>
        </is>
      </c>
      <c r="B920" s="1" t="n">
        <v>45180</v>
      </c>
      <c r="C920" s="1" t="n">
        <v>46049</v>
      </c>
      <c r="D920" t="inlineStr">
        <is>
          <t>VÄSTERNORRLANDS LÄN</t>
        </is>
      </c>
      <c r="E920" t="inlineStr">
        <is>
          <t>ÅNGE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16563-2025</t>
        </is>
      </c>
      <c r="B921" s="1" t="n">
        <v>45752.34430555555</v>
      </c>
      <c r="C921" s="1" t="n">
        <v>46049</v>
      </c>
      <c r="D921" t="inlineStr">
        <is>
          <t>VÄSTERNORRLANDS LÄN</t>
        </is>
      </c>
      <c r="E921" t="inlineStr">
        <is>
          <t>ÅNGE</t>
        </is>
      </c>
      <c r="F921" t="inlineStr">
        <is>
          <t>SCA</t>
        </is>
      </c>
      <c r="G921" t="n">
        <v>24.7</v>
      </c>
      <c r="H921" t="n">
        <v>0</v>
      </c>
      <c r="I921" t="n">
        <v>0</v>
      </c>
      <c r="J921" t="n">
        <v>0</v>
      </c>
      <c r="K921" t="n">
        <v>0</v>
      </c>
      <c r="L921" t="n">
        <v>0</v>
      </c>
      <c r="M921" t="n">
        <v>0</v>
      </c>
      <c r="N921" t="n">
        <v>0</v>
      </c>
      <c r="O921" t="n">
        <v>0</v>
      </c>
      <c r="P921" t="n">
        <v>0</v>
      </c>
      <c r="Q921" t="n">
        <v>0</v>
      </c>
      <c r="R921" s="2" t="inlineStr"/>
    </row>
    <row r="922" ht="15" customHeight="1">
      <c r="A922" t="inlineStr">
        <is>
          <t>A 62661-2025</t>
        </is>
      </c>
      <c r="B922" s="1" t="n">
        <v>46008.42761574074</v>
      </c>
      <c r="C922" s="1" t="n">
        <v>46049</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15368-2024</t>
        </is>
      </c>
      <c r="B923" s="1" t="n">
        <v>45400.92284722222</v>
      </c>
      <c r="C923" s="1" t="n">
        <v>46049</v>
      </c>
      <c r="D923" t="inlineStr">
        <is>
          <t>VÄSTERNORRLANDS LÄN</t>
        </is>
      </c>
      <c r="E923" t="inlineStr">
        <is>
          <t>ÅNGE</t>
        </is>
      </c>
      <c r="G923" t="n">
        <v>0.4</v>
      </c>
      <c r="H923" t="n">
        <v>0</v>
      </c>
      <c r="I923" t="n">
        <v>0</v>
      </c>
      <c r="J923" t="n">
        <v>0</v>
      </c>
      <c r="K923" t="n">
        <v>0</v>
      </c>
      <c r="L923" t="n">
        <v>0</v>
      </c>
      <c r="M923" t="n">
        <v>0</v>
      </c>
      <c r="N923" t="n">
        <v>0</v>
      </c>
      <c r="O923" t="n">
        <v>0</v>
      </c>
      <c r="P923" t="n">
        <v>0</v>
      </c>
      <c r="Q923" t="n">
        <v>0</v>
      </c>
      <c r="R923" s="2" t="inlineStr"/>
    </row>
    <row r="924" ht="15" customHeight="1">
      <c r="A924" t="inlineStr">
        <is>
          <t>A 63092-2025</t>
        </is>
      </c>
      <c r="B924" s="1" t="n">
        <v>46009.67795138889</v>
      </c>
      <c r="C924" s="1" t="n">
        <v>46049</v>
      </c>
      <c r="D924" t="inlineStr">
        <is>
          <t>VÄSTERNORRLANDS LÄN</t>
        </is>
      </c>
      <c r="E924" t="inlineStr">
        <is>
          <t>ÅNGE</t>
        </is>
      </c>
      <c r="G924" t="n">
        <v>2.6</v>
      </c>
      <c r="H924" t="n">
        <v>0</v>
      </c>
      <c r="I924" t="n">
        <v>0</v>
      </c>
      <c r="J924" t="n">
        <v>0</v>
      </c>
      <c r="K924" t="n">
        <v>0</v>
      </c>
      <c r="L924" t="n">
        <v>0</v>
      </c>
      <c r="M924" t="n">
        <v>0</v>
      </c>
      <c r="N924" t="n">
        <v>0</v>
      </c>
      <c r="O924" t="n">
        <v>0</v>
      </c>
      <c r="P924" t="n">
        <v>0</v>
      </c>
      <c r="Q924" t="n">
        <v>0</v>
      </c>
      <c r="R924" s="2" t="inlineStr"/>
    </row>
    <row r="925" ht="15" customHeight="1">
      <c r="A925" t="inlineStr">
        <is>
          <t>A 55160-2025</t>
        </is>
      </c>
      <c r="B925" s="1" t="n">
        <v>45968.46930555555</v>
      </c>
      <c r="C925" s="1" t="n">
        <v>46049</v>
      </c>
      <c r="D925" t="inlineStr">
        <is>
          <t>VÄSTERNORRLANDS LÄN</t>
        </is>
      </c>
      <c r="E925" t="inlineStr">
        <is>
          <t>ÅNGE</t>
        </is>
      </c>
      <c r="G925" t="n">
        <v>6.8</v>
      </c>
      <c r="H925" t="n">
        <v>0</v>
      </c>
      <c r="I925" t="n">
        <v>0</v>
      </c>
      <c r="J925" t="n">
        <v>0</v>
      </c>
      <c r="K925" t="n">
        <v>0</v>
      </c>
      <c r="L925" t="n">
        <v>0</v>
      </c>
      <c r="M925" t="n">
        <v>0</v>
      </c>
      <c r="N925" t="n">
        <v>0</v>
      </c>
      <c r="O925" t="n">
        <v>0</v>
      </c>
      <c r="P925" t="n">
        <v>0</v>
      </c>
      <c r="Q925" t="n">
        <v>0</v>
      </c>
      <c r="R925" s="2" t="inlineStr"/>
    </row>
    <row r="926" ht="15" customHeight="1">
      <c r="A926" t="inlineStr">
        <is>
          <t>A 57636-2022</t>
        </is>
      </c>
      <c r="B926" s="1" t="n">
        <v>44897</v>
      </c>
      <c r="C926" s="1" t="n">
        <v>46049</v>
      </c>
      <c r="D926" t="inlineStr">
        <is>
          <t>VÄSTERNORRLANDS LÄN</t>
        </is>
      </c>
      <c r="E926" t="inlineStr">
        <is>
          <t>ÅNGE</t>
        </is>
      </c>
      <c r="G926" t="n">
        <v>0.8</v>
      </c>
      <c r="H926" t="n">
        <v>0</v>
      </c>
      <c r="I926" t="n">
        <v>0</v>
      </c>
      <c r="J926" t="n">
        <v>0</v>
      </c>
      <c r="K926" t="n">
        <v>0</v>
      </c>
      <c r="L926" t="n">
        <v>0</v>
      </c>
      <c r="M926" t="n">
        <v>0</v>
      </c>
      <c r="N926" t="n">
        <v>0</v>
      </c>
      <c r="O926" t="n">
        <v>0</v>
      </c>
      <c r="P926" t="n">
        <v>0</v>
      </c>
      <c r="Q926" t="n">
        <v>0</v>
      </c>
      <c r="R926" s="2" t="inlineStr"/>
    </row>
    <row r="927" ht="15" customHeight="1">
      <c r="A927" t="inlineStr">
        <is>
          <t>A 54925-2025</t>
        </is>
      </c>
      <c r="B927" s="1" t="n">
        <v>45967.40699074074</v>
      </c>
      <c r="C927" s="1" t="n">
        <v>46049</v>
      </c>
      <c r="D927" t="inlineStr">
        <is>
          <t>VÄSTERNORRLANDS LÄN</t>
        </is>
      </c>
      <c r="E927" t="inlineStr">
        <is>
          <t>ÅNGE</t>
        </is>
      </c>
      <c r="G927" t="n">
        <v>2.6</v>
      </c>
      <c r="H927" t="n">
        <v>0</v>
      </c>
      <c r="I927" t="n">
        <v>0</v>
      </c>
      <c r="J927" t="n">
        <v>0</v>
      </c>
      <c r="K927" t="n">
        <v>0</v>
      </c>
      <c r="L927" t="n">
        <v>0</v>
      </c>
      <c r="M927" t="n">
        <v>0</v>
      </c>
      <c r="N927" t="n">
        <v>0</v>
      </c>
      <c r="O927" t="n">
        <v>0</v>
      </c>
      <c r="P927" t="n">
        <v>0</v>
      </c>
      <c r="Q927" t="n">
        <v>0</v>
      </c>
      <c r="R927" s="2" t="inlineStr"/>
    </row>
    <row r="928" ht="15" customHeight="1">
      <c r="A928" t="inlineStr">
        <is>
          <t>A 52685-2024</t>
        </is>
      </c>
      <c r="B928" s="1" t="n">
        <v>45610</v>
      </c>
      <c r="C928" s="1" t="n">
        <v>46049</v>
      </c>
      <c r="D928" t="inlineStr">
        <is>
          <t>VÄSTERNORRLANDS LÄN</t>
        </is>
      </c>
      <c r="E928" t="inlineStr">
        <is>
          <t>ÅNGE</t>
        </is>
      </c>
      <c r="G928" t="n">
        <v>2.3</v>
      </c>
      <c r="H928" t="n">
        <v>0</v>
      </c>
      <c r="I928" t="n">
        <v>0</v>
      </c>
      <c r="J928" t="n">
        <v>0</v>
      </c>
      <c r="K928" t="n">
        <v>0</v>
      </c>
      <c r="L928" t="n">
        <v>0</v>
      </c>
      <c r="M928" t="n">
        <v>0</v>
      </c>
      <c r="N928" t="n">
        <v>0</v>
      </c>
      <c r="O928" t="n">
        <v>0</v>
      </c>
      <c r="P928" t="n">
        <v>0</v>
      </c>
      <c r="Q928" t="n">
        <v>0</v>
      </c>
      <c r="R928" s="2" t="inlineStr"/>
    </row>
    <row r="929" ht="15" customHeight="1">
      <c r="A929" t="inlineStr">
        <is>
          <t>A 55664-2023</t>
        </is>
      </c>
      <c r="B929" s="1" t="n">
        <v>45238.96748842593</v>
      </c>
      <c r="C929" s="1" t="n">
        <v>46049</v>
      </c>
      <c r="D929" t="inlineStr">
        <is>
          <t>VÄSTERNORRLANDS LÄN</t>
        </is>
      </c>
      <c r="E929" t="inlineStr">
        <is>
          <t>ÅNGE</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54926-2025</t>
        </is>
      </c>
      <c r="B930" s="1" t="n">
        <v>45967.40707175926</v>
      </c>
      <c r="C930" s="1" t="n">
        <v>46049</v>
      </c>
      <c r="D930" t="inlineStr">
        <is>
          <t>VÄSTERNORRLANDS LÄN</t>
        </is>
      </c>
      <c r="E930" t="inlineStr">
        <is>
          <t>ÅNGE</t>
        </is>
      </c>
      <c r="G930" t="n">
        <v>3.1</v>
      </c>
      <c r="H930" t="n">
        <v>0</v>
      </c>
      <c r="I930" t="n">
        <v>0</v>
      </c>
      <c r="J930" t="n">
        <v>0</v>
      </c>
      <c r="K930" t="n">
        <v>0</v>
      </c>
      <c r="L930" t="n">
        <v>0</v>
      </c>
      <c r="M930" t="n">
        <v>0</v>
      </c>
      <c r="N930" t="n">
        <v>0</v>
      </c>
      <c r="O930" t="n">
        <v>0</v>
      </c>
      <c r="P930" t="n">
        <v>0</v>
      </c>
      <c r="Q930" t="n">
        <v>0</v>
      </c>
      <c r="R930" s="2" t="inlineStr"/>
    </row>
    <row r="931" ht="15" customHeight="1">
      <c r="A931" t="inlineStr">
        <is>
          <t>A 58275-2022</t>
        </is>
      </c>
      <c r="B931" s="1" t="n">
        <v>44901.47865740741</v>
      </c>
      <c r="C931" s="1" t="n">
        <v>46049</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63173-2025</t>
        </is>
      </c>
      <c r="B932" s="1" t="n">
        <v>46010.40679398148</v>
      </c>
      <c r="C932" s="1" t="n">
        <v>46049</v>
      </c>
      <c r="D932" t="inlineStr">
        <is>
          <t>VÄSTERNORRLANDS LÄN</t>
        </is>
      </c>
      <c r="E932" t="inlineStr">
        <is>
          <t>ÅNGE</t>
        </is>
      </c>
      <c r="G932" t="n">
        <v>1.5</v>
      </c>
      <c r="H932" t="n">
        <v>0</v>
      </c>
      <c r="I932" t="n">
        <v>0</v>
      </c>
      <c r="J932" t="n">
        <v>0</v>
      </c>
      <c r="K932" t="n">
        <v>0</v>
      </c>
      <c r="L932" t="n">
        <v>0</v>
      </c>
      <c r="M932" t="n">
        <v>0</v>
      </c>
      <c r="N932" t="n">
        <v>0</v>
      </c>
      <c r="O932" t="n">
        <v>0</v>
      </c>
      <c r="P932" t="n">
        <v>0</v>
      </c>
      <c r="Q932" t="n">
        <v>0</v>
      </c>
      <c r="R932" s="2" t="inlineStr"/>
    </row>
    <row r="933" ht="15" customHeight="1">
      <c r="A933" t="inlineStr">
        <is>
          <t>A 55038-2025</t>
        </is>
      </c>
      <c r="B933" s="1" t="n">
        <v>45967.65527777778</v>
      </c>
      <c r="C933" s="1" t="n">
        <v>46049</v>
      </c>
      <c r="D933" t="inlineStr">
        <is>
          <t>VÄSTERNORRLANDS LÄN</t>
        </is>
      </c>
      <c r="E933" t="inlineStr">
        <is>
          <t>ÅNGE</t>
        </is>
      </c>
      <c r="G933" t="n">
        <v>4.5</v>
      </c>
      <c r="H933" t="n">
        <v>0</v>
      </c>
      <c r="I933" t="n">
        <v>0</v>
      </c>
      <c r="J933" t="n">
        <v>0</v>
      </c>
      <c r="K933" t="n">
        <v>0</v>
      </c>
      <c r="L933" t="n">
        <v>0</v>
      </c>
      <c r="M933" t="n">
        <v>0</v>
      </c>
      <c r="N933" t="n">
        <v>0</v>
      </c>
      <c r="O933" t="n">
        <v>0</v>
      </c>
      <c r="P933" t="n">
        <v>0</v>
      </c>
      <c r="Q933" t="n">
        <v>0</v>
      </c>
      <c r="R933" s="2" t="inlineStr"/>
    </row>
    <row r="934" ht="15" customHeight="1">
      <c r="A934" t="inlineStr">
        <is>
          <t>A 55045-2025</t>
        </is>
      </c>
      <c r="B934" s="1" t="n">
        <v>45967.66068287037</v>
      </c>
      <c r="C934" s="1" t="n">
        <v>46049</v>
      </c>
      <c r="D934" t="inlineStr">
        <is>
          <t>VÄSTERNORRLANDS LÄN</t>
        </is>
      </c>
      <c r="E934" t="inlineStr">
        <is>
          <t>ÅNGE</t>
        </is>
      </c>
      <c r="G934" t="n">
        <v>0.9</v>
      </c>
      <c r="H934" t="n">
        <v>0</v>
      </c>
      <c r="I934" t="n">
        <v>0</v>
      </c>
      <c r="J934" t="n">
        <v>0</v>
      </c>
      <c r="K934" t="n">
        <v>0</v>
      </c>
      <c r="L934" t="n">
        <v>0</v>
      </c>
      <c r="M934" t="n">
        <v>0</v>
      </c>
      <c r="N934" t="n">
        <v>0</v>
      </c>
      <c r="O934" t="n">
        <v>0</v>
      </c>
      <c r="P934" t="n">
        <v>0</v>
      </c>
      <c r="Q934" t="n">
        <v>0</v>
      </c>
      <c r="R934" s="2" t="inlineStr"/>
    </row>
    <row r="935" ht="15" customHeight="1">
      <c r="A935" t="inlineStr">
        <is>
          <t>A 55049-2025</t>
        </is>
      </c>
      <c r="B935" s="1" t="n">
        <v>45967.66614583333</v>
      </c>
      <c r="C935" s="1" t="n">
        <v>46049</v>
      </c>
      <c r="D935" t="inlineStr">
        <is>
          <t>VÄSTERNORRLANDS LÄN</t>
        </is>
      </c>
      <c r="E935" t="inlineStr">
        <is>
          <t>ÅNGE</t>
        </is>
      </c>
      <c r="G935" t="n">
        <v>2.4</v>
      </c>
      <c r="H935" t="n">
        <v>0</v>
      </c>
      <c r="I935" t="n">
        <v>0</v>
      </c>
      <c r="J935" t="n">
        <v>0</v>
      </c>
      <c r="K935" t="n">
        <v>0</v>
      </c>
      <c r="L935" t="n">
        <v>0</v>
      </c>
      <c r="M935" t="n">
        <v>0</v>
      </c>
      <c r="N935" t="n">
        <v>0</v>
      </c>
      <c r="O935" t="n">
        <v>0</v>
      </c>
      <c r="P935" t="n">
        <v>0</v>
      </c>
      <c r="Q935" t="n">
        <v>0</v>
      </c>
      <c r="R935" s="2" t="inlineStr"/>
    </row>
    <row r="936" ht="15" customHeight="1">
      <c r="A936" t="inlineStr">
        <is>
          <t>A 29063-2023</t>
        </is>
      </c>
      <c r="B936" s="1" t="n">
        <v>45104.94068287037</v>
      </c>
      <c r="C936" s="1" t="n">
        <v>46049</v>
      </c>
      <c r="D936" t="inlineStr">
        <is>
          <t>VÄSTERNORRLANDS LÄN</t>
        </is>
      </c>
      <c r="E936" t="inlineStr">
        <is>
          <t>ÅNGE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51609-2023</t>
        </is>
      </c>
      <c r="B937" s="1" t="n">
        <v>45215</v>
      </c>
      <c r="C937" s="1" t="n">
        <v>46049</v>
      </c>
      <c r="D937" t="inlineStr">
        <is>
          <t>VÄSTERNORRLANDS LÄN</t>
        </is>
      </c>
      <c r="E937" t="inlineStr">
        <is>
          <t>ÅNGE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53970-2021</t>
        </is>
      </c>
      <c r="B938" s="1" t="n">
        <v>44469</v>
      </c>
      <c r="C938" s="1" t="n">
        <v>46049</v>
      </c>
      <c r="D938" t="inlineStr">
        <is>
          <t>VÄSTERNORRLANDS LÄN</t>
        </is>
      </c>
      <c r="E938" t="inlineStr">
        <is>
          <t>ÅNGE</t>
        </is>
      </c>
      <c r="G938" t="n">
        <v>3.4</v>
      </c>
      <c r="H938" t="n">
        <v>0</v>
      </c>
      <c r="I938" t="n">
        <v>0</v>
      </c>
      <c r="J938" t="n">
        <v>0</v>
      </c>
      <c r="K938" t="n">
        <v>0</v>
      </c>
      <c r="L938" t="n">
        <v>0</v>
      </c>
      <c r="M938" t="n">
        <v>0</v>
      </c>
      <c r="N938" t="n">
        <v>0</v>
      </c>
      <c r="O938" t="n">
        <v>0</v>
      </c>
      <c r="P938" t="n">
        <v>0</v>
      </c>
      <c r="Q938" t="n">
        <v>0</v>
      </c>
      <c r="R938" s="2" t="inlineStr"/>
    </row>
    <row r="939" ht="15" customHeight="1">
      <c r="A939" t="inlineStr">
        <is>
          <t>A 2415-2024</t>
        </is>
      </c>
      <c r="B939" s="1" t="n">
        <v>45310</v>
      </c>
      <c r="C939" s="1" t="n">
        <v>46049</v>
      </c>
      <c r="D939" t="inlineStr">
        <is>
          <t>VÄSTERNORRLANDS LÄN</t>
        </is>
      </c>
      <c r="E939" t="inlineStr">
        <is>
          <t>ÅNGE</t>
        </is>
      </c>
      <c r="F939" t="inlineStr">
        <is>
          <t>Kyrkan</t>
        </is>
      </c>
      <c r="G939" t="n">
        <v>0.2</v>
      </c>
      <c r="H939" t="n">
        <v>0</v>
      </c>
      <c r="I939" t="n">
        <v>0</v>
      </c>
      <c r="J939" t="n">
        <v>0</v>
      </c>
      <c r="K939" t="n">
        <v>0</v>
      </c>
      <c r="L939" t="n">
        <v>0</v>
      </c>
      <c r="M939" t="n">
        <v>0</v>
      </c>
      <c r="N939" t="n">
        <v>0</v>
      </c>
      <c r="O939" t="n">
        <v>0</v>
      </c>
      <c r="P939" t="n">
        <v>0</v>
      </c>
      <c r="Q939" t="n">
        <v>0</v>
      </c>
      <c r="R939" s="2" t="inlineStr"/>
    </row>
    <row r="940" ht="15" customHeight="1">
      <c r="A940" t="inlineStr">
        <is>
          <t>A 63642-2025</t>
        </is>
      </c>
      <c r="B940" s="1" t="n">
        <v>46014.41258101852</v>
      </c>
      <c r="C940" s="1" t="n">
        <v>46049</v>
      </c>
      <c r="D940" t="inlineStr">
        <is>
          <t>VÄSTERNORRLANDS LÄN</t>
        </is>
      </c>
      <c r="E940" t="inlineStr">
        <is>
          <t>ÅNGE</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6686-2024</t>
        </is>
      </c>
      <c r="B941" s="1" t="n">
        <v>45341</v>
      </c>
      <c r="C941" s="1" t="n">
        <v>46049</v>
      </c>
      <c r="D941" t="inlineStr">
        <is>
          <t>VÄSTERNORRLANDS LÄN</t>
        </is>
      </c>
      <c r="E941" t="inlineStr">
        <is>
          <t>ÅNGE</t>
        </is>
      </c>
      <c r="G941" t="n">
        <v>0.9</v>
      </c>
      <c r="H941" t="n">
        <v>0</v>
      </c>
      <c r="I941" t="n">
        <v>0</v>
      </c>
      <c r="J941" t="n">
        <v>0</v>
      </c>
      <c r="K941" t="n">
        <v>0</v>
      </c>
      <c r="L941" t="n">
        <v>0</v>
      </c>
      <c r="M941" t="n">
        <v>0</v>
      </c>
      <c r="N941" t="n">
        <v>0</v>
      </c>
      <c r="O941" t="n">
        <v>0</v>
      </c>
      <c r="P941" t="n">
        <v>0</v>
      </c>
      <c r="Q941" t="n">
        <v>0</v>
      </c>
      <c r="R941" s="2" t="inlineStr"/>
    </row>
    <row r="942" ht="15" customHeight="1">
      <c r="A942" t="inlineStr">
        <is>
          <t>A 30682-2024</t>
        </is>
      </c>
      <c r="B942" s="1" t="n">
        <v>45495.95109953704</v>
      </c>
      <c r="C942" s="1" t="n">
        <v>46049</v>
      </c>
      <c r="D942" t="inlineStr">
        <is>
          <t>VÄSTERNORRLANDS LÄN</t>
        </is>
      </c>
      <c r="E942" t="inlineStr">
        <is>
          <t>ÅNGE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30753-2024</t>
        </is>
      </c>
      <c r="B943" s="1" t="n">
        <v>45496</v>
      </c>
      <c r="C943" s="1" t="n">
        <v>46049</v>
      </c>
      <c r="D943" t="inlineStr">
        <is>
          <t>VÄSTERNORRLANDS LÄN</t>
        </is>
      </c>
      <c r="E943" t="inlineStr">
        <is>
          <t>ÅNGE</t>
        </is>
      </c>
      <c r="G943" t="n">
        <v>1.4</v>
      </c>
      <c r="H943" t="n">
        <v>0</v>
      </c>
      <c r="I943" t="n">
        <v>0</v>
      </c>
      <c r="J943" t="n">
        <v>0</v>
      </c>
      <c r="K943" t="n">
        <v>0</v>
      </c>
      <c r="L943" t="n">
        <v>0</v>
      </c>
      <c r="M943" t="n">
        <v>0</v>
      </c>
      <c r="N943" t="n">
        <v>0</v>
      </c>
      <c r="O943" t="n">
        <v>0</v>
      </c>
      <c r="P943" t="n">
        <v>0</v>
      </c>
      <c r="Q943" t="n">
        <v>0</v>
      </c>
      <c r="R943" s="2" t="inlineStr"/>
    </row>
    <row r="944" ht="15" customHeight="1">
      <c r="A944" t="inlineStr">
        <is>
          <t>A 30754-2024</t>
        </is>
      </c>
      <c r="B944" s="1" t="n">
        <v>45496</v>
      </c>
      <c r="C944" s="1" t="n">
        <v>46049</v>
      </c>
      <c r="D944" t="inlineStr">
        <is>
          <t>VÄSTERNORRLANDS LÄN</t>
        </is>
      </c>
      <c r="E944" t="inlineStr">
        <is>
          <t>ÅNGE</t>
        </is>
      </c>
      <c r="G944" t="n">
        <v>3.8</v>
      </c>
      <c r="H944" t="n">
        <v>0</v>
      </c>
      <c r="I944" t="n">
        <v>0</v>
      </c>
      <c r="J944" t="n">
        <v>0</v>
      </c>
      <c r="K944" t="n">
        <v>0</v>
      </c>
      <c r="L944" t="n">
        <v>0</v>
      </c>
      <c r="M944" t="n">
        <v>0</v>
      </c>
      <c r="N944" t="n">
        <v>0</v>
      </c>
      <c r="O944" t="n">
        <v>0</v>
      </c>
      <c r="P944" t="n">
        <v>0</v>
      </c>
      <c r="Q944" t="n">
        <v>0</v>
      </c>
      <c r="R944" s="2" t="inlineStr"/>
    </row>
    <row r="945" ht="15" customHeight="1">
      <c r="A945" t="inlineStr">
        <is>
          <t>A 38960-2021</t>
        </is>
      </c>
      <c r="B945" s="1" t="n">
        <v>44411</v>
      </c>
      <c r="C945" s="1" t="n">
        <v>46049</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63686-2025</t>
        </is>
      </c>
      <c r="B946" s="1" t="n">
        <v>46014.53172453704</v>
      </c>
      <c r="C946" s="1" t="n">
        <v>46049</v>
      </c>
      <c r="D946" t="inlineStr">
        <is>
          <t>VÄSTERNORRLANDS LÄN</t>
        </is>
      </c>
      <c r="E946" t="inlineStr">
        <is>
          <t>ÅNGE</t>
        </is>
      </c>
      <c r="F946" t="inlineStr">
        <is>
          <t>SCA</t>
        </is>
      </c>
      <c r="G946" t="n">
        <v>0.5</v>
      </c>
      <c r="H946" t="n">
        <v>0</v>
      </c>
      <c r="I946" t="n">
        <v>0</v>
      </c>
      <c r="J946" t="n">
        <v>0</v>
      </c>
      <c r="K946" t="n">
        <v>0</v>
      </c>
      <c r="L946" t="n">
        <v>0</v>
      </c>
      <c r="M946" t="n">
        <v>0</v>
      </c>
      <c r="N946" t="n">
        <v>0</v>
      </c>
      <c r="O946" t="n">
        <v>0</v>
      </c>
      <c r="P946" t="n">
        <v>0</v>
      </c>
      <c r="Q946" t="n">
        <v>0</v>
      </c>
      <c r="R946" s="2" t="inlineStr"/>
    </row>
    <row r="947" ht="15" customHeight="1">
      <c r="A947" t="inlineStr">
        <is>
          <t>A 35581-2024</t>
        </is>
      </c>
      <c r="B947" s="1" t="n">
        <v>45531</v>
      </c>
      <c r="C947" s="1" t="n">
        <v>46049</v>
      </c>
      <c r="D947" t="inlineStr">
        <is>
          <t>VÄSTERNORRLANDS LÄN</t>
        </is>
      </c>
      <c r="E947" t="inlineStr">
        <is>
          <t>ÅNGE</t>
        </is>
      </c>
      <c r="G947" t="n">
        <v>1</v>
      </c>
      <c r="H947" t="n">
        <v>0</v>
      </c>
      <c r="I947" t="n">
        <v>0</v>
      </c>
      <c r="J947" t="n">
        <v>0</v>
      </c>
      <c r="K947" t="n">
        <v>0</v>
      </c>
      <c r="L947" t="n">
        <v>0</v>
      </c>
      <c r="M947" t="n">
        <v>0</v>
      </c>
      <c r="N947" t="n">
        <v>0</v>
      </c>
      <c r="O947" t="n">
        <v>0</v>
      </c>
      <c r="P947" t="n">
        <v>0</v>
      </c>
      <c r="Q947" t="n">
        <v>0</v>
      </c>
      <c r="R947" s="2" t="inlineStr"/>
    </row>
    <row r="948" ht="15" customHeight="1">
      <c r="A948" t="inlineStr">
        <is>
          <t>A 65633-2021</t>
        </is>
      </c>
      <c r="B948" s="1" t="n">
        <v>44516.56181712963</v>
      </c>
      <c r="C948" s="1" t="n">
        <v>46049</v>
      </c>
      <c r="D948" t="inlineStr">
        <is>
          <t>VÄSTERNORRLANDS LÄN</t>
        </is>
      </c>
      <c r="E948" t="inlineStr">
        <is>
          <t>ÅNGE</t>
        </is>
      </c>
      <c r="G948" t="n">
        <v>1.7</v>
      </c>
      <c r="H948" t="n">
        <v>0</v>
      </c>
      <c r="I948" t="n">
        <v>0</v>
      </c>
      <c r="J948" t="n">
        <v>0</v>
      </c>
      <c r="K948" t="n">
        <v>0</v>
      </c>
      <c r="L948" t="n">
        <v>0</v>
      </c>
      <c r="M948" t="n">
        <v>0</v>
      </c>
      <c r="N948" t="n">
        <v>0</v>
      </c>
      <c r="O948" t="n">
        <v>0</v>
      </c>
      <c r="P948" t="n">
        <v>0</v>
      </c>
      <c r="Q948" t="n">
        <v>0</v>
      </c>
      <c r="R948" s="2" t="inlineStr"/>
    </row>
    <row r="949" ht="15" customHeight="1">
      <c r="A949" t="inlineStr">
        <is>
          <t>A 41507-2024</t>
        </is>
      </c>
      <c r="B949" s="1" t="n">
        <v>45560</v>
      </c>
      <c r="C949" s="1" t="n">
        <v>46049</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63652-2025</t>
        </is>
      </c>
      <c r="B950" s="1" t="n">
        <v>46014.43987268519</v>
      </c>
      <c r="C950" s="1" t="n">
        <v>46049</v>
      </c>
      <c r="D950" t="inlineStr">
        <is>
          <t>VÄSTERNORRLANDS LÄN</t>
        </is>
      </c>
      <c r="E950" t="inlineStr">
        <is>
          <t>ÅNGE</t>
        </is>
      </c>
      <c r="G950" t="n">
        <v>4.3</v>
      </c>
      <c r="H950" t="n">
        <v>0</v>
      </c>
      <c r="I950" t="n">
        <v>0</v>
      </c>
      <c r="J950" t="n">
        <v>0</v>
      </c>
      <c r="K950" t="n">
        <v>0</v>
      </c>
      <c r="L950" t="n">
        <v>0</v>
      </c>
      <c r="M950" t="n">
        <v>0</v>
      </c>
      <c r="N950" t="n">
        <v>0</v>
      </c>
      <c r="O950" t="n">
        <v>0</v>
      </c>
      <c r="P950" t="n">
        <v>0</v>
      </c>
      <c r="Q950" t="n">
        <v>0</v>
      </c>
      <c r="R950" s="2" t="inlineStr"/>
    </row>
    <row r="951" ht="15" customHeight="1">
      <c r="A951" t="inlineStr">
        <is>
          <t>A 6487-2021</t>
        </is>
      </c>
      <c r="B951" s="1" t="n">
        <v>44235</v>
      </c>
      <c r="C951" s="1" t="n">
        <v>46049</v>
      </c>
      <c r="D951" t="inlineStr">
        <is>
          <t>VÄSTERNORRLANDS LÄN</t>
        </is>
      </c>
      <c r="E951" t="inlineStr">
        <is>
          <t>ÅNGE</t>
        </is>
      </c>
      <c r="G951" t="n">
        <v>2.1</v>
      </c>
      <c r="H951" t="n">
        <v>0</v>
      </c>
      <c r="I951" t="n">
        <v>0</v>
      </c>
      <c r="J951" t="n">
        <v>0</v>
      </c>
      <c r="K951" t="n">
        <v>0</v>
      </c>
      <c r="L951" t="n">
        <v>0</v>
      </c>
      <c r="M951" t="n">
        <v>0</v>
      </c>
      <c r="N951" t="n">
        <v>0</v>
      </c>
      <c r="O951" t="n">
        <v>0</v>
      </c>
      <c r="P951" t="n">
        <v>0</v>
      </c>
      <c r="Q951" t="n">
        <v>0</v>
      </c>
      <c r="R951" s="2" t="inlineStr"/>
    </row>
    <row r="952" ht="15" customHeight="1">
      <c r="A952" t="inlineStr">
        <is>
          <t>A 17749-2025</t>
        </is>
      </c>
      <c r="B952" s="1" t="n">
        <v>45758.48380787037</v>
      </c>
      <c r="C952" s="1" t="n">
        <v>46049</v>
      </c>
      <c r="D952" t="inlineStr">
        <is>
          <t>VÄSTERNORRLANDS LÄN</t>
        </is>
      </c>
      <c r="E952" t="inlineStr">
        <is>
          <t>ÅNGE</t>
        </is>
      </c>
      <c r="G952" t="n">
        <v>7.3</v>
      </c>
      <c r="H952" t="n">
        <v>0</v>
      </c>
      <c r="I952" t="n">
        <v>0</v>
      </c>
      <c r="J952" t="n">
        <v>0</v>
      </c>
      <c r="K952" t="n">
        <v>0</v>
      </c>
      <c r="L952" t="n">
        <v>0</v>
      </c>
      <c r="M952" t="n">
        <v>0</v>
      </c>
      <c r="N952" t="n">
        <v>0</v>
      </c>
      <c r="O952" t="n">
        <v>0</v>
      </c>
      <c r="P952" t="n">
        <v>0</v>
      </c>
      <c r="Q952" t="n">
        <v>0</v>
      </c>
      <c r="R952" s="2" t="inlineStr"/>
    </row>
    <row r="953" ht="15" customHeight="1">
      <c r="A953" t="inlineStr">
        <is>
          <t>A 55556-2025</t>
        </is>
      </c>
      <c r="B953" s="1" t="n">
        <v>45971.64694444444</v>
      </c>
      <c r="C953" s="1" t="n">
        <v>46049</v>
      </c>
      <c r="D953" t="inlineStr">
        <is>
          <t>VÄSTERNORRLANDS LÄN</t>
        </is>
      </c>
      <c r="E953" t="inlineStr">
        <is>
          <t>ÅNGE</t>
        </is>
      </c>
      <c r="G953" t="n">
        <v>1.7</v>
      </c>
      <c r="H953" t="n">
        <v>0</v>
      </c>
      <c r="I953" t="n">
        <v>0</v>
      </c>
      <c r="J953" t="n">
        <v>0</v>
      </c>
      <c r="K953" t="n">
        <v>0</v>
      </c>
      <c r="L953" t="n">
        <v>0</v>
      </c>
      <c r="M953" t="n">
        <v>0</v>
      </c>
      <c r="N953" t="n">
        <v>0</v>
      </c>
      <c r="O953" t="n">
        <v>0</v>
      </c>
      <c r="P953" t="n">
        <v>0</v>
      </c>
      <c r="Q953" t="n">
        <v>0</v>
      </c>
      <c r="R953" s="2" t="inlineStr"/>
    </row>
    <row r="954" ht="15" customHeight="1">
      <c r="A954" t="inlineStr">
        <is>
          <t>A 42044-2024</t>
        </is>
      </c>
      <c r="B954" s="1" t="n">
        <v>45561</v>
      </c>
      <c r="C954" s="1" t="n">
        <v>46049</v>
      </c>
      <c r="D954" t="inlineStr">
        <is>
          <t>VÄSTERNORRLANDS LÄN</t>
        </is>
      </c>
      <c r="E954" t="inlineStr">
        <is>
          <t>ÅNGE</t>
        </is>
      </c>
      <c r="G954" t="n">
        <v>0.9</v>
      </c>
      <c r="H954" t="n">
        <v>0</v>
      </c>
      <c r="I954" t="n">
        <v>0</v>
      </c>
      <c r="J954" t="n">
        <v>0</v>
      </c>
      <c r="K954" t="n">
        <v>0</v>
      </c>
      <c r="L954" t="n">
        <v>0</v>
      </c>
      <c r="M954" t="n">
        <v>0</v>
      </c>
      <c r="N954" t="n">
        <v>0</v>
      </c>
      <c r="O954" t="n">
        <v>0</v>
      </c>
      <c r="P954" t="n">
        <v>0</v>
      </c>
      <c r="Q954" t="n">
        <v>0</v>
      </c>
      <c r="R954" s="2" t="inlineStr"/>
    </row>
    <row r="955" ht="15" customHeight="1">
      <c r="A955" t="inlineStr">
        <is>
          <t>A 63673-2025</t>
        </is>
      </c>
      <c r="B955" s="1" t="n">
        <v>46014.47594907408</v>
      </c>
      <c r="C955" s="1" t="n">
        <v>46049</v>
      </c>
      <c r="D955" t="inlineStr">
        <is>
          <t>VÄSTERNORRLANDS LÄN</t>
        </is>
      </c>
      <c r="E955" t="inlineStr">
        <is>
          <t>ÅNGE</t>
        </is>
      </c>
      <c r="G955" t="n">
        <v>1.2</v>
      </c>
      <c r="H955" t="n">
        <v>0</v>
      </c>
      <c r="I955" t="n">
        <v>0</v>
      </c>
      <c r="J955" t="n">
        <v>0</v>
      </c>
      <c r="K955" t="n">
        <v>0</v>
      </c>
      <c r="L955" t="n">
        <v>0</v>
      </c>
      <c r="M955" t="n">
        <v>0</v>
      </c>
      <c r="N955" t="n">
        <v>0</v>
      </c>
      <c r="O955" t="n">
        <v>0</v>
      </c>
      <c r="P955" t="n">
        <v>0</v>
      </c>
      <c r="Q955" t="n">
        <v>0</v>
      </c>
      <c r="R955" s="2" t="inlineStr"/>
    </row>
    <row r="956" ht="15" customHeight="1">
      <c r="A956" t="inlineStr">
        <is>
          <t>A 3256-2024</t>
        </is>
      </c>
      <c r="B956" s="1" t="n">
        <v>45316</v>
      </c>
      <c r="C956" s="1" t="n">
        <v>46049</v>
      </c>
      <c r="D956" t="inlineStr">
        <is>
          <t>VÄSTERNORRLANDS LÄN</t>
        </is>
      </c>
      <c r="E956" t="inlineStr">
        <is>
          <t>ÅNGE</t>
        </is>
      </c>
      <c r="G956" t="n">
        <v>3.7</v>
      </c>
      <c r="H956" t="n">
        <v>0</v>
      </c>
      <c r="I956" t="n">
        <v>0</v>
      </c>
      <c r="J956" t="n">
        <v>0</v>
      </c>
      <c r="K956" t="n">
        <v>0</v>
      </c>
      <c r="L956" t="n">
        <v>0</v>
      </c>
      <c r="M956" t="n">
        <v>0</v>
      </c>
      <c r="N956" t="n">
        <v>0</v>
      </c>
      <c r="O956" t="n">
        <v>0</v>
      </c>
      <c r="P956" t="n">
        <v>0</v>
      </c>
      <c r="Q956" t="n">
        <v>0</v>
      </c>
      <c r="R956" s="2" t="inlineStr"/>
    </row>
    <row r="957" ht="15" customHeight="1">
      <c r="A957" t="inlineStr">
        <is>
          <t>A 62336-2025</t>
        </is>
      </c>
      <c r="B957" s="1" t="n">
        <v>46006</v>
      </c>
      <c r="C957" s="1" t="n">
        <v>46049</v>
      </c>
      <c r="D957" t="inlineStr">
        <is>
          <t>VÄSTERNORRLANDS LÄN</t>
        </is>
      </c>
      <c r="E957" t="inlineStr">
        <is>
          <t>ÅNGE</t>
        </is>
      </c>
      <c r="G957" t="n">
        <v>13.4</v>
      </c>
      <c r="H957" t="n">
        <v>0</v>
      </c>
      <c r="I957" t="n">
        <v>0</v>
      </c>
      <c r="J957" t="n">
        <v>0</v>
      </c>
      <c r="K957" t="n">
        <v>0</v>
      </c>
      <c r="L957" t="n">
        <v>0</v>
      </c>
      <c r="M957" t="n">
        <v>0</v>
      </c>
      <c r="N957" t="n">
        <v>0</v>
      </c>
      <c r="O957" t="n">
        <v>0</v>
      </c>
      <c r="P957" t="n">
        <v>0</v>
      </c>
      <c r="Q957" t="n">
        <v>0</v>
      </c>
      <c r="R957" s="2" t="inlineStr"/>
    </row>
    <row r="958" ht="15" customHeight="1">
      <c r="A958" t="inlineStr">
        <is>
          <t>A 14751-2025</t>
        </is>
      </c>
      <c r="B958" s="1" t="n">
        <v>45742.65863425926</v>
      </c>
      <c r="C958" s="1" t="n">
        <v>46049</v>
      </c>
      <c r="D958" t="inlineStr">
        <is>
          <t>VÄSTERNORRLANDS LÄN</t>
        </is>
      </c>
      <c r="E958" t="inlineStr">
        <is>
          <t>ÅNGE</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10339-2025</t>
        </is>
      </c>
      <c r="B959" s="1" t="n">
        <v>45720</v>
      </c>
      <c r="C959" s="1" t="n">
        <v>46049</v>
      </c>
      <c r="D959" t="inlineStr">
        <is>
          <t>VÄSTERNORRLANDS LÄN</t>
        </is>
      </c>
      <c r="E959" t="inlineStr">
        <is>
          <t>ÅNGE</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41083-2024</t>
        </is>
      </c>
      <c r="B960" s="1" t="n">
        <v>45559.40684027778</v>
      </c>
      <c r="C960" s="1" t="n">
        <v>46049</v>
      </c>
      <c r="D960" t="inlineStr">
        <is>
          <t>VÄSTERNORRLANDS LÄN</t>
        </is>
      </c>
      <c r="E960" t="inlineStr">
        <is>
          <t>ÅNGE</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41766-2024</t>
        </is>
      </c>
      <c r="B961" s="1" t="n">
        <v>45561.34594907407</v>
      </c>
      <c r="C961" s="1" t="n">
        <v>46049</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18067-2025</t>
        </is>
      </c>
      <c r="B962" s="1" t="n">
        <v>45761.49016203704</v>
      </c>
      <c r="C962" s="1" t="n">
        <v>46049</v>
      </c>
      <c r="D962" t="inlineStr">
        <is>
          <t>VÄSTERNORRLANDS LÄN</t>
        </is>
      </c>
      <c r="E962" t="inlineStr">
        <is>
          <t>ÅNGE</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51024-2024</t>
        </is>
      </c>
      <c r="B963" s="1" t="n">
        <v>45603.4141087963</v>
      </c>
      <c r="C963" s="1" t="n">
        <v>46049</v>
      </c>
      <c r="D963" t="inlineStr">
        <is>
          <t>VÄSTERNORRLANDS LÄN</t>
        </is>
      </c>
      <c r="E963" t="inlineStr">
        <is>
          <t>ÅNGE</t>
        </is>
      </c>
      <c r="G963" t="n">
        <v>8.9</v>
      </c>
      <c r="H963" t="n">
        <v>0</v>
      </c>
      <c r="I963" t="n">
        <v>0</v>
      </c>
      <c r="J963" t="n">
        <v>0</v>
      </c>
      <c r="K963" t="n">
        <v>0</v>
      </c>
      <c r="L963" t="n">
        <v>0</v>
      </c>
      <c r="M963" t="n">
        <v>0</v>
      </c>
      <c r="N963" t="n">
        <v>0</v>
      </c>
      <c r="O963" t="n">
        <v>0</v>
      </c>
      <c r="P963" t="n">
        <v>0</v>
      </c>
      <c r="Q963" t="n">
        <v>0</v>
      </c>
      <c r="R963" s="2" t="inlineStr"/>
    </row>
    <row r="964" ht="15" customHeight="1">
      <c r="A964" t="inlineStr">
        <is>
          <t>A 1095-2023</t>
        </is>
      </c>
      <c r="B964" s="1" t="n">
        <v>44929</v>
      </c>
      <c r="C964" s="1" t="n">
        <v>46049</v>
      </c>
      <c r="D964" t="inlineStr">
        <is>
          <t>VÄSTERNORRLANDS LÄN</t>
        </is>
      </c>
      <c r="E964" t="inlineStr">
        <is>
          <t>ÅNGE</t>
        </is>
      </c>
      <c r="G964" t="n">
        <v>3.2</v>
      </c>
      <c r="H964" t="n">
        <v>0</v>
      </c>
      <c r="I964" t="n">
        <v>0</v>
      </c>
      <c r="J964" t="n">
        <v>0</v>
      </c>
      <c r="K964" t="n">
        <v>0</v>
      </c>
      <c r="L964" t="n">
        <v>0</v>
      </c>
      <c r="M964" t="n">
        <v>0</v>
      </c>
      <c r="N964" t="n">
        <v>0</v>
      </c>
      <c r="O964" t="n">
        <v>0</v>
      </c>
      <c r="P964" t="n">
        <v>0</v>
      </c>
      <c r="Q964" t="n">
        <v>0</v>
      </c>
      <c r="R964" s="2" t="inlineStr"/>
    </row>
    <row r="965" ht="15" customHeight="1">
      <c r="A965" t="inlineStr">
        <is>
          <t>A 64121-2021</t>
        </is>
      </c>
      <c r="B965" s="1" t="n">
        <v>44510.4730787037</v>
      </c>
      <c r="C965" s="1" t="n">
        <v>46049</v>
      </c>
      <c r="D965" t="inlineStr">
        <is>
          <t>VÄSTERNORRLANDS LÄN</t>
        </is>
      </c>
      <c r="E965" t="inlineStr">
        <is>
          <t>ÅNGE</t>
        </is>
      </c>
      <c r="G965" t="n">
        <v>1.1</v>
      </c>
      <c r="H965" t="n">
        <v>0</v>
      </c>
      <c r="I965" t="n">
        <v>0</v>
      </c>
      <c r="J965" t="n">
        <v>0</v>
      </c>
      <c r="K965" t="n">
        <v>0</v>
      </c>
      <c r="L965" t="n">
        <v>0</v>
      </c>
      <c r="M965" t="n">
        <v>0</v>
      </c>
      <c r="N965" t="n">
        <v>0</v>
      </c>
      <c r="O965" t="n">
        <v>0</v>
      </c>
      <c r="P965" t="n">
        <v>0</v>
      </c>
      <c r="Q965" t="n">
        <v>0</v>
      </c>
      <c r="R965" s="2" t="inlineStr"/>
    </row>
    <row r="966" ht="15" customHeight="1">
      <c r="A966" t="inlineStr">
        <is>
          <t>A 42881-2024</t>
        </is>
      </c>
      <c r="B966" s="1" t="n">
        <v>45566.70916666667</v>
      </c>
      <c r="C966" s="1" t="n">
        <v>46049</v>
      </c>
      <c r="D966" t="inlineStr">
        <is>
          <t>VÄSTERNORRLANDS LÄN</t>
        </is>
      </c>
      <c r="E966" t="inlineStr">
        <is>
          <t>ÅNGE</t>
        </is>
      </c>
      <c r="G966" t="n">
        <v>1.9</v>
      </c>
      <c r="H966" t="n">
        <v>0</v>
      </c>
      <c r="I966" t="n">
        <v>0</v>
      </c>
      <c r="J966" t="n">
        <v>0</v>
      </c>
      <c r="K966" t="n">
        <v>0</v>
      </c>
      <c r="L966" t="n">
        <v>0</v>
      </c>
      <c r="M966" t="n">
        <v>0</v>
      </c>
      <c r="N966" t="n">
        <v>0</v>
      </c>
      <c r="O966" t="n">
        <v>0</v>
      </c>
      <c r="P966" t="n">
        <v>0</v>
      </c>
      <c r="Q966" t="n">
        <v>0</v>
      </c>
      <c r="R966" s="2" t="inlineStr"/>
    </row>
    <row r="967" ht="15" customHeight="1">
      <c r="A967" t="inlineStr">
        <is>
          <t>A 22752-2023</t>
        </is>
      </c>
      <c r="B967" s="1" t="n">
        <v>45071.94104166667</v>
      </c>
      <c r="C967" s="1" t="n">
        <v>46049</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56077-2025</t>
        </is>
      </c>
      <c r="B968" s="1" t="n">
        <v>45973.65759259259</v>
      </c>
      <c r="C968" s="1" t="n">
        <v>46049</v>
      </c>
      <c r="D968" t="inlineStr">
        <is>
          <t>VÄSTERNORRLANDS LÄN</t>
        </is>
      </c>
      <c r="E968" t="inlineStr">
        <is>
          <t>ÅNGE</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55816-2025</t>
        </is>
      </c>
      <c r="B969" s="1" t="n">
        <v>45972.69851851852</v>
      </c>
      <c r="C969" s="1" t="n">
        <v>46049</v>
      </c>
      <c r="D969" t="inlineStr">
        <is>
          <t>VÄSTERNORRLANDS LÄN</t>
        </is>
      </c>
      <c r="E969" t="inlineStr">
        <is>
          <t>ÅNGE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60779-2024</t>
        </is>
      </c>
      <c r="B970" s="1" t="n">
        <v>45644</v>
      </c>
      <c r="C970" s="1" t="n">
        <v>46049</v>
      </c>
      <c r="D970" t="inlineStr">
        <is>
          <t>VÄSTERNORRLANDS LÄN</t>
        </is>
      </c>
      <c r="E970" t="inlineStr">
        <is>
          <t>ÅNGE</t>
        </is>
      </c>
      <c r="G970" t="n">
        <v>3.1</v>
      </c>
      <c r="H970" t="n">
        <v>0</v>
      </c>
      <c r="I970" t="n">
        <v>0</v>
      </c>
      <c r="J970" t="n">
        <v>0</v>
      </c>
      <c r="K970" t="n">
        <v>0</v>
      </c>
      <c r="L970" t="n">
        <v>0</v>
      </c>
      <c r="M970" t="n">
        <v>0</v>
      </c>
      <c r="N970" t="n">
        <v>0</v>
      </c>
      <c r="O970" t="n">
        <v>0</v>
      </c>
      <c r="P970" t="n">
        <v>0</v>
      </c>
      <c r="Q970" t="n">
        <v>0</v>
      </c>
      <c r="R970" s="2" t="inlineStr"/>
    </row>
    <row r="971" ht="15" customHeight="1">
      <c r="A971" t="inlineStr">
        <is>
          <t>A 28428-2023</t>
        </is>
      </c>
      <c r="B971" s="1" t="n">
        <v>45102</v>
      </c>
      <c r="C971" s="1" t="n">
        <v>46049</v>
      </c>
      <c r="D971" t="inlineStr">
        <is>
          <t>VÄSTERNORRLANDS LÄN</t>
        </is>
      </c>
      <c r="E971" t="inlineStr">
        <is>
          <t>ÅNGE</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43366-2024</t>
        </is>
      </c>
      <c r="B972" s="1" t="n">
        <v>45568</v>
      </c>
      <c r="C972" s="1" t="n">
        <v>46049</v>
      </c>
      <c r="D972" t="inlineStr">
        <is>
          <t>VÄSTERNORRLANDS LÄN</t>
        </is>
      </c>
      <c r="E972" t="inlineStr">
        <is>
          <t>ÅNGE</t>
        </is>
      </c>
      <c r="G972" t="n">
        <v>1.6</v>
      </c>
      <c r="H972" t="n">
        <v>0</v>
      </c>
      <c r="I972" t="n">
        <v>0</v>
      </c>
      <c r="J972" t="n">
        <v>0</v>
      </c>
      <c r="K972" t="n">
        <v>0</v>
      </c>
      <c r="L972" t="n">
        <v>0</v>
      </c>
      <c r="M972" t="n">
        <v>0</v>
      </c>
      <c r="N972" t="n">
        <v>0</v>
      </c>
      <c r="O972" t="n">
        <v>0</v>
      </c>
      <c r="P972" t="n">
        <v>0</v>
      </c>
      <c r="Q972" t="n">
        <v>0</v>
      </c>
      <c r="R972" s="2" t="inlineStr"/>
    </row>
    <row r="973" ht="15" customHeight="1">
      <c r="A973" t="inlineStr">
        <is>
          <t>A 56423-2025</t>
        </is>
      </c>
      <c r="B973" s="1" t="n">
        <v>45975.34528935186</v>
      </c>
      <c r="C973" s="1" t="n">
        <v>46049</v>
      </c>
      <c r="D973" t="inlineStr">
        <is>
          <t>VÄSTERNORRLANDS LÄN</t>
        </is>
      </c>
      <c r="E973" t="inlineStr">
        <is>
          <t>ÅNGE</t>
        </is>
      </c>
      <c r="F973" t="inlineStr">
        <is>
          <t>SCA</t>
        </is>
      </c>
      <c r="G973" t="n">
        <v>1.5</v>
      </c>
      <c r="H973" t="n">
        <v>0</v>
      </c>
      <c r="I973" t="n">
        <v>0</v>
      </c>
      <c r="J973" t="n">
        <v>0</v>
      </c>
      <c r="K973" t="n">
        <v>0</v>
      </c>
      <c r="L973" t="n">
        <v>0</v>
      </c>
      <c r="M973" t="n">
        <v>0</v>
      </c>
      <c r="N973" t="n">
        <v>0</v>
      </c>
      <c r="O973" t="n">
        <v>0</v>
      </c>
      <c r="P973" t="n">
        <v>0</v>
      </c>
      <c r="Q973" t="n">
        <v>0</v>
      </c>
      <c r="R973" s="2" t="inlineStr"/>
      <c r="U973">
        <f>HYPERLINK("https://klasma.github.io/Logging_2260/knärot/A 56423-2025 karta knärot.png", "A 56423-2025")</f>
        <v/>
      </c>
      <c r="V973">
        <f>HYPERLINK("https://klasma.github.io/Logging_2260/klagomål/A 56423-2025 FSC-klagomål.docx", "A 56423-2025")</f>
        <v/>
      </c>
      <c r="W973">
        <f>HYPERLINK("https://klasma.github.io/Logging_2260/klagomålsmail/A 56423-2025 FSC-klagomål mail.docx", "A 56423-2025")</f>
        <v/>
      </c>
      <c r="X973">
        <f>HYPERLINK("https://klasma.github.io/Logging_2260/tillsyn/A 56423-2025 tillsynsbegäran.docx", "A 56423-2025")</f>
        <v/>
      </c>
      <c r="Y973">
        <f>HYPERLINK("https://klasma.github.io/Logging_2260/tillsynsmail/A 56423-2025 tillsynsbegäran mail.docx", "A 56423-2025")</f>
        <v/>
      </c>
    </row>
    <row r="974" ht="15" customHeight="1">
      <c r="A974" t="inlineStr">
        <is>
          <t>A 34491-2023</t>
        </is>
      </c>
      <c r="B974" s="1" t="n">
        <v>45139.94775462963</v>
      </c>
      <c r="C974" s="1" t="n">
        <v>46049</v>
      </c>
      <c r="D974" t="inlineStr">
        <is>
          <t>VÄSTERNORRLANDS LÄN</t>
        </is>
      </c>
      <c r="E974" t="inlineStr">
        <is>
          <t>ÅNGE</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10089-2023</t>
        </is>
      </c>
      <c r="B975" s="1" t="n">
        <v>44985</v>
      </c>
      <c r="C975" s="1" t="n">
        <v>46049</v>
      </c>
      <c r="D975" t="inlineStr">
        <is>
          <t>VÄSTERNORRLANDS LÄN</t>
        </is>
      </c>
      <c r="E975" t="inlineStr">
        <is>
          <t>ÅNGE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10090-2023</t>
        </is>
      </c>
      <c r="B976" s="1" t="n">
        <v>44985.94511574074</v>
      </c>
      <c r="C976" s="1" t="n">
        <v>46049</v>
      </c>
      <c r="D976" t="inlineStr">
        <is>
          <t>VÄSTERNORRLANDS LÄN</t>
        </is>
      </c>
      <c r="E976" t="inlineStr">
        <is>
          <t>ÅNGE</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39005-2024</t>
        </is>
      </c>
      <c r="B977" s="1" t="n">
        <v>45548.42743055556</v>
      </c>
      <c r="C977" s="1" t="n">
        <v>46049</v>
      </c>
      <c r="D977" t="inlineStr">
        <is>
          <t>VÄSTERNORRLANDS LÄN</t>
        </is>
      </c>
      <c r="E977" t="inlineStr">
        <is>
          <t>ÅNGE</t>
        </is>
      </c>
      <c r="F977" t="inlineStr">
        <is>
          <t>SCA</t>
        </is>
      </c>
      <c r="G977" t="n">
        <v>2.6</v>
      </c>
      <c r="H977" t="n">
        <v>0</v>
      </c>
      <c r="I977" t="n">
        <v>0</v>
      </c>
      <c r="J977" t="n">
        <v>0</v>
      </c>
      <c r="K977" t="n">
        <v>0</v>
      </c>
      <c r="L977" t="n">
        <v>0</v>
      </c>
      <c r="M977" t="n">
        <v>0</v>
      </c>
      <c r="N977" t="n">
        <v>0</v>
      </c>
      <c r="O977" t="n">
        <v>0</v>
      </c>
      <c r="P977" t="n">
        <v>0</v>
      </c>
      <c r="Q977" t="n">
        <v>0</v>
      </c>
      <c r="R977" s="2" t="inlineStr"/>
      <c r="U977">
        <f>HYPERLINK("https://klasma.github.io/Logging_2260/knärot/A 39005-2024 karta knärot.png", "A 39005-2024")</f>
        <v/>
      </c>
      <c r="V977">
        <f>HYPERLINK("https://klasma.github.io/Logging_2260/klagomål/A 39005-2024 FSC-klagomål.docx", "A 39005-2024")</f>
        <v/>
      </c>
      <c r="W977">
        <f>HYPERLINK("https://klasma.github.io/Logging_2260/klagomålsmail/A 39005-2024 FSC-klagomål mail.docx", "A 39005-2024")</f>
        <v/>
      </c>
      <c r="X977">
        <f>HYPERLINK("https://klasma.github.io/Logging_2260/tillsyn/A 39005-2024 tillsynsbegäran.docx", "A 39005-2024")</f>
        <v/>
      </c>
      <c r="Y977">
        <f>HYPERLINK("https://klasma.github.io/Logging_2260/tillsynsmail/A 39005-2024 tillsynsbegäran mail.docx", "A 39005-2024")</f>
        <v/>
      </c>
    </row>
    <row r="978" ht="15" customHeight="1">
      <c r="A978" t="inlineStr">
        <is>
          <t>A 57593-2022</t>
        </is>
      </c>
      <c r="B978" s="1" t="n">
        <v>44896.97847222222</v>
      </c>
      <c r="C978" s="1" t="n">
        <v>46049</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56849-2025</t>
        </is>
      </c>
      <c r="B979" s="1" t="n">
        <v>45978.48989583334</v>
      </c>
      <c r="C979" s="1" t="n">
        <v>46049</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57596-2022</t>
        </is>
      </c>
      <c r="B980" s="1" t="n">
        <v>44896.97871527778</v>
      </c>
      <c r="C980" s="1" t="n">
        <v>46049</v>
      </c>
      <c r="D980" t="inlineStr">
        <is>
          <t>VÄSTERNORRLANDS LÄN</t>
        </is>
      </c>
      <c r="E980" t="inlineStr">
        <is>
          <t>ÅNGE</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41222-2024</t>
        </is>
      </c>
      <c r="B981" s="1" t="n">
        <v>45559.55306712963</v>
      </c>
      <c r="C981" s="1" t="n">
        <v>46049</v>
      </c>
      <c r="D981" t="inlineStr">
        <is>
          <t>VÄSTERNORRLANDS LÄN</t>
        </is>
      </c>
      <c r="E981" t="inlineStr">
        <is>
          <t>ÅNGE</t>
        </is>
      </c>
      <c r="G981" t="n">
        <v>0.4</v>
      </c>
      <c r="H981" t="n">
        <v>0</v>
      </c>
      <c r="I981" t="n">
        <v>0</v>
      </c>
      <c r="J981" t="n">
        <v>0</v>
      </c>
      <c r="K981" t="n">
        <v>0</v>
      </c>
      <c r="L981" t="n">
        <v>0</v>
      </c>
      <c r="M981" t="n">
        <v>0</v>
      </c>
      <c r="N981" t="n">
        <v>0</v>
      </c>
      <c r="O981" t="n">
        <v>0</v>
      </c>
      <c r="P981" t="n">
        <v>0</v>
      </c>
      <c r="Q981" t="n">
        <v>0</v>
      </c>
      <c r="R981" s="2" t="inlineStr"/>
    </row>
    <row r="982" ht="15" customHeight="1">
      <c r="A982" t="inlineStr">
        <is>
          <t>A 56419-2025</t>
        </is>
      </c>
      <c r="B982" s="1" t="n">
        <v>45975.34445601852</v>
      </c>
      <c r="C982" s="1" t="n">
        <v>46049</v>
      </c>
      <c r="D982" t="inlineStr">
        <is>
          <t>VÄSTERNORRLANDS LÄN</t>
        </is>
      </c>
      <c r="E982" t="inlineStr">
        <is>
          <t>ÅNGE</t>
        </is>
      </c>
      <c r="F982" t="inlineStr">
        <is>
          <t>SCA</t>
        </is>
      </c>
      <c r="G982" t="n">
        <v>21.4</v>
      </c>
      <c r="H982" t="n">
        <v>0</v>
      </c>
      <c r="I982" t="n">
        <v>0</v>
      </c>
      <c r="J982" t="n">
        <v>0</v>
      </c>
      <c r="K982" t="n">
        <v>0</v>
      </c>
      <c r="L982" t="n">
        <v>0</v>
      </c>
      <c r="M982" t="n">
        <v>0</v>
      </c>
      <c r="N982" t="n">
        <v>0</v>
      </c>
      <c r="O982" t="n">
        <v>0</v>
      </c>
      <c r="P982" t="n">
        <v>0</v>
      </c>
      <c r="Q982" t="n">
        <v>0</v>
      </c>
      <c r="R982" s="2" t="inlineStr"/>
    </row>
    <row r="983" ht="15" customHeight="1">
      <c r="A983" t="inlineStr">
        <is>
          <t>A 13091-2024</t>
        </is>
      </c>
      <c r="B983" s="1" t="n">
        <v>45385</v>
      </c>
      <c r="C983" s="1" t="n">
        <v>46049</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56666-2025</t>
        </is>
      </c>
      <c r="B984" s="1" t="n">
        <v>45975.67747685185</v>
      </c>
      <c r="C984" s="1" t="n">
        <v>46049</v>
      </c>
      <c r="D984" t="inlineStr">
        <is>
          <t>VÄSTERNORRLANDS LÄN</t>
        </is>
      </c>
      <c r="E984" t="inlineStr">
        <is>
          <t>ÅNGE</t>
        </is>
      </c>
      <c r="G984" t="n">
        <v>5.2</v>
      </c>
      <c r="H984" t="n">
        <v>0</v>
      </c>
      <c r="I984" t="n">
        <v>0</v>
      </c>
      <c r="J984" t="n">
        <v>0</v>
      </c>
      <c r="K984" t="n">
        <v>0</v>
      </c>
      <c r="L984" t="n">
        <v>0</v>
      </c>
      <c r="M984" t="n">
        <v>0</v>
      </c>
      <c r="N984" t="n">
        <v>0</v>
      </c>
      <c r="O984" t="n">
        <v>0</v>
      </c>
      <c r="P984" t="n">
        <v>0</v>
      </c>
      <c r="Q984" t="n">
        <v>0</v>
      </c>
      <c r="R984" s="2" t="inlineStr"/>
    </row>
    <row r="985" ht="15" customHeight="1">
      <c r="A985" t="inlineStr">
        <is>
          <t>A 3624-2024</t>
        </is>
      </c>
      <c r="B985" s="1" t="n">
        <v>45320.95305555555</v>
      </c>
      <c r="C985" s="1" t="n">
        <v>46049</v>
      </c>
      <c r="D985" t="inlineStr">
        <is>
          <t>VÄSTERNORRLANDS LÄN</t>
        </is>
      </c>
      <c r="E985" t="inlineStr">
        <is>
          <t>ÅNGE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56741-2025</t>
        </is>
      </c>
      <c r="B986" s="1" t="n">
        <v>45978.34726851852</v>
      </c>
      <c r="C986" s="1" t="n">
        <v>46049</v>
      </c>
      <c r="D986" t="inlineStr">
        <is>
          <t>VÄSTERNORRLANDS LÄN</t>
        </is>
      </c>
      <c r="E986" t="inlineStr">
        <is>
          <t>ÅNGE</t>
        </is>
      </c>
      <c r="G986" t="n">
        <v>11.4</v>
      </c>
      <c r="H986" t="n">
        <v>0</v>
      </c>
      <c r="I986" t="n">
        <v>0</v>
      </c>
      <c r="J986" t="n">
        <v>0</v>
      </c>
      <c r="K986" t="n">
        <v>0</v>
      </c>
      <c r="L986" t="n">
        <v>0</v>
      </c>
      <c r="M986" t="n">
        <v>0</v>
      </c>
      <c r="N986" t="n">
        <v>0</v>
      </c>
      <c r="O986" t="n">
        <v>0</v>
      </c>
      <c r="P986" t="n">
        <v>0</v>
      </c>
      <c r="Q986" t="n">
        <v>0</v>
      </c>
      <c r="R986" s="2" t="inlineStr"/>
    </row>
    <row r="987" ht="15" customHeight="1">
      <c r="A987" t="inlineStr">
        <is>
          <t>A 1127-2023</t>
        </is>
      </c>
      <c r="B987" s="1" t="n">
        <v>44929</v>
      </c>
      <c r="C987" s="1" t="n">
        <v>46049</v>
      </c>
      <c r="D987" t="inlineStr">
        <is>
          <t>VÄSTERNORRLANDS LÄN</t>
        </is>
      </c>
      <c r="E987" t="inlineStr">
        <is>
          <t>ÅNGE</t>
        </is>
      </c>
      <c r="G987" t="n">
        <v>10.5</v>
      </c>
      <c r="H987" t="n">
        <v>0</v>
      </c>
      <c r="I987" t="n">
        <v>0</v>
      </c>
      <c r="J987" t="n">
        <v>0</v>
      </c>
      <c r="K987" t="n">
        <v>0</v>
      </c>
      <c r="L987" t="n">
        <v>0</v>
      </c>
      <c r="M987" t="n">
        <v>0</v>
      </c>
      <c r="N987" t="n">
        <v>0</v>
      </c>
      <c r="O987" t="n">
        <v>0</v>
      </c>
      <c r="P987" t="n">
        <v>0</v>
      </c>
      <c r="Q987" t="n">
        <v>0</v>
      </c>
      <c r="R987" s="2" t="inlineStr"/>
    </row>
    <row r="988" ht="15" customHeight="1">
      <c r="A988" t="inlineStr">
        <is>
          <t>A 57022-2025</t>
        </is>
      </c>
      <c r="B988" s="1" t="n">
        <v>45978.88921296296</v>
      </c>
      <c r="C988" s="1" t="n">
        <v>46049</v>
      </c>
      <c r="D988" t="inlineStr">
        <is>
          <t>VÄSTERNORRLANDS LÄN</t>
        </is>
      </c>
      <c r="E988" t="inlineStr">
        <is>
          <t>ÅNGE</t>
        </is>
      </c>
      <c r="G988" t="n">
        <v>1.2</v>
      </c>
      <c r="H988" t="n">
        <v>0</v>
      </c>
      <c r="I988" t="n">
        <v>0</v>
      </c>
      <c r="J988" t="n">
        <v>0</v>
      </c>
      <c r="K988" t="n">
        <v>0</v>
      </c>
      <c r="L988" t="n">
        <v>0</v>
      </c>
      <c r="M988" t="n">
        <v>0</v>
      </c>
      <c r="N988" t="n">
        <v>0</v>
      </c>
      <c r="O988" t="n">
        <v>0</v>
      </c>
      <c r="P988" t="n">
        <v>0</v>
      </c>
      <c r="Q988" t="n">
        <v>0</v>
      </c>
      <c r="R988" s="2" t="inlineStr"/>
    </row>
    <row r="989" ht="15" customHeight="1">
      <c r="A989" t="inlineStr">
        <is>
          <t>A 41781-2024</t>
        </is>
      </c>
      <c r="B989" s="1" t="n">
        <v>45561.34938657407</v>
      </c>
      <c r="C989" s="1" t="n">
        <v>46049</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63978-2025</t>
        </is>
      </c>
      <c r="B990" s="1" t="n">
        <v>46021.34421296296</v>
      </c>
      <c r="C990" s="1" t="n">
        <v>46049</v>
      </c>
      <c r="D990" t="inlineStr">
        <is>
          <t>VÄSTERNORRLANDS LÄN</t>
        </is>
      </c>
      <c r="E990" t="inlineStr">
        <is>
          <t>ÅNGE</t>
        </is>
      </c>
      <c r="F990" t="inlineStr">
        <is>
          <t>SCA</t>
        </is>
      </c>
      <c r="G990" t="n">
        <v>8.6</v>
      </c>
      <c r="H990" t="n">
        <v>0</v>
      </c>
      <c r="I990" t="n">
        <v>0</v>
      </c>
      <c r="J990" t="n">
        <v>0</v>
      </c>
      <c r="K990" t="n">
        <v>0</v>
      </c>
      <c r="L990" t="n">
        <v>0</v>
      </c>
      <c r="M990" t="n">
        <v>0</v>
      </c>
      <c r="N990" t="n">
        <v>0</v>
      </c>
      <c r="O990" t="n">
        <v>0</v>
      </c>
      <c r="P990" t="n">
        <v>0</v>
      </c>
      <c r="Q990" t="n">
        <v>0</v>
      </c>
      <c r="R990" s="2" t="inlineStr"/>
    </row>
    <row r="991" ht="15" customHeight="1">
      <c r="A991" t="inlineStr">
        <is>
          <t>A 58469-2023</t>
        </is>
      </c>
      <c r="B991" s="1" t="n">
        <v>45250</v>
      </c>
      <c r="C991" s="1" t="n">
        <v>46049</v>
      </c>
      <c r="D991" t="inlineStr">
        <is>
          <t>VÄSTERNORRLANDS LÄN</t>
        </is>
      </c>
      <c r="E991" t="inlineStr">
        <is>
          <t>ÅNGE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57283-2025</t>
        </is>
      </c>
      <c r="B992" s="1" t="n">
        <v>45979.71918981482</v>
      </c>
      <c r="C992" s="1" t="n">
        <v>46049</v>
      </c>
      <c r="D992" t="inlineStr">
        <is>
          <t>VÄSTERNORRLANDS LÄN</t>
        </is>
      </c>
      <c r="E992" t="inlineStr">
        <is>
          <t>ÅNGE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57457-2025</t>
        </is>
      </c>
      <c r="B993" s="1" t="n">
        <v>45980.53001157408</v>
      </c>
      <c r="C993" s="1" t="n">
        <v>46049</v>
      </c>
      <c r="D993" t="inlineStr">
        <is>
          <t>VÄSTERNORRLANDS LÄN</t>
        </is>
      </c>
      <c r="E993" t="inlineStr">
        <is>
          <t>ÅNGE</t>
        </is>
      </c>
      <c r="G993" t="n">
        <v>2.4</v>
      </c>
      <c r="H993" t="n">
        <v>0</v>
      </c>
      <c r="I993" t="n">
        <v>0</v>
      </c>
      <c r="J993" t="n">
        <v>0</v>
      </c>
      <c r="K993" t="n">
        <v>0</v>
      </c>
      <c r="L993" t="n">
        <v>0</v>
      </c>
      <c r="M993" t="n">
        <v>0</v>
      </c>
      <c r="N993" t="n">
        <v>0</v>
      </c>
      <c r="O993" t="n">
        <v>0</v>
      </c>
      <c r="P993" t="n">
        <v>0</v>
      </c>
      <c r="Q993" t="n">
        <v>0</v>
      </c>
      <c r="R993" s="2" t="inlineStr"/>
    </row>
    <row r="994" ht="15" customHeight="1">
      <c r="A994" t="inlineStr">
        <is>
          <t>A 42090-2024</t>
        </is>
      </c>
      <c r="B994" s="1" t="n">
        <v>45562</v>
      </c>
      <c r="C994" s="1" t="n">
        <v>46049</v>
      </c>
      <c r="D994" t="inlineStr">
        <is>
          <t>VÄSTERNORRLANDS LÄN</t>
        </is>
      </c>
      <c r="E994" t="inlineStr">
        <is>
          <t>ÅNGE</t>
        </is>
      </c>
      <c r="F994" t="inlineStr">
        <is>
          <t>SCA</t>
        </is>
      </c>
      <c r="G994" t="n">
        <v>20.2</v>
      </c>
      <c r="H994" t="n">
        <v>0</v>
      </c>
      <c r="I994" t="n">
        <v>0</v>
      </c>
      <c r="J994" t="n">
        <v>0</v>
      </c>
      <c r="K994" t="n">
        <v>0</v>
      </c>
      <c r="L994" t="n">
        <v>0</v>
      </c>
      <c r="M994" t="n">
        <v>0</v>
      </c>
      <c r="N994" t="n">
        <v>0</v>
      </c>
      <c r="O994" t="n">
        <v>0</v>
      </c>
      <c r="P994" t="n">
        <v>0</v>
      </c>
      <c r="Q994" t="n">
        <v>0</v>
      </c>
      <c r="R994" s="2" t="inlineStr"/>
    </row>
    <row r="995" ht="15" customHeight="1">
      <c r="A995" t="inlineStr">
        <is>
          <t>A 63965-2025</t>
        </is>
      </c>
      <c r="B995" s="1" t="n">
        <v>46020.93445601852</v>
      </c>
      <c r="C995" s="1" t="n">
        <v>46049</v>
      </c>
      <c r="D995" t="inlineStr">
        <is>
          <t>VÄSTERNORRLANDS LÄN</t>
        </is>
      </c>
      <c r="E995" t="inlineStr">
        <is>
          <t>ÅNGE</t>
        </is>
      </c>
      <c r="G995" t="n">
        <v>11.1</v>
      </c>
      <c r="H995" t="n">
        <v>0</v>
      </c>
      <c r="I995" t="n">
        <v>0</v>
      </c>
      <c r="J995" t="n">
        <v>0</v>
      </c>
      <c r="K995" t="n">
        <v>0</v>
      </c>
      <c r="L995" t="n">
        <v>0</v>
      </c>
      <c r="M995" t="n">
        <v>0</v>
      </c>
      <c r="N995" t="n">
        <v>0</v>
      </c>
      <c r="O995" t="n">
        <v>0</v>
      </c>
      <c r="P995" t="n">
        <v>0</v>
      </c>
      <c r="Q995" t="n">
        <v>0</v>
      </c>
      <c r="R995" s="2" t="inlineStr"/>
    </row>
    <row r="996" ht="15" customHeight="1">
      <c r="A996" t="inlineStr">
        <is>
          <t>A 42098-2024</t>
        </is>
      </c>
      <c r="B996" s="1" t="n">
        <v>45562.34532407407</v>
      </c>
      <c r="C996" s="1" t="n">
        <v>46049</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55324-2023</t>
        </is>
      </c>
      <c r="B997" s="1" t="n">
        <v>45237.9734837963</v>
      </c>
      <c r="C997" s="1" t="n">
        <v>46049</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64080-2025</t>
        </is>
      </c>
      <c r="B998" s="1" t="n">
        <v>46021.67752314815</v>
      </c>
      <c r="C998" s="1" t="n">
        <v>46049</v>
      </c>
      <c r="D998" t="inlineStr">
        <is>
          <t>VÄSTERNORRLANDS LÄN</t>
        </is>
      </c>
      <c r="E998" t="inlineStr">
        <is>
          <t>ÅNGE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4361-2024</t>
        </is>
      </c>
      <c r="B999" s="1" t="n">
        <v>45325.65047453704</v>
      </c>
      <c r="C999" s="1" t="n">
        <v>46049</v>
      </c>
      <c r="D999" t="inlineStr">
        <is>
          <t>VÄSTERNORRLANDS LÄN</t>
        </is>
      </c>
      <c r="E999" t="inlineStr">
        <is>
          <t>ÅNGE</t>
        </is>
      </c>
      <c r="G999" t="n">
        <v>1.3</v>
      </c>
      <c r="H999" t="n">
        <v>0</v>
      </c>
      <c r="I999" t="n">
        <v>0</v>
      </c>
      <c r="J999" t="n">
        <v>0</v>
      </c>
      <c r="K999" t="n">
        <v>0</v>
      </c>
      <c r="L999" t="n">
        <v>0</v>
      </c>
      <c r="M999" t="n">
        <v>0</v>
      </c>
      <c r="N999" t="n">
        <v>0</v>
      </c>
      <c r="O999" t="n">
        <v>0</v>
      </c>
      <c r="P999" t="n">
        <v>0</v>
      </c>
      <c r="Q999" t="n">
        <v>0</v>
      </c>
      <c r="R999" s="2" t="inlineStr"/>
    </row>
    <row r="1000" ht="15" customHeight="1">
      <c r="A1000" t="inlineStr">
        <is>
          <t>A 57302-2025</t>
        </is>
      </c>
      <c r="B1000" s="1" t="n">
        <v>45979.87184027778</v>
      </c>
      <c r="C1000" s="1" t="n">
        <v>46049</v>
      </c>
      <c r="D1000" t="inlineStr">
        <is>
          <t>VÄSTERNORRLANDS LÄN</t>
        </is>
      </c>
      <c r="E1000" t="inlineStr">
        <is>
          <t>ÅNGE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65229-2021</t>
        </is>
      </c>
      <c r="B1001" s="1" t="n">
        <v>44515</v>
      </c>
      <c r="C1001" s="1" t="n">
        <v>46049</v>
      </c>
      <c r="D1001" t="inlineStr">
        <is>
          <t>VÄSTERNORRLANDS LÄN</t>
        </is>
      </c>
      <c r="E1001" t="inlineStr">
        <is>
          <t>ÅNGE</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32069-2023</t>
        </is>
      </c>
      <c r="B1002" s="1" t="n">
        <v>45107</v>
      </c>
      <c r="C1002" s="1" t="n">
        <v>46049</v>
      </c>
      <c r="D1002" t="inlineStr">
        <is>
          <t>VÄSTERNORRLANDS LÄN</t>
        </is>
      </c>
      <c r="E1002" t="inlineStr">
        <is>
          <t>ÅNGE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19829-2025</t>
        </is>
      </c>
      <c r="B1003" s="1" t="n">
        <v>45771.46944444445</v>
      </c>
      <c r="C1003" s="1" t="n">
        <v>46049</v>
      </c>
      <c r="D1003" t="inlineStr">
        <is>
          <t>VÄSTERNORRLANDS LÄN</t>
        </is>
      </c>
      <c r="E1003" t="inlineStr">
        <is>
          <t>ÅNGE</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57081-2025</t>
        </is>
      </c>
      <c r="B1004" s="1" t="n">
        <v>45979.40826388889</v>
      </c>
      <c r="C1004" s="1" t="n">
        <v>46049</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57371-2025</t>
        </is>
      </c>
      <c r="B1005" s="1" t="n">
        <v>45980.38586805556</v>
      </c>
      <c r="C1005" s="1" t="n">
        <v>46049</v>
      </c>
      <c r="D1005" t="inlineStr">
        <is>
          <t>VÄSTERNORRLANDS LÄN</t>
        </is>
      </c>
      <c r="E1005" t="inlineStr">
        <is>
          <t>ÅNGE</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46015-2024</t>
        </is>
      </c>
      <c r="B1006" s="1" t="n">
        <v>45580.67760416667</v>
      </c>
      <c r="C1006" s="1" t="n">
        <v>46049</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57961-2025</t>
        </is>
      </c>
      <c r="B1007" s="1" t="n">
        <v>45982.36502314815</v>
      </c>
      <c r="C1007" s="1" t="n">
        <v>46049</v>
      </c>
      <c r="D1007" t="inlineStr">
        <is>
          <t>VÄSTERNORRLANDS LÄN</t>
        </is>
      </c>
      <c r="E1007" t="inlineStr">
        <is>
          <t>ÅNGE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41302-2024</t>
        </is>
      </c>
      <c r="B1008" s="1" t="n">
        <v>45559.62077546296</v>
      </c>
      <c r="C1008" s="1" t="n">
        <v>46049</v>
      </c>
      <c r="D1008" t="inlineStr">
        <is>
          <t>VÄSTERNORRLANDS LÄN</t>
        </is>
      </c>
      <c r="E1008" t="inlineStr">
        <is>
          <t>ÅNGE</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16576-2023</t>
        </is>
      </c>
      <c r="B1009" s="1" t="n">
        <v>45029.94251157407</v>
      </c>
      <c r="C1009" s="1" t="n">
        <v>46049</v>
      </c>
      <c r="D1009" t="inlineStr">
        <is>
          <t>VÄSTERNORRLANDS LÄN</t>
        </is>
      </c>
      <c r="E1009" t="inlineStr">
        <is>
          <t>ÅNGE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37503-2023</t>
        </is>
      </c>
      <c r="B1010" s="1" t="n">
        <v>45157.5796875</v>
      </c>
      <c r="C1010" s="1" t="n">
        <v>46049</v>
      </c>
      <c r="D1010" t="inlineStr">
        <is>
          <t>VÄSTERNORRLANDS LÄN</t>
        </is>
      </c>
      <c r="E1010" t="inlineStr">
        <is>
          <t>ÅNGE</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58048-2025</t>
        </is>
      </c>
      <c r="B1011" s="1" t="n">
        <v>45982.5109837963</v>
      </c>
      <c r="C1011" s="1" t="n">
        <v>46049</v>
      </c>
      <c r="D1011" t="inlineStr">
        <is>
          <t>VÄSTERNORRLANDS LÄN</t>
        </is>
      </c>
      <c r="E1011" t="inlineStr">
        <is>
          <t>ÅNGE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3323-2023</t>
        </is>
      </c>
      <c r="B1012" s="1" t="n">
        <v>44945</v>
      </c>
      <c r="C1012" s="1" t="n">
        <v>46049</v>
      </c>
      <c r="D1012" t="inlineStr">
        <is>
          <t>VÄSTERNORRLANDS LÄN</t>
        </is>
      </c>
      <c r="E1012" t="inlineStr">
        <is>
          <t>ÅNGE</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51377-2024</t>
        </is>
      </c>
      <c r="B1013" s="1" t="n">
        <v>45604.38142361111</v>
      </c>
      <c r="C1013" s="1" t="n">
        <v>46049</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57615-2025</t>
        </is>
      </c>
      <c r="B1014" s="1" t="n">
        <v>45981.34431712963</v>
      </c>
      <c r="C1014" s="1" t="n">
        <v>46049</v>
      </c>
      <c r="D1014" t="inlineStr">
        <is>
          <t>VÄSTERNORRLANDS LÄN</t>
        </is>
      </c>
      <c r="E1014" t="inlineStr">
        <is>
          <t>ÅNGE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57991-2025</t>
        </is>
      </c>
      <c r="B1015" s="1" t="n">
        <v>45982.42438657407</v>
      </c>
      <c r="C1015" s="1" t="n">
        <v>46049</v>
      </c>
      <c r="D1015" t="inlineStr">
        <is>
          <t>VÄSTERNORRLANDS LÄN</t>
        </is>
      </c>
      <c r="E1015" t="inlineStr">
        <is>
          <t>ÅNGE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57950-2025</t>
        </is>
      </c>
      <c r="B1016" s="1" t="n">
        <v>45982.34473379629</v>
      </c>
      <c r="C1016" s="1" t="n">
        <v>46049</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60860-2022</t>
        </is>
      </c>
      <c r="B1017" s="1" t="n">
        <v>44914</v>
      </c>
      <c r="C1017" s="1" t="n">
        <v>46049</v>
      </c>
      <c r="D1017" t="inlineStr">
        <is>
          <t>VÄSTERNORRLANDS LÄN</t>
        </is>
      </c>
      <c r="E1017" t="inlineStr">
        <is>
          <t>ÅNGE</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57960-2025</t>
        </is>
      </c>
      <c r="B1018" s="1" t="n">
        <v>45982.36494212963</v>
      </c>
      <c r="C1018" s="1" t="n">
        <v>46049</v>
      </c>
      <c r="D1018" t="inlineStr">
        <is>
          <t>VÄSTERNORRLANDS LÄN</t>
        </is>
      </c>
      <c r="E1018" t="inlineStr">
        <is>
          <t>ÅNGE</t>
        </is>
      </c>
      <c r="F1018" t="inlineStr">
        <is>
          <t>SCA</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58750-2025</t>
        </is>
      </c>
      <c r="B1019" s="1" t="n">
        <v>45986.64064814815</v>
      </c>
      <c r="C1019" s="1" t="n">
        <v>46049</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58536-2025</t>
        </is>
      </c>
      <c r="B1020" s="1" t="n">
        <v>45985.83274305556</v>
      </c>
      <c r="C1020" s="1" t="n">
        <v>46049</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58388-2025</t>
        </is>
      </c>
      <c r="B1021" s="1" t="n">
        <v>45985.54685185185</v>
      </c>
      <c r="C1021" s="1" t="n">
        <v>46049</v>
      </c>
      <c r="D1021" t="inlineStr">
        <is>
          <t>VÄSTERNORRLANDS LÄN</t>
        </is>
      </c>
      <c r="E1021" t="inlineStr">
        <is>
          <t>ÅNGE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58366-2025</t>
        </is>
      </c>
      <c r="B1022" s="1" t="n">
        <v>45985.52600694444</v>
      </c>
      <c r="C1022" s="1" t="n">
        <v>46049</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58268-2025</t>
        </is>
      </c>
      <c r="B1023" s="1" t="n">
        <v>45985.42450231482</v>
      </c>
      <c r="C1023" s="1" t="n">
        <v>46049</v>
      </c>
      <c r="D1023" t="inlineStr">
        <is>
          <t>VÄSTERNORRLANDS LÄN</t>
        </is>
      </c>
      <c r="E1023" t="inlineStr">
        <is>
          <t>ÅNGE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57286-2022</t>
        </is>
      </c>
      <c r="B1024" s="1" t="n">
        <v>44895.94991898148</v>
      </c>
      <c r="C1024" s="1" t="n">
        <v>46049</v>
      </c>
      <c r="D1024" t="inlineStr">
        <is>
          <t>VÄSTERNORRLANDS LÄN</t>
        </is>
      </c>
      <c r="E1024" t="inlineStr">
        <is>
          <t>ÅNGE</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16572-2023</t>
        </is>
      </c>
      <c r="B1025" s="1" t="n">
        <v>45029.94224537037</v>
      </c>
      <c r="C1025" s="1" t="n">
        <v>46049</v>
      </c>
      <c r="D1025" t="inlineStr">
        <is>
          <t>VÄSTERNORRLANDS LÄN</t>
        </is>
      </c>
      <c r="E1025" t="inlineStr">
        <is>
          <t>ÅNGE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16365-2023</t>
        </is>
      </c>
      <c r="B1026" s="1" t="n">
        <v>45028</v>
      </c>
      <c r="C1026" s="1" t="n">
        <v>46049</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58588-2025</t>
        </is>
      </c>
      <c r="B1027" s="1" t="n">
        <v>45986.4065625</v>
      </c>
      <c r="C1027" s="1" t="n">
        <v>46049</v>
      </c>
      <c r="D1027" t="inlineStr">
        <is>
          <t>VÄSTERNORRLANDS LÄN</t>
        </is>
      </c>
      <c r="E1027" t="inlineStr">
        <is>
          <t>ÅNGE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58605-2025</t>
        </is>
      </c>
      <c r="B1028" s="1" t="n">
        <v>45986</v>
      </c>
      <c r="C1028" s="1" t="n">
        <v>46049</v>
      </c>
      <c r="D1028" t="inlineStr">
        <is>
          <t>VÄSTERNORRLANDS LÄN</t>
        </is>
      </c>
      <c r="E1028" t="inlineStr">
        <is>
          <t>ÅNGE</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58585-2025</t>
        </is>
      </c>
      <c r="B1029" s="1" t="n">
        <v>45986.39733796296</v>
      </c>
      <c r="C1029" s="1" t="n">
        <v>46049</v>
      </c>
      <c r="D1029" t="inlineStr">
        <is>
          <t>VÄSTERNORRLANDS LÄN</t>
        </is>
      </c>
      <c r="E1029" t="inlineStr">
        <is>
          <t>ÅNGE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353-2026</t>
        </is>
      </c>
      <c r="B1030" s="1" t="n">
        <v>46027.63585648148</v>
      </c>
      <c r="C1030" s="1" t="n">
        <v>46049</v>
      </c>
      <c r="D1030" t="inlineStr">
        <is>
          <t>VÄSTERNORRLANDS LÄN</t>
        </is>
      </c>
      <c r="E1030" t="inlineStr">
        <is>
          <t>ÅNGE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58486-2025</t>
        </is>
      </c>
      <c r="B1031" s="1" t="n">
        <v>45985.65660879629</v>
      </c>
      <c r="C1031" s="1" t="n">
        <v>46049</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24063-2023</t>
        </is>
      </c>
      <c r="B1032" s="1" t="n">
        <v>45078.94140046297</v>
      </c>
      <c r="C1032" s="1" t="n">
        <v>46049</v>
      </c>
      <c r="D1032" t="inlineStr">
        <is>
          <t>VÄSTERNORRLANDS LÄN</t>
        </is>
      </c>
      <c r="E1032" t="inlineStr">
        <is>
          <t>ÅNGE</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345-2026</t>
        </is>
      </c>
      <c r="B1033" s="1" t="n">
        <v>46027.61515046296</v>
      </c>
      <c r="C1033" s="1" t="n">
        <v>46049</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58242-2025</t>
        </is>
      </c>
      <c r="B1034" s="1" t="n">
        <v>45985.38802083334</v>
      </c>
      <c r="C1034" s="1" t="n">
        <v>46049</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232-2026</t>
        </is>
      </c>
      <c r="B1035" s="1" t="n">
        <v>46027.34425925926</v>
      </c>
      <c r="C1035" s="1" t="n">
        <v>46049</v>
      </c>
      <c r="D1035" t="inlineStr">
        <is>
          <t>VÄSTERNORRLANDS LÄN</t>
        </is>
      </c>
      <c r="E1035" t="inlineStr">
        <is>
          <t>ÅNGE</t>
        </is>
      </c>
      <c r="F1035" t="inlineStr">
        <is>
          <t>SCA</t>
        </is>
      </c>
      <c r="G1035" t="n">
        <v>37.7</v>
      </c>
      <c r="H1035" t="n">
        <v>0</v>
      </c>
      <c r="I1035" t="n">
        <v>0</v>
      </c>
      <c r="J1035" t="n">
        <v>0</v>
      </c>
      <c r="K1035" t="n">
        <v>0</v>
      </c>
      <c r="L1035" t="n">
        <v>0</v>
      </c>
      <c r="M1035" t="n">
        <v>0</v>
      </c>
      <c r="N1035" t="n">
        <v>0</v>
      </c>
      <c r="O1035" t="n">
        <v>0</v>
      </c>
      <c r="P1035" t="n">
        <v>0</v>
      </c>
      <c r="Q1035" t="n">
        <v>0</v>
      </c>
      <c r="R1035" s="2" t="inlineStr"/>
    </row>
    <row r="1036" ht="15" customHeight="1">
      <c r="A1036" t="inlineStr">
        <is>
          <t>A 58439-2025</t>
        </is>
      </c>
      <c r="B1036" s="1" t="n">
        <v>45985.61518518518</v>
      </c>
      <c r="C1036" s="1" t="n">
        <v>46049</v>
      </c>
      <c r="D1036" t="inlineStr">
        <is>
          <t>VÄSTERNORRLANDS LÄN</t>
        </is>
      </c>
      <c r="E1036" t="inlineStr">
        <is>
          <t>ÅNGE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58524-2025</t>
        </is>
      </c>
      <c r="B1037" s="1" t="n">
        <v>45985.7190162037</v>
      </c>
      <c r="C1037" s="1" t="n">
        <v>46049</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10087-2023</t>
        </is>
      </c>
      <c r="B1038" s="1" t="n">
        <v>44985</v>
      </c>
      <c r="C1038" s="1" t="n">
        <v>46049</v>
      </c>
      <c r="D1038" t="inlineStr">
        <is>
          <t>VÄSTERNORRLANDS LÄN</t>
        </is>
      </c>
      <c r="E1038" t="inlineStr">
        <is>
          <t>ÅNGE</t>
        </is>
      </c>
      <c r="F1038" t="inlineStr">
        <is>
          <t>SCA</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58639-2025</t>
        </is>
      </c>
      <c r="B1039" s="1" t="n">
        <v>45986.49042824074</v>
      </c>
      <c r="C1039" s="1" t="n">
        <v>46049</v>
      </c>
      <c r="D1039" t="inlineStr">
        <is>
          <t>VÄSTERNORRLANDS LÄN</t>
        </is>
      </c>
      <c r="E1039" t="inlineStr">
        <is>
          <t>ÅNGE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27682-2023</t>
        </is>
      </c>
      <c r="B1040" s="1" t="n">
        <v>45097.93758101852</v>
      </c>
      <c r="C1040" s="1" t="n">
        <v>46049</v>
      </c>
      <c r="D1040" t="inlineStr">
        <is>
          <t>VÄSTERNORRLANDS LÄN</t>
        </is>
      </c>
      <c r="E1040" t="inlineStr">
        <is>
          <t>ÅNGE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58599-2025</t>
        </is>
      </c>
      <c r="B1041" s="1" t="n">
        <v>45986.42644675926</v>
      </c>
      <c r="C1041" s="1" t="n">
        <v>46049</v>
      </c>
      <c r="D1041" t="inlineStr">
        <is>
          <t>VÄSTERNORRLANDS LÄN</t>
        </is>
      </c>
      <c r="E1041" t="inlineStr">
        <is>
          <t>ÅNGE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58406-2025</t>
        </is>
      </c>
      <c r="B1042" s="1" t="n">
        <v>45985.56913194444</v>
      </c>
      <c r="C1042" s="1" t="n">
        <v>46049</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38795-2023</t>
        </is>
      </c>
      <c r="B1043" s="1" t="n">
        <v>45162</v>
      </c>
      <c r="C1043" s="1" t="n">
        <v>46049</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35979-2023</t>
        </is>
      </c>
      <c r="B1044" s="1" t="n">
        <v>45148</v>
      </c>
      <c r="C1044" s="1" t="n">
        <v>46049</v>
      </c>
      <c r="D1044" t="inlineStr">
        <is>
          <t>VÄSTERNORRLANDS LÄN</t>
        </is>
      </c>
      <c r="E1044" t="inlineStr">
        <is>
          <t>ÅNGE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58240-2025</t>
        </is>
      </c>
      <c r="B1045" s="1" t="n">
        <v>45985.38796296297</v>
      </c>
      <c r="C1045" s="1" t="n">
        <v>46049</v>
      </c>
      <c r="D1045" t="inlineStr">
        <is>
          <t>VÄSTERNORRLANDS LÄN</t>
        </is>
      </c>
      <c r="E1045" t="inlineStr">
        <is>
          <t>ÅNGE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58270-2025</t>
        </is>
      </c>
      <c r="B1046" s="1" t="n">
        <v>45985.42633101852</v>
      </c>
      <c r="C1046" s="1" t="n">
        <v>46049</v>
      </c>
      <c r="D1046" t="inlineStr">
        <is>
          <t>VÄSTERNORRLANDS LÄN</t>
        </is>
      </c>
      <c r="E1046" t="inlineStr">
        <is>
          <t>ÅNGE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58890-2025</t>
        </is>
      </c>
      <c r="B1047" s="1" t="n">
        <v>45987.49006944444</v>
      </c>
      <c r="C1047" s="1" t="n">
        <v>46049</v>
      </c>
      <c r="D1047" t="inlineStr">
        <is>
          <t>VÄSTERNORRLANDS LÄN</t>
        </is>
      </c>
      <c r="E1047" t="inlineStr">
        <is>
          <t>ÅNGE</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35582-2024</t>
        </is>
      </c>
      <c r="B1048" s="1" t="n">
        <v>45531.64800925926</v>
      </c>
      <c r="C1048" s="1" t="n">
        <v>46049</v>
      </c>
      <c r="D1048" t="inlineStr">
        <is>
          <t>VÄSTERNORRLANDS LÄN</t>
        </is>
      </c>
      <c r="E1048" t="inlineStr">
        <is>
          <t>ÅNGE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36466-2024</t>
        </is>
      </c>
      <c r="B1049" s="1" t="n">
        <v>45537.35872685185</v>
      </c>
      <c r="C1049" s="1" t="n">
        <v>46049</v>
      </c>
      <c r="D1049" t="inlineStr">
        <is>
          <t>VÄSTERNORRLANDS LÄN</t>
        </is>
      </c>
      <c r="E1049" t="inlineStr">
        <is>
          <t>ÅNGE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52785-2024</t>
        </is>
      </c>
      <c r="B1050" s="1" t="n">
        <v>45610.55273148148</v>
      </c>
      <c r="C1050" s="1" t="n">
        <v>46049</v>
      </c>
      <c r="D1050" t="inlineStr">
        <is>
          <t>VÄSTERNORRLANDS LÄN</t>
        </is>
      </c>
      <c r="E1050" t="inlineStr">
        <is>
          <t>ÅNGE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52786-2024</t>
        </is>
      </c>
      <c r="B1051" s="1" t="n">
        <v>45610.55283564814</v>
      </c>
      <c r="C1051" s="1" t="n">
        <v>46049</v>
      </c>
      <c r="D1051" t="inlineStr">
        <is>
          <t>VÄSTERNORRLANDS LÄN</t>
        </is>
      </c>
      <c r="E1051" t="inlineStr">
        <is>
          <t>ÅNGE</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59062-2025</t>
        </is>
      </c>
      <c r="B1052" s="1" t="n">
        <v>45988.40723379629</v>
      </c>
      <c r="C1052" s="1" t="n">
        <v>46049</v>
      </c>
      <c r="D1052" t="inlineStr">
        <is>
          <t>VÄSTERNORRLANDS LÄN</t>
        </is>
      </c>
      <c r="E1052" t="inlineStr">
        <is>
          <t>ÅNGE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59064-2025</t>
        </is>
      </c>
      <c r="B1053" s="1" t="n">
        <v>45988.40768518519</v>
      </c>
      <c r="C1053" s="1" t="n">
        <v>46049</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59023-2025</t>
        </is>
      </c>
      <c r="B1054" s="1" t="n">
        <v>45988</v>
      </c>
      <c r="C1054" s="1" t="n">
        <v>46049</v>
      </c>
      <c r="D1054" t="inlineStr">
        <is>
          <t>VÄSTERNORRLANDS LÄN</t>
        </is>
      </c>
      <c r="E1054" t="inlineStr">
        <is>
          <t>ÅNGE</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59022-2025</t>
        </is>
      </c>
      <c r="B1055" s="1" t="n">
        <v>45988</v>
      </c>
      <c r="C1055" s="1" t="n">
        <v>46049</v>
      </c>
      <c r="D1055" t="inlineStr">
        <is>
          <t>VÄSTERNORRLANDS LÄN</t>
        </is>
      </c>
      <c r="E1055" t="inlineStr">
        <is>
          <t>ÅNGE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59063-2025</t>
        </is>
      </c>
      <c r="B1056" s="1" t="n">
        <v>45988.40734953704</v>
      </c>
      <c r="C1056" s="1" t="n">
        <v>46049</v>
      </c>
      <c r="D1056" t="inlineStr">
        <is>
          <t>VÄSTERNORRLANDS LÄN</t>
        </is>
      </c>
      <c r="E1056" t="inlineStr">
        <is>
          <t>ÅNGE</t>
        </is>
      </c>
      <c r="F1056" t="inlineStr">
        <is>
          <t>SCA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48787-2024</t>
        </is>
      </c>
      <c r="B1057" s="1" t="n">
        <v>45593.63888888889</v>
      </c>
      <c r="C1057" s="1" t="n">
        <v>46049</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58939-2021</t>
        </is>
      </c>
      <c r="B1058" s="1" t="n">
        <v>44489</v>
      </c>
      <c r="C1058" s="1" t="n">
        <v>46049</v>
      </c>
      <c r="D1058" t="inlineStr">
        <is>
          <t>VÄSTERNORRLANDS LÄN</t>
        </is>
      </c>
      <c r="E1058" t="inlineStr">
        <is>
          <t>ÅNGE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42969-2024</t>
        </is>
      </c>
      <c r="B1059" s="1" t="n">
        <v>45567.37300925926</v>
      </c>
      <c r="C1059" s="1" t="n">
        <v>46049</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52683-2024</t>
        </is>
      </c>
      <c r="B1060" s="1" t="n">
        <v>45610</v>
      </c>
      <c r="C1060" s="1" t="n">
        <v>46049</v>
      </c>
      <c r="D1060" t="inlineStr">
        <is>
          <t>VÄSTERNORRLANDS LÄN</t>
        </is>
      </c>
      <c r="E1060" t="inlineStr">
        <is>
          <t>ÅNGE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37558-2023</t>
        </is>
      </c>
      <c r="B1061" s="1" t="n">
        <v>45159.34511574074</v>
      </c>
      <c r="C1061" s="1" t="n">
        <v>46049</v>
      </c>
      <c r="D1061" t="inlineStr">
        <is>
          <t>VÄSTERNORRLANDS LÄN</t>
        </is>
      </c>
      <c r="E1061" t="inlineStr">
        <is>
          <t>ÅNGE</t>
        </is>
      </c>
      <c r="F1061" t="inlineStr">
        <is>
          <t>Kyrkan</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34852-2023</t>
        </is>
      </c>
      <c r="B1062" s="1" t="n">
        <v>45141</v>
      </c>
      <c r="C1062" s="1" t="n">
        <v>46049</v>
      </c>
      <c r="D1062" t="inlineStr">
        <is>
          <t>VÄSTERNORRLANDS LÄN</t>
        </is>
      </c>
      <c r="E1062" t="inlineStr">
        <is>
          <t>ÅNGE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19798-2025</t>
        </is>
      </c>
      <c r="B1063" s="1" t="n">
        <v>45771.44824074074</v>
      </c>
      <c r="C1063" s="1" t="n">
        <v>46049</v>
      </c>
      <c r="D1063" t="inlineStr">
        <is>
          <t>VÄSTERNORRLANDS LÄN</t>
        </is>
      </c>
      <c r="E1063" t="inlineStr">
        <is>
          <t>ÅNGE</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58892-2025</t>
        </is>
      </c>
      <c r="B1064" s="1" t="n">
        <v>45987.49056712963</v>
      </c>
      <c r="C1064" s="1" t="n">
        <v>46049</v>
      </c>
      <c r="D1064" t="inlineStr">
        <is>
          <t>VÄSTERNORRLANDS LÄN</t>
        </is>
      </c>
      <c r="E1064" t="inlineStr">
        <is>
          <t>ÅNGE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10558-2023</t>
        </is>
      </c>
      <c r="B1065" s="1" t="n">
        <v>44987.94438657408</v>
      </c>
      <c r="C1065" s="1" t="n">
        <v>46049</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58823-2025</t>
        </is>
      </c>
      <c r="B1066" s="1" t="n">
        <v>45987.3453125</v>
      </c>
      <c r="C1066" s="1" t="n">
        <v>46049</v>
      </c>
      <c r="D1066" t="inlineStr">
        <is>
          <t>VÄSTERNORRLANDS LÄN</t>
        </is>
      </c>
      <c r="E1066" t="inlineStr">
        <is>
          <t>ÅNGE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49487-2024</t>
        </is>
      </c>
      <c r="B1067" s="1" t="n">
        <v>45596.35813657408</v>
      </c>
      <c r="C1067" s="1" t="n">
        <v>46049</v>
      </c>
      <c r="D1067" t="inlineStr">
        <is>
          <t>VÄSTERNORRLANDS LÄN</t>
        </is>
      </c>
      <c r="E1067" t="inlineStr">
        <is>
          <t>ÅNGE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703-2026</t>
        </is>
      </c>
      <c r="B1068" s="1" t="n">
        <v>46029.61604166667</v>
      </c>
      <c r="C1068" s="1" t="n">
        <v>46049</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44606-2024</t>
        </is>
      </c>
      <c r="B1069" s="1" t="n">
        <v>45574.51195601852</v>
      </c>
      <c r="C1069" s="1" t="n">
        <v>46049</v>
      </c>
      <c r="D1069" t="inlineStr">
        <is>
          <t>VÄSTERNORRLANDS LÄN</t>
        </is>
      </c>
      <c r="E1069" t="inlineStr">
        <is>
          <t>ÅNGE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44626-2024</t>
        </is>
      </c>
      <c r="B1070" s="1" t="n">
        <v>45574.51378472222</v>
      </c>
      <c r="C1070" s="1" t="n">
        <v>46049</v>
      </c>
      <c r="D1070" t="inlineStr">
        <is>
          <t>VÄSTERNORRLANDS LÄN</t>
        </is>
      </c>
      <c r="E1070" t="inlineStr">
        <is>
          <t>ÅNGE</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58906-2025</t>
        </is>
      </c>
      <c r="B1071" s="1" t="n">
        <v>45987.51087962963</v>
      </c>
      <c r="C1071" s="1" t="n">
        <v>46049</v>
      </c>
      <c r="D1071" t="inlineStr">
        <is>
          <t>VÄSTERNORRLANDS LÄN</t>
        </is>
      </c>
      <c r="E1071" t="inlineStr">
        <is>
          <t>ÅNGE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58907-2025</t>
        </is>
      </c>
      <c r="B1072" s="1" t="n">
        <v>45987.51108796296</v>
      </c>
      <c r="C1072" s="1" t="n">
        <v>46049</v>
      </c>
      <c r="D1072" t="inlineStr">
        <is>
          <t>VÄSTERNORRLANDS LÄN</t>
        </is>
      </c>
      <c r="E1072" t="inlineStr">
        <is>
          <t>ÅNGE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59065-2025</t>
        </is>
      </c>
      <c r="B1073" s="1" t="n">
        <v>45988.40780092592</v>
      </c>
      <c r="C1073" s="1" t="n">
        <v>46049</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61781-2023</t>
        </is>
      </c>
      <c r="B1074" s="1" t="n">
        <v>45265.95708333333</v>
      </c>
      <c r="C1074" s="1" t="n">
        <v>46049</v>
      </c>
      <c r="D1074" t="inlineStr">
        <is>
          <t>VÄSTERNORRLANDS LÄN</t>
        </is>
      </c>
      <c r="E1074" t="inlineStr">
        <is>
          <t>ÅNGE</t>
        </is>
      </c>
      <c r="F1074" t="inlineStr">
        <is>
          <t>SCA</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627-2026</t>
        </is>
      </c>
      <c r="B1075" s="1" t="n">
        <v>46029.55262731481</v>
      </c>
      <c r="C1075" s="1" t="n">
        <v>46049</v>
      </c>
      <c r="D1075" t="inlineStr">
        <is>
          <t>VÄSTERNORRLANDS LÄN</t>
        </is>
      </c>
      <c r="E1075" t="inlineStr">
        <is>
          <t>ÅNGE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59259-2025</t>
        </is>
      </c>
      <c r="B1076" s="1" t="n">
        <v>45988.65748842592</v>
      </c>
      <c r="C1076" s="1" t="n">
        <v>46049</v>
      </c>
      <c r="D1076" t="inlineStr">
        <is>
          <t>VÄSTERNORRLANDS LÄN</t>
        </is>
      </c>
      <c r="E1076" t="inlineStr">
        <is>
          <t>ÅNGE</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1280-2026</t>
        </is>
      </c>
      <c r="B1077" s="1" t="n">
        <v>46031.47851851852</v>
      </c>
      <c r="C1077" s="1" t="n">
        <v>46049</v>
      </c>
      <c r="D1077" t="inlineStr">
        <is>
          <t>VÄSTERNORRLANDS LÄN</t>
        </is>
      </c>
      <c r="E1077" t="inlineStr">
        <is>
          <t>ÅNGE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49187-2024</t>
        </is>
      </c>
      <c r="B1078" s="1" t="n">
        <v>45595.34490740741</v>
      </c>
      <c r="C1078" s="1" t="n">
        <v>46049</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28873-2024</t>
        </is>
      </c>
      <c r="B1079" s="1" t="n">
        <v>45478.94766203704</v>
      </c>
      <c r="C1079" s="1" t="n">
        <v>46049</v>
      </c>
      <c r="D1079" t="inlineStr">
        <is>
          <t>VÄSTERNORRLANDS LÄN</t>
        </is>
      </c>
      <c r="E1079" t="inlineStr">
        <is>
          <t>ÅNGE</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59641-2025</t>
        </is>
      </c>
      <c r="B1080" s="1" t="n">
        <v>45992.4175925926</v>
      </c>
      <c r="C1080" s="1" t="n">
        <v>46049</v>
      </c>
      <c r="D1080" t="inlineStr">
        <is>
          <t>VÄSTERNORRLANDS LÄN</t>
        </is>
      </c>
      <c r="E1080" t="inlineStr">
        <is>
          <t>ÅNGE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31563-2024</t>
        </is>
      </c>
      <c r="B1081" s="1" t="n">
        <v>45505</v>
      </c>
      <c r="C1081" s="1" t="n">
        <v>46049</v>
      </c>
      <c r="D1081" t="inlineStr">
        <is>
          <t>VÄSTERNORRLANDS LÄN</t>
        </is>
      </c>
      <c r="E1081" t="inlineStr">
        <is>
          <t>ÅNGE</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59319-2025</t>
        </is>
      </c>
      <c r="B1082" s="1" t="n">
        <v>45989.33283564815</v>
      </c>
      <c r="C1082" s="1" t="n">
        <v>46049</v>
      </c>
      <c r="D1082" t="inlineStr">
        <is>
          <t>VÄSTERNORRLANDS LÄN</t>
        </is>
      </c>
      <c r="E1082" t="inlineStr">
        <is>
          <t>ÅNGE</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59331-2025</t>
        </is>
      </c>
      <c r="B1083" s="1" t="n">
        <v>45989.35978009259</v>
      </c>
      <c r="C1083" s="1" t="n">
        <v>46049</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1654-2026</t>
        </is>
      </c>
      <c r="B1084" s="1" t="n">
        <v>46034.53197916667</v>
      </c>
      <c r="C1084" s="1" t="n">
        <v>46049</v>
      </c>
      <c r="D1084" t="inlineStr">
        <is>
          <t>VÄSTERNORRLANDS LÄN</t>
        </is>
      </c>
      <c r="E1084" t="inlineStr">
        <is>
          <t>ÅNGE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34705-2023</t>
        </is>
      </c>
      <c r="B1085" s="1" t="n">
        <v>45140.96452546296</v>
      </c>
      <c r="C1085" s="1" t="n">
        <v>46049</v>
      </c>
      <c r="D1085" t="inlineStr">
        <is>
          <t>VÄSTERNORRLANDS LÄN</t>
        </is>
      </c>
      <c r="E1085" t="inlineStr">
        <is>
          <t>ÅNGE</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34750-2023</t>
        </is>
      </c>
      <c r="B1086" s="1" t="n">
        <v>45139</v>
      </c>
      <c r="C1086" s="1" t="n">
        <v>46049</v>
      </c>
      <c r="D1086" t="inlineStr">
        <is>
          <t>VÄSTERNORRLANDS LÄN</t>
        </is>
      </c>
      <c r="E1086" t="inlineStr">
        <is>
          <t>ÅNGE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69790-2021</t>
        </is>
      </c>
      <c r="B1087" s="1" t="n">
        <v>44532.605625</v>
      </c>
      <c r="C1087" s="1" t="n">
        <v>46049</v>
      </c>
      <c r="D1087" t="inlineStr">
        <is>
          <t>VÄSTERNORRLANDS LÄN</t>
        </is>
      </c>
      <c r="E1087" t="inlineStr">
        <is>
          <t>ÅNGE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3330-2025</t>
        </is>
      </c>
      <c r="B1088" s="1" t="n">
        <v>45679.70041666667</v>
      </c>
      <c r="C1088" s="1" t="n">
        <v>46049</v>
      </c>
      <c r="D1088" t="inlineStr">
        <is>
          <t>VÄSTERNORRLANDS LÄN</t>
        </is>
      </c>
      <c r="E1088" t="inlineStr">
        <is>
          <t>ÅNGE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1544-2026</t>
        </is>
      </c>
      <c r="B1089" s="1" t="n">
        <v>46034.38653935185</v>
      </c>
      <c r="C1089" s="1" t="n">
        <v>46049</v>
      </c>
      <c r="D1089" t="inlineStr">
        <is>
          <t>VÄSTERNORRLANDS LÄN</t>
        </is>
      </c>
      <c r="E1089" t="inlineStr">
        <is>
          <t>ÅNGE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1266-2026</t>
        </is>
      </c>
      <c r="B1090" s="1" t="n">
        <v>46031.46269675926</v>
      </c>
      <c r="C1090" s="1" t="n">
        <v>46049</v>
      </c>
      <c r="D1090" t="inlineStr">
        <is>
          <t>VÄSTERNORRLANDS LÄN</t>
        </is>
      </c>
      <c r="E1090" t="inlineStr">
        <is>
          <t>ÅNGE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1543-2026</t>
        </is>
      </c>
      <c r="B1091" s="1" t="n">
        <v>46034.38636574074</v>
      </c>
      <c r="C1091" s="1" t="n">
        <v>46049</v>
      </c>
      <c r="D1091" t="inlineStr">
        <is>
          <t>VÄSTERNORRLANDS LÄN</t>
        </is>
      </c>
      <c r="E1091" t="inlineStr">
        <is>
          <t>ÅNGE</t>
        </is>
      </c>
      <c r="F1091" t="inlineStr">
        <is>
          <t>SCA</t>
        </is>
      </c>
      <c r="G1091" t="n">
        <v>17.3</v>
      </c>
      <c r="H1091" t="n">
        <v>0</v>
      </c>
      <c r="I1091" t="n">
        <v>0</v>
      </c>
      <c r="J1091" t="n">
        <v>0</v>
      </c>
      <c r="K1091" t="n">
        <v>0</v>
      </c>
      <c r="L1091" t="n">
        <v>0</v>
      </c>
      <c r="M1091" t="n">
        <v>0</v>
      </c>
      <c r="N1091" t="n">
        <v>0</v>
      </c>
      <c r="O1091" t="n">
        <v>0</v>
      </c>
      <c r="P1091" t="n">
        <v>0</v>
      </c>
      <c r="Q1091" t="n">
        <v>0</v>
      </c>
      <c r="R1091" s="2" t="inlineStr"/>
    </row>
    <row r="1092" ht="15" customHeight="1">
      <c r="A1092" t="inlineStr">
        <is>
          <t>A 1547-2026</t>
        </is>
      </c>
      <c r="B1092" s="1" t="n">
        <v>46034.38689814815</v>
      </c>
      <c r="C1092" s="1" t="n">
        <v>46049</v>
      </c>
      <c r="D1092" t="inlineStr">
        <is>
          <t>VÄSTERNORRLANDS LÄN</t>
        </is>
      </c>
      <c r="E1092" t="inlineStr">
        <is>
          <t>ÅNGE</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59815-2025</t>
        </is>
      </c>
      <c r="B1093" s="1" t="n">
        <v>45992.6359837963</v>
      </c>
      <c r="C1093" s="1" t="n">
        <v>46049</v>
      </c>
      <c r="D1093" t="inlineStr">
        <is>
          <t>VÄSTERNORRLANDS LÄN</t>
        </is>
      </c>
      <c r="E1093" t="inlineStr">
        <is>
          <t>ÅNGE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1270-2026</t>
        </is>
      </c>
      <c r="B1094" s="1" t="n">
        <v>46031.46538194444</v>
      </c>
      <c r="C1094" s="1" t="n">
        <v>46049</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31229-2023</t>
        </is>
      </c>
      <c r="B1095" s="1" t="n">
        <v>45114</v>
      </c>
      <c r="C1095" s="1" t="n">
        <v>46049</v>
      </c>
      <c r="D1095" t="inlineStr">
        <is>
          <t>VÄSTERNORRLANDS LÄN</t>
        </is>
      </c>
      <c r="E1095" t="inlineStr">
        <is>
          <t>ÅNGE</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1541-2026</t>
        </is>
      </c>
      <c r="B1096" s="1" t="n">
        <v>46034.38606481482</v>
      </c>
      <c r="C1096" s="1" t="n">
        <v>46049</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48690-2024</t>
        </is>
      </c>
      <c r="B1097" s="1" t="n">
        <v>45593.50704861111</v>
      </c>
      <c r="C1097" s="1" t="n">
        <v>46049</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1375-2026</t>
        </is>
      </c>
      <c r="B1098" s="1" t="n">
        <v>46031.61520833334</v>
      </c>
      <c r="C1098" s="1" t="n">
        <v>46049</v>
      </c>
      <c r="D1098" t="inlineStr">
        <is>
          <t>VÄSTERNORRLANDS LÄN</t>
        </is>
      </c>
      <c r="E1098" t="inlineStr">
        <is>
          <t>ÅNGE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60278-2025</t>
        </is>
      </c>
      <c r="B1099" s="1" t="n">
        <v>45994.63739583334</v>
      </c>
      <c r="C1099" s="1" t="n">
        <v>46049</v>
      </c>
      <c r="D1099" t="inlineStr">
        <is>
          <t>VÄSTERNORRLANDS LÄN</t>
        </is>
      </c>
      <c r="E1099" t="inlineStr">
        <is>
          <t>ÅNGE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58-2026</t>
        </is>
      </c>
      <c r="B1100" s="1" t="n">
        <v>46024</v>
      </c>
      <c r="C1100" s="1" t="n">
        <v>46049</v>
      </c>
      <c r="D1100" t="inlineStr">
        <is>
          <t>VÄSTERNORRLANDS LÄN</t>
        </is>
      </c>
      <c r="E1100" t="inlineStr">
        <is>
          <t>ÅNGE</t>
        </is>
      </c>
      <c r="F1100" t="inlineStr">
        <is>
          <t>Kyrkan</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19342-2024</t>
        </is>
      </c>
      <c r="B1101" s="1" t="n">
        <v>45428</v>
      </c>
      <c r="C1101" s="1" t="n">
        <v>46049</v>
      </c>
      <c r="D1101" t="inlineStr">
        <is>
          <t>VÄSTERNORRLANDS LÄN</t>
        </is>
      </c>
      <c r="E1101" t="inlineStr">
        <is>
          <t>ÅNGE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25035-2023</t>
        </is>
      </c>
      <c r="B1102" s="1" t="n">
        <v>45085</v>
      </c>
      <c r="C1102" s="1" t="n">
        <v>46049</v>
      </c>
      <c r="D1102" t="inlineStr">
        <is>
          <t>VÄSTERNORRLANDS LÄN</t>
        </is>
      </c>
      <c r="E1102" t="inlineStr">
        <is>
          <t>ÅNGE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1846-2026</t>
        </is>
      </c>
      <c r="B1103" s="1" t="n">
        <v>46035.40692129629</v>
      </c>
      <c r="C1103" s="1" t="n">
        <v>46049</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40755-2023</t>
        </is>
      </c>
      <c r="B1104" s="1" t="n">
        <v>45170</v>
      </c>
      <c r="C1104" s="1" t="n">
        <v>46049</v>
      </c>
      <c r="D1104" t="inlineStr">
        <is>
          <t>VÄSTERNORRLANDS LÄN</t>
        </is>
      </c>
      <c r="E1104" t="inlineStr">
        <is>
          <t>ÅNGE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41284-2024</t>
        </is>
      </c>
      <c r="B1105" s="1" t="n">
        <v>45559.59520833333</v>
      </c>
      <c r="C1105" s="1" t="n">
        <v>46049</v>
      </c>
      <c r="D1105" t="inlineStr">
        <is>
          <t>VÄSTERNORRLANDS LÄN</t>
        </is>
      </c>
      <c r="E1105" t="inlineStr">
        <is>
          <t>ÅNGE</t>
        </is>
      </c>
      <c r="F1105" t="inlineStr">
        <is>
          <t>SCA</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60286-2025</t>
        </is>
      </c>
      <c r="B1106" s="1" t="n">
        <v>45994.64612268518</v>
      </c>
      <c r="C1106" s="1" t="n">
        <v>46049</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60296-2025</t>
        </is>
      </c>
      <c r="B1107" s="1" t="n">
        <v>45994.6568287037</v>
      </c>
      <c r="C1107" s="1" t="n">
        <v>46049</v>
      </c>
      <c r="D1107" t="inlineStr">
        <is>
          <t>VÄSTERNORRLANDS LÄN</t>
        </is>
      </c>
      <c r="E1107" t="inlineStr">
        <is>
          <t>ÅNGE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32901-2023</t>
        </is>
      </c>
      <c r="B1108" s="1" t="n">
        <v>45124.95063657407</v>
      </c>
      <c r="C1108" s="1" t="n">
        <v>46049</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16903-2024</t>
        </is>
      </c>
      <c r="B1109" s="1" t="n">
        <v>45411.63106481481</v>
      </c>
      <c r="C1109" s="1" t="n">
        <v>46049</v>
      </c>
      <c r="D1109" t="inlineStr">
        <is>
          <t>VÄSTERNORRLANDS LÄN</t>
        </is>
      </c>
      <c r="E1109" t="inlineStr">
        <is>
          <t>ÅNGE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1971-2026</t>
        </is>
      </c>
      <c r="B1110" s="1" t="n">
        <v>46035.64133101852</v>
      </c>
      <c r="C1110" s="1" t="n">
        <v>46049</v>
      </c>
      <c r="D1110" t="inlineStr">
        <is>
          <t>VÄSTERNORRLANDS LÄN</t>
        </is>
      </c>
      <c r="E1110" t="inlineStr">
        <is>
          <t>ÅNGE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16915-2024</t>
        </is>
      </c>
      <c r="B1111" s="1" t="n">
        <v>45411.65185185185</v>
      </c>
      <c r="C1111" s="1" t="n">
        <v>46049</v>
      </c>
      <c r="D1111" t="inlineStr">
        <is>
          <t>VÄSTERNORRLANDS LÄN</t>
        </is>
      </c>
      <c r="E1111" t="inlineStr">
        <is>
          <t>ÅNGE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5613-2024</t>
        </is>
      </c>
      <c r="B1112" s="1" t="n">
        <v>45334</v>
      </c>
      <c r="C1112" s="1" t="n">
        <v>46049</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60582-2025</t>
        </is>
      </c>
      <c r="B1113" s="1" t="n">
        <v>45994</v>
      </c>
      <c r="C1113" s="1" t="n">
        <v>46049</v>
      </c>
      <c r="D1113" t="inlineStr">
        <is>
          <t>VÄSTERNORRLANDS LÄN</t>
        </is>
      </c>
      <c r="E1113" t="inlineStr">
        <is>
          <t>ÅNGE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60599-2025</t>
        </is>
      </c>
      <c r="B1114" s="1" t="n">
        <v>45994</v>
      </c>
      <c r="C1114" s="1" t="n">
        <v>46049</v>
      </c>
      <c r="D1114" t="inlineStr">
        <is>
          <t>VÄSTERNORRLANDS LÄN</t>
        </is>
      </c>
      <c r="E1114" t="inlineStr">
        <is>
          <t>ÅNGE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60079-2025</t>
        </is>
      </c>
      <c r="B1115" s="1" t="n">
        <v>45993.6834375</v>
      </c>
      <c r="C1115" s="1" t="n">
        <v>46049</v>
      </c>
      <c r="D1115" t="inlineStr">
        <is>
          <t>VÄSTERNORRLANDS LÄN</t>
        </is>
      </c>
      <c r="E1115" t="inlineStr">
        <is>
          <t>ÅNGE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54456-2024</t>
        </is>
      </c>
      <c r="B1116" s="1" t="n">
        <v>45617.53160879629</v>
      </c>
      <c r="C1116" s="1" t="n">
        <v>46049</v>
      </c>
      <c r="D1116" t="inlineStr">
        <is>
          <t>VÄSTERNORRLANDS LÄN</t>
        </is>
      </c>
      <c r="E1116" t="inlineStr">
        <is>
          <t>ÅNGE</t>
        </is>
      </c>
      <c r="F1116" t="inlineStr">
        <is>
          <t>SCA</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1969-2026</t>
        </is>
      </c>
      <c r="B1117" s="1" t="n">
        <v>46035.64024305555</v>
      </c>
      <c r="C1117" s="1" t="n">
        <v>46049</v>
      </c>
      <c r="D1117" t="inlineStr">
        <is>
          <t>VÄSTERNORRLANDS LÄN</t>
        </is>
      </c>
      <c r="E1117" t="inlineStr">
        <is>
          <t>ÅNGE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25311-2023</t>
        </is>
      </c>
      <c r="B1118" s="1" t="n">
        <v>45086.93869212963</v>
      </c>
      <c r="C1118" s="1" t="n">
        <v>46049</v>
      </c>
      <c r="D1118" t="inlineStr">
        <is>
          <t>VÄSTERNORRLANDS LÄN</t>
        </is>
      </c>
      <c r="E1118" t="inlineStr">
        <is>
          <t>ÅNGE</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60590-2025</t>
        </is>
      </c>
      <c r="B1119" s="1" t="n">
        <v>45994</v>
      </c>
      <c r="C1119" s="1" t="n">
        <v>46049</v>
      </c>
      <c r="D1119" t="inlineStr">
        <is>
          <t>VÄSTERNORRLANDS LÄN</t>
        </is>
      </c>
      <c r="E1119" t="inlineStr">
        <is>
          <t>ÅNGE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60061-2025</t>
        </is>
      </c>
      <c r="B1120" s="1" t="n">
        <v>45993.65673611111</v>
      </c>
      <c r="C1120" s="1" t="n">
        <v>46049</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4904-2024</t>
        </is>
      </c>
      <c r="B1121" s="1" t="n">
        <v>45329.47856481482</v>
      </c>
      <c r="C1121" s="1" t="n">
        <v>46049</v>
      </c>
      <c r="D1121" t="inlineStr">
        <is>
          <t>VÄSTERNORRLANDS LÄN</t>
        </is>
      </c>
      <c r="E1121" t="inlineStr">
        <is>
          <t>ÅNGE</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29462-2024</t>
        </is>
      </c>
      <c r="B1122" s="1" t="n">
        <v>45483.96979166667</v>
      </c>
      <c r="C1122" s="1" t="n">
        <v>46049</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44178-2023</t>
        </is>
      </c>
      <c r="B1123" s="1" t="n">
        <v>45183</v>
      </c>
      <c r="C1123" s="1" t="n">
        <v>46049</v>
      </c>
      <c r="D1123" t="inlineStr">
        <is>
          <t>VÄSTERNORRLANDS LÄN</t>
        </is>
      </c>
      <c r="E1123" t="inlineStr">
        <is>
          <t>ÅNGE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8648-2025</t>
        </is>
      </c>
      <c r="B1124" s="1" t="n">
        <v>45712.34501157407</v>
      </c>
      <c r="C1124" s="1" t="n">
        <v>46049</v>
      </c>
      <c r="D1124" t="inlineStr">
        <is>
          <t>VÄSTERNORRLANDS LÄN</t>
        </is>
      </c>
      <c r="E1124" t="inlineStr">
        <is>
          <t>ÅNGE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27952-2024</t>
        </is>
      </c>
      <c r="B1125" s="1" t="n">
        <v>45476.33063657407</v>
      </c>
      <c r="C1125" s="1" t="n">
        <v>46049</v>
      </c>
      <c r="D1125" t="inlineStr">
        <is>
          <t>VÄSTERNORRLANDS LÄN</t>
        </is>
      </c>
      <c r="E1125" t="inlineStr">
        <is>
          <t>ÅNGE</t>
        </is>
      </c>
      <c r="G1125" t="n">
        <v>12.2</v>
      </c>
      <c r="H1125" t="n">
        <v>0</v>
      </c>
      <c r="I1125" t="n">
        <v>0</v>
      </c>
      <c r="J1125" t="n">
        <v>0</v>
      </c>
      <c r="K1125" t="n">
        <v>0</v>
      </c>
      <c r="L1125" t="n">
        <v>0</v>
      </c>
      <c r="M1125" t="n">
        <v>0</v>
      </c>
      <c r="N1125" t="n">
        <v>0</v>
      </c>
      <c r="O1125" t="n">
        <v>0</v>
      </c>
      <c r="P1125" t="n">
        <v>0</v>
      </c>
      <c r="Q1125" t="n">
        <v>0</v>
      </c>
      <c r="R1125" s="2" t="inlineStr"/>
    </row>
    <row r="1126" ht="15" customHeight="1">
      <c r="A1126" t="inlineStr">
        <is>
          <t>A 1897-2026</t>
        </is>
      </c>
      <c r="B1126" s="1" t="n">
        <v>46035.51097222222</v>
      </c>
      <c r="C1126" s="1" t="n">
        <v>46049</v>
      </c>
      <c r="D1126" t="inlineStr">
        <is>
          <t>VÄSTERNORRLANDS LÄN</t>
        </is>
      </c>
      <c r="E1126" t="inlineStr">
        <is>
          <t>ÅNGE</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32439-2024</t>
        </is>
      </c>
      <c r="B1127" s="1" t="n">
        <v>45512</v>
      </c>
      <c r="C1127" s="1" t="n">
        <v>46049</v>
      </c>
      <c r="D1127" t="inlineStr">
        <is>
          <t>VÄSTERNORRLANDS LÄN</t>
        </is>
      </c>
      <c r="E1127" t="inlineStr">
        <is>
          <t>ÅNGE</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60118-2025</t>
        </is>
      </c>
      <c r="B1128" s="1" t="n">
        <v>45994.3242824074</v>
      </c>
      <c r="C1128" s="1" t="n">
        <v>46049</v>
      </c>
      <c r="D1128" t="inlineStr">
        <is>
          <t>VÄSTERNORRLANDS LÄN</t>
        </is>
      </c>
      <c r="E1128" t="inlineStr">
        <is>
          <t>ÅNGE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60119-2025</t>
        </is>
      </c>
      <c r="B1129" s="1" t="n">
        <v>45994.33081018519</v>
      </c>
      <c r="C1129" s="1" t="n">
        <v>46049</v>
      </c>
      <c r="D1129" t="inlineStr">
        <is>
          <t>VÄSTERNORRLANDS LÄN</t>
        </is>
      </c>
      <c r="E1129" t="inlineStr">
        <is>
          <t>ÅNGE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60363-2024</t>
        </is>
      </c>
      <c r="B1130" s="1" t="n">
        <v>45643</v>
      </c>
      <c r="C1130" s="1" t="n">
        <v>46049</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51070-2024</t>
        </is>
      </c>
      <c r="B1131" s="1" t="n">
        <v>45603</v>
      </c>
      <c r="C1131" s="1" t="n">
        <v>46049</v>
      </c>
      <c r="D1131" t="inlineStr">
        <is>
          <t>VÄSTERNORRLANDS LÄN</t>
        </is>
      </c>
      <c r="E1131" t="inlineStr">
        <is>
          <t>ÅNGE</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60514-2024</t>
        </is>
      </c>
      <c r="B1132" s="1" t="n">
        <v>45643.67474537037</v>
      </c>
      <c r="C1132" s="1" t="n">
        <v>46049</v>
      </c>
      <c r="D1132" t="inlineStr">
        <is>
          <t>VÄSTERNORRLANDS LÄN</t>
        </is>
      </c>
      <c r="E1132" t="inlineStr">
        <is>
          <t>ÅNGE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52665-2024</t>
        </is>
      </c>
      <c r="B1133" s="1" t="n">
        <v>45610.36549768518</v>
      </c>
      <c r="C1133" s="1" t="n">
        <v>46049</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60342-2025</t>
        </is>
      </c>
      <c r="B1134" s="1" t="n">
        <v>45994.86804398148</v>
      </c>
      <c r="C1134" s="1" t="n">
        <v>46049</v>
      </c>
      <c r="D1134" t="inlineStr">
        <is>
          <t>VÄSTERNORRLANDS LÄN</t>
        </is>
      </c>
      <c r="E1134" t="inlineStr">
        <is>
          <t>ÅNGE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41831-2021</t>
        </is>
      </c>
      <c r="B1135" s="1" t="n">
        <v>44425.92212962963</v>
      </c>
      <c r="C1135" s="1" t="n">
        <v>46049</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60402-2025</t>
        </is>
      </c>
      <c r="B1136" s="1" t="n">
        <v>45995.4262962963</v>
      </c>
      <c r="C1136" s="1" t="n">
        <v>46049</v>
      </c>
      <c r="D1136" t="inlineStr">
        <is>
          <t>VÄSTERNORRLANDS LÄN</t>
        </is>
      </c>
      <c r="E1136" t="inlineStr">
        <is>
          <t>ÅNGE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60422-2025</t>
        </is>
      </c>
      <c r="B1137" s="1" t="n">
        <v>45995.46922453704</v>
      </c>
      <c r="C1137" s="1" t="n">
        <v>46049</v>
      </c>
      <c r="D1137" t="inlineStr">
        <is>
          <t>VÄSTERNORRLANDS LÄN</t>
        </is>
      </c>
      <c r="E1137" t="inlineStr">
        <is>
          <t>ÅNGE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57815-2024</t>
        </is>
      </c>
      <c r="B1138" s="1" t="n">
        <v>45631.37068287037</v>
      </c>
      <c r="C1138" s="1" t="n">
        <v>46049</v>
      </c>
      <c r="D1138" t="inlineStr">
        <is>
          <t>VÄSTERNORRLANDS LÄN</t>
        </is>
      </c>
      <c r="E1138" t="inlineStr">
        <is>
          <t>ÅNGE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60520-2025</t>
        </is>
      </c>
      <c r="B1139" s="1" t="n">
        <v>45995.63694444444</v>
      </c>
      <c r="C1139" s="1" t="n">
        <v>46049</v>
      </c>
      <c r="D1139" t="inlineStr">
        <is>
          <t>VÄSTERNORRLANDS LÄN</t>
        </is>
      </c>
      <c r="E1139" t="inlineStr">
        <is>
          <t>ÅNGE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6691-2024</t>
        </is>
      </c>
      <c r="B1140" s="1" t="n">
        <v>45341</v>
      </c>
      <c r="C1140" s="1" t="n">
        <v>46049</v>
      </c>
      <c r="D1140" t="inlineStr">
        <is>
          <t>VÄSTERNORRLANDS LÄN</t>
        </is>
      </c>
      <c r="E1140" t="inlineStr">
        <is>
          <t>ÅNGE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60124-2025</t>
        </is>
      </c>
      <c r="B1141" s="1" t="n">
        <v>45994.33722222222</v>
      </c>
      <c r="C1141" s="1" t="n">
        <v>46049</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60134-2025</t>
        </is>
      </c>
      <c r="B1142" s="1" t="n">
        <v>45994.34793981481</v>
      </c>
      <c r="C1142" s="1" t="n">
        <v>46049</v>
      </c>
      <c r="D1142" t="inlineStr">
        <is>
          <t>VÄSTERNORRLANDS LÄN</t>
        </is>
      </c>
      <c r="E1142" t="inlineStr">
        <is>
          <t>ÅNGE</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12123-2024</t>
        </is>
      </c>
      <c r="B1143" s="1" t="n">
        <v>45377</v>
      </c>
      <c r="C1143" s="1" t="n">
        <v>46049</v>
      </c>
      <c r="D1143" t="inlineStr">
        <is>
          <t>VÄSTERNORRLANDS LÄN</t>
        </is>
      </c>
      <c r="E1143" t="inlineStr">
        <is>
          <t>ÅNGE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60604-2025</t>
        </is>
      </c>
      <c r="B1144" s="1" t="n">
        <v>45995</v>
      </c>
      <c r="C1144" s="1" t="n">
        <v>46049</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2485-2026</t>
        </is>
      </c>
      <c r="B1145" s="1" t="n">
        <v>46037.38591435185</v>
      </c>
      <c r="C1145" s="1" t="n">
        <v>46049</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12806-2025</t>
        </is>
      </c>
      <c r="B1146" s="1" t="n">
        <v>45733.61518518518</v>
      </c>
      <c r="C1146" s="1" t="n">
        <v>46049</v>
      </c>
      <c r="D1146" t="inlineStr">
        <is>
          <t>VÄSTERNORRLANDS LÄN</t>
        </is>
      </c>
      <c r="E1146" t="inlineStr">
        <is>
          <t>ÅNGE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20024-2023</t>
        </is>
      </c>
      <c r="B1147" s="1" t="n">
        <v>45051</v>
      </c>
      <c r="C1147" s="1" t="n">
        <v>46049</v>
      </c>
      <c r="D1147" t="inlineStr">
        <is>
          <t>VÄSTERNORRLANDS LÄN</t>
        </is>
      </c>
      <c r="E1147" t="inlineStr">
        <is>
          <t>ÅNGE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60403-2025</t>
        </is>
      </c>
      <c r="B1148" s="1" t="n">
        <v>45995.42762731481</v>
      </c>
      <c r="C1148" s="1" t="n">
        <v>46049</v>
      </c>
      <c r="D1148" t="inlineStr">
        <is>
          <t>VÄSTERNORRLANDS LÄN</t>
        </is>
      </c>
      <c r="E1148" t="inlineStr">
        <is>
          <t>ÅNGE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13164-2022</t>
        </is>
      </c>
      <c r="B1149" s="1" t="n">
        <v>44644</v>
      </c>
      <c r="C1149" s="1" t="n">
        <v>46049</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5456-2024</t>
        </is>
      </c>
      <c r="B1150" s="1" t="n">
        <v>45331</v>
      </c>
      <c r="C1150" s="1" t="n">
        <v>46049</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61200-2025</t>
        </is>
      </c>
      <c r="B1151" s="1" t="n">
        <v>46000.60918981482</v>
      </c>
      <c r="C1151" s="1" t="n">
        <v>46049</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30474-2024</t>
        </is>
      </c>
      <c r="B1152" s="1" t="n">
        <v>45491</v>
      </c>
      <c r="C1152" s="1" t="n">
        <v>46049</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30475-2024</t>
        </is>
      </c>
      <c r="B1153" s="1" t="n">
        <v>45491</v>
      </c>
      <c r="C1153" s="1" t="n">
        <v>46049</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61203-2025</t>
        </is>
      </c>
      <c r="B1154" s="1" t="n">
        <v>46000.61237268519</v>
      </c>
      <c r="C1154" s="1" t="n">
        <v>46049</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71965-2021</t>
        </is>
      </c>
      <c r="B1155" s="1" t="n">
        <v>44544.32483796297</v>
      </c>
      <c r="C1155" s="1" t="n">
        <v>46049</v>
      </c>
      <c r="D1155" t="inlineStr">
        <is>
          <t>VÄSTERNORRLANDS LÄN</t>
        </is>
      </c>
      <c r="E1155" t="inlineStr">
        <is>
          <t>ÅNGE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56574-2024</t>
        </is>
      </c>
      <c r="B1156" s="1" t="n">
        <v>45625.59616898148</v>
      </c>
      <c r="C1156" s="1" t="n">
        <v>46049</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58087-2024</t>
        </is>
      </c>
      <c r="B1157" s="1" t="n">
        <v>45632.34502314815</v>
      </c>
      <c r="C1157" s="1" t="n">
        <v>46049</v>
      </c>
      <c r="D1157" t="inlineStr">
        <is>
          <t>VÄSTERNORRLANDS LÄN</t>
        </is>
      </c>
      <c r="E1157" t="inlineStr">
        <is>
          <t>ÅNGE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3289-2026</t>
        </is>
      </c>
      <c r="B1158" s="1" t="n">
        <v>46041.63581018519</v>
      </c>
      <c r="C1158" s="1" t="n">
        <v>46049</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61075-2025</t>
        </is>
      </c>
      <c r="B1159" s="1" t="n">
        <v>46000.3959837963</v>
      </c>
      <c r="C1159" s="1" t="n">
        <v>46049</v>
      </c>
      <c r="D1159" t="inlineStr">
        <is>
          <t>VÄSTERNORRLANDS LÄN</t>
        </is>
      </c>
      <c r="E1159" t="inlineStr">
        <is>
          <t>ÅNGE</t>
        </is>
      </c>
      <c r="F1159" t="inlineStr">
        <is>
          <t>Holmen skog AB</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50231-2024</t>
        </is>
      </c>
      <c r="B1160" s="1" t="n">
        <v>45600.55251157407</v>
      </c>
      <c r="C1160" s="1" t="n">
        <v>46049</v>
      </c>
      <c r="D1160" t="inlineStr">
        <is>
          <t>VÄSTERNORRLANDS LÄN</t>
        </is>
      </c>
      <c r="E1160" t="inlineStr">
        <is>
          <t>ÅNGE</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60960-2025</t>
        </is>
      </c>
      <c r="B1161" s="1" t="n">
        <v>45999</v>
      </c>
      <c r="C1161" s="1" t="n">
        <v>46049</v>
      </c>
      <c r="D1161" t="inlineStr">
        <is>
          <t>VÄSTERNORRLANDS LÄN</t>
        </is>
      </c>
      <c r="E1161" t="inlineStr">
        <is>
          <t>ÅNGE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60864-2025</t>
        </is>
      </c>
      <c r="B1162" s="1" t="n">
        <v>45999.53170138889</v>
      </c>
      <c r="C1162" s="1" t="n">
        <v>46049</v>
      </c>
      <c r="D1162" t="inlineStr">
        <is>
          <t>VÄSTERNORRLANDS LÄN</t>
        </is>
      </c>
      <c r="E1162" t="inlineStr">
        <is>
          <t>ÅNGE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60950-2025</t>
        </is>
      </c>
      <c r="B1163" s="1" t="n">
        <v>45999</v>
      </c>
      <c r="C1163" s="1" t="n">
        <v>46049</v>
      </c>
      <c r="D1163" t="inlineStr">
        <is>
          <t>VÄSTERNORRLANDS LÄN</t>
        </is>
      </c>
      <c r="E1163" t="inlineStr">
        <is>
          <t>ÅNGE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59600-2024</t>
        </is>
      </c>
      <c r="B1164" s="1" t="n">
        <v>45638.71763888889</v>
      </c>
      <c r="C1164" s="1" t="n">
        <v>46049</v>
      </c>
      <c r="D1164" t="inlineStr">
        <is>
          <t>VÄSTERNORRLANDS LÄN</t>
        </is>
      </c>
      <c r="E1164" t="inlineStr">
        <is>
          <t>ÅNGE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3133-2024</t>
        </is>
      </c>
      <c r="B1165" s="1" t="n">
        <v>45316.55885416667</v>
      </c>
      <c r="C1165" s="1" t="n">
        <v>46049</v>
      </c>
      <c r="D1165" t="inlineStr">
        <is>
          <t>VÄSTERNORRLANDS LÄN</t>
        </is>
      </c>
      <c r="E1165" t="inlineStr">
        <is>
          <t>ÅNGE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17210-2022</t>
        </is>
      </c>
      <c r="B1166" s="1" t="n">
        <v>44677.92701388889</v>
      </c>
      <c r="C1166" s="1" t="n">
        <v>46049</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3290-2026</t>
        </is>
      </c>
      <c r="B1167" s="1" t="n">
        <v>46041</v>
      </c>
      <c r="C1167" s="1" t="n">
        <v>46049</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10195-2024</t>
        </is>
      </c>
      <c r="B1168" s="1" t="n">
        <v>45364</v>
      </c>
      <c r="C1168" s="1" t="n">
        <v>46049</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3534-2026</t>
        </is>
      </c>
      <c r="B1169" s="1" t="n">
        <v>46042.62432870371</v>
      </c>
      <c r="C1169" s="1" t="n">
        <v>46049</v>
      </c>
      <c r="D1169" t="inlineStr">
        <is>
          <t>VÄSTERNORRLANDS LÄN</t>
        </is>
      </c>
      <c r="E1169" t="inlineStr">
        <is>
          <t>ÅNGE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361-2025</t>
        </is>
      </c>
      <c r="B1170" s="1" t="n">
        <v>45660</v>
      </c>
      <c r="C1170" s="1" t="n">
        <v>46049</v>
      </c>
      <c r="D1170" t="inlineStr">
        <is>
          <t>VÄSTERNORRLANDS LÄN</t>
        </is>
      </c>
      <c r="E1170" t="inlineStr">
        <is>
          <t>ÅNGE</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12021-2022</t>
        </is>
      </c>
      <c r="B1171" s="1" t="n">
        <v>44635</v>
      </c>
      <c r="C1171" s="1" t="n">
        <v>46049</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61308-2025</t>
        </is>
      </c>
      <c r="B1172" s="1" t="n">
        <v>46000.81952546296</v>
      </c>
      <c r="C1172" s="1" t="n">
        <v>46049</v>
      </c>
      <c r="D1172" t="inlineStr">
        <is>
          <t>VÄSTERNORRLANDS LÄN</t>
        </is>
      </c>
      <c r="E1172" t="inlineStr">
        <is>
          <t>ÅNGE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61321-2025</t>
        </is>
      </c>
      <c r="B1173" s="1" t="n">
        <v>46000.96894675926</v>
      </c>
      <c r="C1173" s="1" t="n">
        <v>46049</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61349-2025</t>
        </is>
      </c>
      <c r="B1174" s="1" t="n">
        <v>46001.3866087963</v>
      </c>
      <c r="C1174" s="1" t="n">
        <v>46049</v>
      </c>
      <c r="D1174" t="inlineStr">
        <is>
          <t>VÄSTERNORRLANDS LÄN</t>
        </is>
      </c>
      <c r="E1174" t="inlineStr">
        <is>
          <t>ÅNGE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6690-2024</t>
        </is>
      </c>
      <c r="B1175" s="1" t="n">
        <v>45341</v>
      </c>
      <c r="C1175" s="1" t="n">
        <v>46049</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3882-2026</t>
        </is>
      </c>
      <c r="B1176" s="1" t="n">
        <v>46043.65693287037</v>
      </c>
      <c r="C1176" s="1" t="n">
        <v>46049</v>
      </c>
      <c r="D1176" t="inlineStr">
        <is>
          <t>VÄSTERNORRLANDS LÄN</t>
        </is>
      </c>
      <c r="E1176" t="inlineStr">
        <is>
          <t>ÅNGE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3889-2026</t>
        </is>
      </c>
      <c r="B1177" s="1" t="n">
        <v>46043.67015046296</v>
      </c>
      <c r="C1177" s="1" t="n">
        <v>46049</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3977-2025</t>
        </is>
      </c>
      <c r="B1178" s="1" t="n">
        <v>45684</v>
      </c>
      <c r="C1178" s="1" t="n">
        <v>46049</v>
      </c>
      <c r="D1178" t="inlineStr">
        <is>
          <t>VÄSTERNORRLANDS LÄN</t>
        </is>
      </c>
      <c r="E1178" t="inlineStr">
        <is>
          <t>ÅNGE</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61332-2025</t>
        </is>
      </c>
      <c r="B1179" s="1" t="n">
        <v>46001.34416666667</v>
      </c>
      <c r="C1179" s="1" t="n">
        <v>46049</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8778-2025</t>
        </is>
      </c>
      <c r="B1180" s="1" t="n">
        <v>45712.61539351852</v>
      </c>
      <c r="C1180" s="1" t="n">
        <v>46049</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61486-2025</t>
        </is>
      </c>
      <c r="B1181" s="1" t="n">
        <v>46001.63607638889</v>
      </c>
      <c r="C1181" s="1" t="n">
        <v>46049</v>
      </c>
      <c r="D1181" t="inlineStr">
        <is>
          <t>VÄSTERNORRLANDS LÄN</t>
        </is>
      </c>
      <c r="E1181" t="inlineStr">
        <is>
          <t>ÅNGE</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14976-2025</t>
        </is>
      </c>
      <c r="B1182" s="1" t="n">
        <v>45743</v>
      </c>
      <c r="C1182" s="1" t="n">
        <v>46049</v>
      </c>
      <c r="D1182" t="inlineStr">
        <is>
          <t>VÄSTERNORRLANDS LÄN</t>
        </is>
      </c>
      <c r="E1182" t="inlineStr">
        <is>
          <t>ÅNGE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3970-2026</t>
        </is>
      </c>
      <c r="B1183" s="1" t="n">
        <v>46044.3521875</v>
      </c>
      <c r="C1183" s="1" t="n">
        <v>46049</v>
      </c>
      <c r="D1183" t="inlineStr">
        <is>
          <t>VÄSTERNORRLANDS LÄN</t>
        </is>
      </c>
      <c r="E1183" t="inlineStr">
        <is>
          <t>ÅNGE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5249-2025</t>
        </is>
      </c>
      <c r="B1184" s="1" t="n">
        <v>45692.34465277778</v>
      </c>
      <c r="C1184" s="1" t="n">
        <v>46049</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10687-2022</t>
        </is>
      </c>
      <c r="B1185" s="1" t="n">
        <v>44624.92684027777</v>
      </c>
      <c r="C1185" s="1" t="n">
        <v>46049</v>
      </c>
      <c r="D1185" t="inlineStr">
        <is>
          <t>VÄSTERNORRLANDS LÄN</t>
        </is>
      </c>
      <c r="E1185" t="inlineStr">
        <is>
          <t>ÅNGE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61279-2025</t>
        </is>
      </c>
      <c r="B1186" s="1" t="n">
        <v>46000.69841435185</v>
      </c>
      <c r="C1186" s="1" t="n">
        <v>46049</v>
      </c>
      <c r="D1186" t="inlineStr">
        <is>
          <t>VÄSTERNORRLANDS LÄN</t>
        </is>
      </c>
      <c r="E1186" t="inlineStr">
        <is>
          <t>ÅNGE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61439-2025</t>
        </is>
      </c>
      <c r="B1187" s="1" t="n">
        <v>46001.57010416667</v>
      </c>
      <c r="C1187" s="1" t="n">
        <v>46049</v>
      </c>
      <c r="D1187" t="inlineStr">
        <is>
          <t>VÄSTERNORRLANDS LÄN</t>
        </is>
      </c>
      <c r="E1187" t="inlineStr">
        <is>
          <t>ÅNGE</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57271-2024</t>
        </is>
      </c>
      <c r="B1188" s="1" t="n">
        <v>45629.57364583333</v>
      </c>
      <c r="C1188" s="1" t="n">
        <v>46049</v>
      </c>
      <c r="D1188" t="inlineStr">
        <is>
          <t>VÄSTERNORRLANDS LÄN</t>
        </is>
      </c>
      <c r="E1188" t="inlineStr">
        <is>
          <t>ÅNGE</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5369-2022</t>
        </is>
      </c>
      <c r="B1189" s="1" t="n">
        <v>44594.92113425926</v>
      </c>
      <c r="C1189" s="1" t="n">
        <v>46049</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4209-2026</t>
        </is>
      </c>
      <c r="B1190" s="1" t="n">
        <v>46044.72609953704</v>
      </c>
      <c r="C1190" s="1" t="n">
        <v>46049</v>
      </c>
      <c r="D1190" t="inlineStr">
        <is>
          <t>VÄSTERNORRLANDS LÄN</t>
        </is>
      </c>
      <c r="E1190" t="inlineStr">
        <is>
          <t>ÅNGE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3800-2026</t>
        </is>
      </c>
      <c r="B1191" s="1" t="n">
        <v>46043.58267361111</v>
      </c>
      <c r="C1191" s="1" t="n">
        <v>46049</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3872-2026</t>
        </is>
      </c>
      <c r="B1192" s="1" t="n">
        <v>46043.64314814815</v>
      </c>
      <c r="C1192" s="1" t="n">
        <v>46049</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61656-2025</t>
        </is>
      </c>
      <c r="B1193" s="1" t="n">
        <v>46002.44873842593</v>
      </c>
      <c r="C1193" s="1" t="n">
        <v>46049</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22755-2023</t>
        </is>
      </c>
      <c r="B1194" s="1" t="n">
        <v>45071.94127314815</v>
      </c>
      <c r="C1194" s="1" t="n">
        <v>46049</v>
      </c>
      <c r="D1194" t="inlineStr">
        <is>
          <t>VÄSTERNORRLANDS LÄN</t>
        </is>
      </c>
      <c r="E1194" t="inlineStr">
        <is>
          <t>ÅNGE</t>
        </is>
      </c>
      <c r="F1194" t="inlineStr">
        <is>
          <t>SCA</t>
        </is>
      </c>
      <c r="G1194" t="n">
        <v>12.6</v>
      </c>
      <c r="H1194" t="n">
        <v>0</v>
      </c>
      <c r="I1194" t="n">
        <v>0</v>
      </c>
      <c r="J1194" t="n">
        <v>0</v>
      </c>
      <c r="K1194" t="n">
        <v>0</v>
      </c>
      <c r="L1194" t="n">
        <v>0</v>
      </c>
      <c r="M1194" t="n">
        <v>0</v>
      </c>
      <c r="N1194" t="n">
        <v>0</v>
      </c>
      <c r="O1194" t="n">
        <v>0</v>
      </c>
      <c r="P1194" t="n">
        <v>0</v>
      </c>
      <c r="Q1194" t="n">
        <v>0</v>
      </c>
      <c r="R1194" s="2" t="inlineStr"/>
    </row>
    <row r="1195" ht="15" customHeight="1">
      <c r="A1195" t="inlineStr">
        <is>
          <t>A 61500-2025</t>
        </is>
      </c>
      <c r="B1195" s="1" t="n">
        <v>46001.65667824074</v>
      </c>
      <c r="C1195" s="1" t="n">
        <v>46049</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50419-2022</t>
        </is>
      </c>
      <c r="B1196" s="1" t="n">
        <v>44861</v>
      </c>
      <c r="C1196" s="1" t="n">
        <v>46049</v>
      </c>
      <c r="D1196" t="inlineStr">
        <is>
          <t>VÄSTERNORRLANDS LÄN</t>
        </is>
      </c>
      <c r="E1196" t="inlineStr">
        <is>
          <t>ÅNGE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3801-2026</t>
        </is>
      </c>
      <c r="B1197" s="1" t="n">
        <v>46043.58273148148</v>
      </c>
      <c r="C1197" s="1" t="n">
        <v>46049</v>
      </c>
      <c r="D1197" t="inlineStr">
        <is>
          <t>VÄSTERNORRLANDS LÄN</t>
        </is>
      </c>
      <c r="E1197" t="inlineStr">
        <is>
          <t>ÅNGE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42881-2023</t>
        </is>
      </c>
      <c r="B1198" s="1" t="n">
        <v>45182.45256944445</v>
      </c>
      <c r="C1198" s="1" t="n">
        <v>46049</v>
      </c>
      <c r="D1198" t="inlineStr">
        <is>
          <t>VÄSTERNORRLANDS LÄN</t>
        </is>
      </c>
      <c r="E1198" t="inlineStr">
        <is>
          <t>ÅNGE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18430-2025</t>
        </is>
      </c>
      <c r="B1199" s="1" t="n">
        <v>45762.63576388889</v>
      </c>
      <c r="C1199" s="1" t="n">
        <v>46049</v>
      </c>
      <c r="D1199" t="inlineStr">
        <is>
          <t>VÄSTERNORRLANDS LÄN</t>
        </is>
      </c>
      <c r="E1199" t="inlineStr">
        <is>
          <t>ÅNGE</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43916-2023</t>
        </is>
      </c>
      <c r="B1200" s="1" t="n">
        <v>45187.72152777778</v>
      </c>
      <c r="C1200" s="1" t="n">
        <v>46049</v>
      </c>
      <c r="D1200" t="inlineStr">
        <is>
          <t>VÄSTERNORRLANDS LÄN</t>
        </is>
      </c>
      <c r="E1200" t="inlineStr">
        <is>
          <t>ÅNGE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46049</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62084-2025</t>
        </is>
      </c>
      <c r="B1202" s="1" t="n">
        <v>46006.37449074074</v>
      </c>
      <c r="C1202" s="1" t="n">
        <v>46049</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4262-2026</t>
        </is>
      </c>
      <c r="B1203" s="1" t="n">
        <v>46045.34431712963</v>
      </c>
      <c r="C1203" s="1" t="n">
        <v>46049</v>
      </c>
      <c r="D1203" t="inlineStr">
        <is>
          <t>VÄSTERNORRLANDS LÄN</t>
        </is>
      </c>
      <c r="E1203" t="inlineStr">
        <is>
          <t>ÅNGE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54429-2024</t>
        </is>
      </c>
      <c r="B1204" s="1" t="n">
        <v>45617.49087962963</v>
      </c>
      <c r="C1204" s="1" t="n">
        <v>46049</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62092-2025</t>
        </is>
      </c>
      <c r="B1205" s="1" t="n">
        <v>46006.38613425926</v>
      </c>
      <c r="C1205" s="1" t="n">
        <v>46049</v>
      </c>
      <c r="D1205" t="inlineStr">
        <is>
          <t>VÄSTERNORRLANDS LÄN</t>
        </is>
      </c>
      <c r="E1205" t="inlineStr">
        <is>
          <t>ÅNGE</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4263-2026</t>
        </is>
      </c>
      <c r="B1206" s="1" t="n">
        <v>46045.34451388889</v>
      </c>
      <c r="C1206" s="1" t="n">
        <v>46049</v>
      </c>
      <c r="D1206" t="inlineStr">
        <is>
          <t>VÄSTERNORRLANDS LÄN</t>
        </is>
      </c>
      <c r="E1206" t="inlineStr">
        <is>
          <t>ÅNGE</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4328-2026</t>
        </is>
      </c>
      <c r="B1207" s="1" t="n">
        <v>46045.46940972222</v>
      </c>
      <c r="C1207" s="1" t="n">
        <v>46049</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4374-2026</t>
        </is>
      </c>
      <c r="B1208" s="1" t="n">
        <v>46045.5528125</v>
      </c>
      <c r="C1208" s="1" t="n">
        <v>46049</v>
      </c>
      <c r="D1208" t="inlineStr">
        <is>
          <t>VÄSTERNORRLANDS LÄN</t>
        </is>
      </c>
      <c r="E1208" t="inlineStr">
        <is>
          <t>ÅNGE</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62160-2025</t>
        </is>
      </c>
      <c r="B1209" s="1" t="n">
        <v>46006.49094907408</v>
      </c>
      <c r="C1209" s="1" t="n">
        <v>46049</v>
      </c>
      <c r="D1209" t="inlineStr">
        <is>
          <t>VÄSTERNORRLANDS LÄN</t>
        </is>
      </c>
      <c r="E1209" t="inlineStr">
        <is>
          <t>ÅNGE</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4441-2026</t>
        </is>
      </c>
      <c r="B1210" s="1" t="n">
        <v>46045.63600694444</v>
      </c>
      <c r="C1210" s="1" t="n">
        <v>46049</v>
      </c>
      <c r="D1210" t="inlineStr">
        <is>
          <t>VÄSTERNORRLANDS LÄN</t>
        </is>
      </c>
      <c r="E1210" t="inlineStr">
        <is>
          <t>ÅNGE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4442-2026</t>
        </is>
      </c>
      <c r="B1211" s="1" t="n">
        <v>46045.63625</v>
      </c>
      <c r="C1211" s="1" t="n">
        <v>46049</v>
      </c>
      <c r="D1211" t="inlineStr">
        <is>
          <t>VÄSTERNORRLANDS LÄN</t>
        </is>
      </c>
      <c r="E1211" t="inlineStr">
        <is>
          <t>ÅNGE</t>
        </is>
      </c>
      <c r="F1211" t="inlineStr">
        <is>
          <t>SCA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36492-2023</t>
        </is>
      </c>
      <c r="B1212" s="1" t="n">
        <v>45152.92479166666</v>
      </c>
      <c r="C1212" s="1" t="n">
        <v>46049</v>
      </c>
      <c r="D1212" t="inlineStr">
        <is>
          <t>VÄSTERNORRLANDS LÄN</t>
        </is>
      </c>
      <c r="E1212" t="inlineStr">
        <is>
          <t>ÅNGE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4591-2026</t>
        </is>
      </c>
      <c r="B1213" s="1" t="n">
        <v>46048.34443287037</v>
      </c>
      <c r="C1213" s="1" t="n">
        <v>46049</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4593-2026</t>
        </is>
      </c>
      <c r="B1214" s="1" t="n">
        <v>46048.3446412037</v>
      </c>
      <c r="C1214" s="1" t="n">
        <v>46049</v>
      </c>
      <c r="D1214" t="inlineStr">
        <is>
          <t>VÄSTERNORRLANDS LÄN</t>
        </is>
      </c>
      <c r="E1214" t="inlineStr">
        <is>
          <t>ÅNGE</t>
        </is>
      </c>
      <c r="F1214" t="inlineStr">
        <is>
          <t>SCA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54627-2025</t>
        </is>
      </c>
      <c r="B1215" s="1" t="n">
        <v>45966.34565972222</v>
      </c>
      <c r="C1215" s="1" t="n">
        <v>46049</v>
      </c>
      <c r="D1215" t="inlineStr">
        <is>
          <t>VÄSTERNORRLANDS LÄN</t>
        </is>
      </c>
      <c r="E1215" t="inlineStr">
        <is>
          <t>ÅNGE</t>
        </is>
      </c>
      <c r="F1215" t="inlineStr">
        <is>
          <t>SCA</t>
        </is>
      </c>
      <c r="G1215" t="n">
        <v>18.5</v>
      </c>
      <c r="H1215" t="n">
        <v>0</v>
      </c>
      <c r="I1215" t="n">
        <v>0</v>
      </c>
      <c r="J1215" t="n">
        <v>0</v>
      </c>
      <c r="K1215" t="n">
        <v>0</v>
      </c>
      <c r="L1215" t="n">
        <v>0</v>
      </c>
      <c r="M1215" t="n">
        <v>0</v>
      </c>
      <c r="N1215" t="n">
        <v>0</v>
      </c>
      <c r="O1215" t="n">
        <v>0</v>
      </c>
      <c r="P1215" t="n">
        <v>0</v>
      </c>
      <c r="Q1215" t="n">
        <v>0</v>
      </c>
      <c r="R1215" s="2" t="inlineStr"/>
    </row>
    <row r="1216" ht="15" customHeight="1">
      <c r="A1216" t="inlineStr">
        <is>
          <t>A 8650-2024</t>
        </is>
      </c>
      <c r="B1216" s="1" t="n">
        <v>45356</v>
      </c>
      <c r="C1216" s="1" t="n">
        <v>46049</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4592-2026</t>
        </is>
      </c>
      <c r="B1217" s="1" t="n">
        <v>46048.34451388889</v>
      </c>
      <c r="C1217" s="1" t="n">
        <v>46049</v>
      </c>
      <c r="D1217" t="inlineStr">
        <is>
          <t>VÄSTERNORRLANDS LÄN</t>
        </is>
      </c>
      <c r="E1217" t="inlineStr">
        <is>
          <t>ÅNGE</t>
        </is>
      </c>
      <c r="F1217" t="inlineStr">
        <is>
          <t>SCA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62091-2025</t>
        </is>
      </c>
      <c r="B1218" s="1" t="n">
        <v>46006.3859375</v>
      </c>
      <c r="C1218" s="1" t="n">
        <v>46049</v>
      </c>
      <c r="D1218" t="inlineStr">
        <is>
          <t>VÄSTERNORRLANDS LÄN</t>
        </is>
      </c>
      <c r="E1218" t="inlineStr">
        <is>
          <t>ÅNGE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62101-2025</t>
        </is>
      </c>
      <c r="B1219" s="1" t="n">
        <v>46006.40664351852</v>
      </c>
      <c r="C1219" s="1" t="n">
        <v>46049</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62257-2025</t>
        </is>
      </c>
      <c r="B1220" s="1" t="n">
        <v>46006.61524305555</v>
      </c>
      <c r="C1220" s="1" t="n">
        <v>46049</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34629-2025</t>
        </is>
      </c>
      <c r="B1221" s="1" t="n">
        <v>45847.93006944445</v>
      </c>
      <c r="C1221" s="1" t="n">
        <v>46049</v>
      </c>
      <c r="D1221" t="inlineStr">
        <is>
          <t>VÄSTERNORRLANDS LÄN</t>
        </is>
      </c>
      <c r="E1221" t="inlineStr">
        <is>
          <t>ÅNGE</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61857-2025</t>
        </is>
      </c>
      <c r="B1222" s="1" t="n">
        <v>46003.3862962963</v>
      </c>
      <c r="C1222" s="1" t="n">
        <v>46049</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4376-2026</t>
        </is>
      </c>
      <c r="B1223" s="1" t="n">
        <v>46045.55318287037</v>
      </c>
      <c r="C1223" s="1" t="n">
        <v>46049</v>
      </c>
      <c r="D1223" t="inlineStr">
        <is>
          <t>VÄSTERNORRLANDS LÄN</t>
        </is>
      </c>
      <c r="E1223" t="inlineStr">
        <is>
          <t>ÅNGE</t>
        </is>
      </c>
      <c r="F1223" t="inlineStr">
        <is>
          <t>SCA</t>
        </is>
      </c>
      <c r="G1223" t="n">
        <v>9.300000000000001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4327-2026</t>
        </is>
      </c>
      <c r="B1224" s="1" t="n">
        <v>46045.46930555555</v>
      </c>
      <c r="C1224" s="1" t="n">
        <v>46049</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56569-2024</t>
        </is>
      </c>
      <c r="B1225" s="1" t="n">
        <v>45625</v>
      </c>
      <c r="C1225" s="1" t="n">
        <v>46049</v>
      </c>
      <c r="D1225" t="inlineStr">
        <is>
          <t>VÄSTERNORRLANDS LÄN</t>
        </is>
      </c>
      <c r="E1225" t="inlineStr">
        <is>
          <t>ÅNGE</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4586-2026</t>
        </is>
      </c>
      <c r="B1226" s="1" t="n">
        <v>46048.33769675926</v>
      </c>
      <c r="C1226" s="1" t="n">
        <v>46049</v>
      </c>
      <c r="D1226" t="inlineStr">
        <is>
          <t>VÄSTERNORRLANDS LÄN</t>
        </is>
      </c>
      <c r="E1226" t="inlineStr">
        <is>
          <t>ÅNGE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4612-2026</t>
        </is>
      </c>
      <c r="B1227" s="1" t="n">
        <v>46048.36509259259</v>
      </c>
      <c r="C1227" s="1" t="n">
        <v>46049</v>
      </c>
      <c r="D1227" t="inlineStr">
        <is>
          <t>VÄSTERNORRLANDS LÄN</t>
        </is>
      </c>
      <c r="E1227" t="inlineStr">
        <is>
          <t>ÅNGE</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3811-2026</t>
        </is>
      </c>
      <c r="B1228" s="1" t="n">
        <v>46043</v>
      </c>
      <c r="C1228" s="1" t="n">
        <v>46049</v>
      </c>
      <c r="D1228" t="inlineStr">
        <is>
          <t>VÄSTERNORRLANDS LÄN</t>
        </is>
      </c>
      <c r="E1228" t="inlineStr">
        <is>
          <t>ÅNGE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57529-2024</t>
        </is>
      </c>
      <c r="B1229" s="1" t="n">
        <v>45630</v>
      </c>
      <c r="C1229" s="1" t="n">
        <v>46049</v>
      </c>
      <c r="D1229" t="inlineStr">
        <is>
          <t>VÄSTERNORRLANDS LÄN</t>
        </is>
      </c>
      <c r="E1229" t="inlineStr">
        <is>
          <t>ÅNGE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4872-2025</t>
        </is>
      </c>
      <c r="B1230" s="1" t="n">
        <v>45688.67619212963</v>
      </c>
      <c r="C1230" s="1" t="n">
        <v>46049</v>
      </c>
      <c r="D1230" t="inlineStr">
        <is>
          <t>VÄSTERNORRLANDS LÄN</t>
        </is>
      </c>
      <c r="E1230" t="inlineStr">
        <is>
          <t>ÅNGE</t>
        </is>
      </c>
      <c r="F1230" t="inlineStr">
        <is>
          <t>SCA</t>
        </is>
      </c>
      <c r="G1230" t="n">
        <v>31.3</v>
      </c>
      <c r="H1230" t="n">
        <v>0</v>
      </c>
      <c r="I1230" t="n">
        <v>0</v>
      </c>
      <c r="J1230" t="n">
        <v>0</v>
      </c>
      <c r="K1230" t="n">
        <v>0</v>
      </c>
      <c r="L1230" t="n">
        <v>0</v>
      </c>
      <c r="M1230" t="n">
        <v>0</v>
      </c>
      <c r="N1230" t="n">
        <v>0</v>
      </c>
      <c r="O1230" t="n">
        <v>0</v>
      </c>
      <c r="P1230" t="n">
        <v>0</v>
      </c>
      <c r="Q1230" t="n">
        <v>0</v>
      </c>
      <c r="R1230" s="2" t="inlineStr"/>
      <c r="U1230">
        <f>HYPERLINK("https://klasma.github.io/Logging_2260/knärot/A 4872-2025 karta knärot.png", "A 4872-2025")</f>
        <v/>
      </c>
      <c r="V1230">
        <f>HYPERLINK("https://klasma.github.io/Logging_2260/klagomål/A 4872-2025 FSC-klagomål.docx", "A 4872-2025")</f>
        <v/>
      </c>
      <c r="W1230">
        <f>HYPERLINK("https://klasma.github.io/Logging_2260/klagomålsmail/A 4872-2025 FSC-klagomål mail.docx", "A 4872-2025")</f>
        <v/>
      </c>
      <c r="X1230">
        <f>HYPERLINK("https://klasma.github.io/Logging_2260/tillsyn/A 4872-2025 tillsynsbegäran.docx", "A 4872-2025")</f>
        <v/>
      </c>
      <c r="Y1230">
        <f>HYPERLINK("https://klasma.github.io/Logging_2260/tillsynsmail/A 4872-2025 tillsynsbegäran mail.docx", "A 4872-2025")</f>
        <v/>
      </c>
    </row>
    <row r="1231" ht="15" customHeight="1">
      <c r="A1231" t="inlineStr">
        <is>
          <t>A 16973-2025</t>
        </is>
      </c>
      <c r="B1231" s="1" t="n">
        <v>45755.46967592592</v>
      </c>
      <c r="C1231" s="1" t="n">
        <v>46049</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48632-2023</t>
        </is>
      </c>
      <c r="B1232" s="1" t="n">
        <v>45208.57944444445</v>
      </c>
      <c r="C1232" s="1" t="n">
        <v>46049</v>
      </c>
      <c r="D1232" t="inlineStr">
        <is>
          <t>VÄSTERNORRLANDS LÄN</t>
        </is>
      </c>
      <c r="E1232" t="inlineStr">
        <is>
          <t>ÅNGE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8747-2022</t>
        </is>
      </c>
      <c r="B1233" s="1" t="n">
        <v>44614.33912037037</v>
      </c>
      <c r="C1233" s="1" t="n">
        <v>46049</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14888-2022</t>
        </is>
      </c>
      <c r="B1234" s="1" t="n">
        <v>44656</v>
      </c>
      <c r="C1234" s="1" t="n">
        <v>46049</v>
      </c>
      <c r="D1234" t="inlineStr">
        <is>
          <t>VÄSTERNORRLANDS LÄN</t>
        </is>
      </c>
      <c r="E1234" t="inlineStr">
        <is>
          <t>ÅNGE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55329-2023</t>
        </is>
      </c>
      <c r="B1235" s="1" t="n">
        <v>45237</v>
      </c>
      <c r="C1235" s="1" t="n">
        <v>46049</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3986-2025</t>
        </is>
      </c>
      <c r="B1236" s="1" t="n">
        <v>45684.55262731481</v>
      </c>
      <c r="C1236" s="1" t="n">
        <v>46049</v>
      </c>
      <c r="D1236" t="inlineStr">
        <is>
          <t>VÄSTERNORRLANDS LÄN</t>
        </is>
      </c>
      <c r="E1236" t="inlineStr">
        <is>
          <t>ÅNGE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46795-2023</t>
        </is>
      </c>
      <c r="B1237" s="1" t="n">
        <v>45198</v>
      </c>
      <c r="C1237" s="1" t="n">
        <v>46049</v>
      </c>
      <c r="D1237" t="inlineStr">
        <is>
          <t>VÄSTERNORRLANDS LÄN</t>
        </is>
      </c>
      <c r="E1237" t="inlineStr">
        <is>
          <t>ÅNGE</t>
        </is>
      </c>
      <c r="F1237" t="inlineStr">
        <is>
          <t>Holmen skog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4094-2025</t>
        </is>
      </c>
      <c r="B1238" s="1" t="n">
        <v>45684.6778125</v>
      </c>
      <c r="C1238" s="1" t="n">
        <v>46049</v>
      </c>
      <c r="D1238" t="inlineStr">
        <is>
          <t>VÄSTERNORRLANDS LÄN</t>
        </is>
      </c>
      <c r="E1238" t="inlineStr">
        <is>
          <t>ÅNGE</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39973-2023</t>
        </is>
      </c>
      <c r="B1239" s="1" t="n">
        <v>45168.5858912037</v>
      </c>
      <c r="C1239" s="1" t="n">
        <v>46049</v>
      </c>
      <c r="D1239" t="inlineStr">
        <is>
          <t>VÄSTERNORRLANDS LÄN</t>
        </is>
      </c>
      <c r="E1239" t="inlineStr">
        <is>
          <t>ÅNGE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58637-2023</t>
        </is>
      </c>
      <c r="B1240" s="1" t="n">
        <v>45251</v>
      </c>
      <c r="C1240" s="1" t="n">
        <v>46049</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4236-2025</t>
        </is>
      </c>
      <c r="B1241" s="1" t="n">
        <v>45685.56534722223</v>
      </c>
      <c r="C1241" s="1" t="n">
        <v>46049</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51131-2022</t>
        </is>
      </c>
      <c r="B1242" s="1" t="n">
        <v>44868</v>
      </c>
      <c r="C1242" s="1" t="n">
        <v>46049</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5999-2025</t>
        </is>
      </c>
      <c r="B1243" s="1" t="n">
        <v>45695</v>
      </c>
      <c r="C1243" s="1" t="n">
        <v>46049</v>
      </c>
      <c r="D1243" t="inlineStr">
        <is>
          <t>VÄSTERNORRLANDS LÄN</t>
        </is>
      </c>
      <c r="E1243" t="inlineStr">
        <is>
          <t>ÅNGE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26015-2024</t>
        </is>
      </c>
      <c r="B1244" s="1" t="n">
        <v>45467.95872685185</v>
      </c>
      <c r="C1244" s="1" t="n">
        <v>46049</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26010-2024</t>
        </is>
      </c>
      <c r="B1245" s="1" t="n">
        <v>45467.95819444444</v>
      </c>
      <c r="C1245" s="1" t="n">
        <v>46049</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60365-2024</t>
        </is>
      </c>
      <c r="B1246" s="1" t="n">
        <v>45643</v>
      </c>
      <c r="C1246" s="1" t="n">
        <v>46049</v>
      </c>
      <c r="D1246" t="inlineStr">
        <is>
          <t>VÄSTERNORRLANDS LÄN</t>
        </is>
      </c>
      <c r="E1246" t="inlineStr">
        <is>
          <t>ÅNGE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11871-2025</t>
        </is>
      </c>
      <c r="B1247" s="1" t="n">
        <v>45728.42740740741</v>
      </c>
      <c r="C1247" s="1" t="n">
        <v>46049</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15799-2025</t>
        </is>
      </c>
      <c r="B1248" s="1" t="n">
        <v>45748.64768518518</v>
      </c>
      <c r="C1248" s="1" t="n">
        <v>46049</v>
      </c>
      <c r="D1248" t="inlineStr">
        <is>
          <t>VÄSTERNORRLANDS LÄN</t>
        </is>
      </c>
      <c r="E1248" t="inlineStr">
        <is>
          <t>ÅNGE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47488-2023</t>
        </is>
      </c>
      <c r="B1249" s="1" t="n">
        <v>45202.94168981481</v>
      </c>
      <c r="C1249" s="1" t="n">
        <v>46049</v>
      </c>
      <c r="D1249" t="inlineStr">
        <is>
          <t>VÄSTERNORRLANDS LÄN</t>
        </is>
      </c>
      <c r="E1249" t="inlineStr">
        <is>
          <t>ÅNGE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54982-2023</t>
        </is>
      </c>
      <c r="B1250" s="1" t="n">
        <v>45236</v>
      </c>
      <c r="C1250" s="1" t="n">
        <v>46049</v>
      </c>
      <c r="D1250" t="inlineStr">
        <is>
          <t>VÄSTERNORRLANDS LÄN</t>
        </is>
      </c>
      <c r="E1250" t="inlineStr">
        <is>
          <t>ÅNGE</t>
        </is>
      </c>
      <c r="F1250" t="inlineStr">
        <is>
          <t>SCA</t>
        </is>
      </c>
      <c r="G1250" t="n">
        <v>26.2</v>
      </c>
      <c r="H1250" t="n">
        <v>0</v>
      </c>
      <c r="I1250" t="n">
        <v>0</v>
      </c>
      <c r="J1250" t="n">
        <v>0</v>
      </c>
      <c r="K1250" t="n">
        <v>0</v>
      </c>
      <c r="L1250" t="n">
        <v>0</v>
      </c>
      <c r="M1250" t="n">
        <v>0</v>
      </c>
      <c r="N1250" t="n">
        <v>0</v>
      </c>
      <c r="O1250" t="n">
        <v>0</v>
      </c>
      <c r="P1250" t="n">
        <v>0</v>
      </c>
      <c r="Q1250" t="n">
        <v>0</v>
      </c>
      <c r="R1250" s="2" t="inlineStr"/>
    </row>
    <row r="1251" ht="15" customHeight="1">
      <c r="A1251" t="inlineStr">
        <is>
          <t>A 57560-2023</t>
        </is>
      </c>
      <c r="B1251" s="1" t="n">
        <v>45243</v>
      </c>
      <c r="C1251" s="1" t="n">
        <v>46049</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57568-2023</t>
        </is>
      </c>
      <c r="B1252" s="1" t="n">
        <v>45246.50484953704</v>
      </c>
      <c r="C1252" s="1" t="n">
        <v>46049</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63530-2023</t>
        </is>
      </c>
      <c r="B1253" s="1" t="n">
        <v>45274</v>
      </c>
      <c r="C1253" s="1" t="n">
        <v>46049</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3253-2024</t>
        </is>
      </c>
      <c r="B1254" s="1" t="n">
        <v>45316</v>
      </c>
      <c r="C1254" s="1" t="n">
        <v>46049</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49945-2023</t>
        </is>
      </c>
      <c r="B1255" s="1" t="n">
        <v>45215.3625462963</v>
      </c>
      <c r="C1255" s="1" t="n">
        <v>46049</v>
      </c>
      <c r="D1255" t="inlineStr">
        <is>
          <t>VÄSTERNORRLANDS LÄN</t>
        </is>
      </c>
      <c r="E1255" t="inlineStr">
        <is>
          <t>ÅNGE</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25903-2022</t>
        </is>
      </c>
      <c r="B1256" s="1" t="n">
        <v>44733</v>
      </c>
      <c r="C1256" s="1" t="n">
        <v>46049</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19709-2025</t>
        </is>
      </c>
      <c r="B1257" s="1" t="n">
        <v>45771.34263888889</v>
      </c>
      <c r="C1257" s="1" t="n">
        <v>46049</v>
      </c>
      <c r="D1257" t="inlineStr">
        <is>
          <t>VÄSTERNORRLANDS LÄN</t>
        </is>
      </c>
      <c r="E1257" t="inlineStr">
        <is>
          <t>ÅNGE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24324-2022</t>
        </is>
      </c>
      <c r="B1258" s="1" t="n">
        <v>44725.945</v>
      </c>
      <c r="C1258" s="1" t="n">
        <v>46049</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24325-2022</t>
        </is>
      </c>
      <c r="B1259" s="1" t="n">
        <v>44725.94506944445</v>
      </c>
      <c r="C1259" s="1" t="n">
        <v>46049</v>
      </c>
      <c r="D1259" t="inlineStr">
        <is>
          <t>VÄSTERNORRLANDS LÄN</t>
        </is>
      </c>
      <c r="E1259" t="inlineStr">
        <is>
          <t>ÅNGE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30803-2022</t>
        </is>
      </c>
      <c r="B1260" s="1" t="n">
        <v>44764</v>
      </c>
      <c r="C1260" s="1" t="n">
        <v>46049</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17744-2025</t>
        </is>
      </c>
      <c r="B1261" s="1" t="n">
        <v>45758</v>
      </c>
      <c r="C1261" s="1" t="n">
        <v>46049</v>
      </c>
      <c r="D1261" t="inlineStr">
        <is>
          <t>VÄSTERNORRLANDS LÄN</t>
        </is>
      </c>
      <c r="E1261" t="inlineStr">
        <is>
          <t>ÅNGE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2433-2024</t>
        </is>
      </c>
      <c r="B1262" s="1" t="n">
        <v>45310</v>
      </c>
      <c r="C1262" s="1" t="n">
        <v>46049</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56615-2023</t>
        </is>
      </c>
      <c r="B1263" s="1" t="n">
        <v>45243</v>
      </c>
      <c r="C1263" s="1" t="n">
        <v>46049</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61461-2023</t>
        </is>
      </c>
      <c r="B1264" s="1" t="n">
        <v>45264.9261574074</v>
      </c>
      <c r="C1264" s="1" t="n">
        <v>46049</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27661-2024</t>
        </is>
      </c>
      <c r="B1265" s="1" t="n">
        <v>45474.95365740741</v>
      </c>
      <c r="C1265" s="1" t="n">
        <v>46049</v>
      </c>
      <c r="D1265" t="inlineStr">
        <is>
          <t>VÄSTERNORRLANDS LÄN</t>
        </is>
      </c>
      <c r="E1265" t="inlineStr">
        <is>
          <t>ÅNGE</t>
        </is>
      </c>
      <c r="F1265" t="inlineStr">
        <is>
          <t>SCA</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45890-2021</t>
        </is>
      </c>
      <c r="B1266" s="1" t="n">
        <v>44441</v>
      </c>
      <c r="C1266" s="1" t="n">
        <v>46049</v>
      </c>
      <c r="D1266" t="inlineStr">
        <is>
          <t>VÄSTERNORRLANDS LÄN</t>
        </is>
      </c>
      <c r="E1266" t="inlineStr">
        <is>
          <t>ÅNGE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60003-2023</t>
        </is>
      </c>
      <c r="B1267" s="1" t="n">
        <v>45257</v>
      </c>
      <c r="C1267" s="1" t="n">
        <v>46049</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213-2024</t>
        </is>
      </c>
      <c r="B1268" s="1" t="n">
        <v>45293</v>
      </c>
      <c r="C1268" s="1" t="n">
        <v>46049</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40788-2024</t>
        </is>
      </c>
      <c r="B1269" s="1" t="n">
        <v>45558.50974537037</v>
      </c>
      <c r="C1269" s="1" t="n">
        <v>46049</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741-2024</t>
        </is>
      </c>
      <c r="B1270" s="1" t="n">
        <v>45300.46591435185</v>
      </c>
      <c r="C1270" s="1" t="n">
        <v>46049</v>
      </c>
      <c r="D1270" t="inlineStr">
        <is>
          <t>VÄSTERNORRLANDS LÄN</t>
        </is>
      </c>
      <c r="E1270" t="inlineStr">
        <is>
          <t>ÅNGE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54611-2023</t>
        </is>
      </c>
      <c r="B1271" s="1" t="n">
        <v>45233</v>
      </c>
      <c r="C1271" s="1" t="n">
        <v>46049</v>
      </c>
      <c r="D1271" t="inlineStr">
        <is>
          <t>VÄSTERNORRLANDS LÄN</t>
        </is>
      </c>
      <c r="E1271" t="inlineStr">
        <is>
          <t>ÅNGE</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14673-2025</t>
        </is>
      </c>
      <c r="B1272" s="1" t="n">
        <v>45742.55309027778</v>
      </c>
      <c r="C1272" s="1" t="n">
        <v>46049</v>
      </c>
      <c r="D1272" t="inlineStr">
        <is>
          <t>VÄSTERNORRLANDS LÄN</t>
        </is>
      </c>
      <c r="E1272" t="inlineStr">
        <is>
          <t>ÅNGE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15032-2025</t>
        </is>
      </c>
      <c r="B1273" s="1" t="n">
        <v>45743.67748842593</v>
      </c>
      <c r="C1273" s="1" t="n">
        <v>46049</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7692-2024</t>
        </is>
      </c>
      <c r="B1274" s="1" t="n">
        <v>45349</v>
      </c>
      <c r="C1274" s="1" t="n">
        <v>46049</v>
      </c>
      <c r="D1274" t="inlineStr">
        <is>
          <t>VÄSTERNORRLANDS LÄN</t>
        </is>
      </c>
      <c r="E1274" t="inlineStr">
        <is>
          <t>ÅNGE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29673-2024</t>
        </is>
      </c>
      <c r="B1275" s="1" t="n">
        <v>45484.94210648148</v>
      </c>
      <c r="C1275" s="1" t="n">
        <v>46049</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5602-2025</t>
        </is>
      </c>
      <c r="B1276" s="1" t="n">
        <v>45693</v>
      </c>
      <c r="C1276" s="1" t="n">
        <v>46049</v>
      </c>
      <c r="D1276" t="inlineStr">
        <is>
          <t>VÄSTERNORRLANDS LÄN</t>
        </is>
      </c>
      <c r="E1276" t="inlineStr">
        <is>
          <t>ÅNGE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30751-2024</t>
        </is>
      </c>
      <c r="B1277" s="1" t="n">
        <v>45496.69339120371</v>
      </c>
      <c r="C1277" s="1" t="n">
        <v>46049</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38099-2024</t>
        </is>
      </c>
      <c r="B1278" s="1" t="n">
        <v>45545.35920138889</v>
      </c>
      <c r="C1278" s="1" t="n">
        <v>46049</v>
      </c>
      <c r="D1278" t="inlineStr">
        <is>
          <t>VÄSTERNORRLANDS LÄN</t>
        </is>
      </c>
      <c r="E1278" t="inlineStr">
        <is>
          <t>ÅNGE</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44636-2024</t>
        </is>
      </c>
      <c r="B1279" s="1" t="n">
        <v>45574.51491898148</v>
      </c>
      <c r="C1279" s="1" t="n">
        <v>46049</v>
      </c>
      <c r="D1279" t="inlineStr">
        <is>
          <t>VÄSTERNORRLANDS LÄN</t>
        </is>
      </c>
      <c r="E1279" t="inlineStr">
        <is>
          <t>ÅNGE</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64375-2023</t>
        </is>
      </c>
      <c r="B1280" s="1" t="n">
        <v>45280</v>
      </c>
      <c r="C1280" s="1" t="n">
        <v>46049</v>
      </c>
      <c r="D1280" t="inlineStr">
        <is>
          <t>VÄSTERNORRLANDS LÄN</t>
        </is>
      </c>
      <c r="E1280" t="inlineStr">
        <is>
          <t>ÅNGE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60296-2021</t>
        </is>
      </c>
      <c r="B1281" s="1" t="n">
        <v>44495</v>
      </c>
      <c r="C1281" s="1" t="n">
        <v>46049</v>
      </c>
      <c r="D1281" t="inlineStr">
        <is>
          <t>VÄSTERNORRLANDS LÄN</t>
        </is>
      </c>
      <c r="E1281" t="inlineStr">
        <is>
          <t>ÅNGE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63556-2021</t>
        </is>
      </c>
      <c r="B1282" s="1" t="n">
        <v>44508.70231481481</v>
      </c>
      <c r="C1282" s="1" t="n">
        <v>46049</v>
      </c>
      <c r="D1282" t="inlineStr">
        <is>
          <t>VÄSTERNORRLANDS LÄN</t>
        </is>
      </c>
      <c r="E1282" t="inlineStr">
        <is>
          <t>ÅNGE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10922-2024</t>
        </is>
      </c>
      <c r="B1283" s="1" t="n">
        <v>45370</v>
      </c>
      <c r="C1283" s="1" t="n">
        <v>46049</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21089-2024</t>
        </is>
      </c>
      <c r="B1284" s="1" t="n">
        <v>45439.94987268518</v>
      </c>
      <c r="C1284" s="1" t="n">
        <v>46049</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64950-2023</t>
        </is>
      </c>
      <c r="B1285" s="1" t="n">
        <v>45282</v>
      </c>
      <c r="C1285" s="1" t="n">
        <v>46049</v>
      </c>
      <c r="D1285" t="inlineStr">
        <is>
          <t>VÄSTERNORRLANDS LÄN</t>
        </is>
      </c>
      <c r="E1285" t="inlineStr">
        <is>
          <t>ÅNGE</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20393-2022</t>
        </is>
      </c>
      <c r="B1286" s="1" t="n">
        <v>44699</v>
      </c>
      <c r="C1286" s="1" t="n">
        <v>46049</v>
      </c>
      <c r="D1286" t="inlineStr">
        <is>
          <t>VÄSTERNORRLANDS LÄN</t>
        </is>
      </c>
      <c r="E1286" t="inlineStr">
        <is>
          <t>ÅNGE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4727-2023</t>
        </is>
      </c>
      <c r="B1287" s="1" t="n">
        <v>44953</v>
      </c>
      <c r="C1287" s="1" t="n">
        <v>46049</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35650-2024</t>
        </is>
      </c>
      <c r="B1288" s="1" t="n">
        <v>45532.34123842593</v>
      </c>
      <c r="C1288" s="1" t="n">
        <v>46049</v>
      </c>
      <c r="D1288" t="inlineStr">
        <is>
          <t>VÄSTERNORRLANDS LÄN</t>
        </is>
      </c>
      <c r="E1288" t="inlineStr">
        <is>
          <t>ÅNGE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3357-2024</t>
        </is>
      </c>
      <c r="B1289" s="1" t="n">
        <v>45317</v>
      </c>
      <c r="C1289" s="1" t="n">
        <v>46049</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46332-2023</t>
        </is>
      </c>
      <c r="B1290" s="1" t="n">
        <v>45196</v>
      </c>
      <c r="C1290" s="1" t="n">
        <v>46049</v>
      </c>
      <c r="D1290" t="inlineStr">
        <is>
          <t>VÄSTERNORRLANDS LÄN</t>
        </is>
      </c>
      <c r="E1290" t="inlineStr">
        <is>
          <t>ÅNGE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64945-2023</t>
        </is>
      </c>
      <c r="B1291" s="1" t="n">
        <v>45282.94668981482</v>
      </c>
      <c r="C1291" s="1" t="n">
        <v>46049</v>
      </c>
      <c r="D1291" t="inlineStr">
        <is>
          <t>VÄSTERNORRLANDS LÄN</t>
        </is>
      </c>
      <c r="E1291" t="inlineStr">
        <is>
          <t>ÅNGE</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23018-2021</t>
        </is>
      </c>
      <c r="B1292" s="1" t="n">
        <v>44328</v>
      </c>
      <c r="C1292" s="1" t="n">
        <v>46049</v>
      </c>
      <c r="D1292" t="inlineStr">
        <is>
          <t>VÄSTERNORRLANDS LÄN</t>
        </is>
      </c>
      <c r="E1292" t="inlineStr">
        <is>
          <t>ÅNGE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31866-2024</t>
        </is>
      </c>
      <c r="B1293" s="1" t="n">
        <v>45509</v>
      </c>
      <c r="C1293" s="1" t="n">
        <v>46049</v>
      </c>
      <c r="D1293" t="inlineStr">
        <is>
          <t>VÄSTERNORRLANDS LÄN</t>
        </is>
      </c>
      <c r="E1293" t="inlineStr">
        <is>
          <t>ÅNGE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31867-2024</t>
        </is>
      </c>
      <c r="B1294" s="1" t="n">
        <v>45509</v>
      </c>
      <c r="C1294" s="1" t="n">
        <v>46049</v>
      </c>
      <c r="D1294" t="inlineStr">
        <is>
          <t>VÄSTERNORRLANDS LÄN</t>
        </is>
      </c>
      <c r="E1294" t="inlineStr">
        <is>
          <t>ÅNGE</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39178-2024</t>
        </is>
      </c>
      <c r="B1295" s="1" t="n">
        <v>45548.65692129629</v>
      </c>
      <c r="C1295" s="1" t="n">
        <v>46049</v>
      </c>
      <c r="D1295" t="inlineStr">
        <is>
          <t>VÄSTERNORRLANDS LÄN</t>
        </is>
      </c>
      <c r="E1295" t="inlineStr">
        <is>
          <t>ÅNGE</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29193-2024</t>
        </is>
      </c>
      <c r="B1296" s="1" t="n">
        <v>45482.56510416666</v>
      </c>
      <c r="C1296" s="1" t="n">
        <v>46049</v>
      </c>
      <c r="D1296" t="inlineStr">
        <is>
          <t>VÄSTERNORRLANDS LÄN</t>
        </is>
      </c>
      <c r="E1296" t="inlineStr">
        <is>
          <t>ÅNGE</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42040-2024</t>
        </is>
      </c>
      <c r="B1297" s="1" t="n">
        <v>45561.80983796297</v>
      </c>
      <c r="C1297" s="1" t="n">
        <v>46049</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34691-2024</t>
        </is>
      </c>
      <c r="B1298" s="1" t="n">
        <v>45526.54516203704</v>
      </c>
      <c r="C1298" s="1" t="n">
        <v>46049</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54210-2024</t>
        </is>
      </c>
      <c r="B1299" s="1" t="n">
        <v>45616.65662037037</v>
      </c>
      <c r="C1299" s="1" t="n">
        <v>46049</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52805-2024</t>
        </is>
      </c>
      <c r="B1300" s="1" t="n">
        <v>45610.57344907407</v>
      </c>
      <c r="C1300" s="1" t="n">
        <v>46049</v>
      </c>
      <c r="D1300" t="inlineStr">
        <is>
          <t>VÄSTERNORRLANDS LÄN</t>
        </is>
      </c>
      <c r="E1300" t="inlineStr">
        <is>
          <t>ÅNGE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61577-2023</t>
        </is>
      </c>
      <c r="B1301" s="1" t="n">
        <v>45265.47366898148</v>
      </c>
      <c r="C1301" s="1" t="n">
        <v>46049</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1735-2025</t>
        </is>
      </c>
      <c r="B1302" s="1" t="n">
        <v>45671.38594907407</v>
      </c>
      <c r="C1302" s="1" t="n">
        <v>46049</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45939-2023</t>
        </is>
      </c>
      <c r="B1303" s="1" t="n">
        <v>45195.94578703704</v>
      </c>
      <c r="C1303" s="1" t="n">
        <v>46049</v>
      </c>
      <c r="D1303" t="inlineStr">
        <is>
          <t>VÄSTERNORRLANDS LÄN</t>
        </is>
      </c>
      <c r="E1303" t="inlineStr">
        <is>
          <t>ÅNGE</t>
        </is>
      </c>
      <c r="F1303" t="inlineStr">
        <is>
          <t>SCA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46049</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3574-2025</t>
        </is>
      </c>
      <c r="B1305" s="1" t="n">
        <v>45680.71916666667</v>
      </c>
      <c r="C1305" s="1" t="n">
        <v>46049</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29048-2021</t>
        </is>
      </c>
      <c r="B1306" s="1" t="n">
        <v>44358</v>
      </c>
      <c r="C1306" s="1" t="n">
        <v>46049</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3022-2023</t>
        </is>
      </c>
      <c r="B1307" s="1" t="n">
        <v>44945</v>
      </c>
      <c r="C1307" s="1" t="n">
        <v>46049</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39021-2024</t>
        </is>
      </c>
      <c r="B1308" s="1" t="n">
        <v>45548</v>
      </c>
      <c r="C1308" s="1" t="n">
        <v>46049</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13875-2022</t>
        </is>
      </c>
      <c r="B1309" s="1" t="n">
        <v>44649</v>
      </c>
      <c r="C1309" s="1" t="n">
        <v>46049</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4876-2023</t>
        </is>
      </c>
      <c r="B1310" s="1" t="n">
        <v>44957.94023148148</v>
      </c>
      <c r="C1310" s="1" t="n">
        <v>46049</v>
      </c>
      <c r="D1310" t="inlineStr">
        <is>
          <t>VÄSTERNORRLANDS LÄN</t>
        </is>
      </c>
      <c r="E1310" t="inlineStr">
        <is>
          <t>ÅNGE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3362-2023</t>
        </is>
      </c>
      <c r="B1311" s="1" t="n">
        <v>44945</v>
      </c>
      <c r="C1311" s="1" t="n">
        <v>46049</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44415-2021</t>
        </is>
      </c>
      <c r="B1312" s="1" t="n">
        <v>44435</v>
      </c>
      <c r="C1312" s="1" t="n">
        <v>46049</v>
      </c>
      <c r="D1312" t="inlineStr">
        <is>
          <t>VÄSTERNORRLANDS LÄN</t>
        </is>
      </c>
      <c r="E1312" t="inlineStr">
        <is>
          <t>ÅNGE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5455-2023</t>
        </is>
      </c>
      <c r="B1313" s="1" t="n">
        <v>44959.93983796296</v>
      </c>
      <c r="C1313" s="1" t="n">
        <v>46049</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59986-2021</t>
        </is>
      </c>
      <c r="B1314" s="1" t="n">
        <v>44494</v>
      </c>
      <c r="C1314" s="1" t="n">
        <v>46049</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50235-2021</t>
        </is>
      </c>
      <c r="B1315" s="1" t="n">
        <v>44457</v>
      </c>
      <c r="C1315" s="1" t="n">
        <v>46049</v>
      </c>
      <c r="D1315" t="inlineStr">
        <is>
          <t>VÄSTERNORRLANDS LÄN</t>
        </is>
      </c>
      <c r="E1315" t="inlineStr">
        <is>
          <t>ÅNGE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47950-2024</t>
        </is>
      </c>
      <c r="B1316" s="1" t="n">
        <v>45589.36511574074</v>
      </c>
      <c r="C1316" s="1" t="n">
        <v>46049</v>
      </c>
      <c r="D1316" t="inlineStr">
        <is>
          <t>VÄSTERNORRLANDS LÄN</t>
        </is>
      </c>
      <c r="E1316" t="inlineStr">
        <is>
          <t>ÅNGE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11299-2023</t>
        </is>
      </c>
      <c r="B1317" s="1" t="n">
        <v>44993.01074074074</v>
      </c>
      <c r="C1317" s="1" t="n">
        <v>46049</v>
      </c>
      <c r="D1317" t="inlineStr">
        <is>
          <t>VÄSTERNORRLANDS LÄN</t>
        </is>
      </c>
      <c r="E1317" t="inlineStr">
        <is>
          <t>ÅNGE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11309-2023</t>
        </is>
      </c>
      <c r="B1318" s="1" t="n">
        <v>44993.0118287037</v>
      </c>
      <c r="C1318" s="1" t="n">
        <v>46049</v>
      </c>
      <c r="D1318" t="inlineStr">
        <is>
          <t>VÄSTERNORRLANDS LÄN</t>
        </is>
      </c>
      <c r="E1318" t="inlineStr">
        <is>
          <t>ÅNGE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62834-2021</t>
        </is>
      </c>
      <c r="B1319" s="1" t="n">
        <v>44503</v>
      </c>
      <c r="C1319" s="1" t="n">
        <v>46049</v>
      </c>
      <c r="D1319" t="inlineStr">
        <is>
          <t>VÄSTERNORRLANDS LÄN</t>
        </is>
      </c>
      <c r="E1319" t="inlineStr">
        <is>
          <t>ÅNGE</t>
        </is>
      </c>
      <c r="F1319" t="inlineStr">
        <is>
          <t>Övriga statliga verk och myndigheter</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10557-2023</t>
        </is>
      </c>
      <c r="B1320" s="1" t="n">
        <v>44987</v>
      </c>
      <c r="C1320" s="1" t="n">
        <v>46049</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8418-2023</t>
        </is>
      </c>
      <c r="B1321" s="1" t="n">
        <v>44971</v>
      </c>
      <c r="C1321" s="1" t="n">
        <v>46049</v>
      </c>
      <c r="D1321" t="inlineStr">
        <is>
          <t>VÄSTERNORRLANDS LÄN</t>
        </is>
      </c>
      <c r="E1321" t="inlineStr">
        <is>
          <t>ÅNGE</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4006-2022</t>
        </is>
      </c>
      <c r="B1322" s="1" t="n">
        <v>44587.92019675926</v>
      </c>
      <c r="C1322" s="1" t="n">
        <v>46049</v>
      </c>
      <c r="D1322" t="inlineStr">
        <is>
          <t>VÄSTERNORRLANDS LÄN</t>
        </is>
      </c>
      <c r="E1322" t="inlineStr">
        <is>
          <t>ÅNGE</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48725-2024</t>
        </is>
      </c>
      <c r="B1323" s="1" t="n">
        <v>45593.55793981482</v>
      </c>
      <c r="C1323" s="1" t="n">
        <v>46049</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48988-2021</t>
        </is>
      </c>
      <c r="B1324" s="1" t="n">
        <v>44453.43</v>
      </c>
      <c r="C1324" s="1" t="n">
        <v>46049</v>
      </c>
      <c r="D1324" t="inlineStr">
        <is>
          <t>VÄSTERNORRLANDS LÄN</t>
        </is>
      </c>
      <c r="E1324" t="inlineStr">
        <is>
          <t>ÅNGE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1886-2024</t>
        </is>
      </c>
      <c r="B1325" s="1" t="n">
        <v>45307.96335648148</v>
      </c>
      <c r="C1325" s="1" t="n">
        <v>46049</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44979-2023</t>
        </is>
      </c>
      <c r="B1326" s="1" t="n">
        <v>45190.95752314815</v>
      </c>
      <c r="C1326" s="1" t="n">
        <v>46049</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17923-2025</t>
        </is>
      </c>
      <c r="B1327" s="1" t="n">
        <v>45759.34415509259</v>
      </c>
      <c r="C1327" s="1" t="n">
        <v>46049</v>
      </c>
      <c r="D1327" t="inlineStr">
        <is>
          <t>VÄSTERNORRLANDS LÄN</t>
        </is>
      </c>
      <c r="E1327" t="inlineStr">
        <is>
          <t>ÅNGE</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1582-2025</t>
        </is>
      </c>
      <c r="B1328" s="1" t="n">
        <v>45670</v>
      </c>
      <c r="C1328" s="1" t="n">
        <v>46049</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c r="U1328">
        <f>HYPERLINK("https://klasma.github.io/Logging_2260/knärot/A 1582-2025 karta knärot.png", "A 1582-2025")</f>
        <v/>
      </c>
      <c r="V1328">
        <f>HYPERLINK("https://klasma.github.io/Logging_2260/klagomål/A 1582-2025 FSC-klagomål.docx", "A 1582-2025")</f>
        <v/>
      </c>
      <c r="W1328">
        <f>HYPERLINK("https://klasma.github.io/Logging_2260/klagomålsmail/A 1582-2025 FSC-klagomål mail.docx", "A 1582-2025")</f>
        <v/>
      </c>
      <c r="X1328">
        <f>HYPERLINK("https://klasma.github.io/Logging_2260/tillsyn/A 1582-2025 tillsynsbegäran.docx", "A 1582-2025")</f>
        <v/>
      </c>
      <c r="Y1328">
        <f>HYPERLINK("https://klasma.github.io/Logging_2260/tillsynsmail/A 1582-2025 tillsynsbegäran mail.docx", "A 1582-2025")</f>
        <v/>
      </c>
    </row>
    <row r="1329" ht="15" customHeight="1">
      <c r="A1329" t="inlineStr">
        <is>
          <t>A 54908-2021</t>
        </is>
      </c>
      <c r="B1329" s="1" t="n">
        <v>44474.39769675926</v>
      </c>
      <c r="C1329" s="1" t="n">
        <v>46049</v>
      </c>
      <c r="D1329" t="inlineStr">
        <is>
          <t>VÄSTERNORRLANDS LÄN</t>
        </is>
      </c>
      <c r="E1329" t="inlineStr">
        <is>
          <t>ÅNGE</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27951-2021</t>
        </is>
      </c>
      <c r="B1330" s="1" t="n">
        <v>44354</v>
      </c>
      <c r="C1330" s="1" t="n">
        <v>46049</v>
      </c>
      <c r="D1330" t="inlineStr">
        <is>
          <t>VÄSTERNORRLANDS LÄN</t>
        </is>
      </c>
      <c r="E1330" t="inlineStr">
        <is>
          <t>ÅNGE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22990-2024</t>
        </is>
      </c>
      <c r="B1331" s="1" t="n">
        <v>45449.94548611111</v>
      </c>
      <c r="C1331" s="1" t="n">
        <v>46049</v>
      </c>
      <c r="D1331" t="inlineStr">
        <is>
          <t>VÄSTERNORRLANDS LÄN</t>
        </is>
      </c>
      <c r="E1331" t="inlineStr">
        <is>
          <t>ÅNGE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39589-2022</t>
        </is>
      </c>
      <c r="B1332" s="1" t="n">
        <v>44818</v>
      </c>
      <c r="C1332" s="1" t="n">
        <v>46049</v>
      </c>
      <c r="D1332" t="inlineStr">
        <is>
          <t>VÄSTERNORRLANDS LÄN</t>
        </is>
      </c>
      <c r="E1332" t="inlineStr">
        <is>
          <t>ÅNGE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25320-2023</t>
        </is>
      </c>
      <c r="B1333" s="1" t="n">
        <v>45086.93929398148</v>
      </c>
      <c r="C1333" s="1" t="n">
        <v>46049</v>
      </c>
      <c r="D1333" t="inlineStr">
        <is>
          <t>VÄSTERNORRLANDS LÄN</t>
        </is>
      </c>
      <c r="E1333" t="inlineStr">
        <is>
          <t>ÅNGE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24541-2023</t>
        </is>
      </c>
      <c r="B1334" s="1" t="n">
        <v>45082.94135416667</v>
      </c>
      <c r="C1334" s="1" t="n">
        <v>46049</v>
      </c>
      <c r="D1334" t="inlineStr">
        <is>
          <t>VÄSTERNORRLANDS LÄN</t>
        </is>
      </c>
      <c r="E1334" t="inlineStr">
        <is>
          <t>ÅNGE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18542-2022</t>
        </is>
      </c>
      <c r="B1335" s="1" t="n">
        <v>44686</v>
      </c>
      <c r="C1335" s="1" t="n">
        <v>46049</v>
      </c>
      <c r="D1335" t="inlineStr">
        <is>
          <t>VÄSTERNORRLANDS LÄN</t>
        </is>
      </c>
      <c r="E1335" t="inlineStr">
        <is>
          <t>ÅNGE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44600-2024</t>
        </is>
      </c>
      <c r="B1336" s="1" t="n">
        <v>45574.51113425926</v>
      </c>
      <c r="C1336" s="1" t="n">
        <v>46049</v>
      </c>
      <c r="D1336" t="inlineStr">
        <is>
          <t>VÄSTERNORRLANDS LÄN</t>
        </is>
      </c>
      <c r="E1336" t="inlineStr">
        <is>
          <t>ÅNGE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26013-2024</t>
        </is>
      </c>
      <c r="B1337" s="1" t="n">
        <v>45467</v>
      </c>
      <c r="C1337" s="1" t="n">
        <v>46049</v>
      </c>
      <c r="D1337" t="inlineStr">
        <is>
          <t>VÄSTERNORRLANDS LÄN</t>
        </is>
      </c>
      <c r="E1337" t="inlineStr">
        <is>
          <t>ÅNGE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25377-2024</t>
        </is>
      </c>
      <c r="B1338" s="1" t="n">
        <v>45462.96211805556</v>
      </c>
      <c r="C1338" s="1" t="n">
        <v>46049</v>
      </c>
      <c r="D1338" t="inlineStr">
        <is>
          <t>VÄSTERNORRLANDS LÄN</t>
        </is>
      </c>
      <c r="E1338" t="inlineStr">
        <is>
          <t>ÅNGE</t>
        </is>
      </c>
      <c r="F1338" t="inlineStr">
        <is>
          <t>SCA</t>
        </is>
      </c>
      <c r="G1338" t="n">
        <v>20.7</v>
      </c>
      <c r="H1338" t="n">
        <v>0</v>
      </c>
      <c r="I1338" t="n">
        <v>0</v>
      </c>
      <c r="J1338" t="n">
        <v>0</v>
      </c>
      <c r="K1338" t="n">
        <v>0</v>
      </c>
      <c r="L1338" t="n">
        <v>0</v>
      </c>
      <c r="M1338" t="n">
        <v>0</v>
      </c>
      <c r="N1338" t="n">
        <v>0</v>
      </c>
      <c r="O1338" t="n">
        <v>0</v>
      </c>
      <c r="P1338" t="n">
        <v>0</v>
      </c>
      <c r="Q1338" t="n">
        <v>0</v>
      </c>
      <c r="R1338" s="2" t="inlineStr"/>
    </row>
    <row r="1339" ht="15" customHeight="1">
      <c r="A1339" t="inlineStr">
        <is>
          <t>A 56956-2022</t>
        </is>
      </c>
      <c r="B1339" s="1" t="n">
        <v>44894</v>
      </c>
      <c r="C1339" s="1" t="n">
        <v>46049</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4883-2023</t>
        </is>
      </c>
      <c r="B1340" s="1" t="n">
        <v>44957</v>
      </c>
      <c r="C1340" s="1" t="n">
        <v>46049</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8755-2022</t>
        </is>
      </c>
      <c r="B1341" s="1" t="n">
        <v>44614</v>
      </c>
      <c r="C1341" s="1" t="n">
        <v>46049</v>
      </c>
      <c r="D1341" t="inlineStr">
        <is>
          <t>VÄSTERNORRLANDS LÄN</t>
        </is>
      </c>
      <c r="E1341" t="inlineStr">
        <is>
          <t>ÅNGE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30747-2024</t>
        </is>
      </c>
      <c r="B1342" s="1" t="n">
        <v>45496</v>
      </c>
      <c r="C1342" s="1" t="n">
        <v>46049</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58929-2024</t>
        </is>
      </c>
      <c r="B1343" s="1" t="n">
        <v>45636.51090277778</v>
      </c>
      <c r="C1343" s="1" t="n">
        <v>46049</v>
      </c>
      <c r="D1343" t="inlineStr">
        <is>
          <t>VÄSTERNORRLANDS LÄN</t>
        </is>
      </c>
      <c r="E1343" t="inlineStr">
        <is>
          <t>ÅNGE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46254-2023</t>
        </is>
      </c>
      <c r="B1344" s="1" t="n">
        <v>45196</v>
      </c>
      <c r="C1344" s="1" t="n">
        <v>46049</v>
      </c>
      <c r="D1344" t="inlineStr">
        <is>
          <t>VÄSTERNORRLANDS LÄN</t>
        </is>
      </c>
      <c r="E1344" t="inlineStr">
        <is>
          <t>ÅNGE</t>
        </is>
      </c>
      <c r="F1344" t="inlineStr">
        <is>
          <t>SCA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46262-2023</t>
        </is>
      </c>
      <c r="B1345" s="1" t="n">
        <v>45196.93855324074</v>
      </c>
      <c r="C1345" s="1" t="n">
        <v>46049</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45027-2023</t>
        </is>
      </c>
      <c r="B1346" s="1" t="n">
        <v>45190.96303240741</v>
      </c>
      <c r="C1346" s="1" t="n">
        <v>46049</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21409-2022</t>
        </is>
      </c>
      <c r="B1347" s="1" t="n">
        <v>44705.9406712963</v>
      </c>
      <c r="C1347" s="1" t="n">
        <v>46049</v>
      </c>
      <c r="D1347" t="inlineStr">
        <is>
          <t>VÄSTERNORRLANDS LÄN</t>
        </is>
      </c>
      <c r="E1347" t="inlineStr">
        <is>
          <t>ÅNGE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55380-2024</t>
        </is>
      </c>
      <c r="B1348" s="1" t="n">
        <v>45622.28810185185</v>
      </c>
      <c r="C1348" s="1" t="n">
        <v>46049</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22678-2024</t>
        </is>
      </c>
      <c r="B1349" s="1" t="n">
        <v>45447.94533564815</v>
      </c>
      <c r="C1349" s="1" t="n">
        <v>46049</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10084-2023</t>
        </is>
      </c>
      <c r="B1350" s="1" t="n">
        <v>44985.94465277778</v>
      </c>
      <c r="C1350" s="1" t="n">
        <v>46049</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45168.6043287037</v>
      </c>
      <c r="C1351" s="1" t="n">
        <v>46049</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15167-2025</t>
        </is>
      </c>
      <c r="B1352" s="1" t="n">
        <v>45744.49009259259</v>
      </c>
      <c r="C1352" s="1" t="n">
        <v>46049</v>
      </c>
      <c r="D1352" t="inlineStr">
        <is>
          <t>VÄSTERNORRLANDS LÄN</t>
        </is>
      </c>
      <c r="E1352" t="inlineStr">
        <is>
          <t>ÅNGE</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30556-2023</t>
        </is>
      </c>
      <c r="B1353" s="1" t="n">
        <v>45111.87935185185</v>
      </c>
      <c r="C1353" s="1" t="n">
        <v>46049</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5393-2025</t>
        </is>
      </c>
      <c r="B1354" s="1" t="n">
        <v>45692.63574074074</v>
      </c>
      <c r="C1354" s="1" t="n">
        <v>46049</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46049</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9480-2022</t>
        </is>
      </c>
      <c r="B1356" s="1" t="n">
        <v>44616</v>
      </c>
      <c r="C1356" s="1" t="n">
        <v>46049</v>
      </c>
      <c r="D1356" t="inlineStr">
        <is>
          <t>VÄSTERNORRLANDS LÄN</t>
        </is>
      </c>
      <c r="E1356" t="inlineStr">
        <is>
          <t>ÅNGE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18617-2024</t>
        </is>
      </c>
      <c r="B1357" s="1" t="n">
        <v>45425</v>
      </c>
      <c r="C1357" s="1" t="n">
        <v>46049</v>
      </c>
      <c r="D1357" t="inlineStr">
        <is>
          <t>VÄSTERNORRLANDS LÄN</t>
        </is>
      </c>
      <c r="E1357" t="inlineStr">
        <is>
          <t>ÅNGE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8868-2023</t>
        </is>
      </c>
      <c r="B1358" s="1" t="n">
        <v>44978</v>
      </c>
      <c r="C1358" s="1" t="n">
        <v>46049</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10917-2024</t>
        </is>
      </c>
      <c r="B1359" s="1" t="n">
        <v>45370</v>
      </c>
      <c r="C1359" s="1" t="n">
        <v>46049</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43775-2022</t>
        </is>
      </c>
      <c r="B1360" s="1" t="n">
        <v>44837.95053240741</v>
      </c>
      <c r="C1360" s="1" t="n">
        <v>46049</v>
      </c>
      <c r="D1360" t="inlineStr">
        <is>
          <t>VÄSTERNORRLANDS LÄN</t>
        </is>
      </c>
      <c r="E1360" t="inlineStr">
        <is>
          <t>ÅNGE</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27306-2024</t>
        </is>
      </c>
      <c r="B1361" s="1" t="n">
        <v>45471.94454861111</v>
      </c>
      <c r="C1361" s="1" t="n">
        <v>46049</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11396-2024</t>
        </is>
      </c>
      <c r="B1362" s="1" t="n">
        <v>45372</v>
      </c>
      <c r="C1362" s="1" t="n">
        <v>46049</v>
      </c>
      <c r="D1362" t="inlineStr">
        <is>
          <t>VÄSTERNORRLANDS LÄN</t>
        </is>
      </c>
      <c r="E1362" t="inlineStr">
        <is>
          <t>ÅNGE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25680-2023</t>
        </is>
      </c>
      <c r="B1363" s="1" t="n">
        <v>45089</v>
      </c>
      <c r="C1363" s="1" t="n">
        <v>46049</v>
      </c>
      <c r="D1363" t="inlineStr">
        <is>
          <t>VÄSTERNORRLANDS LÄN</t>
        </is>
      </c>
      <c r="E1363" t="inlineStr">
        <is>
          <t>ÅNGE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59818-2024</t>
        </is>
      </c>
      <c r="B1364" s="1" t="n">
        <v>45639.63572916666</v>
      </c>
      <c r="C1364" s="1" t="n">
        <v>46049</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1769-2023</t>
        </is>
      </c>
      <c r="B1365" s="1" t="n">
        <v>44938.58025462963</v>
      </c>
      <c r="C1365" s="1" t="n">
        <v>46049</v>
      </c>
      <c r="D1365" t="inlineStr">
        <is>
          <t>VÄSTERNORRLANDS LÄN</t>
        </is>
      </c>
      <c r="E1365" t="inlineStr">
        <is>
          <t>ÅNGE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1775-2023</t>
        </is>
      </c>
      <c r="B1366" s="1" t="n">
        <v>44938</v>
      </c>
      <c r="C1366" s="1" t="n">
        <v>46049</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10878-2024</t>
        </is>
      </c>
      <c r="B1367" s="1" t="n">
        <v>45370</v>
      </c>
      <c r="C1367" s="1" t="n">
        <v>46049</v>
      </c>
      <c r="D1367" t="inlineStr">
        <is>
          <t>VÄSTERNORRLANDS LÄN</t>
        </is>
      </c>
      <c r="E1367" t="inlineStr">
        <is>
          <t>ÅNGE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19066-2024</t>
        </is>
      </c>
      <c r="B1368" s="1" t="n">
        <v>45427</v>
      </c>
      <c r="C1368" s="1" t="n">
        <v>46049</v>
      </c>
      <c r="D1368" t="inlineStr">
        <is>
          <t>VÄSTERNORRLANDS LÄN</t>
        </is>
      </c>
      <c r="E1368" t="inlineStr">
        <is>
          <t>ÅNGE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3629-2023</t>
        </is>
      </c>
      <c r="B1369" s="1" t="n">
        <v>44950</v>
      </c>
      <c r="C1369" s="1" t="n">
        <v>46049</v>
      </c>
      <c r="D1369" t="inlineStr">
        <is>
          <t>VÄSTERNORRLANDS LÄN</t>
        </is>
      </c>
      <c r="E1369" t="inlineStr">
        <is>
          <t>ÅNGE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3631-2023</t>
        </is>
      </c>
      <c r="B1370" s="1" t="n">
        <v>44950</v>
      </c>
      <c r="C1370" s="1" t="n">
        <v>46049</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31177-2024</t>
        </is>
      </c>
      <c r="B1371" s="1" t="n">
        <v>45503</v>
      </c>
      <c r="C1371" s="1" t="n">
        <v>46049</v>
      </c>
      <c r="D1371" t="inlineStr">
        <is>
          <t>VÄSTERNORRLANDS LÄN</t>
        </is>
      </c>
      <c r="E1371" t="inlineStr">
        <is>
          <t>ÅNGE</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50179-2024</t>
        </is>
      </c>
      <c r="B1372" s="1" t="n">
        <v>45600</v>
      </c>
      <c r="C1372" s="1" t="n">
        <v>46049</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2140-2023</t>
        </is>
      </c>
      <c r="B1373" s="1" t="n">
        <v>44940</v>
      </c>
      <c r="C1373" s="1" t="n">
        <v>46049</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30347-2024</t>
        </is>
      </c>
      <c r="B1374" s="1" t="n">
        <v>45490.95515046296</v>
      </c>
      <c r="C1374" s="1" t="n">
        <v>46049</v>
      </c>
      <c r="D1374" t="inlineStr">
        <is>
          <t>VÄSTERNORRLANDS LÄN</t>
        </is>
      </c>
      <c r="E1374" t="inlineStr">
        <is>
          <t>ÅNGE</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55177-2024</t>
        </is>
      </c>
      <c r="B1375" s="1" t="n">
        <v>45621.53179398148</v>
      </c>
      <c r="C1375" s="1" t="n">
        <v>46049</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43096-2023</t>
        </is>
      </c>
      <c r="B1376" s="1" t="n">
        <v>45182</v>
      </c>
      <c r="C1376" s="1" t="n">
        <v>46049</v>
      </c>
      <c r="D1376" t="inlineStr">
        <is>
          <t>VÄSTERNORRLANDS LÄN</t>
        </is>
      </c>
      <c r="E1376" t="inlineStr">
        <is>
          <t>ÅNGE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3322-2025</t>
        </is>
      </c>
      <c r="B1377" s="1" t="n">
        <v>45679.6989699074</v>
      </c>
      <c r="C1377" s="1" t="n">
        <v>46049</v>
      </c>
      <c r="D1377" t="inlineStr">
        <is>
          <t>VÄSTERNORRLANDS LÄN</t>
        </is>
      </c>
      <c r="E1377" t="inlineStr">
        <is>
          <t>ÅNGE</t>
        </is>
      </c>
      <c r="F1377" t="inlineStr">
        <is>
          <t>SCA</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3327-2025</t>
        </is>
      </c>
      <c r="B1378" s="1" t="n">
        <v>45679.69967592593</v>
      </c>
      <c r="C1378" s="1" t="n">
        <v>46049</v>
      </c>
      <c r="D1378" t="inlineStr">
        <is>
          <t>VÄSTERNORRLANDS LÄN</t>
        </is>
      </c>
      <c r="E1378" t="inlineStr">
        <is>
          <t>ÅNGE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3947-2025</t>
        </is>
      </c>
      <c r="B1379" s="1" t="n">
        <v>45684.49001157407</v>
      </c>
      <c r="C1379" s="1" t="n">
        <v>46049</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15603-2024</t>
        </is>
      </c>
      <c r="B1380" s="1" t="n">
        <v>45401.92501157407</v>
      </c>
      <c r="C1380" s="1" t="n">
        <v>46049</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52804-2024</t>
        </is>
      </c>
      <c r="B1381" s="1" t="n">
        <v>45610.57322916666</v>
      </c>
      <c r="C1381" s="1" t="n">
        <v>46049</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21151-2024</t>
        </is>
      </c>
      <c r="B1382" s="1" t="n">
        <v>45440</v>
      </c>
      <c r="C1382" s="1" t="n">
        <v>46049</v>
      </c>
      <c r="D1382" t="inlineStr">
        <is>
          <t>VÄSTERNORRLANDS LÄN</t>
        </is>
      </c>
      <c r="E1382" t="inlineStr">
        <is>
          <t>ÅNGE</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13706-2023</t>
        </is>
      </c>
      <c r="B1383" s="1" t="n">
        <v>45006</v>
      </c>
      <c r="C1383" s="1" t="n">
        <v>46049</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6462-2024</t>
        </is>
      </c>
      <c r="B1384" s="1" t="n">
        <v>45338</v>
      </c>
      <c r="C1384" s="1" t="n">
        <v>46049</v>
      </c>
      <c r="D1384" t="inlineStr">
        <is>
          <t>VÄSTERNORRLANDS LÄN</t>
        </is>
      </c>
      <c r="E1384" t="inlineStr">
        <is>
          <t>ÅNGE</t>
        </is>
      </c>
      <c r="F1384" t="inlineStr">
        <is>
          <t>Kyrkan</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26490-2024</t>
        </is>
      </c>
      <c r="B1385" s="1" t="n">
        <v>45469</v>
      </c>
      <c r="C1385" s="1" t="n">
        <v>46049</v>
      </c>
      <c r="D1385" t="inlineStr">
        <is>
          <t>VÄSTERNORRLANDS LÄN</t>
        </is>
      </c>
      <c r="E1385" t="inlineStr">
        <is>
          <t>ÅNGE</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33747-2024</t>
        </is>
      </c>
      <c r="B1386" s="1" t="n">
        <v>45520</v>
      </c>
      <c r="C1386" s="1" t="n">
        <v>46049</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34754-2024</t>
        </is>
      </c>
      <c r="B1387" s="1" t="n">
        <v>45526</v>
      </c>
      <c r="C1387" s="1" t="n">
        <v>46049</v>
      </c>
      <c r="D1387" t="inlineStr">
        <is>
          <t>VÄSTERNORRLANDS LÄN</t>
        </is>
      </c>
      <c r="E1387" t="inlineStr">
        <is>
          <t>ÅNGE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22411-2023</t>
        </is>
      </c>
      <c r="B1388" s="1" t="n">
        <v>45070</v>
      </c>
      <c r="C1388" s="1" t="n">
        <v>46049</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4071-2025</t>
        </is>
      </c>
      <c r="B1389" s="1" t="n">
        <v>45684.63579861111</v>
      </c>
      <c r="C1389" s="1" t="n">
        <v>46049</v>
      </c>
      <c r="D1389" t="inlineStr">
        <is>
          <t>VÄSTERNORRLANDS LÄN</t>
        </is>
      </c>
      <c r="E1389" t="inlineStr">
        <is>
          <t>ÅNGE</t>
        </is>
      </c>
      <c r="F1389" t="inlineStr">
        <is>
          <t>SCA</t>
        </is>
      </c>
      <c r="G1389" t="n">
        <v>13.7</v>
      </c>
      <c r="H1389" t="n">
        <v>0</v>
      </c>
      <c r="I1389" t="n">
        <v>0</v>
      </c>
      <c r="J1389" t="n">
        <v>0</v>
      </c>
      <c r="K1389" t="n">
        <v>0</v>
      </c>
      <c r="L1389" t="n">
        <v>0</v>
      </c>
      <c r="M1389" t="n">
        <v>0</v>
      </c>
      <c r="N1389" t="n">
        <v>0</v>
      </c>
      <c r="O1389" t="n">
        <v>0</v>
      </c>
      <c r="P1389" t="n">
        <v>0</v>
      </c>
      <c r="Q1389" t="n">
        <v>0</v>
      </c>
      <c r="R1389" s="2" t="inlineStr"/>
    </row>
    <row r="1390" ht="15" customHeight="1">
      <c r="A1390" t="inlineStr">
        <is>
          <t>A 6619-2025</t>
        </is>
      </c>
      <c r="B1390" s="1" t="n">
        <v>45700.36541666667</v>
      </c>
      <c r="C1390" s="1" t="n">
        <v>46049</v>
      </c>
      <c r="D1390" t="inlineStr">
        <is>
          <t>VÄSTERNORRLANDS LÄN</t>
        </is>
      </c>
      <c r="E1390" t="inlineStr">
        <is>
          <t>ÅNGE</t>
        </is>
      </c>
      <c r="F1390" t="inlineStr">
        <is>
          <t>SCA</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8070-2022</t>
        </is>
      </c>
      <c r="B1391" s="1" t="n">
        <v>44609.48665509259</v>
      </c>
      <c r="C1391" s="1" t="n">
        <v>46049</v>
      </c>
      <c r="D1391" t="inlineStr">
        <is>
          <t>VÄSTERNORRLANDS LÄN</t>
        </is>
      </c>
      <c r="E1391" t="inlineStr">
        <is>
          <t>ÅNGE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14097-2022</t>
        </is>
      </c>
      <c r="B1392" s="1" t="n">
        <v>44651</v>
      </c>
      <c r="C1392" s="1" t="n">
        <v>46049</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29667-2024</t>
        </is>
      </c>
      <c r="B1393" s="1" t="n">
        <v>45484.94041666666</v>
      </c>
      <c r="C1393" s="1" t="n">
        <v>46049</v>
      </c>
      <c r="D1393" t="inlineStr">
        <is>
          <t>VÄSTERNORRLANDS LÄN</t>
        </is>
      </c>
      <c r="E1393" t="inlineStr">
        <is>
          <t>ÅNGE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39975-2023</t>
        </is>
      </c>
      <c r="B1394" s="1" t="n">
        <v>45168.58844907407</v>
      </c>
      <c r="C1394" s="1" t="n">
        <v>46049</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32776-2022</t>
        </is>
      </c>
      <c r="B1395" s="1" t="n">
        <v>44783.94607638889</v>
      </c>
      <c r="C1395" s="1" t="n">
        <v>46049</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11032-2025</t>
        </is>
      </c>
      <c r="B1396" s="1" t="n">
        <v>45723.47601851852</v>
      </c>
      <c r="C1396" s="1" t="n">
        <v>46049</v>
      </c>
      <c r="D1396" t="inlineStr">
        <is>
          <t>VÄSTERNORRLANDS LÄN</t>
        </is>
      </c>
      <c r="E1396" t="inlineStr">
        <is>
          <t>ÅNGE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56874-2024</t>
        </is>
      </c>
      <c r="B1397" s="1" t="n">
        <v>45628</v>
      </c>
      <c r="C1397" s="1" t="n">
        <v>46049</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16657-2025</t>
        </is>
      </c>
      <c r="B1398" s="1" t="n">
        <v>45754.40700231482</v>
      </c>
      <c r="C1398" s="1" t="n">
        <v>46049</v>
      </c>
      <c r="D1398" t="inlineStr">
        <is>
          <t>VÄSTERNORRLANDS LÄN</t>
        </is>
      </c>
      <c r="E1398" t="inlineStr">
        <is>
          <t>ÅNGE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6608-2025</t>
        </is>
      </c>
      <c r="B1399" s="1" t="n">
        <v>45700.34415509259</v>
      </c>
      <c r="C1399" s="1" t="n">
        <v>46049</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51871-2024</t>
        </is>
      </c>
      <c r="B1400" s="1" t="n">
        <v>45607</v>
      </c>
      <c r="C1400" s="1" t="n">
        <v>46049</v>
      </c>
      <c r="D1400" t="inlineStr">
        <is>
          <t>VÄSTERNORRLANDS LÄN</t>
        </is>
      </c>
      <c r="E1400" t="inlineStr">
        <is>
          <t>ÅNGE</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19065-2025</t>
        </is>
      </c>
      <c r="B1401" s="1" t="n">
        <v>45765</v>
      </c>
      <c r="C1401" s="1" t="n">
        <v>46049</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45152.35467592593</v>
      </c>
      <c r="C1402" s="1" t="n">
        <v>46049</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48369-2024</t>
        </is>
      </c>
      <c r="B1403" s="1" t="n">
        <v>45590.57960648148</v>
      </c>
      <c r="C1403" s="1" t="n">
        <v>46049</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1714-2025</t>
        </is>
      </c>
      <c r="B1404" s="1" t="n">
        <v>45671.32474537037</v>
      </c>
      <c r="C1404" s="1" t="n">
        <v>46049</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11529-2023</t>
        </is>
      </c>
      <c r="B1405" s="1" t="n">
        <v>44993</v>
      </c>
      <c r="C1405" s="1" t="n">
        <v>46049</v>
      </c>
      <c r="D1405" t="inlineStr">
        <is>
          <t>VÄSTERNORRLANDS LÄN</t>
        </is>
      </c>
      <c r="E1405" t="inlineStr">
        <is>
          <t>ÅNGE</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31182-2024</t>
        </is>
      </c>
      <c r="B1406" s="1" t="n">
        <v>45503</v>
      </c>
      <c r="C1406" s="1" t="n">
        <v>46049</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41758-2024</t>
        </is>
      </c>
      <c r="B1407" s="1" t="n">
        <v>45561.34478009259</v>
      </c>
      <c r="C1407" s="1" t="n">
        <v>46049</v>
      </c>
      <c r="D1407" t="inlineStr">
        <is>
          <t>VÄSTERNORRLANDS LÄN</t>
        </is>
      </c>
      <c r="E1407" t="inlineStr">
        <is>
          <t>ÅNGE</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5433-2024</t>
        </is>
      </c>
      <c r="B1408" s="1" t="n">
        <v>45331</v>
      </c>
      <c r="C1408" s="1" t="n">
        <v>46049</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19926-2025</t>
        </is>
      </c>
      <c r="B1409" s="1" t="n">
        <v>45771.6357175926</v>
      </c>
      <c r="C1409" s="1" t="n">
        <v>46049</v>
      </c>
      <c r="D1409" t="inlineStr">
        <is>
          <t>VÄSTERNORRLANDS LÄN</t>
        </is>
      </c>
      <c r="E1409" t="inlineStr">
        <is>
          <t>ÅNGE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51055-2023</t>
        </is>
      </c>
      <c r="B1410" s="1" t="n">
        <v>45218</v>
      </c>
      <c r="C1410" s="1" t="n">
        <v>46049</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6684-2024</t>
        </is>
      </c>
      <c r="B1411" s="1" t="n">
        <v>45341.92555555556</v>
      </c>
      <c r="C1411" s="1" t="n">
        <v>46049</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113-2025</t>
        </is>
      </c>
      <c r="B1412" s="1" t="n">
        <v>45659.5106712963</v>
      </c>
      <c r="C1412" s="1" t="n">
        <v>46049</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1403-2025</t>
        </is>
      </c>
      <c r="B1413" s="1" t="n">
        <v>45667.70548611111</v>
      </c>
      <c r="C1413" s="1" t="n">
        <v>46049</v>
      </c>
      <c r="D1413" t="inlineStr">
        <is>
          <t>VÄSTERNORRLANDS LÄN</t>
        </is>
      </c>
      <c r="E1413" t="inlineStr">
        <is>
          <t>ÅNGE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39619-2024</t>
        </is>
      </c>
      <c r="B1414" s="1" t="n">
        <v>45552</v>
      </c>
      <c r="C1414" s="1" t="n">
        <v>46049</v>
      </c>
      <c r="D1414" t="inlineStr">
        <is>
          <t>VÄSTERNORRLANDS LÄN</t>
        </is>
      </c>
      <c r="E1414" t="inlineStr">
        <is>
          <t>ÅNGE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58774-2023</t>
        </is>
      </c>
      <c r="B1415" s="1" t="n">
        <v>45251</v>
      </c>
      <c r="C1415" s="1" t="n">
        <v>46049</v>
      </c>
      <c r="D1415" t="inlineStr">
        <is>
          <t>VÄSTERNORRLANDS LÄN</t>
        </is>
      </c>
      <c r="E1415" t="inlineStr">
        <is>
          <t>ÅNGE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4359-2025</t>
        </is>
      </c>
      <c r="B1416" s="1" t="n">
        <v>45686.33072916666</v>
      </c>
      <c r="C1416" s="1" t="n">
        <v>46049</v>
      </c>
      <c r="D1416" t="inlineStr">
        <is>
          <t>VÄSTERNORRLANDS LÄN</t>
        </is>
      </c>
      <c r="E1416" t="inlineStr">
        <is>
          <t>ÅNGE</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11399-2025</t>
        </is>
      </c>
      <c r="B1417" s="1" t="n">
        <v>45726.57364583333</v>
      </c>
      <c r="C1417" s="1" t="n">
        <v>46049</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15822-2025</t>
        </is>
      </c>
      <c r="B1418" s="1" t="n">
        <v>45748.70172453704</v>
      </c>
      <c r="C1418" s="1" t="n">
        <v>46049</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57591-2022</t>
        </is>
      </c>
      <c r="B1419" s="1" t="n">
        <v>44896.97834490741</v>
      </c>
      <c r="C1419" s="1" t="n">
        <v>46049</v>
      </c>
      <c r="D1419" t="inlineStr">
        <is>
          <t>VÄSTERNORRLANDS LÄN</t>
        </is>
      </c>
      <c r="E1419" t="inlineStr">
        <is>
          <t>ÅNGE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17044-2023</t>
        </is>
      </c>
      <c r="B1420" s="1" t="n">
        <v>45034</v>
      </c>
      <c r="C1420" s="1" t="n">
        <v>46049</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60812-2024</t>
        </is>
      </c>
      <c r="B1421" s="1" t="n">
        <v>45644</v>
      </c>
      <c r="C1421" s="1" t="n">
        <v>46049</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58943-2022</t>
        </is>
      </c>
      <c r="B1422" s="1" t="n">
        <v>44903.64400462963</v>
      </c>
      <c r="C1422" s="1" t="n">
        <v>46049</v>
      </c>
      <c r="D1422" t="inlineStr">
        <is>
          <t>VÄSTERNORRLANDS LÄN</t>
        </is>
      </c>
      <c r="E1422" t="inlineStr">
        <is>
          <t>ÅNGE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1103-2023</t>
        </is>
      </c>
      <c r="B1423" s="1" t="n">
        <v>44929</v>
      </c>
      <c r="C1423" s="1" t="n">
        <v>46049</v>
      </c>
      <c r="D1423" t="inlineStr">
        <is>
          <t>VÄSTERNORRLANDS LÄN</t>
        </is>
      </c>
      <c r="E1423" t="inlineStr">
        <is>
          <t>ÅNGE</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57526-2024</t>
        </is>
      </c>
      <c r="B1424" s="1" t="n">
        <v>45630</v>
      </c>
      <c r="C1424" s="1" t="n">
        <v>46049</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18456-2024</t>
        </is>
      </c>
      <c r="B1425" s="1" t="n">
        <v>45425.46831018518</v>
      </c>
      <c r="C1425" s="1" t="n">
        <v>46049</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44180-2023</t>
        </is>
      </c>
      <c r="B1426" s="1" t="n">
        <v>45183</v>
      </c>
      <c r="C1426" s="1" t="n">
        <v>46049</v>
      </c>
      <c r="D1426" t="inlineStr">
        <is>
          <t>VÄSTERNORRLANDS LÄN</t>
        </is>
      </c>
      <c r="E1426" t="inlineStr">
        <is>
          <t>ÅNGE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5197-2025</t>
        </is>
      </c>
      <c r="B1427" s="1" t="n">
        <v>45691.65701388889</v>
      </c>
      <c r="C1427" s="1" t="n">
        <v>46049</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5246-2025</t>
        </is>
      </c>
      <c r="B1428" s="1" t="n">
        <v>45692.34427083333</v>
      </c>
      <c r="C1428" s="1" t="n">
        <v>46049</v>
      </c>
      <c r="D1428" t="inlineStr">
        <is>
          <t>VÄSTERNORRLANDS LÄN</t>
        </is>
      </c>
      <c r="E1428" t="inlineStr">
        <is>
          <t>ÅNGE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41829-2021</t>
        </is>
      </c>
      <c r="B1429" s="1" t="n">
        <v>44425.92202546296</v>
      </c>
      <c r="C1429" s="1" t="n">
        <v>46049</v>
      </c>
      <c r="D1429" t="inlineStr">
        <is>
          <t>VÄSTERNORRLANDS LÄN</t>
        </is>
      </c>
      <c r="E1429" t="inlineStr">
        <is>
          <t>ÅNGE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50612-2024</t>
        </is>
      </c>
      <c r="B1430" s="1" t="n">
        <v>45601</v>
      </c>
      <c r="C1430" s="1" t="n">
        <v>46049</v>
      </c>
      <c r="D1430" t="inlineStr">
        <is>
          <t>VÄSTERNORRLANDS LÄN</t>
        </is>
      </c>
      <c r="E1430" t="inlineStr">
        <is>
          <t>ÅNGE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13491-2023</t>
        </is>
      </c>
      <c r="B1431" s="1" t="n">
        <v>45005.93929398148</v>
      </c>
      <c r="C1431" s="1" t="n">
        <v>46049</v>
      </c>
      <c r="D1431" t="inlineStr">
        <is>
          <t>VÄSTERNORRLANDS LÄN</t>
        </is>
      </c>
      <c r="E1431" t="inlineStr">
        <is>
          <t>ÅNGE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47243-2024</t>
        </is>
      </c>
      <c r="B1432" s="1" t="n">
        <v>45586.6987962963</v>
      </c>
      <c r="C1432" s="1" t="n">
        <v>46049</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37540-2024</t>
        </is>
      </c>
      <c r="B1433" s="1" t="n">
        <v>45541.42111111111</v>
      </c>
      <c r="C1433" s="1" t="n">
        <v>46049</v>
      </c>
      <c r="D1433" t="inlineStr">
        <is>
          <t>VÄSTERNORRLANDS LÄN</t>
        </is>
      </c>
      <c r="E1433" t="inlineStr">
        <is>
          <t>ÅNGE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42948-2024</t>
        </is>
      </c>
      <c r="B1434" s="1" t="n">
        <v>45567.36628472222</v>
      </c>
      <c r="C1434" s="1" t="n">
        <v>46049</v>
      </c>
      <c r="D1434" t="inlineStr">
        <is>
          <t>VÄSTERNORRLANDS LÄN</t>
        </is>
      </c>
      <c r="E1434" t="inlineStr">
        <is>
          <t>ÅNGE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54585-2024</t>
        </is>
      </c>
      <c r="B1435" s="1" t="n">
        <v>45617.65762731482</v>
      </c>
      <c r="C1435" s="1" t="n">
        <v>46049</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15404-2025</t>
        </is>
      </c>
      <c r="B1436" s="1" t="n">
        <v>45747.44665509259</v>
      </c>
      <c r="C1436" s="1" t="n">
        <v>46049</v>
      </c>
      <c r="D1436" t="inlineStr">
        <is>
          <t>VÄSTERNORRLANDS LÄN</t>
        </is>
      </c>
      <c r="E1436" t="inlineStr">
        <is>
          <t>ÅNGE</t>
        </is>
      </c>
      <c r="G1436" t="n">
        <v>11.8</v>
      </c>
      <c r="H1436" t="n">
        <v>0</v>
      </c>
      <c r="I1436" t="n">
        <v>0</v>
      </c>
      <c r="J1436" t="n">
        <v>0</v>
      </c>
      <c r="K1436" t="n">
        <v>0</v>
      </c>
      <c r="L1436" t="n">
        <v>0</v>
      </c>
      <c r="M1436" t="n">
        <v>0</v>
      </c>
      <c r="N1436" t="n">
        <v>0</v>
      </c>
      <c r="O1436" t="n">
        <v>0</v>
      </c>
      <c r="P1436" t="n">
        <v>0</v>
      </c>
      <c r="Q1436" t="n">
        <v>0</v>
      </c>
      <c r="R1436" s="2" t="inlineStr"/>
    </row>
    <row r="1437" ht="15" customHeight="1">
      <c r="A1437" t="inlineStr">
        <is>
          <t>A 17703-2025</t>
        </is>
      </c>
      <c r="B1437" s="1" t="n">
        <v>45758.4275462963</v>
      </c>
      <c r="C1437" s="1" t="n">
        <v>46049</v>
      </c>
      <c r="D1437" t="inlineStr">
        <is>
          <t>VÄSTERNORRLANDS LÄN</t>
        </is>
      </c>
      <c r="E1437" t="inlineStr">
        <is>
          <t>ÅNGE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42529-2024</t>
        </is>
      </c>
      <c r="B1438" s="1" t="n">
        <v>45565.57324074074</v>
      </c>
      <c r="C1438" s="1" t="n">
        <v>46049</v>
      </c>
      <c r="D1438" t="inlineStr">
        <is>
          <t>VÄSTERNORRLANDS LÄN</t>
        </is>
      </c>
      <c r="E1438" t="inlineStr">
        <is>
          <t>ÅNGE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3966-2025</t>
        </is>
      </c>
      <c r="B1439" s="1" t="n">
        <v>45684.51072916666</v>
      </c>
      <c r="C1439" s="1" t="n">
        <v>46049</v>
      </c>
      <c r="D1439" t="inlineStr">
        <is>
          <t>VÄSTERNORRLANDS LÄN</t>
        </is>
      </c>
      <c r="E1439" t="inlineStr">
        <is>
          <t>ÅNGE</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54316-2024</t>
        </is>
      </c>
      <c r="B1440" s="1" t="n">
        <v>45617.34443287037</v>
      </c>
      <c r="C1440" s="1" t="n">
        <v>46049</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46049</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53209-2024</t>
        </is>
      </c>
      <c r="B1442" s="1" t="n">
        <v>45612.51079861111</v>
      </c>
      <c r="C1442" s="1" t="n">
        <v>46049</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15778-2025</t>
        </is>
      </c>
      <c r="B1443" s="1" t="n">
        <v>45748.60030092593</v>
      </c>
      <c r="C1443" s="1" t="n">
        <v>46049</v>
      </c>
      <c r="D1443" t="inlineStr">
        <is>
          <t>VÄSTERNORRLANDS LÄN</t>
        </is>
      </c>
      <c r="E1443" t="inlineStr">
        <is>
          <t>ÅNGE</t>
        </is>
      </c>
      <c r="F1443" t="inlineStr">
        <is>
          <t>SCA</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17718-2025</t>
        </is>
      </c>
      <c r="B1444" s="1" t="n">
        <v>45758.44815972223</v>
      </c>
      <c r="C1444" s="1" t="n">
        <v>46049</v>
      </c>
      <c r="D1444" t="inlineStr">
        <is>
          <t>VÄSTERNORRLANDS LÄN</t>
        </is>
      </c>
      <c r="E1444" t="inlineStr">
        <is>
          <t>ÅNGE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38246-2024</t>
        </is>
      </c>
      <c r="B1445" s="1" t="n">
        <v>45545.57327546296</v>
      </c>
      <c r="C1445" s="1" t="n">
        <v>46049</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26943-2024</t>
        </is>
      </c>
      <c r="B1446" s="1" t="n">
        <v>45470</v>
      </c>
      <c r="C1446" s="1" t="n">
        <v>46049</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53512-2023</t>
        </is>
      </c>
      <c r="B1447" s="1" t="n">
        <v>45230</v>
      </c>
      <c r="C1447" s="1" t="n">
        <v>46049</v>
      </c>
      <c r="D1447" t="inlineStr">
        <is>
          <t>VÄSTERNORRLANDS LÄN</t>
        </is>
      </c>
      <c r="E1447" t="inlineStr">
        <is>
          <t>ÅNGE</t>
        </is>
      </c>
      <c r="F1447" t="inlineStr">
        <is>
          <t>Holmen skog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20776-2025</t>
        </is>
      </c>
      <c r="B1448" s="1" t="n">
        <v>45776.59410879629</v>
      </c>
      <c r="C1448" s="1" t="n">
        <v>46049</v>
      </c>
      <c r="D1448" t="inlineStr">
        <is>
          <t>VÄSTERNORRLANDS LÄN</t>
        </is>
      </c>
      <c r="E1448" t="inlineStr">
        <is>
          <t>ÅNGE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20718-2025</t>
        </is>
      </c>
      <c r="B1449" s="1" t="n">
        <v>45776.49047453704</v>
      </c>
      <c r="C1449" s="1" t="n">
        <v>46049</v>
      </c>
      <c r="D1449" t="inlineStr">
        <is>
          <t>VÄSTERNORRLANDS LÄN</t>
        </is>
      </c>
      <c r="E1449" t="inlineStr">
        <is>
          <t>ÅNGE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20864-2025</t>
        </is>
      </c>
      <c r="B1450" s="1" t="n">
        <v>45777.34417824074</v>
      </c>
      <c r="C1450" s="1" t="n">
        <v>46049</v>
      </c>
      <c r="D1450" t="inlineStr">
        <is>
          <t>VÄSTERNORRLANDS LÄN</t>
        </is>
      </c>
      <c r="E1450" t="inlineStr">
        <is>
          <t>ÅNGE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21068-2025</t>
        </is>
      </c>
      <c r="B1451" s="1" t="n">
        <v>45777.59413194445</v>
      </c>
      <c r="C1451" s="1" t="n">
        <v>46049</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20868-2025</t>
        </is>
      </c>
      <c r="B1452" s="1" t="n">
        <v>45777.34483796296</v>
      </c>
      <c r="C1452" s="1" t="n">
        <v>46049</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21176-2025</t>
        </is>
      </c>
      <c r="B1453" s="1" t="n">
        <v>45779.42798611111</v>
      </c>
      <c r="C1453" s="1" t="n">
        <v>46049</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46049</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21563-2025</t>
        </is>
      </c>
      <c r="B1455" s="1" t="n">
        <v>45782.69822916666</v>
      </c>
      <c r="C1455" s="1" t="n">
        <v>46049</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45030-2024</t>
        </is>
      </c>
      <c r="B1456" s="1" t="n">
        <v>45575.52089120371</v>
      </c>
      <c r="C1456" s="1" t="n">
        <v>46049</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21263-2025</t>
        </is>
      </c>
      <c r="B1457" s="1" t="n">
        <v>45779.61233796296</v>
      </c>
      <c r="C1457" s="1" t="n">
        <v>46049</v>
      </c>
      <c r="D1457" t="inlineStr">
        <is>
          <t>VÄSTERNORRLANDS LÄN</t>
        </is>
      </c>
      <c r="E1457" t="inlineStr">
        <is>
          <t>ÅNGE</t>
        </is>
      </c>
      <c r="F1457" t="inlineStr">
        <is>
          <t>Sveaskog</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21174-2025</t>
        </is>
      </c>
      <c r="B1458" s="1" t="n">
        <v>45779.42746527777</v>
      </c>
      <c r="C1458" s="1" t="n">
        <v>46049</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21251-2025</t>
        </is>
      </c>
      <c r="B1459" s="1" t="n">
        <v>45779.57417824074</v>
      </c>
      <c r="C1459" s="1" t="n">
        <v>46049</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21712-2025</t>
        </is>
      </c>
      <c r="B1460" s="1" t="n">
        <v>45783.53210648148</v>
      </c>
      <c r="C1460" s="1" t="n">
        <v>46049</v>
      </c>
      <c r="D1460" t="inlineStr">
        <is>
          <t>VÄSTERNORRLANDS LÄN</t>
        </is>
      </c>
      <c r="E1460" t="inlineStr">
        <is>
          <t>ÅNGE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2539-2025</t>
        </is>
      </c>
      <c r="B1461" s="1" t="n">
        <v>45674.61581018518</v>
      </c>
      <c r="C1461" s="1" t="n">
        <v>46049</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22187-2024</t>
        </is>
      </c>
      <c r="B1462" s="1" t="n">
        <v>45446.35222222222</v>
      </c>
      <c r="C1462" s="1" t="n">
        <v>46049</v>
      </c>
      <c r="D1462" t="inlineStr">
        <is>
          <t>VÄSTERNORRLANDS LÄN</t>
        </is>
      </c>
      <c r="E1462" t="inlineStr">
        <is>
          <t>ÅNGE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21883-2025</t>
        </is>
      </c>
      <c r="B1463" s="1" t="n">
        <v>45784.41361111111</v>
      </c>
      <c r="C1463" s="1" t="n">
        <v>46049</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21597-2025</t>
        </is>
      </c>
      <c r="B1464" s="1" t="n">
        <v>45783.34493055556</v>
      </c>
      <c r="C1464" s="1" t="n">
        <v>46049</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25867-2024</t>
        </is>
      </c>
      <c r="B1465" s="1" t="n">
        <v>45463</v>
      </c>
      <c r="C1465" s="1" t="n">
        <v>46049</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17669-2023</t>
        </is>
      </c>
      <c r="B1466" s="1" t="n">
        <v>45036.94457175926</v>
      </c>
      <c r="C1466" s="1" t="n">
        <v>46049</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29395-2023</t>
        </is>
      </c>
      <c r="B1467" s="1" t="n">
        <v>45106.4359837963</v>
      </c>
      <c r="C1467" s="1" t="n">
        <v>46049</v>
      </c>
      <c r="D1467" t="inlineStr">
        <is>
          <t>VÄSTERNORRLANDS LÄN</t>
        </is>
      </c>
      <c r="E1467" t="inlineStr">
        <is>
          <t>ÅNGE</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21862-2025</t>
        </is>
      </c>
      <c r="B1468" s="1" t="n">
        <v>45784.36519675926</v>
      </c>
      <c r="C1468" s="1" t="n">
        <v>46049</v>
      </c>
      <c r="D1468" t="inlineStr">
        <is>
          <t>VÄSTERNORRLANDS LÄN</t>
        </is>
      </c>
      <c r="E1468" t="inlineStr">
        <is>
          <t>ÅNGE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21982-2025</t>
        </is>
      </c>
      <c r="B1469" s="1" t="n">
        <v>45784.65660879629</v>
      </c>
      <c r="C1469" s="1" t="n">
        <v>46049</v>
      </c>
      <c r="D1469" t="inlineStr">
        <is>
          <t>VÄSTERNORRLANDS LÄN</t>
        </is>
      </c>
      <c r="E1469" t="inlineStr">
        <is>
          <t>ÅNGE</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54295-2024</t>
        </is>
      </c>
      <c r="B1470" s="1" t="n">
        <v>45617</v>
      </c>
      <c r="C1470" s="1" t="n">
        <v>46049</v>
      </c>
      <c r="D1470" t="inlineStr">
        <is>
          <t>VÄSTERNORRLANDS LÄN</t>
        </is>
      </c>
      <c r="E1470" t="inlineStr">
        <is>
          <t>ÅNGE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21686-2025</t>
        </is>
      </c>
      <c r="B1471" s="1" t="n">
        <v>45783.490625</v>
      </c>
      <c r="C1471" s="1" t="n">
        <v>46049</v>
      </c>
      <c r="D1471" t="inlineStr">
        <is>
          <t>VÄSTERNORRLANDS LÄN</t>
        </is>
      </c>
      <c r="E1471" t="inlineStr">
        <is>
          <t>ÅNGE</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21741-2025</t>
        </is>
      </c>
      <c r="B1472" s="1" t="n">
        <v>45783.59415509259</v>
      </c>
      <c r="C1472" s="1" t="n">
        <v>46049</v>
      </c>
      <c r="D1472" t="inlineStr">
        <is>
          <t>VÄSTERNORRLANDS LÄN</t>
        </is>
      </c>
      <c r="E1472" t="inlineStr">
        <is>
          <t>ÅNGE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39119-2024</t>
        </is>
      </c>
      <c r="B1473" s="1" t="n">
        <v>45548.58939814815</v>
      </c>
      <c r="C1473" s="1" t="n">
        <v>46049</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21685-2025</t>
        </is>
      </c>
      <c r="B1474" s="1" t="n">
        <v>45783.49050925926</v>
      </c>
      <c r="C1474" s="1" t="n">
        <v>46049</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32257-2024</t>
        </is>
      </c>
      <c r="B1475" s="1" t="n">
        <v>45511</v>
      </c>
      <c r="C1475" s="1" t="n">
        <v>46049</v>
      </c>
      <c r="D1475" t="inlineStr">
        <is>
          <t>VÄSTERNORRLANDS LÄN</t>
        </is>
      </c>
      <c r="E1475" t="inlineStr">
        <is>
          <t>ÅNGE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31492-2024</t>
        </is>
      </c>
      <c r="B1476" s="1" t="n">
        <v>45505</v>
      </c>
      <c r="C1476" s="1" t="n">
        <v>46049</v>
      </c>
      <c r="D1476" t="inlineStr">
        <is>
          <t>VÄSTERNORRLANDS LÄN</t>
        </is>
      </c>
      <c r="E1476" t="inlineStr">
        <is>
          <t>ÅNGE</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38800-2024</t>
        </is>
      </c>
      <c r="B1477" s="1" t="n">
        <v>45547</v>
      </c>
      <c r="C1477" s="1" t="n">
        <v>46049</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20880-2025</t>
        </is>
      </c>
      <c r="B1478" s="1" t="n">
        <v>45777</v>
      </c>
      <c r="C1478" s="1" t="n">
        <v>46049</v>
      </c>
      <c r="D1478" t="inlineStr">
        <is>
          <t>VÄSTERNORRLANDS LÄN</t>
        </is>
      </c>
      <c r="E1478" t="inlineStr">
        <is>
          <t>ÅNGE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22219-2025</t>
        </is>
      </c>
      <c r="B1479" s="1" t="n">
        <v>45785.65849537037</v>
      </c>
      <c r="C1479" s="1" t="n">
        <v>46049</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22206-2025</t>
        </is>
      </c>
      <c r="B1480" s="1" t="n">
        <v>45785.65699074074</v>
      </c>
      <c r="C1480" s="1" t="n">
        <v>46049</v>
      </c>
      <c r="D1480" t="inlineStr">
        <is>
          <t>VÄSTERNORRLANDS LÄN</t>
        </is>
      </c>
      <c r="E1480" t="inlineStr">
        <is>
          <t>ÅNGE</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26640-2024</t>
        </is>
      </c>
      <c r="B1481" s="1" t="n">
        <v>45469.92831018518</v>
      </c>
      <c r="C1481" s="1" t="n">
        <v>46049</v>
      </c>
      <c r="D1481" t="inlineStr">
        <is>
          <t>VÄSTERNORRLANDS LÄN</t>
        </is>
      </c>
      <c r="E1481" t="inlineStr">
        <is>
          <t>ÅNGE</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22489-2025</t>
        </is>
      </c>
      <c r="B1482" s="1" t="n">
        <v>45786.64946759259</v>
      </c>
      <c r="C1482" s="1" t="n">
        <v>46049</v>
      </c>
      <c r="D1482" t="inlineStr">
        <is>
          <t>VÄSTERNORRLANDS LÄN</t>
        </is>
      </c>
      <c r="E1482" t="inlineStr">
        <is>
          <t>ÅNGE</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22549-2025</t>
        </is>
      </c>
      <c r="B1483" s="1" t="n">
        <v>45788.48113425926</v>
      </c>
      <c r="C1483" s="1" t="n">
        <v>46049</v>
      </c>
      <c r="D1483" t="inlineStr">
        <is>
          <t>VÄSTERNORRLANDS LÄN</t>
        </is>
      </c>
      <c r="E1483" t="inlineStr">
        <is>
          <t>ÅNGE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22926-2025</t>
        </is>
      </c>
      <c r="B1484" s="1" t="n">
        <v>45790</v>
      </c>
      <c r="C1484" s="1" t="n">
        <v>46049</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22928-2025</t>
        </is>
      </c>
      <c r="B1485" s="1" t="n">
        <v>45790.44825231482</v>
      </c>
      <c r="C1485" s="1" t="n">
        <v>46049</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22791-2025</t>
        </is>
      </c>
      <c r="B1486" s="1" t="n">
        <v>45789.65663194445</v>
      </c>
      <c r="C1486" s="1" t="n">
        <v>46049</v>
      </c>
      <c r="D1486" t="inlineStr">
        <is>
          <t>VÄSTERNORRLANDS LÄN</t>
        </is>
      </c>
      <c r="E1486" t="inlineStr">
        <is>
          <t>ÅNGE</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23091-2025</t>
        </is>
      </c>
      <c r="B1487" s="1" t="n">
        <v>45791.34456018519</v>
      </c>
      <c r="C1487" s="1" t="n">
        <v>46049</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23580-2025</t>
        </is>
      </c>
      <c r="B1488" s="1" t="n">
        <v>45792.62555555555</v>
      </c>
      <c r="C1488" s="1" t="n">
        <v>46049</v>
      </c>
      <c r="D1488" t="inlineStr">
        <is>
          <t>VÄSTERNORRLANDS LÄN</t>
        </is>
      </c>
      <c r="E1488" t="inlineStr">
        <is>
          <t>ÅNGE</t>
        </is>
      </c>
      <c r="F1488" t="inlineStr">
        <is>
          <t>Kyrkan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23343-2025</t>
        </is>
      </c>
      <c r="B1489" s="1" t="n">
        <v>45791.65702546296</v>
      </c>
      <c r="C1489" s="1" t="n">
        <v>46049</v>
      </c>
      <c r="D1489" t="inlineStr">
        <is>
          <t>VÄSTERNORRLANDS LÄN</t>
        </is>
      </c>
      <c r="E1489" t="inlineStr">
        <is>
          <t>ÅNGE</t>
        </is>
      </c>
      <c r="F1489" t="inlineStr">
        <is>
          <t>SCA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23573-2025</t>
        </is>
      </c>
      <c r="B1490" s="1" t="n">
        <v>45792.61497685185</v>
      </c>
      <c r="C1490" s="1" t="n">
        <v>46049</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23590-2025</t>
        </is>
      </c>
      <c r="B1491" s="1" t="n">
        <v>45792.63627314815</v>
      </c>
      <c r="C1491" s="1" t="n">
        <v>46049</v>
      </c>
      <c r="D1491" t="inlineStr">
        <is>
          <t>VÄSTERNORRLANDS LÄN</t>
        </is>
      </c>
      <c r="E1491" t="inlineStr">
        <is>
          <t>ÅNGE</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23495-2025</t>
        </is>
      </c>
      <c r="B1492" s="1" t="n">
        <v>45792.46967592592</v>
      </c>
      <c r="C1492" s="1" t="n">
        <v>46049</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23589-2025</t>
        </is>
      </c>
      <c r="B1493" s="1" t="n">
        <v>45792.63618055556</v>
      </c>
      <c r="C1493" s="1" t="n">
        <v>46049</v>
      </c>
      <c r="D1493" t="inlineStr">
        <is>
          <t>VÄSTERNORRLANDS LÄN</t>
        </is>
      </c>
      <c r="E1493" t="inlineStr">
        <is>
          <t>ÅNGE</t>
        </is>
      </c>
      <c r="F1493" t="inlineStr">
        <is>
          <t>SCA</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23252-2025</t>
        </is>
      </c>
      <c r="B1494" s="1" t="n">
        <v>45791.53157407408</v>
      </c>
      <c r="C1494" s="1" t="n">
        <v>46049</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23529-2025</t>
        </is>
      </c>
      <c r="B1495" s="1" t="n">
        <v>45792.53158564815</v>
      </c>
      <c r="C1495" s="1" t="n">
        <v>46049</v>
      </c>
      <c r="D1495" t="inlineStr">
        <is>
          <t>VÄSTERNORRLANDS LÄN</t>
        </is>
      </c>
      <c r="E1495" t="inlineStr">
        <is>
          <t>ÅNGE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23552-2025</t>
        </is>
      </c>
      <c r="B1496" s="1" t="n">
        <v>45792.5738425926</v>
      </c>
      <c r="C1496" s="1" t="n">
        <v>46049</v>
      </c>
      <c r="D1496" t="inlineStr">
        <is>
          <t>VÄSTERNORRLANDS LÄN</t>
        </is>
      </c>
      <c r="E1496" t="inlineStr">
        <is>
          <t>ÅNGE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23748-2025</t>
        </is>
      </c>
      <c r="B1497" s="1" t="n">
        <v>45793.44755787037</v>
      </c>
      <c r="C1497" s="1" t="n">
        <v>46049</v>
      </c>
      <c r="D1497" t="inlineStr">
        <is>
          <t>VÄSTERNORRLANDS LÄN</t>
        </is>
      </c>
      <c r="E1497" t="inlineStr">
        <is>
          <t>ÅNGE</t>
        </is>
      </c>
      <c r="F1497" t="inlineStr">
        <is>
          <t>Sveaskog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43145-2024</t>
        </is>
      </c>
      <c r="B1498" s="1" t="n">
        <v>45567.63030092593</v>
      </c>
      <c r="C1498" s="1" t="n">
        <v>46049</v>
      </c>
      <c r="D1498" t="inlineStr">
        <is>
          <t>VÄSTERNORRLANDS LÄN</t>
        </is>
      </c>
      <c r="E1498" t="inlineStr">
        <is>
          <t>ÅNGE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23899-2025</t>
        </is>
      </c>
      <c r="B1499" s="1" t="n">
        <v>45794.34414351852</v>
      </c>
      <c r="C1499" s="1" t="n">
        <v>46049</v>
      </c>
      <c r="D1499" t="inlineStr">
        <is>
          <t>VÄSTERNORRLANDS LÄN</t>
        </is>
      </c>
      <c r="E1499" t="inlineStr">
        <is>
          <t>ÅNGE</t>
        </is>
      </c>
      <c r="F1499" t="inlineStr">
        <is>
          <t>SCA</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23917-2025</t>
        </is>
      </c>
      <c r="B1500" s="1" t="n">
        <v>45795.34481481482</v>
      </c>
      <c r="C1500" s="1" t="n">
        <v>46049</v>
      </c>
      <c r="D1500" t="inlineStr">
        <is>
          <t>VÄSTERNORRLANDS LÄN</t>
        </is>
      </c>
      <c r="E1500" t="inlineStr">
        <is>
          <t>ÅNGE</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56188-2024</t>
        </is>
      </c>
      <c r="B1501" s="1" t="n">
        <v>45624.57800925926</v>
      </c>
      <c r="C1501" s="1" t="n">
        <v>46049</v>
      </c>
      <c r="D1501" t="inlineStr">
        <is>
          <t>VÄSTERNORRLANDS LÄN</t>
        </is>
      </c>
      <c r="E1501" t="inlineStr">
        <is>
          <t>ÅNGE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39843-2023</t>
        </is>
      </c>
      <c r="B1502" s="1" t="n">
        <v>45168</v>
      </c>
      <c r="C1502" s="1" t="n">
        <v>46049</v>
      </c>
      <c r="D1502" t="inlineStr">
        <is>
          <t>VÄSTERNORRLANDS LÄN</t>
        </is>
      </c>
      <c r="E1502" t="inlineStr">
        <is>
          <t>ÅNGE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23975-2025</t>
        </is>
      </c>
      <c r="B1503" s="1" t="n">
        <v>45796.38614583333</v>
      </c>
      <c r="C1503" s="1" t="n">
        <v>46049</v>
      </c>
      <c r="D1503" t="inlineStr">
        <is>
          <t>VÄSTERNORRLANDS LÄN</t>
        </is>
      </c>
      <c r="E1503" t="inlineStr">
        <is>
          <t>ÅNGE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23976-2025</t>
        </is>
      </c>
      <c r="B1504" s="1" t="n">
        <v>45796.38625</v>
      </c>
      <c r="C1504" s="1" t="n">
        <v>46049</v>
      </c>
      <c r="D1504" t="inlineStr">
        <is>
          <t>VÄSTERNORRLANDS LÄN</t>
        </is>
      </c>
      <c r="E1504" t="inlineStr">
        <is>
          <t>ÅNGE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23921-2025</t>
        </is>
      </c>
      <c r="B1505" s="1" t="n">
        <v>45795.34513888889</v>
      </c>
      <c r="C1505" s="1" t="n">
        <v>46049</v>
      </c>
      <c r="D1505" t="inlineStr">
        <is>
          <t>VÄSTERNORRLANDS LÄN</t>
        </is>
      </c>
      <c r="E1505" t="inlineStr">
        <is>
          <t>ÅNGE</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54079-2023</t>
        </is>
      </c>
      <c r="B1506" s="1" t="n">
        <v>45231</v>
      </c>
      <c r="C1506" s="1" t="n">
        <v>46049</v>
      </c>
      <c r="D1506" t="inlineStr">
        <is>
          <t>VÄSTERNORRLANDS LÄN</t>
        </is>
      </c>
      <c r="E1506" t="inlineStr">
        <is>
          <t>ÅNGE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29702-2024</t>
        </is>
      </c>
      <c r="B1507" s="1" t="n">
        <v>45485.31525462963</v>
      </c>
      <c r="C1507" s="1" t="n">
        <v>46049</v>
      </c>
      <c r="D1507" t="inlineStr">
        <is>
          <t>VÄSTERNORRLANDS LÄN</t>
        </is>
      </c>
      <c r="E1507" t="inlineStr">
        <is>
          <t>ÅNGE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26641-2024</t>
        </is>
      </c>
      <c r="B1508" s="1" t="n">
        <v>45469.92836805555</v>
      </c>
      <c r="C1508" s="1" t="n">
        <v>46049</v>
      </c>
      <c r="D1508" t="inlineStr">
        <is>
          <t>VÄSTERNORRLANDS LÄN</t>
        </is>
      </c>
      <c r="E1508" t="inlineStr">
        <is>
          <t>ÅNGE</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41741-2023</t>
        </is>
      </c>
      <c r="B1509" s="1" t="n">
        <v>45176.42164351852</v>
      </c>
      <c r="C1509" s="1" t="n">
        <v>46049</v>
      </c>
      <c r="D1509" t="inlineStr">
        <is>
          <t>VÄSTERNORRLANDS LÄN</t>
        </is>
      </c>
      <c r="E1509" t="inlineStr">
        <is>
          <t>ÅNGE</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37992-2024</t>
        </is>
      </c>
      <c r="B1510" s="1" t="n">
        <v>45544.59524305556</v>
      </c>
      <c r="C1510" s="1" t="n">
        <v>46049</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57516-2023</t>
        </is>
      </c>
      <c r="B1511" s="1" t="n">
        <v>45246.44665509259</v>
      </c>
      <c r="C1511" s="1" t="n">
        <v>46049</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23069-2024</t>
        </is>
      </c>
      <c r="B1512" s="1" t="n">
        <v>45450</v>
      </c>
      <c r="C1512" s="1" t="n">
        <v>46049</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41575-2024</t>
        </is>
      </c>
      <c r="B1513" s="1" t="n">
        <v>45560.55106481481</v>
      </c>
      <c r="C1513" s="1" t="n">
        <v>46049</v>
      </c>
      <c r="D1513" t="inlineStr">
        <is>
          <t>VÄSTERNORRLANDS LÄN</t>
        </is>
      </c>
      <c r="E1513" t="inlineStr">
        <is>
          <t>ÅNGE</t>
        </is>
      </c>
      <c r="F1513" t="inlineStr">
        <is>
          <t>Holmen skog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24008-2025</t>
        </is>
      </c>
      <c r="B1514" s="1" t="n">
        <v>45796.43841435185</v>
      </c>
      <c r="C1514" s="1" t="n">
        <v>46049</v>
      </c>
      <c r="D1514" t="inlineStr">
        <is>
          <t>VÄSTERNORRLANDS LÄN</t>
        </is>
      </c>
      <c r="E1514" t="inlineStr">
        <is>
          <t>ÅNGE</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19007-2025</t>
        </is>
      </c>
      <c r="B1515" s="1" t="n">
        <v>45764.58515046296</v>
      </c>
      <c r="C1515" s="1" t="n">
        <v>46049</v>
      </c>
      <c r="D1515" t="inlineStr">
        <is>
          <t>VÄSTERNORRLANDS LÄN</t>
        </is>
      </c>
      <c r="E1515" t="inlineStr">
        <is>
          <t>ÅNGE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60004-2023</t>
        </is>
      </c>
      <c r="B1516" s="1" t="n">
        <v>45257</v>
      </c>
      <c r="C1516" s="1" t="n">
        <v>46049</v>
      </c>
      <c r="D1516" t="inlineStr">
        <is>
          <t>VÄSTERNORRLANDS LÄN</t>
        </is>
      </c>
      <c r="E1516" t="inlineStr">
        <is>
          <t>ÅNGE</t>
        </is>
      </c>
      <c r="F1516" t="inlineStr">
        <is>
          <t>SCA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43622-2023</t>
        </is>
      </c>
      <c r="B1517" s="1" t="n">
        <v>45184.70777777778</v>
      </c>
      <c r="C1517" s="1" t="n">
        <v>46049</v>
      </c>
      <c r="D1517" t="inlineStr">
        <is>
          <t>VÄSTERNORRLANDS LÄN</t>
        </is>
      </c>
      <c r="E1517" t="inlineStr">
        <is>
          <t>ÅNGE</t>
        </is>
      </c>
      <c r="F1517" t="inlineStr">
        <is>
          <t>Holmen skog AB</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24458-2025</t>
        </is>
      </c>
      <c r="B1518" s="1" t="n">
        <v>45798.34476851852</v>
      </c>
      <c r="C1518" s="1" t="n">
        <v>46049</v>
      </c>
      <c r="D1518" t="inlineStr">
        <is>
          <t>VÄSTERNORRLANDS LÄN</t>
        </is>
      </c>
      <c r="E1518" t="inlineStr">
        <is>
          <t>ÅNGE</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29390-2021</t>
        </is>
      </c>
      <c r="B1519" s="1" t="n">
        <v>44361</v>
      </c>
      <c r="C1519" s="1" t="n">
        <v>46049</v>
      </c>
      <c r="D1519" t="inlineStr">
        <is>
          <t>VÄSTERNORRLANDS LÄN</t>
        </is>
      </c>
      <c r="E1519" t="inlineStr">
        <is>
          <t>ÅNGE</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30054-2024</t>
        </is>
      </c>
      <c r="B1520" s="1" t="n">
        <v>45488.94758101852</v>
      </c>
      <c r="C1520" s="1" t="n">
        <v>46049</v>
      </c>
      <c r="D1520" t="inlineStr">
        <is>
          <t>VÄSTERNORRLANDS LÄN</t>
        </is>
      </c>
      <c r="E1520" t="inlineStr">
        <is>
          <t>ÅNGE</t>
        </is>
      </c>
      <c r="F1520" t="inlineStr">
        <is>
          <t>SCA</t>
        </is>
      </c>
      <c r="G1520" t="n">
        <v>11.7</v>
      </c>
      <c r="H1520" t="n">
        <v>0</v>
      </c>
      <c r="I1520" t="n">
        <v>0</v>
      </c>
      <c r="J1520" t="n">
        <v>0</v>
      </c>
      <c r="K1520" t="n">
        <v>0</v>
      </c>
      <c r="L1520" t="n">
        <v>0</v>
      </c>
      <c r="M1520" t="n">
        <v>0</v>
      </c>
      <c r="N1520" t="n">
        <v>0</v>
      </c>
      <c r="O1520" t="n">
        <v>0</v>
      </c>
      <c r="P1520" t="n">
        <v>0</v>
      </c>
      <c r="Q1520" t="n">
        <v>0</v>
      </c>
      <c r="R1520" s="2" t="inlineStr"/>
    </row>
    <row r="1521" ht="15" customHeight="1">
      <c r="A1521" t="inlineStr">
        <is>
          <t>A 24357-2025</t>
        </is>
      </c>
      <c r="B1521" s="1" t="n">
        <v>45797.59467592592</v>
      </c>
      <c r="C1521" s="1" t="n">
        <v>46049</v>
      </c>
      <c r="D1521" t="inlineStr">
        <is>
          <t>VÄSTERNORRLANDS LÄN</t>
        </is>
      </c>
      <c r="E1521" t="inlineStr">
        <is>
          <t>ÅNGE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24207-2025</t>
        </is>
      </c>
      <c r="B1522" s="1" t="n">
        <v>45797.34439814815</v>
      </c>
      <c r="C1522" s="1" t="n">
        <v>46049</v>
      </c>
      <c r="D1522" t="inlineStr">
        <is>
          <t>VÄSTERNORRLANDS LÄN</t>
        </is>
      </c>
      <c r="E1522" t="inlineStr">
        <is>
          <t>ÅNGE</t>
        </is>
      </c>
      <c r="F1522" t="inlineStr">
        <is>
          <t>SCA</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24292-2025</t>
        </is>
      </c>
      <c r="B1523" s="1" t="n">
        <v>45797.46657407407</v>
      </c>
      <c r="C1523" s="1" t="n">
        <v>46049</v>
      </c>
      <c r="D1523" t="inlineStr">
        <is>
          <t>VÄSTERNORRLANDS LÄN</t>
        </is>
      </c>
      <c r="E1523" t="inlineStr">
        <is>
          <t>ÅNGE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4142-2024</t>
        </is>
      </c>
      <c r="B1524" s="1" t="n">
        <v>45323</v>
      </c>
      <c r="C1524" s="1" t="n">
        <v>46049</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27853-2024</t>
        </is>
      </c>
      <c r="B1525" s="1" t="n">
        <v>45475</v>
      </c>
      <c r="C1525" s="1" t="n">
        <v>46049</v>
      </c>
      <c r="D1525" t="inlineStr">
        <is>
          <t>VÄSTERNORRLANDS LÄN</t>
        </is>
      </c>
      <c r="E1525" t="inlineStr">
        <is>
          <t>ÅNGE</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10781-2024</t>
        </is>
      </c>
      <c r="B1526" s="1" t="n">
        <v>45369.59635416666</v>
      </c>
      <c r="C1526" s="1" t="n">
        <v>46049</v>
      </c>
      <c r="D1526" t="inlineStr">
        <is>
          <t>VÄSTERNORRLANDS LÄN</t>
        </is>
      </c>
      <c r="E1526" t="inlineStr">
        <is>
          <t>ÅNGE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24627-2025</t>
        </is>
      </c>
      <c r="B1527" s="1" t="n">
        <v>45798.59471064815</v>
      </c>
      <c r="C1527" s="1" t="n">
        <v>46049</v>
      </c>
      <c r="D1527" t="inlineStr">
        <is>
          <t>VÄSTERNORRLANDS LÄN</t>
        </is>
      </c>
      <c r="E1527" t="inlineStr">
        <is>
          <t>ÅNGE</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24209-2025</t>
        </is>
      </c>
      <c r="B1528" s="1" t="n">
        <v>45797.3446875</v>
      </c>
      <c r="C1528" s="1" t="n">
        <v>46049</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24232-2025</t>
        </is>
      </c>
      <c r="B1529" s="1" t="n">
        <v>45797.37846064815</v>
      </c>
      <c r="C1529" s="1" t="n">
        <v>46049</v>
      </c>
      <c r="D1529" t="inlineStr">
        <is>
          <t>VÄSTERNORRLANDS LÄN</t>
        </is>
      </c>
      <c r="E1529" t="inlineStr">
        <is>
          <t>ÅNGE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25340-2025</t>
        </is>
      </c>
      <c r="B1530" s="1" t="n">
        <v>45800.60074074074</v>
      </c>
      <c r="C1530" s="1" t="n">
        <v>46049</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25273-2025</t>
        </is>
      </c>
      <c r="B1531" s="1" t="n">
        <v>45800.55253472222</v>
      </c>
      <c r="C1531" s="1" t="n">
        <v>46049</v>
      </c>
      <c r="D1531" t="inlineStr">
        <is>
          <t>VÄSTERNORRLANDS LÄN</t>
        </is>
      </c>
      <c r="E1531" t="inlineStr">
        <is>
          <t>ÅNGE</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25352-2025</t>
        </is>
      </c>
      <c r="B1532" s="1" t="n">
        <v>45800.61552083334</v>
      </c>
      <c r="C1532" s="1" t="n">
        <v>46049</v>
      </c>
      <c r="D1532" t="inlineStr">
        <is>
          <t>VÄSTERNORRLANDS LÄN</t>
        </is>
      </c>
      <c r="E1532" t="inlineStr">
        <is>
          <t>ÅNGE</t>
        </is>
      </c>
      <c r="F1532" t="inlineStr">
        <is>
          <t>SCA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25017-2025</t>
        </is>
      </c>
      <c r="B1533" s="1" t="n">
        <v>45799.63791666667</v>
      </c>
      <c r="C1533" s="1" t="n">
        <v>46049</v>
      </c>
      <c r="D1533" t="inlineStr">
        <is>
          <t>VÄSTERNORRLANDS LÄN</t>
        </is>
      </c>
      <c r="E1533" t="inlineStr">
        <is>
          <t>ÅNGE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25241-2025</t>
        </is>
      </c>
      <c r="B1534" s="1" t="n">
        <v>45800.49053240741</v>
      </c>
      <c r="C1534" s="1" t="n">
        <v>46049</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25274-2025</t>
        </is>
      </c>
      <c r="B1535" s="1" t="n">
        <v>45800.55276620371</v>
      </c>
      <c r="C1535" s="1" t="n">
        <v>46049</v>
      </c>
      <c r="D1535" t="inlineStr">
        <is>
          <t>VÄSTERNORRLANDS LÄN</t>
        </is>
      </c>
      <c r="E1535" t="inlineStr">
        <is>
          <t>ÅNGE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25332-2025</t>
        </is>
      </c>
      <c r="B1536" s="1" t="n">
        <v>45800.59418981482</v>
      </c>
      <c r="C1536" s="1" t="n">
        <v>46049</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24852-2025</t>
        </is>
      </c>
      <c r="B1537" s="1" t="n">
        <v>45799.46975694445</v>
      </c>
      <c r="C1537" s="1" t="n">
        <v>46049</v>
      </c>
      <c r="D1537" t="inlineStr">
        <is>
          <t>VÄSTERNORRLANDS LÄN</t>
        </is>
      </c>
      <c r="E1537" t="inlineStr">
        <is>
          <t>ÅNGE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24847-2025</t>
        </is>
      </c>
      <c r="B1538" s="1" t="n">
        <v>45799.46907407408</v>
      </c>
      <c r="C1538" s="1" t="n">
        <v>46049</v>
      </c>
      <c r="D1538" t="inlineStr">
        <is>
          <t>VÄSTERNORRLANDS LÄN</t>
        </is>
      </c>
      <c r="E1538" t="inlineStr">
        <is>
          <t>ÅNGE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25067-2025</t>
        </is>
      </c>
      <c r="B1539" s="1" t="n">
        <v>45799.71908564815</v>
      </c>
      <c r="C1539" s="1" t="n">
        <v>46049</v>
      </c>
      <c r="D1539" t="inlineStr">
        <is>
          <t>VÄSTERNORRLANDS LÄN</t>
        </is>
      </c>
      <c r="E1539" t="inlineStr">
        <is>
          <t>ÅNGE</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25532-2025</t>
        </is>
      </c>
      <c r="B1540" s="1" t="n">
        <v>45803.4065162037</v>
      </c>
      <c r="C1540" s="1" t="n">
        <v>46049</v>
      </c>
      <c r="D1540" t="inlineStr">
        <is>
          <t>VÄSTERNORRLANDS LÄN</t>
        </is>
      </c>
      <c r="E1540" t="inlineStr">
        <is>
          <t>ÅNGE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25810-2025</t>
        </is>
      </c>
      <c r="B1541" s="1" t="n">
        <v>45804.42083333333</v>
      </c>
      <c r="C1541" s="1" t="n">
        <v>46049</v>
      </c>
      <c r="D1541" t="inlineStr">
        <is>
          <t>VÄSTERNORRLANDS LÄN</t>
        </is>
      </c>
      <c r="E1541" t="inlineStr">
        <is>
          <t>ÅNGE</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31863-2024</t>
        </is>
      </c>
      <c r="B1542" s="1" t="n">
        <v>45509.74121527778</v>
      </c>
      <c r="C1542" s="1" t="n">
        <v>46049</v>
      </c>
      <c r="D1542" t="inlineStr">
        <is>
          <t>VÄSTERNORRLANDS LÄN</t>
        </is>
      </c>
      <c r="E1542" t="inlineStr">
        <is>
          <t>ÅNGE</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45230.60815972222</v>
      </c>
      <c r="C1543" s="1" t="n">
        <v>46049</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36877-2024</t>
        </is>
      </c>
      <c r="B1544" s="1" t="n">
        <v>45538.59418981482</v>
      </c>
      <c r="C1544" s="1" t="n">
        <v>46049</v>
      </c>
      <c r="D1544" t="inlineStr">
        <is>
          <t>VÄSTERNORRLANDS LÄN</t>
        </is>
      </c>
      <c r="E1544" t="inlineStr">
        <is>
          <t>ÅNGE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25499-2025</t>
        </is>
      </c>
      <c r="B1545" s="1" t="n">
        <v>45803.344375</v>
      </c>
      <c r="C1545" s="1" t="n">
        <v>46049</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c r="A1546" t="inlineStr">
        <is>
          <t>A 25772-2025</t>
        </is>
      </c>
      <c r="B1546" s="1" t="n">
        <v>45804.34520833333</v>
      </c>
      <c r="C1546" s="1" t="n">
        <v>46049</v>
      </c>
      <c r="D1546" t="inlineStr">
        <is>
          <t>VÄSTERNORRLANDS LÄN</t>
        </is>
      </c>
      <c r="E1546" t="inlineStr">
        <is>
          <t>ÅNGE</t>
        </is>
      </c>
      <c r="F1546" t="inlineStr">
        <is>
          <t>SCA</t>
        </is>
      </c>
      <c r="G1546" t="n">
        <v>4.7</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2026-01-27T10:56:51Z</dcterms:created>
  <dcterms:modified xmlns:dcterms="http://purl.org/dc/terms/" xmlns:xsi="http://www.w3.org/2001/XMLSchema-instance" xsi:type="dcterms:W3CDTF">2026-01-27T10:56:53Z</dcterms:modified>
</cp:coreProperties>
</file>